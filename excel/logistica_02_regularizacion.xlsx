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logica" sheetId="1" state="visible" r:id="rId1"/>
    <sheet xmlns:r="http://schemas.openxmlformats.org/officeDocument/2006/relationships" name="1 datos preparados" sheetId="2" state="visible" r:id="rId2"/>
    <sheet xmlns:r="http://schemas.openxmlformats.org/officeDocument/2006/relationships" name="2 ridge L2" sheetId="3" state="visible" r:id="rId3"/>
    <sheet xmlns:r="http://schemas.openxmlformats.org/officeDocument/2006/relationships" name="3 lasso L1" sheetId="4" state="visible" r:id="rId4"/>
    <sheet xmlns:r="http://schemas.openxmlformats.org/officeDocument/2006/relationships" name="4 elastic net" sheetId="5" state="visible" r:id="rId5"/>
    <sheet xmlns:r="http://schemas.openxmlformats.org/officeDocument/2006/relationships" name="5 comparación según λ" sheetId="6" state="visible" r:id="rId6"/>
  </sheets>
  <definedNames/>
  <calcPr calcId="124519" fullCalcOnLoad="1"/>
</workbook>
</file>

<file path=xl/styles.xml><?xml version="1.0" encoding="utf-8"?>
<styleSheet xmlns="http://schemas.openxmlformats.org/spreadsheetml/2006/main">
  <numFmts count="4">
    <numFmt numFmtId="164" formatCode="0.000"/>
    <numFmt numFmtId="165" formatCode="0.0000"/>
    <numFmt numFmtId="166" formatCode="0.0"/>
    <numFmt numFmtId="167" formatCode="0.0%"/>
  </numFmts>
  <fonts count="3">
    <font>
      <name val="Calibri"/>
      <family val="2"/>
      <color theme="1"/>
      <sz val="11"/>
      <scheme val="minor"/>
    </font>
    <font>
      <b val="1"/>
      <sz val="13"/>
    </font>
    <font>
      <b val="1"/>
    </font>
  </fonts>
  <fills count="6">
    <fill>
      <patternFill/>
    </fill>
    <fill>
      <patternFill patternType="gray125"/>
    </fill>
    <fill>
      <patternFill patternType="solid">
        <fgColor rgb="00E7E6E6"/>
      </patternFill>
    </fill>
    <fill>
      <patternFill patternType="solid">
        <fgColor rgb="00DDEBF7"/>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0" pivotButton="0" quotePrefix="0" xfId="0"/>
    <xf numFmtId="0" fontId="0" fillId="2" borderId="0" pivotButton="0" quotePrefix="0" xfId="0"/>
    <xf numFmtId="164" fontId="0" fillId="2" borderId="0" pivotButton="0" quotePrefix="0" xfId="0"/>
    <xf numFmtId="164" fontId="0" fillId="0" borderId="0" pivotButton="0" quotePrefix="0" xfId="0"/>
    <xf numFmtId="164" fontId="0" fillId="4" borderId="0" pivotButton="0" quotePrefix="0" xfId="0"/>
    <xf numFmtId="165" fontId="0" fillId="4" borderId="0" pivotButton="0" quotePrefix="0" xfId="0"/>
    <xf numFmtId="0" fontId="0" fillId="5" borderId="0" pivotButton="0" quotePrefix="0" xfId="0"/>
    <xf numFmtId="165" fontId="0" fillId="3" borderId="0" pivotButton="0" quotePrefix="0" xfId="0"/>
    <xf numFmtId="165" fontId="0" fillId="2" borderId="0" pivotButton="0" quotePrefix="0" xfId="0"/>
    <xf numFmtId="0" fontId="0" fillId="4" borderId="0" pivotButton="0" quotePrefix="0" xfId="0"/>
    <xf numFmtId="164" fontId="0" fillId="5" borderId="0" pivotButton="0" quotePrefix="0" xfId="0"/>
    <xf numFmtId="166" fontId="0" fillId="3" borderId="0" pivotButton="0" quotePrefix="0" xfId="0"/>
    <xf numFmtId="2" fontId="0" fillId="3" borderId="0" pivotButton="0" quotePrefix="0" xfId="0"/>
    <xf numFmtId="2" fontId="0" fillId="5" borderId="0" pivotButton="0" quotePrefix="0" xfId="0"/>
    <xf numFmtId="2" fontId="0" fillId="4" borderId="0" pivotButton="0" quotePrefix="0" xfId="0"/>
    <xf numFmtId="165" fontId="0" fillId="5" borderId="0" pivotButton="0" quotePrefix="0" xfId="0"/>
    <xf numFmtId="167" fontId="0" fillId="5" borderId="0" pivotButton="0" quotePrefix="0" xfId="0"/>
    <xf numFmtId="1" fontId="0" fillId="5" borderId="0" pivotButton="0" quotePrefix="0" xfId="0"/>
    <xf numFmtId="2" fontId="0" fillId="2" borderId="0" pivotButton="0" quotePrefix="0" xfId="0"/>
    <xf numFmtId="1" fontId="0" fillId="2" borderId="0" pivotButton="0" quotePrefix="0" xfId="0"/>
    <xf numFmtId="167"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Ridge (L2): cada peso según λ</a:t>
            </a:r>
          </a:p>
        </rich>
      </tx>
    </title>
    <plotArea>
      <lineChart>
        <grouping val="standard"/>
        <ser>
          <idx val="0"/>
          <order val="0"/>
          <tx>
            <v>duracion</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λ'!$B$8:$H$8</f>
            </numRef>
          </val>
        </ser>
        <ser>
          <idx val="1"/>
          <order val="1"/>
          <tx>
            <v>monto</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λ'!$B$9:$H$9</f>
            </numRef>
          </val>
        </ser>
        <ser>
          <idx val="2"/>
          <order val="2"/>
          <tx>
            <v>edad</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λ'!$B$10:$H$10</f>
            </numRef>
          </val>
        </ser>
        <ser>
          <idx val="3"/>
          <order val="3"/>
          <tx>
            <v>cuota_pct_ingreso</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λ'!$B$11:$H$11</f>
            </numRef>
          </val>
        </ser>
        <ser>
          <idx val="4"/>
          <order val="4"/>
          <tx>
            <v>cta_negativa</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λ'!$B$12:$H$12</f>
            </numRef>
          </val>
        </ser>
        <ser>
          <idx val="5"/>
          <order val="5"/>
          <tx>
            <v>cta_0_200</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λ'!$B$13:$H$13</f>
            </numRef>
          </val>
        </ser>
        <ser>
          <idx val="6"/>
          <order val="6"/>
          <tx>
            <v>cta_sobre_200</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λ'!$B$14:$H$14</f>
            </numRef>
          </val>
        </ser>
        <ser>
          <idx val="7"/>
          <order val="7"/>
          <tx>
            <v>hist_critico</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λ'!$B$15:$H$15</f>
            </numRef>
          </val>
        </ser>
        <ser>
          <idx val="8"/>
          <order val="8"/>
          <tx>
            <v>hist_atrasos</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λ'!$B$16:$H$16</f>
            </numRef>
          </val>
        </ser>
        <ser>
          <idx val="9"/>
          <order val="9"/>
          <tx>
            <v>hist_sin_creditos</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λ'!$B$17:$H$17</f>
            </numRef>
          </val>
        </ser>
        <ser>
          <idx val="10"/>
          <order val="10"/>
          <tx>
            <v>ahorro_100_1000</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λ'!$B$18:$H$18</f>
            </numRef>
          </val>
        </ser>
        <ser>
          <idx val="11"/>
          <order val="11"/>
          <tx>
            <v>ahorro_sobre_1000</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λ'!$B$19:$H$19</f>
            </numRef>
          </val>
        </ser>
        <ser>
          <idx val="12"/>
          <order val="12"/>
          <tx>
            <v>ahorro_desconocido</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λ'!$B$20:$H$20</f>
            </numRef>
          </val>
        </ser>
        <ser>
          <idx val="13"/>
          <order val="13"/>
          <tx>
            <v>vivienda_arriendo</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λ'!$B$21:$H$21</f>
            </numRef>
          </val>
        </ser>
        <ser>
          <idx val="14"/>
          <order val="14"/>
          <tx>
            <v>vivienda_gratis</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λ'!$B$22:$H$22</f>
            </numRef>
          </val>
        </ser>
        <ser>
          <idx val="15"/>
          <order val="15"/>
          <tx>
            <v>proposito_auto</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λ'!$B$23:$H$23</f>
            </numRef>
          </val>
        </ser>
        <ser>
          <idx val="16"/>
          <order val="16"/>
          <tx>
            <v>proposito_radio_tv</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λ'!$B$24:$H$24</f>
            </numRef>
          </val>
        </ser>
        <ser>
          <idx val="17"/>
          <order val="17"/>
          <tx>
            <v>proposito_muebles</v>
          </tx>
          <spPr>
            <a:ln xmlns:a="http://schemas.openxmlformats.org/drawingml/2006/main">
              <a:prstDash val="solid"/>
            </a:ln>
          </spPr>
          <marker>
            <symbol val="none"/>
            <spPr>
              <a:ln xmlns:a="http://schemas.openxmlformats.org/drawingml/2006/main">
                <a:prstDash val="solid"/>
              </a:ln>
            </spPr>
          </marker>
          <cat>
            <numRef>
              <f>'5 comparación según λ'!$B$6:$H$6</f>
            </numRef>
          </cat>
          <val>
            <numRef>
              <f>'5 comparación según λ'!$B$25:$H$25</f>
            </numRef>
          </val>
        </ser>
        <axId val="10"/>
        <axId val="100"/>
      </lineChart>
      <catAx>
        <axId val="10"/>
        <scaling>
          <orientation val="minMax"/>
        </scaling>
        <axPos val="l"/>
        <title>
          <tx>
            <rich>
              <a:bodyPr xmlns:a="http://schemas.openxmlformats.org/drawingml/2006/main"/>
              <a:p xmlns:a="http://schemas.openxmlformats.org/drawingml/2006/main">
                <a:pPr>
                  <a:defRPr/>
                </a:pPr>
                <a:r>
                  <a:t>λ</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theta</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Lasso (L1): cada peso según λ</a:t>
            </a:r>
          </a:p>
        </rich>
      </tx>
    </title>
    <plotArea>
      <lineChart>
        <grouping val="standard"/>
        <ser>
          <idx val="0"/>
          <order val="0"/>
          <tx>
            <v>duracion</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λ'!$B$38:$H$38</f>
            </numRef>
          </val>
        </ser>
        <ser>
          <idx val="1"/>
          <order val="1"/>
          <tx>
            <v>monto</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λ'!$B$39:$H$39</f>
            </numRef>
          </val>
        </ser>
        <ser>
          <idx val="2"/>
          <order val="2"/>
          <tx>
            <v>edad</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λ'!$B$40:$H$40</f>
            </numRef>
          </val>
        </ser>
        <ser>
          <idx val="3"/>
          <order val="3"/>
          <tx>
            <v>cuota_pct_ingreso</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λ'!$B$41:$H$41</f>
            </numRef>
          </val>
        </ser>
        <ser>
          <idx val="4"/>
          <order val="4"/>
          <tx>
            <v>cta_negativa</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λ'!$B$42:$H$42</f>
            </numRef>
          </val>
        </ser>
        <ser>
          <idx val="5"/>
          <order val="5"/>
          <tx>
            <v>cta_0_200</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λ'!$B$43:$H$43</f>
            </numRef>
          </val>
        </ser>
        <ser>
          <idx val="6"/>
          <order val="6"/>
          <tx>
            <v>cta_sobre_200</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λ'!$B$44:$H$44</f>
            </numRef>
          </val>
        </ser>
        <ser>
          <idx val="7"/>
          <order val="7"/>
          <tx>
            <v>hist_critico</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λ'!$B$45:$H$45</f>
            </numRef>
          </val>
        </ser>
        <ser>
          <idx val="8"/>
          <order val="8"/>
          <tx>
            <v>hist_atrasos</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λ'!$B$46:$H$46</f>
            </numRef>
          </val>
        </ser>
        <ser>
          <idx val="9"/>
          <order val="9"/>
          <tx>
            <v>hist_sin_creditos</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λ'!$B$47:$H$47</f>
            </numRef>
          </val>
        </ser>
        <ser>
          <idx val="10"/>
          <order val="10"/>
          <tx>
            <v>ahorro_100_1000</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λ'!$B$48:$H$48</f>
            </numRef>
          </val>
        </ser>
        <ser>
          <idx val="11"/>
          <order val="11"/>
          <tx>
            <v>ahorro_sobre_1000</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λ'!$B$49:$H$49</f>
            </numRef>
          </val>
        </ser>
        <ser>
          <idx val="12"/>
          <order val="12"/>
          <tx>
            <v>ahorro_desconocido</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λ'!$B$50:$H$50</f>
            </numRef>
          </val>
        </ser>
        <ser>
          <idx val="13"/>
          <order val="13"/>
          <tx>
            <v>vivienda_arriendo</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λ'!$B$51:$H$51</f>
            </numRef>
          </val>
        </ser>
        <ser>
          <idx val="14"/>
          <order val="14"/>
          <tx>
            <v>vivienda_gratis</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λ'!$B$52:$H$52</f>
            </numRef>
          </val>
        </ser>
        <ser>
          <idx val="15"/>
          <order val="15"/>
          <tx>
            <v>proposito_auto</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λ'!$B$53:$H$53</f>
            </numRef>
          </val>
        </ser>
        <ser>
          <idx val="16"/>
          <order val="16"/>
          <tx>
            <v>proposito_radio_tv</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λ'!$B$54:$H$54</f>
            </numRef>
          </val>
        </ser>
        <ser>
          <idx val="17"/>
          <order val="17"/>
          <tx>
            <v>proposito_muebles</v>
          </tx>
          <spPr>
            <a:ln xmlns:a="http://schemas.openxmlformats.org/drawingml/2006/main">
              <a:prstDash val="solid"/>
            </a:ln>
          </spPr>
          <marker>
            <symbol val="none"/>
            <spPr>
              <a:ln xmlns:a="http://schemas.openxmlformats.org/drawingml/2006/main">
                <a:prstDash val="solid"/>
              </a:ln>
            </spPr>
          </marker>
          <cat>
            <numRef>
              <f>'5 comparación según λ'!$B$36:$H$36</f>
            </numRef>
          </cat>
          <val>
            <numRef>
              <f>'5 comparación según λ'!$B$55:$H$55</f>
            </numRef>
          </val>
        </ser>
        <axId val="10"/>
        <axId val="100"/>
      </lineChart>
      <catAx>
        <axId val="10"/>
        <scaling>
          <orientation val="minMax"/>
        </scaling>
        <axPos val="l"/>
        <title>
          <tx>
            <rich>
              <a:bodyPr xmlns:a="http://schemas.openxmlformats.org/drawingml/2006/main"/>
              <a:p xmlns:a="http://schemas.openxmlformats.org/drawingml/2006/main">
                <a:pPr>
                  <a:defRPr/>
                </a:pPr>
                <a:r>
                  <a:t>λ</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theta</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Elastic net (α = 0,5): cada peso según λ</a:t>
            </a:r>
          </a:p>
        </rich>
      </tx>
    </title>
    <plotArea>
      <lineChart>
        <grouping val="standard"/>
        <ser>
          <idx val="0"/>
          <order val="0"/>
          <tx>
            <v>duracion</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λ'!$B$68:$H$68</f>
            </numRef>
          </val>
        </ser>
        <ser>
          <idx val="1"/>
          <order val="1"/>
          <tx>
            <v>monto</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λ'!$B$69:$H$69</f>
            </numRef>
          </val>
        </ser>
        <ser>
          <idx val="2"/>
          <order val="2"/>
          <tx>
            <v>edad</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λ'!$B$70:$H$70</f>
            </numRef>
          </val>
        </ser>
        <ser>
          <idx val="3"/>
          <order val="3"/>
          <tx>
            <v>cuota_pct_ingreso</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λ'!$B$71:$H$71</f>
            </numRef>
          </val>
        </ser>
        <ser>
          <idx val="4"/>
          <order val="4"/>
          <tx>
            <v>cta_negativa</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λ'!$B$72:$H$72</f>
            </numRef>
          </val>
        </ser>
        <ser>
          <idx val="5"/>
          <order val="5"/>
          <tx>
            <v>cta_0_200</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λ'!$B$73:$H$73</f>
            </numRef>
          </val>
        </ser>
        <ser>
          <idx val="6"/>
          <order val="6"/>
          <tx>
            <v>cta_sobre_200</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λ'!$B$74:$H$74</f>
            </numRef>
          </val>
        </ser>
        <ser>
          <idx val="7"/>
          <order val="7"/>
          <tx>
            <v>hist_critico</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λ'!$B$75:$H$75</f>
            </numRef>
          </val>
        </ser>
        <ser>
          <idx val="8"/>
          <order val="8"/>
          <tx>
            <v>hist_atrasos</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λ'!$B$76:$H$76</f>
            </numRef>
          </val>
        </ser>
        <ser>
          <idx val="9"/>
          <order val="9"/>
          <tx>
            <v>hist_sin_creditos</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λ'!$B$77:$H$77</f>
            </numRef>
          </val>
        </ser>
        <ser>
          <idx val="10"/>
          <order val="10"/>
          <tx>
            <v>ahorro_100_1000</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λ'!$B$78:$H$78</f>
            </numRef>
          </val>
        </ser>
        <ser>
          <idx val="11"/>
          <order val="11"/>
          <tx>
            <v>ahorro_sobre_1000</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λ'!$B$79:$H$79</f>
            </numRef>
          </val>
        </ser>
        <ser>
          <idx val="12"/>
          <order val="12"/>
          <tx>
            <v>ahorro_desconocido</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λ'!$B$80:$H$80</f>
            </numRef>
          </val>
        </ser>
        <ser>
          <idx val="13"/>
          <order val="13"/>
          <tx>
            <v>vivienda_arriendo</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λ'!$B$81:$H$81</f>
            </numRef>
          </val>
        </ser>
        <ser>
          <idx val="14"/>
          <order val="14"/>
          <tx>
            <v>vivienda_gratis</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λ'!$B$82:$H$82</f>
            </numRef>
          </val>
        </ser>
        <ser>
          <idx val="15"/>
          <order val="15"/>
          <tx>
            <v>proposito_auto</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λ'!$B$83:$H$83</f>
            </numRef>
          </val>
        </ser>
        <ser>
          <idx val="16"/>
          <order val="16"/>
          <tx>
            <v>proposito_radio_tv</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λ'!$B$84:$H$84</f>
            </numRef>
          </val>
        </ser>
        <ser>
          <idx val="17"/>
          <order val="17"/>
          <tx>
            <v>proposito_muebles</v>
          </tx>
          <spPr>
            <a:ln xmlns:a="http://schemas.openxmlformats.org/drawingml/2006/main">
              <a:prstDash val="solid"/>
            </a:ln>
          </spPr>
          <marker>
            <symbol val="none"/>
            <spPr>
              <a:ln xmlns:a="http://schemas.openxmlformats.org/drawingml/2006/main">
                <a:prstDash val="solid"/>
              </a:ln>
            </spPr>
          </marker>
          <cat>
            <numRef>
              <f>'5 comparación según λ'!$B$66:$H$66</f>
            </numRef>
          </cat>
          <val>
            <numRef>
              <f>'5 comparación según λ'!$B$85:$H$85</f>
            </numRef>
          </val>
        </ser>
        <axId val="10"/>
        <axId val="100"/>
      </lineChart>
      <catAx>
        <axId val="10"/>
        <scaling>
          <orientation val="minMax"/>
        </scaling>
        <axPos val="l"/>
        <title>
          <tx>
            <rich>
              <a:bodyPr xmlns:a="http://schemas.openxmlformats.org/drawingml/2006/main"/>
              <a:p xmlns:a="http://schemas.openxmlformats.org/drawingml/2006/main">
                <a:pPr>
                  <a:defRPr/>
                </a:pPr>
                <a:r>
                  <a:t>λ</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theta</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Claude</author>
  </authors>
  <commentList>
    <comment ref="AE12" authorId="0" shapeId="0">
      <text>
        <t>El intercepto queda fuera de la penalización: solo fija el nivel base de la probabilidad y no dice nada sobre ninguna variable.</t>
      </text>
    </comment>
    <comment ref="AC32" authorId="0" shapeId="0">
      <text>
        <t>Con λ = 0 esta hoja es el Excel base. Prueba 1, 3, 10, 30, 100, 300 y compara con la hoja 5. En scikit-learn el parámetro es C = 1/λ.</t>
      </text>
    </comment>
  </commentList>
</comments>
</file>

<file path=xl/comments/comment2.xml><?xml version="1.0" encoding="utf-8"?>
<comments xmlns="http://schemas.openxmlformats.org/spreadsheetml/2006/main">
  <authors>
    <author>Claude</author>
  </authors>
  <commentList>
    <comment ref="AE12" authorId="0" shapeId="0">
      <text>
        <t>El intercepto queda fuera de la penalización: solo fija el nivel base de la probabilidad y no dice nada sobre ninguna variable.</t>
      </text>
    </comment>
    <comment ref="AC32" authorId="0" shapeId="0">
      <text>
        <t>Con λ = 0 esta hoja es el Excel base. Prueba 1, 3, 10, 30, 100, 300 y compara con la hoja 5. En scikit-learn el parámetro es C = 1/λ.</t>
      </text>
    </comment>
  </commentList>
</comments>
</file>

<file path=xl/comments/comment3.xml><?xml version="1.0" encoding="utf-8"?>
<comments xmlns="http://schemas.openxmlformats.org/spreadsheetml/2006/main">
  <authors>
    <author>Claude</author>
  </authors>
  <commentList>
    <comment ref="AE12" authorId="0" shapeId="0">
      <text>
        <t>El intercepto queda fuera de la penalización: solo fija el nivel base de la probabilidad y no dice nada sobre ninguna variable.</t>
      </text>
    </comment>
    <comment ref="AC32" authorId="0" shapeId="0">
      <text>
        <t>Con λ = 0 esta hoja es el Excel base. Prueba 1, 3, 10, 30, 100, 300 y compara con la hoja 5. En scikit-learn el parámetro es C = 1/λ.</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10</col>
      <colOff>0</colOff>
      <row>4</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34</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64</row>
      <rowOff>0</rowOff>
    </from>
    <ext cx="648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5" customWidth="1" min="1" max="1"/>
  </cols>
  <sheetData>
    <row r="1">
      <c r="A1" s="1" t="inlineStr">
        <is>
          <t>Regresión logística con regularización: L2 (ridge), L1 (lasso) y elastic net, sobre german credit</t>
        </is>
      </c>
    </row>
    <row r="2" ht="18.5" customHeight="1">
      <c r="A2" s="2" t="inlineStr">
        <is>
          <t>Preparado por David Díaz, con asistencia de Claude (Anthropic).</t>
        </is>
      </c>
    </row>
    <row r="3">
      <c r="A3" t="inlineStr"/>
    </row>
    <row r="4" ht="65" customHeight="1">
      <c r="A4" s="2" t="inlineStr">
        <is>
          <t>Este archivo es la variante con regularización del Excel base (logistica_01_german_credit.xlsx). Usa exactamente los mismos 1.000 clientes, las mismas 18 columnas ya transformadas y escaladas y la misma partición 700 training / 300 testing; la hoja 1 los trae como valores para no repetir la preparación. Lo único que cambia es la función de costo que Solver minimiza.</t>
        </is>
      </c>
    </row>
    <row r="5" ht="127" customHeight="1">
      <c r="A5" s="2" t="inlineStr">
        <is>
          <t>La idea viene de las clases de regresión lineal: cuando un modelo tiene libertad para mover muchos pesos, tiende a ajustarse al ruido de training, y una forma de frenarlo es cobrarle por el tamaño de los pesos. Con la logística es igual de fácil: a la suma de la entropía cruzada le agregamos un término de penalización, y ese término es lo que distingue a ridge, lasso y elastic net. Ridge (L2) cobra λ/2 por la suma de los pesos al cuadrado: encoge todos los pesos hacia cero, más a los grandes, pero nunca los deja exactamente en cero. Lasso (L1) cobra λ por la suma de los valores absolutos: también encoge, pero además deja pesos exactamente en cero, es decir, elimina variables. Elastic net mezcla las dos con un parámetro α que dice qué fracción del castigo es L1. El intercepto nunca se penaliza: no dice nada sobre ninguna variable, solo fija el nivel base.</t>
        </is>
      </c>
    </row>
    <row r="6" ht="96" customHeight="1">
      <c r="A6" s="2" t="inlineStr">
        <is>
          <t>Cada hoja de modelo (2, 3 y 4) tiene la tabla de clientes con Z, p y pérdida, el bloque de pesos en celeste, la celda λ en celeste, el término de penalización calculado a la vista y la función de costo J = suma de pérdidas en training + penalización, que es la celda objetivo de Solver. Los pesos parten desde la solución sin regularizar (el óptimo del Excel base), así que Solver solo tiene que encoger. Con λ = 0 cada hoja reproduce el Excel base; con λ grande los pesos se van a cero y el modelo se vuelve el de 'todos pagan'. Al lado quedan la matriz de confusión y el reporte en testing, y la referencia de scikit-learn para la misma λ.</t>
        </is>
      </c>
    </row>
    <row r="7" ht="111.5" customHeight="1">
      <c r="A7" s="2" t="inlineStr">
        <is>
          <t>La hoja 5 compara los tres métodos para varios valores de λ, con los pesos calculados en Python (gris): la trayectoria de cada peso a medida que λ crece (el gráfico clásico de regularización), y la pérdida y el AUC en training y en testing. Lo que muestra es honesto y conviene decirlo tal cual: en esta base, con 700 clientes y 18 variables, el sobreajuste de la logística sin regularizar es leve, así que la regularización casi no mejora el desempeño en testing; lo que sí hace es estabilizar los pesos y, con L1, dejar un modelo con menos variables que rinde casi igual. Regularizar sirve mucho cuando hay muchas variables respecto de las filas, o variables muy correlacionadas, o polinomios; aquí sirve sobre todo para entender la mecánica.</t>
        </is>
      </c>
    </row>
    <row r="8" ht="65" customHeight="1">
      <c r="A8" s="2" t="inlineStr">
        <is>
          <t>Un detalle de escala que importa para comparar con scikit-learn: su parámetro es C = 1 / λ, y penaliza la suma de las pérdidas (no el promedio), que es exactamente como está planteado J en estas hojas. Por eso los pesos de referencia coinciden con los de Solver para la misma λ. Solver con L1 tiene una dificultad real: el valor absoluto no es derivable en cero, y GRG puede dejar pesos en 0,001 en vez de 0; hay que leer esos pesos como cero.</t>
        </is>
      </c>
    </row>
    <row r="9" ht="34" customHeight="1">
      <c r="A9" s="2" t="inlineStr">
        <is>
          <t>Colores: celeste son parámetros (pesos, λ, α, umbral), amarillo cálculos intermedios, verde resultados, gris valores que vienen de Python.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1" customWidth="1" min="1" max="1"/>
    <col width="7" customWidth="1" min="2" max="2"/>
    <col width="21" customWidth="1" min="3" max="3"/>
    <col width="21" customWidth="1" min="4" max="4"/>
    <col width="21" customWidth="1" min="5" max="5"/>
    <col width="21" customWidth="1" min="6" max="6"/>
    <col width="13" customWidth="1" min="7" max="7"/>
    <col width="10" customWidth="1" min="8" max="8"/>
    <col width="14" customWidth="1" min="9" max="9"/>
    <col width="13" customWidth="1" min="10" max="10"/>
    <col width="13" customWidth="1" min="11" max="11"/>
    <col width="18" customWidth="1" min="12" max="12"/>
    <col width="16" customWidth="1" min="13" max="13"/>
    <col width="18" customWidth="1" min="14" max="14"/>
    <col width="19" customWidth="1" min="15" max="15"/>
    <col width="18" customWidth="1" min="16" max="16"/>
    <col width="16" customWidth="1" min="17" max="17"/>
    <col width="15" customWidth="1" min="18" max="18"/>
    <col width="19" customWidth="1" min="19" max="19"/>
    <col width="18" customWidth="1" min="20" max="20"/>
    <col width="9" customWidth="1" min="21" max="21"/>
  </cols>
  <sheetData>
    <row r="1">
      <c r="A1" s="3" t="inlineStr">
        <is>
          <t>Los 1.000 clientes ya transformados y escalados (valores; la preparación está en el Excel base, hojas 2 y 3)</t>
        </is>
      </c>
    </row>
    <row r="2" ht="49.5" customHeight="1">
      <c r="A2" s="2" t="inlineStr">
        <is>
          <t>Mismas columnas y misma partición que logistica_01_german_credit.xlsx: y = 1 si mal pagador; cuatro numéricas escaladas con media y desviación de training; 14 columnas 0/1 con su categoría base; columna conjunto con 700 training y 300 testing. Aquí vienen pegados como valores para que este archivo se pueda abrir solo.</t>
        </is>
      </c>
    </row>
    <row r="3"/>
    <row r="4">
      <c r="A4" s="4" t="inlineStr">
        <is>
          <t>id</t>
        </is>
      </c>
      <c r="B4" s="4" t="inlineStr">
        <is>
          <t>y</t>
        </is>
      </c>
      <c r="C4" s="4" t="inlineStr">
        <is>
          <t>duracion</t>
        </is>
      </c>
      <c r="D4" s="4" t="inlineStr">
        <is>
          <t>monto</t>
        </is>
      </c>
      <c r="E4" s="4" t="inlineStr">
        <is>
          <t>edad</t>
        </is>
      </c>
      <c r="F4" s="4" t="inlineStr">
        <is>
          <t>cuota_pct_ingreso</t>
        </is>
      </c>
      <c r="G4" s="4" t="inlineStr">
        <is>
          <t>cta_negativa</t>
        </is>
      </c>
      <c r="H4" s="4" t="inlineStr">
        <is>
          <t>cta_0_200</t>
        </is>
      </c>
      <c r="I4" s="4" t="inlineStr">
        <is>
          <t>cta_sobre_200</t>
        </is>
      </c>
      <c r="J4" s="4" t="inlineStr">
        <is>
          <t>hist_critico</t>
        </is>
      </c>
      <c r="K4" s="4" t="inlineStr">
        <is>
          <t>hist_atrasos</t>
        </is>
      </c>
      <c r="L4" s="4" t="inlineStr">
        <is>
          <t>hist_sin_creditos</t>
        </is>
      </c>
      <c r="M4" s="4" t="inlineStr">
        <is>
          <t>ahorro_100_1000</t>
        </is>
      </c>
      <c r="N4" s="4" t="inlineStr">
        <is>
          <t>ahorro_sobre_1000</t>
        </is>
      </c>
      <c r="O4" s="4" t="inlineStr">
        <is>
          <t>ahorro_desconocido</t>
        </is>
      </c>
      <c r="P4" s="4" t="inlineStr">
        <is>
          <t>vivienda_arriendo</t>
        </is>
      </c>
      <c r="Q4" s="4" t="inlineStr">
        <is>
          <t>vivienda_gratis</t>
        </is>
      </c>
      <c r="R4" s="4" t="inlineStr">
        <is>
          <t>proposito_auto</t>
        </is>
      </c>
      <c r="S4" s="4" t="inlineStr">
        <is>
          <t>proposito_radio_tv</t>
        </is>
      </c>
      <c r="T4" s="4" t="inlineStr">
        <is>
          <t>proposito_muebles</t>
        </is>
      </c>
      <c r="U4" s="4" t="inlineStr">
        <is>
          <t>conjunto</t>
        </is>
      </c>
    </row>
    <row r="5">
      <c r="A5" s="5" t="n">
        <v>1</v>
      </c>
      <c r="B5" s="5" t="n">
        <v>0</v>
      </c>
      <c r="C5" s="6" t="n">
        <v>-1.241254722473026</v>
      </c>
      <c r="D5" s="6" t="n">
        <v>-0.7283702210177497</v>
      </c>
      <c r="E5" s="6" t="n">
        <v>2.73617123115932</v>
      </c>
      <c r="F5" s="6" t="n">
        <v>0.9185437189662378</v>
      </c>
      <c r="G5" s="5" t="n">
        <v>1</v>
      </c>
      <c r="H5" s="5" t="n">
        <v>0</v>
      </c>
      <c r="I5" s="5" t="n">
        <v>0</v>
      </c>
      <c r="J5" s="5" t="n">
        <v>1</v>
      </c>
      <c r="K5" s="5" t="n">
        <v>0</v>
      </c>
      <c r="L5" s="5" t="n">
        <v>0</v>
      </c>
      <c r="M5" s="5" t="n">
        <v>0</v>
      </c>
      <c r="N5" s="5" t="n">
        <v>0</v>
      </c>
      <c r="O5" s="5" t="n">
        <v>1</v>
      </c>
      <c r="P5" s="5" t="n">
        <v>0</v>
      </c>
      <c r="Q5" s="5" t="n">
        <v>0</v>
      </c>
      <c r="R5" s="5" t="n">
        <v>0</v>
      </c>
      <c r="S5" s="5" t="n">
        <v>1</v>
      </c>
      <c r="T5" s="5" t="n">
        <v>0</v>
      </c>
      <c r="U5" s="5" t="inlineStr">
        <is>
          <t>training</t>
        </is>
      </c>
    </row>
    <row r="6">
      <c r="A6" s="5" t="n">
        <v>2</v>
      </c>
      <c r="B6" s="5" t="n">
        <v>1</v>
      </c>
      <c r="C6" s="6" t="n">
        <v>2.297621231823615</v>
      </c>
      <c r="D6" s="6" t="n">
        <v>0.9448168701619106</v>
      </c>
      <c r="E6" s="6" t="n">
        <v>-1.177614700251023</v>
      </c>
      <c r="F6" s="6" t="n">
        <v>-0.8850484360866833</v>
      </c>
      <c r="G6" s="5" t="n">
        <v>0</v>
      </c>
      <c r="H6" s="5" t="n">
        <v>1</v>
      </c>
      <c r="I6" s="5" t="n">
        <v>0</v>
      </c>
      <c r="J6" s="5" t="n">
        <v>0</v>
      </c>
      <c r="K6" s="5" t="n">
        <v>0</v>
      </c>
      <c r="L6" s="5" t="n">
        <v>0</v>
      </c>
      <c r="M6" s="5" t="n">
        <v>0</v>
      </c>
      <c r="N6" s="5" t="n">
        <v>0</v>
      </c>
      <c r="O6" s="5" t="n">
        <v>0</v>
      </c>
      <c r="P6" s="5" t="n">
        <v>0</v>
      </c>
      <c r="Q6" s="5" t="n">
        <v>0</v>
      </c>
      <c r="R6" s="5" t="n">
        <v>0</v>
      </c>
      <c r="S6" s="5" t="n">
        <v>1</v>
      </c>
      <c r="T6" s="5" t="n">
        <v>0</v>
      </c>
      <c r="U6" s="5" t="inlineStr">
        <is>
          <t>training</t>
        </is>
      </c>
    </row>
    <row r="7">
      <c r="A7" s="5" t="n">
        <v>3</v>
      </c>
      <c r="B7" s="5" t="n">
        <v>0</v>
      </c>
      <c r="C7" s="6" t="n">
        <v>-0.7357010147163632</v>
      </c>
      <c r="D7" s="6" t="n">
        <v>-0.4040196493900741</v>
      </c>
      <c r="E7" s="6" t="n">
        <v>1.170656858595183</v>
      </c>
      <c r="F7" s="6" t="n">
        <v>-0.8850484360866833</v>
      </c>
      <c r="G7" s="5" t="n">
        <v>0</v>
      </c>
      <c r="H7" s="5" t="n">
        <v>0</v>
      </c>
      <c r="I7" s="5" t="n">
        <v>0</v>
      </c>
      <c r="J7" s="5" t="n">
        <v>1</v>
      </c>
      <c r="K7" s="5" t="n">
        <v>0</v>
      </c>
      <c r="L7" s="5" t="n">
        <v>0</v>
      </c>
      <c r="M7" s="5" t="n">
        <v>0</v>
      </c>
      <c r="N7" s="5" t="n">
        <v>0</v>
      </c>
      <c r="O7" s="5" t="n">
        <v>0</v>
      </c>
      <c r="P7" s="5" t="n">
        <v>0</v>
      </c>
      <c r="Q7" s="5" t="n">
        <v>0</v>
      </c>
      <c r="R7" s="5" t="n">
        <v>0</v>
      </c>
      <c r="S7" s="5" t="n">
        <v>0</v>
      </c>
      <c r="T7" s="5" t="n">
        <v>0</v>
      </c>
      <c r="U7" s="5" t="inlineStr">
        <is>
          <t>training</t>
        </is>
      </c>
    </row>
    <row r="8">
      <c r="A8" s="5" t="n">
        <v>4</v>
      </c>
      <c r="B8" s="5" t="n">
        <v>0</v>
      </c>
      <c r="C8" s="6" t="n">
        <v>1.792067524066952</v>
      </c>
      <c r="D8" s="6" t="n">
        <v>1.620459754534124</v>
      </c>
      <c r="E8" s="6" t="n">
        <v>0.8227647758031523</v>
      </c>
      <c r="F8" s="6" t="n">
        <v>-0.8850484360866833</v>
      </c>
      <c r="G8" s="5" t="n">
        <v>1</v>
      </c>
      <c r="H8" s="5" t="n">
        <v>0</v>
      </c>
      <c r="I8" s="5" t="n">
        <v>0</v>
      </c>
      <c r="J8" s="5" t="n">
        <v>0</v>
      </c>
      <c r="K8" s="5" t="n">
        <v>0</v>
      </c>
      <c r="L8" s="5" t="n">
        <v>0</v>
      </c>
      <c r="M8" s="5" t="n">
        <v>0</v>
      </c>
      <c r="N8" s="5" t="n">
        <v>0</v>
      </c>
      <c r="O8" s="5" t="n">
        <v>0</v>
      </c>
      <c r="P8" s="5" t="n">
        <v>0</v>
      </c>
      <c r="Q8" s="5" t="n">
        <v>1</v>
      </c>
      <c r="R8" s="5" t="n">
        <v>0</v>
      </c>
      <c r="S8" s="5" t="n">
        <v>0</v>
      </c>
      <c r="T8" s="5" t="n">
        <v>1</v>
      </c>
      <c r="U8" s="5" t="inlineStr">
        <is>
          <t>testing</t>
        </is>
      </c>
    </row>
    <row r="9">
      <c r="A9" s="5" t="n">
        <v>5</v>
      </c>
      <c r="B9" s="5" t="n">
        <v>1</v>
      </c>
      <c r="C9" s="6" t="n">
        <v>0.275406400796963</v>
      </c>
      <c r="D9" s="6" t="n">
        <v>0.5665828163005111</v>
      </c>
      <c r="E9" s="6" t="n">
        <v>1.518548941387213</v>
      </c>
      <c r="F9" s="6" t="n">
        <v>0.01674764143977723</v>
      </c>
      <c r="G9" s="5" t="n">
        <v>1</v>
      </c>
      <c r="H9" s="5" t="n">
        <v>0</v>
      </c>
      <c r="I9" s="5" t="n">
        <v>0</v>
      </c>
      <c r="J9" s="5" t="n">
        <v>0</v>
      </c>
      <c r="K9" s="5" t="n">
        <v>1</v>
      </c>
      <c r="L9" s="5" t="n">
        <v>0</v>
      </c>
      <c r="M9" s="5" t="n">
        <v>0</v>
      </c>
      <c r="N9" s="5" t="n">
        <v>0</v>
      </c>
      <c r="O9" s="5" t="n">
        <v>0</v>
      </c>
      <c r="P9" s="5" t="n">
        <v>0</v>
      </c>
      <c r="Q9" s="5" t="n">
        <v>1</v>
      </c>
      <c r="R9" s="5" t="n">
        <v>1</v>
      </c>
      <c r="S9" s="5" t="n">
        <v>0</v>
      </c>
      <c r="T9" s="5" t="n">
        <v>0</v>
      </c>
      <c r="U9" s="5" t="inlineStr">
        <is>
          <t>training</t>
        </is>
      </c>
    </row>
    <row r="10">
      <c r="A10" s="5" t="n">
        <v>6</v>
      </c>
      <c r="B10" s="5" t="n">
        <v>0</v>
      </c>
      <c r="C10" s="6" t="n">
        <v>1.286513816310289</v>
      </c>
      <c r="D10" s="6" t="n">
        <v>2.030883940639047</v>
      </c>
      <c r="E10" s="6" t="n">
        <v>-0.04696543117692405</v>
      </c>
      <c r="F10" s="6" t="n">
        <v>-0.8850484360866833</v>
      </c>
      <c r="G10" s="5" t="n">
        <v>0</v>
      </c>
      <c r="H10" s="5" t="n">
        <v>0</v>
      </c>
      <c r="I10" s="5" t="n">
        <v>0</v>
      </c>
      <c r="J10" s="5" t="n">
        <v>0</v>
      </c>
      <c r="K10" s="5" t="n">
        <v>0</v>
      </c>
      <c r="L10" s="5" t="n">
        <v>0</v>
      </c>
      <c r="M10" s="5" t="n">
        <v>0</v>
      </c>
      <c r="N10" s="5" t="n">
        <v>0</v>
      </c>
      <c r="O10" s="5" t="n">
        <v>1</v>
      </c>
      <c r="P10" s="5" t="n">
        <v>0</v>
      </c>
      <c r="Q10" s="5" t="n">
        <v>1</v>
      </c>
      <c r="R10" s="5" t="n">
        <v>0</v>
      </c>
      <c r="S10" s="5" t="n">
        <v>0</v>
      </c>
      <c r="T10" s="5" t="n">
        <v>0</v>
      </c>
      <c r="U10" s="5" t="inlineStr">
        <is>
          <t>testing</t>
        </is>
      </c>
    </row>
    <row r="11">
      <c r="A11" s="5" t="n">
        <v>7</v>
      </c>
      <c r="B11" s="5" t="n">
        <v>0</v>
      </c>
      <c r="C11" s="6" t="n">
        <v>0.275406400796963</v>
      </c>
      <c r="D11" s="6" t="n">
        <v>-0.1454489132165548</v>
      </c>
      <c r="E11" s="6" t="n">
        <v>1.518548941387213</v>
      </c>
      <c r="F11" s="6" t="n">
        <v>0.01674764143977723</v>
      </c>
      <c r="G11" s="5" t="n">
        <v>0</v>
      </c>
      <c r="H11" s="5" t="n">
        <v>0</v>
      </c>
      <c r="I11" s="5" t="n">
        <v>0</v>
      </c>
      <c r="J11" s="5" t="n">
        <v>0</v>
      </c>
      <c r="K11" s="5" t="n">
        <v>0</v>
      </c>
      <c r="L11" s="5" t="n">
        <v>0</v>
      </c>
      <c r="M11" s="5" t="n">
        <v>1</v>
      </c>
      <c r="N11" s="5" t="n">
        <v>0</v>
      </c>
      <c r="O11" s="5" t="n">
        <v>0</v>
      </c>
      <c r="P11" s="5" t="n">
        <v>0</v>
      </c>
      <c r="Q11" s="5" t="n">
        <v>0</v>
      </c>
      <c r="R11" s="5" t="n">
        <v>0</v>
      </c>
      <c r="S11" s="5" t="n">
        <v>0</v>
      </c>
      <c r="T11" s="5" t="n">
        <v>1</v>
      </c>
      <c r="U11" s="5" t="inlineStr">
        <is>
          <t>training</t>
        </is>
      </c>
    </row>
    <row r="12">
      <c r="A12" s="5" t="n">
        <v>8</v>
      </c>
      <c r="B12" s="5" t="n">
        <v>0</v>
      </c>
      <c r="C12" s="6" t="n">
        <v>1.286513816310289</v>
      </c>
      <c r="D12" s="6" t="n">
        <v>1.293659933714006</v>
      </c>
      <c r="E12" s="6" t="n">
        <v>-0.04696543117692405</v>
      </c>
      <c r="F12" s="6" t="n">
        <v>-0.8850484360866833</v>
      </c>
      <c r="G12" s="5" t="n">
        <v>0</v>
      </c>
      <c r="H12" s="5" t="n">
        <v>1</v>
      </c>
      <c r="I12" s="5" t="n">
        <v>0</v>
      </c>
      <c r="J12" s="5" t="n">
        <v>0</v>
      </c>
      <c r="K12" s="5" t="n">
        <v>0</v>
      </c>
      <c r="L12" s="5" t="n">
        <v>0</v>
      </c>
      <c r="M12" s="5" t="n">
        <v>0</v>
      </c>
      <c r="N12" s="5" t="n">
        <v>0</v>
      </c>
      <c r="O12" s="5" t="n">
        <v>0</v>
      </c>
      <c r="P12" s="5" t="n">
        <v>1</v>
      </c>
      <c r="Q12" s="5" t="n">
        <v>0</v>
      </c>
      <c r="R12" s="5" t="n">
        <v>1</v>
      </c>
      <c r="S12" s="5" t="n">
        <v>0</v>
      </c>
      <c r="T12" s="5" t="n">
        <v>0</v>
      </c>
      <c r="U12" s="5" t="inlineStr">
        <is>
          <t>training</t>
        </is>
      </c>
    </row>
    <row r="13">
      <c r="A13" s="5" t="n">
        <v>9</v>
      </c>
      <c r="B13" s="5" t="n">
        <v>0</v>
      </c>
      <c r="C13" s="6" t="n">
        <v>-0.7357010147163632</v>
      </c>
      <c r="D13" s="6" t="n">
        <v>-0.06707293905841095</v>
      </c>
      <c r="E13" s="6" t="n">
        <v>2.214333106971274</v>
      </c>
      <c r="F13" s="6" t="n">
        <v>-0.8850484360866833</v>
      </c>
      <c r="G13" s="5" t="n">
        <v>0</v>
      </c>
      <c r="H13" s="5" t="n">
        <v>0</v>
      </c>
      <c r="I13" s="5" t="n">
        <v>0</v>
      </c>
      <c r="J13" s="5" t="n">
        <v>0</v>
      </c>
      <c r="K13" s="5" t="n">
        <v>0</v>
      </c>
      <c r="L13" s="5" t="n">
        <v>0</v>
      </c>
      <c r="M13" s="5" t="n">
        <v>0</v>
      </c>
      <c r="N13" s="5" t="n">
        <v>1</v>
      </c>
      <c r="O13" s="5" t="n">
        <v>0</v>
      </c>
      <c r="P13" s="5" t="n">
        <v>0</v>
      </c>
      <c r="Q13" s="5" t="n">
        <v>0</v>
      </c>
      <c r="R13" s="5" t="n">
        <v>0</v>
      </c>
      <c r="S13" s="5" t="n">
        <v>1</v>
      </c>
      <c r="T13" s="5" t="n">
        <v>0</v>
      </c>
      <c r="U13" s="5" t="inlineStr">
        <is>
          <t>training</t>
        </is>
      </c>
    </row>
    <row r="14">
      <c r="A14" s="5" t="n">
        <v>10</v>
      </c>
      <c r="B14" s="5" t="n">
        <v>1</v>
      </c>
      <c r="C14" s="6" t="n">
        <v>0.7809601085536261</v>
      </c>
      <c r="D14" s="6" t="n">
        <v>0.6939437743074949</v>
      </c>
      <c r="E14" s="6" t="n">
        <v>-0.6557765760629775</v>
      </c>
      <c r="F14" s="6" t="n">
        <v>0.9185437189662378</v>
      </c>
      <c r="G14" s="5" t="n">
        <v>0</v>
      </c>
      <c r="H14" s="5" t="n">
        <v>1</v>
      </c>
      <c r="I14" s="5" t="n">
        <v>0</v>
      </c>
      <c r="J14" s="5" t="n">
        <v>1</v>
      </c>
      <c r="K14" s="5" t="n">
        <v>0</v>
      </c>
      <c r="L14" s="5" t="n">
        <v>0</v>
      </c>
      <c r="M14" s="5" t="n">
        <v>0</v>
      </c>
      <c r="N14" s="5" t="n">
        <v>0</v>
      </c>
      <c r="O14" s="5" t="n">
        <v>0</v>
      </c>
      <c r="P14" s="5" t="n">
        <v>0</v>
      </c>
      <c r="Q14" s="5" t="n">
        <v>0</v>
      </c>
      <c r="R14" s="5" t="n">
        <v>1</v>
      </c>
      <c r="S14" s="5" t="n">
        <v>0</v>
      </c>
      <c r="T14" s="5" t="n">
        <v>0</v>
      </c>
      <c r="U14" s="5" t="inlineStr">
        <is>
          <t>training</t>
        </is>
      </c>
    </row>
    <row r="15">
      <c r="A15" s="5" t="n">
        <v>11</v>
      </c>
      <c r="B15" s="5" t="n">
        <v>1</v>
      </c>
      <c r="C15" s="6" t="n">
        <v>-0.7357010147163632</v>
      </c>
      <c r="D15" s="6" t="n">
        <v>-0.6842837355537938</v>
      </c>
      <c r="E15" s="6" t="n">
        <v>-0.9166956381570004</v>
      </c>
      <c r="F15" s="6" t="n">
        <v>0.01674764143977723</v>
      </c>
      <c r="G15" s="5" t="n">
        <v>0</v>
      </c>
      <c r="H15" s="5" t="n">
        <v>1</v>
      </c>
      <c r="I15" s="5" t="n">
        <v>0</v>
      </c>
      <c r="J15" s="5" t="n">
        <v>0</v>
      </c>
      <c r="K15" s="5" t="n">
        <v>0</v>
      </c>
      <c r="L15" s="5" t="n">
        <v>0</v>
      </c>
      <c r="M15" s="5" t="n">
        <v>0</v>
      </c>
      <c r="N15" s="5" t="n">
        <v>0</v>
      </c>
      <c r="O15" s="5" t="n">
        <v>0</v>
      </c>
      <c r="P15" s="5" t="n">
        <v>1</v>
      </c>
      <c r="Q15" s="5" t="n">
        <v>0</v>
      </c>
      <c r="R15" s="5" t="n">
        <v>1</v>
      </c>
      <c r="S15" s="5" t="n">
        <v>0</v>
      </c>
      <c r="T15" s="5" t="n">
        <v>0</v>
      </c>
      <c r="U15" s="5" t="inlineStr">
        <is>
          <t>training</t>
        </is>
      </c>
    </row>
    <row r="16">
      <c r="A16" s="5" t="n">
        <v>12</v>
      </c>
      <c r="B16" s="5" t="n">
        <v>1</v>
      </c>
      <c r="C16" s="6" t="n">
        <v>2.297621231823615</v>
      </c>
      <c r="D16" s="6" t="n">
        <v>0.3699430954215965</v>
      </c>
      <c r="E16" s="6" t="n">
        <v>-1.003668658855008</v>
      </c>
      <c r="F16" s="6" t="n">
        <v>0.01674764143977723</v>
      </c>
      <c r="G16" s="5" t="n">
        <v>1</v>
      </c>
      <c r="H16" s="5" t="n">
        <v>0</v>
      </c>
      <c r="I16" s="5" t="n">
        <v>0</v>
      </c>
      <c r="J16" s="5" t="n">
        <v>0</v>
      </c>
      <c r="K16" s="5" t="n">
        <v>0</v>
      </c>
      <c r="L16" s="5" t="n">
        <v>0</v>
      </c>
      <c r="M16" s="5" t="n">
        <v>0</v>
      </c>
      <c r="N16" s="5" t="n">
        <v>0</v>
      </c>
      <c r="O16" s="5" t="n">
        <v>0</v>
      </c>
      <c r="P16" s="5" t="n">
        <v>1</v>
      </c>
      <c r="Q16" s="5" t="n">
        <v>0</v>
      </c>
      <c r="R16" s="5" t="n">
        <v>0</v>
      </c>
      <c r="S16" s="5" t="n">
        <v>0</v>
      </c>
      <c r="T16" s="5" t="n">
        <v>0</v>
      </c>
      <c r="U16" s="5" t="inlineStr">
        <is>
          <t>training</t>
        </is>
      </c>
    </row>
    <row r="17">
      <c r="A17" s="5" t="n">
        <v>13</v>
      </c>
      <c r="B17" s="5" t="n">
        <v>0</v>
      </c>
      <c r="C17" s="6" t="n">
        <v>-0.7357010147163632</v>
      </c>
      <c r="D17" s="6" t="n">
        <v>-0.5891129097903335</v>
      </c>
      <c r="E17" s="6" t="n">
        <v>-1.177614700251023</v>
      </c>
      <c r="F17" s="6" t="n">
        <v>-1.786844513613144</v>
      </c>
      <c r="G17" s="5" t="n">
        <v>0</v>
      </c>
      <c r="H17" s="5" t="n">
        <v>1</v>
      </c>
      <c r="I17" s="5" t="n">
        <v>0</v>
      </c>
      <c r="J17" s="5" t="n">
        <v>0</v>
      </c>
      <c r="K17" s="5" t="n">
        <v>0</v>
      </c>
      <c r="L17" s="5" t="n">
        <v>0</v>
      </c>
      <c r="M17" s="5" t="n">
        <v>0</v>
      </c>
      <c r="N17" s="5" t="n">
        <v>0</v>
      </c>
      <c r="O17" s="5" t="n">
        <v>0</v>
      </c>
      <c r="P17" s="5" t="n">
        <v>0</v>
      </c>
      <c r="Q17" s="5" t="n">
        <v>0</v>
      </c>
      <c r="R17" s="5" t="n">
        <v>0</v>
      </c>
      <c r="S17" s="5" t="n">
        <v>1</v>
      </c>
      <c r="T17" s="5" t="n">
        <v>0</v>
      </c>
      <c r="U17" s="5" t="inlineStr">
        <is>
          <t>training</t>
        </is>
      </c>
    </row>
    <row r="18">
      <c r="A18" s="5" t="n">
        <v>14</v>
      </c>
      <c r="B18" s="5" t="n">
        <v>1</v>
      </c>
      <c r="C18" s="6" t="n">
        <v>0.275406400796963</v>
      </c>
      <c r="D18" s="6" t="n">
        <v>-0.7178734387644269</v>
      </c>
      <c r="E18" s="6" t="n">
        <v>2.127360086273267</v>
      </c>
      <c r="F18" s="6" t="n">
        <v>0.9185437189662378</v>
      </c>
      <c r="G18" s="5" t="n">
        <v>1</v>
      </c>
      <c r="H18" s="5" t="n">
        <v>0</v>
      </c>
      <c r="I18" s="5" t="n">
        <v>0</v>
      </c>
      <c r="J18" s="5" t="n">
        <v>1</v>
      </c>
      <c r="K18" s="5" t="n">
        <v>0</v>
      </c>
      <c r="L18" s="5" t="n">
        <v>0</v>
      </c>
      <c r="M18" s="5" t="n">
        <v>0</v>
      </c>
      <c r="N18" s="5" t="n">
        <v>0</v>
      </c>
      <c r="O18" s="5" t="n">
        <v>0</v>
      </c>
      <c r="P18" s="5" t="n">
        <v>0</v>
      </c>
      <c r="Q18" s="5" t="n">
        <v>0</v>
      </c>
      <c r="R18" s="5" t="n">
        <v>1</v>
      </c>
      <c r="S18" s="5" t="n">
        <v>0</v>
      </c>
      <c r="T18" s="5" t="n">
        <v>0</v>
      </c>
      <c r="U18" s="5" t="inlineStr">
        <is>
          <t>training</t>
        </is>
      </c>
    </row>
    <row r="19">
      <c r="A19" s="5" t="n">
        <v>15</v>
      </c>
      <c r="B19" s="5" t="n">
        <v>0</v>
      </c>
      <c r="C19" s="6" t="n">
        <v>-0.4829241608380317</v>
      </c>
      <c r="D19" s="6" t="n">
        <v>-0.6464953194418316</v>
      </c>
      <c r="E19" s="6" t="n">
        <v>-0.6557765760629775</v>
      </c>
      <c r="F19" s="6" t="n">
        <v>-0.8850484360866833</v>
      </c>
      <c r="G19" s="5" t="n">
        <v>1</v>
      </c>
      <c r="H19" s="5" t="n">
        <v>0</v>
      </c>
      <c r="I19" s="5" t="n">
        <v>0</v>
      </c>
      <c r="J19" s="5" t="n">
        <v>0</v>
      </c>
      <c r="K19" s="5" t="n">
        <v>0</v>
      </c>
      <c r="L19" s="5" t="n">
        <v>0</v>
      </c>
      <c r="M19" s="5" t="n">
        <v>0</v>
      </c>
      <c r="N19" s="5" t="n">
        <v>0</v>
      </c>
      <c r="O19" s="5" t="n">
        <v>0</v>
      </c>
      <c r="P19" s="5" t="n">
        <v>1</v>
      </c>
      <c r="Q19" s="5" t="n">
        <v>0</v>
      </c>
      <c r="R19" s="5" t="n">
        <v>1</v>
      </c>
      <c r="S19" s="5" t="n">
        <v>0</v>
      </c>
      <c r="T19" s="5" t="n">
        <v>0</v>
      </c>
      <c r="U19" s="5" t="inlineStr">
        <is>
          <t>testing</t>
        </is>
      </c>
    </row>
    <row r="20">
      <c r="A20" s="5" t="n">
        <v>16</v>
      </c>
      <c r="B20" s="5" t="n">
        <v>1</v>
      </c>
      <c r="C20" s="6" t="n">
        <v>0.275406400796963</v>
      </c>
      <c r="D20" s="6" t="n">
        <v>-0.6888323411969004</v>
      </c>
      <c r="E20" s="6" t="n">
        <v>-0.307884493270947</v>
      </c>
      <c r="F20" s="6" t="n">
        <v>0.9185437189662378</v>
      </c>
      <c r="G20" s="5" t="n">
        <v>1</v>
      </c>
      <c r="H20" s="5" t="n">
        <v>0</v>
      </c>
      <c r="I20" s="5" t="n">
        <v>0</v>
      </c>
      <c r="J20" s="5" t="n">
        <v>0</v>
      </c>
      <c r="K20" s="5" t="n">
        <v>0</v>
      </c>
      <c r="L20" s="5" t="n">
        <v>0</v>
      </c>
      <c r="M20" s="5" t="n">
        <v>1</v>
      </c>
      <c r="N20" s="5" t="n">
        <v>0</v>
      </c>
      <c r="O20" s="5" t="n">
        <v>0</v>
      </c>
      <c r="P20" s="5" t="n">
        <v>0</v>
      </c>
      <c r="Q20" s="5" t="n">
        <v>0</v>
      </c>
      <c r="R20" s="5" t="n">
        <v>0</v>
      </c>
      <c r="S20" s="5" t="n">
        <v>1</v>
      </c>
      <c r="T20" s="5" t="n">
        <v>0</v>
      </c>
      <c r="U20" s="5" t="inlineStr">
        <is>
          <t>training</t>
        </is>
      </c>
    </row>
    <row r="21">
      <c r="A21" s="5" t="n">
        <v>17</v>
      </c>
      <c r="B21" s="5" t="n">
        <v>0</v>
      </c>
      <c r="C21" s="6" t="n">
        <v>0.275406400796963</v>
      </c>
      <c r="D21" s="6" t="n">
        <v>-0.2892548300870777</v>
      </c>
      <c r="E21" s="6" t="n">
        <v>1.518548941387213</v>
      </c>
      <c r="F21" s="6" t="n">
        <v>0.9185437189662378</v>
      </c>
      <c r="G21" s="5" t="n">
        <v>0</v>
      </c>
      <c r="H21" s="5" t="n">
        <v>0</v>
      </c>
      <c r="I21" s="5" t="n">
        <v>0</v>
      </c>
      <c r="J21" s="5" t="n">
        <v>1</v>
      </c>
      <c r="K21" s="5" t="n">
        <v>0</v>
      </c>
      <c r="L21" s="5" t="n">
        <v>0</v>
      </c>
      <c r="M21" s="5" t="n">
        <v>0</v>
      </c>
      <c r="N21" s="5" t="n">
        <v>0</v>
      </c>
      <c r="O21" s="5" t="n">
        <v>1</v>
      </c>
      <c r="P21" s="5" t="n">
        <v>0</v>
      </c>
      <c r="Q21" s="5" t="n">
        <v>0</v>
      </c>
      <c r="R21" s="5" t="n">
        <v>0</v>
      </c>
      <c r="S21" s="5" t="n">
        <v>1</v>
      </c>
      <c r="T21" s="5" t="n">
        <v>0</v>
      </c>
      <c r="U21" s="5" t="inlineStr">
        <is>
          <t>training</t>
        </is>
      </c>
    </row>
    <row r="22">
      <c r="A22" s="5" t="n">
        <v>18</v>
      </c>
      <c r="B22" s="5" t="n">
        <v>0</v>
      </c>
      <c r="C22" s="6" t="n">
        <v>0.7809601085536261</v>
      </c>
      <c r="D22" s="6" t="n">
        <v>1.686939375471836</v>
      </c>
      <c r="E22" s="6" t="n">
        <v>-0.9166956381570004</v>
      </c>
      <c r="F22" s="6" t="n">
        <v>-0.8850484360866833</v>
      </c>
      <c r="G22" s="5" t="n">
        <v>1</v>
      </c>
      <c r="H22" s="5" t="n">
        <v>0</v>
      </c>
      <c r="I22" s="5" t="n">
        <v>0</v>
      </c>
      <c r="J22" s="5" t="n">
        <v>0</v>
      </c>
      <c r="K22" s="5" t="n">
        <v>0</v>
      </c>
      <c r="L22" s="5" t="n">
        <v>1</v>
      </c>
      <c r="M22" s="5" t="n">
        <v>0</v>
      </c>
      <c r="N22" s="5" t="n">
        <v>0</v>
      </c>
      <c r="O22" s="5" t="n">
        <v>1</v>
      </c>
      <c r="P22" s="5" t="n">
        <v>0</v>
      </c>
      <c r="Q22" s="5" t="n">
        <v>0</v>
      </c>
      <c r="R22" s="5" t="n">
        <v>0</v>
      </c>
      <c r="S22" s="5" t="n">
        <v>0</v>
      </c>
      <c r="T22" s="5" t="n">
        <v>0</v>
      </c>
      <c r="U22" s="5" t="inlineStr">
        <is>
          <t>training</t>
        </is>
      </c>
    </row>
    <row r="23">
      <c r="A23" s="5" t="n">
        <v>19</v>
      </c>
      <c r="B23" s="5" t="n">
        <v>1</v>
      </c>
      <c r="C23" s="6" t="n">
        <v>0.275406400796963</v>
      </c>
      <c r="D23" s="6" t="n">
        <v>3.263905962662703</v>
      </c>
      <c r="E23" s="6" t="n">
        <v>0.7357917551051447</v>
      </c>
      <c r="F23" s="6" t="n">
        <v>0.9185437189662378</v>
      </c>
      <c r="G23" s="5" t="n">
        <v>0</v>
      </c>
      <c r="H23" s="5" t="n">
        <v>1</v>
      </c>
      <c r="I23" s="5" t="n">
        <v>0</v>
      </c>
      <c r="J23" s="5" t="n">
        <v>0</v>
      </c>
      <c r="K23" s="5" t="n">
        <v>0</v>
      </c>
      <c r="L23" s="5" t="n">
        <v>0</v>
      </c>
      <c r="M23" s="5" t="n">
        <v>0</v>
      </c>
      <c r="N23" s="5" t="n">
        <v>0</v>
      </c>
      <c r="O23" s="5" t="n">
        <v>0</v>
      </c>
      <c r="P23" s="5" t="n">
        <v>0</v>
      </c>
      <c r="Q23" s="5" t="n">
        <v>1</v>
      </c>
      <c r="R23" s="5" t="n">
        <v>1</v>
      </c>
      <c r="S23" s="5" t="n">
        <v>0</v>
      </c>
      <c r="T23" s="5" t="n">
        <v>0</v>
      </c>
      <c r="U23" s="5" t="inlineStr">
        <is>
          <t>training</t>
        </is>
      </c>
    </row>
    <row r="24">
      <c r="A24" s="5" t="n">
        <v>20</v>
      </c>
      <c r="B24" s="5" t="n">
        <v>0</v>
      </c>
      <c r="C24" s="6" t="n">
        <v>0.275406400796963</v>
      </c>
      <c r="D24" s="6" t="n">
        <v>0.06273726814101481</v>
      </c>
      <c r="E24" s="6" t="n">
        <v>-0.3948575139689546</v>
      </c>
      <c r="F24" s="6" t="n">
        <v>0.01674764143977723</v>
      </c>
      <c r="G24" s="5" t="n">
        <v>0</v>
      </c>
      <c r="H24" s="5" t="n">
        <v>0</v>
      </c>
      <c r="I24" s="5" t="n">
        <v>0</v>
      </c>
      <c r="J24" s="5" t="n">
        <v>0</v>
      </c>
      <c r="K24" s="5" t="n">
        <v>0</v>
      </c>
      <c r="L24" s="5" t="n">
        <v>0</v>
      </c>
      <c r="M24" s="5" t="n">
        <v>1</v>
      </c>
      <c r="N24" s="5" t="n">
        <v>0</v>
      </c>
      <c r="O24" s="5" t="n">
        <v>0</v>
      </c>
      <c r="P24" s="5" t="n">
        <v>0</v>
      </c>
      <c r="Q24" s="5" t="n">
        <v>0</v>
      </c>
      <c r="R24" s="5" t="n">
        <v>0</v>
      </c>
      <c r="S24" s="5" t="n">
        <v>1</v>
      </c>
      <c r="T24" s="5" t="n">
        <v>0</v>
      </c>
      <c r="U24" s="5" t="inlineStr">
        <is>
          <t>training</t>
        </is>
      </c>
    </row>
    <row r="25">
      <c r="A25" s="5" t="n">
        <v>21</v>
      </c>
      <c r="B25" s="5" t="n">
        <v>0</v>
      </c>
      <c r="C25" s="6" t="n">
        <v>-0.9884778685946948</v>
      </c>
      <c r="D25" s="6" t="n">
        <v>-0.3907237252025318</v>
      </c>
      <c r="E25" s="6" t="n">
        <v>1.083683837897175</v>
      </c>
      <c r="F25" s="6" t="n">
        <v>0.9185437189662378</v>
      </c>
      <c r="G25" s="5" t="n">
        <v>0</v>
      </c>
      <c r="H25" s="5" t="n">
        <v>0</v>
      </c>
      <c r="I25" s="5" t="n">
        <v>0</v>
      </c>
      <c r="J25" s="5" t="n">
        <v>1</v>
      </c>
      <c r="K25" s="5" t="n">
        <v>0</v>
      </c>
      <c r="L25" s="5" t="n">
        <v>0</v>
      </c>
      <c r="M25" s="5" t="n">
        <v>0</v>
      </c>
      <c r="N25" s="5" t="n">
        <v>0</v>
      </c>
      <c r="O25" s="5" t="n">
        <v>0</v>
      </c>
      <c r="P25" s="5" t="n">
        <v>0</v>
      </c>
      <c r="Q25" s="5" t="n">
        <v>0</v>
      </c>
      <c r="R25" s="5" t="n">
        <v>1</v>
      </c>
      <c r="S25" s="5" t="n">
        <v>0</v>
      </c>
      <c r="T25" s="5" t="n">
        <v>0</v>
      </c>
      <c r="U25" s="5" t="inlineStr">
        <is>
          <t>training</t>
        </is>
      </c>
    </row>
    <row r="26">
      <c r="A26" s="5" t="n">
        <v>22</v>
      </c>
      <c r="B26" s="5" t="n">
        <v>0</v>
      </c>
      <c r="C26" s="6" t="n">
        <v>-1.241254722473026</v>
      </c>
      <c r="D26" s="6" t="n">
        <v>-0.2112287486707113</v>
      </c>
      <c r="E26" s="6" t="n">
        <v>0.7357917551051447</v>
      </c>
      <c r="F26" s="6" t="n">
        <v>-0.8850484360866833</v>
      </c>
      <c r="G26" s="5" t="n">
        <v>1</v>
      </c>
      <c r="H26" s="5" t="n">
        <v>0</v>
      </c>
      <c r="I26" s="5" t="n">
        <v>0</v>
      </c>
      <c r="J26" s="5" t="n">
        <v>0</v>
      </c>
      <c r="K26" s="5" t="n">
        <v>0</v>
      </c>
      <c r="L26" s="5" t="n">
        <v>0</v>
      </c>
      <c r="M26" s="5" t="n">
        <v>1</v>
      </c>
      <c r="N26" s="5" t="n">
        <v>0</v>
      </c>
      <c r="O26" s="5" t="n">
        <v>0</v>
      </c>
      <c r="P26" s="5" t="n">
        <v>1</v>
      </c>
      <c r="Q26" s="5" t="n">
        <v>0</v>
      </c>
      <c r="R26" s="5" t="n">
        <v>0</v>
      </c>
      <c r="S26" s="5" t="n">
        <v>1</v>
      </c>
      <c r="T26" s="5" t="n">
        <v>0</v>
      </c>
      <c r="U26" s="5" t="inlineStr">
        <is>
          <t>testing</t>
        </is>
      </c>
    </row>
    <row r="27">
      <c r="A27" s="5" t="n">
        <v>23</v>
      </c>
      <c r="B27" s="5" t="n">
        <v>0</v>
      </c>
      <c r="C27" s="6" t="n">
        <v>-0.9042189173019176</v>
      </c>
      <c r="D27" s="6" t="n">
        <v>-0.353285201832347</v>
      </c>
      <c r="E27" s="6" t="n">
        <v>1.083683837897175</v>
      </c>
      <c r="F27" s="6" t="n">
        <v>-1.786844513613144</v>
      </c>
      <c r="G27" s="5" t="n">
        <v>1</v>
      </c>
      <c r="H27" s="5" t="n">
        <v>0</v>
      </c>
      <c r="I27" s="5" t="n">
        <v>0</v>
      </c>
      <c r="J27" s="5" t="n">
        <v>1</v>
      </c>
      <c r="K27" s="5" t="n">
        <v>0</v>
      </c>
      <c r="L27" s="5" t="n">
        <v>0</v>
      </c>
      <c r="M27" s="5" t="n">
        <v>0</v>
      </c>
      <c r="N27" s="5" t="n">
        <v>0</v>
      </c>
      <c r="O27" s="5" t="n">
        <v>0</v>
      </c>
      <c r="P27" s="5" t="n">
        <v>1</v>
      </c>
      <c r="Q27" s="5" t="n">
        <v>0</v>
      </c>
      <c r="R27" s="5" t="n">
        <v>1</v>
      </c>
      <c r="S27" s="5" t="n">
        <v>0</v>
      </c>
      <c r="T27" s="5" t="n">
        <v>0</v>
      </c>
      <c r="U27" s="5" t="inlineStr">
        <is>
          <t>training</t>
        </is>
      </c>
    </row>
    <row r="28">
      <c r="A28" s="5" t="n">
        <v>24</v>
      </c>
      <c r="B28" s="5" t="n">
        <v>0</v>
      </c>
      <c r="C28" s="6" t="n">
        <v>-0.7357010147163632</v>
      </c>
      <c r="D28" s="6" t="n">
        <v>-0.506188329989083</v>
      </c>
      <c r="E28" s="6" t="n">
        <v>0.7357917551051447</v>
      </c>
      <c r="F28" s="6" t="n">
        <v>0.01674764143977723</v>
      </c>
      <c r="G28" s="5" t="n">
        <v>0</v>
      </c>
      <c r="H28" s="5" t="n">
        <v>1</v>
      </c>
      <c r="I28" s="5" t="n">
        <v>0</v>
      </c>
      <c r="J28" s="5" t="n">
        <v>1</v>
      </c>
      <c r="K28" s="5" t="n">
        <v>0</v>
      </c>
      <c r="L28" s="5" t="n">
        <v>0</v>
      </c>
      <c r="M28" s="5" t="n">
        <v>1</v>
      </c>
      <c r="N28" s="5" t="n">
        <v>0</v>
      </c>
      <c r="O28" s="5" t="n">
        <v>0</v>
      </c>
      <c r="P28" s="5" t="n">
        <v>0</v>
      </c>
      <c r="Q28" s="5" t="n">
        <v>0</v>
      </c>
      <c r="R28" s="5" t="n">
        <v>1</v>
      </c>
      <c r="S28" s="5" t="n">
        <v>0</v>
      </c>
      <c r="T28" s="5" t="n">
        <v>0</v>
      </c>
      <c r="U28" s="5" t="inlineStr">
        <is>
          <t>training</t>
        </is>
      </c>
    </row>
    <row r="29">
      <c r="A29" s="5" t="n">
        <v>25</v>
      </c>
      <c r="B29" s="5" t="n">
        <v>0</v>
      </c>
      <c r="C29" s="6" t="n">
        <v>-0.9042189173019176</v>
      </c>
      <c r="D29" s="6" t="n">
        <v>-0.4134667534180646</v>
      </c>
      <c r="E29" s="6" t="n">
        <v>-0.8297226174589928</v>
      </c>
      <c r="F29" s="6" t="n">
        <v>-0.8850484360866833</v>
      </c>
      <c r="G29" s="5" t="n">
        <v>0</v>
      </c>
      <c r="H29" s="5" t="n">
        <v>0</v>
      </c>
      <c r="I29" s="5" t="n">
        <v>0</v>
      </c>
      <c r="J29" s="5" t="n">
        <v>1</v>
      </c>
      <c r="K29" s="5" t="n">
        <v>0</v>
      </c>
      <c r="L29" s="5" t="n">
        <v>0</v>
      </c>
      <c r="M29" s="5" t="n">
        <v>0</v>
      </c>
      <c r="N29" s="5" t="n">
        <v>0</v>
      </c>
      <c r="O29" s="5" t="n">
        <v>1</v>
      </c>
      <c r="P29" s="5" t="n">
        <v>0</v>
      </c>
      <c r="Q29" s="5" t="n">
        <v>0</v>
      </c>
      <c r="R29" s="5" t="n">
        <v>0</v>
      </c>
      <c r="S29" s="5" t="n">
        <v>0</v>
      </c>
      <c r="T29" s="5" t="n">
        <v>1</v>
      </c>
      <c r="U29" s="5" t="inlineStr">
        <is>
          <t>training</t>
        </is>
      </c>
    </row>
    <row r="30">
      <c r="A30" s="5" t="n">
        <v>26</v>
      </c>
      <c r="B30" s="5" t="n">
        <v>0</v>
      </c>
      <c r="C30" s="6" t="n">
        <v>-1.241254722473026</v>
      </c>
      <c r="D30" s="6" t="n">
        <v>-0.6566422089533771</v>
      </c>
      <c r="E30" s="6" t="n">
        <v>0.04000758952108359</v>
      </c>
      <c r="F30" s="6" t="n">
        <v>-1.786844513613144</v>
      </c>
      <c r="G30" s="5" t="n">
        <v>1</v>
      </c>
      <c r="H30" s="5" t="n">
        <v>0</v>
      </c>
      <c r="I30" s="5" t="n">
        <v>0</v>
      </c>
      <c r="J30" s="5" t="n">
        <v>0</v>
      </c>
      <c r="K30" s="5" t="n">
        <v>0</v>
      </c>
      <c r="L30" s="5" t="n">
        <v>0</v>
      </c>
      <c r="M30" s="5" t="n">
        <v>0</v>
      </c>
      <c r="N30" s="5" t="n">
        <v>0</v>
      </c>
      <c r="O30" s="5" t="n">
        <v>0</v>
      </c>
      <c r="P30" s="5" t="n">
        <v>0</v>
      </c>
      <c r="Q30" s="5" t="n">
        <v>0</v>
      </c>
      <c r="R30" s="5" t="n">
        <v>0</v>
      </c>
      <c r="S30" s="5" t="n">
        <v>0</v>
      </c>
      <c r="T30" s="5" t="n">
        <v>1</v>
      </c>
      <c r="U30" s="5" t="inlineStr">
        <is>
          <t>training</t>
        </is>
      </c>
    </row>
    <row r="31">
      <c r="A31" s="5" t="n">
        <v>27</v>
      </c>
      <c r="B31" s="5" t="n">
        <v>0</v>
      </c>
      <c r="C31" s="6" t="n">
        <v>-1.241254722473026</v>
      </c>
      <c r="D31" s="6" t="n">
        <v>-0.9883405281583787</v>
      </c>
      <c r="E31" s="6" t="n">
        <v>0.3009266516151065</v>
      </c>
      <c r="F31" s="6" t="n">
        <v>0.9185437189662378</v>
      </c>
      <c r="G31" s="5" t="n">
        <v>0</v>
      </c>
      <c r="H31" s="5" t="n">
        <v>0</v>
      </c>
      <c r="I31" s="5" t="n">
        <v>0</v>
      </c>
      <c r="J31" s="5" t="n">
        <v>0</v>
      </c>
      <c r="K31" s="5" t="n">
        <v>0</v>
      </c>
      <c r="L31" s="5" t="n">
        <v>1</v>
      </c>
      <c r="M31" s="5" t="n">
        <v>0</v>
      </c>
      <c r="N31" s="5" t="n">
        <v>0</v>
      </c>
      <c r="O31" s="5" t="n">
        <v>0</v>
      </c>
      <c r="P31" s="5" t="n">
        <v>0</v>
      </c>
      <c r="Q31" s="5" t="n">
        <v>0</v>
      </c>
      <c r="R31" s="5" t="n">
        <v>0</v>
      </c>
      <c r="S31" s="5" t="n">
        <v>1</v>
      </c>
      <c r="T31" s="5" t="n">
        <v>0</v>
      </c>
      <c r="U31" s="5" t="inlineStr">
        <is>
          <t>training</t>
        </is>
      </c>
    </row>
    <row r="32">
      <c r="A32" s="5" t="n">
        <v>28</v>
      </c>
      <c r="B32" s="5" t="n">
        <v>0</v>
      </c>
      <c r="C32" s="6" t="n">
        <v>-0.7357010147163632</v>
      </c>
      <c r="D32" s="6" t="n">
        <v>-0.994288704768595</v>
      </c>
      <c r="E32" s="6" t="n">
        <v>0.5618457137091294</v>
      </c>
      <c r="F32" s="6" t="n">
        <v>0.01674764143977723</v>
      </c>
      <c r="G32" s="5" t="n">
        <v>0</v>
      </c>
      <c r="H32" s="5" t="n">
        <v>0</v>
      </c>
      <c r="I32" s="5" t="n">
        <v>1</v>
      </c>
      <c r="J32" s="5" t="n">
        <v>0</v>
      </c>
      <c r="K32" s="5" t="n">
        <v>0</v>
      </c>
      <c r="L32" s="5" t="n">
        <v>1</v>
      </c>
      <c r="M32" s="5" t="n">
        <v>0</v>
      </c>
      <c r="N32" s="5" t="n">
        <v>1</v>
      </c>
      <c r="O32" s="5" t="n">
        <v>0</v>
      </c>
      <c r="P32" s="5" t="n">
        <v>1</v>
      </c>
      <c r="Q32" s="5" t="n">
        <v>0</v>
      </c>
      <c r="R32" s="5" t="n">
        <v>0</v>
      </c>
      <c r="S32" s="5" t="n">
        <v>1</v>
      </c>
      <c r="T32" s="5" t="n">
        <v>0</v>
      </c>
      <c r="U32" s="5" t="inlineStr">
        <is>
          <t>training</t>
        </is>
      </c>
    </row>
    <row r="33">
      <c r="A33" s="5" t="n">
        <v>29</v>
      </c>
      <c r="B33" s="5" t="n">
        <v>0</v>
      </c>
      <c r="C33" s="6" t="n">
        <v>-1.156995771180249</v>
      </c>
      <c r="D33" s="6" t="n">
        <v>-0.2924038647630746</v>
      </c>
      <c r="E33" s="6" t="n">
        <v>-0.1339384518749317</v>
      </c>
      <c r="F33" s="6" t="n">
        <v>0.01674764143977723</v>
      </c>
      <c r="G33" s="5" t="n">
        <v>0</v>
      </c>
      <c r="H33" s="5" t="n">
        <v>1</v>
      </c>
      <c r="I33" s="5" t="n">
        <v>0</v>
      </c>
      <c r="J33" s="5" t="n">
        <v>0</v>
      </c>
      <c r="K33" s="5" t="n">
        <v>0</v>
      </c>
      <c r="L33" s="5" t="n">
        <v>0</v>
      </c>
      <c r="M33" s="5" t="n">
        <v>0</v>
      </c>
      <c r="N33" s="5" t="n">
        <v>0</v>
      </c>
      <c r="O33" s="5" t="n">
        <v>0</v>
      </c>
      <c r="P33" s="5" t="n">
        <v>0</v>
      </c>
      <c r="Q33" s="5" t="n">
        <v>0</v>
      </c>
      <c r="R33" s="5" t="n">
        <v>0</v>
      </c>
      <c r="S33" s="5" t="n">
        <v>1</v>
      </c>
      <c r="T33" s="5" t="n">
        <v>0</v>
      </c>
      <c r="U33" s="5" t="inlineStr">
        <is>
          <t>training</t>
        </is>
      </c>
    </row>
    <row r="34">
      <c r="A34" s="5" t="n">
        <v>30</v>
      </c>
      <c r="B34" s="5" t="n">
        <v>1</v>
      </c>
      <c r="C34" s="6" t="n">
        <v>3.308728647336942</v>
      </c>
      <c r="D34" s="6" t="n">
        <v>1.254471946634934</v>
      </c>
      <c r="E34" s="6" t="n">
        <v>2.38827914836729</v>
      </c>
      <c r="F34" s="6" t="n">
        <v>0.01674764143977723</v>
      </c>
      <c r="G34" s="5" t="n">
        <v>1</v>
      </c>
      <c r="H34" s="5" t="n">
        <v>0</v>
      </c>
      <c r="I34" s="5" t="n">
        <v>0</v>
      </c>
      <c r="J34" s="5" t="n">
        <v>0</v>
      </c>
      <c r="K34" s="5" t="n">
        <v>1</v>
      </c>
      <c r="L34" s="5" t="n">
        <v>0</v>
      </c>
      <c r="M34" s="5" t="n">
        <v>0</v>
      </c>
      <c r="N34" s="5" t="n">
        <v>0</v>
      </c>
      <c r="O34" s="5" t="n">
        <v>0</v>
      </c>
      <c r="P34" s="5" t="n">
        <v>0</v>
      </c>
      <c r="Q34" s="5" t="n">
        <v>0</v>
      </c>
      <c r="R34" s="5" t="n">
        <v>0</v>
      </c>
      <c r="S34" s="5" t="n">
        <v>0</v>
      </c>
      <c r="T34" s="5" t="n">
        <v>0</v>
      </c>
      <c r="U34" s="5" t="inlineStr">
        <is>
          <t>testing</t>
        </is>
      </c>
    </row>
    <row r="35">
      <c r="A35" s="5" t="n">
        <v>31</v>
      </c>
      <c r="B35" s="5" t="n">
        <v>0</v>
      </c>
      <c r="C35" s="6" t="n">
        <v>-0.2301473069597001</v>
      </c>
      <c r="D35" s="6" t="n">
        <v>-0.4680500211353434</v>
      </c>
      <c r="E35" s="6" t="n">
        <v>0.04000758952108359</v>
      </c>
      <c r="F35" s="6" t="n">
        <v>0.01674764143977723</v>
      </c>
      <c r="G35" s="5" t="n">
        <v>0</v>
      </c>
      <c r="H35" s="5" t="n">
        <v>1</v>
      </c>
      <c r="I35" s="5" t="n">
        <v>0</v>
      </c>
      <c r="J35" s="5" t="n">
        <v>0</v>
      </c>
      <c r="K35" s="5" t="n">
        <v>0</v>
      </c>
      <c r="L35" s="5" t="n">
        <v>0</v>
      </c>
      <c r="M35" s="5" t="n">
        <v>0</v>
      </c>
      <c r="N35" s="5" t="n">
        <v>1</v>
      </c>
      <c r="O35" s="5" t="n">
        <v>0</v>
      </c>
      <c r="P35" s="5" t="n">
        <v>0</v>
      </c>
      <c r="Q35" s="5" t="n">
        <v>0</v>
      </c>
      <c r="R35" s="5" t="n">
        <v>0</v>
      </c>
      <c r="S35" s="5" t="n">
        <v>0</v>
      </c>
      <c r="T35" s="5" t="n">
        <v>0</v>
      </c>
      <c r="U35" s="5" t="inlineStr">
        <is>
          <t>training</t>
        </is>
      </c>
    </row>
    <row r="36">
      <c r="A36" s="5" t="n">
        <v>32</v>
      </c>
      <c r="B36" s="5" t="n">
        <v>0</v>
      </c>
      <c r="C36" s="6" t="n">
        <v>0.275406400796963</v>
      </c>
      <c r="D36" s="6" t="n">
        <v>0.2691739857896973</v>
      </c>
      <c r="E36" s="6" t="n">
        <v>-0.7427495967609852</v>
      </c>
      <c r="F36" s="6" t="n">
        <v>-0.8850484360866833</v>
      </c>
      <c r="G36" s="5" t="n">
        <v>1</v>
      </c>
      <c r="H36" s="5" t="n">
        <v>0</v>
      </c>
      <c r="I36" s="5" t="n">
        <v>0</v>
      </c>
      <c r="J36" s="5" t="n">
        <v>0</v>
      </c>
      <c r="K36" s="5" t="n">
        <v>0</v>
      </c>
      <c r="L36" s="5" t="n">
        <v>0</v>
      </c>
      <c r="M36" s="5" t="n">
        <v>0</v>
      </c>
      <c r="N36" s="5" t="n">
        <v>0</v>
      </c>
      <c r="O36" s="5" t="n">
        <v>0</v>
      </c>
      <c r="P36" s="5" t="n">
        <v>0</v>
      </c>
      <c r="Q36" s="5" t="n">
        <v>0</v>
      </c>
      <c r="R36" s="5" t="n">
        <v>0</v>
      </c>
      <c r="S36" s="5" t="n">
        <v>0</v>
      </c>
      <c r="T36" s="5" t="n">
        <v>1</v>
      </c>
      <c r="U36" s="5" t="inlineStr">
        <is>
          <t>testing</t>
        </is>
      </c>
    </row>
    <row r="37">
      <c r="A37" s="5" t="n">
        <v>33</v>
      </c>
      <c r="B37" s="5" t="n">
        <v>0</v>
      </c>
      <c r="C37" s="6" t="n">
        <v>-0.2301473069597001</v>
      </c>
      <c r="D37" s="6" t="n">
        <v>0.9150759871108293</v>
      </c>
      <c r="E37" s="6" t="n">
        <v>-0.4818305346669622</v>
      </c>
      <c r="F37" s="6" t="n">
        <v>-0.8850484360866833</v>
      </c>
      <c r="G37" s="5" t="n">
        <v>0</v>
      </c>
      <c r="H37" s="5" t="n">
        <v>1</v>
      </c>
      <c r="I37" s="5" t="n">
        <v>0</v>
      </c>
      <c r="J37" s="5" t="n">
        <v>0</v>
      </c>
      <c r="K37" s="5" t="n">
        <v>0</v>
      </c>
      <c r="L37" s="5" t="n">
        <v>0</v>
      </c>
      <c r="M37" s="5" t="n">
        <v>1</v>
      </c>
      <c r="N37" s="5" t="n">
        <v>0</v>
      </c>
      <c r="O37" s="5" t="n">
        <v>0</v>
      </c>
      <c r="P37" s="5" t="n">
        <v>0</v>
      </c>
      <c r="Q37" s="5" t="n">
        <v>0</v>
      </c>
      <c r="R37" s="5" t="n">
        <v>1</v>
      </c>
      <c r="S37" s="5" t="n">
        <v>0</v>
      </c>
      <c r="T37" s="5" t="n">
        <v>0</v>
      </c>
      <c r="U37" s="5" t="inlineStr">
        <is>
          <t>training</t>
        </is>
      </c>
    </row>
    <row r="38">
      <c r="A38" s="5" t="n">
        <v>34</v>
      </c>
      <c r="B38" s="5" t="n">
        <v>0</v>
      </c>
      <c r="C38" s="6" t="n">
        <v>-0.7357010147163632</v>
      </c>
      <c r="D38" s="6" t="n">
        <v>-0.6951304105488941</v>
      </c>
      <c r="E38" s="6" t="n">
        <v>1.866441024179244</v>
      </c>
      <c r="F38" s="6" t="n">
        <v>0.9185437189662378</v>
      </c>
      <c r="G38" s="5" t="n">
        <v>0</v>
      </c>
      <c r="H38" s="5" t="n">
        <v>0</v>
      </c>
      <c r="I38" s="5" t="n">
        <v>0</v>
      </c>
      <c r="J38" s="5" t="n">
        <v>1</v>
      </c>
      <c r="K38" s="5" t="n">
        <v>0</v>
      </c>
      <c r="L38" s="5" t="n">
        <v>0</v>
      </c>
      <c r="M38" s="5" t="n">
        <v>0</v>
      </c>
      <c r="N38" s="5" t="n">
        <v>0</v>
      </c>
      <c r="O38" s="5" t="n">
        <v>1</v>
      </c>
      <c r="P38" s="5" t="n">
        <v>1</v>
      </c>
      <c r="Q38" s="5" t="n">
        <v>0</v>
      </c>
      <c r="R38" s="5" t="n">
        <v>0</v>
      </c>
      <c r="S38" s="5" t="n">
        <v>0</v>
      </c>
      <c r="T38" s="5" t="n">
        <v>0</v>
      </c>
      <c r="U38" s="5" t="inlineStr">
        <is>
          <t>training</t>
        </is>
      </c>
    </row>
    <row r="39">
      <c r="A39" s="5" t="n">
        <v>35</v>
      </c>
      <c r="B39" s="5" t="n">
        <v>0</v>
      </c>
      <c r="C39" s="6" t="n">
        <v>-0.7357010147163632</v>
      </c>
      <c r="D39" s="6" t="n">
        <v>-0.6216529347756342</v>
      </c>
      <c r="E39" s="6" t="n">
        <v>-0.2209114725729393</v>
      </c>
      <c r="F39" s="6" t="n">
        <v>0.9185437189662378</v>
      </c>
      <c r="G39" s="5" t="n">
        <v>0</v>
      </c>
      <c r="H39" s="5" t="n">
        <v>0</v>
      </c>
      <c r="I39" s="5" t="n">
        <v>1</v>
      </c>
      <c r="J39" s="5" t="n">
        <v>0</v>
      </c>
      <c r="K39" s="5" t="n">
        <v>0</v>
      </c>
      <c r="L39" s="5" t="n">
        <v>0</v>
      </c>
      <c r="M39" s="5" t="n">
        <v>0</v>
      </c>
      <c r="N39" s="5" t="n">
        <v>0</v>
      </c>
      <c r="O39" s="5" t="n">
        <v>0</v>
      </c>
      <c r="P39" s="5" t="n">
        <v>0</v>
      </c>
      <c r="Q39" s="5" t="n">
        <v>0</v>
      </c>
      <c r="R39" s="5" t="n">
        <v>0</v>
      </c>
      <c r="S39" s="5" t="n">
        <v>0</v>
      </c>
      <c r="T39" s="5" t="n">
        <v>1</v>
      </c>
      <c r="U39" s="5" t="inlineStr">
        <is>
          <t>testing</t>
        </is>
      </c>
    </row>
    <row r="40">
      <c r="A40" s="5" t="n">
        <v>36</v>
      </c>
      <c r="B40" s="5" t="n">
        <v>1</v>
      </c>
      <c r="C40" s="6" t="n">
        <v>2.044844377945284</v>
      </c>
      <c r="D40" s="6" t="n">
        <v>0.52319611632011</v>
      </c>
      <c r="E40" s="6" t="n">
        <v>-0.9166956381570004</v>
      </c>
      <c r="F40" s="6" t="n">
        <v>0.9185437189662378</v>
      </c>
      <c r="G40" s="5" t="n">
        <v>0</v>
      </c>
      <c r="H40" s="5" t="n">
        <v>1</v>
      </c>
      <c r="I40" s="5" t="n">
        <v>0</v>
      </c>
      <c r="J40" s="5" t="n">
        <v>1</v>
      </c>
      <c r="K40" s="5" t="n">
        <v>0</v>
      </c>
      <c r="L40" s="5" t="n">
        <v>0</v>
      </c>
      <c r="M40" s="5" t="n">
        <v>0</v>
      </c>
      <c r="N40" s="5" t="n">
        <v>0</v>
      </c>
      <c r="O40" s="5" t="n">
        <v>0</v>
      </c>
      <c r="P40" s="5" t="n">
        <v>0</v>
      </c>
      <c r="Q40" s="5" t="n">
        <v>0</v>
      </c>
      <c r="R40" s="5" t="n">
        <v>0</v>
      </c>
      <c r="S40" s="5" t="n">
        <v>1</v>
      </c>
      <c r="T40" s="5" t="n">
        <v>0</v>
      </c>
      <c r="U40" s="5" t="inlineStr">
        <is>
          <t>training</t>
        </is>
      </c>
    </row>
    <row r="41">
      <c r="A41" s="5" t="n">
        <v>37</v>
      </c>
      <c r="B41" s="5" t="n">
        <v>0</v>
      </c>
      <c r="C41" s="6" t="n">
        <v>2.297621231823615</v>
      </c>
      <c r="D41" s="6" t="n">
        <v>1.000449816104522</v>
      </c>
      <c r="E41" s="6" t="n">
        <v>-0.3948575139689546</v>
      </c>
      <c r="F41" s="6" t="n">
        <v>-1.786844513613144</v>
      </c>
      <c r="G41" s="5" t="n">
        <v>0</v>
      </c>
      <c r="H41" s="5" t="n">
        <v>0</v>
      </c>
      <c r="I41" s="5" t="n">
        <v>0</v>
      </c>
      <c r="J41" s="5" t="n">
        <v>1</v>
      </c>
      <c r="K41" s="5" t="n">
        <v>0</v>
      </c>
      <c r="L41" s="5" t="n">
        <v>0</v>
      </c>
      <c r="M41" s="5" t="n">
        <v>0</v>
      </c>
      <c r="N41" s="5" t="n">
        <v>0</v>
      </c>
      <c r="O41" s="5" t="n">
        <v>0</v>
      </c>
      <c r="P41" s="5" t="n">
        <v>0</v>
      </c>
      <c r="Q41" s="5" t="n">
        <v>1</v>
      </c>
      <c r="R41" s="5" t="n">
        <v>0</v>
      </c>
      <c r="S41" s="5" t="n">
        <v>0</v>
      </c>
      <c r="T41" s="5" t="n">
        <v>0</v>
      </c>
      <c r="U41" s="5" t="inlineStr">
        <is>
          <t>testing</t>
        </is>
      </c>
    </row>
    <row r="42">
      <c r="A42" s="5" t="n">
        <v>38</v>
      </c>
      <c r="B42" s="5" t="n">
        <v>1</v>
      </c>
      <c r="C42" s="6" t="n">
        <v>-0.2301473069597001</v>
      </c>
      <c r="D42" s="6" t="n">
        <v>-0.4026200784229644</v>
      </c>
      <c r="E42" s="6" t="n">
        <v>0.1269806102190912</v>
      </c>
      <c r="F42" s="6" t="n">
        <v>0.9185437189662378</v>
      </c>
      <c r="G42" s="5" t="n">
        <v>0</v>
      </c>
      <c r="H42" s="5" t="n">
        <v>0</v>
      </c>
      <c r="I42" s="5" t="n">
        <v>1</v>
      </c>
      <c r="J42" s="5" t="n">
        <v>0</v>
      </c>
      <c r="K42" s="5" t="n">
        <v>0</v>
      </c>
      <c r="L42" s="5" t="n">
        <v>0</v>
      </c>
      <c r="M42" s="5" t="n">
        <v>0</v>
      </c>
      <c r="N42" s="5" t="n">
        <v>0</v>
      </c>
      <c r="O42" s="5" t="n">
        <v>0</v>
      </c>
      <c r="P42" s="5" t="n">
        <v>0</v>
      </c>
      <c r="Q42" s="5" t="n">
        <v>0</v>
      </c>
      <c r="R42" s="5" t="n">
        <v>0</v>
      </c>
      <c r="S42" s="5" t="n">
        <v>1</v>
      </c>
      <c r="T42" s="5" t="n">
        <v>0</v>
      </c>
      <c r="U42" s="5" t="inlineStr">
        <is>
          <t>training</t>
        </is>
      </c>
    </row>
    <row r="43">
      <c r="A43" s="5" t="n">
        <v>39</v>
      </c>
      <c r="B43" s="5" t="n">
        <v>0</v>
      </c>
      <c r="C43" s="6" t="n">
        <v>-0.9042189173019176</v>
      </c>
      <c r="D43" s="6" t="n">
        <v>-0.7087762274782138</v>
      </c>
      <c r="E43" s="6" t="n">
        <v>0.1269806102190912</v>
      </c>
      <c r="F43" s="6" t="n">
        <v>-0.8850484360866833</v>
      </c>
      <c r="G43" s="5" t="n">
        <v>0</v>
      </c>
      <c r="H43" s="5" t="n">
        <v>0</v>
      </c>
      <c r="I43" s="5" t="n">
        <v>1</v>
      </c>
      <c r="J43" s="5" t="n">
        <v>0</v>
      </c>
      <c r="K43" s="5" t="n">
        <v>0</v>
      </c>
      <c r="L43" s="5" t="n">
        <v>0</v>
      </c>
      <c r="M43" s="5" t="n">
        <v>0</v>
      </c>
      <c r="N43" s="5" t="n">
        <v>0</v>
      </c>
      <c r="O43" s="5" t="n">
        <v>0</v>
      </c>
      <c r="P43" s="5" t="n">
        <v>0</v>
      </c>
      <c r="Q43" s="5" t="n">
        <v>0</v>
      </c>
      <c r="R43" s="5" t="n">
        <v>0</v>
      </c>
      <c r="S43" s="5" t="n">
        <v>0</v>
      </c>
      <c r="T43" s="5" t="n">
        <v>0</v>
      </c>
      <c r="U43" s="5" t="inlineStr">
        <is>
          <t>training</t>
        </is>
      </c>
    </row>
    <row r="44">
      <c r="A44" s="5" t="n">
        <v>40</v>
      </c>
      <c r="B44" s="5" t="n">
        <v>0</v>
      </c>
      <c r="C44" s="6" t="n">
        <v>-0.9884778685946948</v>
      </c>
      <c r="D44" s="6" t="n">
        <v>-0.9771439604215011</v>
      </c>
      <c r="E44" s="6" t="n">
        <v>-1.003668658855008</v>
      </c>
      <c r="F44" s="6" t="n">
        <v>0.9185437189662378</v>
      </c>
      <c r="G44" s="5" t="n">
        <v>0</v>
      </c>
      <c r="H44" s="5" t="n">
        <v>1</v>
      </c>
      <c r="I44" s="5" t="n">
        <v>0</v>
      </c>
      <c r="J44" s="5" t="n">
        <v>0</v>
      </c>
      <c r="K44" s="5" t="n">
        <v>0</v>
      </c>
      <c r="L44" s="5" t="n">
        <v>0</v>
      </c>
      <c r="M44" s="5" t="n">
        <v>0</v>
      </c>
      <c r="N44" s="5" t="n">
        <v>0</v>
      </c>
      <c r="O44" s="5" t="n">
        <v>0</v>
      </c>
      <c r="P44" s="5" t="n">
        <v>0</v>
      </c>
      <c r="Q44" s="5" t="n">
        <v>0</v>
      </c>
      <c r="R44" s="5" t="n">
        <v>0</v>
      </c>
      <c r="S44" s="5" t="n">
        <v>1</v>
      </c>
      <c r="T44" s="5" t="n">
        <v>0</v>
      </c>
      <c r="U44" s="5" t="inlineStr">
        <is>
          <t>training</t>
        </is>
      </c>
    </row>
    <row r="45">
      <c r="A45" s="5" t="n">
        <v>41</v>
      </c>
      <c r="B45" s="5" t="n">
        <v>0</v>
      </c>
      <c r="C45" s="6" t="n">
        <v>0.7809601085536261</v>
      </c>
      <c r="D45" s="6" t="n">
        <v>-0.3210950695888237</v>
      </c>
      <c r="E45" s="6" t="n">
        <v>-0.4818305346669622</v>
      </c>
      <c r="F45" s="6" t="n">
        <v>0.9185437189662378</v>
      </c>
      <c r="G45" s="5" t="n">
        <v>0</v>
      </c>
      <c r="H45" s="5" t="n">
        <v>0</v>
      </c>
      <c r="I45" s="5" t="n">
        <v>0</v>
      </c>
      <c r="J45" s="5" t="n">
        <v>0</v>
      </c>
      <c r="K45" s="5" t="n">
        <v>0</v>
      </c>
      <c r="L45" s="5" t="n">
        <v>0</v>
      </c>
      <c r="M45" s="5" t="n">
        <v>1</v>
      </c>
      <c r="N45" s="5" t="n">
        <v>0</v>
      </c>
      <c r="O45" s="5" t="n">
        <v>0</v>
      </c>
      <c r="P45" s="5" t="n">
        <v>0</v>
      </c>
      <c r="Q45" s="5" t="n">
        <v>0</v>
      </c>
      <c r="R45" s="5" t="n">
        <v>0</v>
      </c>
      <c r="S45" s="5" t="n">
        <v>1</v>
      </c>
      <c r="T45" s="5" t="n">
        <v>0</v>
      </c>
      <c r="U45" s="5" t="inlineStr">
        <is>
          <t>testing</t>
        </is>
      </c>
    </row>
    <row r="46">
      <c r="A46" s="5" t="n">
        <v>42</v>
      </c>
      <c r="B46" s="5" t="n">
        <v>0</v>
      </c>
      <c r="C46" s="6" t="n">
        <v>-0.7357010147163632</v>
      </c>
      <c r="D46" s="6" t="n">
        <v>-0.7322190411773015</v>
      </c>
      <c r="E46" s="6" t="n">
        <v>-0.8297226174589928</v>
      </c>
      <c r="F46" s="6" t="n">
        <v>0.01674764143977723</v>
      </c>
      <c r="G46" s="5" t="n">
        <v>0</v>
      </c>
      <c r="H46" s="5" t="n">
        <v>1</v>
      </c>
      <c r="I46" s="5" t="n">
        <v>0</v>
      </c>
      <c r="J46" s="5" t="n">
        <v>0</v>
      </c>
      <c r="K46" s="5" t="n">
        <v>0</v>
      </c>
      <c r="L46" s="5" t="n">
        <v>0</v>
      </c>
      <c r="M46" s="5" t="n">
        <v>1</v>
      </c>
      <c r="N46" s="5" t="n">
        <v>0</v>
      </c>
      <c r="O46" s="5" t="n">
        <v>0</v>
      </c>
      <c r="P46" s="5" t="n">
        <v>0</v>
      </c>
      <c r="Q46" s="5" t="n">
        <v>0</v>
      </c>
      <c r="R46" s="5" t="n">
        <v>0</v>
      </c>
      <c r="S46" s="5" t="n">
        <v>1</v>
      </c>
      <c r="T46" s="5" t="n">
        <v>0</v>
      </c>
      <c r="U46" s="5" t="inlineStr">
        <is>
          <t>training</t>
        </is>
      </c>
    </row>
    <row r="47">
      <c r="A47" s="5" t="n">
        <v>43</v>
      </c>
      <c r="B47" s="5" t="n">
        <v>0</v>
      </c>
      <c r="C47" s="6" t="n">
        <v>-0.2301473069597001</v>
      </c>
      <c r="D47" s="6" t="n">
        <v>1.0333397338316</v>
      </c>
      <c r="E47" s="6" t="n">
        <v>0.7357917551051447</v>
      </c>
      <c r="F47" s="6" t="n">
        <v>-0.8850484360866833</v>
      </c>
      <c r="G47" s="5" t="n">
        <v>0</v>
      </c>
      <c r="H47" s="5" t="n">
        <v>1</v>
      </c>
      <c r="I47" s="5" t="n">
        <v>0</v>
      </c>
      <c r="J47" s="5" t="n">
        <v>0</v>
      </c>
      <c r="K47" s="5" t="n">
        <v>1</v>
      </c>
      <c r="L47" s="5" t="n">
        <v>0</v>
      </c>
      <c r="M47" s="5" t="n">
        <v>0</v>
      </c>
      <c r="N47" s="5" t="n">
        <v>0</v>
      </c>
      <c r="O47" s="5" t="n">
        <v>0</v>
      </c>
      <c r="P47" s="5" t="n">
        <v>0</v>
      </c>
      <c r="Q47" s="5" t="n">
        <v>0</v>
      </c>
      <c r="R47" s="5" t="n">
        <v>0</v>
      </c>
      <c r="S47" s="5" t="n">
        <v>0</v>
      </c>
      <c r="T47" s="5" t="n">
        <v>0</v>
      </c>
      <c r="U47" s="5" t="inlineStr">
        <is>
          <t>training</t>
        </is>
      </c>
    </row>
    <row r="48">
      <c r="A48" s="5" t="n">
        <v>44</v>
      </c>
      <c r="B48" s="5" t="n">
        <v>0</v>
      </c>
      <c r="C48" s="6" t="n">
        <v>0.7809601085536261</v>
      </c>
      <c r="D48" s="6" t="n">
        <v>1.027391557221384</v>
      </c>
      <c r="E48" s="6" t="n">
        <v>-1.003668658855008</v>
      </c>
      <c r="F48" s="6" t="n">
        <v>-1.786844513613144</v>
      </c>
      <c r="G48" s="5" t="n">
        <v>1</v>
      </c>
      <c r="H48" s="5" t="n">
        <v>0</v>
      </c>
      <c r="I48" s="5" t="n">
        <v>0</v>
      </c>
      <c r="J48" s="5" t="n">
        <v>1</v>
      </c>
      <c r="K48" s="5" t="n">
        <v>0</v>
      </c>
      <c r="L48" s="5" t="n">
        <v>0</v>
      </c>
      <c r="M48" s="5" t="n">
        <v>1</v>
      </c>
      <c r="N48" s="5" t="n">
        <v>0</v>
      </c>
      <c r="O48" s="5" t="n">
        <v>0</v>
      </c>
      <c r="P48" s="5" t="n">
        <v>1</v>
      </c>
      <c r="Q48" s="5" t="n">
        <v>0</v>
      </c>
      <c r="R48" s="5" t="n">
        <v>1</v>
      </c>
      <c r="S48" s="5" t="n">
        <v>0</v>
      </c>
      <c r="T48" s="5" t="n">
        <v>0</v>
      </c>
      <c r="U48" s="5" t="inlineStr">
        <is>
          <t>testing</t>
        </is>
      </c>
    </row>
    <row r="49">
      <c r="A49" s="5" t="n">
        <v>45</v>
      </c>
      <c r="B49" s="5" t="n">
        <v>1</v>
      </c>
      <c r="C49" s="6" t="n">
        <v>2.297621231823615</v>
      </c>
      <c r="D49" s="6" t="n">
        <v>1.011996276583177</v>
      </c>
      <c r="E49" s="6" t="n">
        <v>1.953414044877252</v>
      </c>
      <c r="F49" s="6" t="n">
        <v>0.9185437189662378</v>
      </c>
      <c r="G49" s="5" t="n">
        <v>1</v>
      </c>
      <c r="H49" s="5" t="n">
        <v>0</v>
      </c>
      <c r="I49" s="5" t="n">
        <v>0</v>
      </c>
      <c r="J49" s="5" t="n">
        <v>1</v>
      </c>
      <c r="K49" s="5" t="n">
        <v>0</v>
      </c>
      <c r="L49" s="5" t="n">
        <v>0</v>
      </c>
      <c r="M49" s="5" t="n">
        <v>0</v>
      </c>
      <c r="N49" s="5" t="n">
        <v>0</v>
      </c>
      <c r="O49" s="5" t="n">
        <v>0</v>
      </c>
      <c r="P49" s="5" t="n">
        <v>0</v>
      </c>
      <c r="Q49" s="5" t="n">
        <v>1</v>
      </c>
      <c r="R49" s="5" t="n">
        <v>1</v>
      </c>
      <c r="S49" s="5" t="n">
        <v>0</v>
      </c>
      <c r="T49" s="5" t="n">
        <v>0</v>
      </c>
      <c r="U49" s="5" t="inlineStr">
        <is>
          <t>testing</t>
        </is>
      </c>
    </row>
    <row r="50">
      <c r="A50" s="5" t="n">
        <v>46</v>
      </c>
      <c r="B50" s="5" t="n">
        <v>0</v>
      </c>
      <c r="C50" s="6" t="n">
        <v>-0.8199599660091405</v>
      </c>
      <c r="D50" s="6" t="n">
        <v>-0.6499942468596059</v>
      </c>
      <c r="E50" s="6" t="n">
        <v>-0.04696543117692405</v>
      </c>
      <c r="F50" s="6" t="n">
        <v>0.9185437189662378</v>
      </c>
      <c r="G50" s="5" t="n">
        <v>0</v>
      </c>
      <c r="H50" s="5" t="n">
        <v>0</v>
      </c>
      <c r="I50" s="5" t="n">
        <v>0</v>
      </c>
      <c r="J50" s="5" t="n">
        <v>1</v>
      </c>
      <c r="K50" s="5" t="n">
        <v>0</v>
      </c>
      <c r="L50" s="5" t="n">
        <v>0</v>
      </c>
      <c r="M50" s="5" t="n">
        <v>0</v>
      </c>
      <c r="N50" s="5" t="n">
        <v>0</v>
      </c>
      <c r="O50" s="5" t="n">
        <v>0</v>
      </c>
      <c r="P50" s="5" t="n">
        <v>0</v>
      </c>
      <c r="Q50" s="5" t="n">
        <v>0</v>
      </c>
      <c r="R50" s="5" t="n">
        <v>1</v>
      </c>
      <c r="S50" s="5" t="n">
        <v>0</v>
      </c>
      <c r="T50" s="5" t="n">
        <v>0</v>
      </c>
      <c r="U50" s="5" t="inlineStr">
        <is>
          <t>testing</t>
        </is>
      </c>
    </row>
    <row r="51">
      <c r="A51" s="5" t="n">
        <v>47</v>
      </c>
      <c r="B51" s="5" t="n">
        <v>0</v>
      </c>
      <c r="C51" s="6" t="n">
        <v>1.286513816310289</v>
      </c>
      <c r="D51" s="6" t="n">
        <v>-0.3329914228092562</v>
      </c>
      <c r="E51" s="6" t="n">
        <v>0.3009266516151065</v>
      </c>
      <c r="F51" s="6" t="n">
        <v>0.9185437189662378</v>
      </c>
      <c r="G51" s="5" t="n">
        <v>0</v>
      </c>
      <c r="H51" s="5" t="n">
        <v>0</v>
      </c>
      <c r="I51" s="5" t="n">
        <v>0</v>
      </c>
      <c r="J51" s="5" t="n">
        <v>0</v>
      </c>
      <c r="K51" s="5" t="n">
        <v>0</v>
      </c>
      <c r="L51" s="5" t="n">
        <v>0</v>
      </c>
      <c r="M51" s="5" t="n">
        <v>1</v>
      </c>
      <c r="N51" s="5" t="n">
        <v>0</v>
      </c>
      <c r="O51" s="5" t="n">
        <v>0</v>
      </c>
      <c r="P51" s="5" t="n">
        <v>0</v>
      </c>
      <c r="Q51" s="5" t="n">
        <v>0</v>
      </c>
      <c r="R51" s="5" t="n">
        <v>0</v>
      </c>
      <c r="S51" s="5" t="n">
        <v>1</v>
      </c>
      <c r="T51" s="5" t="n">
        <v>0</v>
      </c>
      <c r="U51" s="5" t="inlineStr">
        <is>
          <t>testing</t>
        </is>
      </c>
    </row>
    <row r="52">
      <c r="A52" s="5" t="n">
        <v>48</v>
      </c>
      <c r="B52" s="5" t="n">
        <v>0</v>
      </c>
      <c r="C52" s="6" t="n">
        <v>-1.241254722473026</v>
      </c>
      <c r="D52" s="6" t="n">
        <v>-0.6643398492724805</v>
      </c>
      <c r="E52" s="6" t="n">
        <v>-1.090641679553016</v>
      </c>
      <c r="F52" s="6" t="n">
        <v>-1.786844513613144</v>
      </c>
      <c r="G52" s="5" t="n">
        <v>1</v>
      </c>
      <c r="H52" s="5" t="n">
        <v>0</v>
      </c>
      <c r="I52" s="5" t="n">
        <v>0</v>
      </c>
      <c r="J52" s="5" t="n">
        <v>0</v>
      </c>
      <c r="K52" s="5" t="n">
        <v>0</v>
      </c>
      <c r="L52" s="5" t="n">
        <v>0</v>
      </c>
      <c r="M52" s="5" t="n">
        <v>1</v>
      </c>
      <c r="N52" s="5" t="n">
        <v>0</v>
      </c>
      <c r="O52" s="5" t="n">
        <v>0</v>
      </c>
      <c r="P52" s="5" t="n">
        <v>1</v>
      </c>
      <c r="Q52" s="5" t="n">
        <v>0</v>
      </c>
      <c r="R52" s="5" t="n">
        <v>1</v>
      </c>
      <c r="S52" s="5" t="n">
        <v>0</v>
      </c>
      <c r="T52" s="5" t="n">
        <v>0</v>
      </c>
      <c r="U52" s="5" t="inlineStr">
        <is>
          <t>training</t>
        </is>
      </c>
    </row>
    <row r="53">
      <c r="A53" s="5" t="n">
        <v>49</v>
      </c>
      <c r="B53" s="5" t="n">
        <v>0</v>
      </c>
      <c r="C53" s="6" t="n">
        <v>-0.8199599660091405</v>
      </c>
      <c r="D53" s="6" t="n">
        <v>1.391629901411686</v>
      </c>
      <c r="E53" s="6" t="n">
        <v>0.3009266516151065</v>
      </c>
      <c r="F53" s="6" t="n">
        <v>-1.786844513613144</v>
      </c>
      <c r="G53" s="5" t="n">
        <v>0</v>
      </c>
      <c r="H53" s="5" t="n">
        <v>0</v>
      </c>
      <c r="I53" s="5" t="n">
        <v>0</v>
      </c>
      <c r="J53" s="5" t="n">
        <v>1</v>
      </c>
      <c r="K53" s="5" t="n">
        <v>0</v>
      </c>
      <c r="L53" s="5" t="n">
        <v>0</v>
      </c>
      <c r="M53" s="5" t="n">
        <v>0</v>
      </c>
      <c r="N53" s="5" t="n">
        <v>0</v>
      </c>
      <c r="O53" s="5" t="n">
        <v>0</v>
      </c>
      <c r="P53" s="5" t="n">
        <v>0</v>
      </c>
      <c r="Q53" s="5" t="n">
        <v>0</v>
      </c>
      <c r="R53" s="5" t="n">
        <v>1</v>
      </c>
      <c r="S53" s="5" t="n">
        <v>0</v>
      </c>
      <c r="T53" s="5" t="n">
        <v>0</v>
      </c>
      <c r="U53" s="5" t="inlineStr">
        <is>
          <t>training</t>
        </is>
      </c>
    </row>
    <row r="54">
      <c r="A54" s="5" t="n">
        <v>50</v>
      </c>
      <c r="B54" s="5" t="n">
        <v>0</v>
      </c>
      <c r="C54" s="6" t="n">
        <v>-0.7357010147163632</v>
      </c>
      <c r="D54" s="6" t="n">
        <v>-0.4120671824509549</v>
      </c>
      <c r="E54" s="6" t="n">
        <v>-0.6557765760629775</v>
      </c>
      <c r="F54" s="6" t="n">
        <v>0.9185437189662378</v>
      </c>
      <c r="G54" s="5" t="n">
        <v>0</v>
      </c>
      <c r="H54" s="5" t="n">
        <v>0</v>
      </c>
      <c r="I54" s="5" t="n">
        <v>0</v>
      </c>
      <c r="J54" s="5" t="n">
        <v>0</v>
      </c>
      <c r="K54" s="5" t="n">
        <v>0</v>
      </c>
      <c r="L54" s="5" t="n">
        <v>0</v>
      </c>
      <c r="M54" s="5" t="n">
        <v>1</v>
      </c>
      <c r="N54" s="5" t="n">
        <v>0</v>
      </c>
      <c r="O54" s="5" t="n">
        <v>0</v>
      </c>
      <c r="P54" s="5" t="n">
        <v>0</v>
      </c>
      <c r="Q54" s="5" t="n">
        <v>0</v>
      </c>
      <c r="R54" s="5" t="n">
        <v>0</v>
      </c>
      <c r="S54" s="5" t="n">
        <v>1</v>
      </c>
      <c r="T54" s="5" t="n">
        <v>0</v>
      </c>
      <c r="U54" s="5" t="inlineStr">
        <is>
          <t>training</t>
        </is>
      </c>
    </row>
    <row r="55">
      <c r="A55" s="5" t="n">
        <v>51</v>
      </c>
      <c r="B55" s="5" t="n">
        <v>0</v>
      </c>
      <c r="C55" s="6" t="n">
        <v>0.275406400796963</v>
      </c>
      <c r="D55" s="6" t="n">
        <v>-0.3210950695888237</v>
      </c>
      <c r="E55" s="6" t="n">
        <v>-0.5688035553649698</v>
      </c>
      <c r="F55" s="6" t="n">
        <v>0.9185437189662378</v>
      </c>
      <c r="G55" s="5" t="n">
        <v>0</v>
      </c>
      <c r="H55" s="5" t="n">
        <v>1</v>
      </c>
      <c r="I55" s="5" t="n">
        <v>0</v>
      </c>
      <c r="J55" s="5" t="n">
        <v>0</v>
      </c>
      <c r="K55" s="5" t="n">
        <v>1</v>
      </c>
      <c r="L55" s="5" t="n">
        <v>0</v>
      </c>
      <c r="M55" s="5" t="n">
        <v>0</v>
      </c>
      <c r="N55" s="5" t="n">
        <v>0</v>
      </c>
      <c r="O55" s="5" t="n">
        <v>1</v>
      </c>
      <c r="P55" s="5" t="n">
        <v>0</v>
      </c>
      <c r="Q55" s="5" t="n">
        <v>0</v>
      </c>
      <c r="R55" s="5" t="n">
        <v>0</v>
      </c>
      <c r="S55" s="5" t="n">
        <v>0</v>
      </c>
      <c r="T55" s="5" t="n">
        <v>1</v>
      </c>
      <c r="U55" s="5" t="inlineStr">
        <is>
          <t>testing</t>
        </is>
      </c>
    </row>
    <row r="56">
      <c r="A56" s="5" t="n">
        <v>52</v>
      </c>
      <c r="B56" s="5" t="n">
        <v>0</v>
      </c>
      <c r="C56" s="6" t="n">
        <v>0.5281832546752946</v>
      </c>
      <c r="D56" s="6" t="n">
        <v>0.9497153685467946</v>
      </c>
      <c r="E56" s="6" t="n">
        <v>-0.4818305346669622</v>
      </c>
      <c r="F56" s="6" t="n">
        <v>-1.786844513613144</v>
      </c>
      <c r="G56" s="5" t="n">
        <v>0</v>
      </c>
      <c r="H56" s="5" t="n">
        <v>1</v>
      </c>
      <c r="I56" s="5" t="n">
        <v>0</v>
      </c>
      <c r="J56" s="5" t="n">
        <v>0</v>
      </c>
      <c r="K56" s="5" t="n">
        <v>1</v>
      </c>
      <c r="L56" s="5" t="n">
        <v>0</v>
      </c>
      <c r="M56" s="5" t="n">
        <v>0</v>
      </c>
      <c r="N56" s="5" t="n">
        <v>0</v>
      </c>
      <c r="O56" s="5" t="n">
        <v>0</v>
      </c>
      <c r="P56" s="5" t="n">
        <v>0</v>
      </c>
      <c r="Q56" s="5" t="n">
        <v>0</v>
      </c>
      <c r="R56" s="5" t="n">
        <v>1</v>
      </c>
      <c r="S56" s="5" t="n">
        <v>0</v>
      </c>
      <c r="T56" s="5" t="n">
        <v>0</v>
      </c>
      <c r="U56" s="5" t="inlineStr">
        <is>
          <t>training</t>
        </is>
      </c>
    </row>
    <row r="57">
      <c r="A57" s="5" t="n">
        <v>53</v>
      </c>
      <c r="B57" s="5" t="n">
        <v>0</v>
      </c>
      <c r="C57" s="6" t="n">
        <v>-0.7357010147163632</v>
      </c>
      <c r="D57" s="6" t="n">
        <v>-0.695830196032449</v>
      </c>
      <c r="E57" s="6" t="n">
        <v>-0.9166956381570004</v>
      </c>
      <c r="F57" s="6" t="n">
        <v>0.01674764143977723</v>
      </c>
      <c r="G57" s="5" t="n">
        <v>0</v>
      </c>
      <c r="H57" s="5" t="n">
        <v>0</v>
      </c>
      <c r="I57" s="5" t="n">
        <v>0</v>
      </c>
      <c r="J57" s="5" t="n">
        <v>0</v>
      </c>
      <c r="K57" s="5" t="n">
        <v>0</v>
      </c>
      <c r="L57" s="5" t="n">
        <v>0</v>
      </c>
      <c r="M57" s="5" t="n">
        <v>0</v>
      </c>
      <c r="N57" s="5" t="n">
        <v>0</v>
      </c>
      <c r="O57" s="5" t="n">
        <v>0</v>
      </c>
      <c r="P57" s="5" t="n">
        <v>0</v>
      </c>
      <c r="Q57" s="5" t="n">
        <v>0</v>
      </c>
      <c r="R57" s="5" t="n">
        <v>0</v>
      </c>
      <c r="S57" s="5" t="n">
        <v>1</v>
      </c>
      <c r="T57" s="5" t="n">
        <v>0</v>
      </c>
      <c r="U57" s="5" t="inlineStr">
        <is>
          <t>testing</t>
        </is>
      </c>
    </row>
    <row r="58">
      <c r="A58" s="5" t="n">
        <v>54</v>
      </c>
      <c r="B58" s="5" t="n">
        <v>0</v>
      </c>
      <c r="C58" s="6" t="n">
        <v>-0.2301473069597001</v>
      </c>
      <c r="D58" s="6" t="n">
        <v>0.04454284556858856</v>
      </c>
      <c r="E58" s="6" t="n">
        <v>-0.3948575139689546</v>
      </c>
      <c r="F58" s="6" t="n">
        <v>-0.8850484360866833</v>
      </c>
      <c r="G58" s="5" t="n">
        <v>0</v>
      </c>
      <c r="H58" s="5" t="n">
        <v>0</v>
      </c>
      <c r="I58" s="5" t="n">
        <v>0</v>
      </c>
      <c r="J58" s="5" t="n">
        <v>0</v>
      </c>
      <c r="K58" s="5" t="n">
        <v>0</v>
      </c>
      <c r="L58" s="5" t="n">
        <v>0</v>
      </c>
      <c r="M58" s="5" t="n">
        <v>0</v>
      </c>
      <c r="N58" s="5" t="n">
        <v>0</v>
      </c>
      <c r="O58" s="5" t="n">
        <v>1</v>
      </c>
      <c r="P58" s="5" t="n">
        <v>0</v>
      </c>
      <c r="Q58" s="5" t="n">
        <v>0</v>
      </c>
      <c r="R58" s="5" t="n">
        <v>1</v>
      </c>
      <c r="S58" s="5" t="n">
        <v>0</v>
      </c>
      <c r="T58" s="5" t="n">
        <v>0</v>
      </c>
      <c r="U58" s="5" t="inlineStr">
        <is>
          <t>testing</t>
        </is>
      </c>
    </row>
    <row r="59">
      <c r="A59" s="5" t="n">
        <v>55</v>
      </c>
      <c r="B59" s="5" t="n">
        <v>1</v>
      </c>
      <c r="C59" s="6" t="n">
        <v>1.286513816310289</v>
      </c>
      <c r="D59" s="6" t="n">
        <v>-0.3588834857007859</v>
      </c>
      <c r="E59" s="6" t="n">
        <v>1.866441024179244</v>
      </c>
      <c r="F59" s="6" t="n">
        <v>0.9185437189662378</v>
      </c>
      <c r="G59" s="5" t="n">
        <v>0</v>
      </c>
      <c r="H59" s="5" t="n">
        <v>1</v>
      </c>
      <c r="I59" s="5" t="n">
        <v>0</v>
      </c>
      <c r="J59" s="5" t="n">
        <v>0</v>
      </c>
      <c r="K59" s="5" t="n">
        <v>1</v>
      </c>
      <c r="L59" s="5" t="n">
        <v>0</v>
      </c>
      <c r="M59" s="5" t="n">
        <v>0</v>
      </c>
      <c r="N59" s="5" t="n">
        <v>0</v>
      </c>
      <c r="O59" s="5" t="n">
        <v>0</v>
      </c>
      <c r="P59" s="5" t="n">
        <v>0</v>
      </c>
      <c r="Q59" s="5" t="n">
        <v>1</v>
      </c>
      <c r="R59" s="5" t="n">
        <v>1</v>
      </c>
      <c r="S59" s="5" t="n">
        <v>0</v>
      </c>
      <c r="T59" s="5" t="n">
        <v>0</v>
      </c>
      <c r="U59" s="5" t="inlineStr">
        <is>
          <t>training</t>
        </is>
      </c>
    </row>
    <row r="60">
      <c r="A60" s="5" t="n">
        <v>56</v>
      </c>
      <c r="B60" s="5" t="n">
        <v>0</v>
      </c>
      <c r="C60" s="6" t="n">
        <v>-1.241254722473026</v>
      </c>
      <c r="D60" s="6" t="n">
        <v>-0.863428819343837</v>
      </c>
      <c r="E60" s="6" t="n">
        <v>-0.8297226174589928</v>
      </c>
      <c r="F60" s="6" t="n">
        <v>-1.786844513613144</v>
      </c>
      <c r="G60" s="5" t="n">
        <v>0</v>
      </c>
      <c r="H60" s="5" t="n">
        <v>0</v>
      </c>
      <c r="I60" s="5" t="n">
        <v>0</v>
      </c>
      <c r="J60" s="5" t="n">
        <v>0</v>
      </c>
      <c r="K60" s="5" t="n">
        <v>0</v>
      </c>
      <c r="L60" s="5" t="n">
        <v>1</v>
      </c>
      <c r="M60" s="5" t="n">
        <v>0</v>
      </c>
      <c r="N60" s="5" t="n">
        <v>0</v>
      </c>
      <c r="O60" s="5" t="n">
        <v>1</v>
      </c>
      <c r="P60" s="5" t="n">
        <v>0</v>
      </c>
      <c r="Q60" s="5" t="n">
        <v>0</v>
      </c>
      <c r="R60" s="5" t="n">
        <v>1</v>
      </c>
      <c r="S60" s="5" t="n">
        <v>0</v>
      </c>
      <c r="T60" s="5" t="n">
        <v>0</v>
      </c>
      <c r="U60" s="5" t="inlineStr">
        <is>
          <t>testing</t>
        </is>
      </c>
    </row>
    <row r="61">
      <c r="A61" s="5" t="n">
        <v>57</v>
      </c>
      <c r="B61" s="5" t="n">
        <v>1</v>
      </c>
      <c r="C61" s="6" t="n">
        <v>-0.7357010147163632</v>
      </c>
      <c r="D61" s="6" t="n">
        <v>1.125711417660841</v>
      </c>
      <c r="E61" s="6" t="n">
        <v>1.431575920689206</v>
      </c>
      <c r="F61" s="6" t="n">
        <v>-0.8850484360866833</v>
      </c>
      <c r="G61" s="5" t="n">
        <v>0</v>
      </c>
      <c r="H61" s="5" t="n">
        <v>1</v>
      </c>
      <c r="I61" s="5" t="n">
        <v>0</v>
      </c>
      <c r="J61" s="5" t="n">
        <v>0</v>
      </c>
      <c r="K61" s="5" t="n">
        <v>0</v>
      </c>
      <c r="L61" s="5" t="n">
        <v>0</v>
      </c>
      <c r="M61" s="5" t="n">
        <v>0</v>
      </c>
      <c r="N61" s="5" t="n">
        <v>0</v>
      </c>
      <c r="O61" s="5" t="n">
        <v>1</v>
      </c>
      <c r="P61" s="5" t="n">
        <v>0</v>
      </c>
      <c r="Q61" s="5" t="n">
        <v>0</v>
      </c>
      <c r="R61" s="5" t="n">
        <v>0</v>
      </c>
      <c r="S61" s="5" t="n">
        <v>1</v>
      </c>
      <c r="T61" s="5" t="n">
        <v>0</v>
      </c>
      <c r="U61" s="5" t="inlineStr">
        <is>
          <t>training</t>
        </is>
      </c>
    </row>
    <row r="62">
      <c r="A62" s="5" t="n">
        <v>58</v>
      </c>
      <c r="B62" s="5" t="n">
        <v>0</v>
      </c>
      <c r="C62" s="6" t="n">
        <v>1.286513816310289</v>
      </c>
      <c r="D62" s="6" t="n">
        <v>2.209679131687313</v>
      </c>
      <c r="E62" s="6" t="n">
        <v>-0.3948575139689546</v>
      </c>
      <c r="F62" s="6" t="n">
        <v>-0.8850484360866833</v>
      </c>
      <c r="G62" s="5" t="n">
        <v>0</v>
      </c>
      <c r="H62" s="5" t="n">
        <v>0</v>
      </c>
      <c r="I62" s="5" t="n">
        <v>0</v>
      </c>
      <c r="J62" s="5" t="n">
        <v>1</v>
      </c>
      <c r="K62" s="5" t="n">
        <v>0</v>
      </c>
      <c r="L62" s="5" t="n">
        <v>0</v>
      </c>
      <c r="M62" s="5" t="n">
        <v>0</v>
      </c>
      <c r="N62" s="5" t="n">
        <v>0</v>
      </c>
      <c r="O62" s="5" t="n">
        <v>0</v>
      </c>
      <c r="P62" s="5" t="n">
        <v>0</v>
      </c>
      <c r="Q62" s="5" t="n">
        <v>0</v>
      </c>
      <c r="R62" s="5" t="n">
        <v>0</v>
      </c>
      <c r="S62" s="5" t="n">
        <v>1</v>
      </c>
      <c r="T62" s="5" t="n">
        <v>0</v>
      </c>
      <c r="U62" s="5" t="inlineStr">
        <is>
          <t>testing</t>
        </is>
      </c>
    </row>
    <row r="63">
      <c r="A63" s="5" t="n">
        <v>59</v>
      </c>
      <c r="B63" s="5" t="n">
        <v>0</v>
      </c>
      <c r="C63" s="6" t="n">
        <v>-0.2301473069597001</v>
      </c>
      <c r="D63" s="6" t="n">
        <v>-0.4512551695300269</v>
      </c>
      <c r="E63" s="6" t="n">
        <v>-1.090641679553016</v>
      </c>
      <c r="F63" s="6" t="n">
        <v>0.01674764143977723</v>
      </c>
      <c r="G63" s="5" t="n">
        <v>0</v>
      </c>
      <c r="H63" s="5" t="n">
        <v>0</v>
      </c>
      <c r="I63" s="5" t="n">
        <v>1</v>
      </c>
      <c r="J63" s="5" t="n">
        <v>0</v>
      </c>
      <c r="K63" s="5" t="n">
        <v>0</v>
      </c>
      <c r="L63" s="5" t="n">
        <v>0</v>
      </c>
      <c r="M63" s="5" t="n">
        <v>0</v>
      </c>
      <c r="N63" s="5" t="n">
        <v>0</v>
      </c>
      <c r="O63" s="5" t="n">
        <v>0</v>
      </c>
      <c r="P63" s="5" t="n">
        <v>0</v>
      </c>
      <c r="Q63" s="5" t="n">
        <v>0</v>
      </c>
      <c r="R63" s="5" t="n">
        <v>1</v>
      </c>
      <c r="S63" s="5" t="n">
        <v>0</v>
      </c>
      <c r="T63" s="5" t="n">
        <v>0</v>
      </c>
      <c r="U63" s="5" t="inlineStr">
        <is>
          <t>training</t>
        </is>
      </c>
    </row>
    <row r="64">
      <c r="A64" s="5" t="n">
        <v>60</v>
      </c>
      <c r="B64" s="5" t="n">
        <v>1</v>
      </c>
      <c r="C64" s="6" t="n">
        <v>1.286513816310289</v>
      </c>
      <c r="D64" s="6" t="n">
        <v>1.042087052376036</v>
      </c>
      <c r="E64" s="6" t="n">
        <v>-1.090641679553016</v>
      </c>
      <c r="F64" s="6" t="n">
        <v>0.9185437189662378</v>
      </c>
      <c r="G64" s="5" t="n">
        <v>1</v>
      </c>
      <c r="H64" s="5" t="n">
        <v>0</v>
      </c>
      <c r="I64" s="5" t="n">
        <v>0</v>
      </c>
      <c r="J64" s="5" t="n">
        <v>1</v>
      </c>
      <c r="K64" s="5" t="n">
        <v>0</v>
      </c>
      <c r="L64" s="5" t="n">
        <v>0</v>
      </c>
      <c r="M64" s="5" t="n">
        <v>0</v>
      </c>
      <c r="N64" s="5" t="n">
        <v>0</v>
      </c>
      <c r="O64" s="5" t="n">
        <v>0</v>
      </c>
      <c r="P64" s="5" t="n">
        <v>1</v>
      </c>
      <c r="Q64" s="5" t="n">
        <v>0</v>
      </c>
      <c r="R64" s="5" t="n">
        <v>0</v>
      </c>
      <c r="S64" s="5" t="n">
        <v>0</v>
      </c>
      <c r="T64" s="5" t="n">
        <v>1</v>
      </c>
      <c r="U64" s="5" t="inlineStr">
        <is>
          <t>training</t>
        </is>
      </c>
    </row>
    <row r="65">
      <c r="A65" s="5" t="n">
        <v>61</v>
      </c>
      <c r="B65" s="5" t="n">
        <v>0</v>
      </c>
      <c r="C65" s="6" t="n">
        <v>-0.9884778685946948</v>
      </c>
      <c r="D65" s="6" t="n">
        <v>-0.6506940323431608</v>
      </c>
      <c r="E65" s="6" t="n">
        <v>-0.7427495967609852</v>
      </c>
      <c r="F65" s="6" t="n">
        <v>-0.8850484360866833</v>
      </c>
      <c r="G65" s="5" t="n">
        <v>0</v>
      </c>
      <c r="H65" s="5" t="n">
        <v>1</v>
      </c>
      <c r="I65" s="5" t="n">
        <v>0</v>
      </c>
      <c r="J65" s="5" t="n">
        <v>0</v>
      </c>
      <c r="K65" s="5" t="n">
        <v>0</v>
      </c>
      <c r="L65" s="5" t="n">
        <v>0</v>
      </c>
      <c r="M65" s="5" t="n">
        <v>0</v>
      </c>
      <c r="N65" s="5" t="n">
        <v>0</v>
      </c>
      <c r="O65" s="5" t="n">
        <v>0</v>
      </c>
      <c r="P65" s="5" t="n">
        <v>0</v>
      </c>
      <c r="Q65" s="5" t="n">
        <v>0</v>
      </c>
      <c r="R65" s="5" t="n">
        <v>0</v>
      </c>
      <c r="S65" s="5" t="n">
        <v>0</v>
      </c>
      <c r="T65" s="5" t="n">
        <v>0</v>
      </c>
      <c r="U65" s="5" t="inlineStr">
        <is>
          <t>testing</t>
        </is>
      </c>
    </row>
    <row r="66">
      <c r="A66" s="5" t="n">
        <v>62</v>
      </c>
      <c r="B66" s="5" t="n">
        <v>0</v>
      </c>
      <c r="C66" s="6" t="n">
        <v>-0.4829241608380317</v>
      </c>
      <c r="D66" s="6" t="n">
        <v>-0.5996096920436563</v>
      </c>
      <c r="E66" s="6" t="n">
        <v>1.257629879293191</v>
      </c>
      <c r="F66" s="6" t="n">
        <v>0.9185437189662378</v>
      </c>
      <c r="G66" s="5" t="n">
        <v>0</v>
      </c>
      <c r="H66" s="5" t="n">
        <v>1</v>
      </c>
      <c r="I66" s="5" t="n">
        <v>0</v>
      </c>
      <c r="J66" s="5" t="n">
        <v>1</v>
      </c>
      <c r="K66" s="5" t="n">
        <v>0</v>
      </c>
      <c r="L66" s="5" t="n">
        <v>0</v>
      </c>
      <c r="M66" s="5" t="n">
        <v>0</v>
      </c>
      <c r="N66" s="5" t="n">
        <v>0</v>
      </c>
      <c r="O66" s="5" t="n">
        <v>1</v>
      </c>
      <c r="P66" s="5" t="n">
        <v>0</v>
      </c>
      <c r="Q66" s="5" t="n">
        <v>0</v>
      </c>
      <c r="R66" s="5" t="n">
        <v>0</v>
      </c>
      <c r="S66" s="5" t="n">
        <v>1</v>
      </c>
      <c r="T66" s="5" t="n">
        <v>0</v>
      </c>
      <c r="U66" s="5" t="inlineStr">
        <is>
          <t>training</t>
        </is>
      </c>
    </row>
    <row r="67">
      <c r="A67" s="5" t="n">
        <v>63</v>
      </c>
      <c r="B67" s="5" t="n">
        <v>1</v>
      </c>
      <c r="C67" s="6" t="n">
        <v>1.286513816310289</v>
      </c>
      <c r="D67" s="6" t="n">
        <v>-0.4540543114642463</v>
      </c>
      <c r="E67" s="6" t="n">
        <v>2.214333106971274</v>
      </c>
      <c r="F67" s="6" t="n">
        <v>0.9185437189662378</v>
      </c>
      <c r="G67" s="5" t="n">
        <v>0</v>
      </c>
      <c r="H67" s="5" t="n">
        <v>1</v>
      </c>
      <c r="I67" s="5" t="n">
        <v>0</v>
      </c>
      <c r="J67" s="5" t="n">
        <v>0</v>
      </c>
      <c r="K67" s="5" t="n">
        <v>0</v>
      </c>
      <c r="L67" s="5" t="n">
        <v>1</v>
      </c>
      <c r="M67" s="5" t="n">
        <v>0</v>
      </c>
      <c r="N67" s="5" t="n">
        <v>0</v>
      </c>
      <c r="O67" s="5" t="n">
        <v>0</v>
      </c>
      <c r="P67" s="5" t="n">
        <v>0</v>
      </c>
      <c r="Q67" s="5" t="n">
        <v>1</v>
      </c>
      <c r="R67" s="5" t="n">
        <v>0</v>
      </c>
      <c r="S67" s="5" t="n">
        <v>0</v>
      </c>
      <c r="T67" s="5" t="n">
        <v>0</v>
      </c>
      <c r="U67" s="5" t="inlineStr">
        <is>
          <t>training</t>
        </is>
      </c>
    </row>
    <row r="68">
      <c r="A68" s="5" t="n">
        <v>64</v>
      </c>
      <c r="B68" s="5" t="n">
        <v>1</v>
      </c>
      <c r="C68" s="6" t="n">
        <v>2.297621231823615</v>
      </c>
      <c r="D68" s="6" t="n">
        <v>3.908408393016725</v>
      </c>
      <c r="E68" s="6" t="n">
        <v>-0.9166956381570004</v>
      </c>
      <c r="F68" s="6" t="n">
        <v>-0.8850484360866833</v>
      </c>
      <c r="G68" s="5" t="n">
        <v>0</v>
      </c>
      <c r="H68" s="5" t="n">
        <v>1</v>
      </c>
      <c r="I68" s="5" t="n">
        <v>0</v>
      </c>
      <c r="J68" s="5" t="n">
        <v>0</v>
      </c>
      <c r="K68" s="5" t="n">
        <v>0</v>
      </c>
      <c r="L68" s="5" t="n">
        <v>1</v>
      </c>
      <c r="M68" s="5" t="n">
        <v>0</v>
      </c>
      <c r="N68" s="5" t="n">
        <v>0</v>
      </c>
      <c r="O68" s="5" t="n">
        <v>0</v>
      </c>
      <c r="P68" s="5" t="n">
        <v>0</v>
      </c>
      <c r="Q68" s="5" t="n">
        <v>0</v>
      </c>
      <c r="R68" s="5" t="n">
        <v>0</v>
      </c>
      <c r="S68" s="5" t="n">
        <v>0</v>
      </c>
      <c r="T68" s="5" t="n">
        <v>0</v>
      </c>
      <c r="U68" s="5" t="inlineStr">
        <is>
          <t>training</t>
        </is>
      </c>
    </row>
    <row r="69">
      <c r="A69" s="5" t="n">
        <v>65</v>
      </c>
      <c r="B69" s="5" t="n">
        <v>0</v>
      </c>
      <c r="C69" s="6" t="n">
        <v>0.275406400796963</v>
      </c>
      <c r="D69" s="6" t="n">
        <v>-0.02438602456156475</v>
      </c>
      <c r="E69" s="6" t="n">
        <v>-0.8297226174589928</v>
      </c>
      <c r="F69" s="6" t="n">
        <v>0.9185437189662378</v>
      </c>
      <c r="G69" s="5" t="n">
        <v>0</v>
      </c>
      <c r="H69" s="5" t="n">
        <v>0</v>
      </c>
      <c r="I69" s="5" t="n">
        <v>0</v>
      </c>
      <c r="J69" s="5" t="n">
        <v>0</v>
      </c>
      <c r="K69" s="5" t="n">
        <v>0</v>
      </c>
      <c r="L69" s="5" t="n">
        <v>0</v>
      </c>
      <c r="M69" s="5" t="n">
        <v>0</v>
      </c>
      <c r="N69" s="5" t="n">
        <v>0</v>
      </c>
      <c r="O69" s="5" t="n">
        <v>0</v>
      </c>
      <c r="P69" s="5" t="n">
        <v>0</v>
      </c>
      <c r="Q69" s="5" t="n">
        <v>0</v>
      </c>
      <c r="R69" s="5" t="n">
        <v>0</v>
      </c>
      <c r="S69" s="5" t="n">
        <v>1</v>
      </c>
      <c r="T69" s="5" t="n">
        <v>0</v>
      </c>
      <c r="U69" s="5" t="inlineStr">
        <is>
          <t>training</t>
        </is>
      </c>
    </row>
    <row r="70">
      <c r="A70" s="5" t="n">
        <v>66</v>
      </c>
      <c r="B70" s="5" t="n">
        <v>0</v>
      </c>
      <c r="C70" s="6" t="n">
        <v>0.5281832546752946</v>
      </c>
      <c r="D70" s="6" t="n">
        <v>0.678548493669288</v>
      </c>
      <c r="E70" s="6" t="n">
        <v>1.083683837897175</v>
      </c>
      <c r="F70" s="6" t="n">
        <v>0.9185437189662378</v>
      </c>
      <c r="G70" s="5" t="n">
        <v>0</v>
      </c>
      <c r="H70" s="5" t="n">
        <v>0</v>
      </c>
      <c r="I70" s="5" t="n">
        <v>0</v>
      </c>
      <c r="J70" s="5" t="n">
        <v>0</v>
      </c>
      <c r="K70" s="5" t="n">
        <v>0</v>
      </c>
      <c r="L70" s="5" t="n">
        <v>0</v>
      </c>
      <c r="M70" s="5" t="n">
        <v>0</v>
      </c>
      <c r="N70" s="5" t="n">
        <v>0</v>
      </c>
      <c r="O70" s="5" t="n">
        <v>1</v>
      </c>
      <c r="P70" s="5" t="n">
        <v>0</v>
      </c>
      <c r="Q70" s="5" t="n">
        <v>0</v>
      </c>
      <c r="R70" s="5" t="n">
        <v>0</v>
      </c>
      <c r="S70" s="5" t="n">
        <v>0</v>
      </c>
      <c r="T70" s="5" t="n">
        <v>0</v>
      </c>
      <c r="U70" s="5" t="inlineStr">
        <is>
          <t>training</t>
        </is>
      </c>
    </row>
    <row r="71">
      <c r="A71" s="5" t="n">
        <v>67</v>
      </c>
      <c r="B71" s="5" t="n">
        <v>0</v>
      </c>
      <c r="C71" s="6" t="n">
        <v>-0.7357010147163632</v>
      </c>
      <c r="D71" s="6" t="n">
        <v>-0.377777693756767</v>
      </c>
      <c r="E71" s="6" t="n">
        <v>-0.5688035553649698</v>
      </c>
      <c r="F71" s="6" t="n">
        <v>-0.8850484360866833</v>
      </c>
      <c r="G71" s="5" t="n">
        <v>0</v>
      </c>
      <c r="H71" s="5" t="n">
        <v>0</v>
      </c>
      <c r="I71" s="5" t="n">
        <v>0</v>
      </c>
      <c r="J71" s="5" t="n">
        <v>0</v>
      </c>
      <c r="K71" s="5" t="n">
        <v>0</v>
      </c>
      <c r="L71" s="5" t="n">
        <v>0</v>
      </c>
      <c r="M71" s="5" t="n">
        <v>0</v>
      </c>
      <c r="N71" s="5" t="n">
        <v>0</v>
      </c>
      <c r="O71" s="5" t="n">
        <v>0</v>
      </c>
      <c r="P71" s="5" t="n">
        <v>0</v>
      </c>
      <c r="Q71" s="5" t="n">
        <v>0</v>
      </c>
      <c r="R71" s="5" t="n">
        <v>0</v>
      </c>
      <c r="S71" s="5" t="n">
        <v>1</v>
      </c>
      <c r="T71" s="5" t="n">
        <v>0</v>
      </c>
      <c r="U71" s="5" t="inlineStr">
        <is>
          <t>training</t>
        </is>
      </c>
    </row>
    <row r="72">
      <c r="A72" s="5" t="n">
        <v>68</v>
      </c>
      <c r="B72" s="5" t="n">
        <v>0</v>
      </c>
      <c r="C72" s="6" t="n">
        <v>-0.7357010147163632</v>
      </c>
      <c r="D72" s="6" t="n">
        <v>-0.7850528451856931</v>
      </c>
      <c r="E72" s="6" t="n">
        <v>-1.177614700251023</v>
      </c>
      <c r="F72" s="6" t="n">
        <v>0.9185437189662378</v>
      </c>
      <c r="G72" s="5" t="n">
        <v>0</v>
      </c>
      <c r="H72" s="5" t="n">
        <v>1</v>
      </c>
      <c r="I72" s="5" t="n">
        <v>0</v>
      </c>
      <c r="J72" s="5" t="n">
        <v>0</v>
      </c>
      <c r="K72" s="5" t="n">
        <v>0</v>
      </c>
      <c r="L72" s="5" t="n">
        <v>0</v>
      </c>
      <c r="M72" s="5" t="n">
        <v>0</v>
      </c>
      <c r="N72" s="5" t="n">
        <v>1</v>
      </c>
      <c r="O72" s="5" t="n">
        <v>0</v>
      </c>
      <c r="P72" s="5" t="n">
        <v>0</v>
      </c>
      <c r="Q72" s="5" t="n">
        <v>0</v>
      </c>
      <c r="R72" s="5" t="n">
        <v>1</v>
      </c>
      <c r="S72" s="5" t="n">
        <v>0</v>
      </c>
      <c r="T72" s="5" t="n">
        <v>0</v>
      </c>
      <c r="U72" s="5" t="inlineStr">
        <is>
          <t>training</t>
        </is>
      </c>
    </row>
    <row r="73">
      <c r="A73" s="5" t="n">
        <v>69</v>
      </c>
      <c r="B73" s="5" t="n">
        <v>1</v>
      </c>
      <c r="C73" s="6" t="n">
        <v>1.286513816310289</v>
      </c>
      <c r="D73" s="6" t="n">
        <v>-0.5009399388624216</v>
      </c>
      <c r="E73" s="6" t="n">
        <v>0.1269806102190912</v>
      </c>
      <c r="F73" s="6" t="n">
        <v>0.9185437189662378</v>
      </c>
      <c r="G73" s="5" t="n">
        <v>0</v>
      </c>
      <c r="H73" s="5" t="n">
        <v>0</v>
      </c>
      <c r="I73" s="5" t="n">
        <v>0</v>
      </c>
      <c r="J73" s="5" t="n">
        <v>0</v>
      </c>
      <c r="K73" s="5" t="n">
        <v>0</v>
      </c>
      <c r="L73" s="5" t="n">
        <v>0</v>
      </c>
      <c r="M73" s="5" t="n">
        <v>0</v>
      </c>
      <c r="N73" s="5" t="n">
        <v>0</v>
      </c>
      <c r="O73" s="5" t="n">
        <v>0</v>
      </c>
      <c r="P73" s="5" t="n">
        <v>0</v>
      </c>
      <c r="Q73" s="5" t="n">
        <v>1</v>
      </c>
      <c r="R73" s="5" t="n">
        <v>0</v>
      </c>
      <c r="S73" s="5" t="n">
        <v>0</v>
      </c>
      <c r="T73" s="5" t="n">
        <v>0</v>
      </c>
      <c r="U73" s="5" t="inlineStr">
        <is>
          <t>training</t>
        </is>
      </c>
    </row>
    <row r="74">
      <c r="A74" s="5" t="n">
        <v>70</v>
      </c>
      <c r="B74" s="5" t="n">
        <v>0</v>
      </c>
      <c r="C74" s="6" t="n">
        <v>1.286513816310289</v>
      </c>
      <c r="D74" s="6" t="n">
        <v>-0.2997516123404005</v>
      </c>
      <c r="E74" s="6" t="n">
        <v>-0.9166956381570004</v>
      </c>
      <c r="F74" s="6" t="n">
        <v>0.9185437189662378</v>
      </c>
      <c r="G74" s="5" t="n">
        <v>0</v>
      </c>
      <c r="H74" s="5" t="n">
        <v>0</v>
      </c>
      <c r="I74" s="5" t="n">
        <v>0</v>
      </c>
      <c r="J74" s="5" t="n">
        <v>0</v>
      </c>
      <c r="K74" s="5" t="n">
        <v>0</v>
      </c>
      <c r="L74" s="5" t="n">
        <v>0</v>
      </c>
      <c r="M74" s="5" t="n">
        <v>0</v>
      </c>
      <c r="N74" s="5" t="n">
        <v>0</v>
      </c>
      <c r="O74" s="5" t="n">
        <v>1</v>
      </c>
      <c r="P74" s="5" t="n">
        <v>0</v>
      </c>
      <c r="Q74" s="5" t="n">
        <v>0</v>
      </c>
      <c r="R74" s="5" t="n">
        <v>0</v>
      </c>
      <c r="S74" s="5" t="n">
        <v>1</v>
      </c>
      <c r="T74" s="5" t="n">
        <v>0</v>
      </c>
      <c r="U74" s="5" t="inlineStr">
        <is>
          <t>testing</t>
        </is>
      </c>
    </row>
    <row r="75">
      <c r="A75" s="5" t="n">
        <v>71</v>
      </c>
      <c r="B75" s="5" t="n">
        <v>0</v>
      </c>
      <c r="C75" s="6" t="n">
        <v>1.286513816310289</v>
      </c>
      <c r="D75" s="6" t="n">
        <v>1.708282832720259</v>
      </c>
      <c r="E75" s="6" t="n">
        <v>-0.4818305346669622</v>
      </c>
      <c r="F75" s="6" t="n">
        <v>-1.786844513613144</v>
      </c>
      <c r="G75" s="5" t="n">
        <v>0</v>
      </c>
      <c r="H75" s="5" t="n">
        <v>0</v>
      </c>
      <c r="I75" s="5" t="n">
        <v>0</v>
      </c>
      <c r="J75" s="5" t="n">
        <v>0</v>
      </c>
      <c r="K75" s="5" t="n">
        <v>0</v>
      </c>
      <c r="L75" s="5" t="n">
        <v>0</v>
      </c>
      <c r="M75" s="5" t="n">
        <v>0</v>
      </c>
      <c r="N75" s="5" t="n">
        <v>0</v>
      </c>
      <c r="O75" s="5" t="n">
        <v>0</v>
      </c>
      <c r="P75" s="5" t="n">
        <v>0</v>
      </c>
      <c r="Q75" s="5" t="n">
        <v>0</v>
      </c>
      <c r="R75" s="5" t="n">
        <v>1</v>
      </c>
      <c r="S75" s="5" t="n">
        <v>0</v>
      </c>
      <c r="T75" s="5" t="n">
        <v>0</v>
      </c>
      <c r="U75" s="5" t="inlineStr">
        <is>
          <t>training</t>
        </is>
      </c>
    </row>
    <row r="76">
      <c r="A76" s="5" t="n">
        <v>72</v>
      </c>
      <c r="B76" s="5" t="n">
        <v>0</v>
      </c>
      <c r="C76" s="6" t="n">
        <v>-1.156995771180249</v>
      </c>
      <c r="D76" s="6" t="n">
        <v>-0.8819731346580406</v>
      </c>
      <c r="E76" s="6" t="n">
        <v>0.9097377965011599</v>
      </c>
      <c r="F76" s="6" t="n">
        <v>0.9185437189662378</v>
      </c>
      <c r="G76" s="5" t="n">
        <v>0</v>
      </c>
      <c r="H76" s="5" t="n">
        <v>0</v>
      </c>
      <c r="I76" s="5" t="n">
        <v>0</v>
      </c>
      <c r="J76" s="5" t="n">
        <v>1</v>
      </c>
      <c r="K76" s="5" t="n">
        <v>0</v>
      </c>
      <c r="L76" s="5" t="n">
        <v>0</v>
      </c>
      <c r="M76" s="5" t="n">
        <v>0</v>
      </c>
      <c r="N76" s="5" t="n">
        <v>0</v>
      </c>
      <c r="O76" s="5" t="n">
        <v>1</v>
      </c>
      <c r="P76" s="5" t="n">
        <v>1</v>
      </c>
      <c r="Q76" s="5" t="n">
        <v>0</v>
      </c>
      <c r="R76" s="5" t="n">
        <v>0</v>
      </c>
      <c r="S76" s="5" t="n">
        <v>1</v>
      </c>
      <c r="T76" s="5" t="n">
        <v>0</v>
      </c>
      <c r="U76" s="5" t="inlineStr">
        <is>
          <t>testing</t>
        </is>
      </c>
    </row>
    <row r="77">
      <c r="A77" s="5" t="n">
        <v>73</v>
      </c>
      <c r="B77" s="5" t="n">
        <v>0</v>
      </c>
      <c r="C77" s="6" t="n">
        <v>-1.072736819887472</v>
      </c>
      <c r="D77" s="6" t="n">
        <v>-0.7301196847266369</v>
      </c>
      <c r="E77" s="6" t="n">
        <v>1.344602899991198</v>
      </c>
      <c r="F77" s="6" t="n">
        <v>0.01674764143977723</v>
      </c>
      <c r="G77" s="5" t="n">
        <v>1</v>
      </c>
      <c r="H77" s="5" t="n">
        <v>0</v>
      </c>
      <c r="I77" s="5" t="n">
        <v>0</v>
      </c>
      <c r="J77" s="5" t="n">
        <v>1</v>
      </c>
      <c r="K77" s="5" t="n">
        <v>0</v>
      </c>
      <c r="L77" s="5" t="n">
        <v>0</v>
      </c>
      <c r="M77" s="5" t="n">
        <v>0</v>
      </c>
      <c r="N77" s="5" t="n">
        <v>0</v>
      </c>
      <c r="O77" s="5" t="n">
        <v>0</v>
      </c>
      <c r="P77" s="5" t="n">
        <v>0</v>
      </c>
      <c r="Q77" s="5" t="n">
        <v>1</v>
      </c>
      <c r="R77" s="5" t="n">
        <v>0</v>
      </c>
      <c r="S77" s="5" t="n">
        <v>0</v>
      </c>
      <c r="T77" s="5" t="n">
        <v>0</v>
      </c>
      <c r="U77" s="5" t="inlineStr">
        <is>
          <t>training</t>
        </is>
      </c>
    </row>
    <row r="78">
      <c r="A78" s="5" t="n">
        <v>74</v>
      </c>
      <c r="B78" s="5" t="n">
        <v>0</v>
      </c>
      <c r="C78" s="6" t="n">
        <v>1.792067524066952</v>
      </c>
      <c r="D78" s="6" t="n">
        <v>0.9458665483872429</v>
      </c>
      <c r="E78" s="6" t="n">
        <v>0.4748726930111218</v>
      </c>
      <c r="F78" s="6" t="n">
        <v>-0.8850484360866833</v>
      </c>
      <c r="G78" s="5" t="n">
        <v>0</v>
      </c>
      <c r="H78" s="5" t="n">
        <v>1</v>
      </c>
      <c r="I78" s="5" t="n">
        <v>0</v>
      </c>
      <c r="J78" s="5" t="n">
        <v>1</v>
      </c>
      <c r="K78" s="5" t="n">
        <v>0</v>
      </c>
      <c r="L78" s="5" t="n">
        <v>0</v>
      </c>
      <c r="M78" s="5" t="n">
        <v>0</v>
      </c>
      <c r="N78" s="5" t="n">
        <v>0</v>
      </c>
      <c r="O78" s="5" t="n">
        <v>0</v>
      </c>
      <c r="P78" s="5" t="n">
        <v>0</v>
      </c>
      <c r="Q78" s="5" t="n">
        <v>0</v>
      </c>
      <c r="R78" s="5" t="n">
        <v>0</v>
      </c>
      <c r="S78" s="5" t="n">
        <v>0</v>
      </c>
      <c r="T78" s="5" t="n">
        <v>0</v>
      </c>
      <c r="U78" s="5" t="inlineStr">
        <is>
          <t>testing</t>
        </is>
      </c>
    </row>
    <row r="79">
      <c r="A79" s="5" t="n">
        <v>75</v>
      </c>
      <c r="B79" s="5" t="n">
        <v>1</v>
      </c>
      <c r="C79" s="6" t="n">
        <v>1.286513816310289</v>
      </c>
      <c r="D79" s="6" t="n">
        <v>-0.445656885661588</v>
      </c>
      <c r="E79" s="6" t="n">
        <v>0.3878996723131141</v>
      </c>
      <c r="F79" s="6" t="n">
        <v>0.9185437189662378</v>
      </c>
      <c r="G79" s="5" t="n">
        <v>1</v>
      </c>
      <c r="H79" s="5" t="n">
        <v>0</v>
      </c>
      <c r="I79" s="5" t="n">
        <v>0</v>
      </c>
      <c r="J79" s="5" t="n">
        <v>0</v>
      </c>
      <c r="K79" s="5" t="n">
        <v>0</v>
      </c>
      <c r="L79" s="5" t="n">
        <v>0</v>
      </c>
      <c r="M79" s="5" t="n">
        <v>0</v>
      </c>
      <c r="N79" s="5" t="n">
        <v>0</v>
      </c>
      <c r="O79" s="5" t="n">
        <v>1</v>
      </c>
      <c r="P79" s="5" t="n">
        <v>0</v>
      </c>
      <c r="Q79" s="5" t="n">
        <v>0</v>
      </c>
      <c r="R79" s="5" t="n">
        <v>0</v>
      </c>
      <c r="S79" s="5" t="n">
        <v>0</v>
      </c>
      <c r="T79" s="5" t="n">
        <v>0</v>
      </c>
      <c r="U79" s="5" t="inlineStr">
        <is>
          <t>training</t>
        </is>
      </c>
    </row>
    <row r="80">
      <c r="A80" s="5" t="n">
        <v>76</v>
      </c>
      <c r="B80" s="5" t="n">
        <v>0</v>
      </c>
      <c r="C80" s="6" t="n">
        <v>-0.7357010147163632</v>
      </c>
      <c r="D80" s="6" t="n">
        <v>-0.603458512203208</v>
      </c>
      <c r="E80" s="6" t="n">
        <v>2.649198210461313</v>
      </c>
      <c r="F80" s="6" t="n">
        <v>0.9185437189662378</v>
      </c>
      <c r="G80" s="5" t="n">
        <v>1</v>
      </c>
      <c r="H80" s="5" t="n">
        <v>0</v>
      </c>
      <c r="I80" s="5" t="n">
        <v>0</v>
      </c>
      <c r="J80" s="5" t="n">
        <v>1</v>
      </c>
      <c r="K80" s="5" t="n">
        <v>0</v>
      </c>
      <c r="L80" s="5" t="n">
        <v>0</v>
      </c>
      <c r="M80" s="5" t="n">
        <v>0</v>
      </c>
      <c r="N80" s="5" t="n">
        <v>0</v>
      </c>
      <c r="O80" s="5" t="n">
        <v>0</v>
      </c>
      <c r="P80" s="5" t="n">
        <v>0</v>
      </c>
      <c r="Q80" s="5" t="n">
        <v>1</v>
      </c>
      <c r="R80" s="5" t="n">
        <v>1</v>
      </c>
      <c r="S80" s="5" t="n">
        <v>0</v>
      </c>
      <c r="T80" s="5" t="n">
        <v>0</v>
      </c>
      <c r="U80" s="5" t="inlineStr">
        <is>
          <t>training</t>
        </is>
      </c>
    </row>
    <row r="81">
      <c r="A81" s="5" t="n">
        <v>77</v>
      </c>
      <c r="B81" s="5" t="n">
        <v>1</v>
      </c>
      <c r="C81" s="6" t="n">
        <v>1.792067524066952</v>
      </c>
      <c r="D81" s="6" t="n">
        <v>0.2499298849919388</v>
      </c>
      <c r="E81" s="6" t="n">
        <v>-0.1339384518749317</v>
      </c>
      <c r="F81" s="6" t="n">
        <v>0.9185437189662378</v>
      </c>
      <c r="G81" s="5" t="n">
        <v>1</v>
      </c>
      <c r="H81" s="5" t="n">
        <v>0</v>
      </c>
      <c r="I81" s="5" t="n">
        <v>0</v>
      </c>
      <c r="J81" s="5" t="n">
        <v>0</v>
      </c>
      <c r="K81" s="5" t="n">
        <v>0</v>
      </c>
      <c r="L81" s="5" t="n">
        <v>0</v>
      </c>
      <c r="M81" s="5" t="n">
        <v>0</v>
      </c>
      <c r="N81" s="5" t="n">
        <v>0</v>
      </c>
      <c r="O81" s="5" t="n">
        <v>0</v>
      </c>
      <c r="P81" s="5" t="n">
        <v>0</v>
      </c>
      <c r="Q81" s="5" t="n">
        <v>0</v>
      </c>
      <c r="R81" s="5" t="n">
        <v>0</v>
      </c>
      <c r="S81" s="5" t="n">
        <v>1</v>
      </c>
      <c r="T81" s="5" t="n">
        <v>0</v>
      </c>
      <c r="U81" s="5" t="inlineStr">
        <is>
          <t>training</t>
        </is>
      </c>
    </row>
    <row r="82">
      <c r="A82" s="5" t="n">
        <v>78</v>
      </c>
      <c r="B82" s="5" t="n">
        <v>0</v>
      </c>
      <c r="C82" s="6" t="n">
        <v>-0.8199599660091405</v>
      </c>
      <c r="D82" s="6" t="n">
        <v>0.5319434348645457</v>
      </c>
      <c r="E82" s="6" t="n">
        <v>1.344602899991198</v>
      </c>
      <c r="F82" s="6" t="n">
        <v>-0.8850484360866833</v>
      </c>
      <c r="G82" s="5" t="n">
        <v>0</v>
      </c>
      <c r="H82" s="5" t="n">
        <v>1</v>
      </c>
      <c r="I82" s="5" t="n">
        <v>0</v>
      </c>
      <c r="J82" s="5" t="n">
        <v>0</v>
      </c>
      <c r="K82" s="5" t="n">
        <v>1</v>
      </c>
      <c r="L82" s="5" t="n">
        <v>0</v>
      </c>
      <c r="M82" s="5" t="n">
        <v>0</v>
      </c>
      <c r="N82" s="5" t="n">
        <v>0</v>
      </c>
      <c r="O82" s="5" t="n">
        <v>0</v>
      </c>
      <c r="P82" s="5" t="n">
        <v>0</v>
      </c>
      <c r="Q82" s="5" t="n">
        <v>0</v>
      </c>
      <c r="R82" s="5" t="n">
        <v>0</v>
      </c>
      <c r="S82" s="5" t="n">
        <v>1</v>
      </c>
      <c r="T82" s="5" t="n">
        <v>0</v>
      </c>
      <c r="U82" s="5" t="inlineStr">
        <is>
          <t>testing</t>
        </is>
      </c>
    </row>
    <row r="83">
      <c r="A83" s="5" t="n">
        <v>79</v>
      </c>
      <c r="B83" s="5" t="n">
        <v>0</v>
      </c>
      <c r="C83" s="6" t="n">
        <v>2.803174939580279</v>
      </c>
      <c r="D83" s="6" t="n">
        <v>2.164193075256247</v>
      </c>
      <c r="E83" s="6" t="n">
        <v>0.3009266516151065</v>
      </c>
      <c r="F83" s="6" t="n">
        <v>-0.8850484360866833</v>
      </c>
      <c r="G83" s="5" t="n">
        <v>0</v>
      </c>
      <c r="H83" s="5" t="n">
        <v>0</v>
      </c>
      <c r="I83" s="5" t="n">
        <v>0</v>
      </c>
      <c r="J83" s="5" t="n">
        <v>0</v>
      </c>
      <c r="K83" s="5" t="n">
        <v>0</v>
      </c>
      <c r="L83" s="5" t="n">
        <v>1</v>
      </c>
      <c r="M83" s="5" t="n">
        <v>0</v>
      </c>
      <c r="N83" s="5" t="n">
        <v>0</v>
      </c>
      <c r="O83" s="5" t="n">
        <v>1</v>
      </c>
      <c r="P83" s="5" t="n">
        <v>0</v>
      </c>
      <c r="Q83" s="5" t="n">
        <v>0</v>
      </c>
      <c r="R83" s="5" t="n">
        <v>1</v>
      </c>
      <c r="S83" s="5" t="n">
        <v>0</v>
      </c>
      <c r="T83" s="5" t="n">
        <v>0</v>
      </c>
      <c r="U83" s="5" t="inlineStr">
        <is>
          <t>training</t>
        </is>
      </c>
    </row>
    <row r="84">
      <c r="A84" s="5" t="n">
        <v>80</v>
      </c>
      <c r="B84" s="5" t="n">
        <v>0</v>
      </c>
      <c r="C84" s="6" t="n">
        <v>0.7809601085536261</v>
      </c>
      <c r="D84" s="6" t="n">
        <v>0.2033941503355408</v>
      </c>
      <c r="E84" s="6" t="n">
        <v>-1.177614700251023</v>
      </c>
      <c r="F84" s="6" t="n">
        <v>-0.8850484360866833</v>
      </c>
      <c r="G84" s="5" t="n">
        <v>0</v>
      </c>
      <c r="H84" s="5" t="n">
        <v>1</v>
      </c>
      <c r="I84" s="5" t="n">
        <v>0</v>
      </c>
      <c r="J84" s="5" t="n">
        <v>0</v>
      </c>
      <c r="K84" s="5" t="n">
        <v>0</v>
      </c>
      <c r="L84" s="5" t="n">
        <v>0</v>
      </c>
      <c r="M84" s="5" t="n">
        <v>0</v>
      </c>
      <c r="N84" s="5" t="n">
        <v>0</v>
      </c>
      <c r="O84" s="5" t="n">
        <v>0</v>
      </c>
      <c r="P84" s="5" t="n">
        <v>0</v>
      </c>
      <c r="Q84" s="5" t="n">
        <v>0</v>
      </c>
      <c r="R84" s="5" t="n">
        <v>0</v>
      </c>
      <c r="S84" s="5" t="n">
        <v>0</v>
      </c>
      <c r="T84" s="5" t="n">
        <v>1</v>
      </c>
      <c r="U84" s="5" t="inlineStr">
        <is>
          <t>training</t>
        </is>
      </c>
    </row>
    <row r="85">
      <c r="A85" s="5" t="n">
        <v>81</v>
      </c>
      <c r="B85" s="5" t="n">
        <v>1</v>
      </c>
      <c r="C85" s="6" t="n">
        <v>0.275406400796963</v>
      </c>
      <c r="D85" s="6" t="n">
        <v>0.9420177282276913</v>
      </c>
      <c r="E85" s="6" t="n">
        <v>0.7357917551051447</v>
      </c>
      <c r="F85" s="6" t="n">
        <v>-1.786844513613144</v>
      </c>
      <c r="G85" s="5" t="n">
        <v>0</v>
      </c>
      <c r="H85" s="5" t="n">
        <v>0</v>
      </c>
      <c r="I85" s="5" t="n">
        <v>0</v>
      </c>
      <c r="J85" s="5" t="n">
        <v>0</v>
      </c>
      <c r="K85" s="5" t="n">
        <v>0</v>
      </c>
      <c r="L85" s="5" t="n">
        <v>0</v>
      </c>
      <c r="M85" s="5" t="n">
        <v>0</v>
      </c>
      <c r="N85" s="5" t="n">
        <v>0</v>
      </c>
      <c r="O85" s="5" t="n">
        <v>1</v>
      </c>
      <c r="P85" s="5" t="n">
        <v>0</v>
      </c>
      <c r="Q85" s="5" t="n">
        <v>0</v>
      </c>
      <c r="R85" s="5" t="n">
        <v>0</v>
      </c>
      <c r="S85" s="5" t="n">
        <v>1</v>
      </c>
      <c r="T85" s="5" t="n">
        <v>0</v>
      </c>
      <c r="U85" s="5" t="inlineStr">
        <is>
          <t>testing</t>
        </is>
      </c>
    </row>
    <row r="86">
      <c r="A86" s="5" t="n">
        <v>82</v>
      </c>
      <c r="B86" s="5" t="n">
        <v>0</v>
      </c>
      <c r="C86" s="6" t="n">
        <v>-0.4829241608380317</v>
      </c>
      <c r="D86" s="6" t="n">
        <v>-0.7129749403795429</v>
      </c>
      <c r="E86" s="6" t="n">
        <v>0.9967108171991675</v>
      </c>
      <c r="F86" s="6" t="n">
        <v>0.9185437189662378</v>
      </c>
      <c r="G86" s="5" t="n">
        <v>0</v>
      </c>
      <c r="H86" s="5" t="n">
        <v>0</v>
      </c>
      <c r="I86" s="5" t="n">
        <v>0</v>
      </c>
      <c r="J86" s="5" t="n">
        <v>0</v>
      </c>
      <c r="K86" s="5" t="n">
        <v>0</v>
      </c>
      <c r="L86" s="5" t="n">
        <v>0</v>
      </c>
      <c r="M86" s="5" t="n">
        <v>1</v>
      </c>
      <c r="N86" s="5" t="n">
        <v>0</v>
      </c>
      <c r="O86" s="5" t="n">
        <v>0</v>
      </c>
      <c r="P86" s="5" t="n">
        <v>0</v>
      </c>
      <c r="Q86" s="5" t="n">
        <v>0</v>
      </c>
      <c r="R86" s="5" t="n">
        <v>0</v>
      </c>
      <c r="S86" s="5" t="n">
        <v>1</v>
      </c>
      <c r="T86" s="5" t="n">
        <v>0</v>
      </c>
      <c r="U86" s="5" t="inlineStr">
        <is>
          <t>training</t>
        </is>
      </c>
    </row>
    <row r="87">
      <c r="A87" s="5" t="n">
        <v>83</v>
      </c>
      <c r="B87" s="5" t="n">
        <v>0</v>
      </c>
      <c r="C87" s="6" t="n">
        <v>-0.2301473069597001</v>
      </c>
      <c r="D87" s="6" t="n">
        <v>-0.588763017048556</v>
      </c>
      <c r="E87" s="6" t="n">
        <v>-1.003668658855008</v>
      </c>
      <c r="F87" s="6" t="n">
        <v>0.01674764143977723</v>
      </c>
      <c r="G87" s="5" t="n">
        <v>0</v>
      </c>
      <c r="H87" s="5" t="n">
        <v>0</v>
      </c>
      <c r="I87" s="5" t="n">
        <v>0</v>
      </c>
      <c r="J87" s="5" t="n">
        <v>0</v>
      </c>
      <c r="K87" s="5" t="n">
        <v>0</v>
      </c>
      <c r="L87" s="5" t="n">
        <v>0</v>
      </c>
      <c r="M87" s="5" t="n">
        <v>1</v>
      </c>
      <c r="N87" s="5" t="n">
        <v>0</v>
      </c>
      <c r="O87" s="5" t="n">
        <v>0</v>
      </c>
      <c r="P87" s="5" t="n">
        <v>1</v>
      </c>
      <c r="Q87" s="5" t="n">
        <v>0</v>
      </c>
      <c r="R87" s="5" t="n">
        <v>0</v>
      </c>
      <c r="S87" s="5" t="n">
        <v>0</v>
      </c>
      <c r="T87" s="5" t="n">
        <v>0</v>
      </c>
      <c r="U87" s="5" t="inlineStr">
        <is>
          <t>testing</t>
        </is>
      </c>
    </row>
    <row r="88">
      <c r="A88" s="5" t="n">
        <v>84</v>
      </c>
      <c r="B88" s="5" t="n">
        <v>0</v>
      </c>
      <c r="C88" s="6" t="n">
        <v>0.275406400796963</v>
      </c>
      <c r="D88" s="6" t="n">
        <v>-0.523333074336177</v>
      </c>
      <c r="E88" s="6" t="n">
        <v>1.953414044877252</v>
      </c>
      <c r="F88" s="6" t="n">
        <v>0.9185437189662378</v>
      </c>
      <c r="G88" s="5" t="n">
        <v>1</v>
      </c>
      <c r="H88" s="5" t="n">
        <v>0</v>
      </c>
      <c r="I88" s="5" t="n">
        <v>0</v>
      </c>
      <c r="J88" s="5" t="n">
        <v>0</v>
      </c>
      <c r="K88" s="5" t="n">
        <v>0</v>
      </c>
      <c r="L88" s="5" t="n">
        <v>0</v>
      </c>
      <c r="M88" s="5" t="n">
        <v>0</v>
      </c>
      <c r="N88" s="5" t="n">
        <v>0</v>
      </c>
      <c r="O88" s="5" t="n">
        <v>0</v>
      </c>
      <c r="P88" s="5" t="n">
        <v>0</v>
      </c>
      <c r="Q88" s="5" t="n">
        <v>0</v>
      </c>
      <c r="R88" s="5" t="n">
        <v>0</v>
      </c>
      <c r="S88" s="5" t="n">
        <v>0</v>
      </c>
      <c r="T88" s="5" t="n">
        <v>0</v>
      </c>
      <c r="U88" s="5" t="inlineStr">
        <is>
          <t>testing</t>
        </is>
      </c>
    </row>
    <row r="89">
      <c r="A89" s="5" t="n">
        <v>85</v>
      </c>
      <c r="B89" s="5" t="n">
        <v>0</v>
      </c>
      <c r="C89" s="6" t="n">
        <v>-0.9042189173019176</v>
      </c>
      <c r="D89" s="6" t="n">
        <v>-0.3273931389408173</v>
      </c>
      <c r="E89" s="6" t="n">
        <v>1.431575920689206</v>
      </c>
      <c r="F89" s="6" t="n">
        <v>0.01674764143977723</v>
      </c>
      <c r="G89" s="5" t="n">
        <v>1</v>
      </c>
      <c r="H89" s="5" t="n">
        <v>0</v>
      </c>
      <c r="I89" s="5" t="n">
        <v>0</v>
      </c>
      <c r="J89" s="5" t="n">
        <v>0</v>
      </c>
      <c r="K89" s="5" t="n">
        <v>0</v>
      </c>
      <c r="L89" s="5" t="n">
        <v>0</v>
      </c>
      <c r="M89" s="5" t="n">
        <v>0</v>
      </c>
      <c r="N89" s="5" t="n">
        <v>0</v>
      </c>
      <c r="O89" s="5" t="n">
        <v>0</v>
      </c>
      <c r="P89" s="5" t="n">
        <v>0</v>
      </c>
      <c r="Q89" s="5" t="n">
        <v>0</v>
      </c>
      <c r="R89" s="5" t="n">
        <v>0</v>
      </c>
      <c r="S89" s="5" t="n">
        <v>1</v>
      </c>
      <c r="T89" s="5" t="n">
        <v>0</v>
      </c>
      <c r="U89" s="5" t="inlineStr">
        <is>
          <t>testing</t>
        </is>
      </c>
    </row>
    <row r="90">
      <c r="A90" s="5" t="n">
        <v>86</v>
      </c>
      <c r="B90" s="5" t="n">
        <v>0</v>
      </c>
      <c r="C90" s="6" t="n">
        <v>-0.7357010147163632</v>
      </c>
      <c r="D90" s="6" t="n">
        <v>-0.6433462847658348</v>
      </c>
      <c r="E90" s="6" t="n">
        <v>-0.5688035553649698</v>
      </c>
      <c r="F90" s="6" t="n">
        <v>0.9185437189662378</v>
      </c>
      <c r="G90" s="5" t="n">
        <v>0</v>
      </c>
      <c r="H90" s="5" t="n">
        <v>0</v>
      </c>
      <c r="I90" s="5" t="n">
        <v>0</v>
      </c>
      <c r="J90" s="5" t="n">
        <v>1</v>
      </c>
      <c r="K90" s="5" t="n">
        <v>0</v>
      </c>
      <c r="L90" s="5" t="n">
        <v>0</v>
      </c>
      <c r="M90" s="5" t="n">
        <v>0</v>
      </c>
      <c r="N90" s="5" t="n">
        <v>0</v>
      </c>
      <c r="O90" s="5" t="n">
        <v>0</v>
      </c>
      <c r="P90" s="5" t="n">
        <v>0</v>
      </c>
      <c r="Q90" s="5" t="n">
        <v>0</v>
      </c>
      <c r="R90" s="5" t="n">
        <v>0</v>
      </c>
      <c r="S90" s="5" t="n">
        <v>0</v>
      </c>
      <c r="T90" s="5" t="n">
        <v>0</v>
      </c>
      <c r="U90" s="5" t="inlineStr">
        <is>
          <t>testing</t>
        </is>
      </c>
    </row>
    <row r="91">
      <c r="A91" s="5" t="n">
        <v>87</v>
      </c>
      <c r="B91" s="5" t="n">
        <v>0</v>
      </c>
      <c r="C91" s="6" t="n">
        <v>-0.2301473069597001</v>
      </c>
      <c r="D91" s="6" t="n">
        <v>-0.6842837355537938</v>
      </c>
      <c r="E91" s="6" t="n">
        <v>-0.7427495967609852</v>
      </c>
      <c r="F91" s="6" t="n">
        <v>0.9185437189662378</v>
      </c>
      <c r="G91" s="5" t="n">
        <v>0</v>
      </c>
      <c r="H91" s="5" t="n">
        <v>1</v>
      </c>
      <c r="I91" s="5" t="n">
        <v>0</v>
      </c>
      <c r="J91" s="5" t="n">
        <v>1</v>
      </c>
      <c r="K91" s="5" t="n">
        <v>0</v>
      </c>
      <c r="L91" s="5" t="n">
        <v>0</v>
      </c>
      <c r="M91" s="5" t="n">
        <v>0</v>
      </c>
      <c r="N91" s="5" t="n">
        <v>0</v>
      </c>
      <c r="O91" s="5" t="n">
        <v>0</v>
      </c>
      <c r="P91" s="5" t="n">
        <v>0</v>
      </c>
      <c r="Q91" s="5" t="n">
        <v>0</v>
      </c>
      <c r="R91" s="5" t="n">
        <v>0</v>
      </c>
      <c r="S91" s="5" t="n">
        <v>0</v>
      </c>
      <c r="T91" s="5" t="n">
        <v>1</v>
      </c>
      <c r="U91" s="5" t="inlineStr">
        <is>
          <t>testing</t>
        </is>
      </c>
    </row>
    <row r="92">
      <c r="A92" s="5" t="n">
        <v>88</v>
      </c>
      <c r="B92" s="5" t="n">
        <v>1</v>
      </c>
      <c r="C92" s="6" t="n">
        <v>1.286513816310289</v>
      </c>
      <c r="D92" s="6" t="n">
        <v>3.275452423141358</v>
      </c>
      <c r="E92" s="6" t="n">
        <v>0.9967108171991675</v>
      </c>
      <c r="F92" s="6" t="n">
        <v>-1.786844513613144</v>
      </c>
      <c r="G92" s="5" t="n">
        <v>0</v>
      </c>
      <c r="H92" s="5" t="n">
        <v>1</v>
      </c>
      <c r="I92" s="5" t="n">
        <v>0</v>
      </c>
      <c r="J92" s="5" t="n">
        <v>0</v>
      </c>
      <c r="K92" s="5" t="n">
        <v>0</v>
      </c>
      <c r="L92" s="5" t="n">
        <v>0</v>
      </c>
      <c r="M92" s="5" t="n">
        <v>1</v>
      </c>
      <c r="N92" s="5" t="n">
        <v>0</v>
      </c>
      <c r="O92" s="5" t="n">
        <v>0</v>
      </c>
      <c r="P92" s="5" t="n">
        <v>0</v>
      </c>
      <c r="Q92" s="5" t="n">
        <v>1</v>
      </c>
      <c r="R92" s="5" t="n">
        <v>0</v>
      </c>
      <c r="S92" s="5" t="n">
        <v>0</v>
      </c>
      <c r="T92" s="5" t="n">
        <v>0</v>
      </c>
      <c r="U92" s="5" t="inlineStr">
        <is>
          <t>training</t>
        </is>
      </c>
    </row>
    <row r="93">
      <c r="A93" s="5" t="n">
        <v>89</v>
      </c>
      <c r="B93" s="5" t="n">
        <v>0</v>
      </c>
      <c r="C93" s="6" t="n">
        <v>-0.2301473069597001</v>
      </c>
      <c r="D93" s="6" t="n">
        <v>-0.3504860598981276</v>
      </c>
      <c r="E93" s="6" t="n">
        <v>-0.4818305346669622</v>
      </c>
      <c r="F93" s="6" t="n">
        <v>0.9185437189662378</v>
      </c>
      <c r="G93" s="5" t="n">
        <v>1</v>
      </c>
      <c r="H93" s="5" t="n">
        <v>0</v>
      </c>
      <c r="I93" s="5" t="n">
        <v>0</v>
      </c>
      <c r="J93" s="5" t="n">
        <v>0</v>
      </c>
      <c r="K93" s="5" t="n">
        <v>0</v>
      </c>
      <c r="L93" s="5" t="n">
        <v>0</v>
      </c>
      <c r="M93" s="5" t="n">
        <v>1</v>
      </c>
      <c r="N93" s="5" t="n">
        <v>0</v>
      </c>
      <c r="O93" s="5" t="n">
        <v>0</v>
      </c>
      <c r="P93" s="5" t="n">
        <v>0</v>
      </c>
      <c r="Q93" s="5" t="n">
        <v>0</v>
      </c>
      <c r="R93" s="5" t="n">
        <v>1</v>
      </c>
      <c r="S93" s="5" t="n">
        <v>0</v>
      </c>
      <c r="T93" s="5" t="n">
        <v>0</v>
      </c>
      <c r="U93" s="5" t="inlineStr">
        <is>
          <t>testing</t>
        </is>
      </c>
    </row>
    <row r="94">
      <c r="A94" s="5" t="n">
        <v>90</v>
      </c>
      <c r="B94" s="5" t="n">
        <v>1</v>
      </c>
      <c r="C94" s="6" t="n">
        <v>-0.7357010147163632</v>
      </c>
      <c r="D94" s="6" t="n">
        <v>-0.7497136782661729</v>
      </c>
      <c r="E94" s="6" t="n">
        <v>-0.6557765760629775</v>
      </c>
      <c r="F94" s="6" t="n">
        <v>0.9185437189662378</v>
      </c>
      <c r="G94" s="5" t="n">
        <v>1</v>
      </c>
      <c r="H94" s="5" t="n">
        <v>0</v>
      </c>
      <c r="I94" s="5" t="n">
        <v>0</v>
      </c>
      <c r="J94" s="5" t="n">
        <v>0</v>
      </c>
      <c r="K94" s="5" t="n">
        <v>0</v>
      </c>
      <c r="L94" s="5" t="n">
        <v>1</v>
      </c>
      <c r="M94" s="5" t="n">
        <v>0</v>
      </c>
      <c r="N94" s="5" t="n">
        <v>0</v>
      </c>
      <c r="O94" s="5" t="n">
        <v>0</v>
      </c>
      <c r="P94" s="5" t="n">
        <v>0</v>
      </c>
      <c r="Q94" s="5" t="n">
        <v>0</v>
      </c>
      <c r="R94" s="5" t="n">
        <v>0</v>
      </c>
      <c r="S94" s="5" t="n">
        <v>0</v>
      </c>
      <c r="T94" s="5" t="n">
        <v>0</v>
      </c>
      <c r="U94" s="5" t="inlineStr">
        <is>
          <t>testing</t>
        </is>
      </c>
    </row>
    <row r="95">
      <c r="A95" s="5" t="n">
        <v>91</v>
      </c>
      <c r="B95" s="5" t="n">
        <v>0</v>
      </c>
      <c r="C95" s="6" t="n">
        <v>-0.7357010147163632</v>
      </c>
      <c r="D95" s="6" t="n">
        <v>-0.9211611217371126</v>
      </c>
      <c r="E95" s="6" t="n">
        <v>1.779468003481236</v>
      </c>
      <c r="F95" s="6" t="n">
        <v>0.9185437189662378</v>
      </c>
      <c r="G95" s="5" t="n">
        <v>0</v>
      </c>
      <c r="H95" s="5" t="n">
        <v>0</v>
      </c>
      <c r="I95" s="5" t="n">
        <v>0</v>
      </c>
      <c r="J95" s="5" t="n">
        <v>1</v>
      </c>
      <c r="K95" s="5" t="n">
        <v>0</v>
      </c>
      <c r="L95" s="5" t="n">
        <v>0</v>
      </c>
      <c r="M95" s="5" t="n">
        <v>0</v>
      </c>
      <c r="N95" s="5" t="n">
        <v>0</v>
      </c>
      <c r="O95" s="5" t="n">
        <v>0</v>
      </c>
      <c r="P95" s="5" t="n">
        <v>0</v>
      </c>
      <c r="Q95" s="5" t="n">
        <v>0</v>
      </c>
      <c r="R95" s="5" t="n">
        <v>0</v>
      </c>
      <c r="S95" s="5" t="n">
        <v>1</v>
      </c>
      <c r="T95" s="5" t="n">
        <v>0</v>
      </c>
      <c r="U95" s="5" t="inlineStr">
        <is>
          <t>training</t>
        </is>
      </c>
    </row>
    <row r="96">
      <c r="A96" s="5" t="n">
        <v>92</v>
      </c>
      <c r="B96" s="5" t="n">
        <v>0</v>
      </c>
      <c r="C96" s="6" t="n">
        <v>-0.7357010147163632</v>
      </c>
      <c r="D96" s="6" t="n">
        <v>-0.6443959629911671</v>
      </c>
      <c r="E96" s="6" t="n">
        <v>1.605521962085221</v>
      </c>
      <c r="F96" s="6" t="n">
        <v>0.9185437189662378</v>
      </c>
      <c r="G96" s="5" t="n">
        <v>1</v>
      </c>
      <c r="H96" s="5" t="n">
        <v>0</v>
      </c>
      <c r="I96" s="5" t="n">
        <v>0</v>
      </c>
      <c r="J96" s="5" t="n">
        <v>1</v>
      </c>
      <c r="K96" s="5" t="n">
        <v>0</v>
      </c>
      <c r="L96" s="5" t="n">
        <v>0</v>
      </c>
      <c r="M96" s="5" t="n">
        <v>0</v>
      </c>
      <c r="N96" s="5" t="n">
        <v>0</v>
      </c>
      <c r="O96" s="5" t="n">
        <v>0</v>
      </c>
      <c r="P96" s="5" t="n">
        <v>0</v>
      </c>
      <c r="Q96" s="5" t="n">
        <v>0</v>
      </c>
      <c r="R96" s="5" t="n">
        <v>1</v>
      </c>
      <c r="S96" s="5" t="n">
        <v>0</v>
      </c>
      <c r="T96" s="5" t="n">
        <v>0</v>
      </c>
      <c r="U96" s="5" t="inlineStr">
        <is>
          <t>testing</t>
        </is>
      </c>
    </row>
    <row r="97">
      <c r="A97" s="5" t="n">
        <v>93</v>
      </c>
      <c r="B97" s="5" t="n">
        <v>1</v>
      </c>
      <c r="C97" s="6" t="n">
        <v>-0.7357010147163632</v>
      </c>
      <c r="D97" s="6" t="n">
        <v>-0.858530320958953</v>
      </c>
      <c r="E97" s="6" t="n">
        <v>-0.2209114725729393</v>
      </c>
      <c r="F97" s="6" t="n">
        <v>0.9185437189662378</v>
      </c>
      <c r="G97" s="5" t="n">
        <v>0</v>
      </c>
      <c r="H97" s="5" t="n">
        <v>0</v>
      </c>
      <c r="I97" s="5" t="n">
        <v>0</v>
      </c>
      <c r="J97" s="5" t="n">
        <v>1</v>
      </c>
      <c r="K97" s="5" t="n">
        <v>0</v>
      </c>
      <c r="L97" s="5" t="n">
        <v>0</v>
      </c>
      <c r="M97" s="5" t="n">
        <v>0</v>
      </c>
      <c r="N97" s="5" t="n">
        <v>0</v>
      </c>
      <c r="O97" s="5" t="n">
        <v>1</v>
      </c>
      <c r="P97" s="5" t="n">
        <v>0</v>
      </c>
      <c r="Q97" s="5" t="n">
        <v>0</v>
      </c>
      <c r="R97" s="5" t="n">
        <v>0</v>
      </c>
      <c r="S97" s="5" t="n">
        <v>1</v>
      </c>
      <c r="T97" s="5" t="n">
        <v>0</v>
      </c>
      <c r="U97" s="5" t="inlineStr">
        <is>
          <t>testing</t>
        </is>
      </c>
    </row>
    <row r="98">
      <c r="A98" s="5" t="n">
        <v>94</v>
      </c>
      <c r="B98" s="5" t="n">
        <v>0</v>
      </c>
      <c r="C98" s="6" t="n">
        <v>0.275406400796963</v>
      </c>
      <c r="D98" s="6" t="n">
        <v>0.1281672108533938</v>
      </c>
      <c r="E98" s="6" t="n">
        <v>-1.351560741647039</v>
      </c>
      <c r="F98" s="6" t="n">
        <v>0.9185437189662378</v>
      </c>
      <c r="G98" s="5" t="n">
        <v>0</v>
      </c>
      <c r="H98" s="5" t="n">
        <v>0</v>
      </c>
      <c r="I98" s="5" t="n">
        <v>1</v>
      </c>
      <c r="J98" s="5" t="n">
        <v>1</v>
      </c>
      <c r="K98" s="5" t="n">
        <v>0</v>
      </c>
      <c r="L98" s="5" t="n">
        <v>0</v>
      </c>
      <c r="M98" s="5" t="n">
        <v>0</v>
      </c>
      <c r="N98" s="5" t="n">
        <v>0</v>
      </c>
      <c r="O98" s="5" t="n">
        <v>1</v>
      </c>
      <c r="P98" s="5" t="n">
        <v>1</v>
      </c>
      <c r="Q98" s="5" t="n">
        <v>0</v>
      </c>
      <c r="R98" s="5" t="n">
        <v>0</v>
      </c>
      <c r="S98" s="5" t="n">
        <v>0</v>
      </c>
      <c r="T98" s="5" t="n">
        <v>1</v>
      </c>
      <c r="U98" s="5" t="inlineStr">
        <is>
          <t>training</t>
        </is>
      </c>
    </row>
    <row r="99">
      <c r="A99" s="5" t="n">
        <v>95</v>
      </c>
      <c r="B99" s="5" t="n">
        <v>0</v>
      </c>
      <c r="C99" s="6" t="n">
        <v>-0.7357010147163632</v>
      </c>
      <c r="D99" s="6" t="n">
        <v>-0.6762362024929131</v>
      </c>
      <c r="E99" s="6" t="n">
        <v>1.605521962085221</v>
      </c>
      <c r="F99" s="6" t="n">
        <v>0.9185437189662378</v>
      </c>
      <c r="G99" s="5" t="n">
        <v>0</v>
      </c>
      <c r="H99" s="5" t="n">
        <v>1</v>
      </c>
      <c r="I99" s="5" t="n">
        <v>0</v>
      </c>
      <c r="J99" s="5" t="n">
        <v>0</v>
      </c>
      <c r="K99" s="5" t="n">
        <v>0</v>
      </c>
      <c r="L99" s="5" t="n">
        <v>0</v>
      </c>
      <c r="M99" s="5" t="n">
        <v>0</v>
      </c>
      <c r="N99" s="5" t="n">
        <v>1</v>
      </c>
      <c r="O99" s="5" t="n">
        <v>0</v>
      </c>
      <c r="P99" s="5" t="n">
        <v>0</v>
      </c>
      <c r="Q99" s="5" t="n">
        <v>0</v>
      </c>
      <c r="R99" s="5" t="n">
        <v>1</v>
      </c>
      <c r="S99" s="5" t="n">
        <v>0</v>
      </c>
      <c r="T99" s="5" t="n">
        <v>0</v>
      </c>
      <c r="U99" s="5" t="inlineStr">
        <is>
          <t>testing</t>
        </is>
      </c>
    </row>
    <row r="100">
      <c r="A100" s="5" t="n">
        <v>96</v>
      </c>
      <c r="B100" s="5" t="n">
        <v>1</v>
      </c>
      <c r="C100" s="6" t="n">
        <v>2.803174939580279</v>
      </c>
      <c r="D100" s="6" t="n">
        <v>4.441644931485525</v>
      </c>
      <c r="E100" s="6" t="n">
        <v>1.953414044877252</v>
      </c>
      <c r="F100" s="6" t="n">
        <v>0.01674764143977723</v>
      </c>
      <c r="G100" s="5" t="n">
        <v>0</v>
      </c>
      <c r="H100" s="5" t="n">
        <v>1</v>
      </c>
      <c r="I100" s="5" t="n">
        <v>0</v>
      </c>
      <c r="J100" s="5" t="n">
        <v>0</v>
      </c>
      <c r="K100" s="5" t="n">
        <v>0</v>
      </c>
      <c r="L100" s="5" t="n">
        <v>1</v>
      </c>
      <c r="M100" s="5" t="n">
        <v>0</v>
      </c>
      <c r="N100" s="5" t="n">
        <v>0</v>
      </c>
      <c r="O100" s="5" t="n">
        <v>0</v>
      </c>
      <c r="P100" s="5" t="n">
        <v>1</v>
      </c>
      <c r="Q100" s="5" t="n">
        <v>0</v>
      </c>
      <c r="R100" s="5" t="n">
        <v>0</v>
      </c>
      <c r="S100" s="5" t="n">
        <v>0</v>
      </c>
      <c r="T100" s="5" t="n">
        <v>0</v>
      </c>
      <c r="U100" s="5" t="inlineStr">
        <is>
          <t>training</t>
        </is>
      </c>
    </row>
    <row r="101">
      <c r="A101" s="5" t="n">
        <v>97</v>
      </c>
      <c r="B101" s="5" t="n">
        <v>0</v>
      </c>
      <c r="C101" s="6" t="n">
        <v>-0.7357010147163632</v>
      </c>
      <c r="D101" s="6" t="n">
        <v>-0.433410639699378</v>
      </c>
      <c r="E101" s="6" t="n">
        <v>2.214333106971274</v>
      </c>
      <c r="F101" s="6" t="n">
        <v>0.9185437189662378</v>
      </c>
      <c r="G101" s="5" t="n">
        <v>0</v>
      </c>
      <c r="H101" s="5" t="n">
        <v>0</v>
      </c>
      <c r="I101" s="5" t="n">
        <v>0</v>
      </c>
      <c r="J101" s="5" t="n">
        <v>1</v>
      </c>
      <c r="K101" s="5" t="n">
        <v>0</v>
      </c>
      <c r="L101" s="5" t="n">
        <v>0</v>
      </c>
      <c r="M101" s="5" t="n">
        <v>0</v>
      </c>
      <c r="N101" s="5" t="n">
        <v>0</v>
      </c>
      <c r="O101" s="5" t="n">
        <v>1</v>
      </c>
      <c r="P101" s="5" t="n">
        <v>0</v>
      </c>
      <c r="Q101" s="5" t="n">
        <v>0</v>
      </c>
      <c r="R101" s="5" t="n">
        <v>0</v>
      </c>
      <c r="S101" s="5" t="n">
        <v>0</v>
      </c>
      <c r="T101" s="5" t="n">
        <v>0</v>
      </c>
      <c r="U101" s="5" t="inlineStr">
        <is>
          <t>training</t>
        </is>
      </c>
    </row>
    <row r="102">
      <c r="A102" s="5" t="n">
        <v>98</v>
      </c>
      <c r="B102" s="5" t="n">
        <v>0</v>
      </c>
      <c r="C102" s="6" t="n">
        <v>-0.2301473069597001</v>
      </c>
      <c r="D102" s="6" t="n">
        <v>-0.219976067215147</v>
      </c>
      <c r="E102" s="6" t="n">
        <v>-0.1339384518749317</v>
      </c>
      <c r="F102" s="6" t="n">
        <v>0.9185437189662378</v>
      </c>
      <c r="G102" s="5" t="n">
        <v>0</v>
      </c>
      <c r="H102" s="5" t="n">
        <v>1</v>
      </c>
      <c r="I102" s="5" t="n">
        <v>0</v>
      </c>
      <c r="J102" s="5" t="n">
        <v>0</v>
      </c>
      <c r="K102" s="5" t="n">
        <v>0</v>
      </c>
      <c r="L102" s="5" t="n">
        <v>0</v>
      </c>
      <c r="M102" s="5" t="n">
        <v>1</v>
      </c>
      <c r="N102" s="5" t="n">
        <v>0</v>
      </c>
      <c r="O102" s="5" t="n">
        <v>0</v>
      </c>
      <c r="P102" s="5" t="n">
        <v>0</v>
      </c>
      <c r="Q102" s="5" t="n">
        <v>0</v>
      </c>
      <c r="R102" s="5" t="n">
        <v>0</v>
      </c>
      <c r="S102" s="5" t="n">
        <v>0</v>
      </c>
      <c r="T102" s="5" t="n">
        <v>0</v>
      </c>
      <c r="U102" s="5" t="inlineStr">
        <is>
          <t>training</t>
        </is>
      </c>
    </row>
    <row r="103">
      <c r="A103" s="5" t="n">
        <v>99</v>
      </c>
      <c r="B103" s="5" t="n">
        <v>0</v>
      </c>
      <c r="C103" s="6" t="n">
        <v>1.286513816310289</v>
      </c>
      <c r="D103" s="6" t="n">
        <v>-0.3196954986217139</v>
      </c>
      <c r="E103" s="6" t="n">
        <v>0.04000758952108359</v>
      </c>
      <c r="F103" s="6" t="n">
        <v>0.9185437189662378</v>
      </c>
      <c r="G103" s="5" t="n">
        <v>0</v>
      </c>
      <c r="H103" s="5" t="n">
        <v>1</v>
      </c>
      <c r="I103" s="5" t="n">
        <v>0</v>
      </c>
      <c r="J103" s="5" t="n">
        <v>1</v>
      </c>
      <c r="K103" s="5" t="n">
        <v>0</v>
      </c>
      <c r="L103" s="5" t="n">
        <v>0</v>
      </c>
      <c r="M103" s="5" t="n">
        <v>0</v>
      </c>
      <c r="N103" s="5" t="n">
        <v>0</v>
      </c>
      <c r="O103" s="5" t="n">
        <v>0</v>
      </c>
      <c r="P103" s="5" t="n">
        <v>0</v>
      </c>
      <c r="Q103" s="5" t="n">
        <v>0</v>
      </c>
      <c r="R103" s="5" t="n">
        <v>0</v>
      </c>
      <c r="S103" s="5" t="n">
        <v>1</v>
      </c>
      <c r="T103" s="5" t="n">
        <v>0</v>
      </c>
      <c r="U103" s="5" t="inlineStr">
        <is>
          <t>training</t>
        </is>
      </c>
    </row>
    <row r="104">
      <c r="A104" s="5" t="n">
        <v>100</v>
      </c>
      <c r="B104" s="5" t="n">
        <v>0</v>
      </c>
      <c r="C104" s="6" t="n">
        <v>-0.06162940437414574</v>
      </c>
      <c r="D104" s="6" t="n">
        <v>1.331798242567746</v>
      </c>
      <c r="E104" s="6" t="n">
        <v>0.04000758952108359</v>
      </c>
      <c r="F104" s="6" t="n">
        <v>0.01674764143977723</v>
      </c>
      <c r="G104" s="5" t="n">
        <v>0</v>
      </c>
      <c r="H104" s="5" t="n">
        <v>1</v>
      </c>
      <c r="I104" s="5" t="n">
        <v>0</v>
      </c>
      <c r="J104" s="5" t="n">
        <v>0</v>
      </c>
      <c r="K104" s="5" t="n">
        <v>1</v>
      </c>
      <c r="L104" s="5" t="n">
        <v>0</v>
      </c>
      <c r="M104" s="5" t="n">
        <v>0</v>
      </c>
      <c r="N104" s="5" t="n">
        <v>0</v>
      </c>
      <c r="O104" s="5" t="n">
        <v>1</v>
      </c>
      <c r="P104" s="5" t="n">
        <v>1</v>
      </c>
      <c r="Q104" s="5" t="n">
        <v>0</v>
      </c>
      <c r="R104" s="5" t="n">
        <v>1</v>
      </c>
      <c r="S104" s="5" t="n">
        <v>0</v>
      </c>
      <c r="T104" s="5" t="n">
        <v>0</v>
      </c>
      <c r="U104" s="5" t="inlineStr">
        <is>
          <t>training</t>
        </is>
      </c>
    </row>
    <row r="105">
      <c r="A105" s="5" t="n">
        <v>101</v>
      </c>
      <c r="B105" s="5" t="n">
        <v>0</v>
      </c>
      <c r="C105" s="6" t="n">
        <v>0.275406400796963</v>
      </c>
      <c r="D105" s="6" t="n">
        <v>-0.6234023984845214</v>
      </c>
      <c r="E105" s="6" t="n">
        <v>0.4748726930111218</v>
      </c>
      <c r="F105" s="6" t="n">
        <v>0.9185437189662378</v>
      </c>
      <c r="G105" s="5" t="n">
        <v>0</v>
      </c>
      <c r="H105" s="5" t="n">
        <v>0</v>
      </c>
      <c r="I105" s="5" t="n">
        <v>0</v>
      </c>
      <c r="J105" s="5" t="n">
        <v>0</v>
      </c>
      <c r="K105" s="5" t="n">
        <v>0</v>
      </c>
      <c r="L105" s="5" t="n">
        <v>0</v>
      </c>
      <c r="M105" s="5" t="n">
        <v>1</v>
      </c>
      <c r="N105" s="5" t="n">
        <v>0</v>
      </c>
      <c r="O105" s="5" t="n">
        <v>0</v>
      </c>
      <c r="P105" s="5" t="n">
        <v>1</v>
      </c>
      <c r="Q105" s="5" t="n">
        <v>0</v>
      </c>
      <c r="R105" s="5" t="n">
        <v>1</v>
      </c>
      <c r="S105" s="5" t="n">
        <v>0</v>
      </c>
      <c r="T105" s="5" t="n">
        <v>0</v>
      </c>
      <c r="U105" s="5" t="inlineStr">
        <is>
          <t>training</t>
        </is>
      </c>
    </row>
    <row r="106">
      <c r="A106" s="5" t="n">
        <v>102</v>
      </c>
      <c r="B106" s="5" t="n">
        <v>0</v>
      </c>
      <c r="C106" s="6" t="n">
        <v>1.286513816310289</v>
      </c>
      <c r="D106" s="6" t="n">
        <v>-0.3245939970065979</v>
      </c>
      <c r="E106" s="6" t="n">
        <v>-1.003668658855008</v>
      </c>
      <c r="F106" s="6" t="n">
        <v>0.9185437189662378</v>
      </c>
      <c r="G106" s="5" t="n">
        <v>0</v>
      </c>
      <c r="H106" s="5" t="n">
        <v>1</v>
      </c>
      <c r="I106" s="5" t="n">
        <v>0</v>
      </c>
      <c r="J106" s="5" t="n">
        <v>0</v>
      </c>
      <c r="K106" s="5" t="n">
        <v>0</v>
      </c>
      <c r="L106" s="5" t="n">
        <v>0</v>
      </c>
      <c r="M106" s="5" t="n">
        <v>0</v>
      </c>
      <c r="N106" s="5" t="n">
        <v>0</v>
      </c>
      <c r="O106" s="5" t="n">
        <v>0</v>
      </c>
      <c r="P106" s="5" t="n">
        <v>1</v>
      </c>
      <c r="Q106" s="5" t="n">
        <v>0</v>
      </c>
      <c r="R106" s="5" t="n">
        <v>0</v>
      </c>
      <c r="S106" s="5" t="n">
        <v>1</v>
      </c>
      <c r="T106" s="5" t="n">
        <v>0</v>
      </c>
      <c r="U106" s="5" t="inlineStr">
        <is>
          <t>testing</t>
        </is>
      </c>
    </row>
    <row r="107">
      <c r="A107" s="5" t="n">
        <v>103</v>
      </c>
      <c r="B107" s="5" t="n">
        <v>0</v>
      </c>
      <c r="C107" s="6" t="n">
        <v>-1.241254722473026</v>
      </c>
      <c r="D107" s="6" t="n">
        <v>-0.8112948008190002</v>
      </c>
      <c r="E107" s="6" t="n">
        <v>-1.003668658855008</v>
      </c>
      <c r="F107" s="6" t="n">
        <v>0.01674764143977723</v>
      </c>
      <c r="G107" s="5" t="n">
        <v>0</v>
      </c>
      <c r="H107" s="5" t="n">
        <v>0</v>
      </c>
      <c r="I107" s="5" t="n">
        <v>0</v>
      </c>
      <c r="J107" s="5" t="n">
        <v>0</v>
      </c>
      <c r="K107" s="5" t="n">
        <v>1</v>
      </c>
      <c r="L107" s="5" t="n">
        <v>0</v>
      </c>
      <c r="M107" s="5" t="n">
        <v>0</v>
      </c>
      <c r="N107" s="5" t="n">
        <v>0</v>
      </c>
      <c r="O107" s="5" t="n">
        <v>0</v>
      </c>
      <c r="P107" s="5" t="n">
        <v>0</v>
      </c>
      <c r="Q107" s="5" t="n">
        <v>0</v>
      </c>
      <c r="R107" s="5" t="n">
        <v>0</v>
      </c>
      <c r="S107" s="5" t="n">
        <v>1</v>
      </c>
      <c r="T107" s="5" t="n">
        <v>0</v>
      </c>
      <c r="U107" s="5" t="inlineStr">
        <is>
          <t>training</t>
        </is>
      </c>
    </row>
    <row r="108">
      <c r="A108" s="5" t="n">
        <v>104</v>
      </c>
      <c r="B108" s="5" t="n">
        <v>0</v>
      </c>
      <c r="C108" s="6" t="n">
        <v>-0.9884778685946948</v>
      </c>
      <c r="D108" s="6" t="n">
        <v>-0.4659506646846788</v>
      </c>
      <c r="E108" s="6" t="n">
        <v>-0.04696543117692405</v>
      </c>
      <c r="F108" s="6" t="n">
        <v>0.9185437189662378</v>
      </c>
      <c r="G108" s="5" t="n">
        <v>0</v>
      </c>
      <c r="H108" s="5" t="n">
        <v>1</v>
      </c>
      <c r="I108" s="5" t="n">
        <v>0</v>
      </c>
      <c r="J108" s="5" t="n">
        <v>1</v>
      </c>
      <c r="K108" s="5" t="n">
        <v>0</v>
      </c>
      <c r="L108" s="5" t="n">
        <v>0</v>
      </c>
      <c r="M108" s="5" t="n">
        <v>0</v>
      </c>
      <c r="N108" s="5" t="n">
        <v>0</v>
      </c>
      <c r="O108" s="5" t="n">
        <v>0</v>
      </c>
      <c r="P108" s="5" t="n">
        <v>1</v>
      </c>
      <c r="Q108" s="5" t="n">
        <v>0</v>
      </c>
      <c r="R108" s="5" t="n">
        <v>0</v>
      </c>
      <c r="S108" s="5" t="n">
        <v>0</v>
      </c>
      <c r="T108" s="5" t="n">
        <v>1</v>
      </c>
      <c r="U108" s="5" t="inlineStr">
        <is>
          <t>training</t>
        </is>
      </c>
    </row>
    <row r="109">
      <c r="A109" s="5" t="n">
        <v>105</v>
      </c>
      <c r="B109" s="5" t="n">
        <v>0</v>
      </c>
      <c r="C109" s="6" t="n">
        <v>-0.7357010147163632</v>
      </c>
      <c r="D109" s="6" t="n">
        <v>-0.2819070825097517</v>
      </c>
      <c r="E109" s="6" t="n">
        <v>-0.8297226174589928</v>
      </c>
      <c r="F109" s="6" t="n">
        <v>-0.8850484360866833</v>
      </c>
      <c r="G109" s="5" t="n">
        <v>0</v>
      </c>
      <c r="H109" s="5" t="n">
        <v>0</v>
      </c>
      <c r="I109" s="5" t="n">
        <v>0</v>
      </c>
      <c r="J109" s="5" t="n">
        <v>0</v>
      </c>
      <c r="K109" s="5" t="n">
        <v>0</v>
      </c>
      <c r="L109" s="5" t="n">
        <v>0</v>
      </c>
      <c r="M109" s="5" t="n">
        <v>0</v>
      </c>
      <c r="N109" s="5" t="n">
        <v>0</v>
      </c>
      <c r="O109" s="5" t="n">
        <v>1</v>
      </c>
      <c r="P109" s="5" t="n">
        <v>1</v>
      </c>
      <c r="Q109" s="5" t="n">
        <v>0</v>
      </c>
      <c r="R109" s="5" t="n">
        <v>1</v>
      </c>
      <c r="S109" s="5" t="n">
        <v>0</v>
      </c>
      <c r="T109" s="5" t="n">
        <v>0</v>
      </c>
      <c r="U109" s="5" t="inlineStr">
        <is>
          <t>training</t>
        </is>
      </c>
    </row>
    <row r="110">
      <c r="A110" s="5" t="n">
        <v>106</v>
      </c>
      <c r="B110" s="5" t="n">
        <v>1</v>
      </c>
      <c r="C110" s="6" t="n">
        <v>0.275406400796963</v>
      </c>
      <c r="D110" s="6" t="n">
        <v>3.039624715183372</v>
      </c>
      <c r="E110" s="6" t="n">
        <v>0.3009266516151065</v>
      </c>
      <c r="F110" s="6" t="n">
        <v>-0.8850484360866833</v>
      </c>
      <c r="G110" s="5" t="n">
        <v>0</v>
      </c>
      <c r="H110" s="5" t="n">
        <v>1</v>
      </c>
      <c r="I110" s="5" t="n">
        <v>0</v>
      </c>
      <c r="J110" s="5" t="n">
        <v>1</v>
      </c>
      <c r="K110" s="5" t="n">
        <v>0</v>
      </c>
      <c r="L110" s="5" t="n">
        <v>0</v>
      </c>
      <c r="M110" s="5" t="n">
        <v>0</v>
      </c>
      <c r="N110" s="5" t="n">
        <v>0</v>
      </c>
      <c r="O110" s="5" t="n">
        <v>0</v>
      </c>
      <c r="P110" s="5" t="n">
        <v>0</v>
      </c>
      <c r="Q110" s="5" t="n">
        <v>0</v>
      </c>
      <c r="R110" s="5" t="n">
        <v>0</v>
      </c>
      <c r="S110" s="5" t="n">
        <v>0</v>
      </c>
      <c r="T110" s="5" t="n">
        <v>0</v>
      </c>
      <c r="U110" s="5" t="inlineStr">
        <is>
          <t>training</t>
        </is>
      </c>
    </row>
    <row r="111">
      <c r="A111" s="5" t="n">
        <v>107</v>
      </c>
      <c r="B111" s="5" t="n">
        <v>1</v>
      </c>
      <c r="C111" s="6" t="n">
        <v>-0.2301473069597001</v>
      </c>
      <c r="D111" s="6" t="n">
        <v>1.122212490243067</v>
      </c>
      <c r="E111" s="6" t="n">
        <v>0.3009266516151065</v>
      </c>
      <c r="F111" s="6" t="n">
        <v>-0.8850484360866833</v>
      </c>
      <c r="G111" s="5" t="n">
        <v>0</v>
      </c>
      <c r="H111" s="5" t="n">
        <v>0</v>
      </c>
      <c r="I111" s="5" t="n">
        <v>0</v>
      </c>
      <c r="J111" s="5" t="n">
        <v>0</v>
      </c>
      <c r="K111" s="5" t="n">
        <v>0</v>
      </c>
      <c r="L111" s="5" t="n">
        <v>1</v>
      </c>
      <c r="M111" s="5" t="n">
        <v>0</v>
      </c>
      <c r="N111" s="5" t="n">
        <v>0</v>
      </c>
      <c r="O111" s="5" t="n">
        <v>0</v>
      </c>
      <c r="P111" s="5" t="n">
        <v>0</v>
      </c>
      <c r="Q111" s="5" t="n">
        <v>0</v>
      </c>
      <c r="R111" s="5" t="n">
        <v>1</v>
      </c>
      <c r="S111" s="5" t="n">
        <v>0</v>
      </c>
      <c r="T111" s="5" t="n">
        <v>0</v>
      </c>
      <c r="U111" s="5" t="inlineStr">
        <is>
          <t>training</t>
        </is>
      </c>
    </row>
    <row r="112">
      <c r="A112" s="5" t="n">
        <v>108</v>
      </c>
      <c r="B112" s="5" t="n">
        <v>0</v>
      </c>
      <c r="C112" s="6" t="n">
        <v>-0.7357010147163632</v>
      </c>
      <c r="D112" s="6" t="n">
        <v>0.9892532483676441</v>
      </c>
      <c r="E112" s="6" t="n">
        <v>-0.307884493270947</v>
      </c>
      <c r="F112" s="6" t="n">
        <v>-0.8850484360866833</v>
      </c>
      <c r="G112" s="5" t="n">
        <v>0</v>
      </c>
      <c r="H112" s="5" t="n">
        <v>1</v>
      </c>
      <c r="I112" s="5" t="n">
        <v>0</v>
      </c>
      <c r="J112" s="5" t="n">
        <v>0</v>
      </c>
      <c r="K112" s="5" t="n">
        <v>0</v>
      </c>
      <c r="L112" s="5" t="n">
        <v>0</v>
      </c>
      <c r="M112" s="5" t="n">
        <v>0</v>
      </c>
      <c r="N112" s="5" t="n">
        <v>0</v>
      </c>
      <c r="O112" s="5" t="n">
        <v>0</v>
      </c>
      <c r="P112" s="5" t="n">
        <v>0</v>
      </c>
      <c r="Q112" s="5" t="n">
        <v>0</v>
      </c>
      <c r="R112" s="5" t="n">
        <v>1</v>
      </c>
      <c r="S112" s="5" t="n">
        <v>0</v>
      </c>
      <c r="T112" s="5" t="n">
        <v>0</v>
      </c>
      <c r="U112" s="5" t="inlineStr">
        <is>
          <t>testing</t>
        </is>
      </c>
    </row>
    <row r="113">
      <c r="A113" s="5" t="n">
        <v>109</v>
      </c>
      <c r="B113" s="5" t="n">
        <v>0</v>
      </c>
      <c r="C113" s="6" t="n">
        <v>0.275406400796963</v>
      </c>
      <c r="D113" s="6" t="n">
        <v>1.564127023107958</v>
      </c>
      <c r="E113" s="6" t="n">
        <v>-0.4818305346669622</v>
      </c>
      <c r="F113" s="6" t="n">
        <v>-1.786844513613144</v>
      </c>
      <c r="G113" s="5" t="n">
        <v>1</v>
      </c>
      <c r="H113" s="5" t="n">
        <v>0</v>
      </c>
      <c r="I113" s="5" t="n">
        <v>0</v>
      </c>
      <c r="J113" s="5" t="n">
        <v>0</v>
      </c>
      <c r="K113" s="5" t="n">
        <v>0</v>
      </c>
      <c r="L113" s="5" t="n">
        <v>0</v>
      </c>
      <c r="M113" s="5" t="n">
        <v>0</v>
      </c>
      <c r="N113" s="5" t="n">
        <v>0</v>
      </c>
      <c r="O113" s="5" t="n">
        <v>1</v>
      </c>
      <c r="P113" s="5" t="n">
        <v>0</v>
      </c>
      <c r="Q113" s="5" t="n">
        <v>0</v>
      </c>
      <c r="R113" s="5" t="n">
        <v>0</v>
      </c>
      <c r="S113" s="5" t="n">
        <v>0</v>
      </c>
      <c r="T113" s="5" t="n">
        <v>1</v>
      </c>
      <c r="U113" s="5" t="inlineStr">
        <is>
          <t>training</t>
        </is>
      </c>
    </row>
    <row r="114">
      <c r="A114" s="5" t="n">
        <v>110</v>
      </c>
      <c r="B114" s="5" t="n">
        <v>0</v>
      </c>
      <c r="C114" s="6" t="n">
        <v>-0.5671831121308089</v>
      </c>
      <c r="D114" s="6" t="n">
        <v>-0.6440460702493896</v>
      </c>
      <c r="E114" s="6" t="n">
        <v>-0.04696543117692405</v>
      </c>
      <c r="F114" s="6" t="n">
        <v>-1.786844513613144</v>
      </c>
      <c r="G114" s="5" t="n">
        <v>0</v>
      </c>
      <c r="H114" s="5" t="n">
        <v>1</v>
      </c>
      <c r="I114" s="5" t="n">
        <v>0</v>
      </c>
      <c r="J114" s="5" t="n">
        <v>0</v>
      </c>
      <c r="K114" s="5" t="n">
        <v>0</v>
      </c>
      <c r="L114" s="5" t="n">
        <v>0</v>
      </c>
      <c r="M114" s="5" t="n">
        <v>1</v>
      </c>
      <c r="N114" s="5" t="n">
        <v>0</v>
      </c>
      <c r="O114" s="5" t="n">
        <v>0</v>
      </c>
      <c r="P114" s="5" t="n">
        <v>0</v>
      </c>
      <c r="Q114" s="5" t="n">
        <v>0</v>
      </c>
      <c r="R114" s="5" t="n">
        <v>0</v>
      </c>
      <c r="S114" s="5" t="n">
        <v>0</v>
      </c>
      <c r="T114" s="5" t="n">
        <v>0</v>
      </c>
      <c r="U114" s="5" t="inlineStr">
        <is>
          <t>training</t>
        </is>
      </c>
    </row>
    <row r="115">
      <c r="A115" s="5" t="n">
        <v>111</v>
      </c>
      <c r="B115" s="5" t="n">
        <v>0</v>
      </c>
      <c r="C115" s="6" t="n">
        <v>-1.241254722473026</v>
      </c>
      <c r="D115" s="6" t="n">
        <v>-0.63040025332007</v>
      </c>
      <c r="E115" s="6" t="n">
        <v>-0.3948575139689546</v>
      </c>
      <c r="F115" s="6" t="n">
        <v>-1.786844513613144</v>
      </c>
      <c r="G115" s="5" t="n">
        <v>0</v>
      </c>
      <c r="H115" s="5" t="n">
        <v>1</v>
      </c>
      <c r="I115" s="5" t="n">
        <v>0</v>
      </c>
      <c r="J115" s="5" t="n">
        <v>0</v>
      </c>
      <c r="K115" s="5" t="n">
        <v>1</v>
      </c>
      <c r="L115" s="5" t="n">
        <v>0</v>
      </c>
      <c r="M115" s="5" t="n">
        <v>1</v>
      </c>
      <c r="N115" s="5" t="n">
        <v>0</v>
      </c>
      <c r="O115" s="5" t="n">
        <v>0</v>
      </c>
      <c r="P115" s="5" t="n">
        <v>0</v>
      </c>
      <c r="Q115" s="5" t="n">
        <v>0</v>
      </c>
      <c r="R115" s="5" t="n">
        <v>0</v>
      </c>
      <c r="S115" s="5" t="n">
        <v>0</v>
      </c>
      <c r="T115" s="5" t="n">
        <v>0</v>
      </c>
      <c r="U115" s="5" t="inlineStr">
        <is>
          <t>training</t>
        </is>
      </c>
    </row>
    <row r="116">
      <c r="A116" s="5" t="n">
        <v>112</v>
      </c>
      <c r="B116" s="5" t="n">
        <v>0</v>
      </c>
      <c r="C116" s="6" t="n">
        <v>-0.4829241608380317</v>
      </c>
      <c r="D116" s="6" t="n">
        <v>-1.000236881378811</v>
      </c>
      <c r="E116" s="6" t="n">
        <v>-1.090641679553016</v>
      </c>
      <c r="F116" s="6" t="n">
        <v>0.9185437189662378</v>
      </c>
      <c r="G116" s="5" t="n">
        <v>0</v>
      </c>
      <c r="H116" s="5" t="n">
        <v>0</v>
      </c>
      <c r="I116" s="5" t="n">
        <v>1</v>
      </c>
      <c r="J116" s="5" t="n">
        <v>0</v>
      </c>
      <c r="K116" s="5" t="n">
        <v>0</v>
      </c>
      <c r="L116" s="5" t="n">
        <v>0</v>
      </c>
      <c r="M116" s="5" t="n">
        <v>0</v>
      </c>
      <c r="N116" s="5" t="n">
        <v>0</v>
      </c>
      <c r="O116" s="5" t="n">
        <v>0</v>
      </c>
      <c r="P116" s="5" t="n">
        <v>1</v>
      </c>
      <c r="Q116" s="5" t="n">
        <v>0</v>
      </c>
      <c r="R116" s="5" t="n">
        <v>0</v>
      </c>
      <c r="S116" s="5" t="n">
        <v>0</v>
      </c>
      <c r="T116" s="5" t="n">
        <v>0</v>
      </c>
      <c r="U116" s="5" t="inlineStr">
        <is>
          <t>testing</t>
        </is>
      </c>
    </row>
    <row r="117">
      <c r="A117" s="5" t="n">
        <v>113</v>
      </c>
      <c r="B117" s="5" t="n">
        <v>0</v>
      </c>
      <c r="C117" s="6" t="n">
        <v>-0.2301473069597001</v>
      </c>
      <c r="D117" s="6" t="n">
        <v>1.052933727371136</v>
      </c>
      <c r="E117" s="6" t="n">
        <v>-0.6557765760629775</v>
      </c>
      <c r="F117" s="6" t="n">
        <v>0.01674764143977723</v>
      </c>
      <c r="G117" s="5" t="n">
        <v>0</v>
      </c>
      <c r="H117" s="5" t="n">
        <v>1</v>
      </c>
      <c r="I117" s="5" t="n">
        <v>0</v>
      </c>
      <c r="J117" s="5" t="n">
        <v>0</v>
      </c>
      <c r="K117" s="5" t="n">
        <v>0</v>
      </c>
      <c r="L117" s="5" t="n">
        <v>0</v>
      </c>
      <c r="M117" s="5" t="n">
        <v>0</v>
      </c>
      <c r="N117" s="5" t="n">
        <v>0</v>
      </c>
      <c r="O117" s="5" t="n">
        <v>0</v>
      </c>
      <c r="P117" s="5" t="n">
        <v>1</v>
      </c>
      <c r="Q117" s="5" t="n">
        <v>0</v>
      </c>
      <c r="R117" s="5" t="n">
        <v>1</v>
      </c>
      <c r="S117" s="5" t="n">
        <v>0</v>
      </c>
      <c r="T117" s="5" t="n">
        <v>0</v>
      </c>
      <c r="U117" s="5" t="inlineStr">
        <is>
          <t>training</t>
        </is>
      </c>
    </row>
    <row r="118">
      <c r="A118" s="5" t="n">
        <v>114</v>
      </c>
      <c r="B118" s="5" t="n">
        <v>1</v>
      </c>
      <c r="C118" s="6" t="n">
        <v>1.286513816310289</v>
      </c>
      <c r="D118" s="6" t="n">
        <v>1.611012650506134</v>
      </c>
      <c r="E118" s="6" t="n">
        <v>-0.9166956381570004</v>
      </c>
      <c r="F118" s="6" t="n">
        <v>0.9185437189662378</v>
      </c>
      <c r="G118" s="5" t="n">
        <v>0</v>
      </c>
      <c r="H118" s="5" t="n">
        <v>0</v>
      </c>
      <c r="I118" s="5" t="n">
        <v>0</v>
      </c>
      <c r="J118" s="5" t="n">
        <v>1</v>
      </c>
      <c r="K118" s="5" t="n">
        <v>0</v>
      </c>
      <c r="L118" s="5" t="n">
        <v>0</v>
      </c>
      <c r="M118" s="5" t="n">
        <v>0</v>
      </c>
      <c r="N118" s="5" t="n">
        <v>0</v>
      </c>
      <c r="O118" s="5" t="n">
        <v>0</v>
      </c>
      <c r="P118" s="5" t="n">
        <v>0</v>
      </c>
      <c r="Q118" s="5" t="n">
        <v>0</v>
      </c>
      <c r="R118" s="5" t="n">
        <v>1</v>
      </c>
      <c r="S118" s="5" t="n">
        <v>0</v>
      </c>
      <c r="T118" s="5" t="n">
        <v>0</v>
      </c>
      <c r="U118" s="5" t="inlineStr">
        <is>
          <t>training</t>
        </is>
      </c>
    </row>
    <row r="119">
      <c r="A119" s="5" t="n">
        <v>115</v>
      </c>
      <c r="B119" s="5" t="n">
        <v>0</v>
      </c>
      <c r="C119" s="6" t="n">
        <v>-0.7357010147163632</v>
      </c>
      <c r="D119" s="6" t="n">
        <v>-0.5495750299694842</v>
      </c>
      <c r="E119" s="6" t="n">
        <v>-0.04696543117692405</v>
      </c>
      <c r="F119" s="6" t="n">
        <v>0.01674764143977723</v>
      </c>
      <c r="G119" s="5" t="n">
        <v>1</v>
      </c>
      <c r="H119" s="5" t="n">
        <v>0</v>
      </c>
      <c r="I119" s="5" t="n">
        <v>0</v>
      </c>
      <c r="J119" s="5" t="n">
        <v>0</v>
      </c>
      <c r="K119" s="5" t="n">
        <v>0</v>
      </c>
      <c r="L119" s="5" t="n">
        <v>0</v>
      </c>
      <c r="M119" s="5" t="n">
        <v>1</v>
      </c>
      <c r="N119" s="5" t="n">
        <v>0</v>
      </c>
      <c r="O119" s="5" t="n">
        <v>0</v>
      </c>
      <c r="P119" s="5" t="n">
        <v>0</v>
      </c>
      <c r="Q119" s="5" t="n">
        <v>0</v>
      </c>
      <c r="R119" s="5" t="n">
        <v>0</v>
      </c>
      <c r="S119" s="5" t="n">
        <v>1</v>
      </c>
      <c r="T119" s="5" t="n">
        <v>0</v>
      </c>
      <c r="U119" s="5" t="inlineStr">
        <is>
          <t>training</t>
        </is>
      </c>
    </row>
    <row r="120">
      <c r="A120" s="5" t="n">
        <v>116</v>
      </c>
      <c r="B120" s="5" t="n">
        <v>0</v>
      </c>
      <c r="C120" s="6" t="n">
        <v>2.297621231823615</v>
      </c>
      <c r="D120" s="6" t="n">
        <v>0.1145213939240741</v>
      </c>
      <c r="E120" s="6" t="n">
        <v>0.9967108171991675</v>
      </c>
      <c r="F120" s="6" t="n">
        <v>0.9185437189662378</v>
      </c>
      <c r="G120" s="5" t="n">
        <v>0</v>
      </c>
      <c r="H120" s="5" t="n">
        <v>0</v>
      </c>
      <c r="I120" s="5" t="n">
        <v>0</v>
      </c>
      <c r="J120" s="5" t="n">
        <v>1</v>
      </c>
      <c r="K120" s="5" t="n">
        <v>0</v>
      </c>
      <c r="L120" s="5" t="n">
        <v>0</v>
      </c>
      <c r="M120" s="5" t="n">
        <v>0</v>
      </c>
      <c r="N120" s="5" t="n">
        <v>0</v>
      </c>
      <c r="O120" s="5" t="n">
        <v>1</v>
      </c>
      <c r="P120" s="5" t="n">
        <v>0</v>
      </c>
      <c r="Q120" s="5" t="n">
        <v>0</v>
      </c>
      <c r="R120" s="5" t="n">
        <v>0</v>
      </c>
      <c r="S120" s="5" t="n">
        <v>1</v>
      </c>
      <c r="T120" s="5" t="n">
        <v>0</v>
      </c>
      <c r="U120" s="5" t="inlineStr">
        <is>
          <t>training</t>
        </is>
      </c>
    </row>
    <row r="121">
      <c r="A121" s="5" t="n">
        <v>117</v>
      </c>
      <c r="B121" s="5" t="n">
        <v>1</v>
      </c>
      <c r="C121" s="6" t="n">
        <v>1.792067524066952</v>
      </c>
      <c r="D121" s="6" t="n">
        <v>1.372735693355705</v>
      </c>
      <c r="E121" s="6" t="n">
        <v>-0.4818305346669622</v>
      </c>
      <c r="F121" s="6" t="n">
        <v>0.9185437189662378</v>
      </c>
      <c r="G121" s="5" t="n">
        <v>1</v>
      </c>
      <c r="H121" s="5" t="n">
        <v>0</v>
      </c>
      <c r="I121" s="5" t="n">
        <v>0</v>
      </c>
      <c r="J121" s="5" t="n">
        <v>0</v>
      </c>
      <c r="K121" s="5" t="n">
        <v>0</v>
      </c>
      <c r="L121" s="5" t="n">
        <v>0</v>
      </c>
      <c r="M121" s="5" t="n">
        <v>0</v>
      </c>
      <c r="N121" s="5" t="n">
        <v>0</v>
      </c>
      <c r="O121" s="5" t="n">
        <v>1</v>
      </c>
      <c r="P121" s="5" t="n">
        <v>0</v>
      </c>
      <c r="Q121" s="5" t="n">
        <v>0</v>
      </c>
      <c r="R121" s="5" t="n">
        <v>0</v>
      </c>
      <c r="S121" s="5" t="n">
        <v>1</v>
      </c>
      <c r="T121" s="5" t="n">
        <v>0</v>
      </c>
      <c r="U121" s="5" t="inlineStr">
        <is>
          <t>testing</t>
        </is>
      </c>
    </row>
    <row r="122">
      <c r="A122" s="5" t="n">
        <v>118</v>
      </c>
      <c r="B122" s="5" t="n">
        <v>0</v>
      </c>
      <c r="C122" s="6" t="n">
        <v>-0.9042189173019176</v>
      </c>
      <c r="D122" s="6" t="n">
        <v>-0.3914235106860867</v>
      </c>
      <c r="E122" s="6" t="n">
        <v>-0.7427495967609852</v>
      </c>
      <c r="F122" s="6" t="n">
        <v>-0.8850484360866833</v>
      </c>
      <c r="G122" s="5" t="n">
        <v>1</v>
      </c>
      <c r="H122" s="5" t="n">
        <v>0</v>
      </c>
      <c r="I122" s="5" t="n">
        <v>0</v>
      </c>
      <c r="J122" s="5" t="n">
        <v>1</v>
      </c>
      <c r="K122" s="5" t="n">
        <v>0</v>
      </c>
      <c r="L122" s="5" t="n">
        <v>0</v>
      </c>
      <c r="M122" s="5" t="n">
        <v>0</v>
      </c>
      <c r="N122" s="5" t="n">
        <v>0</v>
      </c>
      <c r="O122" s="5" t="n">
        <v>1</v>
      </c>
      <c r="P122" s="5" t="n">
        <v>1</v>
      </c>
      <c r="Q122" s="5" t="n">
        <v>0</v>
      </c>
      <c r="R122" s="5" t="n">
        <v>0</v>
      </c>
      <c r="S122" s="5" t="n">
        <v>0</v>
      </c>
      <c r="T122" s="5" t="n">
        <v>1</v>
      </c>
      <c r="U122" s="5" t="inlineStr">
        <is>
          <t>testing</t>
        </is>
      </c>
    </row>
    <row r="123">
      <c r="A123" s="5" t="n">
        <v>119</v>
      </c>
      <c r="B123" s="5" t="n">
        <v>1</v>
      </c>
      <c r="C123" s="6" t="n">
        <v>1.033736962431958</v>
      </c>
      <c r="D123" s="6" t="n">
        <v>0.360495991393606</v>
      </c>
      <c r="E123" s="6" t="n">
        <v>-1.090641679553016</v>
      </c>
      <c r="F123" s="6" t="n">
        <v>-1.786844513613144</v>
      </c>
      <c r="G123" s="5" t="n">
        <v>1</v>
      </c>
      <c r="H123" s="5" t="n">
        <v>0</v>
      </c>
      <c r="I123" s="5" t="n">
        <v>0</v>
      </c>
      <c r="J123" s="5" t="n">
        <v>1</v>
      </c>
      <c r="K123" s="5" t="n">
        <v>0</v>
      </c>
      <c r="L123" s="5" t="n">
        <v>0</v>
      </c>
      <c r="M123" s="5" t="n">
        <v>1</v>
      </c>
      <c r="N123" s="5" t="n">
        <v>0</v>
      </c>
      <c r="O123" s="5" t="n">
        <v>0</v>
      </c>
      <c r="P123" s="5" t="n">
        <v>0</v>
      </c>
      <c r="Q123" s="5" t="n">
        <v>0</v>
      </c>
      <c r="R123" s="5" t="n">
        <v>0</v>
      </c>
      <c r="S123" s="5" t="n">
        <v>0</v>
      </c>
      <c r="T123" s="5" t="n">
        <v>1</v>
      </c>
      <c r="U123" s="5" t="inlineStr">
        <is>
          <t>training</t>
        </is>
      </c>
    </row>
    <row r="124">
      <c r="A124" s="5" t="n">
        <v>120</v>
      </c>
      <c r="B124" s="5" t="n">
        <v>0</v>
      </c>
      <c r="C124" s="6" t="n">
        <v>-0.7357010147163632</v>
      </c>
      <c r="D124" s="6" t="n">
        <v>-0.3095486091101685</v>
      </c>
      <c r="E124" s="6" t="n">
        <v>0.04000758952108359</v>
      </c>
      <c r="F124" s="6" t="n">
        <v>0.01674764143977723</v>
      </c>
      <c r="G124" s="5" t="n">
        <v>0</v>
      </c>
      <c r="H124" s="5" t="n">
        <v>1</v>
      </c>
      <c r="I124" s="5" t="n">
        <v>0</v>
      </c>
      <c r="J124" s="5" t="n">
        <v>1</v>
      </c>
      <c r="K124" s="5" t="n">
        <v>0</v>
      </c>
      <c r="L124" s="5" t="n">
        <v>0</v>
      </c>
      <c r="M124" s="5" t="n">
        <v>1</v>
      </c>
      <c r="N124" s="5" t="n">
        <v>0</v>
      </c>
      <c r="O124" s="5" t="n">
        <v>0</v>
      </c>
      <c r="P124" s="5" t="n">
        <v>0</v>
      </c>
      <c r="Q124" s="5" t="n">
        <v>0</v>
      </c>
      <c r="R124" s="5" t="n">
        <v>1</v>
      </c>
      <c r="S124" s="5" t="n">
        <v>0</v>
      </c>
      <c r="T124" s="5" t="n">
        <v>0</v>
      </c>
      <c r="U124" s="5" t="inlineStr">
        <is>
          <t>training</t>
        </is>
      </c>
    </row>
    <row r="125">
      <c r="A125" s="5" t="n">
        <v>121</v>
      </c>
      <c r="B125" s="5" t="n">
        <v>1</v>
      </c>
      <c r="C125" s="6" t="n">
        <v>0.02262954691863145</v>
      </c>
      <c r="D125" s="6" t="n">
        <v>-0.4953416549939827</v>
      </c>
      <c r="E125" s="6" t="n">
        <v>-0.9166956381570004</v>
      </c>
      <c r="F125" s="6" t="n">
        <v>0.01674764143977723</v>
      </c>
      <c r="G125" s="5" t="n">
        <v>1</v>
      </c>
      <c r="H125" s="5" t="n">
        <v>0</v>
      </c>
      <c r="I125" s="5" t="n">
        <v>0</v>
      </c>
      <c r="J125" s="5" t="n">
        <v>0</v>
      </c>
      <c r="K125" s="5" t="n">
        <v>0</v>
      </c>
      <c r="L125" s="5" t="n">
        <v>0</v>
      </c>
      <c r="M125" s="5" t="n">
        <v>0</v>
      </c>
      <c r="N125" s="5" t="n">
        <v>0</v>
      </c>
      <c r="O125" s="5" t="n">
        <v>0</v>
      </c>
      <c r="P125" s="5" t="n">
        <v>0</v>
      </c>
      <c r="Q125" s="5" t="n">
        <v>0</v>
      </c>
      <c r="R125" s="5" t="n">
        <v>0</v>
      </c>
      <c r="S125" s="5" t="n">
        <v>1</v>
      </c>
      <c r="T125" s="5" t="n">
        <v>0</v>
      </c>
      <c r="U125" s="5" t="inlineStr">
        <is>
          <t>training</t>
        </is>
      </c>
    </row>
    <row r="126">
      <c r="A126" s="5" t="n">
        <v>122</v>
      </c>
      <c r="B126" s="5" t="n">
        <v>0</v>
      </c>
      <c r="C126" s="6" t="n">
        <v>0.275406400796963</v>
      </c>
      <c r="D126" s="6" t="n">
        <v>0.2159902890395282</v>
      </c>
      <c r="E126" s="6" t="n">
        <v>0.4748726930111218</v>
      </c>
      <c r="F126" s="6" t="n">
        <v>0.9185437189662378</v>
      </c>
      <c r="G126" s="5" t="n">
        <v>0</v>
      </c>
      <c r="H126" s="5" t="n">
        <v>0</v>
      </c>
      <c r="I126" s="5" t="n">
        <v>0</v>
      </c>
      <c r="J126" s="5" t="n">
        <v>1</v>
      </c>
      <c r="K126" s="5" t="n">
        <v>0</v>
      </c>
      <c r="L126" s="5" t="n">
        <v>0</v>
      </c>
      <c r="M126" s="5" t="n">
        <v>0</v>
      </c>
      <c r="N126" s="5" t="n">
        <v>0</v>
      </c>
      <c r="O126" s="5" t="n">
        <v>0</v>
      </c>
      <c r="P126" s="5" t="n">
        <v>1</v>
      </c>
      <c r="Q126" s="5" t="n">
        <v>0</v>
      </c>
      <c r="R126" s="5" t="n">
        <v>1</v>
      </c>
      <c r="S126" s="5" t="n">
        <v>0</v>
      </c>
      <c r="T126" s="5" t="n">
        <v>0</v>
      </c>
      <c r="U126" s="5" t="inlineStr">
        <is>
          <t>training</t>
        </is>
      </c>
    </row>
    <row r="127">
      <c r="A127" s="5" t="n">
        <v>123</v>
      </c>
      <c r="B127" s="5" t="n">
        <v>0</v>
      </c>
      <c r="C127" s="6" t="n">
        <v>-0.7357010147163632</v>
      </c>
      <c r="D127" s="6" t="n">
        <v>-0.5187844686930705</v>
      </c>
      <c r="E127" s="6" t="n">
        <v>-1.003668658855008</v>
      </c>
      <c r="F127" s="6" t="n">
        <v>0.01674764143977723</v>
      </c>
      <c r="G127" s="5" t="n">
        <v>0</v>
      </c>
      <c r="H127" s="5" t="n">
        <v>0</v>
      </c>
      <c r="I127" s="5" t="n">
        <v>0</v>
      </c>
      <c r="J127" s="5" t="n">
        <v>0</v>
      </c>
      <c r="K127" s="5" t="n">
        <v>0</v>
      </c>
      <c r="L127" s="5" t="n">
        <v>0</v>
      </c>
      <c r="M127" s="5" t="n">
        <v>0</v>
      </c>
      <c r="N127" s="5" t="n">
        <v>0</v>
      </c>
      <c r="O127" s="5" t="n">
        <v>0</v>
      </c>
      <c r="P127" s="5" t="n">
        <v>1</v>
      </c>
      <c r="Q127" s="5" t="n">
        <v>0</v>
      </c>
      <c r="R127" s="5" t="n">
        <v>0</v>
      </c>
      <c r="S127" s="5" t="n">
        <v>0</v>
      </c>
      <c r="T127" s="5" t="n">
        <v>1</v>
      </c>
      <c r="U127" s="5" t="inlineStr">
        <is>
          <t>training</t>
        </is>
      </c>
    </row>
    <row r="128">
      <c r="A128" s="5" t="n">
        <v>124</v>
      </c>
      <c r="B128" s="5" t="n">
        <v>0</v>
      </c>
      <c r="C128" s="6" t="n">
        <v>-0.9042189173019176</v>
      </c>
      <c r="D128" s="6" t="n">
        <v>-0.8641286048273918</v>
      </c>
      <c r="E128" s="6" t="n">
        <v>2.38827914836729</v>
      </c>
      <c r="F128" s="6" t="n">
        <v>0.9185437189662378</v>
      </c>
      <c r="G128" s="5" t="n">
        <v>0</v>
      </c>
      <c r="H128" s="5" t="n">
        <v>0</v>
      </c>
      <c r="I128" s="5" t="n">
        <v>1</v>
      </c>
      <c r="J128" s="5" t="n">
        <v>1</v>
      </c>
      <c r="K128" s="5" t="n">
        <v>0</v>
      </c>
      <c r="L128" s="5" t="n">
        <v>0</v>
      </c>
      <c r="M128" s="5" t="n">
        <v>0</v>
      </c>
      <c r="N128" s="5" t="n">
        <v>0</v>
      </c>
      <c r="O128" s="5" t="n">
        <v>0</v>
      </c>
      <c r="P128" s="5" t="n">
        <v>0</v>
      </c>
      <c r="Q128" s="5" t="n">
        <v>1</v>
      </c>
      <c r="R128" s="5" t="n">
        <v>1</v>
      </c>
      <c r="S128" s="5" t="n">
        <v>0</v>
      </c>
      <c r="T128" s="5" t="n">
        <v>0</v>
      </c>
      <c r="U128" s="5" t="inlineStr">
        <is>
          <t>training</t>
        </is>
      </c>
    </row>
    <row r="129">
      <c r="A129" s="5" t="n">
        <v>125</v>
      </c>
      <c r="B129" s="5" t="n">
        <v>1</v>
      </c>
      <c r="C129" s="6" t="n">
        <v>-0.2301473069597001</v>
      </c>
      <c r="D129" s="6" t="n">
        <v>-0.4642012009757917</v>
      </c>
      <c r="E129" s="6" t="n">
        <v>-0.7427495967609852</v>
      </c>
      <c r="F129" s="6" t="n">
        <v>0.9185437189662378</v>
      </c>
      <c r="G129" s="5" t="n">
        <v>0</v>
      </c>
      <c r="H129" s="5" t="n">
        <v>1</v>
      </c>
      <c r="I129" s="5" t="n">
        <v>0</v>
      </c>
      <c r="J129" s="5" t="n">
        <v>0</v>
      </c>
      <c r="K129" s="5" t="n">
        <v>0</v>
      </c>
      <c r="L129" s="5" t="n">
        <v>0</v>
      </c>
      <c r="M129" s="5" t="n">
        <v>0</v>
      </c>
      <c r="N129" s="5" t="n">
        <v>0</v>
      </c>
      <c r="O129" s="5" t="n">
        <v>1</v>
      </c>
      <c r="P129" s="5" t="n">
        <v>1</v>
      </c>
      <c r="Q129" s="5" t="n">
        <v>0</v>
      </c>
      <c r="R129" s="5" t="n">
        <v>0</v>
      </c>
      <c r="S129" s="5" t="n">
        <v>0</v>
      </c>
      <c r="T129" s="5" t="n">
        <v>1</v>
      </c>
      <c r="U129" s="5" t="inlineStr">
        <is>
          <t>training</t>
        </is>
      </c>
    </row>
    <row r="130">
      <c r="A130" s="5" t="n">
        <v>126</v>
      </c>
      <c r="B130" s="5" t="n">
        <v>0</v>
      </c>
      <c r="C130" s="6" t="n">
        <v>-0.7357010147163632</v>
      </c>
      <c r="D130" s="6" t="n">
        <v>-0.3952723308456384</v>
      </c>
      <c r="E130" s="6" t="n">
        <v>-0.4818305346669622</v>
      </c>
      <c r="F130" s="6" t="n">
        <v>0.9185437189662378</v>
      </c>
      <c r="G130" s="5" t="n">
        <v>1</v>
      </c>
      <c r="H130" s="5" t="n">
        <v>0</v>
      </c>
      <c r="I130" s="5" t="n">
        <v>0</v>
      </c>
      <c r="J130" s="5" t="n">
        <v>1</v>
      </c>
      <c r="K130" s="5" t="n">
        <v>0</v>
      </c>
      <c r="L130" s="5" t="n">
        <v>0</v>
      </c>
      <c r="M130" s="5" t="n">
        <v>0</v>
      </c>
      <c r="N130" s="5" t="n">
        <v>0</v>
      </c>
      <c r="O130" s="5" t="n">
        <v>0</v>
      </c>
      <c r="P130" s="5" t="n">
        <v>0</v>
      </c>
      <c r="Q130" s="5" t="n">
        <v>0</v>
      </c>
      <c r="R130" s="5" t="n">
        <v>1</v>
      </c>
      <c r="S130" s="5" t="n">
        <v>0</v>
      </c>
      <c r="T130" s="5" t="n">
        <v>0</v>
      </c>
      <c r="U130" s="5" t="inlineStr">
        <is>
          <t>training</t>
        </is>
      </c>
    </row>
    <row r="131">
      <c r="A131" s="5" t="n">
        <v>127</v>
      </c>
      <c r="B131" s="5" t="n">
        <v>0</v>
      </c>
      <c r="C131" s="6" t="n">
        <v>-0.7357010147163632</v>
      </c>
      <c r="D131" s="6" t="n">
        <v>-0.892120024169586</v>
      </c>
      <c r="E131" s="6" t="n">
        <v>0.3878996723131141</v>
      </c>
      <c r="F131" s="6" t="n">
        <v>0.9185437189662378</v>
      </c>
      <c r="G131" s="5" t="n">
        <v>1</v>
      </c>
      <c r="H131" s="5" t="n">
        <v>0</v>
      </c>
      <c r="I131" s="5" t="n">
        <v>0</v>
      </c>
      <c r="J131" s="5" t="n">
        <v>0</v>
      </c>
      <c r="K131" s="5" t="n">
        <v>0</v>
      </c>
      <c r="L131" s="5" t="n">
        <v>0</v>
      </c>
      <c r="M131" s="5" t="n">
        <v>0</v>
      </c>
      <c r="N131" s="5" t="n">
        <v>0</v>
      </c>
      <c r="O131" s="5" t="n">
        <v>0</v>
      </c>
      <c r="P131" s="5" t="n">
        <v>0</v>
      </c>
      <c r="Q131" s="5" t="n">
        <v>0</v>
      </c>
      <c r="R131" s="5" t="n">
        <v>0</v>
      </c>
      <c r="S131" s="5" t="n">
        <v>1</v>
      </c>
      <c r="T131" s="5" t="n">
        <v>0</v>
      </c>
      <c r="U131" s="5" t="inlineStr">
        <is>
          <t>training</t>
        </is>
      </c>
    </row>
    <row r="132">
      <c r="A132" s="5" t="n">
        <v>128</v>
      </c>
      <c r="B132" s="5" t="n">
        <v>1</v>
      </c>
      <c r="C132" s="6" t="n">
        <v>-0.7357010147163632</v>
      </c>
      <c r="D132" s="6" t="n">
        <v>-0.9138133741597866</v>
      </c>
      <c r="E132" s="6" t="n">
        <v>-0.4818305346669622</v>
      </c>
      <c r="F132" s="6" t="n">
        <v>0.9185437189662378</v>
      </c>
      <c r="G132" s="5" t="n">
        <v>0</v>
      </c>
      <c r="H132" s="5" t="n">
        <v>1</v>
      </c>
      <c r="I132" s="5" t="n">
        <v>0</v>
      </c>
      <c r="J132" s="5" t="n">
        <v>0</v>
      </c>
      <c r="K132" s="5" t="n">
        <v>0</v>
      </c>
      <c r="L132" s="5" t="n">
        <v>0</v>
      </c>
      <c r="M132" s="5" t="n">
        <v>0</v>
      </c>
      <c r="N132" s="5" t="n">
        <v>0</v>
      </c>
      <c r="O132" s="5" t="n">
        <v>0</v>
      </c>
      <c r="P132" s="5" t="n">
        <v>0</v>
      </c>
      <c r="Q132" s="5" t="n">
        <v>0</v>
      </c>
      <c r="R132" s="5" t="n">
        <v>0</v>
      </c>
      <c r="S132" s="5" t="n">
        <v>0</v>
      </c>
      <c r="T132" s="5" t="n">
        <v>0</v>
      </c>
      <c r="U132" s="5" t="inlineStr">
        <is>
          <t>training</t>
        </is>
      </c>
    </row>
    <row r="133">
      <c r="A133" s="5" t="n">
        <v>129</v>
      </c>
      <c r="B133" s="5" t="n">
        <v>0</v>
      </c>
      <c r="C133" s="6" t="n">
        <v>-0.7357010147163632</v>
      </c>
      <c r="D133" s="6" t="n">
        <v>-0.4865943364495471</v>
      </c>
      <c r="E133" s="6" t="n">
        <v>-0.1339384518749317</v>
      </c>
      <c r="F133" s="6" t="n">
        <v>0.9185437189662378</v>
      </c>
      <c r="G133" s="5" t="n">
        <v>0</v>
      </c>
      <c r="H133" s="5" t="n">
        <v>1</v>
      </c>
      <c r="I133" s="5" t="n">
        <v>0</v>
      </c>
      <c r="J133" s="5" t="n">
        <v>1</v>
      </c>
      <c r="K133" s="5" t="n">
        <v>0</v>
      </c>
      <c r="L133" s="5" t="n">
        <v>0</v>
      </c>
      <c r="M133" s="5" t="n">
        <v>0</v>
      </c>
      <c r="N133" s="5" t="n">
        <v>0</v>
      </c>
      <c r="O133" s="5" t="n">
        <v>0</v>
      </c>
      <c r="P133" s="5" t="n">
        <v>0</v>
      </c>
      <c r="Q133" s="5" t="n">
        <v>0</v>
      </c>
      <c r="R133" s="5" t="n">
        <v>1</v>
      </c>
      <c r="S133" s="5" t="n">
        <v>0</v>
      </c>
      <c r="T133" s="5" t="n">
        <v>0</v>
      </c>
      <c r="U133" s="5" t="inlineStr">
        <is>
          <t>testing</t>
        </is>
      </c>
    </row>
    <row r="134">
      <c r="A134" s="5" t="n">
        <v>130</v>
      </c>
      <c r="B134" s="5" t="n">
        <v>1</v>
      </c>
      <c r="C134" s="6" t="n">
        <v>-0.7357010147163632</v>
      </c>
      <c r="D134" s="6" t="n">
        <v>0.08687986732365734</v>
      </c>
      <c r="E134" s="6" t="n">
        <v>-0.5688035553649698</v>
      </c>
      <c r="F134" s="6" t="n">
        <v>0.01674764143977723</v>
      </c>
      <c r="G134" s="5" t="n">
        <v>1</v>
      </c>
      <c r="H134" s="5" t="n">
        <v>0</v>
      </c>
      <c r="I134" s="5" t="n">
        <v>0</v>
      </c>
      <c r="J134" s="5" t="n">
        <v>1</v>
      </c>
      <c r="K134" s="5" t="n">
        <v>0</v>
      </c>
      <c r="L134" s="5" t="n">
        <v>0</v>
      </c>
      <c r="M134" s="5" t="n">
        <v>0</v>
      </c>
      <c r="N134" s="5" t="n">
        <v>0</v>
      </c>
      <c r="O134" s="5" t="n">
        <v>0</v>
      </c>
      <c r="P134" s="5" t="n">
        <v>0</v>
      </c>
      <c r="Q134" s="5" t="n">
        <v>0</v>
      </c>
      <c r="R134" s="5" t="n">
        <v>1</v>
      </c>
      <c r="S134" s="5" t="n">
        <v>0</v>
      </c>
      <c r="T134" s="5" t="n">
        <v>0</v>
      </c>
      <c r="U134" s="5" t="inlineStr">
        <is>
          <t>training</t>
        </is>
      </c>
    </row>
    <row r="135">
      <c r="A135" s="5" t="n">
        <v>131</v>
      </c>
      <c r="B135" s="5" t="n">
        <v>0</v>
      </c>
      <c r="C135" s="6" t="n">
        <v>2.297621231823615</v>
      </c>
      <c r="D135" s="6" t="n">
        <v>1.832144863309468</v>
      </c>
      <c r="E135" s="6" t="n">
        <v>-1.003668658855008</v>
      </c>
      <c r="F135" s="6" t="n">
        <v>-1.786844513613144</v>
      </c>
      <c r="G135" s="5" t="n">
        <v>0</v>
      </c>
      <c r="H135" s="5" t="n">
        <v>1</v>
      </c>
      <c r="I135" s="5" t="n">
        <v>0</v>
      </c>
      <c r="J135" s="5" t="n">
        <v>0</v>
      </c>
      <c r="K135" s="5" t="n">
        <v>0</v>
      </c>
      <c r="L135" s="5" t="n">
        <v>0</v>
      </c>
      <c r="M135" s="5" t="n">
        <v>0</v>
      </c>
      <c r="N135" s="5" t="n">
        <v>0</v>
      </c>
      <c r="O135" s="5" t="n">
        <v>1</v>
      </c>
      <c r="P135" s="5" t="n">
        <v>0</v>
      </c>
      <c r="Q135" s="5" t="n">
        <v>0</v>
      </c>
      <c r="R135" s="5" t="n">
        <v>1</v>
      </c>
      <c r="S135" s="5" t="n">
        <v>0</v>
      </c>
      <c r="T135" s="5" t="n">
        <v>0</v>
      </c>
      <c r="U135" s="5" t="inlineStr">
        <is>
          <t>training</t>
        </is>
      </c>
    </row>
    <row r="136">
      <c r="A136" s="5" t="n">
        <v>132</v>
      </c>
      <c r="B136" s="5" t="n">
        <v>1</v>
      </c>
      <c r="C136" s="6" t="n">
        <v>1.286513816310289</v>
      </c>
      <c r="D136" s="6" t="n">
        <v>1.272316476465583</v>
      </c>
      <c r="E136" s="6" t="n">
        <v>-0.5688035553649698</v>
      </c>
      <c r="F136" s="6" t="n">
        <v>0.9185437189662378</v>
      </c>
      <c r="G136" s="5" t="n">
        <v>1</v>
      </c>
      <c r="H136" s="5" t="n">
        <v>0</v>
      </c>
      <c r="I136" s="5" t="n">
        <v>0</v>
      </c>
      <c r="J136" s="5" t="n">
        <v>0</v>
      </c>
      <c r="K136" s="5" t="n">
        <v>1</v>
      </c>
      <c r="L136" s="5" t="n">
        <v>0</v>
      </c>
      <c r="M136" s="5" t="n">
        <v>0</v>
      </c>
      <c r="N136" s="5" t="n">
        <v>0</v>
      </c>
      <c r="O136" s="5" t="n">
        <v>0</v>
      </c>
      <c r="P136" s="5" t="n">
        <v>0</v>
      </c>
      <c r="Q136" s="5" t="n">
        <v>0</v>
      </c>
      <c r="R136" s="5" t="n">
        <v>0</v>
      </c>
      <c r="S136" s="5" t="n">
        <v>0</v>
      </c>
      <c r="T136" s="5" t="n">
        <v>0</v>
      </c>
      <c r="U136" s="5" t="inlineStr">
        <is>
          <t>testing</t>
        </is>
      </c>
    </row>
    <row r="137">
      <c r="A137" s="5" t="n">
        <v>133</v>
      </c>
      <c r="B137" s="5" t="n">
        <v>0</v>
      </c>
      <c r="C137" s="6" t="n">
        <v>-0.4829241608380317</v>
      </c>
      <c r="D137" s="6" t="n">
        <v>-0.1898852914222882</v>
      </c>
      <c r="E137" s="6" t="n">
        <v>-0.7427495967609852</v>
      </c>
      <c r="F137" s="6" t="n">
        <v>-0.8850484360866833</v>
      </c>
      <c r="G137" s="5" t="n">
        <v>0</v>
      </c>
      <c r="H137" s="5" t="n">
        <v>0</v>
      </c>
      <c r="I137" s="5" t="n">
        <v>0</v>
      </c>
      <c r="J137" s="5" t="n">
        <v>0</v>
      </c>
      <c r="K137" s="5" t="n">
        <v>0</v>
      </c>
      <c r="L137" s="5" t="n">
        <v>0</v>
      </c>
      <c r="M137" s="5" t="n">
        <v>0</v>
      </c>
      <c r="N137" s="5" t="n">
        <v>0</v>
      </c>
      <c r="O137" s="5" t="n">
        <v>0</v>
      </c>
      <c r="P137" s="5" t="n">
        <v>0</v>
      </c>
      <c r="Q137" s="5" t="n">
        <v>0</v>
      </c>
      <c r="R137" s="5" t="n">
        <v>0</v>
      </c>
      <c r="S137" s="5" t="n">
        <v>0</v>
      </c>
      <c r="T137" s="5" t="n">
        <v>1</v>
      </c>
      <c r="U137" s="5" t="inlineStr">
        <is>
          <t>training</t>
        </is>
      </c>
    </row>
    <row r="138">
      <c r="A138" s="5" t="n">
        <v>134</v>
      </c>
      <c r="B138" s="5" t="n">
        <v>0</v>
      </c>
      <c r="C138" s="6" t="n">
        <v>-0.2301473069597001</v>
      </c>
      <c r="D138" s="6" t="n">
        <v>-0.443207636469146</v>
      </c>
      <c r="E138" s="6" t="n">
        <v>0.9967108171991675</v>
      </c>
      <c r="F138" s="6" t="n">
        <v>0.9185437189662378</v>
      </c>
      <c r="G138" s="5" t="n">
        <v>0</v>
      </c>
      <c r="H138" s="5" t="n">
        <v>0</v>
      </c>
      <c r="I138" s="5" t="n">
        <v>0</v>
      </c>
      <c r="J138" s="5" t="n">
        <v>0</v>
      </c>
      <c r="K138" s="5" t="n">
        <v>0</v>
      </c>
      <c r="L138" s="5" t="n">
        <v>0</v>
      </c>
      <c r="M138" s="5" t="n">
        <v>0</v>
      </c>
      <c r="N138" s="5" t="n">
        <v>0</v>
      </c>
      <c r="O138" s="5" t="n">
        <v>0</v>
      </c>
      <c r="P138" s="5" t="n">
        <v>0</v>
      </c>
      <c r="Q138" s="5" t="n">
        <v>1</v>
      </c>
      <c r="R138" s="5" t="n">
        <v>0</v>
      </c>
      <c r="S138" s="5" t="n">
        <v>0</v>
      </c>
      <c r="T138" s="5" t="n">
        <v>1</v>
      </c>
      <c r="U138" s="5" t="inlineStr">
        <is>
          <t>training</t>
        </is>
      </c>
    </row>
    <row r="139">
      <c r="A139" s="5" t="n">
        <v>135</v>
      </c>
      <c r="B139" s="5" t="n">
        <v>0</v>
      </c>
      <c r="C139" s="6" t="n">
        <v>3.308728647336942</v>
      </c>
      <c r="D139" s="6" t="n">
        <v>2.411917136434666</v>
      </c>
      <c r="E139" s="6" t="n">
        <v>-1.264587720949031</v>
      </c>
      <c r="F139" s="6" t="n">
        <v>-0.8850484360866833</v>
      </c>
      <c r="G139" s="5" t="n">
        <v>0</v>
      </c>
      <c r="H139" s="5" t="n">
        <v>0</v>
      </c>
      <c r="I139" s="5" t="n">
        <v>0</v>
      </c>
      <c r="J139" s="5" t="n">
        <v>0</v>
      </c>
      <c r="K139" s="5" t="n">
        <v>0</v>
      </c>
      <c r="L139" s="5" t="n">
        <v>0</v>
      </c>
      <c r="M139" s="5" t="n">
        <v>1</v>
      </c>
      <c r="N139" s="5" t="n">
        <v>0</v>
      </c>
      <c r="O139" s="5" t="n">
        <v>0</v>
      </c>
      <c r="P139" s="5" t="n">
        <v>0</v>
      </c>
      <c r="Q139" s="5" t="n">
        <v>0</v>
      </c>
      <c r="R139" s="5" t="n">
        <v>0</v>
      </c>
      <c r="S139" s="5" t="n">
        <v>1</v>
      </c>
      <c r="T139" s="5" t="n">
        <v>0</v>
      </c>
      <c r="U139" s="5" t="inlineStr">
        <is>
          <t>training</t>
        </is>
      </c>
    </row>
    <row r="140">
      <c r="A140" s="5" t="n">
        <v>136</v>
      </c>
      <c r="B140" s="5" t="n">
        <v>0</v>
      </c>
      <c r="C140" s="6" t="n">
        <v>-0.7357010147163632</v>
      </c>
      <c r="D140" s="6" t="n">
        <v>-0.7035278363515524</v>
      </c>
      <c r="E140" s="6" t="n">
        <v>0.2139536309170988</v>
      </c>
      <c r="F140" s="6" t="n">
        <v>0.9185437189662378</v>
      </c>
      <c r="G140" s="5" t="n">
        <v>0</v>
      </c>
      <c r="H140" s="5" t="n">
        <v>0</v>
      </c>
      <c r="I140" s="5" t="n">
        <v>0</v>
      </c>
      <c r="J140" s="5" t="n">
        <v>1</v>
      </c>
      <c r="K140" s="5" t="n">
        <v>0</v>
      </c>
      <c r="L140" s="5" t="n">
        <v>0</v>
      </c>
      <c r="M140" s="5" t="n">
        <v>0</v>
      </c>
      <c r="N140" s="5" t="n">
        <v>0</v>
      </c>
      <c r="O140" s="5" t="n">
        <v>1</v>
      </c>
      <c r="P140" s="5" t="n">
        <v>0</v>
      </c>
      <c r="Q140" s="5" t="n">
        <v>0</v>
      </c>
      <c r="R140" s="5" t="n">
        <v>0</v>
      </c>
      <c r="S140" s="5" t="n">
        <v>1</v>
      </c>
      <c r="T140" s="5" t="n">
        <v>0</v>
      </c>
      <c r="U140" s="5" t="inlineStr">
        <is>
          <t>testing</t>
        </is>
      </c>
    </row>
    <row r="141">
      <c r="A141" s="5" t="n">
        <v>137</v>
      </c>
      <c r="B141" s="5" t="n">
        <v>0</v>
      </c>
      <c r="C141" s="6" t="n">
        <v>0.5281832546752946</v>
      </c>
      <c r="D141" s="6" t="n">
        <v>1.876231348773424</v>
      </c>
      <c r="E141" s="6" t="n">
        <v>-0.7427495967609852</v>
      </c>
      <c r="F141" s="6" t="n">
        <v>-0.8850484360866833</v>
      </c>
      <c r="G141" s="5" t="n">
        <v>0</v>
      </c>
      <c r="H141" s="5" t="n">
        <v>0</v>
      </c>
      <c r="I141" s="5" t="n">
        <v>0</v>
      </c>
      <c r="J141" s="5" t="n">
        <v>0</v>
      </c>
      <c r="K141" s="5" t="n">
        <v>1</v>
      </c>
      <c r="L141" s="5" t="n">
        <v>0</v>
      </c>
      <c r="M141" s="5" t="n">
        <v>0</v>
      </c>
      <c r="N141" s="5" t="n">
        <v>1</v>
      </c>
      <c r="O141" s="5" t="n">
        <v>0</v>
      </c>
      <c r="P141" s="5" t="n">
        <v>0</v>
      </c>
      <c r="Q141" s="5" t="n">
        <v>0</v>
      </c>
      <c r="R141" s="5" t="n">
        <v>1</v>
      </c>
      <c r="S141" s="5" t="n">
        <v>0</v>
      </c>
      <c r="T141" s="5" t="n">
        <v>0</v>
      </c>
      <c r="U141" s="5" t="inlineStr">
        <is>
          <t>training</t>
        </is>
      </c>
    </row>
    <row r="142">
      <c r="A142" s="5" t="n">
        <v>138</v>
      </c>
      <c r="B142" s="5" t="n">
        <v>1</v>
      </c>
      <c r="C142" s="6" t="n">
        <v>-0.7357010147163632</v>
      </c>
      <c r="D142" s="6" t="n">
        <v>-0.8693769959540533</v>
      </c>
      <c r="E142" s="6" t="n">
        <v>2.649198210461313</v>
      </c>
      <c r="F142" s="6" t="n">
        <v>0.9185437189662378</v>
      </c>
      <c r="G142" s="5" t="n">
        <v>0</v>
      </c>
      <c r="H142" s="5" t="n">
        <v>1</v>
      </c>
      <c r="I142" s="5" t="n">
        <v>0</v>
      </c>
      <c r="J142" s="5" t="n">
        <v>0</v>
      </c>
      <c r="K142" s="5" t="n">
        <v>0</v>
      </c>
      <c r="L142" s="5" t="n">
        <v>0</v>
      </c>
      <c r="M142" s="5" t="n">
        <v>1</v>
      </c>
      <c r="N142" s="5" t="n">
        <v>0</v>
      </c>
      <c r="O142" s="5" t="n">
        <v>0</v>
      </c>
      <c r="P142" s="5" t="n">
        <v>0</v>
      </c>
      <c r="Q142" s="5" t="n">
        <v>0</v>
      </c>
      <c r="R142" s="5" t="n">
        <v>0</v>
      </c>
      <c r="S142" s="5" t="n">
        <v>1</v>
      </c>
      <c r="T142" s="5" t="n">
        <v>0</v>
      </c>
      <c r="U142" s="5" t="inlineStr">
        <is>
          <t>training</t>
        </is>
      </c>
    </row>
    <row r="143">
      <c r="A143" s="5" t="n">
        <v>139</v>
      </c>
      <c r="B143" s="5" t="n">
        <v>0</v>
      </c>
      <c r="C143" s="6" t="n">
        <v>-0.4829241608380317</v>
      </c>
      <c r="D143" s="6" t="n">
        <v>-0.1828874365867396</v>
      </c>
      <c r="E143" s="6" t="n">
        <v>-0.04696543117692405</v>
      </c>
      <c r="F143" s="6" t="n">
        <v>0.9185437189662378</v>
      </c>
      <c r="G143" s="5" t="n">
        <v>0</v>
      </c>
      <c r="H143" s="5" t="n">
        <v>1</v>
      </c>
      <c r="I143" s="5" t="n">
        <v>0</v>
      </c>
      <c r="J143" s="5" t="n">
        <v>1</v>
      </c>
      <c r="K143" s="5" t="n">
        <v>0</v>
      </c>
      <c r="L143" s="5" t="n">
        <v>0</v>
      </c>
      <c r="M143" s="5" t="n">
        <v>0</v>
      </c>
      <c r="N143" s="5" t="n">
        <v>0</v>
      </c>
      <c r="O143" s="5" t="n">
        <v>1</v>
      </c>
      <c r="P143" s="5" t="n">
        <v>0</v>
      </c>
      <c r="Q143" s="5" t="n">
        <v>0</v>
      </c>
      <c r="R143" s="5" t="n">
        <v>0</v>
      </c>
      <c r="S143" s="5" t="n">
        <v>1</v>
      </c>
      <c r="T143" s="5" t="n">
        <v>0</v>
      </c>
      <c r="U143" s="5" t="inlineStr">
        <is>
          <t>training</t>
        </is>
      </c>
    </row>
    <row r="144">
      <c r="A144" s="5" t="n">
        <v>140</v>
      </c>
      <c r="B144" s="5" t="n">
        <v>0</v>
      </c>
      <c r="C144" s="6" t="n">
        <v>-0.7357010147163632</v>
      </c>
      <c r="D144" s="6" t="n">
        <v>-0.4792465888722211</v>
      </c>
      <c r="E144" s="6" t="n">
        <v>0.7357917551051447</v>
      </c>
      <c r="F144" s="6" t="n">
        <v>-0.8850484360866833</v>
      </c>
      <c r="G144" s="5" t="n">
        <v>0</v>
      </c>
      <c r="H144" s="5" t="n">
        <v>0</v>
      </c>
      <c r="I144" s="5" t="n">
        <v>1</v>
      </c>
      <c r="J144" s="5" t="n">
        <v>0</v>
      </c>
      <c r="K144" s="5" t="n">
        <v>0</v>
      </c>
      <c r="L144" s="5" t="n">
        <v>0</v>
      </c>
      <c r="M144" s="5" t="n">
        <v>0</v>
      </c>
      <c r="N144" s="5" t="n">
        <v>0</v>
      </c>
      <c r="O144" s="5" t="n">
        <v>0</v>
      </c>
      <c r="P144" s="5" t="n">
        <v>1</v>
      </c>
      <c r="Q144" s="5" t="n">
        <v>0</v>
      </c>
      <c r="R144" s="5" t="n">
        <v>0</v>
      </c>
      <c r="S144" s="5" t="n">
        <v>1</v>
      </c>
      <c r="T144" s="5" t="n">
        <v>0</v>
      </c>
      <c r="U144" s="5" t="inlineStr">
        <is>
          <t>testing</t>
        </is>
      </c>
    </row>
    <row r="145">
      <c r="A145" s="5" t="n">
        <v>141</v>
      </c>
      <c r="B145" s="5" t="n">
        <v>0</v>
      </c>
      <c r="C145" s="6" t="n">
        <v>-1.241254722473026</v>
      </c>
      <c r="D145" s="6" t="n">
        <v>-0.8893208822353666</v>
      </c>
      <c r="E145" s="6" t="n">
        <v>-0.7427495967609852</v>
      </c>
      <c r="F145" s="6" t="n">
        <v>-0.8850484360866833</v>
      </c>
      <c r="G145" s="5" t="n">
        <v>0</v>
      </c>
      <c r="H145" s="5" t="n">
        <v>0</v>
      </c>
      <c r="I145" s="5" t="n">
        <v>1</v>
      </c>
      <c r="J145" s="5" t="n">
        <v>0</v>
      </c>
      <c r="K145" s="5" t="n">
        <v>0</v>
      </c>
      <c r="L145" s="5" t="n">
        <v>0</v>
      </c>
      <c r="M145" s="5" t="n">
        <v>0</v>
      </c>
      <c r="N145" s="5" t="n">
        <v>1</v>
      </c>
      <c r="O145" s="5" t="n">
        <v>0</v>
      </c>
      <c r="P145" s="5" t="n">
        <v>0</v>
      </c>
      <c r="Q145" s="5" t="n">
        <v>0</v>
      </c>
      <c r="R145" s="5" t="n">
        <v>1</v>
      </c>
      <c r="S145" s="5" t="n">
        <v>0</v>
      </c>
      <c r="T145" s="5" t="n">
        <v>0</v>
      </c>
      <c r="U145" s="5" t="inlineStr">
        <is>
          <t>training</t>
        </is>
      </c>
    </row>
    <row r="146">
      <c r="A146" s="5" t="n">
        <v>142</v>
      </c>
      <c r="B146" s="5" t="n">
        <v>0</v>
      </c>
      <c r="C146" s="6" t="n">
        <v>1.286513816310289</v>
      </c>
      <c r="D146" s="6" t="n">
        <v>0.540340860667204</v>
      </c>
      <c r="E146" s="6" t="n">
        <v>-0.4818305346669622</v>
      </c>
      <c r="F146" s="6" t="n">
        <v>0.9185437189662378</v>
      </c>
      <c r="G146" s="5" t="n">
        <v>0</v>
      </c>
      <c r="H146" s="5" t="n">
        <v>1</v>
      </c>
      <c r="I146" s="5" t="n">
        <v>0</v>
      </c>
      <c r="J146" s="5" t="n">
        <v>0</v>
      </c>
      <c r="K146" s="5" t="n">
        <v>0</v>
      </c>
      <c r="L146" s="5" t="n">
        <v>0</v>
      </c>
      <c r="M146" s="5" t="n">
        <v>0</v>
      </c>
      <c r="N146" s="5" t="n">
        <v>0</v>
      </c>
      <c r="O146" s="5" t="n">
        <v>0</v>
      </c>
      <c r="P146" s="5" t="n">
        <v>0</v>
      </c>
      <c r="Q146" s="5" t="n">
        <v>0</v>
      </c>
      <c r="R146" s="5" t="n">
        <v>0</v>
      </c>
      <c r="S146" s="5" t="n">
        <v>1</v>
      </c>
      <c r="T146" s="5" t="n">
        <v>0</v>
      </c>
      <c r="U146" s="5" t="inlineStr">
        <is>
          <t>training</t>
        </is>
      </c>
    </row>
    <row r="147">
      <c r="A147" s="5" t="n">
        <v>143</v>
      </c>
      <c r="B147" s="5" t="n">
        <v>0</v>
      </c>
      <c r="C147" s="6" t="n">
        <v>0.5281832546752946</v>
      </c>
      <c r="D147" s="6" t="n">
        <v>0.05783876975613082</v>
      </c>
      <c r="E147" s="6" t="n">
        <v>-0.7427495967609852</v>
      </c>
      <c r="F147" s="6" t="n">
        <v>0.01674764143977723</v>
      </c>
      <c r="G147" s="5" t="n">
        <v>1</v>
      </c>
      <c r="H147" s="5" t="n">
        <v>0</v>
      </c>
      <c r="I147" s="5" t="n">
        <v>0</v>
      </c>
      <c r="J147" s="5" t="n">
        <v>0</v>
      </c>
      <c r="K147" s="5" t="n">
        <v>0</v>
      </c>
      <c r="L147" s="5" t="n">
        <v>0</v>
      </c>
      <c r="M147" s="5" t="n">
        <v>0</v>
      </c>
      <c r="N147" s="5" t="n">
        <v>0</v>
      </c>
      <c r="O147" s="5" t="n">
        <v>0</v>
      </c>
      <c r="P147" s="5" t="n">
        <v>0</v>
      </c>
      <c r="Q147" s="5" t="n">
        <v>0</v>
      </c>
      <c r="R147" s="5" t="n">
        <v>0</v>
      </c>
      <c r="S147" s="5" t="n">
        <v>1</v>
      </c>
      <c r="T147" s="5" t="n">
        <v>0</v>
      </c>
      <c r="U147" s="5" t="inlineStr">
        <is>
          <t>training</t>
        </is>
      </c>
    </row>
    <row r="148">
      <c r="A148" s="5" t="n">
        <v>144</v>
      </c>
      <c r="B148" s="5" t="n">
        <v>1</v>
      </c>
      <c r="C148" s="6" t="n">
        <v>-0.2301473069597001</v>
      </c>
      <c r="D148" s="6" t="n">
        <v>-0.2759589058995354</v>
      </c>
      <c r="E148" s="6" t="n">
        <v>-1.177614700251023</v>
      </c>
      <c r="F148" s="6" t="n">
        <v>-0.8850484360866833</v>
      </c>
      <c r="G148" s="5" t="n">
        <v>1</v>
      </c>
      <c r="H148" s="5" t="n">
        <v>0</v>
      </c>
      <c r="I148" s="5" t="n">
        <v>0</v>
      </c>
      <c r="J148" s="5" t="n">
        <v>0</v>
      </c>
      <c r="K148" s="5" t="n">
        <v>0</v>
      </c>
      <c r="L148" s="5" t="n">
        <v>0</v>
      </c>
      <c r="M148" s="5" t="n">
        <v>0</v>
      </c>
      <c r="N148" s="5" t="n">
        <v>0</v>
      </c>
      <c r="O148" s="5" t="n">
        <v>0</v>
      </c>
      <c r="P148" s="5" t="n">
        <v>0</v>
      </c>
      <c r="Q148" s="5" t="n">
        <v>0</v>
      </c>
      <c r="R148" s="5" t="n">
        <v>0</v>
      </c>
      <c r="S148" s="5" t="n">
        <v>0</v>
      </c>
      <c r="T148" s="5" t="n">
        <v>1</v>
      </c>
      <c r="U148" s="5" t="inlineStr">
        <is>
          <t>training</t>
        </is>
      </c>
    </row>
    <row r="149">
      <c r="A149" s="5" t="n">
        <v>145</v>
      </c>
      <c r="B149" s="5" t="n">
        <v>0</v>
      </c>
      <c r="C149" s="6" t="n">
        <v>0.02262954691863145</v>
      </c>
      <c r="D149" s="6" t="n">
        <v>-0.3368402429688079</v>
      </c>
      <c r="E149" s="6" t="n">
        <v>-1.090641679553016</v>
      </c>
      <c r="F149" s="6" t="n">
        <v>0.9185437189662378</v>
      </c>
      <c r="G149" s="5" t="n">
        <v>0</v>
      </c>
      <c r="H149" s="5" t="n">
        <v>0</v>
      </c>
      <c r="I149" s="5" t="n">
        <v>0</v>
      </c>
      <c r="J149" s="5" t="n">
        <v>1</v>
      </c>
      <c r="K149" s="5" t="n">
        <v>0</v>
      </c>
      <c r="L149" s="5" t="n">
        <v>0</v>
      </c>
      <c r="M149" s="5" t="n">
        <v>0</v>
      </c>
      <c r="N149" s="5" t="n">
        <v>0</v>
      </c>
      <c r="O149" s="5" t="n">
        <v>0</v>
      </c>
      <c r="P149" s="5" t="n">
        <v>0</v>
      </c>
      <c r="Q149" s="5" t="n">
        <v>0</v>
      </c>
      <c r="R149" s="5" t="n">
        <v>0</v>
      </c>
      <c r="S149" s="5" t="n">
        <v>0</v>
      </c>
      <c r="T149" s="5" t="n">
        <v>1</v>
      </c>
      <c r="U149" s="5" t="inlineStr">
        <is>
          <t>training</t>
        </is>
      </c>
    </row>
    <row r="150">
      <c r="A150" s="5" t="n">
        <v>146</v>
      </c>
      <c r="B150" s="5" t="n">
        <v>0</v>
      </c>
      <c r="C150" s="6" t="n">
        <v>2.297621231823615</v>
      </c>
      <c r="D150" s="6" t="n">
        <v>0.110322681022745</v>
      </c>
      <c r="E150" s="6" t="n">
        <v>-0.4818305346669622</v>
      </c>
      <c r="F150" s="6" t="n">
        <v>0.9185437189662378</v>
      </c>
      <c r="G150" s="5" t="n">
        <v>0</v>
      </c>
      <c r="H150" s="5" t="n">
        <v>1</v>
      </c>
      <c r="I150" s="5" t="n">
        <v>0</v>
      </c>
      <c r="J150" s="5" t="n">
        <v>0</v>
      </c>
      <c r="K150" s="5" t="n">
        <v>0</v>
      </c>
      <c r="L150" s="5" t="n">
        <v>1</v>
      </c>
      <c r="M150" s="5" t="n">
        <v>1</v>
      </c>
      <c r="N150" s="5" t="n">
        <v>0</v>
      </c>
      <c r="O150" s="5" t="n">
        <v>0</v>
      </c>
      <c r="P150" s="5" t="n">
        <v>0</v>
      </c>
      <c r="Q150" s="5" t="n">
        <v>0</v>
      </c>
      <c r="R150" s="5" t="n">
        <v>0</v>
      </c>
      <c r="S150" s="5" t="n">
        <v>0</v>
      </c>
      <c r="T150" s="5" t="n">
        <v>0</v>
      </c>
      <c r="U150" s="5" t="inlineStr">
        <is>
          <t>testing</t>
        </is>
      </c>
    </row>
    <row r="151">
      <c r="A151" s="5" t="n">
        <v>147</v>
      </c>
      <c r="B151" s="5" t="n">
        <v>0</v>
      </c>
      <c r="C151" s="6" t="n">
        <v>-1.241254722473026</v>
      </c>
      <c r="D151" s="6" t="n">
        <v>-0.836487078226975</v>
      </c>
      <c r="E151" s="6" t="n">
        <v>0.3009266516151065</v>
      </c>
      <c r="F151" s="6" t="n">
        <v>-1.786844513613144</v>
      </c>
      <c r="G151" s="5" t="n">
        <v>1</v>
      </c>
      <c r="H151" s="5" t="n">
        <v>0</v>
      </c>
      <c r="I151" s="5" t="n">
        <v>0</v>
      </c>
      <c r="J151" s="5" t="n">
        <v>1</v>
      </c>
      <c r="K151" s="5" t="n">
        <v>0</v>
      </c>
      <c r="L151" s="5" t="n">
        <v>0</v>
      </c>
      <c r="M151" s="5" t="n">
        <v>0</v>
      </c>
      <c r="N151" s="5" t="n">
        <v>0</v>
      </c>
      <c r="O151" s="5" t="n">
        <v>0</v>
      </c>
      <c r="P151" s="5" t="n">
        <v>0</v>
      </c>
      <c r="Q151" s="5" t="n">
        <v>0</v>
      </c>
      <c r="R151" s="5" t="n">
        <v>1</v>
      </c>
      <c r="S151" s="5" t="n">
        <v>0</v>
      </c>
      <c r="T151" s="5" t="n">
        <v>0</v>
      </c>
      <c r="U151" s="5" t="inlineStr">
        <is>
          <t>testing</t>
        </is>
      </c>
    </row>
    <row r="152">
      <c r="A152" s="5" t="n">
        <v>148</v>
      </c>
      <c r="B152" s="5" t="n">
        <v>0</v>
      </c>
      <c r="C152" s="6" t="n">
        <v>-0.7357010147163632</v>
      </c>
      <c r="D152" s="6" t="n">
        <v>-0.8987679862633572</v>
      </c>
      <c r="E152" s="6" t="n">
        <v>1.344602899991198</v>
      </c>
      <c r="F152" s="6" t="n">
        <v>0.9185437189662378</v>
      </c>
      <c r="G152" s="5" t="n">
        <v>0</v>
      </c>
      <c r="H152" s="5" t="n">
        <v>0</v>
      </c>
      <c r="I152" s="5" t="n">
        <v>0</v>
      </c>
      <c r="J152" s="5" t="n">
        <v>1</v>
      </c>
      <c r="K152" s="5" t="n">
        <v>0</v>
      </c>
      <c r="L152" s="5" t="n">
        <v>0</v>
      </c>
      <c r="M152" s="5" t="n">
        <v>1</v>
      </c>
      <c r="N152" s="5" t="n">
        <v>0</v>
      </c>
      <c r="O152" s="5" t="n">
        <v>0</v>
      </c>
      <c r="P152" s="5" t="n">
        <v>0</v>
      </c>
      <c r="Q152" s="5" t="n">
        <v>0</v>
      </c>
      <c r="R152" s="5" t="n">
        <v>1</v>
      </c>
      <c r="S152" s="5" t="n">
        <v>0</v>
      </c>
      <c r="T152" s="5" t="n">
        <v>0</v>
      </c>
      <c r="U152" s="5" t="inlineStr">
        <is>
          <t>training</t>
        </is>
      </c>
    </row>
    <row r="153">
      <c r="A153" s="5" t="n">
        <v>149</v>
      </c>
      <c r="B153" s="5" t="n">
        <v>0</v>
      </c>
      <c r="C153" s="6" t="n">
        <v>1.286513816310289</v>
      </c>
      <c r="D153" s="6" t="n">
        <v>0.7418790799310024</v>
      </c>
      <c r="E153" s="6" t="n">
        <v>-0.6557765760629775</v>
      </c>
      <c r="F153" s="6" t="n">
        <v>0.01674764143977723</v>
      </c>
      <c r="G153" s="5" t="n">
        <v>1</v>
      </c>
      <c r="H153" s="5" t="n">
        <v>0</v>
      </c>
      <c r="I153" s="5" t="n">
        <v>0</v>
      </c>
      <c r="J153" s="5" t="n">
        <v>1</v>
      </c>
      <c r="K153" s="5" t="n">
        <v>0</v>
      </c>
      <c r="L153" s="5" t="n">
        <v>0</v>
      </c>
      <c r="M153" s="5" t="n">
        <v>0</v>
      </c>
      <c r="N153" s="5" t="n">
        <v>0</v>
      </c>
      <c r="O153" s="5" t="n">
        <v>0</v>
      </c>
      <c r="P153" s="5" t="n">
        <v>0</v>
      </c>
      <c r="Q153" s="5" t="n">
        <v>0</v>
      </c>
      <c r="R153" s="5" t="n">
        <v>0</v>
      </c>
      <c r="S153" s="5" t="n">
        <v>0</v>
      </c>
      <c r="T153" s="5" t="n">
        <v>1</v>
      </c>
      <c r="U153" s="5" t="inlineStr">
        <is>
          <t>training</t>
        </is>
      </c>
    </row>
    <row r="154">
      <c r="A154" s="5" t="n">
        <v>150</v>
      </c>
      <c r="B154" s="5" t="n">
        <v>0</v>
      </c>
      <c r="C154" s="6" t="n">
        <v>-0.2301473069597001</v>
      </c>
      <c r="D154" s="6" t="n">
        <v>-0.5838645186636721</v>
      </c>
      <c r="E154" s="6" t="n">
        <v>0.9097377965011599</v>
      </c>
      <c r="F154" s="6" t="n">
        <v>0.9185437189662378</v>
      </c>
      <c r="G154" s="5" t="n">
        <v>0</v>
      </c>
      <c r="H154" s="5" t="n">
        <v>0</v>
      </c>
      <c r="I154" s="5" t="n">
        <v>0</v>
      </c>
      <c r="J154" s="5" t="n">
        <v>1</v>
      </c>
      <c r="K154" s="5" t="n">
        <v>0</v>
      </c>
      <c r="L154" s="5" t="n">
        <v>0</v>
      </c>
      <c r="M154" s="5" t="n">
        <v>0</v>
      </c>
      <c r="N154" s="5" t="n">
        <v>1</v>
      </c>
      <c r="O154" s="5" t="n">
        <v>0</v>
      </c>
      <c r="P154" s="5" t="n">
        <v>0</v>
      </c>
      <c r="Q154" s="5" t="n">
        <v>0</v>
      </c>
      <c r="R154" s="5" t="n">
        <v>0</v>
      </c>
      <c r="S154" s="5" t="n">
        <v>1</v>
      </c>
      <c r="T154" s="5" t="n">
        <v>0</v>
      </c>
      <c r="U154" s="5" t="inlineStr">
        <is>
          <t>training</t>
        </is>
      </c>
    </row>
    <row r="155">
      <c r="A155" s="5" t="n">
        <v>151</v>
      </c>
      <c r="B155" s="5" t="n">
        <v>0</v>
      </c>
      <c r="C155" s="6" t="n">
        <v>-1.241254722473026</v>
      </c>
      <c r="D155" s="6" t="n">
        <v>-0.6664392057231451</v>
      </c>
      <c r="E155" s="6" t="n">
        <v>0.5618457137091294</v>
      </c>
      <c r="F155" s="6" t="n">
        <v>-0.8850484360866833</v>
      </c>
      <c r="G155" s="5" t="n">
        <v>0</v>
      </c>
      <c r="H155" s="5" t="n">
        <v>0</v>
      </c>
      <c r="I155" s="5" t="n">
        <v>0</v>
      </c>
      <c r="J155" s="5" t="n">
        <v>0</v>
      </c>
      <c r="K155" s="5" t="n">
        <v>0</v>
      </c>
      <c r="L155" s="5" t="n">
        <v>0</v>
      </c>
      <c r="M155" s="5" t="n">
        <v>1</v>
      </c>
      <c r="N155" s="5" t="n">
        <v>0</v>
      </c>
      <c r="O155" s="5" t="n">
        <v>0</v>
      </c>
      <c r="P155" s="5" t="n">
        <v>0</v>
      </c>
      <c r="Q155" s="5" t="n">
        <v>1</v>
      </c>
      <c r="R155" s="5" t="n">
        <v>0</v>
      </c>
      <c r="S155" s="5" t="n">
        <v>1</v>
      </c>
      <c r="T155" s="5" t="n">
        <v>0</v>
      </c>
      <c r="U155" s="5" t="inlineStr">
        <is>
          <t>training</t>
        </is>
      </c>
    </row>
    <row r="156">
      <c r="A156" s="5" t="n">
        <v>152</v>
      </c>
      <c r="B156" s="5" t="n">
        <v>0</v>
      </c>
      <c r="C156" s="6" t="n">
        <v>-0.9042189173019176</v>
      </c>
      <c r="D156" s="6" t="n">
        <v>-0.4642012009757917</v>
      </c>
      <c r="E156" s="6" t="n">
        <v>0.2139536309170988</v>
      </c>
      <c r="F156" s="6" t="n">
        <v>-1.786844513613144</v>
      </c>
      <c r="G156" s="5" t="n">
        <v>0</v>
      </c>
      <c r="H156" s="5" t="n">
        <v>0</v>
      </c>
      <c r="I156" s="5" t="n">
        <v>0</v>
      </c>
      <c r="J156" s="5" t="n">
        <v>0</v>
      </c>
      <c r="K156" s="5" t="n">
        <v>0</v>
      </c>
      <c r="L156" s="5" t="n">
        <v>0</v>
      </c>
      <c r="M156" s="5" t="n">
        <v>0</v>
      </c>
      <c r="N156" s="5" t="n">
        <v>0</v>
      </c>
      <c r="O156" s="5" t="n">
        <v>0</v>
      </c>
      <c r="P156" s="5" t="n">
        <v>0</v>
      </c>
      <c r="Q156" s="5" t="n">
        <v>0</v>
      </c>
      <c r="R156" s="5" t="n">
        <v>0</v>
      </c>
      <c r="S156" s="5" t="n">
        <v>1</v>
      </c>
      <c r="T156" s="5" t="n">
        <v>0</v>
      </c>
      <c r="U156" s="5" t="inlineStr">
        <is>
          <t>training</t>
        </is>
      </c>
    </row>
    <row r="157">
      <c r="A157" s="5" t="n">
        <v>153</v>
      </c>
      <c r="B157" s="5" t="n">
        <v>0</v>
      </c>
      <c r="C157" s="6" t="n">
        <v>1.286513816310289</v>
      </c>
      <c r="D157" s="6" t="n">
        <v>0.9087779177588355</v>
      </c>
      <c r="E157" s="6" t="n">
        <v>-1.003668658855008</v>
      </c>
      <c r="F157" s="6" t="n">
        <v>0.9185437189662378</v>
      </c>
      <c r="G157" s="5" t="n">
        <v>0</v>
      </c>
      <c r="H157" s="5" t="n">
        <v>0</v>
      </c>
      <c r="I157" s="5" t="n">
        <v>1</v>
      </c>
      <c r="J157" s="5" t="n">
        <v>0</v>
      </c>
      <c r="K157" s="5" t="n">
        <v>0</v>
      </c>
      <c r="L157" s="5" t="n">
        <v>0</v>
      </c>
      <c r="M157" s="5" t="n">
        <v>0</v>
      </c>
      <c r="N157" s="5" t="n">
        <v>0</v>
      </c>
      <c r="O157" s="5" t="n">
        <v>0</v>
      </c>
      <c r="P157" s="5" t="n">
        <v>0</v>
      </c>
      <c r="Q157" s="5" t="n">
        <v>0</v>
      </c>
      <c r="R157" s="5" t="n">
        <v>0</v>
      </c>
      <c r="S157" s="5" t="n">
        <v>1</v>
      </c>
      <c r="T157" s="5" t="n">
        <v>0</v>
      </c>
      <c r="U157" s="5" t="inlineStr">
        <is>
          <t>training</t>
        </is>
      </c>
    </row>
    <row r="158">
      <c r="A158" s="5" t="n">
        <v>154</v>
      </c>
      <c r="B158" s="5" t="n">
        <v>0</v>
      </c>
      <c r="C158" s="6" t="n">
        <v>0.275406400796963</v>
      </c>
      <c r="D158" s="6" t="n">
        <v>1.577073054553723</v>
      </c>
      <c r="E158" s="6" t="n">
        <v>-0.5688035553649698</v>
      </c>
      <c r="F158" s="6" t="n">
        <v>-0.8850484360866833</v>
      </c>
      <c r="G158" s="5" t="n">
        <v>0</v>
      </c>
      <c r="H158" s="5" t="n">
        <v>1</v>
      </c>
      <c r="I158" s="5" t="n">
        <v>0</v>
      </c>
      <c r="J158" s="5" t="n">
        <v>1</v>
      </c>
      <c r="K158" s="5" t="n">
        <v>0</v>
      </c>
      <c r="L158" s="5" t="n">
        <v>0</v>
      </c>
      <c r="M158" s="5" t="n">
        <v>0</v>
      </c>
      <c r="N158" s="5" t="n">
        <v>1</v>
      </c>
      <c r="O158" s="5" t="n">
        <v>0</v>
      </c>
      <c r="P158" s="5" t="n">
        <v>1</v>
      </c>
      <c r="Q158" s="5" t="n">
        <v>0</v>
      </c>
      <c r="R158" s="5" t="n">
        <v>1</v>
      </c>
      <c r="S158" s="5" t="n">
        <v>0</v>
      </c>
      <c r="T158" s="5" t="n">
        <v>0</v>
      </c>
      <c r="U158" s="5" t="inlineStr">
        <is>
          <t>training</t>
        </is>
      </c>
    </row>
    <row r="159">
      <c r="A159" s="5" t="n">
        <v>155</v>
      </c>
      <c r="B159" s="5" t="n">
        <v>0</v>
      </c>
      <c r="C159" s="6" t="n">
        <v>0.275406400796963</v>
      </c>
      <c r="D159" s="6" t="n">
        <v>1.300307895807777</v>
      </c>
      <c r="E159" s="6" t="n">
        <v>0.04000758952108359</v>
      </c>
      <c r="F159" s="6" t="n">
        <v>0.9185437189662378</v>
      </c>
      <c r="G159" s="5" t="n">
        <v>0</v>
      </c>
      <c r="H159" s="5" t="n">
        <v>1</v>
      </c>
      <c r="I159" s="5" t="n">
        <v>0</v>
      </c>
      <c r="J159" s="5" t="n">
        <v>0</v>
      </c>
      <c r="K159" s="5" t="n">
        <v>1</v>
      </c>
      <c r="L159" s="5" t="n">
        <v>0</v>
      </c>
      <c r="M159" s="5" t="n">
        <v>1</v>
      </c>
      <c r="N159" s="5" t="n">
        <v>0</v>
      </c>
      <c r="O159" s="5" t="n">
        <v>0</v>
      </c>
      <c r="P159" s="5" t="n">
        <v>1</v>
      </c>
      <c r="Q159" s="5" t="n">
        <v>0</v>
      </c>
      <c r="R159" s="5" t="n">
        <v>0</v>
      </c>
      <c r="S159" s="5" t="n">
        <v>0</v>
      </c>
      <c r="T159" s="5" t="n">
        <v>0</v>
      </c>
      <c r="U159" s="5" t="inlineStr">
        <is>
          <t>testing</t>
        </is>
      </c>
    </row>
    <row r="160">
      <c r="A160" s="5" t="n">
        <v>156</v>
      </c>
      <c r="B160" s="5" t="n">
        <v>1</v>
      </c>
      <c r="C160" s="6" t="n">
        <v>-0.7357010147163632</v>
      </c>
      <c r="D160" s="6" t="n">
        <v>-0.6888323411969004</v>
      </c>
      <c r="E160" s="6" t="n">
        <v>-1.351560741647039</v>
      </c>
      <c r="F160" s="6" t="n">
        <v>-0.8850484360866833</v>
      </c>
      <c r="G160" s="5" t="n">
        <v>1</v>
      </c>
      <c r="H160" s="5" t="n">
        <v>0</v>
      </c>
      <c r="I160" s="5" t="n">
        <v>0</v>
      </c>
      <c r="J160" s="5" t="n">
        <v>0</v>
      </c>
      <c r="K160" s="5" t="n">
        <v>0</v>
      </c>
      <c r="L160" s="5" t="n">
        <v>0</v>
      </c>
      <c r="M160" s="5" t="n">
        <v>0</v>
      </c>
      <c r="N160" s="5" t="n">
        <v>0</v>
      </c>
      <c r="O160" s="5" t="n">
        <v>0</v>
      </c>
      <c r="P160" s="5" t="n">
        <v>1</v>
      </c>
      <c r="Q160" s="5" t="n">
        <v>0</v>
      </c>
      <c r="R160" s="5" t="n">
        <v>0</v>
      </c>
      <c r="S160" s="5" t="n">
        <v>0</v>
      </c>
      <c r="T160" s="5" t="n">
        <v>1</v>
      </c>
      <c r="U160" s="5" t="inlineStr">
        <is>
          <t>training</t>
        </is>
      </c>
    </row>
    <row r="161">
      <c r="A161" s="5" t="n">
        <v>157</v>
      </c>
      <c r="B161" s="5" t="n">
        <v>0</v>
      </c>
      <c r="C161" s="6" t="n">
        <v>-0.9884778685946948</v>
      </c>
      <c r="D161" s="6" t="n">
        <v>-0.6867329847462359</v>
      </c>
      <c r="E161" s="6" t="n">
        <v>1.083683837897175</v>
      </c>
      <c r="F161" s="6" t="n">
        <v>0.01674764143977723</v>
      </c>
      <c r="G161" s="5" t="n">
        <v>1</v>
      </c>
      <c r="H161" s="5" t="n">
        <v>0</v>
      </c>
      <c r="I161" s="5" t="n">
        <v>0</v>
      </c>
      <c r="J161" s="5" t="n">
        <v>1</v>
      </c>
      <c r="K161" s="5" t="n">
        <v>0</v>
      </c>
      <c r="L161" s="5" t="n">
        <v>0</v>
      </c>
      <c r="M161" s="5" t="n">
        <v>1</v>
      </c>
      <c r="N161" s="5" t="n">
        <v>0</v>
      </c>
      <c r="O161" s="5" t="n">
        <v>0</v>
      </c>
      <c r="P161" s="5" t="n">
        <v>0</v>
      </c>
      <c r="Q161" s="5" t="n">
        <v>0</v>
      </c>
      <c r="R161" s="5" t="n">
        <v>0</v>
      </c>
      <c r="S161" s="5" t="n">
        <v>0</v>
      </c>
      <c r="T161" s="5" t="n">
        <v>0</v>
      </c>
      <c r="U161" s="5" t="inlineStr">
        <is>
          <t>testing</t>
        </is>
      </c>
    </row>
    <row r="162">
      <c r="A162" s="5" t="n">
        <v>158</v>
      </c>
      <c r="B162" s="5" t="n">
        <v>0</v>
      </c>
      <c r="C162" s="6" t="n">
        <v>-0.7357010147163632</v>
      </c>
      <c r="D162" s="6" t="n">
        <v>-1.018781196693015</v>
      </c>
      <c r="E162" s="6" t="n">
        <v>0.8227647758031523</v>
      </c>
      <c r="F162" s="6" t="n">
        <v>0.9185437189662378</v>
      </c>
      <c r="G162" s="5" t="n">
        <v>1</v>
      </c>
      <c r="H162" s="5" t="n">
        <v>0</v>
      </c>
      <c r="I162" s="5" t="n">
        <v>0</v>
      </c>
      <c r="J162" s="5" t="n">
        <v>0</v>
      </c>
      <c r="K162" s="5" t="n">
        <v>0</v>
      </c>
      <c r="L162" s="5" t="n">
        <v>1</v>
      </c>
      <c r="M162" s="5" t="n">
        <v>0</v>
      </c>
      <c r="N162" s="5" t="n">
        <v>0</v>
      </c>
      <c r="O162" s="5" t="n">
        <v>0</v>
      </c>
      <c r="P162" s="5" t="n">
        <v>0</v>
      </c>
      <c r="Q162" s="5" t="n">
        <v>0</v>
      </c>
      <c r="R162" s="5" t="n">
        <v>0</v>
      </c>
      <c r="S162" s="5" t="n">
        <v>0</v>
      </c>
      <c r="T162" s="5" t="n">
        <v>0</v>
      </c>
      <c r="U162" s="5" t="inlineStr">
        <is>
          <t>training</t>
        </is>
      </c>
    </row>
    <row r="163">
      <c r="A163" s="5" t="n">
        <v>159</v>
      </c>
      <c r="B163" s="5" t="n">
        <v>0</v>
      </c>
      <c r="C163" s="6" t="n">
        <v>0.275406400796963</v>
      </c>
      <c r="D163" s="6" t="n">
        <v>0.0914284729667639</v>
      </c>
      <c r="E163" s="6" t="n">
        <v>0.2139536309170988</v>
      </c>
      <c r="F163" s="6" t="n">
        <v>-0.8850484360866833</v>
      </c>
      <c r="G163" s="5" t="n">
        <v>0</v>
      </c>
      <c r="H163" s="5" t="n">
        <v>1</v>
      </c>
      <c r="I163" s="5" t="n">
        <v>0</v>
      </c>
      <c r="J163" s="5" t="n">
        <v>0</v>
      </c>
      <c r="K163" s="5" t="n">
        <v>0</v>
      </c>
      <c r="L163" s="5" t="n">
        <v>0</v>
      </c>
      <c r="M163" s="5" t="n">
        <v>1</v>
      </c>
      <c r="N163" s="5" t="n">
        <v>0</v>
      </c>
      <c r="O163" s="5" t="n">
        <v>0</v>
      </c>
      <c r="P163" s="5" t="n">
        <v>0</v>
      </c>
      <c r="Q163" s="5" t="n">
        <v>0</v>
      </c>
      <c r="R163" s="5" t="n">
        <v>1</v>
      </c>
      <c r="S163" s="5" t="n">
        <v>0</v>
      </c>
      <c r="T163" s="5" t="n">
        <v>0</v>
      </c>
      <c r="U163" s="5" t="inlineStr">
        <is>
          <t>training</t>
        </is>
      </c>
    </row>
    <row r="164">
      <c r="A164" s="5" t="n">
        <v>160</v>
      </c>
      <c r="B164" s="5" t="n">
        <v>0</v>
      </c>
      <c r="C164" s="6" t="n">
        <v>-1.241254722473026</v>
      </c>
      <c r="D164" s="6" t="n">
        <v>-0.4732984122620048</v>
      </c>
      <c r="E164" s="6" t="n">
        <v>-0.1339384518749317</v>
      </c>
      <c r="F164" s="6" t="n">
        <v>-1.786844513613144</v>
      </c>
      <c r="G164" s="5" t="n">
        <v>0</v>
      </c>
      <c r="H164" s="5" t="n">
        <v>0</v>
      </c>
      <c r="I164" s="5" t="n">
        <v>0</v>
      </c>
      <c r="J164" s="5" t="n">
        <v>1</v>
      </c>
      <c r="K164" s="5" t="n">
        <v>0</v>
      </c>
      <c r="L164" s="5" t="n">
        <v>0</v>
      </c>
      <c r="M164" s="5" t="n">
        <v>0</v>
      </c>
      <c r="N164" s="5" t="n">
        <v>0</v>
      </c>
      <c r="O164" s="5" t="n">
        <v>1</v>
      </c>
      <c r="P164" s="5" t="n">
        <v>0</v>
      </c>
      <c r="Q164" s="5" t="n">
        <v>0</v>
      </c>
      <c r="R164" s="5" t="n">
        <v>0</v>
      </c>
      <c r="S164" s="5" t="n">
        <v>1</v>
      </c>
      <c r="T164" s="5" t="n">
        <v>0</v>
      </c>
      <c r="U164" s="5" t="inlineStr">
        <is>
          <t>training</t>
        </is>
      </c>
    </row>
    <row r="165">
      <c r="A165" s="5" t="n">
        <v>161</v>
      </c>
      <c r="B165" s="5" t="n">
        <v>0</v>
      </c>
      <c r="C165" s="6" t="n">
        <v>0.275406400796963</v>
      </c>
      <c r="D165" s="6" t="n">
        <v>-0.13250288177079</v>
      </c>
      <c r="E165" s="6" t="n">
        <v>0.04000758952108359</v>
      </c>
      <c r="F165" s="6" t="n">
        <v>0.01674764143977723</v>
      </c>
      <c r="G165" s="5" t="n">
        <v>0</v>
      </c>
      <c r="H165" s="5" t="n">
        <v>0</v>
      </c>
      <c r="I165" s="5" t="n">
        <v>0</v>
      </c>
      <c r="J165" s="5" t="n">
        <v>1</v>
      </c>
      <c r="K165" s="5" t="n">
        <v>0</v>
      </c>
      <c r="L165" s="5" t="n">
        <v>0</v>
      </c>
      <c r="M165" s="5" t="n">
        <v>1</v>
      </c>
      <c r="N165" s="5" t="n">
        <v>0</v>
      </c>
      <c r="O165" s="5" t="n">
        <v>0</v>
      </c>
      <c r="P165" s="5" t="n">
        <v>0</v>
      </c>
      <c r="Q165" s="5" t="n">
        <v>0</v>
      </c>
      <c r="R165" s="5" t="n">
        <v>0</v>
      </c>
      <c r="S165" s="5" t="n">
        <v>1</v>
      </c>
      <c r="T165" s="5" t="n">
        <v>0</v>
      </c>
      <c r="U165" s="5" t="inlineStr">
        <is>
          <t>training</t>
        </is>
      </c>
    </row>
    <row r="166">
      <c r="A166" s="5" t="n">
        <v>162</v>
      </c>
      <c r="B166" s="5" t="n">
        <v>0</v>
      </c>
      <c r="C166" s="6" t="n">
        <v>-0.2301473069597001</v>
      </c>
      <c r="D166" s="6" t="n">
        <v>-0.7682579935803766</v>
      </c>
      <c r="E166" s="6" t="n">
        <v>-0.4818305346669622</v>
      </c>
      <c r="F166" s="6" t="n">
        <v>0.9185437189662378</v>
      </c>
      <c r="G166" s="5" t="n">
        <v>0</v>
      </c>
      <c r="H166" s="5" t="n">
        <v>0</v>
      </c>
      <c r="I166" s="5" t="n">
        <v>0</v>
      </c>
      <c r="J166" s="5" t="n">
        <v>1</v>
      </c>
      <c r="K166" s="5" t="n">
        <v>0</v>
      </c>
      <c r="L166" s="5" t="n">
        <v>0</v>
      </c>
      <c r="M166" s="5" t="n">
        <v>0</v>
      </c>
      <c r="N166" s="5" t="n">
        <v>0</v>
      </c>
      <c r="O166" s="5" t="n">
        <v>0</v>
      </c>
      <c r="P166" s="5" t="n">
        <v>0</v>
      </c>
      <c r="Q166" s="5" t="n">
        <v>0</v>
      </c>
      <c r="R166" s="5" t="n">
        <v>1</v>
      </c>
      <c r="S166" s="5" t="n">
        <v>0</v>
      </c>
      <c r="T166" s="5" t="n">
        <v>0</v>
      </c>
      <c r="U166" s="5" t="inlineStr">
        <is>
          <t>training</t>
        </is>
      </c>
    </row>
    <row r="167">
      <c r="A167" s="5" t="n">
        <v>163</v>
      </c>
      <c r="B167" s="5" t="n">
        <v>0</v>
      </c>
      <c r="C167" s="6" t="n">
        <v>-0.4829241608380317</v>
      </c>
      <c r="D167" s="6" t="n">
        <v>-0.695830196032449</v>
      </c>
      <c r="E167" s="6" t="n">
        <v>0.04000758952108359</v>
      </c>
      <c r="F167" s="6" t="n">
        <v>0.9185437189662378</v>
      </c>
      <c r="G167" s="5" t="n">
        <v>0</v>
      </c>
      <c r="H167" s="5" t="n">
        <v>0</v>
      </c>
      <c r="I167" s="5" t="n">
        <v>0</v>
      </c>
      <c r="J167" s="5" t="n">
        <v>0</v>
      </c>
      <c r="K167" s="5" t="n">
        <v>0</v>
      </c>
      <c r="L167" s="5" t="n">
        <v>0</v>
      </c>
      <c r="M167" s="5" t="n">
        <v>1</v>
      </c>
      <c r="N167" s="5" t="n">
        <v>0</v>
      </c>
      <c r="O167" s="5" t="n">
        <v>0</v>
      </c>
      <c r="P167" s="5" t="n">
        <v>0</v>
      </c>
      <c r="Q167" s="5" t="n">
        <v>0</v>
      </c>
      <c r="R167" s="5" t="n">
        <v>0</v>
      </c>
      <c r="S167" s="5" t="n">
        <v>0</v>
      </c>
      <c r="T167" s="5" t="n">
        <v>0</v>
      </c>
      <c r="U167" s="5" t="inlineStr">
        <is>
          <t>training</t>
        </is>
      </c>
    </row>
    <row r="168">
      <c r="A168" s="5" t="n">
        <v>164</v>
      </c>
      <c r="B168" s="5" t="n">
        <v>0</v>
      </c>
      <c r="C168" s="6" t="n">
        <v>-0.9042189173019176</v>
      </c>
      <c r="D168" s="6" t="n">
        <v>1.41962132075388</v>
      </c>
      <c r="E168" s="6" t="n">
        <v>2.997090293253343</v>
      </c>
      <c r="F168" s="6" t="n">
        <v>-0.8850484360866833</v>
      </c>
      <c r="G168" s="5" t="n">
        <v>0</v>
      </c>
      <c r="H168" s="5" t="n">
        <v>1</v>
      </c>
      <c r="I168" s="5" t="n">
        <v>0</v>
      </c>
      <c r="J168" s="5" t="n">
        <v>0</v>
      </c>
      <c r="K168" s="5" t="n">
        <v>0</v>
      </c>
      <c r="L168" s="5" t="n">
        <v>0</v>
      </c>
      <c r="M168" s="5" t="n">
        <v>0</v>
      </c>
      <c r="N168" s="5" t="n">
        <v>0</v>
      </c>
      <c r="O168" s="5" t="n">
        <v>0</v>
      </c>
      <c r="P168" s="5" t="n">
        <v>0</v>
      </c>
      <c r="Q168" s="5" t="n">
        <v>1</v>
      </c>
      <c r="R168" s="5" t="n">
        <v>1</v>
      </c>
      <c r="S168" s="5" t="n">
        <v>0</v>
      </c>
      <c r="T168" s="5" t="n">
        <v>0</v>
      </c>
      <c r="U168" s="5" t="inlineStr">
        <is>
          <t>training</t>
        </is>
      </c>
    </row>
    <row r="169">
      <c r="A169" s="5" t="n">
        <v>165</v>
      </c>
      <c r="B169" s="5" t="n">
        <v>0</v>
      </c>
      <c r="C169" s="6" t="n">
        <v>1.286513816310289</v>
      </c>
      <c r="D169" s="6" t="n">
        <v>-0.8193423338798811</v>
      </c>
      <c r="E169" s="6" t="n">
        <v>0.04000758952108359</v>
      </c>
      <c r="F169" s="6" t="n">
        <v>0.9185437189662378</v>
      </c>
      <c r="G169" s="5" t="n">
        <v>0</v>
      </c>
      <c r="H169" s="5" t="n">
        <v>0</v>
      </c>
      <c r="I169" s="5" t="n">
        <v>0</v>
      </c>
      <c r="J169" s="5" t="n">
        <v>0</v>
      </c>
      <c r="K169" s="5" t="n">
        <v>0</v>
      </c>
      <c r="L169" s="5" t="n">
        <v>0</v>
      </c>
      <c r="M169" s="5" t="n">
        <v>1</v>
      </c>
      <c r="N169" s="5" t="n">
        <v>0</v>
      </c>
      <c r="O169" s="5" t="n">
        <v>0</v>
      </c>
      <c r="P169" s="5" t="n">
        <v>0</v>
      </c>
      <c r="Q169" s="5" t="n">
        <v>0</v>
      </c>
      <c r="R169" s="5" t="n">
        <v>1</v>
      </c>
      <c r="S169" s="5" t="n">
        <v>0</v>
      </c>
      <c r="T169" s="5" t="n">
        <v>0</v>
      </c>
      <c r="U169" s="5" t="inlineStr">
        <is>
          <t>testing</t>
        </is>
      </c>
    </row>
    <row r="170">
      <c r="A170" s="5" t="n">
        <v>166</v>
      </c>
      <c r="B170" s="5" t="n">
        <v>0</v>
      </c>
      <c r="C170" s="6" t="n">
        <v>-1.241254722473026</v>
      </c>
      <c r="D170" s="6" t="n">
        <v>-0.09541425114238263</v>
      </c>
      <c r="E170" s="6" t="n">
        <v>-0.307884493270947</v>
      </c>
      <c r="F170" s="6" t="n">
        <v>-1.786844513613144</v>
      </c>
      <c r="G170" s="5" t="n">
        <v>0</v>
      </c>
      <c r="H170" s="5" t="n">
        <v>0</v>
      </c>
      <c r="I170" s="5" t="n">
        <v>0</v>
      </c>
      <c r="J170" s="5" t="n">
        <v>0</v>
      </c>
      <c r="K170" s="5" t="n">
        <v>0</v>
      </c>
      <c r="L170" s="5" t="n">
        <v>0</v>
      </c>
      <c r="M170" s="5" t="n">
        <v>1</v>
      </c>
      <c r="N170" s="5" t="n">
        <v>0</v>
      </c>
      <c r="O170" s="5" t="n">
        <v>0</v>
      </c>
      <c r="P170" s="5" t="n">
        <v>0</v>
      </c>
      <c r="Q170" s="5" t="n">
        <v>0</v>
      </c>
      <c r="R170" s="5" t="n">
        <v>0</v>
      </c>
      <c r="S170" s="5" t="n">
        <v>0</v>
      </c>
      <c r="T170" s="5" t="n">
        <v>1</v>
      </c>
      <c r="U170" s="5" t="inlineStr">
        <is>
          <t>testing</t>
        </is>
      </c>
    </row>
    <row r="171">
      <c r="A171" s="5" t="n">
        <v>167</v>
      </c>
      <c r="B171" s="5" t="n">
        <v>1</v>
      </c>
      <c r="C171" s="6" t="n">
        <v>-0.2301473069597001</v>
      </c>
      <c r="D171" s="6" t="n">
        <v>-0.7416661452052921</v>
      </c>
      <c r="E171" s="6" t="n">
        <v>-0.2209114725729393</v>
      </c>
      <c r="F171" s="6" t="n">
        <v>0.9185437189662378</v>
      </c>
      <c r="G171" s="5" t="n">
        <v>1</v>
      </c>
      <c r="H171" s="5" t="n">
        <v>0</v>
      </c>
      <c r="I171" s="5" t="n">
        <v>0</v>
      </c>
      <c r="J171" s="5" t="n">
        <v>0</v>
      </c>
      <c r="K171" s="5" t="n">
        <v>0</v>
      </c>
      <c r="L171" s="5" t="n">
        <v>0</v>
      </c>
      <c r="M171" s="5" t="n">
        <v>0</v>
      </c>
      <c r="N171" s="5" t="n">
        <v>0</v>
      </c>
      <c r="O171" s="5" t="n">
        <v>0</v>
      </c>
      <c r="P171" s="5" t="n">
        <v>0</v>
      </c>
      <c r="Q171" s="5" t="n">
        <v>0</v>
      </c>
      <c r="R171" s="5" t="n">
        <v>0</v>
      </c>
      <c r="S171" s="5" t="n">
        <v>0</v>
      </c>
      <c r="T171" s="5" t="n">
        <v>1</v>
      </c>
      <c r="U171" s="5" t="inlineStr">
        <is>
          <t>training</t>
        </is>
      </c>
    </row>
    <row r="172">
      <c r="A172" s="5" t="n">
        <v>168</v>
      </c>
      <c r="B172" s="5" t="n">
        <v>0</v>
      </c>
      <c r="C172" s="6" t="n">
        <v>-0.8199599660091405</v>
      </c>
      <c r="D172" s="6" t="n">
        <v>-0.5856139823725591</v>
      </c>
      <c r="E172" s="6" t="n">
        <v>-1.351560741647039</v>
      </c>
      <c r="F172" s="6" t="n">
        <v>0.9185437189662378</v>
      </c>
      <c r="G172" s="5" t="n">
        <v>0</v>
      </c>
      <c r="H172" s="5" t="n">
        <v>1</v>
      </c>
      <c r="I172" s="5" t="n">
        <v>0</v>
      </c>
      <c r="J172" s="5" t="n">
        <v>0</v>
      </c>
      <c r="K172" s="5" t="n">
        <v>0</v>
      </c>
      <c r="L172" s="5" t="n">
        <v>0</v>
      </c>
      <c r="M172" s="5" t="n">
        <v>0</v>
      </c>
      <c r="N172" s="5" t="n">
        <v>1</v>
      </c>
      <c r="O172" s="5" t="n">
        <v>0</v>
      </c>
      <c r="P172" s="5" t="n">
        <v>0</v>
      </c>
      <c r="Q172" s="5" t="n">
        <v>0</v>
      </c>
      <c r="R172" s="5" t="n">
        <v>0</v>
      </c>
      <c r="S172" s="5" t="n">
        <v>0</v>
      </c>
      <c r="T172" s="5" t="n">
        <v>1</v>
      </c>
      <c r="U172" s="5" t="inlineStr">
        <is>
          <t>testing</t>
        </is>
      </c>
    </row>
    <row r="173">
      <c r="A173" s="5" t="n">
        <v>169</v>
      </c>
      <c r="B173" s="5" t="n">
        <v>0</v>
      </c>
      <c r="C173" s="6" t="n">
        <v>0.275406400796963</v>
      </c>
      <c r="D173" s="6" t="n">
        <v>0.2523791341843807</v>
      </c>
      <c r="E173" s="6" t="n">
        <v>-0.9166956381570004</v>
      </c>
      <c r="F173" s="6" t="n">
        <v>-0.8850484360866833</v>
      </c>
      <c r="G173" s="5" t="n">
        <v>0</v>
      </c>
      <c r="H173" s="5" t="n">
        <v>0</v>
      </c>
      <c r="I173" s="5" t="n">
        <v>0</v>
      </c>
      <c r="J173" s="5" t="n">
        <v>0</v>
      </c>
      <c r="K173" s="5" t="n">
        <v>0</v>
      </c>
      <c r="L173" s="5" t="n">
        <v>0</v>
      </c>
      <c r="M173" s="5" t="n">
        <v>0</v>
      </c>
      <c r="N173" s="5" t="n">
        <v>0</v>
      </c>
      <c r="O173" s="5" t="n">
        <v>0</v>
      </c>
      <c r="P173" s="5" t="n">
        <v>1</v>
      </c>
      <c r="Q173" s="5" t="n">
        <v>0</v>
      </c>
      <c r="R173" s="5" t="n">
        <v>0</v>
      </c>
      <c r="S173" s="5" t="n">
        <v>0</v>
      </c>
      <c r="T173" s="5" t="n">
        <v>1</v>
      </c>
      <c r="U173" s="5" t="inlineStr">
        <is>
          <t>training</t>
        </is>
      </c>
    </row>
    <row r="174">
      <c r="A174" s="5" t="n">
        <v>170</v>
      </c>
      <c r="B174" s="5" t="n">
        <v>1</v>
      </c>
      <c r="C174" s="6" t="n">
        <v>0.275406400796963</v>
      </c>
      <c r="D174" s="6" t="n">
        <v>-0.46035238081624</v>
      </c>
      <c r="E174" s="6" t="n">
        <v>-0.3948575139689546</v>
      </c>
      <c r="F174" s="6" t="n">
        <v>0.9185437189662378</v>
      </c>
      <c r="G174" s="5" t="n">
        <v>0</v>
      </c>
      <c r="H174" s="5" t="n">
        <v>1</v>
      </c>
      <c r="I174" s="5" t="n">
        <v>0</v>
      </c>
      <c r="J174" s="5" t="n">
        <v>1</v>
      </c>
      <c r="K174" s="5" t="n">
        <v>0</v>
      </c>
      <c r="L174" s="5" t="n">
        <v>0</v>
      </c>
      <c r="M174" s="5" t="n">
        <v>0</v>
      </c>
      <c r="N174" s="5" t="n">
        <v>0</v>
      </c>
      <c r="O174" s="5" t="n">
        <v>0</v>
      </c>
      <c r="P174" s="5" t="n">
        <v>0</v>
      </c>
      <c r="Q174" s="5" t="n">
        <v>0</v>
      </c>
      <c r="R174" s="5" t="n">
        <v>0</v>
      </c>
      <c r="S174" s="5" t="n">
        <v>0</v>
      </c>
      <c r="T174" s="5" t="n">
        <v>0</v>
      </c>
      <c r="U174" s="5" t="inlineStr">
        <is>
          <t>testing</t>
        </is>
      </c>
    </row>
    <row r="175">
      <c r="A175" s="5" t="n">
        <v>171</v>
      </c>
      <c r="B175" s="5" t="n">
        <v>1</v>
      </c>
      <c r="C175" s="6" t="n">
        <v>-0.4829241608380317</v>
      </c>
      <c r="D175" s="6" t="n">
        <v>-0.8049967314670065</v>
      </c>
      <c r="E175" s="6" t="n">
        <v>-0.2209114725729393</v>
      </c>
      <c r="F175" s="6" t="n">
        <v>0.9185437189662378</v>
      </c>
      <c r="G175" s="5" t="n">
        <v>1</v>
      </c>
      <c r="H175" s="5" t="n">
        <v>0</v>
      </c>
      <c r="I175" s="5" t="n">
        <v>0</v>
      </c>
      <c r="J175" s="5" t="n">
        <v>0</v>
      </c>
      <c r="K175" s="5" t="n">
        <v>0</v>
      </c>
      <c r="L175" s="5" t="n">
        <v>1</v>
      </c>
      <c r="M175" s="5" t="n">
        <v>0</v>
      </c>
      <c r="N175" s="5" t="n">
        <v>0</v>
      </c>
      <c r="O175" s="5" t="n">
        <v>0</v>
      </c>
      <c r="P175" s="5" t="n">
        <v>1</v>
      </c>
      <c r="Q175" s="5" t="n">
        <v>0</v>
      </c>
      <c r="R175" s="5" t="n">
        <v>1</v>
      </c>
      <c r="S175" s="5" t="n">
        <v>0</v>
      </c>
      <c r="T175" s="5" t="n">
        <v>0</v>
      </c>
      <c r="U175" s="5" t="inlineStr">
        <is>
          <t>testing</t>
        </is>
      </c>
    </row>
    <row r="176">
      <c r="A176" s="5" t="n">
        <v>172</v>
      </c>
      <c r="B176" s="5" t="n">
        <v>0</v>
      </c>
      <c r="C176" s="6" t="n">
        <v>-0.7357010147163632</v>
      </c>
      <c r="D176" s="6" t="n">
        <v>-0.8704266741793856</v>
      </c>
      <c r="E176" s="6" t="n">
        <v>-0.8297226174589928</v>
      </c>
      <c r="F176" s="6" t="n">
        <v>0.9185437189662378</v>
      </c>
      <c r="G176" s="5" t="n">
        <v>0</v>
      </c>
      <c r="H176" s="5" t="n">
        <v>0</v>
      </c>
      <c r="I176" s="5" t="n">
        <v>0</v>
      </c>
      <c r="J176" s="5" t="n">
        <v>0</v>
      </c>
      <c r="K176" s="5" t="n">
        <v>0</v>
      </c>
      <c r="L176" s="5" t="n">
        <v>0</v>
      </c>
      <c r="M176" s="5" t="n">
        <v>0</v>
      </c>
      <c r="N176" s="5" t="n">
        <v>0</v>
      </c>
      <c r="O176" s="5" t="n">
        <v>0</v>
      </c>
      <c r="P176" s="5" t="n">
        <v>0</v>
      </c>
      <c r="Q176" s="5" t="n">
        <v>0</v>
      </c>
      <c r="R176" s="5" t="n">
        <v>0</v>
      </c>
      <c r="S176" s="5" t="n">
        <v>0</v>
      </c>
      <c r="T176" s="5" t="n">
        <v>1</v>
      </c>
      <c r="U176" s="5" t="inlineStr">
        <is>
          <t>training</t>
        </is>
      </c>
    </row>
    <row r="177">
      <c r="A177" s="5" t="n">
        <v>173</v>
      </c>
      <c r="B177" s="5" t="n">
        <v>1</v>
      </c>
      <c r="C177" s="6" t="n">
        <v>0.275406400796963</v>
      </c>
      <c r="D177" s="6" t="n">
        <v>-0.4152162171269518</v>
      </c>
      <c r="E177" s="6" t="n">
        <v>-0.1339384518749317</v>
      </c>
      <c r="F177" s="6" t="n">
        <v>0.01674764143977723</v>
      </c>
      <c r="G177" s="5" t="n">
        <v>0</v>
      </c>
      <c r="H177" s="5" t="n">
        <v>1</v>
      </c>
      <c r="I177" s="5" t="n">
        <v>0</v>
      </c>
      <c r="J177" s="5" t="n">
        <v>0</v>
      </c>
      <c r="K177" s="5" t="n">
        <v>1</v>
      </c>
      <c r="L177" s="5" t="n">
        <v>0</v>
      </c>
      <c r="M177" s="5" t="n">
        <v>0</v>
      </c>
      <c r="N177" s="5" t="n">
        <v>0</v>
      </c>
      <c r="O177" s="5" t="n">
        <v>0</v>
      </c>
      <c r="P177" s="5" t="n">
        <v>0</v>
      </c>
      <c r="Q177" s="5" t="n">
        <v>0</v>
      </c>
      <c r="R177" s="5" t="n">
        <v>0</v>
      </c>
      <c r="S177" s="5" t="n">
        <v>0</v>
      </c>
      <c r="T177" s="5" t="n">
        <v>1</v>
      </c>
      <c r="U177" s="5" t="inlineStr">
        <is>
          <t>training</t>
        </is>
      </c>
    </row>
    <row r="178">
      <c r="A178" s="5" t="n">
        <v>174</v>
      </c>
      <c r="B178" s="5" t="n">
        <v>0</v>
      </c>
      <c r="C178" s="6" t="n">
        <v>-1.072736819887472</v>
      </c>
      <c r="D178" s="6" t="n">
        <v>-0.6426464992822799</v>
      </c>
      <c r="E178" s="6" t="n">
        <v>-0.2209114725729393</v>
      </c>
      <c r="F178" s="6" t="n">
        <v>0.9185437189662378</v>
      </c>
      <c r="G178" s="5" t="n">
        <v>0</v>
      </c>
      <c r="H178" s="5" t="n">
        <v>1</v>
      </c>
      <c r="I178" s="5" t="n">
        <v>0</v>
      </c>
      <c r="J178" s="5" t="n">
        <v>0</v>
      </c>
      <c r="K178" s="5" t="n">
        <v>0</v>
      </c>
      <c r="L178" s="5" t="n">
        <v>0</v>
      </c>
      <c r="M178" s="5" t="n">
        <v>0</v>
      </c>
      <c r="N178" s="5" t="n">
        <v>0</v>
      </c>
      <c r="O178" s="5" t="n">
        <v>0</v>
      </c>
      <c r="P178" s="5" t="n">
        <v>0</v>
      </c>
      <c r="Q178" s="5" t="n">
        <v>0</v>
      </c>
      <c r="R178" s="5" t="n">
        <v>0</v>
      </c>
      <c r="S178" s="5" t="n">
        <v>1</v>
      </c>
      <c r="T178" s="5" t="n">
        <v>0</v>
      </c>
      <c r="U178" s="5" t="inlineStr">
        <is>
          <t>training</t>
        </is>
      </c>
    </row>
    <row r="179">
      <c r="A179" s="5" t="n">
        <v>175</v>
      </c>
      <c r="B179" s="5" t="n">
        <v>1</v>
      </c>
      <c r="C179" s="6" t="n">
        <v>0.02262954691863145</v>
      </c>
      <c r="D179" s="6" t="n">
        <v>0.05713898427257596</v>
      </c>
      <c r="E179" s="6" t="n">
        <v>-0.8297226174589928</v>
      </c>
      <c r="F179" s="6" t="n">
        <v>-0.8850484360866833</v>
      </c>
      <c r="G179" s="5" t="n">
        <v>1</v>
      </c>
      <c r="H179" s="5" t="n">
        <v>0</v>
      </c>
      <c r="I179" s="5" t="n">
        <v>0</v>
      </c>
      <c r="J179" s="5" t="n">
        <v>0</v>
      </c>
      <c r="K179" s="5" t="n">
        <v>1</v>
      </c>
      <c r="L179" s="5" t="n">
        <v>0</v>
      </c>
      <c r="M179" s="5" t="n">
        <v>0</v>
      </c>
      <c r="N179" s="5" t="n">
        <v>0</v>
      </c>
      <c r="O179" s="5" t="n">
        <v>0</v>
      </c>
      <c r="P179" s="5" t="n">
        <v>0</v>
      </c>
      <c r="Q179" s="5" t="n">
        <v>0</v>
      </c>
      <c r="R179" s="5" t="n">
        <v>0</v>
      </c>
      <c r="S179" s="5" t="n">
        <v>0</v>
      </c>
      <c r="T179" s="5" t="n">
        <v>0</v>
      </c>
      <c r="U179" s="5" t="inlineStr">
        <is>
          <t>training</t>
        </is>
      </c>
    </row>
    <row r="180">
      <c r="A180" s="5" t="n">
        <v>176</v>
      </c>
      <c r="B180" s="5" t="n">
        <v>1</v>
      </c>
      <c r="C180" s="6" t="n">
        <v>0.7809601085536261</v>
      </c>
      <c r="D180" s="6" t="n">
        <v>1.481552336048485</v>
      </c>
      <c r="E180" s="6" t="n">
        <v>1.518548941387213</v>
      </c>
      <c r="F180" s="6" t="n">
        <v>0.9185437189662378</v>
      </c>
      <c r="G180" s="5" t="n">
        <v>0</v>
      </c>
      <c r="H180" s="5" t="n">
        <v>0</v>
      </c>
      <c r="I180" s="5" t="n">
        <v>0</v>
      </c>
      <c r="J180" s="5" t="n">
        <v>0</v>
      </c>
      <c r="K180" s="5" t="n">
        <v>0</v>
      </c>
      <c r="L180" s="5" t="n">
        <v>1</v>
      </c>
      <c r="M180" s="5" t="n">
        <v>0</v>
      </c>
      <c r="N180" s="5" t="n">
        <v>0</v>
      </c>
      <c r="O180" s="5" t="n">
        <v>1</v>
      </c>
      <c r="P180" s="5" t="n">
        <v>0</v>
      </c>
      <c r="Q180" s="5" t="n">
        <v>0</v>
      </c>
      <c r="R180" s="5" t="n">
        <v>1</v>
      </c>
      <c r="S180" s="5" t="n">
        <v>0</v>
      </c>
      <c r="T180" s="5" t="n">
        <v>0</v>
      </c>
      <c r="U180" s="5" t="inlineStr">
        <is>
          <t>testing</t>
        </is>
      </c>
    </row>
    <row r="181">
      <c r="A181" s="5" t="n">
        <v>177</v>
      </c>
      <c r="B181" s="5" t="n">
        <v>0</v>
      </c>
      <c r="C181" s="6" t="n">
        <v>-0.7357010147163632</v>
      </c>
      <c r="D181" s="6" t="n">
        <v>-0.2357212405951312</v>
      </c>
      <c r="E181" s="6" t="n">
        <v>0.5618457137091294</v>
      </c>
      <c r="F181" s="6" t="n">
        <v>-0.8850484360866833</v>
      </c>
      <c r="G181" s="5" t="n">
        <v>1</v>
      </c>
      <c r="H181" s="5" t="n">
        <v>0</v>
      </c>
      <c r="I181" s="5" t="n">
        <v>0</v>
      </c>
      <c r="J181" s="5" t="n">
        <v>0</v>
      </c>
      <c r="K181" s="5" t="n">
        <v>0</v>
      </c>
      <c r="L181" s="5" t="n">
        <v>0</v>
      </c>
      <c r="M181" s="5" t="n">
        <v>0</v>
      </c>
      <c r="N181" s="5" t="n">
        <v>0</v>
      </c>
      <c r="O181" s="5" t="n">
        <v>0</v>
      </c>
      <c r="P181" s="5" t="n">
        <v>0</v>
      </c>
      <c r="Q181" s="5" t="n">
        <v>0</v>
      </c>
      <c r="R181" s="5" t="n">
        <v>0</v>
      </c>
      <c r="S181" s="5" t="n">
        <v>0</v>
      </c>
      <c r="T181" s="5" t="n">
        <v>1</v>
      </c>
      <c r="U181" s="5" t="inlineStr">
        <is>
          <t>training</t>
        </is>
      </c>
    </row>
    <row r="182">
      <c r="A182" s="5" t="n">
        <v>178</v>
      </c>
      <c r="B182" s="5" t="n">
        <v>0</v>
      </c>
      <c r="C182" s="6" t="n">
        <v>-1.241254722473026</v>
      </c>
      <c r="D182" s="6" t="n">
        <v>-1.019131089434792</v>
      </c>
      <c r="E182" s="6" t="n">
        <v>1.431575920689206</v>
      </c>
      <c r="F182" s="6" t="n">
        <v>0.9185437189662378</v>
      </c>
      <c r="G182" s="5" t="n">
        <v>1</v>
      </c>
      <c r="H182" s="5" t="n">
        <v>0</v>
      </c>
      <c r="I182" s="5" t="n">
        <v>0</v>
      </c>
      <c r="J182" s="5" t="n">
        <v>1</v>
      </c>
      <c r="K182" s="5" t="n">
        <v>0</v>
      </c>
      <c r="L182" s="5" t="n">
        <v>0</v>
      </c>
      <c r="M182" s="5" t="n">
        <v>1</v>
      </c>
      <c r="N182" s="5" t="n">
        <v>0</v>
      </c>
      <c r="O182" s="5" t="n">
        <v>0</v>
      </c>
      <c r="P182" s="5" t="n">
        <v>0</v>
      </c>
      <c r="Q182" s="5" t="n">
        <v>0</v>
      </c>
      <c r="R182" s="5" t="n">
        <v>0</v>
      </c>
      <c r="S182" s="5" t="n">
        <v>1</v>
      </c>
      <c r="T182" s="5" t="n">
        <v>0</v>
      </c>
      <c r="U182" s="5" t="inlineStr">
        <is>
          <t>training</t>
        </is>
      </c>
    </row>
    <row r="183">
      <c r="A183" s="5" t="n">
        <v>179</v>
      </c>
      <c r="B183" s="5" t="n">
        <v>0</v>
      </c>
      <c r="C183" s="6" t="n">
        <v>-0.7357010147163632</v>
      </c>
      <c r="D183" s="6" t="n">
        <v>-0.450555384046472</v>
      </c>
      <c r="E183" s="6" t="n">
        <v>-0.3948575139689546</v>
      </c>
      <c r="F183" s="6" t="n">
        <v>0.9185437189662378</v>
      </c>
      <c r="G183" s="5" t="n">
        <v>0</v>
      </c>
      <c r="H183" s="5" t="n">
        <v>0</v>
      </c>
      <c r="I183" s="5" t="n">
        <v>0</v>
      </c>
      <c r="J183" s="5" t="n">
        <v>0</v>
      </c>
      <c r="K183" s="5" t="n">
        <v>0</v>
      </c>
      <c r="L183" s="5" t="n">
        <v>0</v>
      </c>
      <c r="M183" s="5" t="n">
        <v>0</v>
      </c>
      <c r="N183" s="5" t="n">
        <v>0</v>
      </c>
      <c r="O183" s="5" t="n">
        <v>0</v>
      </c>
      <c r="P183" s="5" t="n">
        <v>1</v>
      </c>
      <c r="Q183" s="5" t="n">
        <v>0</v>
      </c>
      <c r="R183" s="5" t="n">
        <v>0</v>
      </c>
      <c r="S183" s="5" t="n">
        <v>1</v>
      </c>
      <c r="T183" s="5" t="n">
        <v>0</v>
      </c>
      <c r="U183" s="5" t="inlineStr">
        <is>
          <t>training</t>
        </is>
      </c>
    </row>
    <row r="184">
      <c r="A184" s="5" t="n">
        <v>180</v>
      </c>
      <c r="B184" s="5" t="n">
        <v>0</v>
      </c>
      <c r="C184" s="6" t="n">
        <v>0.02262954691863145</v>
      </c>
      <c r="D184" s="6" t="n">
        <v>-0.9376060806006516</v>
      </c>
      <c r="E184" s="6" t="n">
        <v>2.562225189763305</v>
      </c>
      <c r="F184" s="6" t="n">
        <v>0.9185437189662378</v>
      </c>
      <c r="G184" s="5" t="n">
        <v>1</v>
      </c>
      <c r="H184" s="5" t="n">
        <v>0</v>
      </c>
      <c r="I184" s="5" t="n">
        <v>0</v>
      </c>
      <c r="J184" s="5" t="n">
        <v>1</v>
      </c>
      <c r="K184" s="5" t="n">
        <v>0</v>
      </c>
      <c r="L184" s="5" t="n">
        <v>0</v>
      </c>
      <c r="M184" s="5" t="n">
        <v>0</v>
      </c>
      <c r="N184" s="5" t="n">
        <v>0</v>
      </c>
      <c r="O184" s="5" t="n">
        <v>0</v>
      </c>
      <c r="P184" s="5" t="n">
        <v>0</v>
      </c>
      <c r="Q184" s="5" t="n">
        <v>0</v>
      </c>
      <c r="R184" s="5" t="n">
        <v>1</v>
      </c>
      <c r="S184" s="5" t="n">
        <v>0</v>
      </c>
      <c r="T184" s="5" t="n">
        <v>0</v>
      </c>
      <c r="U184" s="5" t="inlineStr">
        <is>
          <t>training</t>
        </is>
      </c>
    </row>
    <row r="185">
      <c r="A185" s="5" t="n">
        <v>181</v>
      </c>
      <c r="B185" s="5" t="n">
        <v>1</v>
      </c>
      <c r="C185" s="6" t="n">
        <v>1.286513816310289</v>
      </c>
      <c r="D185" s="6" t="n">
        <v>2.211778488137977</v>
      </c>
      <c r="E185" s="6" t="n">
        <v>-0.6557765760629775</v>
      </c>
      <c r="F185" s="6" t="n">
        <v>-1.786844513613144</v>
      </c>
      <c r="G185" s="5" t="n">
        <v>0</v>
      </c>
      <c r="H185" s="5" t="n">
        <v>0</v>
      </c>
      <c r="I185" s="5" t="n">
        <v>0</v>
      </c>
      <c r="J185" s="5" t="n">
        <v>0</v>
      </c>
      <c r="K185" s="5" t="n">
        <v>1</v>
      </c>
      <c r="L185" s="5" t="n">
        <v>0</v>
      </c>
      <c r="M185" s="5" t="n">
        <v>0</v>
      </c>
      <c r="N185" s="5" t="n">
        <v>0</v>
      </c>
      <c r="O185" s="5" t="n">
        <v>0</v>
      </c>
      <c r="P185" s="5" t="n">
        <v>0</v>
      </c>
      <c r="Q185" s="5" t="n">
        <v>0</v>
      </c>
      <c r="R185" s="5" t="n">
        <v>0</v>
      </c>
      <c r="S185" s="5" t="n">
        <v>0</v>
      </c>
      <c r="T185" s="5" t="n">
        <v>0</v>
      </c>
      <c r="U185" s="5" t="inlineStr">
        <is>
          <t>training</t>
        </is>
      </c>
    </row>
    <row r="186">
      <c r="A186" s="5" t="n">
        <v>182</v>
      </c>
      <c r="B186" s="5" t="n">
        <v>1</v>
      </c>
      <c r="C186" s="6" t="n">
        <v>1.286513816310289</v>
      </c>
      <c r="D186" s="6" t="n">
        <v>0.4213773284628785</v>
      </c>
      <c r="E186" s="6" t="n">
        <v>-0.4818305346669622</v>
      </c>
      <c r="F186" s="6" t="n">
        <v>-0.8850484360866833</v>
      </c>
      <c r="G186" s="5" t="n">
        <v>0</v>
      </c>
      <c r="H186" s="5" t="n">
        <v>1</v>
      </c>
      <c r="I186" s="5" t="n">
        <v>0</v>
      </c>
      <c r="J186" s="5" t="n">
        <v>0</v>
      </c>
      <c r="K186" s="5" t="n">
        <v>1</v>
      </c>
      <c r="L186" s="5" t="n">
        <v>0</v>
      </c>
      <c r="M186" s="5" t="n">
        <v>0</v>
      </c>
      <c r="N186" s="5" t="n">
        <v>0</v>
      </c>
      <c r="O186" s="5" t="n">
        <v>0</v>
      </c>
      <c r="P186" s="5" t="n">
        <v>0</v>
      </c>
      <c r="Q186" s="5" t="n">
        <v>0</v>
      </c>
      <c r="R186" s="5" t="n">
        <v>0</v>
      </c>
      <c r="S186" s="5" t="n">
        <v>0</v>
      </c>
      <c r="T186" s="5" t="n">
        <v>0</v>
      </c>
      <c r="U186" s="5" t="inlineStr">
        <is>
          <t>training</t>
        </is>
      </c>
    </row>
    <row r="187">
      <c r="A187" s="5" t="n">
        <v>183</v>
      </c>
      <c r="B187" s="5" t="n">
        <v>1</v>
      </c>
      <c r="C187" s="6" t="n">
        <v>0.02262954691863145</v>
      </c>
      <c r="D187" s="6" t="n">
        <v>-0.5611214904481392</v>
      </c>
      <c r="E187" s="6" t="n">
        <v>0.3878996723131141</v>
      </c>
      <c r="F187" s="6" t="n">
        <v>0.9185437189662378</v>
      </c>
      <c r="G187" s="5" t="n">
        <v>1</v>
      </c>
      <c r="H187" s="5" t="n">
        <v>0</v>
      </c>
      <c r="I187" s="5" t="n">
        <v>0</v>
      </c>
      <c r="J187" s="5" t="n">
        <v>0</v>
      </c>
      <c r="K187" s="5" t="n">
        <v>0</v>
      </c>
      <c r="L187" s="5" t="n">
        <v>1</v>
      </c>
      <c r="M187" s="5" t="n">
        <v>0</v>
      </c>
      <c r="N187" s="5" t="n">
        <v>0</v>
      </c>
      <c r="O187" s="5" t="n">
        <v>1</v>
      </c>
      <c r="P187" s="5" t="n">
        <v>0</v>
      </c>
      <c r="Q187" s="5" t="n">
        <v>0</v>
      </c>
      <c r="R187" s="5" t="n">
        <v>1</v>
      </c>
      <c r="S187" s="5" t="n">
        <v>0</v>
      </c>
      <c r="T187" s="5" t="n">
        <v>0</v>
      </c>
      <c r="U187" s="5" t="inlineStr">
        <is>
          <t>training</t>
        </is>
      </c>
    </row>
    <row r="188">
      <c r="A188" s="5" t="n">
        <v>184</v>
      </c>
      <c r="B188" s="5" t="n">
        <v>0</v>
      </c>
      <c r="C188" s="6" t="n">
        <v>0.275406400796963</v>
      </c>
      <c r="D188" s="6" t="n">
        <v>0.1841500495377823</v>
      </c>
      <c r="E188" s="6" t="n">
        <v>1.257629879293191</v>
      </c>
      <c r="F188" s="6" t="n">
        <v>0.9185437189662378</v>
      </c>
      <c r="G188" s="5" t="n">
        <v>0</v>
      </c>
      <c r="H188" s="5" t="n">
        <v>0</v>
      </c>
      <c r="I188" s="5" t="n">
        <v>0</v>
      </c>
      <c r="J188" s="5" t="n">
        <v>1</v>
      </c>
      <c r="K188" s="5" t="n">
        <v>0</v>
      </c>
      <c r="L188" s="5" t="n">
        <v>0</v>
      </c>
      <c r="M188" s="5" t="n">
        <v>0</v>
      </c>
      <c r="N188" s="5" t="n">
        <v>1</v>
      </c>
      <c r="O188" s="5" t="n">
        <v>0</v>
      </c>
      <c r="P188" s="5" t="n">
        <v>0</v>
      </c>
      <c r="Q188" s="5" t="n">
        <v>0</v>
      </c>
      <c r="R188" s="5" t="n">
        <v>0</v>
      </c>
      <c r="S188" s="5" t="n">
        <v>0</v>
      </c>
      <c r="T188" s="5" t="n">
        <v>1</v>
      </c>
      <c r="U188" s="5" t="inlineStr">
        <is>
          <t>testing</t>
        </is>
      </c>
    </row>
    <row r="189">
      <c r="A189" s="5" t="n">
        <v>185</v>
      </c>
      <c r="B189" s="5" t="n">
        <v>1</v>
      </c>
      <c r="C189" s="6" t="n">
        <v>-0.2301473069597001</v>
      </c>
      <c r="D189" s="6" t="n">
        <v>-0.8280896524243168</v>
      </c>
      <c r="E189" s="6" t="n">
        <v>0.04000758952108359</v>
      </c>
      <c r="F189" s="6" t="n">
        <v>0.9185437189662378</v>
      </c>
      <c r="G189" s="5" t="n">
        <v>0</v>
      </c>
      <c r="H189" s="5" t="n">
        <v>1</v>
      </c>
      <c r="I189" s="5" t="n">
        <v>0</v>
      </c>
      <c r="J189" s="5" t="n">
        <v>1</v>
      </c>
      <c r="K189" s="5" t="n">
        <v>0</v>
      </c>
      <c r="L189" s="5" t="n">
        <v>0</v>
      </c>
      <c r="M189" s="5" t="n">
        <v>0</v>
      </c>
      <c r="N189" s="5" t="n">
        <v>0</v>
      </c>
      <c r="O189" s="5" t="n">
        <v>0</v>
      </c>
      <c r="P189" s="5" t="n">
        <v>0</v>
      </c>
      <c r="Q189" s="5" t="n">
        <v>0</v>
      </c>
      <c r="R189" s="5" t="n">
        <v>1</v>
      </c>
      <c r="S189" s="5" t="n">
        <v>0</v>
      </c>
      <c r="T189" s="5" t="n">
        <v>0</v>
      </c>
      <c r="U189" s="5" t="inlineStr">
        <is>
          <t>training</t>
        </is>
      </c>
    </row>
    <row r="190">
      <c r="A190" s="5" t="n">
        <v>186</v>
      </c>
      <c r="B190" s="5" t="n">
        <v>0</v>
      </c>
      <c r="C190" s="6" t="n">
        <v>-0.4829241608380317</v>
      </c>
      <c r="D190" s="6" t="n">
        <v>-0.6615407073382611</v>
      </c>
      <c r="E190" s="6" t="n">
        <v>-0.3948575139689546</v>
      </c>
      <c r="F190" s="6" t="n">
        <v>0.9185437189662378</v>
      </c>
      <c r="G190" s="5" t="n">
        <v>0</v>
      </c>
      <c r="H190" s="5" t="n">
        <v>0</v>
      </c>
      <c r="I190" s="5" t="n">
        <v>0</v>
      </c>
      <c r="J190" s="5" t="n">
        <v>1</v>
      </c>
      <c r="K190" s="5" t="n">
        <v>0</v>
      </c>
      <c r="L190" s="5" t="n">
        <v>0</v>
      </c>
      <c r="M190" s="5" t="n">
        <v>0</v>
      </c>
      <c r="N190" s="5" t="n">
        <v>0</v>
      </c>
      <c r="O190" s="5" t="n">
        <v>0</v>
      </c>
      <c r="P190" s="5" t="n">
        <v>0</v>
      </c>
      <c r="Q190" s="5" t="n">
        <v>0</v>
      </c>
      <c r="R190" s="5" t="n">
        <v>0</v>
      </c>
      <c r="S190" s="5" t="n">
        <v>1</v>
      </c>
      <c r="T190" s="5" t="n">
        <v>0</v>
      </c>
      <c r="U190" s="5" t="inlineStr">
        <is>
          <t>training</t>
        </is>
      </c>
    </row>
    <row r="191">
      <c r="A191" s="5" t="n">
        <v>187</v>
      </c>
      <c r="B191" s="5" t="n">
        <v>1</v>
      </c>
      <c r="C191" s="6" t="n">
        <v>-0.9884778685946948</v>
      </c>
      <c r="D191" s="6" t="n">
        <v>0.6572050364208649</v>
      </c>
      <c r="E191" s="6" t="n">
        <v>3.344982376045374</v>
      </c>
      <c r="F191" s="6" t="n">
        <v>-0.8850484360866833</v>
      </c>
      <c r="G191" s="5" t="n">
        <v>0</v>
      </c>
      <c r="H191" s="5" t="n">
        <v>1</v>
      </c>
      <c r="I191" s="5" t="n">
        <v>0</v>
      </c>
      <c r="J191" s="5" t="n">
        <v>0</v>
      </c>
      <c r="K191" s="5" t="n">
        <v>0</v>
      </c>
      <c r="L191" s="5" t="n">
        <v>1</v>
      </c>
      <c r="M191" s="5" t="n">
        <v>0</v>
      </c>
      <c r="N191" s="5" t="n">
        <v>0</v>
      </c>
      <c r="O191" s="5" t="n">
        <v>0</v>
      </c>
      <c r="P191" s="5" t="n">
        <v>0</v>
      </c>
      <c r="Q191" s="5" t="n">
        <v>1</v>
      </c>
      <c r="R191" s="5" t="n">
        <v>1</v>
      </c>
      <c r="S191" s="5" t="n">
        <v>0</v>
      </c>
      <c r="T191" s="5" t="n">
        <v>0</v>
      </c>
      <c r="U191" s="5" t="inlineStr">
        <is>
          <t>training</t>
        </is>
      </c>
    </row>
    <row r="192">
      <c r="A192" s="5" t="n">
        <v>188</v>
      </c>
      <c r="B192" s="5" t="n">
        <v>0</v>
      </c>
      <c r="C192" s="6" t="n">
        <v>-0.3986652095452545</v>
      </c>
      <c r="D192" s="6" t="n">
        <v>-0.7262708645670852</v>
      </c>
      <c r="E192" s="6" t="n">
        <v>2.823144251857328</v>
      </c>
      <c r="F192" s="6" t="n">
        <v>-0.8850484360866833</v>
      </c>
      <c r="G192" s="5" t="n">
        <v>0</v>
      </c>
      <c r="H192" s="5" t="n">
        <v>1</v>
      </c>
      <c r="I192" s="5" t="n">
        <v>0</v>
      </c>
      <c r="J192" s="5" t="n">
        <v>1</v>
      </c>
      <c r="K192" s="5" t="n">
        <v>0</v>
      </c>
      <c r="L192" s="5" t="n">
        <v>0</v>
      </c>
      <c r="M192" s="5" t="n">
        <v>0</v>
      </c>
      <c r="N192" s="5" t="n">
        <v>0</v>
      </c>
      <c r="O192" s="5" t="n">
        <v>0</v>
      </c>
      <c r="P192" s="5" t="n">
        <v>0</v>
      </c>
      <c r="Q192" s="5" t="n">
        <v>1</v>
      </c>
      <c r="R192" s="5" t="n">
        <v>1</v>
      </c>
      <c r="S192" s="5" t="n">
        <v>0</v>
      </c>
      <c r="T192" s="5" t="n">
        <v>0</v>
      </c>
      <c r="U192" s="5" t="inlineStr">
        <is>
          <t>training</t>
        </is>
      </c>
    </row>
    <row r="193">
      <c r="A193" s="5" t="n">
        <v>189</v>
      </c>
      <c r="B193" s="5" t="n">
        <v>1</v>
      </c>
      <c r="C193" s="6" t="n">
        <v>-0.7357010147163632</v>
      </c>
      <c r="D193" s="6" t="n">
        <v>-0.9015671281975766</v>
      </c>
      <c r="E193" s="6" t="n">
        <v>-1.351560741647039</v>
      </c>
      <c r="F193" s="6" t="n">
        <v>0.9185437189662378</v>
      </c>
      <c r="G193" s="5" t="n">
        <v>1</v>
      </c>
      <c r="H193" s="5" t="n">
        <v>0</v>
      </c>
      <c r="I193" s="5" t="n">
        <v>0</v>
      </c>
      <c r="J193" s="5" t="n">
        <v>0</v>
      </c>
      <c r="K193" s="5" t="n">
        <v>0</v>
      </c>
      <c r="L193" s="5" t="n">
        <v>0</v>
      </c>
      <c r="M193" s="5" t="n">
        <v>1</v>
      </c>
      <c r="N193" s="5" t="n">
        <v>0</v>
      </c>
      <c r="O193" s="5" t="n">
        <v>0</v>
      </c>
      <c r="P193" s="5" t="n">
        <v>0</v>
      </c>
      <c r="Q193" s="5" t="n">
        <v>0</v>
      </c>
      <c r="R193" s="5" t="n">
        <v>0</v>
      </c>
      <c r="S193" s="5" t="n">
        <v>1</v>
      </c>
      <c r="T193" s="5" t="n">
        <v>0</v>
      </c>
      <c r="U193" s="5" t="inlineStr">
        <is>
          <t>training</t>
        </is>
      </c>
    </row>
    <row r="194">
      <c r="A194" s="5" t="n">
        <v>190</v>
      </c>
      <c r="B194" s="5" t="n">
        <v>0</v>
      </c>
      <c r="C194" s="6" t="n">
        <v>-0.2301473069597001</v>
      </c>
      <c r="D194" s="6" t="n">
        <v>-0.00234278182958679</v>
      </c>
      <c r="E194" s="6" t="n">
        <v>-0.2209114725729393</v>
      </c>
      <c r="F194" s="6" t="n">
        <v>-1.786844513613144</v>
      </c>
      <c r="G194" s="5" t="n">
        <v>0</v>
      </c>
      <c r="H194" s="5" t="n">
        <v>1</v>
      </c>
      <c r="I194" s="5" t="n">
        <v>0</v>
      </c>
      <c r="J194" s="5" t="n">
        <v>0</v>
      </c>
      <c r="K194" s="5" t="n">
        <v>0</v>
      </c>
      <c r="L194" s="5" t="n">
        <v>1</v>
      </c>
      <c r="M194" s="5" t="n">
        <v>0</v>
      </c>
      <c r="N194" s="5" t="n">
        <v>0</v>
      </c>
      <c r="O194" s="5" t="n">
        <v>0</v>
      </c>
      <c r="P194" s="5" t="n">
        <v>0</v>
      </c>
      <c r="Q194" s="5" t="n">
        <v>0</v>
      </c>
      <c r="R194" s="5" t="n">
        <v>0</v>
      </c>
      <c r="S194" s="5" t="n">
        <v>0</v>
      </c>
      <c r="T194" s="5" t="n">
        <v>1</v>
      </c>
      <c r="U194" s="5" t="inlineStr">
        <is>
          <t>training</t>
        </is>
      </c>
    </row>
    <row r="195">
      <c r="A195" s="5" t="n">
        <v>191</v>
      </c>
      <c r="B195" s="5" t="n">
        <v>1</v>
      </c>
      <c r="C195" s="6" t="n">
        <v>0.275406400796963</v>
      </c>
      <c r="D195" s="6" t="n">
        <v>0.4689627413446086</v>
      </c>
      <c r="E195" s="6" t="n">
        <v>1.605521962085221</v>
      </c>
      <c r="F195" s="6" t="n">
        <v>-0.8850484360866833</v>
      </c>
      <c r="G195" s="5" t="n">
        <v>0</v>
      </c>
      <c r="H195" s="5" t="n">
        <v>0</v>
      </c>
      <c r="I195" s="5" t="n">
        <v>0</v>
      </c>
      <c r="J195" s="5" t="n">
        <v>0</v>
      </c>
      <c r="K195" s="5" t="n">
        <v>0</v>
      </c>
      <c r="L195" s="5" t="n">
        <v>0</v>
      </c>
      <c r="M195" s="5" t="n">
        <v>0</v>
      </c>
      <c r="N195" s="5" t="n">
        <v>1</v>
      </c>
      <c r="O195" s="5" t="n">
        <v>0</v>
      </c>
      <c r="P195" s="5" t="n">
        <v>0</v>
      </c>
      <c r="Q195" s="5" t="n">
        <v>0</v>
      </c>
      <c r="R195" s="5" t="n">
        <v>0</v>
      </c>
      <c r="S195" s="5" t="n">
        <v>0</v>
      </c>
      <c r="T195" s="5" t="n">
        <v>0</v>
      </c>
      <c r="U195" s="5" t="inlineStr">
        <is>
          <t>training</t>
        </is>
      </c>
    </row>
    <row r="196">
      <c r="A196" s="5" t="n">
        <v>192</v>
      </c>
      <c r="B196" s="5" t="n">
        <v>1</v>
      </c>
      <c r="C196" s="6" t="n">
        <v>2.297621231823615</v>
      </c>
      <c r="D196" s="6" t="n">
        <v>0.20759286323687</v>
      </c>
      <c r="E196" s="6" t="n">
        <v>-0.1339384518749317</v>
      </c>
      <c r="F196" s="6" t="n">
        <v>0.9185437189662378</v>
      </c>
      <c r="G196" s="5" t="n">
        <v>0</v>
      </c>
      <c r="H196" s="5" t="n">
        <v>1</v>
      </c>
      <c r="I196" s="5" t="n">
        <v>0</v>
      </c>
      <c r="J196" s="5" t="n">
        <v>0</v>
      </c>
      <c r="K196" s="5" t="n">
        <v>0</v>
      </c>
      <c r="L196" s="5" t="n">
        <v>1</v>
      </c>
      <c r="M196" s="5" t="n">
        <v>1</v>
      </c>
      <c r="N196" s="5" t="n">
        <v>0</v>
      </c>
      <c r="O196" s="5" t="n">
        <v>0</v>
      </c>
      <c r="P196" s="5" t="n">
        <v>0</v>
      </c>
      <c r="Q196" s="5" t="n">
        <v>1</v>
      </c>
      <c r="R196" s="5" t="n">
        <v>0</v>
      </c>
      <c r="S196" s="5" t="n">
        <v>0</v>
      </c>
      <c r="T196" s="5" t="n">
        <v>0</v>
      </c>
      <c r="U196" s="5" t="inlineStr">
        <is>
          <t>training</t>
        </is>
      </c>
    </row>
    <row r="197">
      <c r="A197" s="5" t="n">
        <v>193</v>
      </c>
      <c r="B197" s="5" t="n">
        <v>1</v>
      </c>
      <c r="C197" s="6" t="n">
        <v>0.5281832546752946</v>
      </c>
      <c r="D197" s="6" t="n">
        <v>0.2324352479030674</v>
      </c>
      <c r="E197" s="6" t="n">
        <v>0.04000758952108359</v>
      </c>
      <c r="F197" s="6" t="n">
        <v>0.9185437189662378</v>
      </c>
      <c r="G197" s="5" t="n">
        <v>0</v>
      </c>
      <c r="H197" s="5" t="n">
        <v>1</v>
      </c>
      <c r="I197" s="5" t="n">
        <v>0</v>
      </c>
      <c r="J197" s="5" t="n">
        <v>0</v>
      </c>
      <c r="K197" s="5" t="n">
        <v>0</v>
      </c>
      <c r="L197" s="5" t="n">
        <v>0</v>
      </c>
      <c r="M197" s="5" t="n">
        <v>0</v>
      </c>
      <c r="N197" s="5" t="n">
        <v>0</v>
      </c>
      <c r="O197" s="5" t="n">
        <v>0</v>
      </c>
      <c r="P197" s="5" t="n">
        <v>0</v>
      </c>
      <c r="Q197" s="5" t="n">
        <v>0</v>
      </c>
      <c r="R197" s="5" t="n">
        <v>0</v>
      </c>
      <c r="S197" s="5" t="n">
        <v>0</v>
      </c>
      <c r="T197" s="5" t="n">
        <v>0</v>
      </c>
      <c r="U197" s="5" t="inlineStr">
        <is>
          <t>testing</t>
        </is>
      </c>
    </row>
    <row r="198">
      <c r="A198" s="5" t="n">
        <v>194</v>
      </c>
      <c r="B198" s="5" t="n">
        <v>0</v>
      </c>
      <c r="C198" s="6" t="n">
        <v>-1.241254722473026</v>
      </c>
      <c r="D198" s="6" t="n">
        <v>-0.3998209364887449</v>
      </c>
      <c r="E198" s="6" t="n">
        <v>-0.5688035553649698</v>
      </c>
      <c r="F198" s="6" t="n">
        <v>-0.8850484360866833</v>
      </c>
      <c r="G198" s="5" t="n">
        <v>0</v>
      </c>
      <c r="H198" s="5" t="n">
        <v>0</v>
      </c>
      <c r="I198" s="5" t="n">
        <v>0</v>
      </c>
      <c r="J198" s="5" t="n">
        <v>0</v>
      </c>
      <c r="K198" s="5" t="n">
        <v>0</v>
      </c>
      <c r="L198" s="5" t="n">
        <v>0</v>
      </c>
      <c r="M198" s="5" t="n">
        <v>0</v>
      </c>
      <c r="N198" s="5" t="n">
        <v>0</v>
      </c>
      <c r="O198" s="5" t="n">
        <v>0</v>
      </c>
      <c r="P198" s="5" t="n">
        <v>1</v>
      </c>
      <c r="Q198" s="5" t="n">
        <v>0</v>
      </c>
      <c r="R198" s="5" t="n">
        <v>0</v>
      </c>
      <c r="S198" s="5" t="n">
        <v>1</v>
      </c>
      <c r="T198" s="5" t="n">
        <v>0</v>
      </c>
      <c r="U198" s="5" t="inlineStr">
        <is>
          <t>testing</t>
        </is>
      </c>
    </row>
    <row r="199">
      <c r="A199" s="5" t="n">
        <v>195</v>
      </c>
      <c r="B199" s="5" t="n">
        <v>1</v>
      </c>
      <c r="C199" s="6" t="n">
        <v>2.044844377945284</v>
      </c>
      <c r="D199" s="6" t="n">
        <v>-0.07686993582817894</v>
      </c>
      <c r="E199" s="6" t="n">
        <v>-1.264587720949031</v>
      </c>
      <c r="F199" s="6" t="n">
        <v>0.9185437189662378</v>
      </c>
      <c r="G199" s="5" t="n">
        <v>0</v>
      </c>
      <c r="H199" s="5" t="n">
        <v>1</v>
      </c>
      <c r="I199" s="5" t="n">
        <v>0</v>
      </c>
      <c r="J199" s="5" t="n">
        <v>0</v>
      </c>
      <c r="K199" s="5" t="n">
        <v>0</v>
      </c>
      <c r="L199" s="5" t="n">
        <v>0</v>
      </c>
      <c r="M199" s="5" t="n">
        <v>1</v>
      </c>
      <c r="N199" s="5" t="n">
        <v>0</v>
      </c>
      <c r="O199" s="5" t="n">
        <v>0</v>
      </c>
      <c r="P199" s="5" t="n">
        <v>1</v>
      </c>
      <c r="Q199" s="5" t="n">
        <v>0</v>
      </c>
      <c r="R199" s="5" t="n">
        <v>0</v>
      </c>
      <c r="S199" s="5" t="n">
        <v>1</v>
      </c>
      <c r="T199" s="5" t="n">
        <v>0</v>
      </c>
      <c r="U199" s="5" t="inlineStr">
        <is>
          <t>training</t>
        </is>
      </c>
    </row>
    <row r="200">
      <c r="A200" s="5" t="n">
        <v>196</v>
      </c>
      <c r="B200" s="5" t="n">
        <v>1</v>
      </c>
      <c r="C200" s="6" t="n">
        <v>-0.9884778685946948</v>
      </c>
      <c r="D200" s="6" t="n">
        <v>-0.6122058307476437</v>
      </c>
      <c r="E200" s="6" t="n">
        <v>-0.1339384518749317</v>
      </c>
      <c r="F200" s="6" t="n">
        <v>-0.8850484360866833</v>
      </c>
      <c r="G200" s="5" t="n">
        <v>0</v>
      </c>
      <c r="H200" s="5" t="n">
        <v>1</v>
      </c>
      <c r="I200" s="5" t="n">
        <v>0</v>
      </c>
      <c r="J200" s="5" t="n">
        <v>1</v>
      </c>
      <c r="K200" s="5" t="n">
        <v>0</v>
      </c>
      <c r="L200" s="5" t="n">
        <v>0</v>
      </c>
      <c r="M200" s="5" t="n">
        <v>0</v>
      </c>
      <c r="N200" s="5" t="n">
        <v>0</v>
      </c>
      <c r="O200" s="5" t="n">
        <v>0</v>
      </c>
      <c r="P200" s="5" t="n">
        <v>0</v>
      </c>
      <c r="Q200" s="5" t="n">
        <v>0</v>
      </c>
      <c r="R200" s="5" t="n">
        <v>0</v>
      </c>
      <c r="S200" s="5" t="n">
        <v>0</v>
      </c>
      <c r="T200" s="5" t="n">
        <v>0</v>
      </c>
      <c r="U200" s="5" t="inlineStr">
        <is>
          <t>training</t>
        </is>
      </c>
    </row>
    <row r="201">
      <c r="A201" s="5" t="n">
        <v>197</v>
      </c>
      <c r="B201" s="5" t="n">
        <v>0</v>
      </c>
      <c r="C201" s="6" t="n">
        <v>-1.241254722473026</v>
      </c>
      <c r="D201" s="6" t="n">
        <v>-0.6538430670191576</v>
      </c>
      <c r="E201" s="6" t="n">
        <v>-0.6557765760629775</v>
      </c>
      <c r="F201" s="6" t="n">
        <v>-1.786844513613144</v>
      </c>
      <c r="G201" s="5" t="n">
        <v>0</v>
      </c>
      <c r="H201" s="5" t="n">
        <v>0</v>
      </c>
      <c r="I201" s="5" t="n">
        <v>0</v>
      </c>
      <c r="J201" s="5" t="n">
        <v>1</v>
      </c>
      <c r="K201" s="5" t="n">
        <v>0</v>
      </c>
      <c r="L201" s="5" t="n">
        <v>0</v>
      </c>
      <c r="M201" s="5" t="n">
        <v>0</v>
      </c>
      <c r="N201" s="5" t="n">
        <v>0</v>
      </c>
      <c r="O201" s="5" t="n">
        <v>0</v>
      </c>
      <c r="P201" s="5" t="n">
        <v>0</v>
      </c>
      <c r="Q201" s="5" t="n">
        <v>0</v>
      </c>
      <c r="R201" s="5" t="n">
        <v>0</v>
      </c>
      <c r="S201" s="5" t="n">
        <v>1</v>
      </c>
      <c r="T201" s="5" t="n">
        <v>0</v>
      </c>
      <c r="U201" s="5" t="inlineStr">
        <is>
          <t>training</t>
        </is>
      </c>
    </row>
    <row r="202">
      <c r="A202" s="5" t="n">
        <v>198</v>
      </c>
      <c r="B202" s="5" t="n">
        <v>1</v>
      </c>
      <c r="C202" s="6" t="n">
        <v>-0.7357010147163632</v>
      </c>
      <c r="D202" s="6" t="n">
        <v>-0.804646838725229</v>
      </c>
      <c r="E202" s="6" t="n">
        <v>-0.7427495967609852</v>
      </c>
      <c r="F202" s="6" t="n">
        <v>0.9185437189662378</v>
      </c>
      <c r="G202" s="5" t="n">
        <v>0</v>
      </c>
      <c r="H202" s="5" t="n">
        <v>1</v>
      </c>
      <c r="I202" s="5" t="n">
        <v>0</v>
      </c>
      <c r="J202" s="5" t="n">
        <v>0</v>
      </c>
      <c r="K202" s="5" t="n">
        <v>0</v>
      </c>
      <c r="L202" s="5" t="n">
        <v>0</v>
      </c>
      <c r="M202" s="5" t="n">
        <v>1</v>
      </c>
      <c r="N202" s="5" t="n">
        <v>0</v>
      </c>
      <c r="O202" s="5" t="n">
        <v>0</v>
      </c>
      <c r="P202" s="5" t="n">
        <v>1</v>
      </c>
      <c r="Q202" s="5" t="n">
        <v>0</v>
      </c>
      <c r="R202" s="5" t="n">
        <v>0</v>
      </c>
      <c r="S202" s="5" t="n">
        <v>0</v>
      </c>
      <c r="T202" s="5" t="n">
        <v>1</v>
      </c>
      <c r="U202" s="5" t="inlineStr">
        <is>
          <t>training</t>
        </is>
      </c>
    </row>
    <row r="203">
      <c r="A203" s="5" t="n">
        <v>199</v>
      </c>
      <c r="B203" s="5" t="n">
        <v>0</v>
      </c>
      <c r="C203" s="6" t="n">
        <v>0.275406400796963</v>
      </c>
      <c r="D203" s="6" t="n">
        <v>-0.1716908688498619</v>
      </c>
      <c r="E203" s="6" t="n">
        <v>0.04000758952108359</v>
      </c>
      <c r="F203" s="6" t="n">
        <v>0.9185437189662378</v>
      </c>
      <c r="G203" s="5" t="n">
        <v>0</v>
      </c>
      <c r="H203" s="5" t="n">
        <v>1</v>
      </c>
      <c r="I203" s="5" t="n">
        <v>0</v>
      </c>
      <c r="J203" s="5" t="n">
        <v>0</v>
      </c>
      <c r="K203" s="5" t="n">
        <v>0</v>
      </c>
      <c r="L203" s="5" t="n">
        <v>0</v>
      </c>
      <c r="M203" s="5" t="n">
        <v>0</v>
      </c>
      <c r="N203" s="5" t="n">
        <v>0</v>
      </c>
      <c r="O203" s="5" t="n">
        <v>1</v>
      </c>
      <c r="P203" s="5" t="n">
        <v>0</v>
      </c>
      <c r="Q203" s="5" t="n">
        <v>1</v>
      </c>
      <c r="R203" s="5" t="n">
        <v>1</v>
      </c>
      <c r="S203" s="5" t="n">
        <v>0</v>
      </c>
      <c r="T203" s="5" t="n">
        <v>0</v>
      </c>
      <c r="U203" s="5" t="inlineStr">
        <is>
          <t>training</t>
        </is>
      </c>
    </row>
    <row r="204">
      <c r="A204" s="5" t="n">
        <v>200</v>
      </c>
      <c r="B204" s="5" t="n">
        <v>1</v>
      </c>
      <c r="C204" s="6" t="n">
        <v>-0.2301473069597001</v>
      </c>
      <c r="D204" s="6" t="n">
        <v>0.3660942752620449</v>
      </c>
      <c r="E204" s="6" t="n">
        <v>0.3878996723131141</v>
      </c>
      <c r="F204" s="6" t="n">
        <v>0.9185437189662378</v>
      </c>
      <c r="G204" s="5" t="n">
        <v>0</v>
      </c>
      <c r="H204" s="5" t="n">
        <v>1</v>
      </c>
      <c r="I204" s="5" t="n">
        <v>0</v>
      </c>
      <c r="J204" s="5" t="n">
        <v>0</v>
      </c>
      <c r="K204" s="5" t="n">
        <v>1</v>
      </c>
      <c r="L204" s="5" t="n">
        <v>0</v>
      </c>
      <c r="M204" s="5" t="n">
        <v>0</v>
      </c>
      <c r="N204" s="5" t="n">
        <v>0</v>
      </c>
      <c r="O204" s="5" t="n">
        <v>0</v>
      </c>
      <c r="P204" s="5" t="n">
        <v>0</v>
      </c>
      <c r="Q204" s="5" t="n">
        <v>0</v>
      </c>
      <c r="R204" s="5" t="n">
        <v>0</v>
      </c>
      <c r="S204" s="5" t="n">
        <v>0</v>
      </c>
      <c r="T204" s="5" t="n">
        <v>1</v>
      </c>
      <c r="U204" s="5" t="inlineStr">
        <is>
          <t>training</t>
        </is>
      </c>
    </row>
    <row r="205">
      <c r="A205" s="5" t="n">
        <v>201</v>
      </c>
      <c r="B205" s="5" t="n">
        <v>0</v>
      </c>
      <c r="C205" s="6" t="n">
        <v>-0.9884778685946948</v>
      </c>
      <c r="D205" s="6" t="n">
        <v>-0.8098952298518904</v>
      </c>
      <c r="E205" s="6" t="n">
        <v>1.431575920689206</v>
      </c>
      <c r="F205" s="6" t="n">
        <v>0.9185437189662378</v>
      </c>
      <c r="G205" s="5" t="n">
        <v>0</v>
      </c>
      <c r="H205" s="5" t="n">
        <v>0</v>
      </c>
      <c r="I205" s="5" t="n">
        <v>0</v>
      </c>
      <c r="J205" s="5" t="n">
        <v>1</v>
      </c>
      <c r="K205" s="5" t="n">
        <v>0</v>
      </c>
      <c r="L205" s="5" t="n">
        <v>0</v>
      </c>
      <c r="M205" s="5" t="n">
        <v>1</v>
      </c>
      <c r="N205" s="5" t="n">
        <v>0</v>
      </c>
      <c r="O205" s="5" t="n">
        <v>0</v>
      </c>
      <c r="P205" s="5" t="n">
        <v>0</v>
      </c>
      <c r="Q205" s="5" t="n">
        <v>0</v>
      </c>
      <c r="R205" s="5" t="n">
        <v>0</v>
      </c>
      <c r="S205" s="5" t="n">
        <v>0</v>
      </c>
      <c r="T205" s="5" t="n">
        <v>0</v>
      </c>
      <c r="U205" s="5" t="inlineStr">
        <is>
          <t>training</t>
        </is>
      </c>
    </row>
    <row r="206">
      <c r="A206" s="5" t="n">
        <v>202</v>
      </c>
      <c r="B206" s="5" t="n">
        <v>0</v>
      </c>
      <c r="C206" s="6" t="n">
        <v>-0.7357010147163632</v>
      </c>
      <c r="D206" s="6" t="n">
        <v>-0.7287201137595272</v>
      </c>
      <c r="E206" s="6" t="n">
        <v>-0.7427495967609852</v>
      </c>
      <c r="F206" s="6" t="n">
        <v>0.9185437189662378</v>
      </c>
      <c r="G206" s="5" t="n">
        <v>1</v>
      </c>
      <c r="H206" s="5" t="n">
        <v>0</v>
      </c>
      <c r="I206" s="5" t="n">
        <v>0</v>
      </c>
      <c r="J206" s="5" t="n">
        <v>0</v>
      </c>
      <c r="K206" s="5" t="n">
        <v>0</v>
      </c>
      <c r="L206" s="5" t="n">
        <v>0</v>
      </c>
      <c r="M206" s="5" t="n">
        <v>0</v>
      </c>
      <c r="N206" s="5" t="n">
        <v>0</v>
      </c>
      <c r="O206" s="5" t="n">
        <v>0</v>
      </c>
      <c r="P206" s="5" t="n">
        <v>0</v>
      </c>
      <c r="Q206" s="5" t="n">
        <v>0</v>
      </c>
      <c r="R206" s="5" t="n">
        <v>1</v>
      </c>
      <c r="S206" s="5" t="n">
        <v>0</v>
      </c>
      <c r="T206" s="5" t="n">
        <v>0</v>
      </c>
      <c r="U206" s="5" t="inlineStr">
        <is>
          <t>training</t>
        </is>
      </c>
    </row>
    <row r="207">
      <c r="A207" s="5" t="n">
        <v>203</v>
      </c>
      <c r="B207" s="5" t="n">
        <v>0</v>
      </c>
      <c r="C207" s="6" t="n">
        <v>0.5281832546752946</v>
      </c>
      <c r="D207" s="6" t="n">
        <v>0.6530063235195358</v>
      </c>
      <c r="E207" s="6" t="n">
        <v>-0.8297226174589928</v>
      </c>
      <c r="F207" s="6" t="n">
        <v>0.01674764143977723</v>
      </c>
      <c r="G207" s="5" t="n">
        <v>0</v>
      </c>
      <c r="H207" s="5" t="n">
        <v>0</v>
      </c>
      <c r="I207" s="5" t="n">
        <v>0</v>
      </c>
      <c r="J207" s="5" t="n">
        <v>0</v>
      </c>
      <c r="K207" s="5" t="n">
        <v>1</v>
      </c>
      <c r="L207" s="5" t="n">
        <v>0</v>
      </c>
      <c r="M207" s="5" t="n">
        <v>0</v>
      </c>
      <c r="N207" s="5" t="n">
        <v>0</v>
      </c>
      <c r="O207" s="5" t="n">
        <v>0</v>
      </c>
      <c r="P207" s="5" t="n">
        <v>0</v>
      </c>
      <c r="Q207" s="5" t="n">
        <v>0</v>
      </c>
      <c r="R207" s="5" t="n">
        <v>0</v>
      </c>
      <c r="S207" s="5" t="n">
        <v>0</v>
      </c>
      <c r="T207" s="5" t="n">
        <v>0</v>
      </c>
      <c r="U207" s="5" t="inlineStr">
        <is>
          <t>testing</t>
        </is>
      </c>
    </row>
    <row r="208">
      <c r="A208" s="5" t="n">
        <v>204</v>
      </c>
      <c r="B208" s="5" t="n">
        <v>1</v>
      </c>
      <c r="C208" s="6" t="n">
        <v>-0.7357010147163632</v>
      </c>
      <c r="D208" s="6" t="n">
        <v>-0.821791583072323</v>
      </c>
      <c r="E208" s="6" t="n">
        <v>-1.264587720949031</v>
      </c>
      <c r="F208" s="6" t="n">
        <v>0.9185437189662378</v>
      </c>
      <c r="G208" s="5" t="n">
        <v>1</v>
      </c>
      <c r="H208" s="5" t="n">
        <v>0</v>
      </c>
      <c r="I208" s="5" t="n">
        <v>0</v>
      </c>
      <c r="J208" s="5" t="n">
        <v>0</v>
      </c>
      <c r="K208" s="5" t="n">
        <v>0</v>
      </c>
      <c r="L208" s="5" t="n">
        <v>0</v>
      </c>
      <c r="M208" s="5" t="n">
        <v>0</v>
      </c>
      <c r="N208" s="5" t="n">
        <v>0</v>
      </c>
      <c r="O208" s="5" t="n">
        <v>0</v>
      </c>
      <c r="P208" s="5" t="n">
        <v>1</v>
      </c>
      <c r="Q208" s="5" t="n">
        <v>0</v>
      </c>
      <c r="R208" s="5" t="n">
        <v>0</v>
      </c>
      <c r="S208" s="5" t="n">
        <v>0</v>
      </c>
      <c r="T208" s="5" t="n">
        <v>0</v>
      </c>
      <c r="U208" s="5" t="inlineStr">
        <is>
          <t>testing</t>
        </is>
      </c>
    </row>
    <row r="209">
      <c r="A209" s="5" t="n">
        <v>205</v>
      </c>
      <c r="B209" s="5" t="n">
        <v>0</v>
      </c>
      <c r="C209" s="6" t="n">
        <v>-0.7357010147163632</v>
      </c>
      <c r="D209" s="6" t="n">
        <v>-0.6143051871983083</v>
      </c>
      <c r="E209" s="6" t="n">
        <v>0.2139536309170988</v>
      </c>
      <c r="F209" s="6" t="n">
        <v>0.9185437189662378</v>
      </c>
      <c r="G209" s="5" t="n">
        <v>0</v>
      </c>
      <c r="H209" s="5" t="n">
        <v>0</v>
      </c>
      <c r="I209" s="5" t="n">
        <v>0</v>
      </c>
      <c r="J209" s="5" t="n">
        <v>1</v>
      </c>
      <c r="K209" s="5" t="n">
        <v>0</v>
      </c>
      <c r="L209" s="5" t="n">
        <v>0</v>
      </c>
      <c r="M209" s="5" t="n">
        <v>0</v>
      </c>
      <c r="N209" s="5" t="n">
        <v>0</v>
      </c>
      <c r="O209" s="5" t="n">
        <v>0</v>
      </c>
      <c r="P209" s="5" t="n">
        <v>0</v>
      </c>
      <c r="Q209" s="5" t="n">
        <v>0</v>
      </c>
      <c r="R209" s="5" t="n">
        <v>1</v>
      </c>
      <c r="S209" s="5" t="n">
        <v>0</v>
      </c>
      <c r="T209" s="5" t="n">
        <v>0</v>
      </c>
      <c r="U209" s="5" t="inlineStr">
        <is>
          <t>training</t>
        </is>
      </c>
    </row>
    <row r="210">
      <c r="A210" s="5" t="n">
        <v>206</v>
      </c>
      <c r="B210" s="5" t="n">
        <v>0</v>
      </c>
      <c r="C210" s="6" t="n">
        <v>0.7809601085536261</v>
      </c>
      <c r="D210" s="6" t="n">
        <v>2.579515759746054</v>
      </c>
      <c r="E210" s="6" t="n">
        <v>0.2139536309170988</v>
      </c>
      <c r="F210" s="6" t="n">
        <v>0.01674764143977723</v>
      </c>
      <c r="G210" s="5" t="n">
        <v>1</v>
      </c>
      <c r="H210" s="5" t="n">
        <v>0</v>
      </c>
      <c r="I210" s="5" t="n">
        <v>0</v>
      </c>
      <c r="J210" s="5" t="n">
        <v>1</v>
      </c>
      <c r="K210" s="5" t="n">
        <v>0</v>
      </c>
      <c r="L210" s="5" t="n">
        <v>0</v>
      </c>
      <c r="M210" s="5" t="n">
        <v>0</v>
      </c>
      <c r="N210" s="5" t="n">
        <v>0</v>
      </c>
      <c r="O210" s="5" t="n">
        <v>0</v>
      </c>
      <c r="P210" s="5" t="n">
        <v>0</v>
      </c>
      <c r="Q210" s="5" t="n">
        <v>1</v>
      </c>
      <c r="R210" s="5" t="n">
        <v>1</v>
      </c>
      <c r="S210" s="5" t="n">
        <v>0</v>
      </c>
      <c r="T210" s="5" t="n">
        <v>0</v>
      </c>
      <c r="U210" s="5" t="inlineStr">
        <is>
          <t>testing</t>
        </is>
      </c>
    </row>
    <row r="211">
      <c r="A211" s="5" t="n">
        <v>207</v>
      </c>
      <c r="B211" s="5" t="n">
        <v>0</v>
      </c>
      <c r="C211" s="6" t="n">
        <v>-0.7357010147163632</v>
      </c>
      <c r="D211" s="6" t="n">
        <v>-0.46035238081624</v>
      </c>
      <c r="E211" s="6" t="n">
        <v>0.648818734407137</v>
      </c>
      <c r="F211" s="6" t="n">
        <v>0.9185437189662378</v>
      </c>
      <c r="G211" s="5" t="n">
        <v>0</v>
      </c>
      <c r="H211" s="5" t="n">
        <v>0</v>
      </c>
      <c r="I211" s="5" t="n">
        <v>0</v>
      </c>
      <c r="J211" s="5" t="n">
        <v>1</v>
      </c>
      <c r="K211" s="5" t="n">
        <v>0</v>
      </c>
      <c r="L211" s="5" t="n">
        <v>0</v>
      </c>
      <c r="M211" s="5" t="n">
        <v>0</v>
      </c>
      <c r="N211" s="5" t="n">
        <v>0</v>
      </c>
      <c r="O211" s="5" t="n">
        <v>0</v>
      </c>
      <c r="P211" s="5" t="n">
        <v>0</v>
      </c>
      <c r="Q211" s="5" t="n">
        <v>0</v>
      </c>
      <c r="R211" s="5" t="n">
        <v>0</v>
      </c>
      <c r="S211" s="5" t="n">
        <v>0</v>
      </c>
      <c r="T211" s="5" t="n">
        <v>1</v>
      </c>
      <c r="U211" s="5" t="inlineStr">
        <is>
          <t>testing</t>
        </is>
      </c>
    </row>
    <row r="212">
      <c r="A212" s="5" t="n">
        <v>208</v>
      </c>
      <c r="B212" s="5" t="n">
        <v>0</v>
      </c>
      <c r="C212" s="6" t="n">
        <v>-0.7357010147163632</v>
      </c>
      <c r="D212" s="6" t="n">
        <v>-0.6391475718645057</v>
      </c>
      <c r="E212" s="6" t="n">
        <v>-0.8297226174589928</v>
      </c>
      <c r="F212" s="6" t="n">
        <v>0.9185437189662378</v>
      </c>
      <c r="G212" s="5" t="n">
        <v>0</v>
      </c>
      <c r="H212" s="5" t="n">
        <v>1</v>
      </c>
      <c r="I212" s="5" t="n">
        <v>0</v>
      </c>
      <c r="J212" s="5" t="n">
        <v>1</v>
      </c>
      <c r="K212" s="5" t="n">
        <v>0</v>
      </c>
      <c r="L212" s="5" t="n">
        <v>0</v>
      </c>
      <c r="M212" s="5" t="n">
        <v>0</v>
      </c>
      <c r="N212" s="5" t="n">
        <v>0</v>
      </c>
      <c r="O212" s="5" t="n">
        <v>0</v>
      </c>
      <c r="P212" s="5" t="n">
        <v>0</v>
      </c>
      <c r="Q212" s="5" t="n">
        <v>0</v>
      </c>
      <c r="R212" s="5" t="n">
        <v>0</v>
      </c>
      <c r="S212" s="5" t="n">
        <v>0</v>
      </c>
      <c r="T212" s="5" t="n">
        <v>0</v>
      </c>
      <c r="U212" s="5" t="inlineStr">
        <is>
          <t>training</t>
        </is>
      </c>
    </row>
    <row r="213">
      <c r="A213" s="5" t="n">
        <v>209</v>
      </c>
      <c r="B213" s="5" t="n">
        <v>0</v>
      </c>
      <c r="C213" s="6" t="n">
        <v>0.275406400796963</v>
      </c>
      <c r="D213" s="6" t="n">
        <v>1.160700691838584</v>
      </c>
      <c r="E213" s="6" t="n">
        <v>-1.264587720949031</v>
      </c>
      <c r="F213" s="6" t="n">
        <v>-0.8850484360866833</v>
      </c>
      <c r="G213" s="5" t="n">
        <v>1</v>
      </c>
      <c r="H213" s="5" t="n">
        <v>0</v>
      </c>
      <c r="I213" s="5" t="n">
        <v>0</v>
      </c>
      <c r="J213" s="5" t="n">
        <v>0</v>
      </c>
      <c r="K213" s="5" t="n">
        <v>0</v>
      </c>
      <c r="L213" s="5" t="n">
        <v>0</v>
      </c>
      <c r="M213" s="5" t="n">
        <v>0</v>
      </c>
      <c r="N213" s="5" t="n">
        <v>0</v>
      </c>
      <c r="O213" s="5" t="n">
        <v>0</v>
      </c>
      <c r="P213" s="5" t="n">
        <v>0</v>
      </c>
      <c r="Q213" s="5" t="n">
        <v>0</v>
      </c>
      <c r="R213" s="5" t="n">
        <v>0</v>
      </c>
      <c r="S213" s="5" t="n">
        <v>0</v>
      </c>
      <c r="T213" s="5" t="n">
        <v>0</v>
      </c>
      <c r="U213" s="5" t="inlineStr">
        <is>
          <t>training</t>
        </is>
      </c>
    </row>
    <row r="214">
      <c r="A214" s="5" t="n">
        <v>210</v>
      </c>
      <c r="B214" s="5" t="n">
        <v>0</v>
      </c>
      <c r="C214" s="6" t="n">
        <v>-0.7357010147163632</v>
      </c>
      <c r="D214" s="6" t="n">
        <v>-0.6429963920240573</v>
      </c>
      <c r="E214" s="6" t="n">
        <v>1.692494982783229</v>
      </c>
      <c r="F214" s="6" t="n">
        <v>0.01674764143977723</v>
      </c>
      <c r="G214" s="5" t="n">
        <v>0</v>
      </c>
      <c r="H214" s="5" t="n">
        <v>0</v>
      </c>
      <c r="I214" s="5" t="n">
        <v>0</v>
      </c>
      <c r="J214" s="5" t="n">
        <v>0</v>
      </c>
      <c r="K214" s="5" t="n">
        <v>0</v>
      </c>
      <c r="L214" s="5" t="n">
        <v>0</v>
      </c>
      <c r="M214" s="5" t="n">
        <v>0</v>
      </c>
      <c r="N214" s="5" t="n">
        <v>1</v>
      </c>
      <c r="O214" s="5" t="n">
        <v>0</v>
      </c>
      <c r="P214" s="5" t="n">
        <v>0</v>
      </c>
      <c r="Q214" s="5" t="n">
        <v>0</v>
      </c>
      <c r="R214" s="5" t="n">
        <v>1</v>
      </c>
      <c r="S214" s="5" t="n">
        <v>0</v>
      </c>
      <c r="T214" s="5" t="n">
        <v>0</v>
      </c>
      <c r="U214" s="5" t="inlineStr">
        <is>
          <t>training</t>
        </is>
      </c>
    </row>
    <row r="215">
      <c r="A215" s="5" t="n">
        <v>211</v>
      </c>
      <c r="B215" s="5" t="n">
        <v>0</v>
      </c>
      <c r="C215" s="6" t="n">
        <v>-0.9884778685946948</v>
      </c>
      <c r="D215" s="6" t="n">
        <v>-0.06182454793174954</v>
      </c>
      <c r="E215" s="6" t="n">
        <v>-0.2209114725729393</v>
      </c>
      <c r="F215" s="6" t="n">
        <v>-1.786844513613144</v>
      </c>
      <c r="G215" s="5" t="n">
        <v>0</v>
      </c>
      <c r="H215" s="5" t="n">
        <v>0</v>
      </c>
      <c r="I215" s="5" t="n">
        <v>0</v>
      </c>
      <c r="J215" s="5" t="n">
        <v>1</v>
      </c>
      <c r="K215" s="5" t="n">
        <v>0</v>
      </c>
      <c r="L215" s="5" t="n">
        <v>0</v>
      </c>
      <c r="M215" s="5" t="n">
        <v>0</v>
      </c>
      <c r="N215" s="5" t="n">
        <v>0</v>
      </c>
      <c r="O215" s="5" t="n">
        <v>1</v>
      </c>
      <c r="P215" s="5" t="n">
        <v>0</v>
      </c>
      <c r="Q215" s="5" t="n">
        <v>0</v>
      </c>
      <c r="R215" s="5" t="n">
        <v>0</v>
      </c>
      <c r="S215" s="5" t="n">
        <v>1</v>
      </c>
      <c r="T215" s="5" t="n">
        <v>0</v>
      </c>
      <c r="U215" s="5" t="inlineStr">
        <is>
          <t>training</t>
        </is>
      </c>
    </row>
    <row r="216">
      <c r="A216" s="5" t="n">
        <v>212</v>
      </c>
      <c r="B216" s="5" t="n">
        <v>0</v>
      </c>
      <c r="C216" s="6" t="n">
        <v>1.286513816310289</v>
      </c>
      <c r="D216" s="6" t="n">
        <v>0.2044438285608731</v>
      </c>
      <c r="E216" s="6" t="n">
        <v>0.8227647758031523</v>
      </c>
      <c r="F216" s="6" t="n">
        <v>-0.8850484360866833</v>
      </c>
      <c r="G216" s="5" t="n">
        <v>0</v>
      </c>
      <c r="H216" s="5" t="n">
        <v>0</v>
      </c>
      <c r="I216" s="5" t="n">
        <v>0</v>
      </c>
      <c r="J216" s="5" t="n">
        <v>0</v>
      </c>
      <c r="K216" s="5" t="n">
        <v>0</v>
      </c>
      <c r="L216" s="5" t="n">
        <v>0</v>
      </c>
      <c r="M216" s="5" t="n">
        <v>0</v>
      </c>
      <c r="N216" s="5" t="n">
        <v>0</v>
      </c>
      <c r="O216" s="5" t="n">
        <v>1</v>
      </c>
      <c r="P216" s="5" t="n">
        <v>0</v>
      </c>
      <c r="Q216" s="5" t="n">
        <v>0</v>
      </c>
      <c r="R216" s="5" t="n">
        <v>0</v>
      </c>
      <c r="S216" s="5" t="n">
        <v>1</v>
      </c>
      <c r="T216" s="5" t="n">
        <v>0</v>
      </c>
      <c r="U216" s="5" t="inlineStr">
        <is>
          <t>training</t>
        </is>
      </c>
    </row>
    <row r="217">
      <c r="A217" s="5" t="n">
        <v>213</v>
      </c>
      <c r="B217" s="5" t="n">
        <v>1</v>
      </c>
      <c r="C217" s="6" t="n">
        <v>0.5281832546752946</v>
      </c>
      <c r="D217" s="6" t="n">
        <v>0.714587446072363</v>
      </c>
      <c r="E217" s="6" t="n">
        <v>1.257629879293191</v>
      </c>
      <c r="F217" s="6" t="n">
        <v>-0.8850484360866833</v>
      </c>
      <c r="G217" s="5" t="n">
        <v>1</v>
      </c>
      <c r="H217" s="5" t="n">
        <v>0</v>
      </c>
      <c r="I217" s="5" t="n">
        <v>0</v>
      </c>
      <c r="J217" s="5" t="n">
        <v>0</v>
      </c>
      <c r="K217" s="5" t="n">
        <v>0</v>
      </c>
      <c r="L217" s="5" t="n">
        <v>1</v>
      </c>
      <c r="M217" s="5" t="n">
        <v>0</v>
      </c>
      <c r="N217" s="5" t="n">
        <v>0</v>
      </c>
      <c r="O217" s="5" t="n">
        <v>0</v>
      </c>
      <c r="P217" s="5" t="n">
        <v>0</v>
      </c>
      <c r="Q217" s="5" t="n">
        <v>0</v>
      </c>
      <c r="R217" s="5" t="n">
        <v>0</v>
      </c>
      <c r="S217" s="5" t="n">
        <v>0</v>
      </c>
      <c r="T217" s="5" t="n">
        <v>0</v>
      </c>
      <c r="U217" s="5" t="inlineStr">
        <is>
          <t>testing</t>
        </is>
      </c>
    </row>
    <row r="218">
      <c r="A218" s="5" t="n">
        <v>214</v>
      </c>
      <c r="B218" s="5" t="n">
        <v>1</v>
      </c>
      <c r="C218" s="6" t="n">
        <v>0.7809601085536261</v>
      </c>
      <c r="D218" s="6" t="n">
        <v>-0.4697994848442305</v>
      </c>
      <c r="E218" s="6" t="n">
        <v>2.649198210461313</v>
      </c>
      <c r="F218" s="6" t="n">
        <v>0.9185437189662378</v>
      </c>
      <c r="G218" s="5" t="n">
        <v>0</v>
      </c>
      <c r="H218" s="5" t="n">
        <v>0</v>
      </c>
      <c r="I218" s="5" t="n">
        <v>1</v>
      </c>
      <c r="J218" s="5" t="n">
        <v>0</v>
      </c>
      <c r="K218" s="5" t="n">
        <v>1</v>
      </c>
      <c r="L218" s="5" t="n">
        <v>0</v>
      </c>
      <c r="M218" s="5" t="n">
        <v>0</v>
      </c>
      <c r="N218" s="5" t="n">
        <v>0</v>
      </c>
      <c r="O218" s="5" t="n">
        <v>0</v>
      </c>
      <c r="P218" s="5" t="n">
        <v>0</v>
      </c>
      <c r="Q218" s="5" t="n">
        <v>0</v>
      </c>
      <c r="R218" s="5" t="n">
        <v>0</v>
      </c>
      <c r="S218" s="5" t="n">
        <v>0</v>
      </c>
      <c r="T218" s="5" t="n">
        <v>0</v>
      </c>
      <c r="U218" s="5" t="inlineStr">
        <is>
          <t>testing</t>
        </is>
      </c>
    </row>
    <row r="219">
      <c r="A219" s="5" t="n">
        <v>215</v>
      </c>
      <c r="B219" s="5" t="n">
        <v>0</v>
      </c>
      <c r="C219" s="6" t="n">
        <v>1.286513816310289</v>
      </c>
      <c r="D219" s="6" t="n">
        <v>0.03194670686460115</v>
      </c>
      <c r="E219" s="6" t="n">
        <v>1.344602899991198</v>
      </c>
      <c r="F219" s="6" t="n">
        <v>0.9185437189662378</v>
      </c>
      <c r="G219" s="5" t="n">
        <v>0</v>
      </c>
      <c r="H219" s="5" t="n">
        <v>0</v>
      </c>
      <c r="I219" s="5" t="n">
        <v>0</v>
      </c>
      <c r="J219" s="5" t="n">
        <v>1</v>
      </c>
      <c r="K219" s="5" t="n">
        <v>0</v>
      </c>
      <c r="L219" s="5" t="n">
        <v>0</v>
      </c>
      <c r="M219" s="5" t="n">
        <v>0</v>
      </c>
      <c r="N219" s="5" t="n">
        <v>0</v>
      </c>
      <c r="O219" s="5" t="n">
        <v>1</v>
      </c>
      <c r="P219" s="5" t="n">
        <v>0</v>
      </c>
      <c r="Q219" s="5" t="n">
        <v>0</v>
      </c>
      <c r="R219" s="5" t="n">
        <v>0</v>
      </c>
      <c r="S219" s="5" t="n">
        <v>1</v>
      </c>
      <c r="T219" s="5" t="n">
        <v>0</v>
      </c>
      <c r="U219" s="5" t="inlineStr">
        <is>
          <t>training</t>
        </is>
      </c>
    </row>
    <row r="220">
      <c r="A220" s="5" t="n">
        <v>216</v>
      </c>
      <c r="B220" s="5" t="n">
        <v>0</v>
      </c>
      <c r="C220" s="6" t="n">
        <v>-1.241254722473026</v>
      </c>
      <c r="D220" s="6" t="n">
        <v>-0.8112948008190002</v>
      </c>
      <c r="E220" s="6" t="n">
        <v>0.3009266516151065</v>
      </c>
      <c r="F220" s="6" t="n">
        <v>-1.786844513613144</v>
      </c>
      <c r="G220" s="5" t="n">
        <v>0</v>
      </c>
      <c r="H220" s="5" t="n">
        <v>1</v>
      </c>
      <c r="I220" s="5" t="n">
        <v>0</v>
      </c>
      <c r="J220" s="5" t="n">
        <v>1</v>
      </c>
      <c r="K220" s="5" t="n">
        <v>0</v>
      </c>
      <c r="L220" s="5" t="n">
        <v>0</v>
      </c>
      <c r="M220" s="5" t="n">
        <v>0</v>
      </c>
      <c r="N220" s="5" t="n">
        <v>0</v>
      </c>
      <c r="O220" s="5" t="n">
        <v>1</v>
      </c>
      <c r="P220" s="5" t="n">
        <v>0</v>
      </c>
      <c r="Q220" s="5" t="n">
        <v>0</v>
      </c>
      <c r="R220" s="5" t="n">
        <v>0</v>
      </c>
      <c r="S220" s="5" t="n">
        <v>0</v>
      </c>
      <c r="T220" s="5" t="n">
        <v>0</v>
      </c>
      <c r="U220" s="5" t="inlineStr">
        <is>
          <t>training</t>
        </is>
      </c>
    </row>
    <row r="221">
      <c r="A221" s="5" t="n">
        <v>217</v>
      </c>
      <c r="B221" s="5" t="n">
        <v>0</v>
      </c>
      <c r="C221" s="6" t="n">
        <v>-0.2301473069597001</v>
      </c>
      <c r="D221" s="6" t="n">
        <v>-0.0513277656784267</v>
      </c>
      <c r="E221" s="6" t="n">
        <v>-0.3948575139689546</v>
      </c>
      <c r="F221" s="6" t="n">
        <v>0.01674764143977723</v>
      </c>
      <c r="G221" s="5" t="n">
        <v>1</v>
      </c>
      <c r="H221" s="5" t="n">
        <v>0</v>
      </c>
      <c r="I221" s="5" t="n">
        <v>0</v>
      </c>
      <c r="J221" s="5" t="n">
        <v>0</v>
      </c>
      <c r="K221" s="5" t="n">
        <v>0</v>
      </c>
      <c r="L221" s="5" t="n">
        <v>1</v>
      </c>
      <c r="M221" s="5" t="n">
        <v>0</v>
      </c>
      <c r="N221" s="5" t="n">
        <v>0</v>
      </c>
      <c r="O221" s="5" t="n">
        <v>0</v>
      </c>
      <c r="P221" s="5" t="n">
        <v>0</v>
      </c>
      <c r="Q221" s="5" t="n">
        <v>0</v>
      </c>
      <c r="R221" s="5" t="n">
        <v>0</v>
      </c>
      <c r="S221" s="5" t="n">
        <v>0</v>
      </c>
      <c r="T221" s="5" t="n">
        <v>0</v>
      </c>
      <c r="U221" s="5" t="inlineStr">
        <is>
          <t>testing</t>
        </is>
      </c>
    </row>
    <row r="222">
      <c r="A222" s="5" t="n">
        <v>218</v>
      </c>
      <c r="B222" s="5" t="n">
        <v>0</v>
      </c>
      <c r="C222" s="6" t="n">
        <v>1.286513816310289</v>
      </c>
      <c r="D222" s="6" t="n">
        <v>0.2317354624195125</v>
      </c>
      <c r="E222" s="6" t="n">
        <v>-1.090641679553016</v>
      </c>
      <c r="F222" s="6" t="n">
        <v>-0.8850484360866833</v>
      </c>
      <c r="G222" s="5" t="n">
        <v>0</v>
      </c>
      <c r="H222" s="5" t="n">
        <v>0</v>
      </c>
      <c r="I222" s="5" t="n">
        <v>1</v>
      </c>
      <c r="J222" s="5" t="n">
        <v>0</v>
      </c>
      <c r="K222" s="5" t="n">
        <v>0</v>
      </c>
      <c r="L222" s="5" t="n">
        <v>0</v>
      </c>
      <c r="M222" s="5" t="n">
        <v>0</v>
      </c>
      <c r="N222" s="5" t="n">
        <v>0</v>
      </c>
      <c r="O222" s="5" t="n">
        <v>0</v>
      </c>
      <c r="P222" s="5" t="n">
        <v>0</v>
      </c>
      <c r="Q222" s="5" t="n">
        <v>0</v>
      </c>
      <c r="R222" s="5" t="n">
        <v>0</v>
      </c>
      <c r="S222" s="5" t="n">
        <v>1</v>
      </c>
      <c r="T222" s="5" t="n">
        <v>0</v>
      </c>
      <c r="U222" s="5" t="inlineStr">
        <is>
          <t>training</t>
        </is>
      </c>
    </row>
    <row r="223">
      <c r="A223" s="5" t="n">
        <v>219</v>
      </c>
      <c r="B223" s="5" t="n">
        <v>0</v>
      </c>
      <c r="C223" s="6" t="n">
        <v>0.275406400796963</v>
      </c>
      <c r="D223" s="6" t="n">
        <v>-0.08036886324595323</v>
      </c>
      <c r="E223" s="6" t="n">
        <v>-1.003668658855008</v>
      </c>
      <c r="F223" s="6" t="n">
        <v>-0.8850484360866833</v>
      </c>
      <c r="G223" s="5" t="n">
        <v>1</v>
      </c>
      <c r="H223" s="5" t="n">
        <v>0</v>
      </c>
      <c r="I223" s="5" t="n">
        <v>0</v>
      </c>
      <c r="J223" s="5" t="n">
        <v>0</v>
      </c>
      <c r="K223" s="5" t="n">
        <v>0</v>
      </c>
      <c r="L223" s="5" t="n">
        <v>0</v>
      </c>
      <c r="M223" s="5" t="n">
        <v>0</v>
      </c>
      <c r="N223" s="5" t="n">
        <v>0</v>
      </c>
      <c r="O223" s="5" t="n">
        <v>0</v>
      </c>
      <c r="P223" s="5" t="n">
        <v>1</v>
      </c>
      <c r="Q223" s="5" t="n">
        <v>0</v>
      </c>
      <c r="R223" s="5" t="n">
        <v>0</v>
      </c>
      <c r="S223" s="5" t="n">
        <v>0</v>
      </c>
      <c r="T223" s="5" t="n">
        <v>1</v>
      </c>
      <c r="U223" s="5" t="inlineStr">
        <is>
          <t>testing</t>
        </is>
      </c>
    </row>
    <row r="224">
      <c r="A224" s="5" t="n">
        <v>220</v>
      </c>
      <c r="B224" s="5" t="n">
        <v>0</v>
      </c>
      <c r="C224" s="6" t="n">
        <v>-0.9042189173019176</v>
      </c>
      <c r="D224" s="6" t="n">
        <v>-0.6601411363711513</v>
      </c>
      <c r="E224" s="6" t="n">
        <v>2.475252169065298</v>
      </c>
      <c r="F224" s="6" t="n">
        <v>-0.8850484360866833</v>
      </c>
      <c r="G224" s="5" t="n">
        <v>0</v>
      </c>
      <c r="H224" s="5" t="n">
        <v>0</v>
      </c>
      <c r="I224" s="5" t="n">
        <v>0</v>
      </c>
      <c r="J224" s="5" t="n">
        <v>0</v>
      </c>
      <c r="K224" s="5" t="n">
        <v>0</v>
      </c>
      <c r="L224" s="5" t="n">
        <v>0</v>
      </c>
      <c r="M224" s="5" t="n">
        <v>0</v>
      </c>
      <c r="N224" s="5" t="n">
        <v>0</v>
      </c>
      <c r="O224" s="5" t="n">
        <v>0</v>
      </c>
      <c r="P224" s="5" t="n">
        <v>0</v>
      </c>
      <c r="Q224" s="5" t="n">
        <v>0</v>
      </c>
      <c r="R224" s="5" t="n">
        <v>1</v>
      </c>
      <c r="S224" s="5" t="n">
        <v>0</v>
      </c>
      <c r="T224" s="5" t="n">
        <v>0</v>
      </c>
      <c r="U224" s="5" t="inlineStr">
        <is>
          <t>training</t>
        </is>
      </c>
    </row>
    <row r="225">
      <c r="A225" s="5" t="n">
        <v>221</v>
      </c>
      <c r="B225" s="5" t="n">
        <v>0</v>
      </c>
      <c r="C225" s="6" t="n">
        <v>-0.7357010147163632</v>
      </c>
      <c r="D225" s="6" t="n">
        <v>-0.9187118725446706</v>
      </c>
      <c r="E225" s="6" t="n">
        <v>-0.8297226174589928</v>
      </c>
      <c r="F225" s="6" t="n">
        <v>0.9185437189662378</v>
      </c>
      <c r="G225" s="5" t="n">
        <v>0</v>
      </c>
      <c r="H225" s="5" t="n">
        <v>1</v>
      </c>
      <c r="I225" s="5" t="n">
        <v>0</v>
      </c>
      <c r="J225" s="5" t="n">
        <v>0</v>
      </c>
      <c r="K225" s="5" t="n">
        <v>0</v>
      </c>
      <c r="L225" s="5" t="n">
        <v>0</v>
      </c>
      <c r="M225" s="5" t="n">
        <v>0</v>
      </c>
      <c r="N225" s="5" t="n">
        <v>0</v>
      </c>
      <c r="O225" s="5" t="n">
        <v>0</v>
      </c>
      <c r="P225" s="5" t="n">
        <v>0</v>
      </c>
      <c r="Q225" s="5" t="n">
        <v>0</v>
      </c>
      <c r="R225" s="5" t="n">
        <v>0</v>
      </c>
      <c r="S225" s="5" t="n">
        <v>1</v>
      </c>
      <c r="T225" s="5" t="n">
        <v>0</v>
      </c>
      <c r="U225" s="5" t="inlineStr">
        <is>
          <t>testing</t>
        </is>
      </c>
    </row>
    <row r="226">
      <c r="A226" s="5" t="n">
        <v>222</v>
      </c>
      <c r="B226" s="5" t="n">
        <v>0</v>
      </c>
      <c r="C226" s="6" t="n">
        <v>-0.7357010147163632</v>
      </c>
      <c r="D226" s="6" t="n">
        <v>-0.7175235460226496</v>
      </c>
      <c r="E226" s="6" t="n">
        <v>-1.090641679553016</v>
      </c>
      <c r="F226" s="6" t="n">
        <v>0.9185437189662378</v>
      </c>
      <c r="G226" s="5" t="n">
        <v>1</v>
      </c>
      <c r="H226" s="5" t="n">
        <v>0</v>
      </c>
      <c r="I226" s="5" t="n">
        <v>0</v>
      </c>
      <c r="J226" s="5" t="n">
        <v>0</v>
      </c>
      <c r="K226" s="5" t="n">
        <v>0</v>
      </c>
      <c r="L226" s="5" t="n">
        <v>0</v>
      </c>
      <c r="M226" s="5" t="n">
        <v>0</v>
      </c>
      <c r="N226" s="5" t="n">
        <v>0</v>
      </c>
      <c r="O226" s="5" t="n">
        <v>1</v>
      </c>
      <c r="P226" s="5" t="n">
        <v>1</v>
      </c>
      <c r="Q226" s="5" t="n">
        <v>0</v>
      </c>
      <c r="R226" s="5" t="n">
        <v>0</v>
      </c>
      <c r="S226" s="5" t="n">
        <v>0</v>
      </c>
      <c r="T226" s="5" t="n">
        <v>0</v>
      </c>
      <c r="U226" s="5" t="inlineStr">
        <is>
          <t>testing</t>
        </is>
      </c>
    </row>
    <row r="227">
      <c r="A227" s="5" t="n">
        <v>223</v>
      </c>
      <c r="B227" s="5" t="n">
        <v>0</v>
      </c>
      <c r="C227" s="6" t="n">
        <v>-0.7357010147163632</v>
      </c>
      <c r="D227" s="6" t="n">
        <v>-0.8900206677189215</v>
      </c>
      <c r="E227" s="6" t="n">
        <v>-0.4818305346669622</v>
      </c>
      <c r="F227" s="6" t="n">
        <v>0.9185437189662378</v>
      </c>
      <c r="G227" s="5" t="n">
        <v>0</v>
      </c>
      <c r="H227" s="5" t="n">
        <v>0</v>
      </c>
      <c r="I227" s="5" t="n">
        <v>0</v>
      </c>
      <c r="J227" s="5" t="n">
        <v>0</v>
      </c>
      <c r="K227" s="5" t="n">
        <v>0</v>
      </c>
      <c r="L227" s="5" t="n">
        <v>0</v>
      </c>
      <c r="M227" s="5" t="n">
        <v>0</v>
      </c>
      <c r="N227" s="5" t="n">
        <v>0</v>
      </c>
      <c r="O227" s="5" t="n">
        <v>0</v>
      </c>
      <c r="P227" s="5" t="n">
        <v>0</v>
      </c>
      <c r="Q227" s="5" t="n">
        <v>0</v>
      </c>
      <c r="R227" s="5" t="n">
        <v>0</v>
      </c>
      <c r="S227" s="5" t="n">
        <v>1</v>
      </c>
      <c r="T227" s="5" t="n">
        <v>0</v>
      </c>
      <c r="U227" s="5" t="inlineStr">
        <is>
          <t>training</t>
        </is>
      </c>
    </row>
    <row r="228">
      <c r="A228" s="5" t="n">
        <v>224</v>
      </c>
      <c r="B228" s="5" t="n">
        <v>0</v>
      </c>
      <c r="C228" s="6" t="n">
        <v>0.275406400796963</v>
      </c>
      <c r="D228" s="6" t="n">
        <v>-0.09541425114238263</v>
      </c>
      <c r="E228" s="6" t="n">
        <v>-0.307884493270947</v>
      </c>
      <c r="F228" s="6" t="n">
        <v>0.9185437189662378</v>
      </c>
      <c r="G228" s="5" t="n">
        <v>0</v>
      </c>
      <c r="H228" s="5" t="n">
        <v>0</v>
      </c>
      <c r="I228" s="5" t="n">
        <v>0</v>
      </c>
      <c r="J228" s="5" t="n">
        <v>0</v>
      </c>
      <c r="K228" s="5" t="n">
        <v>1</v>
      </c>
      <c r="L228" s="5" t="n">
        <v>0</v>
      </c>
      <c r="M228" s="5" t="n">
        <v>0</v>
      </c>
      <c r="N228" s="5" t="n">
        <v>0</v>
      </c>
      <c r="O228" s="5" t="n">
        <v>1</v>
      </c>
      <c r="P228" s="5" t="n">
        <v>0</v>
      </c>
      <c r="Q228" s="5" t="n">
        <v>0</v>
      </c>
      <c r="R228" s="5" t="n">
        <v>0</v>
      </c>
      <c r="S228" s="5" t="n">
        <v>0</v>
      </c>
      <c r="T228" s="5" t="n">
        <v>0</v>
      </c>
      <c r="U228" s="5" t="inlineStr">
        <is>
          <t>training</t>
        </is>
      </c>
    </row>
    <row r="229">
      <c r="A229" s="5" t="n">
        <v>225</v>
      </c>
      <c r="B229" s="5" t="n">
        <v>0</v>
      </c>
      <c r="C229" s="6" t="n">
        <v>-0.4829241608380317</v>
      </c>
      <c r="D229" s="6" t="n">
        <v>0.4920556623019189</v>
      </c>
      <c r="E229" s="6" t="n">
        <v>-0.4818305346669622</v>
      </c>
      <c r="F229" s="6" t="n">
        <v>0.01674764143977723</v>
      </c>
      <c r="G229" s="5" t="n">
        <v>0</v>
      </c>
      <c r="H229" s="5" t="n">
        <v>0</v>
      </c>
      <c r="I229" s="5" t="n">
        <v>0</v>
      </c>
      <c r="J229" s="5" t="n">
        <v>0</v>
      </c>
      <c r="K229" s="5" t="n">
        <v>0</v>
      </c>
      <c r="L229" s="5" t="n">
        <v>0</v>
      </c>
      <c r="M229" s="5" t="n">
        <v>0</v>
      </c>
      <c r="N229" s="5" t="n">
        <v>0</v>
      </c>
      <c r="O229" s="5" t="n">
        <v>0</v>
      </c>
      <c r="P229" s="5" t="n">
        <v>0</v>
      </c>
      <c r="Q229" s="5" t="n">
        <v>0</v>
      </c>
      <c r="R229" s="5" t="n">
        <v>1</v>
      </c>
      <c r="S229" s="5" t="n">
        <v>0</v>
      </c>
      <c r="T229" s="5" t="n">
        <v>0</v>
      </c>
      <c r="U229" s="5" t="inlineStr">
        <is>
          <t>training</t>
        </is>
      </c>
    </row>
    <row r="230">
      <c r="A230" s="5" t="n">
        <v>226</v>
      </c>
      <c r="B230" s="5" t="n">
        <v>0</v>
      </c>
      <c r="C230" s="6" t="n">
        <v>1.286513816310289</v>
      </c>
      <c r="D230" s="6" t="n">
        <v>-0.2231251018911438</v>
      </c>
      <c r="E230" s="6" t="n">
        <v>-0.7427495967609852</v>
      </c>
      <c r="F230" s="6" t="n">
        <v>0.9185437189662378</v>
      </c>
      <c r="G230" s="5" t="n">
        <v>0</v>
      </c>
      <c r="H230" s="5" t="n">
        <v>0</v>
      </c>
      <c r="I230" s="5" t="n">
        <v>0</v>
      </c>
      <c r="J230" s="5" t="n">
        <v>0</v>
      </c>
      <c r="K230" s="5" t="n">
        <v>0</v>
      </c>
      <c r="L230" s="5" t="n">
        <v>1</v>
      </c>
      <c r="M230" s="5" t="n">
        <v>0</v>
      </c>
      <c r="N230" s="5" t="n">
        <v>0</v>
      </c>
      <c r="O230" s="5" t="n">
        <v>0</v>
      </c>
      <c r="P230" s="5" t="n">
        <v>0</v>
      </c>
      <c r="Q230" s="5" t="n">
        <v>0</v>
      </c>
      <c r="R230" s="5" t="n">
        <v>0</v>
      </c>
      <c r="S230" s="5" t="n">
        <v>0</v>
      </c>
      <c r="T230" s="5" t="n">
        <v>0</v>
      </c>
      <c r="U230" s="5" t="inlineStr">
        <is>
          <t>training</t>
        </is>
      </c>
    </row>
    <row r="231">
      <c r="A231" s="5" t="n">
        <v>227</v>
      </c>
      <c r="B231" s="5" t="n">
        <v>1</v>
      </c>
      <c r="C231" s="6" t="n">
        <v>2.297621231823615</v>
      </c>
      <c r="D231" s="6" t="n">
        <v>2.697779506466825</v>
      </c>
      <c r="E231" s="6" t="n">
        <v>-0.7427495967609852</v>
      </c>
      <c r="F231" s="6" t="n">
        <v>-1.786844513613144</v>
      </c>
      <c r="G231" s="5" t="n">
        <v>0</v>
      </c>
      <c r="H231" s="5" t="n">
        <v>1</v>
      </c>
      <c r="I231" s="5" t="n">
        <v>0</v>
      </c>
      <c r="J231" s="5" t="n">
        <v>0</v>
      </c>
      <c r="K231" s="5" t="n">
        <v>0</v>
      </c>
      <c r="L231" s="5" t="n">
        <v>0</v>
      </c>
      <c r="M231" s="5" t="n">
        <v>0</v>
      </c>
      <c r="N231" s="5" t="n">
        <v>1</v>
      </c>
      <c r="O231" s="5" t="n">
        <v>0</v>
      </c>
      <c r="P231" s="5" t="n">
        <v>0</v>
      </c>
      <c r="Q231" s="5" t="n">
        <v>0</v>
      </c>
      <c r="R231" s="5" t="n">
        <v>0</v>
      </c>
      <c r="S231" s="5" t="n">
        <v>1</v>
      </c>
      <c r="T231" s="5" t="n">
        <v>0</v>
      </c>
      <c r="U231" s="5" t="inlineStr">
        <is>
          <t>training</t>
        </is>
      </c>
    </row>
    <row r="232">
      <c r="A232" s="5" t="n">
        <v>228</v>
      </c>
      <c r="B232" s="5" t="n">
        <v>1</v>
      </c>
      <c r="C232" s="6" t="n">
        <v>-0.7357010147163632</v>
      </c>
      <c r="D232" s="6" t="n">
        <v>1.614511577923908</v>
      </c>
      <c r="E232" s="6" t="n">
        <v>1.518548941387213</v>
      </c>
      <c r="F232" s="6" t="n">
        <v>0.9185437189662378</v>
      </c>
      <c r="G232" s="5" t="n">
        <v>1</v>
      </c>
      <c r="H232" s="5" t="n">
        <v>0</v>
      </c>
      <c r="I232" s="5" t="n">
        <v>0</v>
      </c>
      <c r="J232" s="5" t="n">
        <v>0</v>
      </c>
      <c r="K232" s="5" t="n">
        <v>0</v>
      </c>
      <c r="L232" s="5" t="n">
        <v>0</v>
      </c>
      <c r="M232" s="5" t="n">
        <v>0</v>
      </c>
      <c r="N232" s="5" t="n">
        <v>0</v>
      </c>
      <c r="O232" s="5" t="n">
        <v>0</v>
      </c>
      <c r="P232" s="5" t="n">
        <v>0</v>
      </c>
      <c r="Q232" s="5" t="n">
        <v>1</v>
      </c>
      <c r="R232" s="5" t="n">
        <v>0</v>
      </c>
      <c r="S232" s="5" t="n">
        <v>0</v>
      </c>
      <c r="T232" s="5" t="n">
        <v>1</v>
      </c>
      <c r="U232" s="5" t="inlineStr">
        <is>
          <t>training</t>
        </is>
      </c>
    </row>
    <row r="233">
      <c r="A233" s="5" t="n">
        <v>229</v>
      </c>
      <c r="B233" s="5" t="n">
        <v>1</v>
      </c>
      <c r="C233" s="6" t="n">
        <v>-0.9884778685946948</v>
      </c>
      <c r="D233" s="6" t="n">
        <v>-0.6202533638085246</v>
      </c>
      <c r="E233" s="6" t="n">
        <v>-1.177614700251023</v>
      </c>
      <c r="F233" s="6" t="n">
        <v>0.9185437189662378</v>
      </c>
      <c r="G233" s="5" t="n">
        <v>0</v>
      </c>
      <c r="H233" s="5" t="n">
        <v>0</v>
      </c>
      <c r="I233" s="5" t="n">
        <v>0</v>
      </c>
      <c r="J233" s="5" t="n">
        <v>0</v>
      </c>
      <c r="K233" s="5" t="n">
        <v>0</v>
      </c>
      <c r="L233" s="5" t="n">
        <v>0</v>
      </c>
      <c r="M233" s="5" t="n">
        <v>0</v>
      </c>
      <c r="N233" s="5" t="n">
        <v>0</v>
      </c>
      <c r="O233" s="5" t="n">
        <v>0</v>
      </c>
      <c r="P233" s="5" t="n">
        <v>0</v>
      </c>
      <c r="Q233" s="5" t="n">
        <v>0</v>
      </c>
      <c r="R233" s="5" t="n">
        <v>0</v>
      </c>
      <c r="S233" s="5" t="n">
        <v>1</v>
      </c>
      <c r="T233" s="5" t="n">
        <v>0</v>
      </c>
      <c r="U233" s="5" t="inlineStr">
        <is>
          <t>training</t>
        </is>
      </c>
    </row>
    <row r="234">
      <c r="A234" s="5" t="n">
        <v>230</v>
      </c>
      <c r="B234" s="5" t="n">
        <v>0</v>
      </c>
      <c r="C234" s="6" t="n">
        <v>0.275406400796963</v>
      </c>
      <c r="D234" s="6" t="n">
        <v>-0.03558259229844245</v>
      </c>
      <c r="E234" s="6" t="n">
        <v>-1.177614700251023</v>
      </c>
      <c r="F234" s="6" t="n">
        <v>0.9185437189662378</v>
      </c>
      <c r="G234" s="5" t="n">
        <v>1</v>
      </c>
      <c r="H234" s="5" t="n">
        <v>0</v>
      </c>
      <c r="I234" s="5" t="n">
        <v>0</v>
      </c>
      <c r="J234" s="5" t="n">
        <v>0</v>
      </c>
      <c r="K234" s="5" t="n">
        <v>0</v>
      </c>
      <c r="L234" s="5" t="n">
        <v>0</v>
      </c>
      <c r="M234" s="5" t="n">
        <v>0</v>
      </c>
      <c r="N234" s="5" t="n">
        <v>0</v>
      </c>
      <c r="O234" s="5" t="n">
        <v>0</v>
      </c>
      <c r="P234" s="5" t="n">
        <v>0</v>
      </c>
      <c r="Q234" s="5" t="n">
        <v>1</v>
      </c>
      <c r="R234" s="5" t="n">
        <v>0</v>
      </c>
      <c r="S234" s="5" t="n">
        <v>0</v>
      </c>
      <c r="T234" s="5" t="n">
        <v>1</v>
      </c>
      <c r="U234" s="5" t="inlineStr">
        <is>
          <t>training</t>
        </is>
      </c>
    </row>
    <row r="235">
      <c r="A235" s="5" t="n">
        <v>231</v>
      </c>
      <c r="B235" s="5" t="n">
        <v>1</v>
      </c>
      <c r="C235" s="6" t="n">
        <v>1.286513816310289</v>
      </c>
      <c r="D235" s="6" t="n">
        <v>0.3356536067274086</v>
      </c>
      <c r="E235" s="6" t="n">
        <v>-0.8297226174589928</v>
      </c>
      <c r="F235" s="6" t="n">
        <v>0.9185437189662378</v>
      </c>
      <c r="G235" s="5" t="n">
        <v>0</v>
      </c>
      <c r="H235" s="5" t="n">
        <v>0</v>
      </c>
      <c r="I235" s="5" t="n">
        <v>1</v>
      </c>
      <c r="J235" s="5" t="n">
        <v>0</v>
      </c>
      <c r="K235" s="5" t="n">
        <v>0</v>
      </c>
      <c r="L235" s="5" t="n">
        <v>0</v>
      </c>
      <c r="M235" s="5" t="n">
        <v>0</v>
      </c>
      <c r="N235" s="5" t="n">
        <v>0</v>
      </c>
      <c r="O235" s="5" t="n">
        <v>0</v>
      </c>
      <c r="P235" s="5" t="n">
        <v>0</v>
      </c>
      <c r="Q235" s="5" t="n">
        <v>0</v>
      </c>
      <c r="R235" s="5" t="n">
        <v>0</v>
      </c>
      <c r="S235" s="5" t="n">
        <v>1</v>
      </c>
      <c r="T235" s="5" t="n">
        <v>0</v>
      </c>
      <c r="U235" s="5" t="inlineStr">
        <is>
          <t>training</t>
        </is>
      </c>
    </row>
    <row r="236">
      <c r="A236" s="5" t="n">
        <v>232</v>
      </c>
      <c r="B236" s="5" t="n">
        <v>0</v>
      </c>
      <c r="C236" s="6" t="n">
        <v>-0.9884778685946948</v>
      </c>
      <c r="D236" s="6" t="n">
        <v>-0.2602137325195512</v>
      </c>
      <c r="E236" s="6" t="n">
        <v>1.344602899991198</v>
      </c>
      <c r="F236" s="6" t="n">
        <v>-0.8850484360866833</v>
      </c>
      <c r="G236" s="5" t="n">
        <v>0</v>
      </c>
      <c r="H236" s="5" t="n">
        <v>0</v>
      </c>
      <c r="I236" s="5" t="n">
        <v>0</v>
      </c>
      <c r="J236" s="5" t="n">
        <v>0</v>
      </c>
      <c r="K236" s="5" t="n">
        <v>0</v>
      </c>
      <c r="L236" s="5" t="n">
        <v>0</v>
      </c>
      <c r="M236" s="5" t="n">
        <v>1</v>
      </c>
      <c r="N236" s="5" t="n">
        <v>0</v>
      </c>
      <c r="O236" s="5" t="n">
        <v>0</v>
      </c>
      <c r="P236" s="5" t="n">
        <v>0</v>
      </c>
      <c r="Q236" s="5" t="n">
        <v>1</v>
      </c>
      <c r="R236" s="5" t="n">
        <v>1</v>
      </c>
      <c r="S236" s="5" t="n">
        <v>0</v>
      </c>
      <c r="T236" s="5" t="n">
        <v>0</v>
      </c>
      <c r="U236" s="5" t="inlineStr">
        <is>
          <t>testing</t>
        </is>
      </c>
    </row>
    <row r="237">
      <c r="A237" s="5" t="n">
        <v>233</v>
      </c>
      <c r="B237" s="5" t="n">
        <v>0</v>
      </c>
      <c r="C237" s="6" t="n">
        <v>-0.7357010147163632</v>
      </c>
      <c r="D237" s="6" t="n">
        <v>-0.3882744760100898</v>
      </c>
      <c r="E237" s="6" t="n">
        <v>-0.04696543117692405</v>
      </c>
      <c r="F237" s="6" t="n">
        <v>0.01674764143977723</v>
      </c>
      <c r="G237" s="5" t="n">
        <v>0</v>
      </c>
      <c r="H237" s="5" t="n">
        <v>0</v>
      </c>
      <c r="I237" s="5" t="n">
        <v>0</v>
      </c>
      <c r="J237" s="5" t="n">
        <v>0</v>
      </c>
      <c r="K237" s="5" t="n">
        <v>0</v>
      </c>
      <c r="L237" s="5" t="n">
        <v>0</v>
      </c>
      <c r="M237" s="5" t="n">
        <v>1</v>
      </c>
      <c r="N237" s="5" t="n">
        <v>0</v>
      </c>
      <c r="O237" s="5" t="n">
        <v>0</v>
      </c>
      <c r="P237" s="5" t="n">
        <v>0</v>
      </c>
      <c r="Q237" s="5" t="n">
        <v>0</v>
      </c>
      <c r="R237" s="5" t="n">
        <v>0</v>
      </c>
      <c r="S237" s="5" t="n">
        <v>1</v>
      </c>
      <c r="T237" s="5" t="n">
        <v>0</v>
      </c>
      <c r="U237" s="5" t="inlineStr">
        <is>
          <t>training</t>
        </is>
      </c>
    </row>
    <row r="238">
      <c r="A238" s="5" t="n">
        <v>234</v>
      </c>
      <c r="B238" s="5" t="n">
        <v>0</v>
      </c>
      <c r="C238" s="6" t="n">
        <v>-0.2301473069597001</v>
      </c>
      <c r="D238" s="6" t="n">
        <v>-0.8343877217763105</v>
      </c>
      <c r="E238" s="6" t="n">
        <v>-0.9166956381570004</v>
      </c>
      <c r="F238" s="6" t="n">
        <v>0.9185437189662378</v>
      </c>
      <c r="G238" s="5" t="n">
        <v>0</v>
      </c>
      <c r="H238" s="5" t="n">
        <v>1</v>
      </c>
      <c r="I238" s="5" t="n">
        <v>0</v>
      </c>
      <c r="J238" s="5" t="n">
        <v>0</v>
      </c>
      <c r="K238" s="5" t="n">
        <v>0</v>
      </c>
      <c r="L238" s="5" t="n">
        <v>0</v>
      </c>
      <c r="M238" s="5" t="n">
        <v>0</v>
      </c>
      <c r="N238" s="5" t="n">
        <v>0</v>
      </c>
      <c r="O238" s="5" t="n">
        <v>0</v>
      </c>
      <c r="P238" s="5" t="n">
        <v>0</v>
      </c>
      <c r="Q238" s="5" t="n">
        <v>0</v>
      </c>
      <c r="R238" s="5" t="n">
        <v>0</v>
      </c>
      <c r="S238" s="5" t="n">
        <v>1</v>
      </c>
      <c r="T238" s="5" t="n">
        <v>0</v>
      </c>
      <c r="U238" s="5" t="inlineStr">
        <is>
          <t>training</t>
        </is>
      </c>
    </row>
    <row r="239">
      <c r="A239" s="5" t="n">
        <v>235</v>
      </c>
      <c r="B239" s="5" t="n">
        <v>0</v>
      </c>
      <c r="C239" s="6" t="n">
        <v>-1.409772625058581</v>
      </c>
      <c r="D239" s="6" t="n">
        <v>-0.5971604428512143</v>
      </c>
      <c r="E239" s="6" t="n">
        <v>0.5618457137091294</v>
      </c>
      <c r="F239" s="6" t="n">
        <v>-0.8850484360866833</v>
      </c>
      <c r="G239" s="5" t="n">
        <v>0</v>
      </c>
      <c r="H239" s="5" t="n">
        <v>0</v>
      </c>
      <c r="I239" s="5" t="n">
        <v>0</v>
      </c>
      <c r="J239" s="5" t="n">
        <v>1</v>
      </c>
      <c r="K239" s="5" t="n">
        <v>0</v>
      </c>
      <c r="L239" s="5" t="n">
        <v>0</v>
      </c>
      <c r="M239" s="5" t="n">
        <v>0</v>
      </c>
      <c r="N239" s="5" t="n">
        <v>0</v>
      </c>
      <c r="O239" s="5" t="n">
        <v>0</v>
      </c>
      <c r="P239" s="5" t="n">
        <v>0</v>
      </c>
      <c r="Q239" s="5" t="n">
        <v>0</v>
      </c>
      <c r="R239" s="5" t="n">
        <v>0</v>
      </c>
      <c r="S239" s="5" t="n">
        <v>1</v>
      </c>
      <c r="T239" s="5" t="n">
        <v>0</v>
      </c>
      <c r="U239" s="5" t="inlineStr">
        <is>
          <t>testing</t>
        </is>
      </c>
    </row>
    <row r="240">
      <c r="A240" s="5" t="n">
        <v>236</v>
      </c>
      <c r="B240" s="5" t="n">
        <v>1</v>
      </c>
      <c r="C240" s="6" t="n">
        <v>0.275406400796963</v>
      </c>
      <c r="D240" s="6" t="n">
        <v>-0.4995403678953119</v>
      </c>
      <c r="E240" s="6" t="n">
        <v>-0.4818305346669622</v>
      </c>
      <c r="F240" s="6" t="n">
        <v>0.9185437189662378</v>
      </c>
      <c r="G240" s="5" t="n">
        <v>1</v>
      </c>
      <c r="H240" s="5" t="n">
        <v>0</v>
      </c>
      <c r="I240" s="5" t="n">
        <v>0</v>
      </c>
      <c r="J240" s="5" t="n">
        <v>0</v>
      </c>
      <c r="K240" s="5" t="n">
        <v>0</v>
      </c>
      <c r="L240" s="5" t="n">
        <v>0</v>
      </c>
      <c r="M240" s="5" t="n">
        <v>0</v>
      </c>
      <c r="N240" s="5" t="n">
        <v>0</v>
      </c>
      <c r="O240" s="5" t="n">
        <v>0</v>
      </c>
      <c r="P240" s="5" t="n">
        <v>0</v>
      </c>
      <c r="Q240" s="5" t="n">
        <v>0</v>
      </c>
      <c r="R240" s="5" t="n">
        <v>0</v>
      </c>
      <c r="S240" s="5" t="n">
        <v>1</v>
      </c>
      <c r="T240" s="5" t="n">
        <v>0</v>
      </c>
      <c r="U240" s="5" t="inlineStr">
        <is>
          <t>training</t>
        </is>
      </c>
    </row>
    <row r="241">
      <c r="A241" s="5" t="n">
        <v>237</v>
      </c>
      <c r="B241" s="5" t="n">
        <v>1</v>
      </c>
      <c r="C241" s="6" t="n">
        <v>-1.241254722473026</v>
      </c>
      <c r="D241" s="6" t="n">
        <v>3.955294020414901</v>
      </c>
      <c r="E241" s="6" t="n">
        <v>-1.090641679553016</v>
      </c>
      <c r="F241" s="6" t="n">
        <v>-1.786844513613144</v>
      </c>
      <c r="G241" s="5" t="n">
        <v>0</v>
      </c>
      <c r="H241" s="5" t="n">
        <v>1</v>
      </c>
      <c r="I241" s="5" t="n">
        <v>0</v>
      </c>
      <c r="J241" s="5" t="n">
        <v>0</v>
      </c>
      <c r="K241" s="5" t="n">
        <v>0</v>
      </c>
      <c r="L241" s="5" t="n">
        <v>0</v>
      </c>
      <c r="M241" s="5" t="n">
        <v>0</v>
      </c>
      <c r="N241" s="5" t="n">
        <v>0</v>
      </c>
      <c r="O241" s="5" t="n">
        <v>1</v>
      </c>
      <c r="P241" s="5" t="n">
        <v>0</v>
      </c>
      <c r="Q241" s="5" t="n">
        <v>0</v>
      </c>
      <c r="R241" s="5" t="n">
        <v>1</v>
      </c>
      <c r="S241" s="5" t="n">
        <v>0</v>
      </c>
      <c r="T241" s="5" t="n">
        <v>0</v>
      </c>
      <c r="U241" s="5" t="inlineStr">
        <is>
          <t>training</t>
        </is>
      </c>
    </row>
    <row r="242">
      <c r="A242" s="5" t="n">
        <v>238</v>
      </c>
      <c r="B242" s="5" t="n">
        <v>1</v>
      </c>
      <c r="C242" s="6" t="n">
        <v>0.02262954691863145</v>
      </c>
      <c r="D242" s="6" t="n">
        <v>-0.1692416196574199</v>
      </c>
      <c r="E242" s="6" t="n">
        <v>2.214333106971274</v>
      </c>
      <c r="F242" s="6" t="n">
        <v>0.9185437189662378</v>
      </c>
      <c r="G242" s="5" t="n">
        <v>0</v>
      </c>
      <c r="H242" s="5" t="n">
        <v>1</v>
      </c>
      <c r="I242" s="5" t="n">
        <v>0</v>
      </c>
      <c r="J242" s="5" t="n">
        <v>0</v>
      </c>
      <c r="K242" s="5" t="n">
        <v>0</v>
      </c>
      <c r="L242" s="5" t="n">
        <v>0</v>
      </c>
      <c r="M242" s="5" t="n">
        <v>1</v>
      </c>
      <c r="N242" s="5" t="n">
        <v>0</v>
      </c>
      <c r="O242" s="5" t="n">
        <v>0</v>
      </c>
      <c r="P242" s="5" t="n">
        <v>1</v>
      </c>
      <c r="Q242" s="5" t="n">
        <v>0</v>
      </c>
      <c r="R242" s="5" t="n">
        <v>0</v>
      </c>
      <c r="S242" s="5" t="n">
        <v>0</v>
      </c>
      <c r="T242" s="5" t="n">
        <v>0</v>
      </c>
      <c r="U242" s="5" t="inlineStr">
        <is>
          <t>training</t>
        </is>
      </c>
    </row>
    <row r="243">
      <c r="A243" s="5" t="n">
        <v>239</v>
      </c>
      <c r="B243" s="5" t="n">
        <v>0</v>
      </c>
      <c r="C243" s="6" t="n">
        <v>-0.7357010147163632</v>
      </c>
      <c r="D243" s="6" t="n">
        <v>-0.6856833065209036</v>
      </c>
      <c r="E243" s="6" t="n">
        <v>-0.04696543117692405</v>
      </c>
      <c r="F243" s="6" t="n">
        <v>0.9185437189662378</v>
      </c>
      <c r="G243" s="5" t="n">
        <v>0</v>
      </c>
      <c r="H243" s="5" t="n">
        <v>0</v>
      </c>
      <c r="I243" s="5" t="n">
        <v>0</v>
      </c>
      <c r="J243" s="5" t="n">
        <v>1</v>
      </c>
      <c r="K243" s="5" t="n">
        <v>0</v>
      </c>
      <c r="L243" s="5" t="n">
        <v>0</v>
      </c>
      <c r="M243" s="5" t="n">
        <v>0</v>
      </c>
      <c r="N243" s="5" t="n">
        <v>0</v>
      </c>
      <c r="O243" s="5" t="n">
        <v>0</v>
      </c>
      <c r="P243" s="5" t="n">
        <v>0</v>
      </c>
      <c r="Q243" s="5" t="n">
        <v>0</v>
      </c>
      <c r="R243" s="5" t="n">
        <v>0</v>
      </c>
      <c r="S243" s="5" t="n">
        <v>1</v>
      </c>
      <c r="T243" s="5" t="n">
        <v>0</v>
      </c>
      <c r="U243" s="5" t="inlineStr">
        <is>
          <t>training</t>
        </is>
      </c>
    </row>
    <row r="244">
      <c r="A244" s="5" t="n">
        <v>240</v>
      </c>
      <c r="B244" s="5" t="n">
        <v>0</v>
      </c>
      <c r="C244" s="6" t="n">
        <v>0.7809601085536261</v>
      </c>
      <c r="D244" s="6" t="n">
        <v>-0.2549653413928898</v>
      </c>
      <c r="E244" s="6" t="n">
        <v>0.3009266516151065</v>
      </c>
      <c r="F244" s="6" t="n">
        <v>-1.786844513613144</v>
      </c>
      <c r="G244" s="5" t="n">
        <v>1</v>
      </c>
      <c r="H244" s="5" t="n">
        <v>0</v>
      </c>
      <c r="I244" s="5" t="n">
        <v>0</v>
      </c>
      <c r="J244" s="5" t="n">
        <v>0</v>
      </c>
      <c r="K244" s="5" t="n">
        <v>0</v>
      </c>
      <c r="L244" s="5" t="n">
        <v>0</v>
      </c>
      <c r="M244" s="5" t="n">
        <v>0</v>
      </c>
      <c r="N244" s="5" t="n">
        <v>0</v>
      </c>
      <c r="O244" s="5" t="n">
        <v>0</v>
      </c>
      <c r="P244" s="5" t="n">
        <v>0</v>
      </c>
      <c r="Q244" s="5" t="n">
        <v>0</v>
      </c>
      <c r="R244" s="5" t="n">
        <v>0</v>
      </c>
      <c r="S244" s="5" t="n">
        <v>1</v>
      </c>
      <c r="T244" s="5" t="n">
        <v>0</v>
      </c>
      <c r="U244" s="5" t="inlineStr">
        <is>
          <t>testing</t>
        </is>
      </c>
    </row>
    <row r="245">
      <c r="A245" s="5" t="n">
        <v>241</v>
      </c>
      <c r="B245" s="5" t="n">
        <v>1</v>
      </c>
      <c r="C245" s="6" t="n">
        <v>0.275406400796963</v>
      </c>
      <c r="D245" s="6" t="n">
        <v>-0.8172429774292165</v>
      </c>
      <c r="E245" s="6" t="n">
        <v>-0.5688035553649698</v>
      </c>
      <c r="F245" s="6" t="n">
        <v>0.9185437189662378</v>
      </c>
      <c r="G245" s="5" t="n">
        <v>1</v>
      </c>
      <c r="H245" s="5" t="n">
        <v>0</v>
      </c>
      <c r="I245" s="5" t="n">
        <v>0</v>
      </c>
      <c r="J245" s="5" t="n">
        <v>0</v>
      </c>
      <c r="K245" s="5" t="n">
        <v>0</v>
      </c>
      <c r="L245" s="5" t="n">
        <v>0</v>
      </c>
      <c r="M245" s="5" t="n">
        <v>0</v>
      </c>
      <c r="N245" s="5" t="n">
        <v>0</v>
      </c>
      <c r="O245" s="5" t="n">
        <v>1</v>
      </c>
      <c r="P245" s="5" t="n">
        <v>0</v>
      </c>
      <c r="Q245" s="5" t="n">
        <v>0</v>
      </c>
      <c r="R245" s="5" t="n">
        <v>1</v>
      </c>
      <c r="S245" s="5" t="n">
        <v>0</v>
      </c>
      <c r="T245" s="5" t="n">
        <v>0</v>
      </c>
      <c r="U245" s="5" t="inlineStr">
        <is>
          <t>testing</t>
        </is>
      </c>
    </row>
    <row r="246">
      <c r="A246" s="5" t="n">
        <v>242</v>
      </c>
      <c r="B246" s="5" t="n">
        <v>0</v>
      </c>
      <c r="C246" s="6" t="n">
        <v>-1.241254722473026</v>
      </c>
      <c r="D246" s="6" t="n">
        <v>-0.5793159130205655</v>
      </c>
      <c r="E246" s="6" t="n">
        <v>1.344602899991198</v>
      </c>
      <c r="F246" s="6" t="n">
        <v>0.01674764143977723</v>
      </c>
      <c r="G246" s="5" t="n">
        <v>0</v>
      </c>
      <c r="H246" s="5" t="n">
        <v>0</v>
      </c>
      <c r="I246" s="5" t="n">
        <v>0</v>
      </c>
      <c r="J246" s="5" t="n">
        <v>0</v>
      </c>
      <c r="K246" s="5" t="n">
        <v>0</v>
      </c>
      <c r="L246" s="5" t="n">
        <v>0</v>
      </c>
      <c r="M246" s="5" t="n">
        <v>0</v>
      </c>
      <c r="N246" s="5" t="n">
        <v>0</v>
      </c>
      <c r="O246" s="5" t="n">
        <v>0</v>
      </c>
      <c r="P246" s="5" t="n">
        <v>0</v>
      </c>
      <c r="Q246" s="5" t="n">
        <v>0</v>
      </c>
      <c r="R246" s="5" t="n">
        <v>0</v>
      </c>
      <c r="S246" s="5" t="n">
        <v>1</v>
      </c>
      <c r="T246" s="5" t="n">
        <v>0</v>
      </c>
      <c r="U246" s="5" t="inlineStr">
        <is>
          <t>testing</t>
        </is>
      </c>
    </row>
    <row r="247">
      <c r="A247" s="5" t="n">
        <v>243</v>
      </c>
      <c r="B247" s="5" t="n">
        <v>1</v>
      </c>
      <c r="C247" s="6" t="n">
        <v>2.297621231823615</v>
      </c>
      <c r="D247" s="6" t="n">
        <v>0.4738612397294926</v>
      </c>
      <c r="E247" s="6" t="n">
        <v>-1.003668658855008</v>
      </c>
      <c r="F247" s="6" t="n">
        <v>0.01674764143977723</v>
      </c>
      <c r="G247" s="5" t="n">
        <v>1</v>
      </c>
      <c r="H247" s="5" t="n">
        <v>0</v>
      </c>
      <c r="I247" s="5" t="n">
        <v>0</v>
      </c>
      <c r="J247" s="5" t="n">
        <v>0</v>
      </c>
      <c r="K247" s="5" t="n">
        <v>0</v>
      </c>
      <c r="L247" s="5" t="n">
        <v>1</v>
      </c>
      <c r="M247" s="5" t="n">
        <v>0</v>
      </c>
      <c r="N247" s="5" t="n">
        <v>0</v>
      </c>
      <c r="O247" s="5" t="n">
        <v>0</v>
      </c>
      <c r="P247" s="5" t="n">
        <v>0</v>
      </c>
      <c r="Q247" s="5" t="n">
        <v>1</v>
      </c>
      <c r="R247" s="5" t="n">
        <v>1</v>
      </c>
      <c r="S247" s="5" t="n">
        <v>0</v>
      </c>
      <c r="T247" s="5" t="n">
        <v>0</v>
      </c>
      <c r="U247" s="5" t="inlineStr">
        <is>
          <t>testing</t>
        </is>
      </c>
    </row>
    <row r="248">
      <c r="A248" s="5" t="n">
        <v>244</v>
      </c>
      <c r="B248" s="5" t="n">
        <v>0</v>
      </c>
      <c r="C248" s="6" t="n">
        <v>-0.7357010147163632</v>
      </c>
      <c r="D248" s="6" t="n">
        <v>-0.722771937149311</v>
      </c>
      <c r="E248" s="6" t="n">
        <v>-0.7427495967609852</v>
      </c>
      <c r="F248" s="6" t="n">
        <v>0.01674764143977723</v>
      </c>
      <c r="G248" s="5" t="n">
        <v>0</v>
      </c>
      <c r="H248" s="5" t="n">
        <v>0</v>
      </c>
      <c r="I248" s="5" t="n">
        <v>0</v>
      </c>
      <c r="J248" s="5" t="n">
        <v>1</v>
      </c>
      <c r="K248" s="5" t="n">
        <v>0</v>
      </c>
      <c r="L248" s="5" t="n">
        <v>0</v>
      </c>
      <c r="M248" s="5" t="n">
        <v>0</v>
      </c>
      <c r="N248" s="5" t="n">
        <v>0</v>
      </c>
      <c r="O248" s="5" t="n">
        <v>0</v>
      </c>
      <c r="P248" s="5" t="n">
        <v>0</v>
      </c>
      <c r="Q248" s="5" t="n">
        <v>0</v>
      </c>
      <c r="R248" s="5" t="n">
        <v>0</v>
      </c>
      <c r="S248" s="5" t="n">
        <v>0</v>
      </c>
      <c r="T248" s="5" t="n">
        <v>0</v>
      </c>
      <c r="U248" s="5" t="inlineStr">
        <is>
          <t>training</t>
        </is>
      </c>
    </row>
    <row r="249">
      <c r="A249" s="5" t="n">
        <v>245</v>
      </c>
      <c r="B249" s="5" t="n">
        <v>0</v>
      </c>
      <c r="C249" s="6" t="n">
        <v>-0.7357010147163632</v>
      </c>
      <c r="D249" s="6" t="n">
        <v>0.06868544475123109</v>
      </c>
      <c r="E249" s="6" t="n">
        <v>-0.04696543117692405</v>
      </c>
      <c r="F249" s="6" t="n">
        <v>0.9185437189662378</v>
      </c>
      <c r="G249" s="5" t="n">
        <v>0</v>
      </c>
      <c r="H249" s="5" t="n">
        <v>0</v>
      </c>
      <c r="I249" s="5" t="n">
        <v>0</v>
      </c>
      <c r="J249" s="5" t="n">
        <v>0</v>
      </c>
      <c r="K249" s="5" t="n">
        <v>0</v>
      </c>
      <c r="L249" s="5" t="n">
        <v>1</v>
      </c>
      <c r="M249" s="5" t="n">
        <v>1</v>
      </c>
      <c r="N249" s="5" t="n">
        <v>0</v>
      </c>
      <c r="O249" s="5" t="n">
        <v>0</v>
      </c>
      <c r="P249" s="5" t="n">
        <v>0</v>
      </c>
      <c r="Q249" s="5" t="n">
        <v>0</v>
      </c>
      <c r="R249" s="5" t="n">
        <v>0</v>
      </c>
      <c r="S249" s="5" t="n">
        <v>0</v>
      </c>
      <c r="T249" s="5" t="n">
        <v>0</v>
      </c>
      <c r="U249" s="5" t="inlineStr">
        <is>
          <t>training</t>
        </is>
      </c>
    </row>
    <row r="250">
      <c r="A250" s="5" t="n">
        <v>246</v>
      </c>
      <c r="B250" s="5" t="n">
        <v>0</v>
      </c>
      <c r="C250" s="6" t="n">
        <v>0.275406400796963</v>
      </c>
      <c r="D250" s="6" t="n">
        <v>-0.6972297669995587</v>
      </c>
      <c r="E250" s="6" t="n">
        <v>-0.9166956381570004</v>
      </c>
      <c r="F250" s="6" t="n">
        <v>0.9185437189662378</v>
      </c>
      <c r="G250" s="5" t="n">
        <v>0</v>
      </c>
      <c r="H250" s="5" t="n">
        <v>0</v>
      </c>
      <c r="I250" s="5" t="n">
        <v>0</v>
      </c>
      <c r="J250" s="5" t="n">
        <v>0</v>
      </c>
      <c r="K250" s="5" t="n">
        <v>0</v>
      </c>
      <c r="L250" s="5" t="n">
        <v>0</v>
      </c>
      <c r="M250" s="5" t="n">
        <v>0</v>
      </c>
      <c r="N250" s="5" t="n">
        <v>0</v>
      </c>
      <c r="O250" s="5" t="n">
        <v>0</v>
      </c>
      <c r="P250" s="5" t="n">
        <v>0</v>
      </c>
      <c r="Q250" s="5" t="n">
        <v>0</v>
      </c>
      <c r="R250" s="5" t="n">
        <v>0</v>
      </c>
      <c r="S250" s="5" t="n">
        <v>0</v>
      </c>
      <c r="T250" s="5" t="n">
        <v>0</v>
      </c>
      <c r="U250" s="5" t="inlineStr">
        <is>
          <t>testing</t>
        </is>
      </c>
    </row>
    <row r="251">
      <c r="A251" s="5" t="n">
        <v>247</v>
      </c>
      <c r="B251" s="5" t="n">
        <v>0</v>
      </c>
      <c r="C251" s="6" t="n">
        <v>-0.7357010147163632</v>
      </c>
      <c r="D251" s="6" t="n">
        <v>-0.8865217403011472</v>
      </c>
      <c r="E251" s="6" t="n">
        <v>1.431575920689206</v>
      </c>
      <c r="F251" s="6" t="n">
        <v>0.9185437189662378</v>
      </c>
      <c r="G251" s="5" t="n">
        <v>0</v>
      </c>
      <c r="H251" s="5" t="n">
        <v>0</v>
      </c>
      <c r="I251" s="5" t="n">
        <v>0</v>
      </c>
      <c r="J251" s="5" t="n">
        <v>1</v>
      </c>
      <c r="K251" s="5" t="n">
        <v>0</v>
      </c>
      <c r="L251" s="5" t="n">
        <v>0</v>
      </c>
      <c r="M251" s="5" t="n">
        <v>0</v>
      </c>
      <c r="N251" s="5" t="n">
        <v>0</v>
      </c>
      <c r="O251" s="5" t="n">
        <v>0</v>
      </c>
      <c r="P251" s="5" t="n">
        <v>0</v>
      </c>
      <c r="Q251" s="5" t="n">
        <v>0</v>
      </c>
      <c r="R251" s="5" t="n">
        <v>0</v>
      </c>
      <c r="S251" s="5" t="n">
        <v>1</v>
      </c>
      <c r="T251" s="5" t="n">
        <v>0</v>
      </c>
      <c r="U251" s="5" t="inlineStr">
        <is>
          <t>training</t>
        </is>
      </c>
    </row>
    <row r="252">
      <c r="A252" s="5" t="n">
        <v>248</v>
      </c>
      <c r="B252" s="5" t="n">
        <v>0</v>
      </c>
      <c r="C252" s="6" t="n">
        <v>-1.241254722473026</v>
      </c>
      <c r="D252" s="6" t="n">
        <v>-0.7161239750555398</v>
      </c>
      <c r="E252" s="6" t="n">
        <v>-0.04696543117692405</v>
      </c>
      <c r="F252" s="6" t="n">
        <v>0.9185437189662378</v>
      </c>
      <c r="G252" s="5" t="n">
        <v>0</v>
      </c>
      <c r="H252" s="5" t="n">
        <v>0</v>
      </c>
      <c r="I252" s="5" t="n">
        <v>0</v>
      </c>
      <c r="J252" s="5" t="n">
        <v>0</v>
      </c>
      <c r="K252" s="5" t="n">
        <v>0</v>
      </c>
      <c r="L252" s="5" t="n">
        <v>1</v>
      </c>
      <c r="M252" s="5" t="n">
        <v>1</v>
      </c>
      <c r="N252" s="5" t="n">
        <v>0</v>
      </c>
      <c r="O252" s="5" t="n">
        <v>0</v>
      </c>
      <c r="P252" s="5" t="n">
        <v>1</v>
      </c>
      <c r="Q252" s="5" t="n">
        <v>0</v>
      </c>
      <c r="R252" s="5" t="n">
        <v>1</v>
      </c>
      <c r="S252" s="5" t="n">
        <v>0</v>
      </c>
      <c r="T252" s="5" t="n">
        <v>0</v>
      </c>
      <c r="U252" s="5" t="inlineStr">
        <is>
          <t>training</t>
        </is>
      </c>
    </row>
    <row r="253">
      <c r="A253" s="5" t="n">
        <v>249</v>
      </c>
      <c r="B253" s="5" t="n">
        <v>0</v>
      </c>
      <c r="C253" s="6" t="n">
        <v>0.275406400796963</v>
      </c>
      <c r="D253" s="6" t="n">
        <v>-0.4638513082340143</v>
      </c>
      <c r="E253" s="6" t="n">
        <v>-0.8297226174589928</v>
      </c>
      <c r="F253" s="6" t="n">
        <v>-0.8850484360866833</v>
      </c>
      <c r="G253" s="5" t="n">
        <v>0</v>
      </c>
      <c r="H253" s="5" t="n">
        <v>0</v>
      </c>
      <c r="I253" s="5" t="n">
        <v>1</v>
      </c>
      <c r="J253" s="5" t="n">
        <v>0</v>
      </c>
      <c r="K253" s="5" t="n">
        <v>0</v>
      </c>
      <c r="L253" s="5" t="n">
        <v>0</v>
      </c>
      <c r="M253" s="5" t="n">
        <v>0</v>
      </c>
      <c r="N253" s="5" t="n">
        <v>0</v>
      </c>
      <c r="O253" s="5" t="n">
        <v>0</v>
      </c>
      <c r="P253" s="5" t="n">
        <v>0</v>
      </c>
      <c r="Q253" s="5" t="n">
        <v>0</v>
      </c>
      <c r="R253" s="5" t="n">
        <v>0</v>
      </c>
      <c r="S253" s="5" t="n">
        <v>0</v>
      </c>
      <c r="T253" s="5" t="n">
        <v>1</v>
      </c>
      <c r="U253" s="5" t="inlineStr">
        <is>
          <t>training</t>
        </is>
      </c>
    </row>
    <row r="254">
      <c r="A254" s="5" t="n">
        <v>250</v>
      </c>
      <c r="B254" s="5" t="n">
        <v>1</v>
      </c>
      <c r="C254" s="6" t="n">
        <v>-0.2301473069597001</v>
      </c>
      <c r="D254" s="6" t="n">
        <v>-0.9858912789659368</v>
      </c>
      <c r="E254" s="6" t="n">
        <v>-1.177614700251023</v>
      </c>
      <c r="F254" s="6" t="n">
        <v>0.01674764143977723</v>
      </c>
      <c r="G254" s="5" t="n">
        <v>0</v>
      </c>
      <c r="H254" s="5" t="n">
        <v>0</v>
      </c>
      <c r="I254" s="5" t="n">
        <v>0</v>
      </c>
      <c r="J254" s="5" t="n">
        <v>0</v>
      </c>
      <c r="K254" s="5" t="n">
        <v>0</v>
      </c>
      <c r="L254" s="5" t="n">
        <v>0</v>
      </c>
      <c r="M254" s="5" t="n">
        <v>0</v>
      </c>
      <c r="N254" s="5" t="n">
        <v>0</v>
      </c>
      <c r="O254" s="5" t="n">
        <v>0</v>
      </c>
      <c r="P254" s="5" t="n">
        <v>1</v>
      </c>
      <c r="Q254" s="5" t="n">
        <v>0</v>
      </c>
      <c r="R254" s="5" t="n">
        <v>0</v>
      </c>
      <c r="S254" s="5" t="n">
        <v>1</v>
      </c>
      <c r="T254" s="5" t="n">
        <v>0</v>
      </c>
      <c r="U254" s="5" t="inlineStr">
        <is>
          <t>training</t>
        </is>
      </c>
    </row>
    <row r="255">
      <c r="A255" s="5" t="n">
        <v>251</v>
      </c>
      <c r="B255" s="5" t="n">
        <v>0</v>
      </c>
      <c r="C255" s="6" t="n">
        <v>-1.241254722473026</v>
      </c>
      <c r="D255" s="6" t="n">
        <v>-0.904366270131796</v>
      </c>
      <c r="E255" s="6" t="n">
        <v>0.3009266516151065</v>
      </c>
      <c r="F255" s="6" t="n">
        <v>0.01674764143977723</v>
      </c>
      <c r="G255" s="5" t="n">
        <v>1</v>
      </c>
      <c r="H255" s="5" t="n">
        <v>0</v>
      </c>
      <c r="I255" s="5" t="n">
        <v>0</v>
      </c>
      <c r="J255" s="5" t="n">
        <v>1</v>
      </c>
      <c r="K255" s="5" t="n">
        <v>0</v>
      </c>
      <c r="L255" s="5" t="n">
        <v>0</v>
      </c>
      <c r="M255" s="5" t="n">
        <v>0</v>
      </c>
      <c r="N255" s="5" t="n">
        <v>1</v>
      </c>
      <c r="O255" s="5" t="n">
        <v>0</v>
      </c>
      <c r="P255" s="5" t="n">
        <v>0</v>
      </c>
      <c r="Q255" s="5" t="n">
        <v>0</v>
      </c>
      <c r="R255" s="5" t="n">
        <v>1</v>
      </c>
      <c r="S255" s="5" t="n">
        <v>0</v>
      </c>
      <c r="T255" s="5" t="n">
        <v>0</v>
      </c>
      <c r="U255" s="5" t="inlineStr">
        <is>
          <t>testing</t>
        </is>
      </c>
    </row>
    <row r="256">
      <c r="A256" s="5" t="n">
        <v>252</v>
      </c>
      <c r="B256" s="5" t="n">
        <v>0</v>
      </c>
      <c r="C256" s="6" t="n">
        <v>-0.7357010147163632</v>
      </c>
      <c r="D256" s="6" t="n">
        <v>-0.3497862744145727</v>
      </c>
      <c r="E256" s="6" t="n">
        <v>0.9097377965011599</v>
      </c>
      <c r="F256" s="6" t="n">
        <v>-1.786844513613144</v>
      </c>
      <c r="G256" s="5" t="n">
        <v>0</v>
      </c>
      <c r="H256" s="5" t="n">
        <v>0</v>
      </c>
      <c r="I256" s="5" t="n">
        <v>1</v>
      </c>
      <c r="J256" s="5" t="n">
        <v>0</v>
      </c>
      <c r="K256" s="5" t="n">
        <v>0</v>
      </c>
      <c r="L256" s="5" t="n">
        <v>0</v>
      </c>
      <c r="M256" s="5" t="n">
        <v>0</v>
      </c>
      <c r="N256" s="5" t="n">
        <v>0</v>
      </c>
      <c r="O256" s="5" t="n">
        <v>0</v>
      </c>
      <c r="P256" s="5" t="n">
        <v>0</v>
      </c>
      <c r="Q256" s="5" t="n">
        <v>0</v>
      </c>
      <c r="R256" s="5" t="n">
        <v>0</v>
      </c>
      <c r="S256" s="5" t="n">
        <v>0</v>
      </c>
      <c r="T256" s="5" t="n">
        <v>1</v>
      </c>
      <c r="U256" s="5" t="inlineStr">
        <is>
          <t>training</t>
        </is>
      </c>
    </row>
    <row r="257">
      <c r="A257" s="5" t="n">
        <v>253</v>
      </c>
      <c r="B257" s="5" t="n">
        <v>1</v>
      </c>
      <c r="C257" s="6" t="n">
        <v>0.7809601085536261</v>
      </c>
      <c r="D257" s="6" t="n">
        <v>-0.385125441334093</v>
      </c>
      <c r="E257" s="6" t="n">
        <v>-1.003668658855008</v>
      </c>
      <c r="F257" s="6" t="n">
        <v>0.9185437189662378</v>
      </c>
      <c r="G257" s="5" t="n">
        <v>0</v>
      </c>
      <c r="H257" s="5" t="n">
        <v>1</v>
      </c>
      <c r="I257" s="5" t="n">
        <v>0</v>
      </c>
      <c r="J257" s="5" t="n">
        <v>0</v>
      </c>
      <c r="K257" s="5" t="n">
        <v>0</v>
      </c>
      <c r="L257" s="5" t="n">
        <v>0</v>
      </c>
      <c r="M257" s="5" t="n">
        <v>0</v>
      </c>
      <c r="N257" s="5" t="n">
        <v>0</v>
      </c>
      <c r="O257" s="5" t="n">
        <v>0</v>
      </c>
      <c r="P257" s="5" t="n">
        <v>0</v>
      </c>
      <c r="Q257" s="5" t="n">
        <v>0</v>
      </c>
      <c r="R257" s="5" t="n">
        <v>1</v>
      </c>
      <c r="S257" s="5" t="n">
        <v>0</v>
      </c>
      <c r="T257" s="5" t="n">
        <v>0</v>
      </c>
      <c r="U257" s="5" t="inlineStr">
        <is>
          <t>training</t>
        </is>
      </c>
    </row>
    <row r="258">
      <c r="A258" s="5" t="n">
        <v>254</v>
      </c>
      <c r="B258" s="5" t="n">
        <v>0</v>
      </c>
      <c r="C258" s="6" t="n">
        <v>0.275406400796963</v>
      </c>
      <c r="D258" s="6" t="n">
        <v>0.3150099349625404</v>
      </c>
      <c r="E258" s="6" t="n">
        <v>-0.04696543117692405</v>
      </c>
      <c r="F258" s="6" t="n">
        <v>-0.8850484360866833</v>
      </c>
      <c r="G258" s="5" t="n">
        <v>0</v>
      </c>
      <c r="H258" s="5" t="n">
        <v>0</v>
      </c>
      <c r="I258" s="5" t="n">
        <v>0</v>
      </c>
      <c r="J258" s="5" t="n">
        <v>0</v>
      </c>
      <c r="K258" s="5" t="n">
        <v>1</v>
      </c>
      <c r="L258" s="5" t="n">
        <v>0</v>
      </c>
      <c r="M258" s="5" t="n">
        <v>1</v>
      </c>
      <c r="N258" s="5" t="n">
        <v>0</v>
      </c>
      <c r="O258" s="5" t="n">
        <v>0</v>
      </c>
      <c r="P258" s="5" t="n">
        <v>0</v>
      </c>
      <c r="Q258" s="5" t="n">
        <v>0</v>
      </c>
      <c r="R258" s="5" t="n">
        <v>0</v>
      </c>
      <c r="S258" s="5" t="n">
        <v>0</v>
      </c>
      <c r="T258" s="5" t="n">
        <v>1</v>
      </c>
      <c r="U258" s="5" t="inlineStr">
        <is>
          <t>testing</t>
        </is>
      </c>
    </row>
    <row r="259">
      <c r="A259" s="5" t="n">
        <v>255</v>
      </c>
      <c r="B259" s="5" t="n">
        <v>0</v>
      </c>
      <c r="C259" s="6" t="n">
        <v>-0.9884778685946948</v>
      </c>
      <c r="D259" s="6" t="n">
        <v>-0.4271125703473843</v>
      </c>
      <c r="E259" s="6" t="n">
        <v>-1.003668658855008</v>
      </c>
      <c r="F259" s="6" t="n">
        <v>-0.8850484360866833</v>
      </c>
      <c r="G259" s="5" t="n">
        <v>0</v>
      </c>
      <c r="H259" s="5" t="n">
        <v>1</v>
      </c>
      <c r="I259" s="5" t="n">
        <v>0</v>
      </c>
      <c r="J259" s="5" t="n">
        <v>0</v>
      </c>
      <c r="K259" s="5" t="n">
        <v>0</v>
      </c>
      <c r="L259" s="5" t="n">
        <v>0</v>
      </c>
      <c r="M259" s="5" t="n">
        <v>0</v>
      </c>
      <c r="N259" s="5" t="n">
        <v>0</v>
      </c>
      <c r="O259" s="5" t="n">
        <v>1</v>
      </c>
      <c r="P259" s="5" t="n">
        <v>0</v>
      </c>
      <c r="Q259" s="5" t="n">
        <v>0</v>
      </c>
      <c r="R259" s="5" t="n">
        <v>0</v>
      </c>
      <c r="S259" s="5" t="n">
        <v>0</v>
      </c>
      <c r="T259" s="5" t="n">
        <v>1</v>
      </c>
      <c r="U259" s="5" t="inlineStr">
        <is>
          <t>testing</t>
        </is>
      </c>
    </row>
    <row r="260">
      <c r="A260" s="5" t="n">
        <v>256</v>
      </c>
      <c r="B260" s="5" t="n">
        <v>0</v>
      </c>
      <c r="C260" s="6" t="n">
        <v>3.308728647336942</v>
      </c>
      <c r="D260" s="6" t="n">
        <v>1.458109522349398</v>
      </c>
      <c r="E260" s="6" t="n">
        <v>-0.7427495967609852</v>
      </c>
      <c r="F260" s="6" t="n">
        <v>-1.786844513613144</v>
      </c>
      <c r="G260" s="5" t="n">
        <v>0</v>
      </c>
      <c r="H260" s="5" t="n">
        <v>1</v>
      </c>
      <c r="I260" s="5" t="n">
        <v>0</v>
      </c>
      <c r="J260" s="5" t="n">
        <v>0</v>
      </c>
      <c r="K260" s="5" t="n">
        <v>1</v>
      </c>
      <c r="L260" s="5" t="n">
        <v>0</v>
      </c>
      <c r="M260" s="5" t="n">
        <v>0</v>
      </c>
      <c r="N260" s="5" t="n">
        <v>0</v>
      </c>
      <c r="O260" s="5" t="n">
        <v>1</v>
      </c>
      <c r="P260" s="5" t="n">
        <v>0</v>
      </c>
      <c r="Q260" s="5" t="n">
        <v>0</v>
      </c>
      <c r="R260" s="5" t="n">
        <v>0</v>
      </c>
      <c r="S260" s="5" t="n">
        <v>1</v>
      </c>
      <c r="T260" s="5" t="n">
        <v>0</v>
      </c>
      <c r="U260" s="5" t="inlineStr">
        <is>
          <t>training</t>
        </is>
      </c>
    </row>
    <row r="261">
      <c r="A261" s="5" t="n">
        <v>257</v>
      </c>
      <c r="B261" s="5" t="n">
        <v>0</v>
      </c>
      <c r="C261" s="6" t="n">
        <v>0.275406400796963</v>
      </c>
      <c r="D261" s="6" t="n">
        <v>-0.1982827172249464</v>
      </c>
      <c r="E261" s="6" t="n">
        <v>-0.04696543117692405</v>
      </c>
      <c r="F261" s="6" t="n">
        <v>0.9185437189662378</v>
      </c>
      <c r="G261" s="5" t="n">
        <v>0</v>
      </c>
      <c r="H261" s="5" t="n">
        <v>0</v>
      </c>
      <c r="I261" s="5" t="n">
        <v>0</v>
      </c>
      <c r="J261" s="5" t="n">
        <v>1</v>
      </c>
      <c r="K261" s="5" t="n">
        <v>0</v>
      </c>
      <c r="L261" s="5" t="n">
        <v>0</v>
      </c>
      <c r="M261" s="5" t="n">
        <v>0</v>
      </c>
      <c r="N261" s="5" t="n">
        <v>0</v>
      </c>
      <c r="O261" s="5" t="n">
        <v>0</v>
      </c>
      <c r="P261" s="5" t="n">
        <v>0</v>
      </c>
      <c r="Q261" s="5" t="n">
        <v>0</v>
      </c>
      <c r="R261" s="5" t="n">
        <v>0</v>
      </c>
      <c r="S261" s="5" t="n">
        <v>1</v>
      </c>
      <c r="T261" s="5" t="n">
        <v>0</v>
      </c>
      <c r="U261" s="5" t="inlineStr">
        <is>
          <t>training</t>
        </is>
      </c>
    </row>
    <row r="262">
      <c r="A262" s="5" t="n">
        <v>258</v>
      </c>
      <c r="B262" s="5" t="n">
        <v>1</v>
      </c>
      <c r="C262" s="6" t="n">
        <v>-0.7357010147163632</v>
      </c>
      <c r="D262" s="6" t="n">
        <v>-0.3854753340758704</v>
      </c>
      <c r="E262" s="6" t="n">
        <v>-0.5688035553649698</v>
      </c>
      <c r="F262" s="6" t="n">
        <v>0.9185437189662378</v>
      </c>
      <c r="G262" s="5" t="n">
        <v>1</v>
      </c>
      <c r="H262" s="5" t="n">
        <v>0</v>
      </c>
      <c r="I262" s="5" t="n">
        <v>0</v>
      </c>
      <c r="J262" s="5" t="n">
        <v>0</v>
      </c>
      <c r="K262" s="5" t="n">
        <v>0</v>
      </c>
      <c r="L262" s="5" t="n">
        <v>1</v>
      </c>
      <c r="M262" s="5" t="n">
        <v>0</v>
      </c>
      <c r="N262" s="5" t="n">
        <v>0</v>
      </c>
      <c r="O262" s="5" t="n">
        <v>0</v>
      </c>
      <c r="P262" s="5" t="n">
        <v>0</v>
      </c>
      <c r="Q262" s="5" t="n">
        <v>1</v>
      </c>
      <c r="R262" s="5" t="n">
        <v>0</v>
      </c>
      <c r="S262" s="5" t="n">
        <v>1</v>
      </c>
      <c r="T262" s="5" t="n">
        <v>0</v>
      </c>
      <c r="U262" s="5" t="inlineStr">
        <is>
          <t>testing</t>
        </is>
      </c>
    </row>
    <row r="263">
      <c r="A263" s="5" t="n">
        <v>259</v>
      </c>
      <c r="B263" s="5" t="n">
        <v>0</v>
      </c>
      <c r="C263" s="6" t="n">
        <v>-0.4829241608380317</v>
      </c>
      <c r="D263" s="6" t="n">
        <v>0.1963962954999923</v>
      </c>
      <c r="E263" s="6" t="n">
        <v>-1.090641679553016</v>
      </c>
      <c r="F263" s="6" t="n">
        <v>-1.786844513613144</v>
      </c>
      <c r="G263" s="5" t="n">
        <v>0</v>
      </c>
      <c r="H263" s="5" t="n">
        <v>0</v>
      </c>
      <c r="I263" s="5" t="n">
        <v>0</v>
      </c>
      <c r="J263" s="5" t="n">
        <v>0</v>
      </c>
      <c r="K263" s="5" t="n">
        <v>0</v>
      </c>
      <c r="L263" s="5" t="n">
        <v>0</v>
      </c>
      <c r="M263" s="5" t="n">
        <v>1</v>
      </c>
      <c r="N263" s="5" t="n">
        <v>0</v>
      </c>
      <c r="O263" s="5" t="n">
        <v>0</v>
      </c>
      <c r="P263" s="5" t="n">
        <v>0</v>
      </c>
      <c r="Q263" s="5" t="n">
        <v>0</v>
      </c>
      <c r="R263" s="5" t="n">
        <v>1</v>
      </c>
      <c r="S263" s="5" t="n">
        <v>0</v>
      </c>
      <c r="T263" s="5" t="n">
        <v>0</v>
      </c>
      <c r="U263" s="5" t="inlineStr">
        <is>
          <t>training</t>
        </is>
      </c>
    </row>
    <row r="264">
      <c r="A264" s="5" t="n">
        <v>260</v>
      </c>
      <c r="B264" s="5" t="n">
        <v>0</v>
      </c>
      <c r="C264" s="6" t="n">
        <v>-0.8199599660091405</v>
      </c>
      <c r="D264" s="6" t="n">
        <v>-0.7336186121444112</v>
      </c>
      <c r="E264" s="6" t="n">
        <v>1.866441024179244</v>
      </c>
      <c r="F264" s="6" t="n">
        <v>0.9185437189662378</v>
      </c>
      <c r="G264" s="5" t="n">
        <v>0</v>
      </c>
      <c r="H264" s="5" t="n">
        <v>0</v>
      </c>
      <c r="I264" s="5" t="n">
        <v>0</v>
      </c>
      <c r="J264" s="5" t="n">
        <v>1</v>
      </c>
      <c r="K264" s="5" t="n">
        <v>0</v>
      </c>
      <c r="L264" s="5" t="n">
        <v>0</v>
      </c>
      <c r="M264" s="5" t="n">
        <v>1</v>
      </c>
      <c r="N264" s="5" t="n">
        <v>0</v>
      </c>
      <c r="O264" s="5" t="n">
        <v>0</v>
      </c>
      <c r="P264" s="5" t="n">
        <v>0</v>
      </c>
      <c r="Q264" s="5" t="n">
        <v>0</v>
      </c>
      <c r="R264" s="5" t="n">
        <v>0</v>
      </c>
      <c r="S264" s="5" t="n">
        <v>1</v>
      </c>
      <c r="T264" s="5" t="n">
        <v>0</v>
      </c>
      <c r="U264" s="5" t="inlineStr">
        <is>
          <t>training</t>
        </is>
      </c>
    </row>
    <row r="265">
      <c r="A265" s="5" t="n">
        <v>261</v>
      </c>
      <c r="B265" s="5" t="n">
        <v>0</v>
      </c>
      <c r="C265" s="6" t="n">
        <v>-0.7357010147163632</v>
      </c>
      <c r="D265" s="6" t="n">
        <v>-0.5576225630303649</v>
      </c>
      <c r="E265" s="6" t="n">
        <v>-0.7427495967609852</v>
      </c>
      <c r="F265" s="6" t="n">
        <v>-0.8850484360866833</v>
      </c>
      <c r="G265" s="5" t="n">
        <v>1</v>
      </c>
      <c r="H265" s="5" t="n">
        <v>0</v>
      </c>
      <c r="I265" s="5" t="n">
        <v>0</v>
      </c>
      <c r="J265" s="5" t="n">
        <v>0</v>
      </c>
      <c r="K265" s="5" t="n">
        <v>0</v>
      </c>
      <c r="L265" s="5" t="n">
        <v>0</v>
      </c>
      <c r="M265" s="5" t="n">
        <v>0</v>
      </c>
      <c r="N265" s="5" t="n">
        <v>0</v>
      </c>
      <c r="O265" s="5" t="n">
        <v>0</v>
      </c>
      <c r="P265" s="5" t="n">
        <v>0</v>
      </c>
      <c r="Q265" s="5" t="n">
        <v>0</v>
      </c>
      <c r="R265" s="5" t="n">
        <v>0</v>
      </c>
      <c r="S265" s="5" t="n">
        <v>0</v>
      </c>
      <c r="T265" s="5" t="n">
        <v>1</v>
      </c>
      <c r="U265" s="5" t="inlineStr">
        <is>
          <t>training</t>
        </is>
      </c>
    </row>
    <row r="266">
      <c r="A266" s="5" t="n">
        <v>262</v>
      </c>
      <c r="B266" s="5" t="n">
        <v>0</v>
      </c>
      <c r="C266" s="6" t="n">
        <v>0.275406400796963</v>
      </c>
      <c r="D266" s="6" t="n">
        <v>-0.576516771086346</v>
      </c>
      <c r="E266" s="6" t="n">
        <v>1.692494982783229</v>
      </c>
      <c r="F266" s="6" t="n">
        <v>0.9185437189662378</v>
      </c>
      <c r="G266" s="5" t="n">
        <v>1</v>
      </c>
      <c r="H266" s="5" t="n">
        <v>0</v>
      </c>
      <c r="I266" s="5" t="n">
        <v>0</v>
      </c>
      <c r="J266" s="5" t="n">
        <v>0</v>
      </c>
      <c r="K266" s="5" t="n">
        <v>0</v>
      </c>
      <c r="L266" s="5" t="n">
        <v>0</v>
      </c>
      <c r="M266" s="5" t="n">
        <v>0</v>
      </c>
      <c r="N266" s="5" t="n">
        <v>0</v>
      </c>
      <c r="O266" s="5" t="n">
        <v>0</v>
      </c>
      <c r="P266" s="5" t="n">
        <v>0</v>
      </c>
      <c r="Q266" s="5" t="n">
        <v>0</v>
      </c>
      <c r="R266" s="5" t="n">
        <v>0</v>
      </c>
      <c r="S266" s="5" t="n">
        <v>1</v>
      </c>
      <c r="T266" s="5" t="n">
        <v>0</v>
      </c>
      <c r="U266" s="5" t="inlineStr">
        <is>
          <t>testing</t>
        </is>
      </c>
    </row>
    <row r="267">
      <c r="A267" s="5" t="n">
        <v>263</v>
      </c>
      <c r="B267" s="5" t="n">
        <v>0</v>
      </c>
      <c r="C267" s="6" t="n">
        <v>-0.2301473069597001</v>
      </c>
      <c r="D267" s="6" t="n">
        <v>0.7177364807483599</v>
      </c>
      <c r="E267" s="6" t="n">
        <v>0.04000758952108359</v>
      </c>
      <c r="F267" s="6" t="n">
        <v>-0.8850484360866833</v>
      </c>
      <c r="G267" s="5" t="n">
        <v>1</v>
      </c>
      <c r="H267" s="5" t="n">
        <v>0</v>
      </c>
      <c r="I267" s="5" t="n">
        <v>0</v>
      </c>
      <c r="J267" s="5" t="n">
        <v>1</v>
      </c>
      <c r="K267" s="5" t="n">
        <v>0</v>
      </c>
      <c r="L267" s="5" t="n">
        <v>0</v>
      </c>
      <c r="M267" s="5" t="n">
        <v>0</v>
      </c>
      <c r="N267" s="5" t="n">
        <v>0</v>
      </c>
      <c r="O267" s="5" t="n">
        <v>0</v>
      </c>
      <c r="P267" s="5" t="n">
        <v>0</v>
      </c>
      <c r="Q267" s="5" t="n">
        <v>1</v>
      </c>
      <c r="R267" s="5" t="n">
        <v>1</v>
      </c>
      <c r="S267" s="5" t="n">
        <v>0</v>
      </c>
      <c r="T267" s="5" t="n">
        <v>0</v>
      </c>
      <c r="U267" s="5" t="inlineStr">
        <is>
          <t>training</t>
        </is>
      </c>
    </row>
    <row r="268">
      <c r="A268" s="5" t="n">
        <v>264</v>
      </c>
      <c r="B268" s="5" t="n">
        <v>0</v>
      </c>
      <c r="C268" s="6" t="n">
        <v>-0.7357010147163632</v>
      </c>
      <c r="D268" s="6" t="n">
        <v>-0.175889581751191</v>
      </c>
      <c r="E268" s="6" t="n">
        <v>1.866441024179244</v>
      </c>
      <c r="F268" s="6" t="n">
        <v>-0.8850484360866833</v>
      </c>
      <c r="G268" s="5" t="n">
        <v>0</v>
      </c>
      <c r="H268" s="5" t="n">
        <v>0</v>
      </c>
      <c r="I268" s="5" t="n">
        <v>0</v>
      </c>
      <c r="J268" s="5" t="n">
        <v>1</v>
      </c>
      <c r="K268" s="5" t="n">
        <v>0</v>
      </c>
      <c r="L268" s="5" t="n">
        <v>0</v>
      </c>
      <c r="M268" s="5" t="n">
        <v>0</v>
      </c>
      <c r="N268" s="5" t="n">
        <v>0</v>
      </c>
      <c r="O268" s="5" t="n">
        <v>0</v>
      </c>
      <c r="P268" s="5" t="n">
        <v>0</v>
      </c>
      <c r="Q268" s="5" t="n">
        <v>1</v>
      </c>
      <c r="R268" s="5" t="n">
        <v>0</v>
      </c>
      <c r="S268" s="5" t="n">
        <v>0</v>
      </c>
      <c r="T268" s="5" t="n">
        <v>0</v>
      </c>
      <c r="U268" s="5" t="inlineStr">
        <is>
          <t>training</t>
        </is>
      </c>
    </row>
    <row r="269">
      <c r="A269" s="5" t="n">
        <v>265</v>
      </c>
      <c r="B269" s="5" t="n">
        <v>0</v>
      </c>
      <c r="C269" s="6" t="n">
        <v>-0.9042189173019176</v>
      </c>
      <c r="D269" s="6" t="n">
        <v>-0.7066768710275493</v>
      </c>
      <c r="E269" s="6" t="n">
        <v>-0.307884493270947</v>
      </c>
      <c r="F269" s="6" t="n">
        <v>0.01674764143977723</v>
      </c>
      <c r="G269" s="5" t="n">
        <v>0</v>
      </c>
      <c r="H269" s="5" t="n">
        <v>0</v>
      </c>
      <c r="I269" s="5" t="n">
        <v>0</v>
      </c>
      <c r="J269" s="5" t="n">
        <v>1</v>
      </c>
      <c r="K269" s="5" t="n">
        <v>0</v>
      </c>
      <c r="L269" s="5" t="n">
        <v>0</v>
      </c>
      <c r="M269" s="5" t="n">
        <v>0</v>
      </c>
      <c r="N269" s="5" t="n">
        <v>0</v>
      </c>
      <c r="O269" s="5" t="n">
        <v>0</v>
      </c>
      <c r="P269" s="5" t="n">
        <v>0</v>
      </c>
      <c r="Q269" s="5" t="n">
        <v>0</v>
      </c>
      <c r="R269" s="5" t="n">
        <v>1</v>
      </c>
      <c r="S269" s="5" t="n">
        <v>0</v>
      </c>
      <c r="T269" s="5" t="n">
        <v>0</v>
      </c>
      <c r="U269" s="5" t="inlineStr">
        <is>
          <t>training</t>
        </is>
      </c>
    </row>
    <row r="270">
      <c r="A270" s="5" t="n">
        <v>266</v>
      </c>
      <c r="B270" s="5" t="n">
        <v>1</v>
      </c>
      <c r="C270" s="6" t="n">
        <v>-0.4829241608380317</v>
      </c>
      <c r="D270" s="6" t="n">
        <v>-0.8567808572500658</v>
      </c>
      <c r="E270" s="6" t="n">
        <v>0.1269806102190912</v>
      </c>
      <c r="F270" s="6" t="n">
        <v>0.9185437189662378</v>
      </c>
      <c r="G270" s="5" t="n">
        <v>0</v>
      </c>
      <c r="H270" s="5" t="n">
        <v>1</v>
      </c>
      <c r="I270" s="5" t="n">
        <v>0</v>
      </c>
      <c r="J270" s="5" t="n">
        <v>0</v>
      </c>
      <c r="K270" s="5" t="n">
        <v>0</v>
      </c>
      <c r="L270" s="5" t="n">
        <v>0</v>
      </c>
      <c r="M270" s="5" t="n">
        <v>0</v>
      </c>
      <c r="N270" s="5" t="n">
        <v>0</v>
      </c>
      <c r="O270" s="5" t="n">
        <v>0</v>
      </c>
      <c r="P270" s="5" t="n">
        <v>0</v>
      </c>
      <c r="Q270" s="5" t="n">
        <v>0</v>
      </c>
      <c r="R270" s="5" t="n">
        <v>0</v>
      </c>
      <c r="S270" s="5" t="n">
        <v>1</v>
      </c>
      <c r="T270" s="5" t="n">
        <v>0</v>
      </c>
      <c r="U270" s="5" t="inlineStr">
        <is>
          <t>training</t>
        </is>
      </c>
    </row>
    <row r="271">
      <c r="A271" s="5" t="n">
        <v>267</v>
      </c>
      <c r="B271" s="5" t="n">
        <v>0</v>
      </c>
      <c r="C271" s="6" t="n">
        <v>1.286513816310289</v>
      </c>
      <c r="D271" s="6" t="n">
        <v>1.068329008009343</v>
      </c>
      <c r="E271" s="6" t="n">
        <v>0.04000758952108359</v>
      </c>
      <c r="F271" s="6" t="n">
        <v>0.9185437189662378</v>
      </c>
      <c r="G271" s="5" t="n">
        <v>0</v>
      </c>
      <c r="H271" s="5" t="n">
        <v>0</v>
      </c>
      <c r="I271" s="5" t="n">
        <v>0</v>
      </c>
      <c r="J271" s="5" t="n">
        <v>1</v>
      </c>
      <c r="K271" s="5" t="n">
        <v>0</v>
      </c>
      <c r="L271" s="5" t="n">
        <v>0</v>
      </c>
      <c r="M271" s="5" t="n">
        <v>0</v>
      </c>
      <c r="N271" s="5" t="n">
        <v>0</v>
      </c>
      <c r="O271" s="5" t="n">
        <v>1</v>
      </c>
      <c r="P271" s="5" t="n">
        <v>0</v>
      </c>
      <c r="Q271" s="5" t="n">
        <v>0</v>
      </c>
      <c r="R271" s="5" t="n">
        <v>0</v>
      </c>
      <c r="S271" s="5" t="n">
        <v>0</v>
      </c>
      <c r="T271" s="5" t="n">
        <v>0</v>
      </c>
      <c r="U271" s="5" t="inlineStr">
        <is>
          <t>testing</t>
        </is>
      </c>
    </row>
    <row r="272">
      <c r="A272" s="5" t="n">
        <v>268</v>
      </c>
      <c r="B272" s="5" t="n">
        <v>0</v>
      </c>
      <c r="C272" s="6" t="n">
        <v>0.275406400796963</v>
      </c>
      <c r="D272" s="6" t="n">
        <v>-0.601009263010766</v>
      </c>
      <c r="E272" s="6" t="n">
        <v>0.2139536309170988</v>
      </c>
      <c r="F272" s="6" t="n">
        <v>0.9185437189662378</v>
      </c>
      <c r="G272" s="5" t="n">
        <v>0</v>
      </c>
      <c r="H272" s="5" t="n">
        <v>0</v>
      </c>
      <c r="I272" s="5" t="n">
        <v>0</v>
      </c>
      <c r="J272" s="5" t="n">
        <v>0</v>
      </c>
      <c r="K272" s="5" t="n">
        <v>0</v>
      </c>
      <c r="L272" s="5" t="n">
        <v>0</v>
      </c>
      <c r="M272" s="5" t="n">
        <v>0</v>
      </c>
      <c r="N272" s="5" t="n">
        <v>0</v>
      </c>
      <c r="O272" s="5" t="n">
        <v>0</v>
      </c>
      <c r="P272" s="5" t="n">
        <v>0</v>
      </c>
      <c r="Q272" s="5" t="n">
        <v>0</v>
      </c>
      <c r="R272" s="5" t="n">
        <v>0</v>
      </c>
      <c r="S272" s="5" t="n">
        <v>1</v>
      </c>
      <c r="T272" s="5" t="n">
        <v>0</v>
      </c>
      <c r="U272" s="5" t="inlineStr">
        <is>
          <t>training</t>
        </is>
      </c>
    </row>
    <row r="273">
      <c r="A273" s="5" t="n">
        <v>269</v>
      </c>
      <c r="B273" s="5" t="n">
        <v>1</v>
      </c>
      <c r="C273" s="6" t="n">
        <v>-0.5671831121308089</v>
      </c>
      <c r="D273" s="6" t="n">
        <v>2.003942199522185</v>
      </c>
      <c r="E273" s="6" t="n">
        <v>0.8227647758031523</v>
      </c>
      <c r="F273" s="6" t="n">
        <v>-1.786844513613144</v>
      </c>
      <c r="G273" s="5" t="n">
        <v>1</v>
      </c>
      <c r="H273" s="5" t="n">
        <v>0</v>
      </c>
      <c r="I273" s="5" t="n">
        <v>0</v>
      </c>
      <c r="J273" s="5" t="n">
        <v>0</v>
      </c>
      <c r="K273" s="5" t="n">
        <v>0</v>
      </c>
      <c r="L273" s="5" t="n">
        <v>0</v>
      </c>
      <c r="M273" s="5" t="n">
        <v>0</v>
      </c>
      <c r="N273" s="5" t="n">
        <v>0</v>
      </c>
      <c r="O273" s="5" t="n">
        <v>0</v>
      </c>
      <c r="P273" s="5" t="n">
        <v>0</v>
      </c>
      <c r="Q273" s="5" t="n">
        <v>0</v>
      </c>
      <c r="R273" s="5" t="n">
        <v>1</v>
      </c>
      <c r="S273" s="5" t="n">
        <v>0</v>
      </c>
      <c r="T273" s="5" t="n">
        <v>0</v>
      </c>
      <c r="U273" s="5" t="inlineStr">
        <is>
          <t>testing</t>
        </is>
      </c>
    </row>
    <row r="274">
      <c r="A274" s="5" t="n">
        <v>270</v>
      </c>
      <c r="B274" s="5" t="n">
        <v>0</v>
      </c>
      <c r="C274" s="6" t="n">
        <v>0.275406400796963</v>
      </c>
      <c r="D274" s="6" t="n">
        <v>-0.7878519871199126</v>
      </c>
      <c r="E274" s="6" t="n">
        <v>-0.9166956381570004</v>
      </c>
      <c r="F274" s="6" t="n">
        <v>0.9185437189662378</v>
      </c>
      <c r="G274" s="5" t="n">
        <v>0</v>
      </c>
      <c r="H274" s="5" t="n">
        <v>0</v>
      </c>
      <c r="I274" s="5" t="n">
        <v>0</v>
      </c>
      <c r="J274" s="5" t="n">
        <v>0</v>
      </c>
      <c r="K274" s="5" t="n">
        <v>0</v>
      </c>
      <c r="L274" s="5" t="n">
        <v>0</v>
      </c>
      <c r="M274" s="5" t="n">
        <v>0</v>
      </c>
      <c r="N274" s="5" t="n">
        <v>0</v>
      </c>
      <c r="O274" s="5" t="n">
        <v>1</v>
      </c>
      <c r="P274" s="5" t="n">
        <v>0</v>
      </c>
      <c r="Q274" s="5" t="n">
        <v>0</v>
      </c>
      <c r="R274" s="5" t="n">
        <v>0</v>
      </c>
      <c r="S274" s="5" t="n">
        <v>1</v>
      </c>
      <c r="T274" s="5" t="n">
        <v>0</v>
      </c>
      <c r="U274" s="5" t="inlineStr">
        <is>
          <t>training</t>
        </is>
      </c>
    </row>
    <row r="275">
      <c r="A275" s="5" t="n">
        <v>271</v>
      </c>
      <c r="B275" s="5" t="n">
        <v>0</v>
      </c>
      <c r="C275" s="6" t="n">
        <v>-0.2301473069597001</v>
      </c>
      <c r="D275" s="6" t="n">
        <v>-0.2059803575440499</v>
      </c>
      <c r="E275" s="6" t="n">
        <v>-0.307884493270947</v>
      </c>
      <c r="F275" s="6" t="n">
        <v>0.9185437189662378</v>
      </c>
      <c r="G275" s="5" t="n">
        <v>0</v>
      </c>
      <c r="H275" s="5" t="n">
        <v>0</v>
      </c>
      <c r="I275" s="5" t="n">
        <v>0</v>
      </c>
      <c r="J275" s="5" t="n">
        <v>0</v>
      </c>
      <c r="K275" s="5" t="n">
        <v>0</v>
      </c>
      <c r="L275" s="5" t="n">
        <v>0</v>
      </c>
      <c r="M275" s="5" t="n">
        <v>0</v>
      </c>
      <c r="N275" s="5" t="n">
        <v>0</v>
      </c>
      <c r="O275" s="5" t="n">
        <v>1</v>
      </c>
      <c r="P275" s="5" t="n">
        <v>0</v>
      </c>
      <c r="Q275" s="5" t="n">
        <v>0</v>
      </c>
      <c r="R275" s="5" t="n">
        <v>1</v>
      </c>
      <c r="S275" s="5" t="n">
        <v>0</v>
      </c>
      <c r="T275" s="5" t="n">
        <v>0</v>
      </c>
      <c r="U275" s="5" t="inlineStr">
        <is>
          <t>testing</t>
        </is>
      </c>
    </row>
    <row r="276">
      <c r="A276" s="5" t="n">
        <v>272</v>
      </c>
      <c r="B276" s="5" t="n">
        <v>0</v>
      </c>
      <c r="C276" s="6" t="n">
        <v>-0.7357010147163632</v>
      </c>
      <c r="D276" s="6" t="n">
        <v>-0.646845212183609</v>
      </c>
      <c r="E276" s="6" t="n">
        <v>0.1269806102190912</v>
      </c>
      <c r="F276" s="6" t="n">
        <v>0.01674764143977723</v>
      </c>
      <c r="G276" s="5" t="n">
        <v>0</v>
      </c>
      <c r="H276" s="5" t="n">
        <v>0</v>
      </c>
      <c r="I276" s="5" t="n">
        <v>0</v>
      </c>
      <c r="J276" s="5" t="n">
        <v>1</v>
      </c>
      <c r="K276" s="5" t="n">
        <v>0</v>
      </c>
      <c r="L276" s="5" t="n">
        <v>0</v>
      </c>
      <c r="M276" s="5" t="n">
        <v>1</v>
      </c>
      <c r="N276" s="5" t="n">
        <v>0</v>
      </c>
      <c r="O276" s="5" t="n">
        <v>0</v>
      </c>
      <c r="P276" s="5" t="n">
        <v>1</v>
      </c>
      <c r="Q276" s="5" t="n">
        <v>0</v>
      </c>
      <c r="R276" s="5" t="n">
        <v>0</v>
      </c>
      <c r="S276" s="5" t="n">
        <v>0</v>
      </c>
      <c r="T276" s="5" t="n">
        <v>1</v>
      </c>
      <c r="U276" s="5" t="inlineStr">
        <is>
          <t>testing</t>
        </is>
      </c>
    </row>
    <row r="277">
      <c r="A277" s="5" t="n">
        <v>273</v>
      </c>
      <c r="B277" s="5" t="n">
        <v>0</v>
      </c>
      <c r="C277" s="6" t="n">
        <v>2.297621231823615</v>
      </c>
      <c r="D277" s="6" t="n">
        <v>3.120449938533958</v>
      </c>
      <c r="E277" s="6" t="n">
        <v>0.04000758952108359</v>
      </c>
      <c r="F277" s="6" t="n">
        <v>0.9185437189662378</v>
      </c>
      <c r="G277" s="5" t="n">
        <v>0</v>
      </c>
      <c r="H277" s="5" t="n">
        <v>1</v>
      </c>
      <c r="I277" s="5" t="n">
        <v>0</v>
      </c>
      <c r="J277" s="5" t="n">
        <v>0</v>
      </c>
      <c r="K277" s="5" t="n">
        <v>0</v>
      </c>
      <c r="L277" s="5" t="n">
        <v>1</v>
      </c>
      <c r="M277" s="5" t="n">
        <v>0</v>
      </c>
      <c r="N277" s="5" t="n">
        <v>0</v>
      </c>
      <c r="O277" s="5" t="n">
        <v>1</v>
      </c>
      <c r="P277" s="5" t="n">
        <v>0</v>
      </c>
      <c r="Q277" s="5" t="n">
        <v>1</v>
      </c>
      <c r="R277" s="5" t="n">
        <v>1</v>
      </c>
      <c r="S277" s="5" t="n">
        <v>0</v>
      </c>
      <c r="T277" s="5" t="n">
        <v>0</v>
      </c>
      <c r="U277" s="5" t="inlineStr">
        <is>
          <t>training</t>
        </is>
      </c>
    </row>
    <row r="278">
      <c r="A278" s="5" t="n">
        <v>274</v>
      </c>
      <c r="B278" s="5" t="n">
        <v>1</v>
      </c>
      <c r="C278" s="6" t="n">
        <v>2.297621231823615</v>
      </c>
      <c r="D278" s="6" t="n">
        <v>-0.06672304631663353</v>
      </c>
      <c r="E278" s="6" t="n">
        <v>-0.6557765760629775</v>
      </c>
      <c r="F278" s="6" t="n">
        <v>0.9185437189662378</v>
      </c>
      <c r="G278" s="5" t="n">
        <v>0</v>
      </c>
      <c r="H278" s="5" t="n">
        <v>1</v>
      </c>
      <c r="I278" s="5" t="n">
        <v>0</v>
      </c>
      <c r="J278" s="5" t="n">
        <v>0</v>
      </c>
      <c r="K278" s="5" t="n">
        <v>0</v>
      </c>
      <c r="L278" s="5" t="n">
        <v>0</v>
      </c>
      <c r="M278" s="5" t="n">
        <v>0</v>
      </c>
      <c r="N278" s="5" t="n">
        <v>0</v>
      </c>
      <c r="O278" s="5" t="n">
        <v>0</v>
      </c>
      <c r="P278" s="5" t="n">
        <v>0</v>
      </c>
      <c r="Q278" s="5" t="n">
        <v>0</v>
      </c>
      <c r="R278" s="5" t="n">
        <v>0</v>
      </c>
      <c r="S278" s="5" t="n">
        <v>1</v>
      </c>
      <c r="T278" s="5" t="n">
        <v>0</v>
      </c>
      <c r="U278" s="5" t="inlineStr">
        <is>
          <t>training</t>
        </is>
      </c>
    </row>
    <row r="279">
      <c r="A279" s="5" t="n">
        <v>275</v>
      </c>
      <c r="B279" s="5" t="n">
        <v>1</v>
      </c>
      <c r="C279" s="6" t="n">
        <v>0.7809601085536261</v>
      </c>
      <c r="D279" s="6" t="n">
        <v>3.060618279690018</v>
      </c>
      <c r="E279" s="6" t="n">
        <v>-0.1339384518749317</v>
      </c>
      <c r="F279" s="6" t="n">
        <v>-1.786844513613144</v>
      </c>
      <c r="G279" s="5" t="n">
        <v>1</v>
      </c>
      <c r="H279" s="5" t="n">
        <v>0</v>
      </c>
      <c r="I279" s="5" t="n">
        <v>0</v>
      </c>
      <c r="J279" s="5" t="n">
        <v>0</v>
      </c>
      <c r="K279" s="5" t="n">
        <v>0</v>
      </c>
      <c r="L279" s="5" t="n">
        <v>0</v>
      </c>
      <c r="M279" s="5" t="n">
        <v>0</v>
      </c>
      <c r="N279" s="5" t="n">
        <v>0</v>
      </c>
      <c r="O279" s="5" t="n">
        <v>0</v>
      </c>
      <c r="P279" s="5" t="n">
        <v>0</v>
      </c>
      <c r="Q279" s="5" t="n">
        <v>0</v>
      </c>
      <c r="R279" s="5" t="n">
        <v>0</v>
      </c>
      <c r="S279" s="5" t="n">
        <v>0</v>
      </c>
      <c r="T279" s="5" t="n">
        <v>0</v>
      </c>
      <c r="U279" s="5" t="inlineStr">
        <is>
          <t>training</t>
        </is>
      </c>
    </row>
    <row r="280">
      <c r="A280" s="5" t="n">
        <v>276</v>
      </c>
      <c r="B280" s="5" t="n">
        <v>0</v>
      </c>
      <c r="C280" s="6" t="n">
        <v>-0.9884778685946948</v>
      </c>
      <c r="D280" s="6" t="n">
        <v>-0.1937341115818399</v>
      </c>
      <c r="E280" s="6" t="n">
        <v>-0.307884493270947</v>
      </c>
      <c r="F280" s="6" t="n">
        <v>-1.786844513613144</v>
      </c>
      <c r="G280" s="5" t="n">
        <v>0</v>
      </c>
      <c r="H280" s="5" t="n">
        <v>0</v>
      </c>
      <c r="I280" s="5" t="n">
        <v>0</v>
      </c>
      <c r="J280" s="5" t="n">
        <v>0</v>
      </c>
      <c r="K280" s="5" t="n">
        <v>0</v>
      </c>
      <c r="L280" s="5" t="n">
        <v>0</v>
      </c>
      <c r="M280" s="5" t="n">
        <v>0</v>
      </c>
      <c r="N280" s="5" t="n">
        <v>0</v>
      </c>
      <c r="O280" s="5" t="n">
        <v>0</v>
      </c>
      <c r="P280" s="5" t="n">
        <v>0</v>
      </c>
      <c r="Q280" s="5" t="n">
        <v>0</v>
      </c>
      <c r="R280" s="5" t="n">
        <v>0</v>
      </c>
      <c r="S280" s="5" t="n">
        <v>1</v>
      </c>
      <c r="T280" s="5" t="n">
        <v>0</v>
      </c>
      <c r="U280" s="5" t="inlineStr">
        <is>
          <t>training</t>
        </is>
      </c>
    </row>
    <row r="281">
      <c r="A281" s="5" t="n">
        <v>277</v>
      </c>
      <c r="B281" s="5" t="n">
        <v>0</v>
      </c>
      <c r="C281" s="6" t="n">
        <v>-0.2301473069597001</v>
      </c>
      <c r="D281" s="6" t="n">
        <v>-0.2962526849226262</v>
      </c>
      <c r="E281" s="6" t="n">
        <v>-0.8297226174589928</v>
      </c>
      <c r="F281" s="6" t="n">
        <v>-0.8850484360866833</v>
      </c>
      <c r="G281" s="5" t="n">
        <v>0</v>
      </c>
      <c r="H281" s="5" t="n">
        <v>0</v>
      </c>
      <c r="I281" s="5" t="n">
        <v>0</v>
      </c>
      <c r="J281" s="5" t="n">
        <v>1</v>
      </c>
      <c r="K281" s="5" t="n">
        <v>0</v>
      </c>
      <c r="L281" s="5" t="n">
        <v>0</v>
      </c>
      <c r="M281" s="5" t="n">
        <v>0</v>
      </c>
      <c r="N281" s="5" t="n">
        <v>0</v>
      </c>
      <c r="O281" s="5" t="n">
        <v>0</v>
      </c>
      <c r="P281" s="5" t="n">
        <v>0</v>
      </c>
      <c r="Q281" s="5" t="n">
        <v>0</v>
      </c>
      <c r="R281" s="5" t="n">
        <v>0</v>
      </c>
      <c r="S281" s="5" t="n">
        <v>1</v>
      </c>
      <c r="T281" s="5" t="n">
        <v>0</v>
      </c>
      <c r="U281" s="5" t="inlineStr">
        <is>
          <t>training</t>
        </is>
      </c>
    </row>
    <row r="282">
      <c r="A282" s="5" t="n">
        <v>278</v>
      </c>
      <c r="B282" s="5" t="n">
        <v>0</v>
      </c>
      <c r="C282" s="6" t="n">
        <v>-0.7357010147163632</v>
      </c>
      <c r="D282" s="6" t="n">
        <v>-0.695830196032449</v>
      </c>
      <c r="E282" s="6" t="n">
        <v>1.170656858595183</v>
      </c>
      <c r="F282" s="6" t="n">
        <v>-0.8850484360866833</v>
      </c>
      <c r="G282" s="5" t="n">
        <v>1</v>
      </c>
      <c r="H282" s="5" t="n">
        <v>0</v>
      </c>
      <c r="I282" s="5" t="n">
        <v>0</v>
      </c>
      <c r="J282" s="5" t="n">
        <v>0</v>
      </c>
      <c r="K282" s="5" t="n">
        <v>0</v>
      </c>
      <c r="L282" s="5" t="n">
        <v>0</v>
      </c>
      <c r="M282" s="5" t="n">
        <v>0</v>
      </c>
      <c r="N282" s="5" t="n">
        <v>0</v>
      </c>
      <c r="O282" s="5" t="n">
        <v>1</v>
      </c>
      <c r="P282" s="5" t="n">
        <v>0</v>
      </c>
      <c r="Q282" s="5" t="n">
        <v>0</v>
      </c>
      <c r="R282" s="5" t="n">
        <v>0</v>
      </c>
      <c r="S282" s="5" t="n">
        <v>0</v>
      </c>
      <c r="T282" s="5" t="n">
        <v>1</v>
      </c>
      <c r="U282" s="5" t="inlineStr">
        <is>
          <t>training</t>
        </is>
      </c>
    </row>
    <row r="283">
      <c r="A283" s="5" t="n">
        <v>279</v>
      </c>
      <c r="B283" s="5" t="n">
        <v>1</v>
      </c>
      <c r="C283" s="6" t="n">
        <v>-1.241254722473026</v>
      </c>
      <c r="D283" s="6" t="n">
        <v>0.4759605961801572</v>
      </c>
      <c r="E283" s="6" t="n">
        <v>-0.307884493270947</v>
      </c>
      <c r="F283" s="6" t="n">
        <v>-1.786844513613144</v>
      </c>
      <c r="G283" s="5" t="n">
        <v>0</v>
      </c>
      <c r="H283" s="5" t="n">
        <v>0</v>
      </c>
      <c r="I283" s="5" t="n">
        <v>0</v>
      </c>
      <c r="J283" s="5" t="n">
        <v>0</v>
      </c>
      <c r="K283" s="5" t="n">
        <v>0</v>
      </c>
      <c r="L283" s="5" t="n">
        <v>0</v>
      </c>
      <c r="M283" s="5" t="n">
        <v>0</v>
      </c>
      <c r="N283" s="5" t="n">
        <v>0</v>
      </c>
      <c r="O283" s="5" t="n">
        <v>0</v>
      </c>
      <c r="P283" s="5" t="n">
        <v>0</v>
      </c>
      <c r="Q283" s="5" t="n">
        <v>0</v>
      </c>
      <c r="R283" s="5" t="n">
        <v>0</v>
      </c>
      <c r="S283" s="5" t="n">
        <v>0</v>
      </c>
      <c r="T283" s="5" t="n">
        <v>1</v>
      </c>
      <c r="U283" s="5" t="inlineStr">
        <is>
          <t>testing</t>
        </is>
      </c>
    </row>
    <row r="284">
      <c r="A284" s="5" t="n">
        <v>280</v>
      </c>
      <c r="B284" s="5" t="n">
        <v>0</v>
      </c>
      <c r="C284" s="6" t="n">
        <v>0.275406400796963</v>
      </c>
      <c r="D284" s="6" t="n">
        <v>-0.4722487340366725</v>
      </c>
      <c r="E284" s="6" t="n">
        <v>-0.5688035553649698</v>
      </c>
      <c r="F284" s="6" t="n">
        <v>0.9185437189662378</v>
      </c>
      <c r="G284" s="5" t="n">
        <v>0</v>
      </c>
      <c r="H284" s="5" t="n">
        <v>0</v>
      </c>
      <c r="I284" s="5" t="n">
        <v>0</v>
      </c>
      <c r="J284" s="5" t="n">
        <v>0</v>
      </c>
      <c r="K284" s="5" t="n">
        <v>0</v>
      </c>
      <c r="L284" s="5" t="n">
        <v>0</v>
      </c>
      <c r="M284" s="5" t="n">
        <v>1</v>
      </c>
      <c r="N284" s="5" t="n">
        <v>0</v>
      </c>
      <c r="O284" s="5" t="n">
        <v>0</v>
      </c>
      <c r="P284" s="5" t="n">
        <v>1</v>
      </c>
      <c r="Q284" s="5" t="n">
        <v>0</v>
      </c>
      <c r="R284" s="5" t="n">
        <v>0</v>
      </c>
      <c r="S284" s="5" t="n">
        <v>1</v>
      </c>
      <c r="T284" s="5" t="n">
        <v>0</v>
      </c>
      <c r="U284" s="5" t="inlineStr">
        <is>
          <t>testing</t>
        </is>
      </c>
    </row>
    <row r="285">
      <c r="A285" s="5" t="n">
        <v>281</v>
      </c>
      <c r="B285" s="5" t="n">
        <v>0</v>
      </c>
      <c r="C285" s="6" t="n">
        <v>-0.4829241608380317</v>
      </c>
      <c r="D285" s="6" t="n">
        <v>0.04104391815081428</v>
      </c>
      <c r="E285" s="6" t="n">
        <v>-1.090641679553016</v>
      </c>
      <c r="F285" s="6" t="n">
        <v>0.01674764143977723</v>
      </c>
      <c r="G285" s="5" t="n">
        <v>0</v>
      </c>
      <c r="H285" s="5" t="n">
        <v>0</v>
      </c>
      <c r="I285" s="5" t="n">
        <v>0</v>
      </c>
      <c r="J285" s="5" t="n">
        <v>1</v>
      </c>
      <c r="K285" s="5" t="n">
        <v>0</v>
      </c>
      <c r="L285" s="5" t="n">
        <v>0</v>
      </c>
      <c r="M285" s="5" t="n">
        <v>0</v>
      </c>
      <c r="N285" s="5" t="n">
        <v>1</v>
      </c>
      <c r="O285" s="5" t="n">
        <v>0</v>
      </c>
      <c r="P285" s="5" t="n">
        <v>1</v>
      </c>
      <c r="Q285" s="5" t="n">
        <v>0</v>
      </c>
      <c r="R285" s="5" t="n">
        <v>1</v>
      </c>
      <c r="S285" s="5" t="n">
        <v>0</v>
      </c>
      <c r="T285" s="5" t="n">
        <v>0</v>
      </c>
      <c r="U285" s="5" t="inlineStr">
        <is>
          <t>testing</t>
        </is>
      </c>
    </row>
    <row r="286">
      <c r="A286" s="5" t="n">
        <v>282</v>
      </c>
      <c r="B286" s="5" t="n">
        <v>0</v>
      </c>
      <c r="C286" s="6" t="n">
        <v>-0.7357010147163632</v>
      </c>
      <c r="D286" s="6" t="n">
        <v>-0.5866636605978914</v>
      </c>
      <c r="E286" s="6" t="n">
        <v>1.257629879293191</v>
      </c>
      <c r="F286" s="6" t="n">
        <v>0.9185437189662378</v>
      </c>
      <c r="G286" s="5" t="n">
        <v>0</v>
      </c>
      <c r="H286" s="5" t="n">
        <v>0</v>
      </c>
      <c r="I286" s="5" t="n">
        <v>0</v>
      </c>
      <c r="J286" s="5" t="n">
        <v>0</v>
      </c>
      <c r="K286" s="5" t="n">
        <v>0</v>
      </c>
      <c r="L286" s="5" t="n">
        <v>0</v>
      </c>
      <c r="M286" s="5" t="n">
        <v>0</v>
      </c>
      <c r="N286" s="5" t="n">
        <v>0</v>
      </c>
      <c r="O286" s="5" t="n">
        <v>0</v>
      </c>
      <c r="P286" s="5" t="n">
        <v>0</v>
      </c>
      <c r="Q286" s="5" t="n">
        <v>0</v>
      </c>
      <c r="R286" s="5" t="n">
        <v>0</v>
      </c>
      <c r="S286" s="5" t="n">
        <v>0</v>
      </c>
      <c r="T286" s="5" t="n">
        <v>1</v>
      </c>
      <c r="U286" s="5" t="inlineStr">
        <is>
          <t>training</t>
        </is>
      </c>
    </row>
    <row r="287">
      <c r="A287" s="5" t="n">
        <v>283</v>
      </c>
      <c r="B287" s="5" t="n">
        <v>0</v>
      </c>
      <c r="C287" s="6" t="n">
        <v>-0.2301473069597001</v>
      </c>
      <c r="D287" s="6" t="n">
        <v>-0.6317998242871796</v>
      </c>
      <c r="E287" s="6" t="n">
        <v>1.170656858595183</v>
      </c>
      <c r="F287" s="6" t="n">
        <v>0.9185437189662378</v>
      </c>
      <c r="G287" s="5" t="n">
        <v>0</v>
      </c>
      <c r="H287" s="5" t="n">
        <v>0</v>
      </c>
      <c r="I287" s="5" t="n">
        <v>1</v>
      </c>
      <c r="J287" s="5" t="n">
        <v>0</v>
      </c>
      <c r="K287" s="5" t="n">
        <v>0</v>
      </c>
      <c r="L287" s="5" t="n">
        <v>1</v>
      </c>
      <c r="M287" s="5" t="n">
        <v>0</v>
      </c>
      <c r="N287" s="5" t="n">
        <v>0</v>
      </c>
      <c r="O287" s="5" t="n">
        <v>1</v>
      </c>
      <c r="P287" s="5" t="n">
        <v>0</v>
      </c>
      <c r="Q287" s="5" t="n">
        <v>0</v>
      </c>
      <c r="R287" s="5" t="n">
        <v>0</v>
      </c>
      <c r="S287" s="5" t="n">
        <v>1</v>
      </c>
      <c r="T287" s="5" t="n">
        <v>0</v>
      </c>
      <c r="U287" s="5" t="inlineStr">
        <is>
          <t>training</t>
        </is>
      </c>
    </row>
    <row r="288">
      <c r="A288" s="5" t="n">
        <v>284</v>
      </c>
      <c r="B288" s="5" t="n">
        <v>0</v>
      </c>
      <c r="C288" s="6" t="n">
        <v>-0.4829241608380317</v>
      </c>
      <c r="D288" s="6" t="n">
        <v>-0.6055578686538726</v>
      </c>
      <c r="E288" s="6" t="n">
        <v>2.38827914836729</v>
      </c>
      <c r="F288" s="6" t="n">
        <v>0.9185437189662378</v>
      </c>
      <c r="G288" s="5" t="n">
        <v>0</v>
      </c>
      <c r="H288" s="5" t="n">
        <v>0</v>
      </c>
      <c r="I288" s="5" t="n">
        <v>0</v>
      </c>
      <c r="J288" s="5" t="n">
        <v>1</v>
      </c>
      <c r="K288" s="5" t="n">
        <v>0</v>
      </c>
      <c r="L288" s="5" t="n">
        <v>0</v>
      </c>
      <c r="M288" s="5" t="n">
        <v>0</v>
      </c>
      <c r="N288" s="5" t="n">
        <v>0</v>
      </c>
      <c r="O288" s="5" t="n">
        <v>1</v>
      </c>
      <c r="P288" s="5" t="n">
        <v>0</v>
      </c>
      <c r="Q288" s="5" t="n">
        <v>0</v>
      </c>
      <c r="R288" s="5" t="n">
        <v>0</v>
      </c>
      <c r="S288" s="5" t="n">
        <v>0</v>
      </c>
      <c r="T288" s="5" t="n">
        <v>1</v>
      </c>
      <c r="U288" s="5" t="inlineStr">
        <is>
          <t>training</t>
        </is>
      </c>
    </row>
    <row r="289">
      <c r="A289" s="5" t="n">
        <v>285</v>
      </c>
      <c r="B289" s="5" t="n">
        <v>0</v>
      </c>
      <c r="C289" s="6" t="n">
        <v>0.275406400796963</v>
      </c>
      <c r="D289" s="6" t="n">
        <v>0.2194892164573025</v>
      </c>
      <c r="E289" s="6" t="n">
        <v>0.1269806102190912</v>
      </c>
      <c r="F289" s="6" t="n">
        <v>0.9185437189662378</v>
      </c>
      <c r="G289" s="5" t="n">
        <v>0</v>
      </c>
      <c r="H289" s="5" t="n">
        <v>1</v>
      </c>
      <c r="I289" s="5" t="n">
        <v>0</v>
      </c>
      <c r="J289" s="5" t="n">
        <v>1</v>
      </c>
      <c r="K289" s="5" t="n">
        <v>0</v>
      </c>
      <c r="L289" s="5" t="n">
        <v>0</v>
      </c>
      <c r="M289" s="5" t="n">
        <v>1</v>
      </c>
      <c r="N289" s="5" t="n">
        <v>0</v>
      </c>
      <c r="O289" s="5" t="n">
        <v>0</v>
      </c>
      <c r="P289" s="5" t="n">
        <v>0</v>
      </c>
      <c r="Q289" s="5" t="n">
        <v>0</v>
      </c>
      <c r="R289" s="5" t="n">
        <v>1</v>
      </c>
      <c r="S289" s="5" t="n">
        <v>0</v>
      </c>
      <c r="T289" s="5" t="n">
        <v>0</v>
      </c>
      <c r="U289" s="5" t="inlineStr">
        <is>
          <t>training</t>
        </is>
      </c>
    </row>
    <row r="290">
      <c r="A290" s="5" t="n">
        <v>286</v>
      </c>
      <c r="B290" s="5" t="n">
        <v>0</v>
      </c>
      <c r="C290" s="6" t="n">
        <v>2.213362280530838</v>
      </c>
      <c r="D290" s="6" t="n">
        <v>2.61415514118202</v>
      </c>
      <c r="E290" s="6" t="n">
        <v>-0.04696543117692405</v>
      </c>
      <c r="F290" s="6" t="n">
        <v>-1.786844513613144</v>
      </c>
      <c r="G290" s="5" t="n">
        <v>1</v>
      </c>
      <c r="H290" s="5" t="n">
        <v>0</v>
      </c>
      <c r="I290" s="5" t="n">
        <v>0</v>
      </c>
      <c r="J290" s="5" t="n">
        <v>0</v>
      </c>
      <c r="K290" s="5" t="n">
        <v>0</v>
      </c>
      <c r="L290" s="5" t="n">
        <v>0</v>
      </c>
      <c r="M290" s="5" t="n">
        <v>0</v>
      </c>
      <c r="N290" s="5" t="n">
        <v>0</v>
      </c>
      <c r="O290" s="5" t="n">
        <v>0</v>
      </c>
      <c r="P290" s="5" t="n">
        <v>0</v>
      </c>
      <c r="Q290" s="5" t="n">
        <v>0</v>
      </c>
      <c r="R290" s="5" t="n">
        <v>1</v>
      </c>
      <c r="S290" s="5" t="n">
        <v>0</v>
      </c>
      <c r="T290" s="5" t="n">
        <v>0</v>
      </c>
      <c r="U290" s="5" t="inlineStr">
        <is>
          <t>testing</t>
        </is>
      </c>
    </row>
    <row r="291">
      <c r="A291" s="5" t="n">
        <v>287</v>
      </c>
      <c r="B291" s="5" t="n">
        <v>0</v>
      </c>
      <c r="C291" s="6" t="n">
        <v>2.297621231823615</v>
      </c>
      <c r="D291" s="6" t="n">
        <v>0.5378916114747619</v>
      </c>
      <c r="E291" s="6" t="n">
        <v>-0.8297226174589928</v>
      </c>
      <c r="F291" s="6" t="n">
        <v>0.9185437189662378</v>
      </c>
      <c r="G291" s="5" t="n">
        <v>1</v>
      </c>
      <c r="H291" s="5" t="n">
        <v>0</v>
      </c>
      <c r="I291" s="5" t="n">
        <v>0</v>
      </c>
      <c r="J291" s="5" t="n">
        <v>0</v>
      </c>
      <c r="K291" s="5" t="n">
        <v>0</v>
      </c>
      <c r="L291" s="5" t="n">
        <v>0</v>
      </c>
      <c r="M291" s="5" t="n">
        <v>0</v>
      </c>
      <c r="N291" s="5" t="n">
        <v>0</v>
      </c>
      <c r="O291" s="5" t="n">
        <v>0</v>
      </c>
      <c r="P291" s="5" t="n">
        <v>0</v>
      </c>
      <c r="Q291" s="5" t="n">
        <v>0</v>
      </c>
      <c r="R291" s="5" t="n">
        <v>1</v>
      </c>
      <c r="S291" s="5" t="n">
        <v>0</v>
      </c>
      <c r="T291" s="5" t="n">
        <v>0</v>
      </c>
      <c r="U291" s="5" t="inlineStr">
        <is>
          <t>training</t>
        </is>
      </c>
    </row>
    <row r="292">
      <c r="A292" s="5" t="n">
        <v>288</v>
      </c>
      <c r="B292" s="5" t="n">
        <v>0</v>
      </c>
      <c r="C292" s="6" t="n">
        <v>2.297621231823615</v>
      </c>
      <c r="D292" s="6" t="n">
        <v>1.515491932000896</v>
      </c>
      <c r="E292" s="6" t="n">
        <v>-0.3948575139689546</v>
      </c>
      <c r="F292" s="6" t="n">
        <v>-0.8850484360866833</v>
      </c>
      <c r="G292" s="5" t="n">
        <v>0</v>
      </c>
      <c r="H292" s="5" t="n">
        <v>1</v>
      </c>
      <c r="I292" s="5" t="n">
        <v>0</v>
      </c>
      <c r="J292" s="5" t="n">
        <v>0</v>
      </c>
      <c r="K292" s="5" t="n">
        <v>1</v>
      </c>
      <c r="L292" s="5" t="n">
        <v>0</v>
      </c>
      <c r="M292" s="5" t="n">
        <v>1</v>
      </c>
      <c r="N292" s="5" t="n">
        <v>0</v>
      </c>
      <c r="O292" s="5" t="n">
        <v>0</v>
      </c>
      <c r="P292" s="5" t="n">
        <v>0</v>
      </c>
      <c r="Q292" s="5" t="n">
        <v>1</v>
      </c>
      <c r="R292" s="5" t="n">
        <v>0</v>
      </c>
      <c r="S292" s="5" t="n">
        <v>0</v>
      </c>
      <c r="T292" s="5" t="n">
        <v>0</v>
      </c>
      <c r="U292" s="5" t="inlineStr">
        <is>
          <t>testing</t>
        </is>
      </c>
    </row>
    <row r="293">
      <c r="A293" s="5" t="n">
        <v>289</v>
      </c>
      <c r="B293" s="5" t="n">
        <v>0</v>
      </c>
      <c r="C293" s="6" t="n">
        <v>-0.7357010147163632</v>
      </c>
      <c r="D293" s="6" t="n">
        <v>-0.7553119621346117</v>
      </c>
      <c r="E293" s="6" t="n">
        <v>1.170656858595183</v>
      </c>
      <c r="F293" s="6" t="n">
        <v>0.9185437189662378</v>
      </c>
      <c r="G293" s="5" t="n">
        <v>0</v>
      </c>
      <c r="H293" s="5" t="n">
        <v>1</v>
      </c>
      <c r="I293" s="5" t="n">
        <v>0</v>
      </c>
      <c r="J293" s="5" t="n">
        <v>0</v>
      </c>
      <c r="K293" s="5" t="n">
        <v>0</v>
      </c>
      <c r="L293" s="5" t="n">
        <v>0</v>
      </c>
      <c r="M293" s="5" t="n">
        <v>0</v>
      </c>
      <c r="N293" s="5" t="n">
        <v>0</v>
      </c>
      <c r="O293" s="5" t="n">
        <v>0</v>
      </c>
      <c r="P293" s="5" t="n">
        <v>0</v>
      </c>
      <c r="Q293" s="5" t="n">
        <v>0</v>
      </c>
      <c r="R293" s="5" t="n">
        <v>0</v>
      </c>
      <c r="S293" s="5" t="n">
        <v>1</v>
      </c>
      <c r="T293" s="5" t="n">
        <v>0</v>
      </c>
      <c r="U293" s="5" t="inlineStr">
        <is>
          <t>testing</t>
        </is>
      </c>
    </row>
    <row r="294">
      <c r="A294" s="5" t="n">
        <v>290</v>
      </c>
      <c r="B294" s="5" t="n">
        <v>1</v>
      </c>
      <c r="C294" s="6" t="n">
        <v>0.275406400796963</v>
      </c>
      <c r="D294" s="6" t="n">
        <v>-0.7791046685754768</v>
      </c>
      <c r="E294" s="6" t="n">
        <v>1.083683837897175</v>
      </c>
      <c r="F294" s="6" t="n">
        <v>0.9185437189662378</v>
      </c>
      <c r="G294" s="5" t="n">
        <v>1</v>
      </c>
      <c r="H294" s="5" t="n">
        <v>0</v>
      </c>
      <c r="I294" s="5" t="n">
        <v>0</v>
      </c>
      <c r="J294" s="5" t="n">
        <v>0</v>
      </c>
      <c r="K294" s="5" t="n">
        <v>1</v>
      </c>
      <c r="L294" s="5" t="n">
        <v>0</v>
      </c>
      <c r="M294" s="5" t="n">
        <v>0</v>
      </c>
      <c r="N294" s="5" t="n">
        <v>0</v>
      </c>
      <c r="O294" s="5" t="n">
        <v>0</v>
      </c>
      <c r="P294" s="5" t="n">
        <v>0</v>
      </c>
      <c r="Q294" s="5" t="n">
        <v>0</v>
      </c>
      <c r="R294" s="5" t="n">
        <v>0</v>
      </c>
      <c r="S294" s="5" t="n">
        <v>1</v>
      </c>
      <c r="T294" s="5" t="n">
        <v>0</v>
      </c>
      <c r="U294" s="5" t="inlineStr">
        <is>
          <t>training</t>
        </is>
      </c>
    </row>
    <row r="295">
      <c r="A295" s="5" t="n">
        <v>291</v>
      </c>
      <c r="B295" s="5" t="n">
        <v>0</v>
      </c>
      <c r="C295" s="6" t="n">
        <v>-0.7357010147163632</v>
      </c>
      <c r="D295" s="6" t="n">
        <v>-0.7609102460030506</v>
      </c>
      <c r="E295" s="6" t="n">
        <v>-0.8297226174589928</v>
      </c>
      <c r="F295" s="6" t="n">
        <v>-0.8850484360866833</v>
      </c>
      <c r="G295" s="5" t="n">
        <v>0</v>
      </c>
      <c r="H295" s="5" t="n">
        <v>0</v>
      </c>
      <c r="I295" s="5" t="n">
        <v>0</v>
      </c>
      <c r="J295" s="5" t="n">
        <v>0</v>
      </c>
      <c r="K295" s="5" t="n">
        <v>0</v>
      </c>
      <c r="L295" s="5" t="n">
        <v>0</v>
      </c>
      <c r="M295" s="5" t="n">
        <v>0</v>
      </c>
      <c r="N295" s="5" t="n">
        <v>0</v>
      </c>
      <c r="O295" s="5" t="n">
        <v>0</v>
      </c>
      <c r="P295" s="5" t="n">
        <v>0</v>
      </c>
      <c r="Q295" s="5" t="n">
        <v>0</v>
      </c>
      <c r="R295" s="5" t="n">
        <v>0</v>
      </c>
      <c r="S295" s="5" t="n">
        <v>0</v>
      </c>
      <c r="T295" s="5" t="n">
        <v>0</v>
      </c>
      <c r="U295" s="5" t="inlineStr">
        <is>
          <t>training</t>
        </is>
      </c>
    </row>
    <row r="296">
      <c r="A296" s="5" t="n">
        <v>292</v>
      </c>
      <c r="B296" s="5" t="n">
        <v>1</v>
      </c>
      <c r="C296" s="6" t="n">
        <v>1.286513816310289</v>
      </c>
      <c r="D296" s="6" t="n">
        <v>2.150897151068705</v>
      </c>
      <c r="E296" s="6" t="n">
        <v>-0.6557765760629775</v>
      </c>
      <c r="F296" s="6" t="n">
        <v>-1.786844513613144</v>
      </c>
      <c r="G296" s="5" t="n">
        <v>0</v>
      </c>
      <c r="H296" s="5" t="n">
        <v>1</v>
      </c>
      <c r="I296" s="5" t="n">
        <v>0</v>
      </c>
      <c r="J296" s="5" t="n">
        <v>0</v>
      </c>
      <c r="K296" s="5" t="n">
        <v>0</v>
      </c>
      <c r="L296" s="5" t="n">
        <v>0</v>
      </c>
      <c r="M296" s="5" t="n">
        <v>0</v>
      </c>
      <c r="N296" s="5" t="n">
        <v>0</v>
      </c>
      <c r="O296" s="5" t="n">
        <v>0</v>
      </c>
      <c r="P296" s="5" t="n">
        <v>1</v>
      </c>
      <c r="Q296" s="5" t="n">
        <v>0</v>
      </c>
      <c r="R296" s="5" t="n">
        <v>1</v>
      </c>
      <c r="S296" s="5" t="n">
        <v>0</v>
      </c>
      <c r="T296" s="5" t="n">
        <v>0</v>
      </c>
      <c r="U296" s="5" t="inlineStr">
        <is>
          <t>training</t>
        </is>
      </c>
    </row>
    <row r="297">
      <c r="A297" s="5" t="n">
        <v>293</v>
      </c>
      <c r="B297" s="5" t="n">
        <v>0</v>
      </c>
      <c r="C297" s="6" t="n">
        <v>0.275406400796963</v>
      </c>
      <c r="D297" s="6" t="n">
        <v>1.108566673313747</v>
      </c>
      <c r="E297" s="6" t="n">
        <v>0.7357917551051447</v>
      </c>
      <c r="F297" s="6" t="n">
        <v>-0.8850484360866833</v>
      </c>
      <c r="G297" s="5" t="n">
        <v>1</v>
      </c>
      <c r="H297" s="5" t="n">
        <v>0</v>
      </c>
      <c r="I297" s="5" t="n">
        <v>0</v>
      </c>
      <c r="J297" s="5" t="n">
        <v>1</v>
      </c>
      <c r="K297" s="5" t="n">
        <v>0</v>
      </c>
      <c r="L297" s="5" t="n">
        <v>0</v>
      </c>
      <c r="M297" s="5" t="n">
        <v>0</v>
      </c>
      <c r="N297" s="5" t="n">
        <v>0</v>
      </c>
      <c r="O297" s="5" t="n">
        <v>0</v>
      </c>
      <c r="P297" s="5" t="n">
        <v>0</v>
      </c>
      <c r="Q297" s="5" t="n">
        <v>1</v>
      </c>
      <c r="R297" s="5" t="n">
        <v>1</v>
      </c>
      <c r="S297" s="5" t="n">
        <v>0</v>
      </c>
      <c r="T297" s="5" t="n">
        <v>0</v>
      </c>
      <c r="U297" s="5" t="inlineStr">
        <is>
          <t>training</t>
        </is>
      </c>
    </row>
    <row r="298">
      <c r="A298" s="5" t="n">
        <v>294</v>
      </c>
      <c r="B298" s="5" t="n">
        <v>0</v>
      </c>
      <c r="C298" s="6" t="n">
        <v>1.792067524066952</v>
      </c>
      <c r="D298" s="6" t="n">
        <v>0.5406907534089814</v>
      </c>
      <c r="E298" s="6" t="n">
        <v>1.779468003481236</v>
      </c>
      <c r="F298" s="6" t="n">
        <v>0.9185437189662378</v>
      </c>
      <c r="G298" s="5" t="n">
        <v>0</v>
      </c>
      <c r="H298" s="5" t="n">
        <v>0</v>
      </c>
      <c r="I298" s="5" t="n">
        <v>1</v>
      </c>
      <c r="J298" s="5" t="n">
        <v>1</v>
      </c>
      <c r="K298" s="5" t="n">
        <v>0</v>
      </c>
      <c r="L298" s="5" t="n">
        <v>0</v>
      </c>
      <c r="M298" s="5" t="n">
        <v>0</v>
      </c>
      <c r="N298" s="5" t="n">
        <v>0</v>
      </c>
      <c r="O298" s="5" t="n">
        <v>0</v>
      </c>
      <c r="P298" s="5" t="n">
        <v>0</v>
      </c>
      <c r="Q298" s="5" t="n">
        <v>1</v>
      </c>
      <c r="R298" s="5" t="n">
        <v>1</v>
      </c>
      <c r="S298" s="5" t="n">
        <v>0</v>
      </c>
      <c r="T298" s="5" t="n">
        <v>0</v>
      </c>
      <c r="U298" s="5" t="inlineStr">
        <is>
          <t>training</t>
        </is>
      </c>
    </row>
    <row r="299">
      <c r="A299" s="5" t="n">
        <v>295</v>
      </c>
      <c r="B299" s="5" t="n">
        <v>0</v>
      </c>
      <c r="C299" s="6" t="n">
        <v>2.297621231823615</v>
      </c>
      <c r="D299" s="6" t="n">
        <v>1.531936890864435</v>
      </c>
      <c r="E299" s="6" t="n">
        <v>0.9097377965011599</v>
      </c>
      <c r="F299" s="6" t="n">
        <v>0.9185437189662378</v>
      </c>
      <c r="G299" s="5" t="n">
        <v>0</v>
      </c>
      <c r="H299" s="5" t="n">
        <v>0</v>
      </c>
      <c r="I299" s="5" t="n">
        <v>0</v>
      </c>
      <c r="J299" s="5" t="n">
        <v>1</v>
      </c>
      <c r="K299" s="5" t="n">
        <v>0</v>
      </c>
      <c r="L299" s="5" t="n">
        <v>0</v>
      </c>
      <c r="M299" s="5" t="n">
        <v>0</v>
      </c>
      <c r="N299" s="5" t="n">
        <v>0</v>
      </c>
      <c r="O299" s="5" t="n">
        <v>1</v>
      </c>
      <c r="P299" s="5" t="n">
        <v>0</v>
      </c>
      <c r="Q299" s="5" t="n">
        <v>0</v>
      </c>
      <c r="R299" s="5" t="n">
        <v>0</v>
      </c>
      <c r="S299" s="5" t="n">
        <v>0</v>
      </c>
      <c r="T299" s="5" t="n">
        <v>0</v>
      </c>
      <c r="U299" s="5" t="inlineStr">
        <is>
          <t>training</t>
        </is>
      </c>
    </row>
    <row r="300">
      <c r="A300" s="5" t="n">
        <v>296</v>
      </c>
      <c r="B300" s="5" t="n">
        <v>1</v>
      </c>
      <c r="C300" s="6" t="n">
        <v>2.297621231823615</v>
      </c>
      <c r="D300" s="6" t="n">
        <v>2.347536871947619</v>
      </c>
      <c r="E300" s="6" t="n">
        <v>-0.8297226174589928</v>
      </c>
      <c r="F300" s="6" t="n">
        <v>-1.786844513613144</v>
      </c>
      <c r="G300" s="5" t="n">
        <v>0</v>
      </c>
      <c r="H300" s="5" t="n">
        <v>1</v>
      </c>
      <c r="I300" s="5" t="n">
        <v>0</v>
      </c>
      <c r="J300" s="5" t="n">
        <v>0</v>
      </c>
      <c r="K300" s="5" t="n">
        <v>0</v>
      </c>
      <c r="L300" s="5" t="n">
        <v>0</v>
      </c>
      <c r="M300" s="5" t="n">
        <v>0</v>
      </c>
      <c r="N300" s="5" t="n">
        <v>0</v>
      </c>
      <c r="O300" s="5" t="n">
        <v>0</v>
      </c>
      <c r="P300" s="5" t="n">
        <v>0</v>
      </c>
      <c r="Q300" s="5" t="n">
        <v>0</v>
      </c>
      <c r="R300" s="5" t="n">
        <v>0</v>
      </c>
      <c r="S300" s="5" t="n">
        <v>0</v>
      </c>
      <c r="T300" s="5" t="n">
        <v>1</v>
      </c>
      <c r="U300" s="5" t="inlineStr">
        <is>
          <t>testing</t>
        </is>
      </c>
    </row>
    <row r="301">
      <c r="A301" s="5" t="n">
        <v>297</v>
      </c>
      <c r="B301" s="5" t="n">
        <v>0</v>
      </c>
      <c r="C301" s="6" t="n">
        <v>-0.7357010147163632</v>
      </c>
      <c r="D301" s="6" t="n">
        <v>0.4983537316539126</v>
      </c>
      <c r="E301" s="6" t="n">
        <v>-1.351560741647039</v>
      </c>
      <c r="F301" s="6" t="n">
        <v>-1.786844513613144</v>
      </c>
      <c r="G301" s="5" t="n">
        <v>0</v>
      </c>
      <c r="H301" s="5" t="n">
        <v>0</v>
      </c>
      <c r="I301" s="5" t="n">
        <v>0</v>
      </c>
      <c r="J301" s="5" t="n">
        <v>0</v>
      </c>
      <c r="K301" s="5" t="n">
        <v>0</v>
      </c>
      <c r="L301" s="5" t="n">
        <v>0</v>
      </c>
      <c r="M301" s="5" t="n">
        <v>0</v>
      </c>
      <c r="N301" s="5" t="n">
        <v>0</v>
      </c>
      <c r="O301" s="5" t="n">
        <v>1</v>
      </c>
      <c r="P301" s="5" t="n">
        <v>1</v>
      </c>
      <c r="Q301" s="5" t="n">
        <v>0</v>
      </c>
      <c r="R301" s="5" t="n">
        <v>1</v>
      </c>
      <c r="S301" s="5" t="n">
        <v>0</v>
      </c>
      <c r="T301" s="5" t="n">
        <v>0</v>
      </c>
      <c r="U301" s="5" t="inlineStr">
        <is>
          <t>training</t>
        </is>
      </c>
    </row>
    <row r="302">
      <c r="A302" s="5" t="n">
        <v>298</v>
      </c>
      <c r="B302" s="5" t="n">
        <v>0</v>
      </c>
      <c r="C302" s="6" t="n">
        <v>-0.9042189173019176</v>
      </c>
      <c r="D302" s="6" t="n">
        <v>-0.6870828774880133</v>
      </c>
      <c r="E302" s="6" t="n">
        <v>0.8227647758031523</v>
      </c>
      <c r="F302" s="6" t="n">
        <v>0.9185437189662378</v>
      </c>
      <c r="G302" s="5" t="n">
        <v>0</v>
      </c>
      <c r="H302" s="5" t="n">
        <v>0</v>
      </c>
      <c r="I302" s="5" t="n">
        <v>0</v>
      </c>
      <c r="J302" s="5" t="n">
        <v>0</v>
      </c>
      <c r="K302" s="5" t="n">
        <v>0</v>
      </c>
      <c r="L302" s="5" t="n">
        <v>0</v>
      </c>
      <c r="M302" s="5" t="n">
        <v>0</v>
      </c>
      <c r="N302" s="5" t="n">
        <v>0</v>
      </c>
      <c r="O302" s="5" t="n">
        <v>1</v>
      </c>
      <c r="P302" s="5" t="n">
        <v>0</v>
      </c>
      <c r="Q302" s="5" t="n">
        <v>0</v>
      </c>
      <c r="R302" s="5" t="n">
        <v>1</v>
      </c>
      <c r="S302" s="5" t="n">
        <v>0</v>
      </c>
      <c r="T302" s="5" t="n">
        <v>0</v>
      </c>
      <c r="U302" s="5" t="inlineStr">
        <is>
          <t>testing</t>
        </is>
      </c>
    </row>
    <row r="303">
      <c r="A303" s="5" t="n">
        <v>299</v>
      </c>
      <c r="B303" s="5" t="n">
        <v>0</v>
      </c>
      <c r="C303" s="6" t="n">
        <v>-0.2301473069597001</v>
      </c>
      <c r="D303" s="6" t="n">
        <v>-0.2574145905853318</v>
      </c>
      <c r="E303" s="6" t="n">
        <v>0.648818734407137</v>
      </c>
      <c r="F303" s="6" t="n">
        <v>0.01674764143977723</v>
      </c>
      <c r="G303" s="5" t="n">
        <v>0</v>
      </c>
      <c r="H303" s="5" t="n">
        <v>0</v>
      </c>
      <c r="I303" s="5" t="n">
        <v>0</v>
      </c>
      <c r="J303" s="5" t="n">
        <v>0</v>
      </c>
      <c r="K303" s="5" t="n">
        <v>0</v>
      </c>
      <c r="L303" s="5" t="n">
        <v>0</v>
      </c>
      <c r="M303" s="5" t="n">
        <v>0</v>
      </c>
      <c r="N303" s="5" t="n">
        <v>0</v>
      </c>
      <c r="O303" s="5" t="n">
        <v>0</v>
      </c>
      <c r="P303" s="5" t="n">
        <v>0</v>
      </c>
      <c r="Q303" s="5" t="n">
        <v>0</v>
      </c>
      <c r="R303" s="5" t="n">
        <v>0</v>
      </c>
      <c r="S303" s="5" t="n">
        <v>0</v>
      </c>
      <c r="T303" s="5" t="n">
        <v>1</v>
      </c>
      <c r="U303" s="5" t="inlineStr">
        <is>
          <t>testing</t>
        </is>
      </c>
    </row>
    <row r="304">
      <c r="A304" s="5" t="n">
        <v>300</v>
      </c>
      <c r="B304" s="5" t="n">
        <v>0</v>
      </c>
      <c r="C304" s="6" t="n">
        <v>0.02262954691863145</v>
      </c>
      <c r="D304" s="6" t="n">
        <v>-0.1769392599765233</v>
      </c>
      <c r="E304" s="6" t="n">
        <v>-0.307884493270947</v>
      </c>
      <c r="F304" s="6" t="n">
        <v>0.01674764143977723</v>
      </c>
      <c r="G304" s="5" t="n">
        <v>0</v>
      </c>
      <c r="H304" s="5" t="n">
        <v>1</v>
      </c>
      <c r="I304" s="5" t="n">
        <v>0</v>
      </c>
      <c r="J304" s="5" t="n">
        <v>1</v>
      </c>
      <c r="K304" s="5" t="n">
        <v>0</v>
      </c>
      <c r="L304" s="5" t="n">
        <v>0</v>
      </c>
      <c r="M304" s="5" t="n">
        <v>0</v>
      </c>
      <c r="N304" s="5" t="n">
        <v>1</v>
      </c>
      <c r="O304" s="5" t="n">
        <v>0</v>
      </c>
      <c r="P304" s="5" t="n">
        <v>0</v>
      </c>
      <c r="Q304" s="5" t="n">
        <v>0</v>
      </c>
      <c r="R304" s="5" t="n">
        <v>0</v>
      </c>
      <c r="S304" s="5" t="n">
        <v>0</v>
      </c>
      <c r="T304" s="5" t="n">
        <v>1</v>
      </c>
      <c r="U304" s="5" t="inlineStr">
        <is>
          <t>testing</t>
        </is>
      </c>
    </row>
    <row r="305">
      <c r="A305" s="5" t="n">
        <v>301</v>
      </c>
      <c r="B305" s="5" t="n">
        <v>0</v>
      </c>
      <c r="C305" s="6" t="n">
        <v>-1.241254722473026</v>
      </c>
      <c r="D305" s="6" t="n">
        <v>-0.9022669136811314</v>
      </c>
      <c r="E305" s="6" t="n">
        <v>1.605521962085221</v>
      </c>
      <c r="F305" s="6" t="n">
        <v>-1.786844513613144</v>
      </c>
      <c r="G305" s="5" t="n">
        <v>0</v>
      </c>
      <c r="H305" s="5" t="n">
        <v>0</v>
      </c>
      <c r="I305" s="5" t="n">
        <v>0</v>
      </c>
      <c r="J305" s="5" t="n">
        <v>0</v>
      </c>
      <c r="K305" s="5" t="n">
        <v>0</v>
      </c>
      <c r="L305" s="5" t="n">
        <v>0</v>
      </c>
      <c r="M305" s="5" t="n">
        <v>0</v>
      </c>
      <c r="N305" s="5" t="n">
        <v>0</v>
      </c>
      <c r="O305" s="5" t="n">
        <v>0</v>
      </c>
      <c r="P305" s="5" t="n">
        <v>0</v>
      </c>
      <c r="Q305" s="5" t="n">
        <v>0</v>
      </c>
      <c r="R305" s="5" t="n">
        <v>1</v>
      </c>
      <c r="S305" s="5" t="n">
        <v>0</v>
      </c>
      <c r="T305" s="5" t="n">
        <v>0</v>
      </c>
      <c r="U305" s="5" t="inlineStr">
        <is>
          <t>training</t>
        </is>
      </c>
    </row>
    <row r="306">
      <c r="A306" s="5" t="n">
        <v>302</v>
      </c>
      <c r="B306" s="5" t="n">
        <v>1</v>
      </c>
      <c r="C306" s="6" t="n">
        <v>1.286513816310289</v>
      </c>
      <c r="D306" s="6" t="n">
        <v>0.1935971535657729</v>
      </c>
      <c r="E306" s="6" t="n">
        <v>0.5618457137091294</v>
      </c>
      <c r="F306" s="6" t="n">
        <v>0.9185437189662378</v>
      </c>
      <c r="G306" s="5" t="n">
        <v>0</v>
      </c>
      <c r="H306" s="5" t="n">
        <v>1</v>
      </c>
      <c r="I306" s="5" t="n">
        <v>0</v>
      </c>
      <c r="J306" s="5" t="n">
        <v>0</v>
      </c>
      <c r="K306" s="5" t="n">
        <v>0</v>
      </c>
      <c r="L306" s="5" t="n">
        <v>1</v>
      </c>
      <c r="M306" s="5" t="n">
        <v>0</v>
      </c>
      <c r="N306" s="5" t="n">
        <v>0</v>
      </c>
      <c r="O306" s="5" t="n">
        <v>0</v>
      </c>
      <c r="P306" s="5" t="n">
        <v>0</v>
      </c>
      <c r="Q306" s="5" t="n">
        <v>0</v>
      </c>
      <c r="R306" s="5" t="n">
        <v>0</v>
      </c>
      <c r="S306" s="5" t="n">
        <v>1</v>
      </c>
      <c r="T306" s="5" t="n">
        <v>0</v>
      </c>
      <c r="U306" s="5" t="inlineStr">
        <is>
          <t>testing</t>
        </is>
      </c>
    </row>
    <row r="307">
      <c r="A307" s="5" t="n">
        <v>303</v>
      </c>
      <c r="B307" s="5" t="n">
        <v>1</v>
      </c>
      <c r="C307" s="6" t="n">
        <v>0.275406400796963</v>
      </c>
      <c r="D307" s="6" t="n">
        <v>-0.6671389912066998</v>
      </c>
      <c r="E307" s="6" t="n">
        <v>0.1269806102190912</v>
      </c>
      <c r="F307" s="6" t="n">
        <v>0.9185437189662378</v>
      </c>
      <c r="G307" s="5" t="n">
        <v>0</v>
      </c>
      <c r="H307" s="5" t="n">
        <v>0</v>
      </c>
      <c r="I307" s="5" t="n">
        <v>1</v>
      </c>
      <c r="J307" s="5" t="n">
        <v>1</v>
      </c>
      <c r="K307" s="5" t="n">
        <v>0</v>
      </c>
      <c r="L307" s="5" t="n">
        <v>0</v>
      </c>
      <c r="M307" s="5" t="n">
        <v>0</v>
      </c>
      <c r="N307" s="5" t="n">
        <v>0</v>
      </c>
      <c r="O307" s="5" t="n">
        <v>1</v>
      </c>
      <c r="P307" s="5" t="n">
        <v>0</v>
      </c>
      <c r="Q307" s="5" t="n">
        <v>0</v>
      </c>
      <c r="R307" s="5" t="n">
        <v>1</v>
      </c>
      <c r="S307" s="5" t="n">
        <v>0</v>
      </c>
      <c r="T307" s="5" t="n">
        <v>0</v>
      </c>
      <c r="U307" s="5" t="inlineStr">
        <is>
          <t>training</t>
        </is>
      </c>
    </row>
    <row r="308">
      <c r="A308" s="5" t="n">
        <v>304</v>
      </c>
      <c r="B308" s="5" t="n">
        <v>0</v>
      </c>
      <c r="C308" s="6" t="n">
        <v>-0.9042189173019176</v>
      </c>
      <c r="D308" s="6" t="n">
        <v>-0.7742061701905928</v>
      </c>
      <c r="E308" s="6" t="n">
        <v>1.170656858595183</v>
      </c>
      <c r="F308" s="6" t="n">
        <v>0.9185437189662378</v>
      </c>
      <c r="G308" s="5" t="n">
        <v>1</v>
      </c>
      <c r="H308" s="5" t="n">
        <v>0</v>
      </c>
      <c r="I308" s="5" t="n">
        <v>0</v>
      </c>
      <c r="J308" s="5" t="n">
        <v>1</v>
      </c>
      <c r="K308" s="5" t="n">
        <v>0</v>
      </c>
      <c r="L308" s="5" t="n">
        <v>0</v>
      </c>
      <c r="M308" s="5" t="n">
        <v>0</v>
      </c>
      <c r="N308" s="5" t="n">
        <v>0</v>
      </c>
      <c r="O308" s="5" t="n">
        <v>0</v>
      </c>
      <c r="P308" s="5" t="n">
        <v>0</v>
      </c>
      <c r="Q308" s="5" t="n">
        <v>0</v>
      </c>
      <c r="R308" s="5" t="n">
        <v>1</v>
      </c>
      <c r="S308" s="5" t="n">
        <v>0</v>
      </c>
      <c r="T308" s="5" t="n">
        <v>0</v>
      </c>
      <c r="U308" s="5" t="inlineStr">
        <is>
          <t>testing</t>
        </is>
      </c>
    </row>
    <row r="309">
      <c r="A309" s="5" t="n">
        <v>305</v>
      </c>
      <c r="B309" s="5" t="n">
        <v>1</v>
      </c>
      <c r="C309" s="6" t="n">
        <v>2.297621231823615</v>
      </c>
      <c r="D309" s="6" t="n">
        <v>2.40596895982445</v>
      </c>
      <c r="E309" s="6" t="n">
        <v>0.7357917551051447</v>
      </c>
      <c r="F309" s="6" t="n">
        <v>-0.8850484360866833</v>
      </c>
      <c r="G309" s="5" t="n">
        <v>0</v>
      </c>
      <c r="H309" s="5" t="n">
        <v>0</v>
      </c>
      <c r="I309" s="5" t="n">
        <v>0</v>
      </c>
      <c r="J309" s="5" t="n">
        <v>1</v>
      </c>
      <c r="K309" s="5" t="n">
        <v>0</v>
      </c>
      <c r="L309" s="5" t="n">
        <v>0</v>
      </c>
      <c r="M309" s="5" t="n">
        <v>1</v>
      </c>
      <c r="N309" s="5" t="n">
        <v>0</v>
      </c>
      <c r="O309" s="5" t="n">
        <v>0</v>
      </c>
      <c r="P309" s="5" t="n">
        <v>0</v>
      </c>
      <c r="Q309" s="5" t="n">
        <v>1</v>
      </c>
      <c r="R309" s="5" t="n">
        <v>1</v>
      </c>
      <c r="S309" s="5" t="n">
        <v>0</v>
      </c>
      <c r="T309" s="5" t="n">
        <v>0</v>
      </c>
      <c r="U309" s="5" t="inlineStr">
        <is>
          <t>training</t>
        </is>
      </c>
    </row>
    <row r="310">
      <c r="A310" s="5" t="n">
        <v>306</v>
      </c>
      <c r="B310" s="5" t="n">
        <v>0</v>
      </c>
      <c r="C310" s="6" t="n">
        <v>-1.241254722473026</v>
      </c>
      <c r="D310" s="6" t="n">
        <v>-0.5975103355929917</v>
      </c>
      <c r="E310" s="6" t="n">
        <v>-0.2209114725729393</v>
      </c>
      <c r="F310" s="6" t="n">
        <v>0.9185437189662378</v>
      </c>
      <c r="G310" s="5" t="n">
        <v>0</v>
      </c>
      <c r="H310" s="5" t="n">
        <v>0</v>
      </c>
      <c r="I310" s="5" t="n">
        <v>0</v>
      </c>
      <c r="J310" s="5" t="n">
        <v>0</v>
      </c>
      <c r="K310" s="5" t="n">
        <v>0</v>
      </c>
      <c r="L310" s="5" t="n">
        <v>0</v>
      </c>
      <c r="M310" s="5" t="n">
        <v>0</v>
      </c>
      <c r="N310" s="5" t="n">
        <v>1</v>
      </c>
      <c r="O310" s="5" t="n">
        <v>0</v>
      </c>
      <c r="P310" s="5" t="n">
        <v>0</v>
      </c>
      <c r="Q310" s="5" t="n">
        <v>0</v>
      </c>
      <c r="R310" s="5" t="n">
        <v>0</v>
      </c>
      <c r="S310" s="5" t="n">
        <v>0</v>
      </c>
      <c r="T310" s="5" t="n">
        <v>1</v>
      </c>
      <c r="U310" s="5" t="inlineStr">
        <is>
          <t>training</t>
        </is>
      </c>
    </row>
    <row r="311">
      <c r="A311" s="5" t="n">
        <v>307</v>
      </c>
      <c r="B311" s="5" t="n">
        <v>0</v>
      </c>
      <c r="C311" s="6" t="n">
        <v>0.7809601085536261</v>
      </c>
      <c r="D311" s="6" t="n">
        <v>0.5459391445356429</v>
      </c>
      <c r="E311" s="6" t="n">
        <v>-1.003668658855008</v>
      </c>
      <c r="F311" s="6" t="n">
        <v>-0.8850484360866833</v>
      </c>
      <c r="G311" s="5" t="n">
        <v>0</v>
      </c>
      <c r="H311" s="5" t="n">
        <v>0</v>
      </c>
      <c r="I311" s="5" t="n">
        <v>0</v>
      </c>
      <c r="J311" s="5" t="n">
        <v>0</v>
      </c>
      <c r="K311" s="5" t="n">
        <v>0</v>
      </c>
      <c r="L311" s="5" t="n">
        <v>0</v>
      </c>
      <c r="M311" s="5" t="n">
        <v>0</v>
      </c>
      <c r="N311" s="5" t="n">
        <v>0</v>
      </c>
      <c r="O311" s="5" t="n">
        <v>1</v>
      </c>
      <c r="P311" s="5" t="n">
        <v>1</v>
      </c>
      <c r="Q311" s="5" t="n">
        <v>0</v>
      </c>
      <c r="R311" s="5" t="n">
        <v>1</v>
      </c>
      <c r="S311" s="5" t="n">
        <v>0</v>
      </c>
      <c r="T311" s="5" t="n">
        <v>0</v>
      </c>
      <c r="U311" s="5" t="inlineStr">
        <is>
          <t>training</t>
        </is>
      </c>
    </row>
    <row r="312">
      <c r="A312" s="5" t="n">
        <v>308</v>
      </c>
      <c r="B312" s="5" t="n">
        <v>1</v>
      </c>
      <c r="C312" s="6" t="n">
        <v>-0.7357010147163632</v>
      </c>
      <c r="D312" s="6" t="n">
        <v>-0.8830228128833729</v>
      </c>
      <c r="E312" s="6" t="n">
        <v>-0.2209114725729393</v>
      </c>
      <c r="F312" s="6" t="n">
        <v>0.9185437189662378</v>
      </c>
      <c r="G312" s="5" t="n">
        <v>1</v>
      </c>
      <c r="H312" s="5" t="n">
        <v>0</v>
      </c>
      <c r="I312" s="5" t="n">
        <v>0</v>
      </c>
      <c r="J312" s="5" t="n">
        <v>0</v>
      </c>
      <c r="K312" s="5" t="n">
        <v>0</v>
      </c>
      <c r="L312" s="5" t="n">
        <v>0</v>
      </c>
      <c r="M312" s="5" t="n">
        <v>1</v>
      </c>
      <c r="N312" s="5" t="n">
        <v>0</v>
      </c>
      <c r="O312" s="5" t="n">
        <v>0</v>
      </c>
      <c r="P312" s="5" t="n">
        <v>0</v>
      </c>
      <c r="Q312" s="5" t="n">
        <v>0</v>
      </c>
      <c r="R312" s="5" t="n">
        <v>0</v>
      </c>
      <c r="S312" s="5" t="n">
        <v>1</v>
      </c>
      <c r="T312" s="5" t="n">
        <v>0</v>
      </c>
      <c r="U312" s="5" t="inlineStr">
        <is>
          <t>training</t>
        </is>
      </c>
    </row>
    <row r="313">
      <c r="A313" s="5" t="n">
        <v>309</v>
      </c>
      <c r="B313" s="5" t="n">
        <v>1</v>
      </c>
      <c r="C313" s="6" t="n">
        <v>-1.072736819887472</v>
      </c>
      <c r="D313" s="6" t="n">
        <v>-0.7045775145768847</v>
      </c>
      <c r="E313" s="6" t="n">
        <v>-1.003668658855008</v>
      </c>
      <c r="F313" s="6" t="n">
        <v>0.01674764143977723</v>
      </c>
      <c r="G313" s="5" t="n">
        <v>0</v>
      </c>
      <c r="H313" s="5" t="n">
        <v>1</v>
      </c>
      <c r="I313" s="5" t="n">
        <v>0</v>
      </c>
      <c r="J313" s="5" t="n">
        <v>0</v>
      </c>
      <c r="K313" s="5" t="n">
        <v>0</v>
      </c>
      <c r="L313" s="5" t="n">
        <v>0</v>
      </c>
      <c r="M313" s="5" t="n">
        <v>0</v>
      </c>
      <c r="N313" s="5" t="n">
        <v>0</v>
      </c>
      <c r="O313" s="5" t="n">
        <v>0</v>
      </c>
      <c r="P313" s="5" t="n">
        <v>0</v>
      </c>
      <c r="Q313" s="5" t="n">
        <v>0</v>
      </c>
      <c r="R313" s="5" t="n">
        <v>0</v>
      </c>
      <c r="S313" s="5" t="n">
        <v>0</v>
      </c>
      <c r="T313" s="5" t="n">
        <v>1</v>
      </c>
      <c r="U313" s="5" t="inlineStr">
        <is>
          <t>training</t>
        </is>
      </c>
    </row>
    <row r="314">
      <c r="A314" s="5" t="n">
        <v>310</v>
      </c>
      <c r="B314" s="5" t="n">
        <v>0</v>
      </c>
      <c r="C314" s="6" t="n">
        <v>-0.9884778685946948</v>
      </c>
      <c r="D314" s="6" t="n">
        <v>-1.040824439424993</v>
      </c>
      <c r="E314" s="6" t="n">
        <v>-1.177614700251023</v>
      </c>
      <c r="F314" s="6" t="n">
        <v>0.9185437189662378</v>
      </c>
      <c r="G314" s="5" t="n">
        <v>0</v>
      </c>
      <c r="H314" s="5" t="n">
        <v>1</v>
      </c>
      <c r="I314" s="5" t="n">
        <v>0</v>
      </c>
      <c r="J314" s="5" t="n">
        <v>0</v>
      </c>
      <c r="K314" s="5" t="n">
        <v>0</v>
      </c>
      <c r="L314" s="5" t="n">
        <v>0</v>
      </c>
      <c r="M314" s="5" t="n">
        <v>0</v>
      </c>
      <c r="N314" s="5" t="n">
        <v>0</v>
      </c>
      <c r="O314" s="5" t="n">
        <v>0</v>
      </c>
      <c r="P314" s="5" t="n">
        <v>1</v>
      </c>
      <c r="Q314" s="5" t="n">
        <v>0</v>
      </c>
      <c r="R314" s="5" t="n">
        <v>1</v>
      </c>
      <c r="S314" s="5" t="n">
        <v>0</v>
      </c>
      <c r="T314" s="5" t="n">
        <v>0</v>
      </c>
      <c r="U314" s="5" t="inlineStr">
        <is>
          <t>training</t>
        </is>
      </c>
    </row>
    <row r="315">
      <c r="A315" s="5" t="n">
        <v>311</v>
      </c>
      <c r="B315" s="5" t="n">
        <v>0</v>
      </c>
      <c r="C315" s="6" t="n">
        <v>2.297621231823615</v>
      </c>
      <c r="D315" s="6" t="n">
        <v>0.7453780073487767</v>
      </c>
      <c r="E315" s="6" t="n">
        <v>0.3878996723131141</v>
      </c>
      <c r="F315" s="6" t="n">
        <v>0.01674764143977723</v>
      </c>
      <c r="G315" s="5" t="n">
        <v>0</v>
      </c>
      <c r="H315" s="5" t="n">
        <v>1</v>
      </c>
      <c r="I315" s="5" t="n">
        <v>0</v>
      </c>
      <c r="J315" s="5" t="n">
        <v>0</v>
      </c>
      <c r="K315" s="5" t="n">
        <v>0</v>
      </c>
      <c r="L315" s="5" t="n">
        <v>0</v>
      </c>
      <c r="M315" s="5" t="n">
        <v>0</v>
      </c>
      <c r="N315" s="5" t="n">
        <v>0</v>
      </c>
      <c r="O315" s="5" t="n">
        <v>1</v>
      </c>
      <c r="P315" s="5" t="n">
        <v>0</v>
      </c>
      <c r="Q315" s="5" t="n">
        <v>1</v>
      </c>
      <c r="R315" s="5" t="n">
        <v>0</v>
      </c>
      <c r="S315" s="5" t="n">
        <v>0</v>
      </c>
      <c r="T315" s="5" t="n">
        <v>0</v>
      </c>
      <c r="U315" s="5" t="inlineStr">
        <is>
          <t>training</t>
        </is>
      </c>
    </row>
    <row r="316">
      <c r="A316" s="5" t="n">
        <v>312</v>
      </c>
      <c r="B316" s="5" t="n">
        <v>0</v>
      </c>
      <c r="C316" s="6" t="n">
        <v>0.275406400796963</v>
      </c>
      <c r="D316" s="6" t="n">
        <v>0.7908640637798424</v>
      </c>
      <c r="E316" s="6" t="n">
        <v>-0.9166956381570004</v>
      </c>
      <c r="F316" s="6" t="n">
        <v>0.9185437189662378</v>
      </c>
      <c r="G316" s="5" t="n">
        <v>0</v>
      </c>
      <c r="H316" s="5" t="n">
        <v>0</v>
      </c>
      <c r="I316" s="5" t="n">
        <v>0</v>
      </c>
      <c r="J316" s="5" t="n">
        <v>0</v>
      </c>
      <c r="K316" s="5" t="n">
        <v>0</v>
      </c>
      <c r="L316" s="5" t="n">
        <v>0</v>
      </c>
      <c r="M316" s="5" t="n">
        <v>1</v>
      </c>
      <c r="N316" s="5" t="n">
        <v>0</v>
      </c>
      <c r="O316" s="5" t="n">
        <v>0</v>
      </c>
      <c r="P316" s="5" t="n">
        <v>0</v>
      </c>
      <c r="Q316" s="5" t="n">
        <v>0</v>
      </c>
      <c r="R316" s="5" t="n">
        <v>0</v>
      </c>
      <c r="S316" s="5" t="n">
        <v>0</v>
      </c>
      <c r="T316" s="5" t="n">
        <v>1</v>
      </c>
      <c r="U316" s="5" t="inlineStr">
        <is>
          <t>testing</t>
        </is>
      </c>
    </row>
    <row r="317">
      <c r="A317" s="5" t="n">
        <v>313</v>
      </c>
      <c r="B317" s="5" t="n">
        <v>0</v>
      </c>
      <c r="C317" s="6" t="n">
        <v>0.275406400796963</v>
      </c>
      <c r="D317" s="6" t="n">
        <v>0.1743530527680143</v>
      </c>
      <c r="E317" s="6" t="n">
        <v>-0.8297226174589928</v>
      </c>
      <c r="F317" s="6" t="n">
        <v>-0.8850484360866833</v>
      </c>
      <c r="G317" s="5" t="n">
        <v>0</v>
      </c>
      <c r="H317" s="5" t="n">
        <v>0</v>
      </c>
      <c r="I317" s="5" t="n">
        <v>1</v>
      </c>
      <c r="J317" s="5" t="n">
        <v>0</v>
      </c>
      <c r="K317" s="5" t="n">
        <v>0</v>
      </c>
      <c r="L317" s="5" t="n">
        <v>0</v>
      </c>
      <c r="M317" s="5" t="n">
        <v>0</v>
      </c>
      <c r="N317" s="5" t="n">
        <v>0</v>
      </c>
      <c r="O317" s="5" t="n">
        <v>0</v>
      </c>
      <c r="P317" s="5" t="n">
        <v>0</v>
      </c>
      <c r="Q317" s="5" t="n">
        <v>0</v>
      </c>
      <c r="R317" s="5" t="n">
        <v>0</v>
      </c>
      <c r="S317" s="5" t="n">
        <v>0</v>
      </c>
      <c r="T317" s="5" t="n">
        <v>1</v>
      </c>
      <c r="U317" s="5" t="inlineStr">
        <is>
          <t>training</t>
        </is>
      </c>
    </row>
    <row r="318">
      <c r="A318" s="5" t="n">
        <v>314</v>
      </c>
      <c r="B318" s="5" t="n">
        <v>1</v>
      </c>
      <c r="C318" s="6" t="n">
        <v>-0.7357010147163632</v>
      </c>
      <c r="D318" s="6" t="n">
        <v>-0.8977183080380249</v>
      </c>
      <c r="E318" s="6" t="n">
        <v>-0.9166956381570004</v>
      </c>
      <c r="F318" s="6" t="n">
        <v>-0.8850484360866833</v>
      </c>
      <c r="G318" s="5" t="n">
        <v>0</v>
      </c>
      <c r="H318" s="5" t="n">
        <v>1</v>
      </c>
      <c r="I318" s="5" t="n">
        <v>0</v>
      </c>
      <c r="J318" s="5" t="n">
        <v>0</v>
      </c>
      <c r="K318" s="5" t="n">
        <v>0</v>
      </c>
      <c r="L318" s="5" t="n">
        <v>0</v>
      </c>
      <c r="M318" s="5" t="n">
        <v>0</v>
      </c>
      <c r="N318" s="5" t="n">
        <v>0</v>
      </c>
      <c r="O318" s="5" t="n">
        <v>0</v>
      </c>
      <c r="P318" s="5" t="n">
        <v>0</v>
      </c>
      <c r="Q318" s="5" t="n">
        <v>0</v>
      </c>
      <c r="R318" s="5" t="n">
        <v>1</v>
      </c>
      <c r="S318" s="5" t="n">
        <v>0</v>
      </c>
      <c r="T318" s="5" t="n">
        <v>0</v>
      </c>
      <c r="U318" s="5" t="inlineStr">
        <is>
          <t>training</t>
        </is>
      </c>
    </row>
    <row r="319">
      <c r="A319" s="5" t="n">
        <v>315</v>
      </c>
      <c r="B319" s="5" t="n">
        <v>0</v>
      </c>
      <c r="C319" s="6" t="n">
        <v>-1.409772625058581</v>
      </c>
      <c r="D319" s="6" t="n">
        <v>-0.6146550799400857</v>
      </c>
      <c r="E319" s="6" t="n">
        <v>-0.5688035553649698</v>
      </c>
      <c r="F319" s="6" t="n">
        <v>-1.786844513613144</v>
      </c>
      <c r="G319" s="5" t="n">
        <v>0</v>
      </c>
      <c r="H319" s="5" t="n">
        <v>0</v>
      </c>
      <c r="I319" s="5" t="n">
        <v>1</v>
      </c>
      <c r="J319" s="5" t="n">
        <v>0</v>
      </c>
      <c r="K319" s="5" t="n">
        <v>0</v>
      </c>
      <c r="L319" s="5" t="n">
        <v>0</v>
      </c>
      <c r="M319" s="5" t="n">
        <v>0</v>
      </c>
      <c r="N319" s="5" t="n">
        <v>0</v>
      </c>
      <c r="O319" s="5" t="n">
        <v>1</v>
      </c>
      <c r="P319" s="5" t="n">
        <v>0</v>
      </c>
      <c r="Q319" s="5" t="n">
        <v>0</v>
      </c>
      <c r="R319" s="5" t="n">
        <v>1</v>
      </c>
      <c r="S319" s="5" t="n">
        <v>0</v>
      </c>
      <c r="T319" s="5" t="n">
        <v>0</v>
      </c>
      <c r="U319" s="5" t="inlineStr">
        <is>
          <t>testing</t>
        </is>
      </c>
    </row>
    <row r="320">
      <c r="A320" s="5" t="n">
        <v>316</v>
      </c>
      <c r="B320" s="5" t="n">
        <v>1</v>
      </c>
      <c r="C320" s="6" t="n">
        <v>1.286513816310289</v>
      </c>
      <c r="D320" s="6" t="n">
        <v>-0.1765893672347459</v>
      </c>
      <c r="E320" s="6" t="n">
        <v>-0.3948575139689546</v>
      </c>
      <c r="F320" s="6" t="n">
        <v>0.9185437189662378</v>
      </c>
      <c r="G320" s="5" t="n">
        <v>1</v>
      </c>
      <c r="H320" s="5" t="n">
        <v>0</v>
      </c>
      <c r="I320" s="5" t="n">
        <v>0</v>
      </c>
      <c r="J320" s="5" t="n">
        <v>0</v>
      </c>
      <c r="K320" s="5" t="n">
        <v>0</v>
      </c>
      <c r="L320" s="5" t="n">
        <v>1</v>
      </c>
      <c r="M320" s="5" t="n">
        <v>0</v>
      </c>
      <c r="N320" s="5" t="n">
        <v>0</v>
      </c>
      <c r="O320" s="5" t="n">
        <v>0</v>
      </c>
      <c r="P320" s="5" t="n">
        <v>0</v>
      </c>
      <c r="Q320" s="5" t="n">
        <v>0</v>
      </c>
      <c r="R320" s="5" t="n">
        <v>0</v>
      </c>
      <c r="S320" s="5" t="n">
        <v>0</v>
      </c>
      <c r="T320" s="5" t="n">
        <v>1</v>
      </c>
      <c r="U320" s="5" t="inlineStr">
        <is>
          <t>training</t>
        </is>
      </c>
    </row>
    <row r="321">
      <c r="A321" s="5" t="n">
        <v>317</v>
      </c>
      <c r="B321" s="5" t="n">
        <v>0</v>
      </c>
      <c r="C321" s="6" t="n">
        <v>-0.7357010147163632</v>
      </c>
      <c r="D321" s="6" t="n">
        <v>-0.8896707749771441</v>
      </c>
      <c r="E321" s="6" t="n">
        <v>0.2139536309170988</v>
      </c>
      <c r="F321" s="6" t="n">
        <v>-0.8850484360866833</v>
      </c>
      <c r="G321" s="5" t="n">
        <v>1</v>
      </c>
      <c r="H321" s="5" t="n">
        <v>0</v>
      </c>
      <c r="I321" s="5" t="n">
        <v>0</v>
      </c>
      <c r="J321" s="5" t="n">
        <v>0</v>
      </c>
      <c r="K321" s="5" t="n">
        <v>0</v>
      </c>
      <c r="L321" s="5" t="n">
        <v>0</v>
      </c>
      <c r="M321" s="5" t="n">
        <v>0</v>
      </c>
      <c r="N321" s="5" t="n">
        <v>0</v>
      </c>
      <c r="O321" s="5" t="n">
        <v>0</v>
      </c>
      <c r="P321" s="5" t="n">
        <v>0</v>
      </c>
      <c r="Q321" s="5" t="n">
        <v>0</v>
      </c>
      <c r="R321" s="5" t="n">
        <v>0</v>
      </c>
      <c r="S321" s="5" t="n">
        <v>0</v>
      </c>
      <c r="T321" s="5" t="n">
        <v>1</v>
      </c>
      <c r="U321" s="5" t="inlineStr">
        <is>
          <t>training</t>
        </is>
      </c>
    </row>
    <row r="322">
      <c r="A322" s="5" t="n">
        <v>318</v>
      </c>
      <c r="B322" s="5" t="n">
        <v>0</v>
      </c>
      <c r="C322" s="6" t="n">
        <v>0.275406400796963</v>
      </c>
      <c r="D322" s="6" t="n">
        <v>0.3849884833180259</v>
      </c>
      <c r="E322" s="6" t="n">
        <v>1.083683837897175</v>
      </c>
      <c r="F322" s="6" t="n">
        <v>-1.786844513613144</v>
      </c>
      <c r="G322" s="5" t="n">
        <v>0</v>
      </c>
      <c r="H322" s="5" t="n">
        <v>1</v>
      </c>
      <c r="I322" s="5" t="n">
        <v>0</v>
      </c>
      <c r="J322" s="5" t="n">
        <v>0</v>
      </c>
      <c r="K322" s="5" t="n">
        <v>0</v>
      </c>
      <c r="L322" s="5" t="n">
        <v>0</v>
      </c>
      <c r="M322" s="5" t="n">
        <v>0</v>
      </c>
      <c r="N322" s="5" t="n">
        <v>0</v>
      </c>
      <c r="O322" s="5" t="n">
        <v>1</v>
      </c>
      <c r="P322" s="5" t="n">
        <v>0</v>
      </c>
      <c r="Q322" s="5" t="n">
        <v>0</v>
      </c>
      <c r="R322" s="5" t="n">
        <v>0</v>
      </c>
      <c r="S322" s="5" t="n">
        <v>0</v>
      </c>
      <c r="T322" s="5" t="n">
        <v>1</v>
      </c>
      <c r="U322" s="5" t="inlineStr">
        <is>
          <t>testing</t>
        </is>
      </c>
    </row>
    <row r="323">
      <c r="A323" s="5" t="n">
        <v>319</v>
      </c>
      <c r="B323" s="5" t="n">
        <v>0</v>
      </c>
      <c r="C323" s="6" t="n">
        <v>-0.7357010147163632</v>
      </c>
      <c r="D323" s="6" t="n">
        <v>-0.892120024169586</v>
      </c>
      <c r="E323" s="6" t="n">
        <v>-0.307884493270947</v>
      </c>
      <c r="F323" s="6" t="n">
        <v>0.9185437189662378</v>
      </c>
      <c r="G323" s="5" t="n">
        <v>0</v>
      </c>
      <c r="H323" s="5" t="n">
        <v>0</v>
      </c>
      <c r="I323" s="5" t="n">
        <v>0</v>
      </c>
      <c r="J323" s="5" t="n">
        <v>1</v>
      </c>
      <c r="K323" s="5" t="n">
        <v>0</v>
      </c>
      <c r="L323" s="5" t="n">
        <v>0</v>
      </c>
      <c r="M323" s="5" t="n">
        <v>0</v>
      </c>
      <c r="N323" s="5" t="n">
        <v>0</v>
      </c>
      <c r="O323" s="5" t="n">
        <v>0</v>
      </c>
      <c r="P323" s="5" t="n">
        <v>0</v>
      </c>
      <c r="Q323" s="5" t="n">
        <v>0</v>
      </c>
      <c r="R323" s="5" t="n">
        <v>0</v>
      </c>
      <c r="S323" s="5" t="n">
        <v>0</v>
      </c>
      <c r="T323" s="5" t="n">
        <v>0</v>
      </c>
      <c r="U323" s="5" t="inlineStr">
        <is>
          <t>training</t>
        </is>
      </c>
    </row>
    <row r="324">
      <c r="A324" s="5" t="n">
        <v>320</v>
      </c>
      <c r="B324" s="5" t="n">
        <v>0</v>
      </c>
      <c r="C324" s="6" t="n">
        <v>-0.4829241608380317</v>
      </c>
      <c r="D324" s="6" t="n">
        <v>0.137264422139607</v>
      </c>
      <c r="E324" s="6" t="n">
        <v>-0.7427495967609852</v>
      </c>
      <c r="F324" s="6" t="n">
        <v>-1.786844513613144</v>
      </c>
      <c r="G324" s="5" t="n">
        <v>1</v>
      </c>
      <c r="H324" s="5" t="n">
        <v>0</v>
      </c>
      <c r="I324" s="5" t="n">
        <v>0</v>
      </c>
      <c r="J324" s="5" t="n">
        <v>0</v>
      </c>
      <c r="K324" s="5" t="n">
        <v>1</v>
      </c>
      <c r="L324" s="5" t="n">
        <v>0</v>
      </c>
      <c r="M324" s="5" t="n">
        <v>0</v>
      </c>
      <c r="N324" s="5" t="n">
        <v>0</v>
      </c>
      <c r="O324" s="5" t="n">
        <v>0</v>
      </c>
      <c r="P324" s="5" t="n">
        <v>0</v>
      </c>
      <c r="Q324" s="5" t="n">
        <v>0</v>
      </c>
      <c r="R324" s="5" t="n">
        <v>0</v>
      </c>
      <c r="S324" s="5" t="n">
        <v>0</v>
      </c>
      <c r="T324" s="5" t="n">
        <v>1</v>
      </c>
      <c r="U324" s="5" t="inlineStr">
        <is>
          <t>training</t>
        </is>
      </c>
    </row>
    <row r="325">
      <c r="A325" s="5" t="n">
        <v>321</v>
      </c>
      <c r="B325" s="5" t="n">
        <v>1</v>
      </c>
      <c r="C325" s="6" t="n">
        <v>0.7809601085536261</v>
      </c>
      <c r="D325" s="6" t="n">
        <v>0.3492994236567283</v>
      </c>
      <c r="E325" s="6" t="n">
        <v>-0.6557765760629775</v>
      </c>
      <c r="F325" s="6" t="n">
        <v>0.9185437189662378</v>
      </c>
      <c r="G325" s="5" t="n">
        <v>0</v>
      </c>
      <c r="H325" s="5" t="n">
        <v>1</v>
      </c>
      <c r="I325" s="5" t="n">
        <v>0</v>
      </c>
      <c r="J325" s="5" t="n">
        <v>1</v>
      </c>
      <c r="K325" s="5" t="n">
        <v>0</v>
      </c>
      <c r="L325" s="5" t="n">
        <v>0</v>
      </c>
      <c r="M325" s="5" t="n">
        <v>0</v>
      </c>
      <c r="N325" s="5" t="n">
        <v>0</v>
      </c>
      <c r="O325" s="5" t="n">
        <v>0</v>
      </c>
      <c r="P325" s="5" t="n">
        <v>0</v>
      </c>
      <c r="Q325" s="5" t="n">
        <v>0</v>
      </c>
      <c r="R325" s="5" t="n">
        <v>1</v>
      </c>
      <c r="S325" s="5" t="n">
        <v>0</v>
      </c>
      <c r="T325" s="5" t="n">
        <v>0</v>
      </c>
      <c r="U325" s="5" t="inlineStr">
        <is>
          <t>testing</t>
        </is>
      </c>
    </row>
    <row r="326">
      <c r="A326" s="5" t="n">
        <v>322</v>
      </c>
      <c r="B326" s="5" t="n">
        <v>1</v>
      </c>
      <c r="C326" s="6" t="n">
        <v>0.275406400796963</v>
      </c>
      <c r="D326" s="6" t="n">
        <v>-0.4593027025909077</v>
      </c>
      <c r="E326" s="6" t="n">
        <v>-0.307884493270947</v>
      </c>
      <c r="F326" s="6" t="n">
        <v>0.9185437189662378</v>
      </c>
      <c r="G326" s="5" t="n">
        <v>1</v>
      </c>
      <c r="H326" s="5" t="n">
        <v>0</v>
      </c>
      <c r="I326" s="5" t="n">
        <v>0</v>
      </c>
      <c r="J326" s="5" t="n">
        <v>0</v>
      </c>
      <c r="K326" s="5" t="n">
        <v>0</v>
      </c>
      <c r="L326" s="5" t="n">
        <v>0</v>
      </c>
      <c r="M326" s="5" t="n">
        <v>0</v>
      </c>
      <c r="N326" s="5" t="n">
        <v>0</v>
      </c>
      <c r="O326" s="5" t="n">
        <v>0</v>
      </c>
      <c r="P326" s="5" t="n">
        <v>0</v>
      </c>
      <c r="Q326" s="5" t="n">
        <v>0</v>
      </c>
      <c r="R326" s="5" t="n">
        <v>0</v>
      </c>
      <c r="S326" s="5" t="n">
        <v>1</v>
      </c>
      <c r="T326" s="5" t="n">
        <v>0</v>
      </c>
      <c r="U326" s="5" t="inlineStr">
        <is>
          <t>testing</t>
        </is>
      </c>
    </row>
    <row r="327">
      <c r="A327" s="5" t="n">
        <v>323</v>
      </c>
      <c r="B327" s="5" t="n">
        <v>0</v>
      </c>
      <c r="C327" s="6" t="n">
        <v>0.275406400796963</v>
      </c>
      <c r="D327" s="6" t="n">
        <v>-0.1192069575832477</v>
      </c>
      <c r="E327" s="6" t="n">
        <v>-0.1339384518749317</v>
      </c>
      <c r="F327" s="6" t="n">
        <v>-0.8850484360866833</v>
      </c>
      <c r="G327" s="5" t="n">
        <v>1</v>
      </c>
      <c r="H327" s="5" t="n">
        <v>0</v>
      </c>
      <c r="I327" s="5" t="n">
        <v>0</v>
      </c>
      <c r="J327" s="5" t="n">
        <v>0</v>
      </c>
      <c r="K327" s="5" t="n">
        <v>0</v>
      </c>
      <c r="L327" s="5" t="n">
        <v>0</v>
      </c>
      <c r="M327" s="5" t="n">
        <v>0</v>
      </c>
      <c r="N327" s="5" t="n">
        <v>0</v>
      </c>
      <c r="O327" s="5" t="n">
        <v>0</v>
      </c>
      <c r="P327" s="5" t="n">
        <v>0</v>
      </c>
      <c r="Q327" s="5" t="n">
        <v>1</v>
      </c>
      <c r="R327" s="5" t="n">
        <v>1</v>
      </c>
      <c r="S327" s="5" t="n">
        <v>0</v>
      </c>
      <c r="T327" s="5" t="n">
        <v>0</v>
      </c>
      <c r="U327" s="5" t="inlineStr">
        <is>
          <t>training</t>
        </is>
      </c>
    </row>
    <row r="328">
      <c r="A328" s="5" t="n">
        <v>324</v>
      </c>
      <c r="B328" s="5" t="n">
        <v>0</v>
      </c>
      <c r="C328" s="6" t="n">
        <v>-0.2301473069597001</v>
      </c>
      <c r="D328" s="6" t="n">
        <v>-0.2070300357693821</v>
      </c>
      <c r="E328" s="6" t="n">
        <v>-0.6557765760629775</v>
      </c>
      <c r="F328" s="6" t="n">
        <v>0.9185437189662378</v>
      </c>
      <c r="G328" s="5" t="n">
        <v>1</v>
      </c>
      <c r="H328" s="5" t="n">
        <v>0</v>
      </c>
      <c r="I328" s="5" t="n">
        <v>0</v>
      </c>
      <c r="J328" s="5" t="n">
        <v>0</v>
      </c>
      <c r="K328" s="5" t="n">
        <v>0</v>
      </c>
      <c r="L328" s="5" t="n">
        <v>0</v>
      </c>
      <c r="M328" s="5" t="n">
        <v>0</v>
      </c>
      <c r="N328" s="5" t="n">
        <v>1</v>
      </c>
      <c r="O328" s="5" t="n">
        <v>0</v>
      </c>
      <c r="P328" s="5" t="n">
        <v>0</v>
      </c>
      <c r="Q328" s="5" t="n">
        <v>0</v>
      </c>
      <c r="R328" s="5" t="n">
        <v>0</v>
      </c>
      <c r="S328" s="5" t="n">
        <v>0</v>
      </c>
      <c r="T328" s="5" t="n">
        <v>1</v>
      </c>
      <c r="U328" s="5" t="inlineStr">
        <is>
          <t>training</t>
        </is>
      </c>
    </row>
    <row r="329">
      <c r="A329" s="5" t="n">
        <v>325</v>
      </c>
      <c r="B329" s="5" t="n">
        <v>0</v>
      </c>
      <c r="C329" s="6" t="n">
        <v>-0.2301473069597001</v>
      </c>
      <c r="D329" s="6" t="n">
        <v>-0.7777050976083671</v>
      </c>
      <c r="E329" s="6" t="n">
        <v>0.04000758952108359</v>
      </c>
      <c r="F329" s="6" t="n">
        <v>0.9185437189662378</v>
      </c>
      <c r="G329" s="5" t="n">
        <v>0</v>
      </c>
      <c r="H329" s="5" t="n">
        <v>0</v>
      </c>
      <c r="I329" s="5" t="n">
        <v>0</v>
      </c>
      <c r="J329" s="5" t="n">
        <v>1</v>
      </c>
      <c r="K329" s="5" t="n">
        <v>0</v>
      </c>
      <c r="L329" s="5" t="n">
        <v>0</v>
      </c>
      <c r="M329" s="5" t="n">
        <v>0</v>
      </c>
      <c r="N329" s="5" t="n">
        <v>0</v>
      </c>
      <c r="O329" s="5" t="n">
        <v>0</v>
      </c>
      <c r="P329" s="5" t="n">
        <v>0</v>
      </c>
      <c r="Q329" s="5" t="n">
        <v>0</v>
      </c>
      <c r="R329" s="5" t="n">
        <v>1</v>
      </c>
      <c r="S329" s="5" t="n">
        <v>0</v>
      </c>
      <c r="T329" s="5" t="n">
        <v>0</v>
      </c>
      <c r="U329" s="5" t="inlineStr">
        <is>
          <t>training</t>
        </is>
      </c>
    </row>
    <row r="330">
      <c r="A330" s="5" t="n">
        <v>326</v>
      </c>
      <c r="B330" s="5" t="n">
        <v>0</v>
      </c>
      <c r="C330" s="6" t="n">
        <v>-1.072736819887472</v>
      </c>
      <c r="D330" s="6" t="n">
        <v>0.05154070040413711</v>
      </c>
      <c r="E330" s="6" t="n">
        <v>0.3009266516151065</v>
      </c>
      <c r="F330" s="6" t="n">
        <v>-1.786844513613144</v>
      </c>
      <c r="G330" s="5" t="n">
        <v>1</v>
      </c>
      <c r="H330" s="5" t="n">
        <v>0</v>
      </c>
      <c r="I330" s="5" t="n">
        <v>0</v>
      </c>
      <c r="J330" s="5" t="n">
        <v>1</v>
      </c>
      <c r="K330" s="5" t="n">
        <v>0</v>
      </c>
      <c r="L330" s="5" t="n">
        <v>0</v>
      </c>
      <c r="M330" s="5" t="n">
        <v>0</v>
      </c>
      <c r="N330" s="5" t="n">
        <v>0</v>
      </c>
      <c r="O330" s="5" t="n">
        <v>0</v>
      </c>
      <c r="P330" s="5" t="n">
        <v>0</v>
      </c>
      <c r="Q330" s="5" t="n">
        <v>0</v>
      </c>
      <c r="R330" s="5" t="n">
        <v>1</v>
      </c>
      <c r="S330" s="5" t="n">
        <v>0</v>
      </c>
      <c r="T330" s="5" t="n">
        <v>0</v>
      </c>
      <c r="U330" s="5" t="inlineStr">
        <is>
          <t>training</t>
        </is>
      </c>
    </row>
    <row r="331">
      <c r="A331" s="5" t="n">
        <v>327</v>
      </c>
      <c r="B331" s="5" t="n">
        <v>0</v>
      </c>
      <c r="C331" s="6" t="n">
        <v>-0.7357010147163632</v>
      </c>
      <c r="D331" s="6" t="n">
        <v>0.8923329588952965</v>
      </c>
      <c r="E331" s="6" t="n">
        <v>1.170656858595183</v>
      </c>
      <c r="F331" s="6" t="n">
        <v>-0.8850484360866833</v>
      </c>
      <c r="G331" s="5" t="n">
        <v>0</v>
      </c>
      <c r="H331" s="5" t="n">
        <v>0</v>
      </c>
      <c r="I331" s="5" t="n">
        <v>0</v>
      </c>
      <c r="J331" s="5" t="n">
        <v>1</v>
      </c>
      <c r="K331" s="5" t="n">
        <v>0</v>
      </c>
      <c r="L331" s="5" t="n">
        <v>0</v>
      </c>
      <c r="M331" s="5" t="n">
        <v>0</v>
      </c>
      <c r="N331" s="5" t="n">
        <v>0</v>
      </c>
      <c r="O331" s="5" t="n">
        <v>1</v>
      </c>
      <c r="P331" s="5" t="n">
        <v>1</v>
      </c>
      <c r="Q331" s="5" t="n">
        <v>0</v>
      </c>
      <c r="R331" s="5" t="n">
        <v>0</v>
      </c>
      <c r="S331" s="5" t="n">
        <v>0</v>
      </c>
      <c r="T331" s="5" t="n">
        <v>1</v>
      </c>
      <c r="U331" s="5" t="inlineStr">
        <is>
          <t>testing</t>
        </is>
      </c>
    </row>
    <row r="332">
      <c r="A332" s="5" t="n">
        <v>328</v>
      </c>
      <c r="B332" s="5" t="n">
        <v>0</v>
      </c>
      <c r="C332" s="6" t="n">
        <v>0.275406400796963</v>
      </c>
      <c r="D332" s="6" t="n">
        <v>-0.6038084049449854</v>
      </c>
      <c r="E332" s="6" t="n">
        <v>-0.1339384518749317</v>
      </c>
      <c r="F332" s="6" t="n">
        <v>0.9185437189662378</v>
      </c>
      <c r="G332" s="5" t="n">
        <v>0</v>
      </c>
      <c r="H332" s="5" t="n">
        <v>0</v>
      </c>
      <c r="I332" s="5" t="n">
        <v>0</v>
      </c>
      <c r="J332" s="5" t="n">
        <v>0</v>
      </c>
      <c r="K332" s="5" t="n">
        <v>0</v>
      </c>
      <c r="L332" s="5" t="n">
        <v>0</v>
      </c>
      <c r="M332" s="5" t="n">
        <v>0</v>
      </c>
      <c r="N332" s="5" t="n">
        <v>1</v>
      </c>
      <c r="O332" s="5" t="n">
        <v>0</v>
      </c>
      <c r="P332" s="5" t="n">
        <v>0</v>
      </c>
      <c r="Q332" s="5" t="n">
        <v>0</v>
      </c>
      <c r="R332" s="5" t="n">
        <v>1</v>
      </c>
      <c r="S332" s="5" t="n">
        <v>0</v>
      </c>
      <c r="T332" s="5" t="n">
        <v>0</v>
      </c>
      <c r="U332" s="5" t="inlineStr">
        <is>
          <t>training</t>
        </is>
      </c>
    </row>
    <row r="333">
      <c r="A333" s="5" t="n">
        <v>329</v>
      </c>
      <c r="B333" s="5" t="n">
        <v>0</v>
      </c>
      <c r="C333" s="6" t="n">
        <v>1.286513816310289</v>
      </c>
      <c r="D333" s="6" t="n">
        <v>0.4276753978148722</v>
      </c>
      <c r="E333" s="6" t="n">
        <v>-0.3948575139689546</v>
      </c>
      <c r="F333" s="6" t="n">
        <v>0.9185437189662378</v>
      </c>
      <c r="G333" s="5" t="n">
        <v>0</v>
      </c>
      <c r="H333" s="5" t="n">
        <v>0</v>
      </c>
      <c r="I333" s="5" t="n">
        <v>1</v>
      </c>
      <c r="J333" s="5" t="n">
        <v>0</v>
      </c>
      <c r="K333" s="5" t="n">
        <v>0</v>
      </c>
      <c r="L333" s="5" t="n">
        <v>0</v>
      </c>
      <c r="M333" s="5" t="n">
        <v>0</v>
      </c>
      <c r="N333" s="5" t="n">
        <v>0</v>
      </c>
      <c r="O333" s="5" t="n">
        <v>0</v>
      </c>
      <c r="P333" s="5" t="n">
        <v>0</v>
      </c>
      <c r="Q333" s="5" t="n">
        <v>0</v>
      </c>
      <c r="R333" s="5" t="n">
        <v>0</v>
      </c>
      <c r="S333" s="5" t="n">
        <v>1</v>
      </c>
      <c r="T333" s="5" t="n">
        <v>0</v>
      </c>
      <c r="U333" s="5" t="inlineStr">
        <is>
          <t>training</t>
        </is>
      </c>
    </row>
    <row r="334">
      <c r="A334" s="5" t="n">
        <v>330</v>
      </c>
      <c r="B334" s="5" t="n">
        <v>0</v>
      </c>
      <c r="C334" s="6" t="n">
        <v>-1.241254722473026</v>
      </c>
      <c r="D334" s="6" t="n">
        <v>-0.7637093879372701</v>
      </c>
      <c r="E334" s="6" t="n">
        <v>-0.6557765760629775</v>
      </c>
      <c r="F334" s="6" t="n">
        <v>0.9185437189662378</v>
      </c>
      <c r="G334" s="5" t="n">
        <v>0</v>
      </c>
      <c r="H334" s="5" t="n">
        <v>1</v>
      </c>
      <c r="I334" s="5" t="n">
        <v>0</v>
      </c>
      <c r="J334" s="5" t="n">
        <v>0</v>
      </c>
      <c r="K334" s="5" t="n">
        <v>0</v>
      </c>
      <c r="L334" s="5" t="n">
        <v>0</v>
      </c>
      <c r="M334" s="5" t="n">
        <v>0</v>
      </c>
      <c r="N334" s="5" t="n">
        <v>0</v>
      </c>
      <c r="O334" s="5" t="n">
        <v>0</v>
      </c>
      <c r="P334" s="5" t="n">
        <v>0</v>
      </c>
      <c r="Q334" s="5" t="n">
        <v>0</v>
      </c>
      <c r="R334" s="5" t="n">
        <v>0</v>
      </c>
      <c r="S334" s="5" t="n">
        <v>1</v>
      </c>
      <c r="T334" s="5" t="n">
        <v>0</v>
      </c>
      <c r="U334" s="5" t="inlineStr">
        <is>
          <t>training</t>
        </is>
      </c>
    </row>
    <row r="335">
      <c r="A335" s="5" t="n">
        <v>331</v>
      </c>
      <c r="B335" s="5" t="n">
        <v>0</v>
      </c>
      <c r="C335" s="6" t="n">
        <v>0.275406400796963</v>
      </c>
      <c r="D335" s="6" t="n">
        <v>1.177145650702123</v>
      </c>
      <c r="E335" s="6" t="n">
        <v>3.431955396743382</v>
      </c>
      <c r="F335" s="6" t="n">
        <v>-0.8850484360866833</v>
      </c>
      <c r="G335" s="5" t="n">
        <v>1</v>
      </c>
      <c r="H335" s="5" t="n">
        <v>0</v>
      </c>
      <c r="I335" s="5" t="n">
        <v>0</v>
      </c>
      <c r="J335" s="5" t="n">
        <v>1</v>
      </c>
      <c r="K335" s="5" t="n">
        <v>0</v>
      </c>
      <c r="L335" s="5" t="n">
        <v>0</v>
      </c>
      <c r="M335" s="5" t="n">
        <v>0</v>
      </c>
      <c r="N335" s="5" t="n">
        <v>0</v>
      </c>
      <c r="O335" s="5" t="n">
        <v>0</v>
      </c>
      <c r="P335" s="5" t="n">
        <v>0</v>
      </c>
      <c r="Q335" s="5" t="n">
        <v>1</v>
      </c>
      <c r="R335" s="5" t="n">
        <v>1</v>
      </c>
      <c r="S335" s="5" t="n">
        <v>0</v>
      </c>
      <c r="T335" s="5" t="n">
        <v>0</v>
      </c>
      <c r="U335" s="5" t="inlineStr">
        <is>
          <t>training</t>
        </is>
      </c>
    </row>
    <row r="336">
      <c r="A336" s="5" t="n">
        <v>332</v>
      </c>
      <c r="B336" s="5" t="n">
        <v>1</v>
      </c>
      <c r="C336" s="6" t="n">
        <v>-0.2301473069597001</v>
      </c>
      <c r="D336" s="6" t="n">
        <v>-0.4851947654824373</v>
      </c>
      <c r="E336" s="6" t="n">
        <v>-0.4818305346669622</v>
      </c>
      <c r="F336" s="6" t="n">
        <v>0.9185437189662378</v>
      </c>
      <c r="G336" s="5" t="n">
        <v>0</v>
      </c>
      <c r="H336" s="5" t="n">
        <v>0</v>
      </c>
      <c r="I336" s="5" t="n">
        <v>0</v>
      </c>
      <c r="J336" s="5" t="n">
        <v>1</v>
      </c>
      <c r="K336" s="5" t="n">
        <v>0</v>
      </c>
      <c r="L336" s="5" t="n">
        <v>0</v>
      </c>
      <c r="M336" s="5" t="n">
        <v>1</v>
      </c>
      <c r="N336" s="5" t="n">
        <v>0</v>
      </c>
      <c r="O336" s="5" t="n">
        <v>0</v>
      </c>
      <c r="P336" s="5" t="n">
        <v>0</v>
      </c>
      <c r="Q336" s="5" t="n">
        <v>0</v>
      </c>
      <c r="R336" s="5" t="n">
        <v>0</v>
      </c>
      <c r="S336" s="5" t="n">
        <v>0</v>
      </c>
      <c r="T336" s="5" t="n">
        <v>0</v>
      </c>
      <c r="U336" s="5" t="inlineStr">
        <is>
          <t>training</t>
        </is>
      </c>
    </row>
    <row r="337">
      <c r="A337" s="5" t="n">
        <v>333</v>
      </c>
      <c r="B337" s="5" t="n">
        <v>1</v>
      </c>
      <c r="C337" s="6" t="n">
        <v>3.308728647336942</v>
      </c>
      <c r="D337" s="6" t="n">
        <v>1.454610594931623</v>
      </c>
      <c r="E337" s="6" t="n">
        <v>-1.003668658855008</v>
      </c>
      <c r="F337" s="6" t="n">
        <v>0.9185437189662378</v>
      </c>
      <c r="G337" s="5" t="n">
        <v>0</v>
      </c>
      <c r="H337" s="5" t="n">
        <v>1</v>
      </c>
      <c r="I337" s="5" t="n">
        <v>0</v>
      </c>
      <c r="J337" s="5" t="n">
        <v>0</v>
      </c>
      <c r="K337" s="5" t="n">
        <v>0</v>
      </c>
      <c r="L337" s="5" t="n">
        <v>0</v>
      </c>
      <c r="M337" s="5" t="n">
        <v>1</v>
      </c>
      <c r="N337" s="5" t="n">
        <v>0</v>
      </c>
      <c r="O337" s="5" t="n">
        <v>0</v>
      </c>
      <c r="P337" s="5" t="n">
        <v>0</v>
      </c>
      <c r="Q337" s="5" t="n">
        <v>0</v>
      </c>
      <c r="R337" s="5" t="n">
        <v>1</v>
      </c>
      <c r="S337" s="5" t="n">
        <v>0</v>
      </c>
      <c r="T337" s="5" t="n">
        <v>0</v>
      </c>
      <c r="U337" s="5" t="inlineStr">
        <is>
          <t>training</t>
        </is>
      </c>
    </row>
    <row r="338">
      <c r="A338" s="5" t="n">
        <v>334</v>
      </c>
      <c r="B338" s="5" t="n">
        <v>1</v>
      </c>
      <c r="C338" s="6" t="n">
        <v>2.297621231823615</v>
      </c>
      <c r="D338" s="6" t="n">
        <v>2.917862041044827</v>
      </c>
      <c r="E338" s="6" t="n">
        <v>-1.003668658855008</v>
      </c>
      <c r="F338" s="6" t="n">
        <v>-0.8850484360866833</v>
      </c>
      <c r="G338" s="5" t="n">
        <v>0</v>
      </c>
      <c r="H338" s="5" t="n">
        <v>0</v>
      </c>
      <c r="I338" s="5" t="n">
        <v>0</v>
      </c>
      <c r="J338" s="5" t="n">
        <v>1</v>
      </c>
      <c r="K338" s="5" t="n">
        <v>0</v>
      </c>
      <c r="L338" s="5" t="n">
        <v>0</v>
      </c>
      <c r="M338" s="5" t="n">
        <v>1</v>
      </c>
      <c r="N338" s="5" t="n">
        <v>0</v>
      </c>
      <c r="O338" s="5" t="n">
        <v>0</v>
      </c>
      <c r="P338" s="5" t="n">
        <v>1</v>
      </c>
      <c r="Q338" s="5" t="n">
        <v>0</v>
      </c>
      <c r="R338" s="5" t="n">
        <v>1</v>
      </c>
      <c r="S338" s="5" t="n">
        <v>0</v>
      </c>
      <c r="T338" s="5" t="n">
        <v>0</v>
      </c>
      <c r="U338" s="5" t="inlineStr">
        <is>
          <t>training</t>
        </is>
      </c>
    </row>
    <row r="339">
      <c r="A339" s="5" t="n">
        <v>335</v>
      </c>
      <c r="B339" s="5" t="n">
        <v>1</v>
      </c>
      <c r="C339" s="6" t="n">
        <v>0.275406400796963</v>
      </c>
      <c r="D339" s="6" t="n">
        <v>0.3006643325496658</v>
      </c>
      <c r="E339" s="6" t="n">
        <v>-1.090641679553016</v>
      </c>
      <c r="F339" s="6" t="n">
        <v>0.01674764143977723</v>
      </c>
      <c r="G339" s="5" t="n">
        <v>1</v>
      </c>
      <c r="H339" s="5" t="n">
        <v>0</v>
      </c>
      <c r="I339" s="5" t="n">
        <v>0</v>
      </c>
      <c r="J339" s="5" t="n">
        <v>0</v>
      </c>
      <c r="K339" s="5" t="n">
        <v>0</v>
      </c>
      <c r="L339" s="5" t="n">
        <v>1</v>
      </c>
      <c r="M339" s="5" t="n">
        <v>0</v>
      </c>
      <c r="N339" s="5" t="n">
        <v>0</v>
      </c>
      <c r="O339" s="5" t="n">
        <v>0</v>
      </c>
      <c r="P339" s="5" t="n">
        <v>1</v>
      </c>
      <c r="Q339" s="5" t="n">
        <v>0</v>
      </c>
      <c r="R339" s="5" t="n">
        <v>0</v>
      </c>
      <c r="S339" s="5" t="n">
        <v>0</v>
      </c>
      <c r="T339" s="5" t="n">
        <v>1</v>
      </c>
      <c r="U339" s="5" t="inlineStr">
        <is>
          <t>training</t>
        </is>
      </c>
    </row>
    <row r="340">
      <c r="A340" s="5" t="n">
        <v>336</v>
      </c>
      <c r="B340" s="5" t="n">
        <v>1</v>
      </c>
      <c r="C340" s="6" t="n">
        <v>-1.241254722473026</v>
      </c>
      <c r="D340" s="6" t="n">
        <v>0.04664220201925312</v>
      </c>
      <c r="E340" s="6" t="n">
        <v>0.7357917551051447</v>
      </c>
      <c r="F340" s="6" t="n">
        <v>-1.786844513613144</v>
      </c>
      <c r="G340" s="5" t="n">
        <v>1</v>
      </c>
      <c r="H340" s="5" t="n">
        <v>0</v>
      </c>
      <c r="I340" s="5" t="n">
        <v>0</v>
      </c>
      <c r="J340" s="5" t="n">
        <v>1</v>
      </c>
      <c r="K340" s="5" t="n">
        <v>0</v>
      </c>
      <c r="L340" s="5" t="n">
        <v>0</v>
      </c>
      <c r="M340" s="5" t="n">
        <v>0</v>
      </c>
      <c r="N340" s="5" t="n">
        <v>0</v>
      </c>
      <c r="O340" s="5" t="n">
        <v>0</v>
      </c>
      <c r="P340" s="5" t="n">
        <v>1</v>
      </c>
      <c r="Q340" s="5" t="n">
        <v>0</v>
      </c>
      <c r="R340" s="5" t="n">
        <v>0</v>
      </c>
      <c r="S340" s="5" t="n">
        <v>0</v>
      </c>
      <c r="T340" s="5" t="n">
        <v>1</v>
      </c>
      <c r="U340" s="5" t="inlineStr">
        <is>
          <t>training</t>
        </is>
      </c>
    </row>
    <row r="341">
      <c r="A341" s="5" t="n">
        <v>337</v>
      </c>
      <c r="B341" s="5" t="n">
        <v>0</v>
      </c>
      <c r="C341" s="6" t="n">
        <v>-0.651442063423586</v>
      </c>
      <c r="D341" s="6" t="n">
        <v>-0.4022701856811869</v>
      </c>
      <c r="E341" s="6" t="n">
        <v>-1.090641679553016</v>
      </c>
      <c r="F341" s="6" t="n">
        <v>-0.8850484360866833</v>
      </c>
      <c r="G341" s="5" t="n">
        <v>0</v>
      </c>
      <c r="H341" s="5" t="n">
        <v>1</v>
      </c>
      <c r="I341" s="5" t="n">
        <v>0</v>
      </c>
      <c r="J341" s="5" t="n">
        <v>0</v>
      </c>
      <c r="K341" s="5" t="n">
        <v>0</v>
      </c>
      <c r="L341" s="5" t="n">
        <v>0</v>
      </c>
      <c r="M341" s="5" t="n">
        <v>0</v>
      </c>
      <c r="N341" s="5" t="n">
        <v>0</v>
      </c>
      <c r="O341" s="5" t="n">
        <v>0</v>
      </c>
      <c r="P341" s="5" t="n">
        <v>0</v>
      </c>
      <c r="Q341" s="5" t="n">
        <v>0</v>
      </c>
      <c r="R341" s="5" t="n">
        <v>0</v>
      </c>
      <c r="S341" s="5" t="n">
        <v>1</v>
      </c>
      <c r="T341" s="5" t="n">
        <v>0</v>
      </c>
      <c r="U341" s="5" t="inlineStr">
        <is>
          <t>training</t>
        </is>
      </c>
    </row>
    <row r="342">
      <c r="A342" s="5" t="n">
        <v>338</v>
      </c>
      <c r="B342" s="5" t="n">
        <v>1</v>
      </c>
      <c r="C342" s="6" t="n">
        <v>-0.4829241608380317</v>
      </c>
      <c r="D342" s="6" t="n">
        <v>-0.6912815903893424</v>
      </c>
      <c r="E342" s="6" t="n">
        <v>-1.003668658855008</v>
      </c>
      <c r="F342" s="6" t="n">
        <v>0.9185437189662378</v>
      </c>
      <c r="G342" s="5" t="n">
        <v>1</v>
      </c>
      <c r="H342" s="5" t="n">
        <v>0</v>
      </c>
      <c r="I342" s="5" t="n">
        <v>0</v>
      </c>
      <c r="J342" s="5" t="n">
        <v>0</v>
      </c>
      <c r="K342" s="5" t="n">
        <v>0</v>
      </c>
      <c r="L342" s="5" t="n">
        <v>0</v>
      </c>
      <c r="M342" s="5" t="n">
        <v>0</v>
      </c>
      <c r="N342" s="5" t="n">
        <v>0</v>
      </c>
      <c r="O342" s="5" t="n">
        <v>1</v>
      </c>
      <c r="P342" s="5" t="n">
        <v>1</v>
      </c>
      <c r="Q342" s="5" t="n">
        <v>0</v>
      </c>
      <c r="R342" s="5" t="n">
        <v>0</v>
      </c>
      <c r="S342" s="5" t="n">
        <v>0</v>
      </c>
      <c r="T342" s="5" t="n">
        <v>0</v>
      </c>
      <c r="U342" s="5" t="inlineStr">
        <is>
          <t>testing</t>
        </is>
      </c>
    </row>
    <row r="343">
      <c r="A343" s="5" t="n">
        <v>339</v>
      </c>
      <c r="B343" s="5" t="n">
        <v>0</v>
      </c>
      <c r="C343" s="6" t="n">
        <v>0.275406400796963</v>
      </c>
      <c r="D343" s="6" t="n">
        <v>0.321308004314534</v>
      </c>
      <c r="E343" s="6" t="n">
        <v>-0.6557765760629775</v>
      </c>
      <c r="F343" s="6" t="n">
        <v>0.9185437189662378</v>
      </c>
      <c r="G343" s="5" t="n">
        <v>1</v>
      </c>
      <c r="H343" s="5" t="n">
        <v>0</v>
      </c>
      <c r="I343" s="5" t="n">
        <v>0</v>
      </c>
      <c r="J343" s="5" t="n">
        <v>0</v>
      </c>
      <c r="K343" s="5" t="n">
        <v>0</v>
      </c>
      <c r="L343" s="5" t="n">
        <v>0</v>
      </c>
      <c r="M343" s="5" t="n">
        <v>0</v>
      </c>
      <c r="N343" s="5" t="n">
        <v>0</v>
      </c>
      <c r="O343" s="5" t="n">
        <v>0</v>
      </c>
      <c r="P343" s="5" t="n">
        <v>0</v>
      </c>
      <c r="Q343" s="5" t="n">
        <v>0</v>
      </c>
      <c r="R343" s="5" t="n">
        <v>0</v>
      </c>
      <c r="S343" s="5" t="n">
        <v>0</v>
      </c>
      <c r="T343" s="5" t="n">
        <v>1</v>
      </c>
      <c r="U343" s="5" t="inlineStr">
        <is>
          <t>training</t>
        </is>
      </c>
    </row>
    <row r="344">
      <c r="A344" s="5" t="n">
        <v>340</v>
      </c>
      <c r="B344" s="5" t="n">
        <v>0</v>
      </c>
      <c r="C344" s="6" t="n">
        <v>-0.9042189173019176</v>
      </c>
      <c r="D344" s="6" t="n">
        <v>-0.6052079759120952</v>
      </c>
      <c r="E344" s="6" t="n">
        <v>-0.3948575139689546</v>
      </c>
      <c r="F344" s="6" t="n">
        <v>0.9185437189662378</v>
      </c>
      <c r="G344" s="5" t="n">
        <v>0</v>
      </c>
      <c r="H344" s="5" t="n">
        <v>1</v>
      </c>
      <c r="I344" s="5" t="n">
        <v>0</v>
      </c>
      <c r="J344" s="5" t="n">
        <v>0</v>
      </c>
      <c r="K344" s="5" t="n">
        <v>0</v>
      </c>
      <c r="L344" s="5" t="n">
        <v>0</v>
      </c>
      <c r="M344" s="5" t="n">
        <v>0</v>
      </c>
      <c r="N344" s="5" t="n">
        <v>0</v>
      </c>
      <c r="O344" s="5" t="n">
        <v>0</v>
      </c>
      <c r="P344" s="5" t="n">
        <v>0</v>
      </c>
      <c r="Q344" s="5" t="n">
        <v>0</v>
      </c>
      <c r="R344" s="5" t="n">
        <v>0</v>
      </c>
      <c r="S344" s="5" t="n">
        <v>0</v>
      </c>
      <c r="T344" s="5" t="n">
        <v>1</v>
      </c>
      <c r="U344" s="5" t="inlineStr">
        <is>
          <t>training</t>
        </is>
      </c>
    </row>
    <row r="345">
      <c r="A345" s="5" t="n">
        <v>341</v>
      </c>
      <c r="B345" s="5" t="n">
        <v>0</v>
      </c>
      <c r="C345" s="6" t="n">
        <v>0.275406400796963</v>
      </c>
      <c r="D345" s="6" t="n">
        <v>0.8720391798722057</v>
      </c>
      <c r="E345" s="6" t="n">
        <v>-1.003668658855008</v>
      </c>
      <c r="F345" s="6" t="n">
        <v>-0.8850484360866833</v>
      </c>
      <c r="G345" s="5" t="n">
        <v>0</v>
      </c>
      <c r="H345" s="5" t="n">
        <v>1</v>
      </c>
      <c r="I345" s="5" t="n">
        <v>0</v>
      </c>
      <c r="J345" s="5" t="n">
        <v>1</v>
      </c>
      <c r="K345" s="5" t="n">
        <v>0</v>
      </c>
      <c r="L345" s="5" t="n">
        <v>0</v>
      </c>
      <c r="M345" s="5" t="n">
        <v>0</v>
      </c>
      <c r="N345" s="5" t="n">
        <v>0</v>
      </c>
      <c r="O345" s="5" t="n">
        <v>0</v>
      </c>
      <c r="P345" s="5" t="n">
        <v>0</v>
      </c>
      <c r="Q345" s="5" t="n">
        <v>1</v>
      </c>
      <c r="R345" s="5" t="n">
        <v>0</v>
      </c>
      <c r="S345" s="5" t="n">
        <v>0</v>
      </c>
      <c r="T345" s="5" t="n">
        <v>0</v>
      </c>
      <c r="U345" s="5" t="inlineStr">
        <is>
          <t>training</t>
        </is>
      </c>
    </row>
    <row r="346">
      <c r="A346" s="5" t="n">
        <v>342</v>
      </c>
      <c r="B346" s="5" t="n">
        <v>0</v>
      </c>
      <c r="C346" s="6" t="n">
        <v>0.02262954691863145</v>
      </c>
      <c r="D346" s="6" t="n">
        <v>0.1218691415014001</v>
      </c>
      <c r="E346" s="6" t="n">
        <v>-0.8297226174589928</v>
      </c>
      <c r="F346" s="6" t="n">
        <v>-1.786844513613144</v>
      </c>
      <c r="G346" s="5" t="n">
        <v>1</v>
      </c>
      <c r="H346" s="5" t="n">
        <v>0</v>
      </c>
      <c r="I346" s="5" t="n">
        <v>0</v>
      </c>
      <c r="J346" s="5" t="n">
        <v>0</v>
      </c>
      <c r="K346" s="5" t="n">
        <v>0</v>
      </c>
      <c r="L346" s="5" t="n">
        <v>0</v>
      </c>
      <c r="M346" s="5" t="n">
        <v>0</v>
      </c>
      <c r="N346" s="5" t="n">
        <v>0</v>
      </c>
      <c r="O346" s="5" t="n">
        <v>0</v>
      </c>
      <c r="P346" s="5" t="n">
        <v>1</v>
      </c>
      <c r="Q346" s="5" t="n">
        <v>0</v>
      </c>
      <c r="R346" s="5" t="n">
        <v>0</v>
      </c>
      <c r="S346" s="5" t="n">
        <v>0</v>
      </c>
      <c r="T346" s="5" t="n">
        <v>1</v>
      </c>
      <c r="U346" s="5" t="inlineStr">
        <is>
          <t>testing</t>
        </is>
      </c>
    </row>
    <row r="347">
      <c r="A347" s="5" t="n">
        <v>343</v>
      </c>
      <c r="B347" s="5" t="n">
        <v>0</v>
      </c>
      <c r="C347" s="6" t="n">
        <v>-0.2301473069597001</v>
      </c>
      <c r="D347" s="6" t="n">
        <v>-0.01318945682468706</v>
      </c>
      <c r="E347" s="6" t="n">
        <v>-0.9166956381570004</v>
      </c>
      <c r="F347" s="6" t="n">
        <v>-1.786844513613144</v>
      </c>
      <c r="G347" s="5" t="n">
        <v>0</v>
      </c>
      <c r="H347" s="5" t="n">
        <v>1</v>
      </c>
      <c r="I347" s="5" t="n">
        <v>0</v>
      </c>
      <c r="J347" s="5" t="n">
        <v>0</v>
      </c>
      <c r="K347" s="5" t="n">
        <v>0</v>
      </c>
      <c r="L347" s="5" t="n">
        <v>0</v>
      </c>
      <c r="M347" s="5" t="n">
        <v>1</v>
      </c>
      <c r="N347" s="5" t="n">
        <v>0</v>
      </c>
      <c r="O347" s="5" t="n">
        <v>0</v>
      </c>
      <c r="P347" s="5" t="n">
        <v>1</v>
      </c>
      <c r="Q347" s="5" t="n">
        <v>0</v>
      </c>
      <c r="R347" s="5" t="n">
        <v>0</v>
      </c>
      <c r="S347" s="5" t="n">
        <v>1</v>
      </c>
      <c r="T347" s="5" t="n">
        <v>0</v>
      </c>
      <c r="U347" s="5" t="inlineStr">
        <is>
          <t>training</t>
        </is>
      </c>
    </row>
    <row r="348">
      <c r="A348" s="5" t="n">
        <v>344</v>
      </c>
      <c r="B348" s="5" t="n">
        <v>0</v>
      </c>
      <c r="C348" s="6" t="n">
        <v>-0.2301473069597001</v>
      </c>
      <c r="D348" s="6" t="n">
        <v>0.4157790445944396</v>
      </c>
      <c r="E348" s="6" t="n">
        <v>-0.2209114725729393</v>
      </c>
      <c r="F348" s="6" t="n">
        <v>-1.786844513613144</v>
      </c>
      <c r="G348" s="5" t="n">
        <v>0</v>
      </c>
      <c r="H348" s="5" t="n">
        <v>1</v>
      </c>
      <c r="I348" s="5" t="n">
        <v>0</v>
      </c>
      <c r="J348" s="5" t="n">
        <v>0</v>
      </c>
      <c r="K348" s="5" t="n">
        <v>0</v>
      </c>
      <c r="L348" s="5" t="n">
        <v>0</v>
      </c>
      <c r="M348" s="5" t="n">
        <v>0</v>
      </c>
      <c r="N348" s="5" t="n">
        <v>0</v>
      </c>
      <c r="O348" s="5" t="n">
        <v>0</v>
      </c>
      <c r="P348" s="5" t="n">
        <v>0</v>
      </c>
      <c r="Q348" s="5" t="n">
        <v>0</v>
      </c>
      <c r="R348" s="5" t="n">
        <v>0</v>
      </c>
      <c r="S348" s="5" t="n">
        <v>0</v>
      </c>
      <c r="T348" s="5" t="n">
        <v>0</v>
      </c>
      <c r="U348" s="5" t="inlineStr">
        <is>
          <t>testing</t>
        </is>
      </c>
    </row>
    <row r="349">
      <c r="A349" s="5" t="n">
        <v>345</v>
      </c>
      <c r="B349" s="5" t="n">
        <v>0</v>
      </c>
      <c r="C349" s="6" t="n">
        <v>-0.9042189173019176</v>
      </c>
      <c r="D349" s="6" t="n">
        <v>0.2443316011234999</v>
      </c>
      <c r="E349" s="6" t="n">
        <v>0.1269806102190912</v>
      </c>
      <c r="F349" s="6" t="n">
        <v>-1.786844513613144</v>
      </c>
      <c r="G349" s="5" t="n">
        <v>0</v>
      </c>
      <c r="H349" s="5" t="n">
        <v>0</v>
      </c>
      <c r="I349" s="5" t="n">
        <v>1</v>
      </c>
      <c r="J349" s="5" t="n">
        <v>0</v>
      </c>
      <c r="K349" s="5" t="n">
        <v>0</v>
      </c>
      <c r="L349" s="5" t="n">
        <v>0</v>
      </c>
      <c r="M349" s="5" t="n">
        <v>0</v>
      </c>
      <c r="N349" s="5" t="n">
        <v>0</v>
      </c>
      <c r="O349" s="5" t="n">
        <v>0</v>
      </c>
      <c r="P349" s="5" t="n">
        <v>0</v>
      </c>
      <c r="Q349" s="5" t="n">
        <v>0</v>
      </c>
      <c r="R349" s="5" t="n">
        <v>1</v>
      </c>
      <c r="S349" s="5" t="n">
        <v>0</v>
      </c>
      <c r="T349" s="5" t="n">
        <v>0</v>
      </c>
      <c r="U349" s="5" t="inlineStr">
        <is>
          <t>training</t>
        </is>
      </c>
    </row>
    <row r="350">
      <c r="A350" s="5" t="n">
        <v>346</v>
      </c>
      <c r="B350" s="5" t="n">
        <v>0</v>
      </c>
      <c r="C350" s="6" t="n">
        <v>-0.4829241608380317</v>
      </c>
      <c r="D350" s="6" t="n">
        <v>-0.6269013259022956</v>
      </c>
      <c r="E350" s="6" t="n">
        <v>0.648818734407137</v>
      </c>
      <c r="F350" s="6" t="n">
        <v>0.9185437189662378</v>
      </c>
      <c r="G350" s="5" t="n">
        <v>0</v>
      </c>
      <c r="H350" s="5" t="n">
        <v>0</v>
      </c>
      <c r="I350" s="5" t="n">
        <v>0</v>
      </c>
      <c r="J350" s="5" t="n">
        <v>1</v>
      </c>
      <c r="K350" s="5" t="n">
        <v>0</v>
      </c>
      <c r="L350" s="5" t="n">
        <v>0</v>
      </c>
      <c r="M350" s="5" t="n">
        <v>0</v>
      </c>
      <c r="N350" s="5" t="n">
        <v>0</v>
      </c>
      <c r="O350" s="5" t="n">
        <v>0</v>
      </c>
      <c r="P350" s="5" t="n">
        <v>0</v>
      </c>
      <c r="Q350" s="5" t="n">
        <v>0</v>
      </c>
      <c r="R350" s="5" t="n">
        <v>0</v>
      </c>
      <c r="S350" s="5" t="n">
        <v>1</v>
      </c>
      <c r="T350" s="5" t="n">
        <v>0</v>
      </c>
      <c r="U350" s="5" t="inlineStr">
        <is>
          <t>training</t>
        </is>
      </c>
    </row>
    <row r="351">
      <c r="A351" s="5" t="n">
        <v>347</v>
      </c>
      <c r="B351" s="5" t="n">
        <v>0</v>
      </c>
      <c r="C351" s="6" t="n">
        <v>-0.651442063423586</v>
      </c>
      <c r="D351" s="6" t="n">
        <v>-0.8287894379078716</v>
      </c>
      <c r="E351" s="6" t="n">
        <v>-1.090641679553016</v>
      </c>
      <c r="F351" s="6" t="n">
        <v>0.9185437189662378</v>
      </c>
      <c r="G351" s="5" t="n">
        <v>0</v>
      </c>
      <c r="H351" s="5" t="n">
        <v>1</v>
      </c>
      <c r="I351" s="5" t="n">
        <v>0</v>
      </c>
      <c r="J351" s="5" t="n">
        <v>1</v>
      </c>
      <c r="K351" s="5" t="n">
        <v>0</v>
      </c>
      <c r="L351" s="5" t="n">
        <v>0</v>
      </c>
      <c r="M351" s="5" t="n">
        <v>0</v>
      </c>
      <c r="N351" s="5" t="n">
        <v>0</v>
      </c>
      <c r="O351" s="5" t="n">
        <v>0</v>
      </c>
      <c r="P351" s="5" t="n">
        <v>0</v>
      </c>
      <c r="Q351" s="5" t="n">
        <v>0</v>
      </c>
      <c r="R351" s="5" t="n">
        <v>0</v>
      </c>
      <c r="S351" s="5" t="n">
        <v>1</v>
      </c>
      <c r="T351" s="5" t="n">
        <v>0</v>
      </c>
      <c r="U351" s="5" t="inlineStr">
        <is>
          <t>training</t>
        </is>
      </c>
    </row>
    <row r="352">
      <c r="A352" s="5" t="n">
        <v>348</v>
      </c>
      <c r="B352" s="5" t="n">
        <v>0</v>
      </c>
      <c r="C352" s="6" t="n">
        <v>0.275406400796963</v>
      </c>
      <c r="D352" s="6" t="n">
        <v>0.1775020874440112</v>
      </c>
      <c r="E352" s="6" t="n">
        <v>-1.090641679553016</v>
      </c>
      <c r="F352" s="6" t="n">
        <v>-1.786844513613144</v>
      </c>
      <c r="G352" s="5" t="n">
        <v>0</v>
      </c>
      <c r="H352" s="5" t="n">
        <v>1</v>
      </c>
      <c r="I352" s="5" t="n">
        <v>0</v>
      </c>
      <c r="J352" s="5" t="n">
        <v>0</v>
      </c>
      <c r="K352" s="5" t="n">
        <v>0</v>
      </c>
      <c r="L352" s="5" t="n">
        <v>0</v>
      </c>
      <c r="M352" s="5" t="n">
        <v>1</v>
      </c>
      <c r="N352" s="5" t="n">
        <v>0</v>
      </c>
      <c r="O352" s="5" t="n">
        <v>0</v>
      </c>
      <c r="P352" s="5" t="n">
        <v>1</v>
      </c>
      <c r="Q352" s="5" t="n">
        <v>0</v>
      </c>
      <c r="R352" s="5" t="n">
        <v>0</v>
      </c>
      <c r="S352" s="5" t="n">
        <v>1</v>
      </c>
      <c r="T352" s="5" t="n">
        <v>0</v>
      </c>
      <c r="U352" s="5" t="inlineStr">
        <is>
          <t>training</t>
        </is>
      </c>
    </row>
    <row r="353">
      <c r="A353" s="5" t="n">
        <v>349</v>
      </c>
      <c r="B353" s="5" t="n">
        <v>0</v>
      </c>
      <c r="C353" s="6" t="n">
        <v>-1.241254722473026</v>
      </c>
      <c r="D353" s="6" t="n">
        <v>-0.5275317872375062</v>
      </c>
      <c r="E353" s="6" t="n">
        <v>-0.1339384518749317</v>
      </c>
      <c r="F353" s="6" t="n">
        <v>-1.786844513613144</v>
      </c>
      <c r="G353" s="5" t="n">
        <v>0</v>
      </c>
      <c r="H353" s="5" t="n">
        <v>0</v>
      </c>
      <c r="I353" s="5" t="n">
        <v>0</v>
      </c>
      <c r="J353" s="5" t="n">
        <v>0</v>
      </c>
      <c r="K353" s="5" t="n">
        <v>1</v>
      </c>
      <c r="L353" s="5" t="n">
        <v>0</v>
      </c>
      <c r="M353" s="5" t="n">
        <v>1</v>
      </c>
      <c r="N353" s="5" t="n">
        <v>0</v>
      </c>
      <c r="O353" s="5" t="n">
        <v>0</v>
      </c>
      <c r="P353" s="5" t="n">
        <v>0</v>
      </c>
      <c r="Q353" s="5" t="n">
        <v>0</v>
      </c>
      <c r="R353" s="5" t="n">
        <v>0</v>
      </c>
      <c r="S353" s="5" t="n">
        <v>0</v>
      </c>
      <c r="T353" s="5" t="n">
        <v>0</v>
      </c>
      <c r="U353" s="5" t="inlineStr">
        <is>
          <t>training</t>
        </is>
      </c>
    </row>
    <row r="354">
      <c r="A354" s="5" t="n">
        <v>350</v>
      </c>
      <c r="B354" s="5" t="n">
        <v>1</v>
      </c>
      <c r="C354" s="6" t="n">
        <v>-0.9884778685946948</v>
      </c>
      <c r="D354" s="6" t="n">
        <v>-0.7399166814964049</v>
      </c>
      <c r="E354" s="6" t="n">
        <v>-0.307884493270947</v>
      </c>
      <c r="F354" s="6" t="n">
        <v>0.9185437189662378</v>
      </c>
      <c r="G354" s="5" t="n">
        <v>0</v>
      </c>
      <c r="H354" s="5" t="n">
        <v>1</v>
      </c>
      <c r="I354" s="5" t="n">
        <v>0</v>
      </c>
      <c r="J354" s="5" t="n">
        <v>1</v>
      </c>
      <c r="K354" s="5" t="n">
        <v>0</v>
      </c>
      <c r="L354" s="5" t="n">
        <v>0</v>
      </c>
      <c r="M354" s="5" t="n">
        <v>0</v>
      </c>
      <c r="N354" s="5" t="n">
        <v>1</v>
      </c>
      <c r="O354" s="5" t="n">
        <v>0</v>
      </c>
      <c r="P354" s="5" t="n">
        <v>0</v>
      </c>
      <c r="Q354" s="5" t="n">
        <v>1</v>
      </c>
      <c r="R354" s="5" t="n">
        <v>0</v>
      </c>
      <c r="S354" s="5" t="n">
        <v>0</v>
      </c>
      <c r="T354" s="5" t="n">
        <v>0</v>
      </c>
      <c r="U354" s="5" t="inlineStr">
        <is>
          <t>training</t>
        </is>
      </c>
    </row>
    <row r="355">
      <c r="A355" s="5" t="n">
        <v>351</v>
      </c>
      <c r="B355" s="5" t="n">
        <v>0</v>
      </c>
      <c r="C355" s="6" t="n">
        <v>-0.9884778685946948</v>
      </c>
      <c r="D355" s="6" t="n">
        <v>-0.7049274073186621</v>
      </c>
      <c r="E355" s="6" t="n">
        <v>-1.090641679553016</v>
      </c>
      <c r="F355" s="6" t="n">
        <v>-1.786844513613144</v>
      </c>
      <c r="G355" s="5" t="n">
        <v>0</v>
      </c>
      <c r="H355" s="5" t="n">
        <v>0</v>
      </c>
      <c r="I355" s="5" t="n">
        <v>0</v>
      </c>
      <c r="J355" s="5" t="n">
        <v>0</v>
      </c>
      <c r="K355" s="5" t="n">
        <v>0</v>
      </c>
      <c r="L355" s="5" t="n">
        <v>0</v>
      </c>
      <c r="M355" s="5" t="n">
        <v>0</v>
      </c>
      <c r="N355" s="5" t="n">
        <v>0</v>
      </c>
      <c r="O355" s="5" t="n">
        <v>0</v>
      </c>
      <c r="P355" s="5" t="n">
        <v>1</v>
      </c>
      <c r="Q355" s="5" t="n">
        <v>0</v>
      </c>
      <c r="R355" s="5" t="n">
        <v>0</v>
      </c>
      <c r="S355" s="5" t="n">
        <v>0</v>
      </c>
      <c r="T355" s="5" t="n">
        <v>0</v>
      </c>
      <c r="U355" s="5" t="inlineStr">
        <is>
          <t>training</t>
        </is>
      </c>
    </row>
    <row r="356">
      <c r="A356" s="5" t="n">
        <v>352</v>
      </c>
      <c r="B356" s="5" t="n">
        <v>1</v>
      </c>
      <c r="C356" s="6" t="n">
        <v>-0.9884778685946948</v>
      </c>
      <c r="D356" s="6" t="n">
        <v>-0.8018476967910096</v>
      </c>
      <c r="E356" s="6" t="n">
        <v>-0.5688035553649698</v>
      </c>
      <c r="F356" s="6" t="n">
        <v>-1.786844513613144</v>
      </c>
      <c r="G356" s="5" t="n">
        <v>0</v>
      </c>
      <c r="H356" s="5" t="n">
        <v>1</v>
      </c>
      <c r="I356" s="5" t="n">
        <v>0</v>
      </c>
      <c r="J356" s="5" t="n">
        <v>0</v>
      </c>
      <c r="K356" s="5" t="n">
        <v>0</v>
      </c>
      <c r="L356" s="5" t="n">
        <v>0</v>
      </c>
      <c r="M356" s="5" t="n">
        <v>0</v>
      </c>
      <c r="N356" s="5" t="n">
        <v>0</v>
      </c>
      <c r="O356" s="5" t="n">
        <v>0</v>
      </c>
      <c r="P356" s="5" t="n">
        <v>0</v>
      </c>
      <c r="Q356" s="5" t="n">
        <v>0</v>
      </c>
      <c r="R356" s="5" t="n">
        <v>0</v>
      </c>
      <c r="S356" s="5" t="n">
        <v>0</v>
      </c>
      <c r="T356" s="5" t="n">
        <v>1</v>
      </c>
      <c r="U356" s="5" t="inlineStr">
        <is>
          <t>training</t>
        </is>
      </c>
    </row>
    <row r="357">
      <c r="A357" s="5" t="n">
        <v>353</v>
      </c>
      <c r="B357" s="5" t="n">
        <v>0</v>
      </c>
      <c r="C357" s="6" t="n">
        <v>-0.2301473069597001</v>
      </c>
      <c r="D357" s="6" t="n">
        <v>-0.007591172956248209</v>
      </c>
      <c r="E357" s="6" t="n">
        <v>0.2139536309170988</v>
      </c>
      <c r="F357" s="6" t="n">
        <v>-0.8850484360866833</v>
      </c>
      <c r="G357" s="5" t="n">
        <v>0</v>
      </c>
      <c r="H357" s="5" t="n">
        <v>0</v>
      </c>
      <c r="I357" s="5" t="n">
        <v>0</v>
      </c>
      <c r="J357" s="5" t="n">
        <v>1</v>
      </c>
      <c r="K357" s="5" t="n">
        <v>0</v>
      </c>
      <c r="L357" s="5" t="n">
        <v>0</v>
      </c>
      <c r="M357" s="5" t="n">
        <v>0</v>
      </c>
      <c r="N357" s="5" t="n">
        <v>0</v>
      </c>
      <c r="O357" s="5" t="n">
        <v>1</v>
      </c>
      <c r="P357" s="5" t="n">
        <v>0</v>
      </c>
      <c r="Q357" s="5" t="n">
        <v>0</v>
      </c>
      <c r="R357" s="5" t="n">
        <v>1</v>
      </c>
      <c r="S357" s="5" t="n">
        <v>0</v>
      </c>
      <c r="T357" s="5" t="n">
        <v>0</v>
      </c>
      <c r="U357" s="5" t="inlineStr">
        <is>
          <t>training</t>
        </is>
      </c>
    </row>
    <row r="358">
      <c r="A358" s="5" t="n">
        <v>354</v>
      </c>
      <c r="B358" s="5" t="n">
        <v>1</v>
      </c>
      <c r="C358" s="6" t="n">
        <v>-0.7357010147163632</v>
      </c>
      <c r="D358" s="6" t="n">
        <v>1.031590270122713</v>
      </c>
      <c r="E358" s="6" t="n">
        <v>-0.6557765760629775</v>
      </c>
      <c r="F358" s="6" t="n">
        <v>0.9185437189662378</v>
      </c>
      <c r="G358" s="5" t="n">
        <v>1</v>
      </c>
      <c r="H358" s="5" t="n">
        <v>0</v>
      </c>
      <c r="I358" s="5" t="n">
        <v>0</v>
      </c>
      <c r="J358" s="5" t="n">
        <v>0</v>
      </c>
      <c r="K358" s="5" t="n">
        <v>0</v>
      </c>
      <c r="L358" s="5" t="n">
        <v>1</v>
      </c>
      <c r="M358" s="5" t="n">
        <v>0</v>
      </c>
      <c r="N358" s="5" t="n">
        <v>0</v>
      </c>
      <c r="O358" s="5" t="n">
        <v>0</v>
      </c>
      <c r="P358" s="5" t="n">
        <v>1</v>
      </c>
      <c r="Q358" s="5" t="n">
        <v>0</v>
      </c>
      <c r="R358" s="5" t="n">
        <v>0</v>
      </c>
      <c r="S358" s="5" t="n">
        <v>1</v>
      </c>
      <c r="T358" s="5" t="n">
        <v>0</v>
      </c>
      <c r="U358" s="5" t="inlineStr">
        <is>
          <t>training</t>
        </is>
      </c>
    </row>
    <row r="359">
      <c r="A359" s="5" t="n">
        <v>355</v>
      </c>
      <c r="B359" s="5" t="n">
        <v>0</v>
      </c>
      <c r="C359" s="6" t="n">
        <v>-0.9042189173019176</v>
      </c>
      <c r="D359" s="6" t="n">
        <v>-0.8830228128833729</v>
      </c>
      <c r="E359" s="6" t="n">
        <v>0.9097377965011599</v>
      </c>
      <c r="F359" s="6" t="n">
        <v>0.9185437189662378</v>
      </c>
      <c r="G359" s="5" t="n">
        <v>0</v>
      </c>
      <c r="H359" s="5" t="n">
        <v>0</v>
      </c>
      <c r="I359" s="5" t="n">
        <v>0</v>
      </c>
      <c r="J359" s="5" t="n">
        <v>0</v>
      </c>
      <c r="K359" s="5" t="n">
        <v>0</v>
      </c>
      <c r="L359" s="5" t="n">
        <v>0</v>
      </c>
      <c r="M359" s="5" t="n">
        <v>1</v>
      </c>
      <c r="N359" s="5" t="n">
        <v>0</v>
      </c>
      <c r="O359" s="5" t="n">
        <v>0</v>
      </c>
      <c r="P359" s="5" t="n">
        <v>0</v>
      </c>
      <c r="Q359" s="5" t="n">
        <v>1</v>
      </c>
      <c r="R359" s="5" t="n">
        <v>0</v>
      </c>
      <c r="S359" s="5" t="n">
        <v>0</v>
      </c>
      <c r="T359" s="5" t="n">
        <v>0</v>
      </c>
      <c r="U359" s="5" t="inlineStr">
        <is>
          <t>training</t>
        </is>
      </c>
    </row>
    <row r="360">
      <c r="A360" s="5" t="n">
        <v>356</v>
      </c>
      <c r="B360" s="5" t="n">
        <v>1</v>
      </c>
      <c r="C360" s="6" t="n">
        <v>0.275406400796963</v>
      </c>
      <c r="D360" s="6" t="n">
        <v>-0.7014284799008879</v>
      </c>
      <c r="E360" s="6" t="n">
        <v>-1.090641679553016</v>
      </c>
      <c r="F360" s="6" t="n">
        <v>0.9185437189662378</v>
      </c>
      <c r="G360" s="5" t="n">
        <v>0</v>
      </c>
      <c r="H360" s="5" t="n">
        <v>1</v>
      </c>
      <c r="I360" s="5" t="n">
        <v>0</v>
      </c>
      <c r="J360" s="5" t="n">
        <v>0</v>
      </c>
      <c r="K360" s="5" t="n">
        <v>0</v>
      </c>
      <c r="L360" s="5" t="n">
        <v>0</v>
      </c>
      <c r="M360" s="5" t="n">
        <v>0</v>
      </c>
      <c r="N360" s="5" t="n">
        <v>0</v>
      </c>
      <c r="O360" s="5" t="n">
        <v>0</v>
      </c>
      <c r="P360" s="5" t="n">
        <v>0</v>
      </c>
      <c r="Q360" s="5" t="n">
        <v>0</v>
      </c>
      <c r="R360" s="5" t="n">
        <v>1</v>
      </c>
      <c r="S360" s="5" t="n">
        <v>0</v>
      </c>
      <c r="T360" s="5" t="n">
        <v>0</v>
      </c>
      <c r="U360" s="5" t="inlineStr">
        <is>
          <t>training</t>
        </is>
      </c>
    </row>
    <row r="361">
      <c r="A361" s="5" t="n">
        <v>357</v>
      </c>
      <c r="B361" s="5" t="n">
        <v>0</v>
      </c>
      <c r="C361" s="6" t="n">
        <v>-0.7357010147163632</v>
      </c>
      <c r="D361" s="6" t="n">
        <v>-0.3217948550723785</v>
      </c>
      <c r="E361" s="6" t="n">
        <v>1.170656858595183</v>
      </c>
      <c r="F361" s="6" t="n">
        <v>-1.786844513613144</v>
      </c>
      <c r="G361" s="5" t="n">
        <v>0</v>
      </c>
      <c r="H361" s="5" t="n">
        <v>0</v>
      </c>
      <c r="I361" s="5" t="n">
        <v>0</v>
      </c>
      <c r="J361" s="5" t="n">
        <v>1</v>
      </c>
      <c r="K361" s="5" t="n">
        <v>0</v>
      </c>
      <c r="L361" s="5" t="n">
        <v>0</v>
      </c>
      <c r="M361" s="5" t="n">
        <v>0</v>
      </c>
      <c r="N361" s="5" t="n">
        <v>0</v>
      </c>
      <c r="O361" s="5" t="n">
        <v>1</v>
      </c>
      <c r="P361" s="5" t="n">
        <v>0</v>
      </c>
      <c r="Q361" s="5" t="n">
        <v>0</v>
      </c>
      <c r="R361" s="5" t="n">
        <v>0</v>
      </c>
      <c r="S361" s="5" t="n">
        <v>1</v>
      </c>
      <c r="T361" s="5" t="n">
        <v>0</v>
      </c>
      <c r="U361" s="5" t="inlineStr">
        <is>
          <t>training</t>
        </is>
      </c>
    </row>
    <row r="362">
      <c r="A362" s="5" t="n">
        <v>358</v>
      </c>
      <c r="B362" s="5" t="n">
        <v>1</v>
      </c>
      <c r="C362" s="6" t="n">
        <v>1.286513816310289</v>
      </c>
      <c r="D362" s="6" t="n">
        <v>0.4241764703970979</v>
      </c>
      <c r="E362" s="6" t="n">
        <v>-0.8297226174589928</v>
      </c>
      <c r="F362" s="6" t="n">
        <v>0.9185437189662378</v>
      </c>
      <c r="G362" s="5" t="n">
        <v>0</v>
      </c>
      <c r="H362" s="5" t="n">
        <v>0</v>
      </c>
      <c r="I362" s="5" t="n">
        <v>0</v>
      </c>
      <c r="J362" s="5" t="n">
        <v>0</v>
      </c>
      <c r="K362" s="5" t="n">
        <v>1</v>
      </c>
      <c r="L362" s="5" t="n">
        <v>0</v>
      </c>
      <c r="M362" s="5" t="n">
        <v>0</v>
      </c>
      <c r="N362" s="5" t="n">
        <v>0</v>
      </c>
      <c r="O362" s="5" t="n">
        <v>0</v>
      </c>
      <c r="P362" s="5" t="n">
        <v>0</v>
      </c>
      <c r="Q362" s="5" t="n">
        <v>0</v>
      </c>
      <c r="R362" s="5" t="n">
        <v>0</v>
      </c>
      <c r="S362" s="5" t="n">
        <v>1</v>
      </c>
      <c r="T362" s="5" t="n">
        <v>0</v>
      </c>
      <c r="U362" s="5" t="inlineStr">
        <is>
          <t>training</t>
        </is>
      </c>
    </row>
    <row r="363">
      <c r="A363" s="5" t="n">
        <v>359</v>
      </c>
      <c r="B363" s="5" t="n">
        <v>0</v>
      </c>
      <c r="C363" s="6" t="n">
        <v>-0.7357010147163632</v>
      </c>
      <c r="D363" s="6" t="n">
        <v>-0.8658780685362789</v>
      </c>
      <c r="E363" s="6" t="n">
        <v>-0.6557765760629775</v>
      </c>
      <c r="F363" s="6" t="n">
        <v>0.9185437189662378</v>
      </c>
      <c r="G363" s="5" t="n">
        <v>0</v>
      </c>
      <c r="H363" s="5" t="n">
        <v>0</v>
      </c>
      <c r="I363" s="5" t="n">
        <v>0</v>
      </c>
      <c r="J363" s="5" t="n">
        <v>0</v>
      </c>
      <c r="K363" s="5" t="n">
        <v>0</v>
      </c>
      <c r="L363" s="5" t="n">
        <v>0</v>
      </c>
      <c r="M363" s="5" t="n">
        <v>0</v>
      </c>
      <c r="N363" s="5" t="n">
        <v>0</v>
      </c>
      <c r="O363" s="5" t="n">
        <v>0</v>
      </c>
      <c r="P363" s="5" t="n">
        <v>0</v>
      </c>
      <c r="Q363" s="5" t="n">
        <v>0</v>
      </c>
      <c r="R363" s="5" t="n">
        <v>0</v>
      </c>
      <c r="S363" s="5" t="n">
        <v>1</v>
      </c>
      <c r="T363" s="5" t="n">
        <v>0</v>
      </c>
      <c r="U363" s="5" t="inlineStr">
        <is>
          <t>training</t>
        </is>
      </c>
    </row>
    <row r="364">
      <c r="A364" s="5" t="n">
        <v>360</v>
      </c>
      <c r="B364" s="5" t="n">
        <v>1</v>
      </c>
      <c r="C364" s="6" t="n">
        <v>0.7809601085536261</v>
      </c>
      <c r="D364" s="6" t="n">
        <v>-0.2955528994390714</v>
      </c>
      <c r="E364" s="6" t="n">
        <v>-1.090641679553016</v>
      </c>
      <c r="F364" s="6" t="n">
        <v>0.9185437189662378</v>
      </c>
      <c r="G364" s="5" t="n">
        <v>1</v>
      </c>
      <c r="H364" s="5" t="n">
        <v>0</v>
      </c>
      <c r="I364" s="5" t="n">
        <v>0</v>
      </c>
      <c r="J364" s="5" t="n">
        <v>0</v>
      </c>
      <c r="K364" s="5" t="n">
        <v>0</v>
      </c>
      <c r="L364" s="5" t="n">
        <v>0</v>
      </c>
      <c r="M364" s="5" t="n">
        <v>0</v>
      </c>
      <c r="N364" s="5" t="n">
        <v>0</v>
      </c>
      <c r="O364" s="5" t="n">
        <v>0</v>
      </c>
      <c r="P364" s="5" t="n">
        <v>1</v>
      </c>
      <c r="Q364" s="5" t="n">
        <v>0</v>
      </c>
      <c r="R364" s="5" t="n">
        <v>0</v>
      </c>
      <c r="S364" s="5" t="n">
        <v>0</v>
      </c>
      <c r="T364" s="5" t="n">
        <v>1</v>
      </c>
      <c r="U364" s="5" t="inlineStr">
        <is>
          <t>testing</t>
        </is>
      </c>
    </row>
    <row r="365">
      <c r="A365" s="5" t="n">
        <v>361</v>
      </c>
      <c r="B365" s="5" t="n">
        <v>0</v>
      </c>
      <c r="C365" s="6" t="n">
        <v>-0.2301473069597001</v>
      </c>
      <c r="D365" s="6" t="n">
        <v>-0.7038777290933298</v>
      </c>
      <c r="E365" s="6" t="n">
        <v>2.214333106971274</v>
      </c>
      <c r="F365" s="6" t="n">
        <v>0.9185437189662378</v>
      </c>
      <c r="G365" s="5" t="n">
        <v>0</v>
      </c>
      <c r="H365" s="5" t="n">
        <v>1</v>
      </c>
      <c r="I365" s="5" t="n">
        <v>0</v>
      </c>
      <c r="J365" s="5" t="n">
        <v>0</v>
      </c>
      <c r="K365" s="5" t="n">
        <v>0</v>
      </c>
      <c r="L365" s="5" t="n">
        <v>0</v>
      </c>
      <c r="M365" s="5" t="n">
        <v>0</v>
      </c>
      <c r="N365" s="5" t="n">
        <v>0</v>
      </c>
      <c r="O365" s="5" t="n">
        <v>1</v>
      </c>
      <c r="P365" s="5" t="n">
        <v>0</v>
      </c>
      <c r="Q365" s="5" t="n">
        <v>1</v>
      </c>
      <c r="R365" s="5" t="n">
        <v>0</v>
      </c>
      <c r="S365" s="5" t="n">
        <v>0</v>
      </c>
      <c r="T365" s="5" t="n">
        <v>0</v>
      </c>
      <c r="U365" s="5" t="inlineStr">
        <is>
          <t>training</t>
        </is>
      </c>
    </row>
    <row r="366">
      <c r="A366" s="5" t="n">
        <v>362</v>
      </c>
      <c r="B366" s="5" t="n">
        <v>0</v>
      </c>
      <c r="C366" s="6" t="n">
        <v>-0.7357010147163632</v>
      </c>
      <c r="D366" s="6" t="n">
        <v>0.05189059314591454</v>
      </c>
      <c r="E366" s="6" t="n">
        <v>0.1269806102190912</v>
      </c>
      <c r="F366" s="6" t="n">
        <v>-0.8850484360866833</v>
      </c>
      <c r="G366" s="5" t="n">
        <v>0</v>
      </c>
      <c r="H366" s="5" t="n">
        <v>0</v>
      </c>
      <c r="I366" s="5" t="n">
        <v>1</v>
      </c>
      <c r="J366" s="5" t="n">
        <v>0</v>
      </c>
      <c r="K366" s="5" t="n">
        <v>0</v>
      </c>
      <c r="L366" s="5" t="n">
        <v>0</v>
      </c>
      <c r="M366" s="5" t="n">
        <v>0</v>
      </c>
      <c r="N366" s="5" t="n">
        <v>0</v>
      </c>
      <c r="O366" s="5" t="n">
        <v>1</v>
      </c>
      <c r="P366" s="5" t="n">
        <v>0</v>
      </c>
      <c r="Q366" s="5" t="n">
        <v>0</v>
      </c>
      <c r="R366" s="5" t="n">
        <v>0</v>
      </c>
      <c r="S366" s="5" t="n">
        <v>1</v>
      </c>
      <c r="T366" s="5" t="n">
        <v>0</v>
      </c>
      <c r="U366" s="5" t="inlineStr">
        <is>
          <t>testing</t>
        </is>
      </c>
    </row>
    <row r="367">
      <c r="A367" s="5" t="n">
        <v>363</v>
      </c>
      <c r="B367" s="5" t="n">
        <v>0</v>
      </c>
      <c r="C367" s="6" t="n">
        <v>-0.7357010147163632</v>
      </c>
      <c r="D367" s="6" t="n">
        <v>-0.3511858453816825</v>
      </c>
      <c r="E367" s="6" t="n">
        <v>0.04000758952108359</v>
      </c>
      <c r="F367" s="6" t="n">
        <v>-0.8850484360866833</v>
      </c>
      <c r="G367" s="5" t="n">
        <v>0</v>
      </c>
      <c r="H367" s="5" t="n">
        <v>0</v>
      </c>
      <c r="I367" s="5" t="n">
        <v>1</v>
      </c>
      <c r="J367" s="5" t="n">
        <v>0</v>
      </c>
      <c r="K367" s="5" t="n">
        <v>1</v>
      </c>
      <c r="L367" s="5" t="n">
        <v>0</v>
      </c>
      <c r="M367" s="5" t="n">
        <v>0</v>
      </c>
      <c r="N367" s="5" t="n">
        <v>0</v>
      </c>
      <c r="O367" s="5" t="n">
        <v>0</v>
      </c>
      <c r="P367" s="5" t="n">
        <v>0</v>
      </c>
      <c r="Q367" s="5" t="n">
        <v>0</v>
      </c>
      <c r="R367" s="5" t="n">
        <v>1</v>
      </c>
      <c r="S367" s="5" t="n">
        <v>0</v>
      </c>
      <c r="T367" s="5" t="n">
        <v>0</v>
      </c>
      <c r="U367" s="5" t="inlineStr">
        <is>
          <t>training</t>
        </is>
      </c>
    </row>
    <row r="368">
      <c r="A368" s="5" t="n">
        <v>364</v>
      </c>
      <c r="B368" s="5" t="n">
        <v>0</v>
      </c>
      <c r="C368" s="6" t="n">
        <v>-1.241254722473026</v>
      </c>
      <c r="D368" s="6" t="n">
        <v>-0.5194842541766252</v>
      </c>
      <c r="E368" s="6" t="n">
        <v>-1.264587720949031</v>
      </c>
      <c r="F368" s="6" t="n">
        <v>-1.786844513613144</v>
      </c>
      <c r="G368" s="5" t="n">
        <v>0</v>
      </c>
      <c r="H368" s="5" t="n">
        <v>0</v>
      </c>
      <c r="I368" s="5" t="n">
        <v>0</v>
      </c>
      <c r="J368" s="5" t="n">
        <v>0</v>
      </c>
      <c r="K368" s="5" t="n">
        <v>0</v>
      </c>
      <c r="L368" s="5" t="n">
        <v>0</v>
      </c>
      <c r="M368" s="5" t="n">
        <v>0</v>
      </c>
      <c r="N368" s="5" t="n">
        <v>0</v>
      </c>
      <c r="O368" s="5" t="n">
        <v>0</v>
      </c>
      <c r="P368" s="5" t="n">
        <v>1</v>
      </c>
      <c r="Q368" s="5" t="n">
        <v>0</v>
      </c>
      <c r="R368" s="5" t="n">
        <v>0</v>
      </c>
      <c r="S368" s="5" t="n">
        <v>0</v>
      </c>
      <c r="T368" s="5" t="n">
        <v>1</v>
      </c>
      <c r="U368" s="5" t="inlineStr">
        <is>
          <t>training</t>
        </is>
      </c>
    </row>
    <row r="369">
      <c r="A369" s="5" t="n">
        <v>365</v>
      </c>
      <c r="B369" s="5" t="n">
        <v>1</v>
      </c>
      <c r="C369" s="6" t="n">
        <v>-0.2301473069597001</v>
      </c>
      <c r="D369" s="6" t="n">
        <v>-0.2721100857399837</v>
      </c>
      <c r="E369" s="6" t="n">
        <v>-0.9166956381570004</v>
      </c>
      <c r="F369" s="6" t="n">
        <v>0.9185437189662378</v>
      </c>
      <c r="G369" s="5" t="n">
        <v>1</v>
      </c>
      <c r="H369" s="5" t="n">
        <v>0</v>
      </c>
      <c r="I369" s="5" t="n">
        <v>0</v>
      </c>
      <c r="J369" s="5" t="n">
        <v>0</v>
      </c>
      <c r="K369" s="5" t="n">
        <v>0</v>
      </c>
      <c r="L369" s="5" t="n">
        <v>0</v>
      </c>
      <c r="M369" s="5" t="n">
        <v>0</v>
      </c>
      <c r="N369" s="5" t="n">
        <v>0</v>
      </c>
      <c r="O369" s="5" t="n">
        <v>0</v>
      </c>
      <c r="P369" s="5" t="n">
        <v>0</v>
      </c>
      <c r="Q369" s="5" t="n">
        <v>0</v>
      </c>
      <c r="R369" s="5" t="n">
        <v>0</v>
      </c>
      <c r="S369" s="5" t="n">
        <v>0</v>
      </c>
      <c r="T369" s="5" t="n">
        <v>1</v>
      </c>
      <c r="U369" s="5" t="inlineStr">
        <is>
          <t>testing</t>
        </is>
      </c>
    </row>
    <row r="370">
      <c r="A370" s="5" t="n">
        <v>366</v>
      </c>
      <c r="B370" s="5" t="n">
        <v>0</v>
      </c>
      <c r="C370" s="6" t="n">
        <v>-0.7357010147163632</v>
      </c>
      <c r="D370" s="6" t="n">
        <v>-0.5978602283347692</v>
      </c>
      <c r="E370" s="6" t="n">
        <v>0.04000758952108359</v>
      </c>
      <c r="F370" s="6" t="n">
        <v>-0.8850484360866833</v>
      </c>
      <c r="G370" s="5" t="n">
        <v>0</v>
      </c>
      <c r="H370" s="5" t="n">
        <v>0</v>
      </c>
      <c r="I370" s="5" t="n">
        <v>0</v>
      </c>
      <c r="J370" s="5" t="n">
        <v>0</v>
      </c>
      <c r="K370" s="5" t="n">
        <v>0</v>
      </c>
      <c r="L370" s="5" t="n">
        <v>0</v>
      </c>
      <c r="M370" s="5" t="n">
        <v>0</v>
      </c>
      <c r="N370" s="5" t="n">
        <v>0</v>
      </c>
      <c r="O370" s="5" t="n">
        <v>0</v>
      </c>
      <c r="P370" s="5" t="n">
        <v>0</v>
      </c>
      <c r="Q370" s="5" t="n">
        <v>0</v>
      </c>
      <c r="R370" s="5" t="n">
        <v>0</v>
      </c>
      <c r="S370" s="5" t="n">
        <v>0</v>
      </c>
      <c r="T370" s="5" t="n">
        <v>0</v>
      </c>
      <c r="U370" s="5" t="inlineStr">
        <is>
          <t>testing</t>
        </is>
      </c>
    </row>
    <row r="371">
      <c r="A371" s="5" t="n">
        <v>367</v>
      </c>
      <c r="B371" s="5" t="n">
        <v>0</v>
      </c>
      <c r="C371" s="6" t="n">
        <v>-0.2301473069597001</v>
      </c>
      <c r="D371" s="6" t="n">
        <v>0.2096922196875345</v>
      </c>
      <c r="E371" s="6" t="n">
        <v>-0.7427495967609852</v>
      </c>
      <c r="F371" s="6" t="n">
        <v>0.01674764143977723</v>
      </c>
      <c r="G371" s="5" t="n">
        <v>0</v>
      </c>
      <c r="H371" s="5" t="n">
        <v>0</v>
      </c>
      <c r="I371" s="5" t="n">
        <v>0</v>
      </c>
      <c r="J371" s="5" t="n">
        <v>1</v>
      </c>
      <c r="K371" s="5" t="n">
        <v>0</v>
      </c>
      <c r="L371" s="5" t="n">
        <v>0</v>
      </c>
      <c r="M371" s="5" t="n">
        <v>0</v>
      </c>
      <c r="N371" s="5" t="n">
        <v>0</v>
      </c>
      <c r="O371" s="5" t="n">
        <v>0</v>
      </c>
      <c r="P371" s="5" t="n">
        <v>0</v>
      </c>
      <c r="Q371" s="5" t="n">
        <v>0</v>
      </c>
      <c r="R371" s="5" t="n">
        <v>1</v>
      </c>
      <c r="S371" s="5" t="n">
        <v>0</v>
      </c>
      <c r="T371" s="5" t="n">
        <v>0</v>
      </c>
      <c r="U371" s="5" t="inlineStr">
        <is>
          <t>training</t>
        </is>
      </c>
    </row>
    <row r="372">
      <c r="A372" s="5" t="n">
        <v>368</v>
      </c>
      <c r="B372" s="5" t="n">
        <v>0</v>
      </c>
      <c r="C372" s="6" t="n">
        <v>-0.2301473069597001</v>
      </c>
      <c r="D372" s="6" t="n">
        <v>0.139713671332049</v>
      </c>
      <c r="E372" s="6" t="n">
        <v>-1.177614700251023</v>
      </c>
      <c r="F372" s="6" t="n">
        <v>-1.786844513613144</v>
      </c>
      <c r="G372" s="5" t="n">
        <v>1</v>
      </c>
      <c r="H372" s="5" t="n">
        <v>0</v>
      </c>
      <c r="I372" s="5" t="n">
        <v>0</v>
      </c>
      <c r="J372" s="5" t="n">
        <v>0</v>
      </c>
      <c r="K372" s="5" t="n">
        <v>0</v>
      </c>
      <c r="L372" s="5" t="n">
        <v>0</v>
      </c>
      <c r="M372" s="5" t="n">
        <v>0</v>
      </c>
      <c r="N372" s="5" t="n">
        <v>0</v>
      </c>
      <c r="O372" s="5" t="n">
        <v>0</v>
      </c>
      <c r="P372" s="5" t="n">
        <v>1</v>
      </c>
      <c r="Q372" s="5" t="n">
        <v>0</v>
      </c>
      <c r="R372" s="5" t="n">
        <v>0</v>
      </c>
      <c r="S372" s="5" t="n">
        <v>0</v>
      </c>
      <c r="T372" s="5" t="n">
        <v>1</v>
      </c>
      <c r="U372" s="5" t="inlineStr">
        <is>
          <t>training</t>
        </is>
      </c>
    </row>
    <row r="373">
      <c r="A373" s="5" t="n">
        <v>369</v>
      </c>
      <c r="B373" s="5" t="n">
        <v>1</v>
      </c>
      <c r="C373" s="6" t="n">
        <v>1.286513816310289</v>
      </c>
      <c r="D373" s="6" t="n">
        <v>0.06833555200945365</v>
      </c>
      <c r="E373" s="6" t="n">
        <v>0.5618457137091294</v>
      </c>
      <c r="F373" s="6" t="n">
        <v>0.9185437189662378</v>
      </c>
      <c r="G373" s="5" t="n">
        <v>1</v>
      </c>
      <c r="H373" s="5" t="n">
        <v>0</v>
      </c>
      <c r="I373" s="5" t="n">
        <v>0</v>
      </c>
      <c r="J373" s="5" t="n">
        <v>0</v>
      </c>
      <c r="K373" s="5" t="n">
        <v>0</v>
      </c>
      <c r="L373" s="5" t="n">
        <v>0</v>
      </c>
      <c r="M373" s="5" t="n">
        <v>0</v>
      </c>
      <c r="N373" s="5" t="n">
        <v>0</v>
      </c>
      <c r="O373" s="5" t="n">
        <v>0</v>
      </c>
      <c r="P373" s="5" t="n">
        <v>0</v>
      </c>
      <c r="Q373" s="5" t="n">
        <v>0</v>
      </c>
      <c r="R373" s="5" t="n">
        <v>0</v>
      </c>
      <c r="S373" s="5" t="n">
        <v>0</v>
      </c>
      <c r="T373" s="5" t="n">
        <v>1</v>
      </c>
      <c r="U373" s="5" t="inlineStr">
        <is>
          <t>training</t>
        </is>
      </c>
    </row>
    <row r="374">
      <c r="A374" s="5" t="n">
        <v>370</v>
      </c>
      <c r="B374" s="5" t="n">
        <v>0</v>
      </c>
      <c r="C374" s="6" t="n">
        <v>-0.2301473069597001</v>
      </c>
      <c r="D374" s="6" t="n">
        <v>-0.08736671808150179</v>
      </c>
      <c r="E374" s="6" t="n">
        <v>0.3878996723131141</v>
      </c>
      <c r="F374" s="6" t="n">
        <v>-0.8850484360866833</v>
      </c>
      <c r="G374" s="5" t="n">
        <v>0</v>
      </c>
      <c r="H374" s="5" t="n">
        <v>1</v>
      </c>
      <c r="I374" s="5" t="n">
        <v>0</v>
      </c>
      <c r="J374" s="5" t="n">
        <v>0</v>
      </c>
      <c r="K374" s="5" t="n">
        <v>0</v>
      </c>
      <c r="L374" s="5" t="n">
        <v>0</v>
      </c>
      <c r="M374" s="5" t="n">
        <v>0</v>
      </c>
      <c r="N374" s="5" t="n">
        <v>0</v>
      </c>
      <c r="O374" s="5" t="n">
        <v>0</v>
      </c>
      <c r="P374" s="5" t="n">
        <v>1</v>
      </c>
      <c r="Q374" s="5" t="n">
        <v>0</v>
      </c>
      <c r="R374" s="5" t="n">
        <v>0</v>
      </c>
      <c r="S374" s="5" t="n">
        <v>0</v>
      </c>
      <c r="T374" s="5" t="n">
        <v>1</v>
      </c>
      <c r="U374" s="5" t="inlineStr">
        <is>
          <t>training</t>
        </is>
      </c>
    </row>
    <row r="375">
      <c r="A375" s="5" t="n">
        <v>371</v>
      </c>
      <c r="B375" s="5" t="n">
        <v>0</v>
      </c>
      <c r="C375" s="6" t="n">
        <v>1.286513816310289</v>
      </c>
      <c r="D375" s="6" t="n">
        <v>-0.0600750842228624</v>
      </c>
      <c r="E375" s="6" t="n">
        <v>0.04000758952108359</v>
      </c>
      <c r="F375" s="6" t="n">
        <v>0.9185437189662378</v>
      </c>
      <c r="G375" s="5" t="n">
        <v>0</v>
      </c>
      <c r="H375" s="5" t="n">
        <v>0</v>
      </c>
      <c r="I375" s="5" t="n">
        <v>0</v>
      </c>
      <c r="J375" s="5" t="n">
        <v>0</v>
      </c>
      <c r="K375" s="5" t="n">
        <v>0</v>
      </c>
      <c r="L375" s="5" t="n">
        <v>0</v>
      </c>
      <c r="M375" s="5" t="n">
        <v>0</v>
      </c>
      <c r="N375" s="5" t="n">
        <v>0</v>
      </c>
      <c r="O375" s="5" t="n">
        <v>1</v>
      </c>
      <c r="P375" s="5" t="n">
        <v>0</v>
      </c>
      <c r="Q375" s="5" t="n">
        <v>0</v>
      </c>
      <c r="R375" s="5" t="n">
        <v>1</v>
      </c>
      <c r="S375" s="5" t="n">
        <v>0</v>
      </c>
      <c r="T375" s="5" t="n">
        <v>0</v>
      </c>
      <c r="U375" s="5" t="inlineStr">
        <is>
          <t>training</t>
        </is>
      </c>
    </row>
    <row r="376">
      <c r="A376" s="5" t="n">
        <v>372</v>
      </c>
      <c r="B376" s="5" t="n">
        <v>0</v>
      </c>
      <c r="C376" s="6" t="n">
        <v>-0.2301473069597001</v>
      </c>
      <c r="D376" s="6" t="n">
        <v>0.9864541064334246</v>
      </c>
      <c r="E376" s="6" t="n">
        <v>-0.2209114725729393</v>
      </c>
      <c r="F376" s="6" t="n">
        <v>0.01674764143977723</v>
      </c>
      <c r="G376" s="5" t="n">
        <v>0</v>
      </c>
      <c r="H376" s="5" t="n">
        <v>0</v>
      </c>
      <c r="I376" s="5" t="n">
        <v>0</v>
      </c>
      <c r="J376" s="5" t="n">
        <v>1</v>
      </c>
      <c r="K376" s="5" t="n">
        <v>0</v>
      </c>
      <c r="L376" s="5" t="n">
        <v>0</v>
      </c>
      <c r="M376" s="5" t="n">
        <v>0</v>
      </c>
      <c r="N376" s="5" t="n">
        <v>0</v>
      </c>
      <c r="O376" s="5" t="n">
        <v>0</v>
      </c>
      <c r="P376" s="5" t="n">
        <v>0</v>
      </c>
      <c r="Q376" s="5" t="n">
        <v>0</v>
      </c>
      <c r="R376" s="5" t="n">
        <v>0</v>
      </c>
      <c r="S376" s="5" t="n">
        <v>1</v>
      </c>
      <c r="T376" s="5" t="n">
        <v>0</v>
      </c>
      <c r="U376" s="5" t="inlineStr">
        <is>
          <t>training</t>
        </is>
      </c>
    </row>
    <row r="377">
      <c r="A377" s="5" t="n">
        <v>373</v>
      </c>
      <c r="B377" s="5" t="n">
        <v>0</v>
      </c>
      <c r="C377" s="6" t="n">
        <v>-0.9042189173019176</v>
      </c>
      <c r="D377" s="6" t="n">
        <v>-0.3865250123012027</v>
      </c>
      <c r="E377" s="6" t="n">
        <v>-1.090641679553016</v>
      </c>
      <c r="F377" s="6" t="n">
        <v>-1.786844513613144</v>
      </c>
      <c r="G377" s="5" t="n">
        <v>0</v>
      </c>
      <c r="H377" s="5" t="n">
        <v>0</v>
      </c>
      <c r="I377" s="5" t="n">
        <v>0</v>
      </c>
      <c r="J377" s="5" t="n">
        <v>1</v>
      </c>
      <c r="K377" s="5" t="n">
        <v>0</v>
      </c>
      <c r="L377" s="5" t="n">
        <v>0</v>
      </c>
      <c r="M377" s="5" t="n">
        <v>0</v>
      </c>
      <c r="N377" s="5" t="n">
        <v>0</v>
      </c>
      <c r="O377" s="5" t="n">
        <v>0</v>
      </c>
      <c r="P377" s="5" t="n">
        <v>1</v>
      </c>
      <c r="Q377" s="5" t="n">
        <v>0</v>
      </c>
      <c r="R377" s="5" t="n">
        <v>0</v>
      </c>
      <c r="S377" s="5" t="n">
        <v>0</v>
      </c>
      <c r="T377" s="5" t="n">
        <v>1</v>
      </c>
      <c r="U377" s="5" t="inlineStr">
        <is>
          <t>training</t>
        </is>
      </c>
    </row>
    <row r="378">
      <c r="A378" s="5" t="n">
        <v>374</v>
      </c>
      <c r="B378" s="5" t="n">
        <v>0</v>
      </c>
      <c r="C378" s="6" t="n">
        <v>3.308728647336942</v>
      </c>
      <c r="D378" s="6" t="n">
        <v>3.675729719734736</v>
      </c>
      <c r="E378" s="6" t="n">
        <v>2.38827914836729</v>
      </c>
      <c r="F378" s="6" t="n">
        <v>-0.8850484360866833</v>
      </c>
      <c r="G378" s="5" t="n">
        <v>0</v>
      </c>
      <c r="H378" s="5" t="n">
        <v>0</v>
      </c>
      <c r="I378" s="5" t="n">
        <v>0</v>
      </c>
      <c r="J378" s="5" t="n">
        <v>1</v>
      </c>
      <c r="K378" s="5" t="n">
        <v>0</v>
      </c>
      <c r="L378" s="5" t="n">
        <v>0</v>
      </c>
      <c r="M378" s="5" t="n">
        <v>0</v>
      </c>
      <c r="N378" s="5" t="n">
        <v>0</v>
      </c>
      <c r="O378" s="5" t="n">
        <v>1</v>
      </c>
      <c r="P378" s="5" t="n">
        <v>0</v>
      </c>
      <c r="Q378" s="5" t="n">
        <v>1</v>
      </c>
      <c r="R378" s="5" t="n">
        <v>1</v>
      </c>
      <c r="S378" s="5" t="n">
        <v>0</v>
      </c>
      <c r="T378" s="5" t="n">
        <v>0</v>
      </c>
      <c r="U378" s="5" t="inlineStr">
        <is>
          <t>training</t>
        </is>
      </c>
    </row>
    <row r="379">
      <c r="A379" s="5" t="n">
        <v>375</v>
      </c>
      <c r="B379" s="5" t="n">
        <v>1</v>
      </c>
      <c r="C379" s="6" t="n">
        <v>3.308728647336942</v>
      </c>
      <c r="D379" s="6" t="n">
        <v>4.034719672798377</v>
      </c>
      <c r="E379" s="6" t="n">
        <v>2.127360086273267</v>
      </c>
      <c r="F379" s="6" t="n">
        <v>0.01674764143977723</v>
      </c>
      <c r="G379" s="5" t="n">
        <v>0</v>
      </c>
      <c r="H379" s="5" t="n">
        <v>1</v>
      </c>
      <c r="I379" s="5" t="n">
        <v>0</v>
      </c>
      <c r="J379" s="5" t="n">
        <v>0</v>
      </c>
      <c r="K379" s="5" t="n">
        <v>0</v>
      </c>
      <c r="L379" s="5" t="n">
        <v>1</v>
      </c>
      <c r="M379" s="5" t="n">
        <v>1</v>
      </c>
      <c r="N379" s="5" t="n">
        <v>0</v>
      </c>
      <c r="O379" s="5" t="n">
        <v>0</v>
      </c>
      <c r="P379" s="5" t="n">
        <v>0</v>
      </c>
      <c r="Q379" s="5" t="n">
        <v>1</v>
      </c>
      <c r="R379" s="5" t="n">
        <v>0</v>
      </c>
      <c r="S379" s="5" t="n">
        <v>0</v>
      </c>
      <c r="T379" s="5" t="n">
        <v>0</v>
      </c>
      <c r="U379" s="5" t="inlineStr">
        <is>
          <t>training</t>
        </is>
      </c>
    </row>
    <row r="380">
      <c r="A380" s="5" t="n">
        <v>376</v>
      </c>
      <c r="B380" s="5" t="n">
        <v>1</v>
      </c>
      <c r="C380" s="6" t="n">
        <v>2.297621231823615</v>
      </c>
      <c r="D380" s="6" t="n">
        <v>1.551530884403971</v>
      </c>
      <c r="E380" s="6" t="n">
        <v>0.1269806102190912</v>
      </c>
      <c r="F380" s="6" t="n">
        <v>-0.8850484360866833</v>
      </c>
      <c r="G380" s="5" t="n">
        <v>1</v>
      </c>
      <c r="H380" s="5" t="n">
        <v>0</v>
      </c>
      <c r="I380" s="5" t="n">
        <v>0</v>
      </c>
      <c r="J380" s="5" t="n">
        <v>0</v>
      </c>
      <c r="K380" s="5" t="n">
        <v>0</v>
      </c>
      <c r="L380" s="5" t="n">
        <v>1</v>
      </c>
      <c r="M380" s="5" t="n">
        <v>0</v>
      </c>
      <c r="N380" s="5" t="n">
        <v>0</v>
      </c>
      <c r="O380" s="5" t="n">
        <v>0</v>
      </c>
      <c r="P380" s="5" t="n">
        <v>1</v>
      </c>
      <c r="Q380" s="5" t="n">
        <v>0</v>
      </c>
      <c r="R380" s="5" t="n">
        <v>0</v>
      </c>
      <c r="S380" s="5" t="n">
        <v>0</v>
      </c>
      <c r="T380" s="5" t="n">
        <v>0</v>
      </c>
      <c r="U380" s="5" t="inlineStr">
        <is>
          <t>training</t>
        </is>
      </c>
    </row>
    <row r="381">
      <c r="A381" s="5" t="n">
        <v>377</v>
      </c>
      <c r="B381" s="5" t="n">
        <v>0</v>
      </c>
      <c r="C381" s="6" t="n">
        <v>-0.2301473069597001</v>
      </c>
      <c r="D381" s="6" t="n">
        <v>-0.3256436752319302</v>
      </c>
      <c r="E381" s="6" t="n">
        <v>-0.1339384518749317</v>
      </c>
      <c r="F381" s="6" t="n">
        <v>-0.8850484360866833</v>
      </c>
      <c r="G381" s="5" t="n">
        <v>0</v>
      </c>
      <c r="H381" s="5" t="n">
        <v>0</v>
      </c>
      <c r="I381" s="5" t="n">
        <v>0</v>
      </c>
      <c r="J381" s="5" t="n">
        <v>0</v>
      </c>
      <c r="K381" s="5" t="n">
        <v>1</v>
      </c>
      <c r="L381" s="5" t="n">
        <v>0</v>
      </c>
      <c r="M381" s="5" t="n">
        <v>0</v>
      </c>
      <c r="N381" s="5" t="n">
        <v>0</v>
      </c>
      <c r="O381" s="5" t="n">
        <v>0</v>
      </c>
      <c r="P381" s="5" t="n">
        <v>0</v>
      </c>
      <c r="Q381" s="5" t="n">
        <v>0</v>
      </c>
      <c r="R381" s="5" t="n">
        <v>0</v>
      </c>
      <c r="S381" s="5" t="n">
        <v>1</v>
      </c>
      <c r="T381" s="5" t="n">
        <v>0</v>
      </c>
      <c r="U381" s="5" t="inlineStr">
        <is>
          <t>training</t>
        </is>
      </c>
    </row>
    <row r="382">
      <c r="A382" s="5" t="n">
        <v>378</v>
      </c>
      <c r="B382" s="5" t="n">
        <v>0</v>
      </c>
      <c r="C382" s="6" t="n">
        <v>-1.156995771180249</v>
      </c>
      <c r="D382" s="6" t="n">
        <v>-0.841385576611859</v>
      </c>
      <c r="E382" s="6" t="n">
        <v>0.04000758952108359</v>
      </c>
      <c r="F382" s="6" t="n">
        <v>0.01674764143977723</v>
      </c>
      <c r="G382" s="5" t="n">
        <v>0</v>
      </c>
      <c r="H382" s="5" t="n">
        <v>0</v>
      </c>
      <c r="I382" s="5" t="n">
        <v>0</v>
      </c>
      <c r="J382" s="5" t="n">
        <v>0</v>
      </c>
      <c r="K382" s="5" t="n">
        <v>1</v>
      </c>
      <c r="L382" s="5" t="n">
        <v>0</v>
      </c>
      <c r="M382" s="5" t="n">
        <v>0</v>
      </c>
      <c r="N382" s="5" t="n">
        <v>0</v>
      </c>
      <c r="O382" s="5" t="n">
        <v>1</v>
      </c>
      <c r="P382" s="5" t="n">
        <v>0</v>
      </c>
      <c r="Q382" s="5" t="n">
        <v>1</v>
      </c>
      <c r="R382" s="5" t="n">
        <v>0</v>
      </c>
      <c r="S382" s="5" t="n">
        <v>1</v>
      </c>
      <c r="T382" s="5" t="n">
        <v>0</v>
      </c>
      <c r="U382" s="5" t="inlineStr">
        <is>
          <t>training</t>
        </is>
      </c>
    </row>
    <row r="383">
      <c r="A383" s="5" t="n">
        <v>379</v>
      </c>
      <c r="B383" s="5" t="n">
        <v>1</v>
      </c>
      <c r="C383" s="6" t="n">
        <v>1.286513816310289</v>
      </c>
      <c r="D383" s="6" t="n">
        <v>3.87236944061365</v>
      </c>
      <c r="E383" s="6" t="n">
        <v>1.866441024179244</v>
      </c>
      <c r="F383" s="6" t="n">
        <v>0.9185437189662378</v>
      </c>
      <c r="G383" s="5" t="n">
        <v>0</v>
      </c>
      <c r="H383" s="5" t="n">
        <v>1</v>
      </c>
      <c r="I383" s="5" t="n">
        <v>0</v>
      </c>
      <c r="J383" s="5" t="n">
        <v>0</v>
      </c>
      <c r="K383" s="5" t="n">
        <v>0</v>
      </c>
      <c r="L383" s="5" t="n">
        <v>0</v>
      </c>
      <c r="M383" s="5" t="n">
        <v>0</v>
      </c>
      <c r="N383" s="5" t="n">
        <v>0</v>
      </c>
      <c r="O383" s="5" t="n">
        <v>0</v>
      </c>
      <c r="P383" s="5" t="n">
        <v>0</v>
      </c>
      <c r="Q383" s="5" t="n">
        <v>1</v>
      </c>
      <c r="R383" s="5" t="n">
        <v>1</v>
      </c>
      <c r="S383" s="5" t="n">
        <v>0</v>
      </c>
      <c r="T383" s="5" t="n">
        <v>0</v>
      </c>
      <c r="U383" s="5" t="inlineStr">
        <is>
          <t>training</t>
        </is>
      </c>
    </row>
    <row r="384">
      <c r="A384" s="5" t="n">
        <v>380</v>
      </c>
      <c r="B384" s="5" t="n">
        <v>0</v>
      </c>
      <c r="C384" s="6" t="n">
        <v>-1.241254722473026</v>
      </c>
      <c r="D384" s="6" t="n">
        <v>-1.010733663632134</v>
      </c>
      <c r="E384" s="6" t="n">
        <v>1.431575920689206</v>
      </c>
      <c r="F384" s="6" t="n">
        <v>0.9185437189662378</v>
      </c>
      <c r="G384" s="5" t="n">
        <v>0</v>
      </c>
      <c r="H384" s="5" t="n">
        <v>0</v>
      </c>
      <c r="I384" s="5" t="n">
        <v>0</v>
      </c>
      <c r="J384" s="5" t="n">
        <v>1</v>
      </c>
      <c r="K384" s="5" t="n">
        <v>0</v>
      </c>
      <c r="L384" s="5" t="n">
        <v>0</v>
      </c>
      <c r="M384" s="5" t="n">
        <v>1</v>
      </c>
      <c r="N384" s="5" t="n">
        <v>0</v>
      </c>
      <c r="O384" s="5" t="n">
        <v>0</v>
      </c>
      <c r="P384" s="5" t="n">
        <v>0</v>
      </c>
      <c r="Q384" s="5" t="n">
        <v>0</v>
      </c>
      <c r="R384" s="5" t="n">
        <v>1</v>
      </c>
      <c r="S384" s="5" t="n">
        <v>0</v>
      </c>
      <c r="T384" s="5" t="n">
        <v>0</v>
      </c>
      <c r="U384" s="5" t="inlineStr">
        <is>
          <t>training</t>
        </is>
      </c>
    </row>
    <row r="385">
      <c r="A385" s="5" t="n">
        <v>381</v>
      </c>
      <c r="B385" s="5" t="n">
        <v>0</v>
      </c>
      <c r="C385" s="6" t="n">
        <v>-0.06162940437414574</v>
      </c>
      <c r="D385" s="6" t="n">
        <v>-0.3634320913438924</v>
      </c>
      <c r="E385" s="6" t="n">
        <v>0.3009266516151065</v>
      </c>
      <c r="F385" s="6" t="n">
        <v>0.9185437189662378</v>
      </c>
      <c r="G385" s="5" t="n">
        <v>1</v>
      </c>
      <c r="H385" s="5" t="n">
        <v>0</v>
      </c>
      <c r="I385" s="5" t="n">
        <v>0</v>
      </c>
      <c r="J385" s="5" t="n">
        <v>0</v>
      </c>
      <c r="K385" s="5" t="n">
        <v>0</v>
      </c>
      <c r="L385" s="5" t="n">
        <v>0</v>
      </c>
      <c r="M385" s="5" t="n">
        <v>0</v>
      </c>
      <c r="N385" s="5" t="n">
        <v>0</v>
      </c>
      <c r="O385" s="5" t="n">
        <v>1</v>
      </c>
      <c r="P385" s="5" t="n">
        <v>0</v>
      </c>
      <c r="Q385" s="5" t="n">
        <v>0</v>
      </c>
      <c r="R385" s="5" t="n">
        <v>0</v>
      </c>
      <c r="S385" s="5" t="n">
        <v>0</v>
      </c>
      <c r="T385" s="5" t="n">
        <v>1</v>
      </c>
      <c r="U385" s="5" t="inlineStr">
        <is>
          <t>testing</t>
        </is>
      </c>
    </row>
    <row r="386">
      <c r="A386" s="5" t="n">
        <v>382</v>
      </c>
      <c r="B386" s="5" t="n">
        <v>1</v>
      </c>
      <c r="C386" s="6" t="n">
        <v>-0.2301473069597001</v>
      </c>
      <c r="D386" s="6" t="n">
        <v>3.402813381148342</v>
      </c>
      <c r="E386" s="6" t="n">
        <v>0.2139536309170988</v>
      </c>
      <c r="F386" s="6" t="n">
        <v>0.01674764143977723</v>
      </c>
      <c r="G386" s="5" t="n">
        <v>0</v>
      </c>
      <c r="H386" s="5" t="n">
        <v>1</v>
      </c>
      <c r="I386" s="5" t="n">
        <v>0</v>
      </c>
      <c r="J386" s="5" t="n">
        <v>0</v>
      </c>
      <c r="K386" s="5" t="n">
        <v>0</v>
      </c>
      <c r="L386" s="5" t="n">
        <v>0</v>
      </c>
      <c r="M386" s="5" t="n">
        <v>0</v>
      </c>
      <c r="N386" s="5" t="n">
        <v>0</v>
      </c>
      <c r="O386" s="5" t="n">
        <v>0</v>
      </c>
      <c r="P386" s="5" t="n">
        <v>0</v>
      </c>
      <c r="Q386" s="5" t="n">
        <v>1</v>
      </c>
      <c r="R386" s="5" t="n">
        <v>1</v>
      </c>
      <c r="S386" s="5" t="n">
        <v>0</v>
      </c>
      <c r="T386" s="5" t="n">
        <v>0</v>
      </c>
      <c r="U386" s="5" t="inlineStr">
        <is>
          <t>testing</t>
        </is>
      </c>
    </row>
    <row r="387">
      <c r="A387" s="5" t="n">
        <v>383</v>
      </c>
      <c r="B387" s="5" t="n">
        <v>0</v>
      </c>
      <c r="C387" s="6" t="n">
        <v>0.1068884982114086</v>
      </c>
      <c r="D387" s="6" t="n">
        <v>-0.688482448455123</v>
      </c>
      <c r="E387" s="6" t="n">
        <v>-0.9166956381570004</v>
      </c>
      <c r="F387" s="6" t="n">
        <v>0.9185437189662378</v>
      </c>
      <c r="G387" s="5" t="n">
        <v>0</v>
      </c>
      <c r="H387" s="5" t="n">
        <v>0</v>
      </c>
      <c r="I387" s="5" t="n">
        <v>0</v>
      </c>
      <c r="J387" s="5" t="n">
        <v>0</v>
      </c>
      <c r="K387" s="5" t="n">
        <v>0</v>
      </c>
      <c r="L387" s="5" t="n">
        <v>0</v>
      </c>
      <c r="M387" s="5" t="n">
        <v>0</v>
      </c>
      <c r="N387" s="5" t="n">
        <v>0</v>
      </c>
      <c r="O387" s="5" t="n">
        <v>1</v>
      </c>
      <c r="P387" s="5" t="n">
        <v>1</v>
      </c>
      <c r="Q387" s="5" t="n">
        <v>0</v>
      </c>
      <c r="R387" s="5" t="n">
        <v>1</v>
      </c>
      <c r="S387" s="5" t="n">
        <v>0</v>
      </c>
      <c r="T387" s="5" t="n">
        <v>0</v>
      </c>
      <c r="U387" s="5" t="inlineStr">
        <is>
          <t>training</t>
        </is>
      </c>
    </row>
    <row r="388">
      <c r="A388" s="5" t="n">
        <v>384</v>
      </c>
      <c r="B388" s="5" t="n">
        <v>0</v>
      </c>
      <c r="C388" s="6" t="n">
        <v>-0.7357010147163632</v>
      </c>
      <c r="D388" s="6" t="n">
        <v>-0.6720374895915838</v>
      </c>
      <c r="E388" s="6" t="n">
        <v>-0.8297226174589928</v>
      </c>
      <c r="F388" s="6" t="n">
        <v>0.9185437189662378</v>
      </c>
      <c r="G388" s="5" t="n">
        <v>0</v>
      </c>
      <c r="H388" s="5" t="n">
        <v>0</v>
      </c>
      <c r="I388" s="5" t="n">
        <v>1</v>
      </c>
      <c r="J388" s="5" t="n">
        <v>0</v>
      </c>
      <c r="K388" s="5" t="n">
        <v>0</v>
      </c>
      <c r="L388" s="5" t="n">
        <v>0</v>
      </c>
      <c r="M388" s="5" t="n">
        <v>0</v>
      </c>
      <c r="N388" s="5" t="n">
        <v>0</v>
      </c>
      <c r="O388" s="5" t="n">
        <v>0</v>
      </c>
      <c r="P388" s="5" t="n">
        <v>0</v>
      </c>
      <c r="Q388" s="5" t="n">
        <v>0</v>
      </c>
      <c r="R388" s="5" t="n">
        <v>1</v>
      </c>
      <c r="S388" s="5" t="n">
        <v>0</v>
      </c>
      <c r="T388" s="5" t="n">
        <v>0</v>
      </c>
      <c r="U388" s="5" t="inlineStr">
        <is>
          <t>training</t>
        </is>
      </c>
    </row>
    <row r="389">
      <c r="A389" s="5" t="n">
        <v>385</v>
      </c>
      <c r="B389" s="5" t="n">
        <v>0</v>
      </c>
      <c r="C389" s="6" t="n">
        <v>0.7809601085536261</v>
      </c>
      <c r="D389" s="6" t="n">
        <v>0.3573469567176091</v>
      </c>
      <c r="E389" s="6" t="n">
        <v>-0.8297226174589928</v>
      </c>
      <c r="F389" s="6" t="n">
        <v>-0.8850484360866833</v>
      </c>
      <c r="G389" s="5" t="n">
        <v>0</v>
      </c>
      <c r="H389" s="5" t="n">
        <v>0</v>
      </c>
      <c r="I389" s="5" t="n">
        <v>0</v>
      </c>
      <c r="J389" s="5" t="n">
        <v>0</v>
      </c>
      <c r="K389" s="5" t="n">
        <v>1</v>
      </c>
      <c r="L389" s="5" t="n">
        <v>0</v>
      </c>
      <c r="M389" s="5" t="n">
        <v>1</v>
      </c>
      <c r="N389" s="5" t="n">
        <v>0</v>
      </c>
      <c r="O389" s="5" t="n">
        <v>0</v>
      </c>
      <c r="P389" s="5" t="n">
        <v>0</v>
      </c>
      <c r="Q389" s="5" t="n">
        <v>0</v>
      </c>
      <c r="R389" s="5" t="n">
        <v>0</v>
      </c>
      <c r="S389" s="5" t="n">
        <v>0</v>
      </c>
      <c r="T389" s="5" t="n">
        <v>0</v>
      </c>
      <c r="U389" s="5" t="inlineStr">
        <is>
          <t>training</t>
        </is>
      </c>
    </row>
    <row r="390">
      <c r="A390" s="5" t="n">
        <v>386</v>
      </c>
      <c r="B390" s="5" t="n">
        <v>0</v>
      </c>
      <c r="C390" s="6" t="n">
        <v>-0.2301473069597001</v>
      </c>
      <c r="D390" s="6" t="n">
        <v>-0.3543348800576793</v>
      </c>
      <c r="E390" s="6" t="n">
        <v>-0.9166956381570004</v>
      </c>
      <c r="F390" s="6" t="n">
        <v>-0.8850484360866833</v>
      </c>
      <c r="G390" s="5" t="n">
        <v>0</v>
      </c>
      <c r="H390" s="5" t="n">
        <v>0</v>
      </c>
      <c r="I390" s="5" t="n">
        <v>0</v>
      </c>
      <c r="J390" s="5" t="n">
        <v>1</v>
      </c>
      <c r="K390" s="5" t="n">
        <v>0</v>
      </c>
      <c r="L390" s="5" t="n">
        <v>0</v>
      </c>
      <c r="M390" s="5" t="n">
        <v>0</v>
      </c>
      <c r="N390" s="5" t="n">
        <v>0</v>
      </c>
      <c r="O390" s="5" t="n">
        <v>0</v>
      </c>
      <c r="P390" s="5" t="n">
        <v>0</v>
      </c>
      <c r="Q390" s="5" t="n">
        <v>0</v>
      </c>
      <c r="R390" s="5" t="n">
        <v>0</v>
      </c>
      <c r="S390" s="5" t="n">
        <v>1</v>
      </c>
      <c r="T390" s="5" t="n">
        <v>0</v>
      </c>
      <c r="U390" s="5" t="inlineStr">
        <is>
          <t>testing</t>
        </is>
      </c>
    </row>
    <row r="391">
      <c r="A391" s="5" t="n">
        <v>387</v>
      </c>
      <c r="B391" s="5" t="n">
        <v>0</v>
      </c>
      <c r="C391" s="6" t="n">
        <v>-0.2301473069597001</v>
      </c>
      <c r="D391" s="6" t="n">
        <v>-0.7434156089141791</v>
      </c>
      <c r="E391" s="6" t="n">
        <v>-1.264587720949031</v>
      </c>
      <c r="F391" s="6" t="n">
        <v>0.9185437189662378</v>
      </c>
      <c r="G391" s="5" t="n">
        <v>0</v>
      </c>
      <c r="H391" s="5" t="n">
        <v>0</v>
      </c>
      <c r="I391" s="5" t="n">
        <v>0</v>
      </c>
      <c r="J391" s="5" t="n">
        <v>0</v>
      </c>
      <c r="K391" s="5" t="n">
        <v>0</v>
      </c>
      <c r="L391" s="5" t="n">
        <v>0</v>
      </c>
      <c r="M391" s="5" t="n">
        <v>0</v>
      </c>
      <c r="N391" s="5" t="n">
        <v>0</v>
      </c>
      <c r="O391" s="5" t="n">
        <v>1</v>
      </c>
      <c r="P391" s="5" t="n">
        <v>1</v>
      </c>
      <c r="Q391" s="5" t="n">
        <v>0</v>
      </c>
      <c r="R391" s="5" t="n">
        <v>0</v>
      </c>
      <c r="S391" s="5" t="n">
        <v>1</v>
      </c>
      <c r="T391" s="5" t="n">
        <v>0</v>
      </c>
      <c r="U391" s="5" t="inlineStr">
        <is>
          <t>testing</t>
        </is>
      </c>
    </row>
    <row r="392">
      <c r="A392" s="5" t="n">
        <v>388</v>
      </c>
      <c r="B392" s="5" t="n">
        <v>0</v>
      </c>
      <c r="C392" s="6" t="n">
        <v>-0.2301473069597001</v>
      </c>
      <c r="D392" s="6" t="n">
        <v>1.442714241711191</v>
      </c>
      <c r="E392" s="6" t="n">
        <v>0.3878996723131141</v>
      </c>
      <c r="F392" s="6" t="n">
        <v>0.9185437189662378</v>
      </c>
      <c r="G392" s="5" t="n">
        <v>0</v>
      </c>
      <c r="H392" s="5" t="n">
        <v>1</v>
      </c>
      <c r="I392" s="5" t="n">
        <v>0</v>
      </c>
      <c r="J392" s="5" t="n">
        <v>1</v>
      </c>
      <c r="K392" s="5" t="n">
        <v>0</v>
      </c>
      <c r="L392" s="5" t="n">
        <v>0</v>
      </c>
      <c r="M392" s="5" t="n">
        <v>0</v>
      </c>
      <c r="N392" s="5" t="n">
        <v>0</v>
      </c>
      <c r="O392" s="5" t="n">
        <v>0</v>
      </c>
      <c r="P392" s="5" t="n">
        <v>0</v>
      </c>
      <c r="Q392" s="5" t="n">
        <v>0</v>
      </c>
      <c r="R392" s="5" t="n">
        <v>0</v>
      </c>
      <c r="S392" s="5" t="n">
        <v>0</v>
      </c>
      <c r="T392" s="5" t="n">
        <v>1</v>
      </c>
      <c r="U392" s="5" t="inlineStr">
        <is>
          <t>training</t>
        </is>
      </c>
    </row>
    <row r="393">
      <c r="A393" s="5" t="n">
        <v>389</v>
      </c>
      <c r="B393" s="5" t="n">
        <v>0</v>
      </c>
      <c r="C393" s="6" t="n">
        <v>-0.4829241608380317</v>
      </c>
      <c r="D393" s="6" t="n">
        <v>-0.3235443187812657</v>
      </c>
      <c r="E393" s="6" t="n">
        <v>-0.7427495967609852</v>
      </c>
      <c r="F393" s="6" t="n">
        <v>-0.8850484360866833</v>
      </c>
      <c r="G393" s="5" t="n">
        <v>0</v>
      </c>
      <c r="H393" s="5" t="n">
        <v>1</v>
      </c>
      <c r="I393" s="5" t="n">
        <v>0</v>
      </c>
      <c r="J393" s="5" t="n">
        <v>1</v>
      </c>
      <c r="K393" s="5" t="n">
        <v>0</v>
      </c>
      <c r="L393" s="5" t="n">
        <v>0</v>
      </c>
      <c r="M393" s="5" t="n">
        <v>1</v>
      </c>
      <c r="N393" s="5" t="n">
        <v>0</v>
      </c>
      <c r="O393" s="5" t="n">
        <v>0</v>
      </c>
      <c r="P393" s="5" t="n">
        <v>0</v>
      </c>
      <c r="Q393" s="5" t="n">
        <v>0</v>
      </c>
      <c r="R393" s="5" t="n">
        <v>0</v>
      </c>
      <c r="S393" s="5" t="n">
        <v>0</v>
      </c>
      <c r="T393" s="5" t="n">
        <v>0</v>
      </c>
      <c r="U393" s="5" t="inlineStr">
        <is>
          <t>testing</t>
        </is>
      </c>
    </row>
    <row r="394">
      <c r="A394" s="5" t="n">
        <v>390</v>
      </c>
      <c r="B394" s="5" t="n">
        <v>0</v>
      </c>
      <c r="C394" s="6" t="n">
        <v>-0.9884778685946948</v>
      </c>
      <c r="D394" s="6" t="n">
        <v>-0.63040025332007</v>
      </c>
      <c r="E394" s="6" t="n">
        <v>-0.7427495967609852</v>
      </c>
      <c r="F394" s="6" t="n">
        <v>0.01674764143977723</v>
      </c>
      <c r="G394" s="5" t="n">
        <v>0</v>
      </c>
      <c r="H394" s="5" t="n">
        <v>0</v>
      </c>
      <c r="I394" s="5" t="n">
        <v>0</v>
      </c>
      <c r="J394" s="5" t="n">
        <v>0</v>
      </c>
      <c r="K394" s="5" t="n">
        <v>0</v>
      </c>
      <c r="L394" s="5" t="n">
        <v>0</v>
      </c>
      <c r="M394" s="5" t="n">
        <v>0</v>
      </c>
      <c r="N394" s="5" t="n">
        <v>0</v>
      </c>
      <c r="O394" s="5" t="n">
        <v>0</v>
      </c>
      <c r="P394" s="5" t="n">
        <v>0</v>
      </c>
      <c r="Q394" s="5" t="n">
        <v>0</v>
      </c>
      <c r="R394" s="5" t="n">
        <v>0</v>
      </c>
      <c r="S394" s="5" t="n">
        <v>0</v>
      </c>
      <c r="T394" s="5" t="n">
        <v>0</v>
      </c>
      <c r="U394" s="5" t="inlineStr">
        <is>
          <t>training</t>
        </is>
      </c>
    </row>
    <row r="395">
      <c r="A395" s="5" t="n">
        <v>391</v>
      </c>
      <c r="B395" s="5" t="n">
        <v>0</v>
      </c>
      <c r="C395" s="6" t="n">
        <v>-0.2301473069597001</v>
      </c>
      <c r="D395" s="6" t="n">
        <v>-0.5005900461206442</v>
      </c>
      <c r="E395" s="6" t="n">
        <v>-0.4818305346669622</v>
      </c>
      <c r="F395" s="6" t="n">
        <v>-0.8850484360866833</v>
      </c>
      <c r="G395" s="5" t="n">
        <v>0</v>
      </c>
      <c r="H395" s="5" t="n">
        <v>0</v>
      </c>
      <c r="I395" s="5" t="n">
        <v>0</v>
      </c>
      <c r="J395" s="5" t="n">
        <v>0</v>
      </c>
      <c r="K395" s="5" t="n">
        <v>0</v>
      </c>
      <c r="L395" s="5" t="n">
        <v>0</v>
      </c>
      <c r="M395" s="5" t="n">
        <v>0</v>
      </c>
      <c r="N395" s="5" t="n">
        <v>0</v>
      </c>
      <c r="O395" s="5" t="n">
        <v>0</v>
      </c>
      <c r="P395" s="5" t="n">
        <v>0</v>
      </c>
      <c r="Q395" s="5" t="n">
        <v>0</v>
      </c>
      <c r="R395" s="5" t="n">
        <v>1</v>
      </c>
      <c r="S395" s="5" t="n">
        <v>0</v>
      </c>
      <c r="T395" s="5" t="n">
        <v>0</v>
      </c>
      <c r="U395" s="5" t="inlineStr">
        <is>
          <t>training</t>
        </is>
      </c>
    </row>
    <row r="396">
      <c r="A396" s="5" t="n">
        <v>392</v>
      </c>
      <c r="B396" s="5" t="n">
        <v>0</v>
      </c>
      <c r="C396" s="6" t="n">
        <v>-0.7357010147163632</v>
      </c>
      <c r="D396" s="6" t="n">
        <v>-0.7934502709883514</v>
      </c>
      <c r="E396" s="6" t="n">
        <v>-1.438533762345046</v>
      </c>
      <c r="F396" s="6" t="n">
        <v>-1.786844513613144</v>
      </c>
      <c r="G396" s="5" t="n">
        <v>0</v>
      </c>
      <c r="H396" s="5" t="n">
        <v>1</v>
      </c>
      <c r="I396" s="5" t="n">
        <v>0</v>
      </c>
      <c r="J396" s="5" t="n">
        <v>0</v>
      </c>
      <c r="K396" s="5" t="n">
        <v>0</v>
      </c>
      <c r="L396" s="5" t="n">
        <v>0</v>
      </c>
      <c r="M396" s="5" t="n">
        <v>0</v>
      </c>
      <c r="N396" s="5" t="n">
        <v>1</v>
      </c>
      <c r="O396" s="5" t="n">
        <v>0</v>
      </c>
      <c r="P396" s="5" t="n">
        <v>1</v>
      </c>
      <c r="Q396" s="5" t="n">
        <v>0</v>
      </c>
      <c r="R396" s="5" t="n">
        <v>0</v>
      </c>
      <c r="S396" s="5" t="n">
        <v>0</v>
      </c>
      <c r="T396" s="5" t="n">
        <v>1</v>
      </c>
      <c r="U396" s="5" t="inlineStr">
        <is>
          <t>testing</t>
        </is>
      </c>
    </row>
    <row r="397">
      <c r="A397" s="5" t="n">
        <v>393</v>
      </c>
      <c r="B397" s="5" t="n">
        <v>0</v>
      </c>
      <c r="C397" s="6" t="n">
        <v>1.286513816310289</v>
      </c>
      <c r="D397" s="6" t="n">
        <v>-0.0005933181206996506</v>
      </c>
      <c r="E397" s="6" t="n">
        <v>0.3009266516151065</v>
      </c>
      <c r="F397" s="6" t="n">
        <v>-0.8850484360866833</v>
      </c>
      <c r="G397" s="5" t="n">
        <v>1</v>
      </c>
      <c r="H397" s="5" t="n">
        <v>0</v>
      </c>
      <c r="I397" s="5" t="n">
        <v>0</v>
      </c>
      <c r="J397" s="5" t="n">
        <v>0</v>
      </c>
      <c r="K397" s="5" t="n">
        <v>0</v>
      </c>
      <c r="L397" s="5" t="n">
        <v>0</v>
      </c>
      <c r="M397" s="5" t="n">
        <v>0</v>
      </c>
      <c r="N397" s="5" t="n">
        <v>0</v>
      </c>
      <c r="O397" s="5" t="n">
        <v>0</v>
      </c>
      <c r="P397" s="5" t="n">
        <v>0</v>
      </c>
      <c r="Q397" s="5" t="n">
        <v>1</v>
      </c>
      <c r="R397" s="5" t="n">
        <v>1</v>
      </c>
      <c r="S397" s="5" t="n">
        <v>0</v>
      </c>
      <c r="T397" s="5" t="n">
        <v>0</v>
      </c>
      <c r="U397" s="5" t="inlineStr">
        <is>
          <t>testing</t>
        </is>
      </c>
    </row>
    <row r="398">
      <c r="A398" s="5" t="n">
        <v>394</v>
      </c>
      <c r="B398" s="5" t="n">
        <v>0</v>
      </c>
      <c r="C398" s="6" t="n">
        <v>-1.241254722473026</v>
      </c>
      <c r="D398" s="6" t="n">
        <v>-0.4526547404971366</v>
      </c>
      <c r="E398" s="6" t="n">
        <v>-0.3948575139689546</v>
      </c>
      <c r="F398" s="6" t="n">
        <v>-1.786844513613144</v>
      </c>
      <c r="G398" s="5" t="n">
        <v>1</v>
      </c>
      <c r="H398" s="5" t="n">
        <v>0</v>
      </c>
      <c r="I398" s="5" t="n">
        <v>0</v>
      </c>
      <c r="J398" s="5" t="n">
        <v>1</v>
      </c>
      <c r="K398" s="5" t="n">
        <v>0</v>
      </c>
      <c r="L398" s="5" t="n">
        <v>0</v>
      </c>
      <c r="M398" s="5" t="n">
        <v>0</v>
      </c>
      <c r="N398" s="5" t="n">
        <v>0</v>
      </c>
      <c r="O398" s="5" t="n">
        <v>0</v>
      </c>
      <c r="P398" s="5" t="n">
        <v>0</v>
      </c>
      <c r="Q398" s="5" t="n">
        <v>0</v>
      </c>
      <c r="R398" s="5" t="n">
        <v>0</v>
      </c>
      <c r="S398" s="5" t="n">
        <v>1</v>
      </c>
      <c r="T398" s="5" t="n">
        <v>0</v>
      </c>
      <c r="U398" s="5" t="inlineStr">
        <is>
          <t>testing</t>
        </is>
      </c>
    </row>
    <row r="399">
      <c r="A399" s="5" t="n">
        <v>395</v>
      </c>
      <c r="B399" s="5" t="n">
        <v>0</v>
      </c>
      <c r="C399" s="6" t="n">
        <v>-0.9884778685946948</v>
      </c>
      <c r="D399" s="6" t="n">
        <v>-0.2955528994390714</v>
      </c>
      <c r="E399" s="6" t="n">
        <v>-0.3948575139689546</v>
      </c>
      <c r="F399" s="6" t="n">
        <v>-0.8850484360866833</v>
      </c>
      <c r="G399" s="5" t="n">
        <v>0</v>
      </c>
      <c r="H399" s="5" t="n">
        <v>0</v>
      </c>
      <c r="I399" s="5" t="n">
        <v>0</v>
      </c>
      <c r="J399" s="5" t="n">
        <v>1</v>
      </c>
      <c r="K399" s="5" t="n">
        <v>0</v>
      </c>
      <c r="L399" s="5" t="n">
        <v>0</v>
      </c>
      <c r="M399" s="5" t="n">
        <v>0</v>
      </c>
      <c r="N399" s="5" t="n">
        <v>0</v>
      </c>
      <c r="O399" s="5" t="n">
        <v>0</v>
      </c>
      <c r="P399" s="5" t="n">
        <v>0</v>
      </c>
      <c r="Q399" s="5" t="n">
        <v>0</v>
      </c>
      <c r="R399" s="5" t="n">
        <v>0</v>
      </c>
      <c r="S399" s="5" t="n">
        <v>0</v>
      </c>
      <c r="T399" s="5" t="n">
        <v>1</v>
      </c>
      <c r="U399" s="5" t="inlineStr">
        <is>
          <t>training</t>
        </is>
      </c>
    </row>
    <row r="400">
      <c r="A400" s="5" t="n">
        <v>396</v>
      </c>
      <c r="B400" s="5" t="n">
        <v>0</v>
      </c>
      <c r="C400" s="6" t="n">
        <v>1.539290670188621</v>
      </c>
      <c r="D400" s="6" t="n">
        <v>2.97734380714699</v>
      </c>
      <c r="E400" s="6" t="n">
        <v>-0.307884493270947</v>
      </c>
      <c r="F400" s="6" t="n">
        <v>-0.8850484360866833</v>
      </c>
      <c r="G400" s="5" t="n">
        <v>0</v>
      </c>
      <c r="H400" s="5" t="n">
        <v>1</v>
      </c>
      <c r="I400" s="5" t="n">
        <v>0</v>
      </c>
      <c r="J400" s="5" t="n">
        <v>0</v>
      </c>
      <c r="K400" s="5" t="n">
        <v>1</v>
      </c>
      <c r="L400" s="5" t="n">
        <v>0</v>
      </c>
      <c r="M400" s="5" t="n">
        <v>1</v>
      </c>
      <c r="N400" s="5" t="n">
        <v>0</v>
      </c>
      <c r="O400" s="5" t="n">
        <v>0</v>
      </c>
      <c r="P400" s="5" t="n">
        <v>1</v>
      </c>
      <c r="Q400" s="5" t="n">
        <v>0</v>
      </c>
      <c r="R400" s="5" t="n">
        <v>0</v>
      </c>
      <c r="S400" s="5" t="n">
        <v>0</v>
      </c>
      <c r="T400" s="5" t="n">
        <v>0</v>
      </c>
      <c r="U400" s="5" t="inlineStr">
        <is>
          <t>training</t>
        </is>
      </c>
    </row>
    <row r="401">
      <c r="A401" s="5" t="n">
        <v>397</v>
      </c>
      <c r="B401" s="5" t="n">
        <v>0</v>
      </c>
      <c r="C401" s="6" t="n">
        <v>-0.7357010147163632</v>
      </c>
      <c r="D401" s="6" t="n">
        <v>-0.2353713478533538</v>
      </c>
      <c r="E401" s="6" t="n">
        <v>1.692494982783229</v>
      </c>
      <c r="F401" s="6" t="n">
        <v>0.01674764143977723</v>
      </c>
      <c r="G401" s="5" t="n">
        <v>1</v>
      </c>
      <c r="H401" s="5" t="n">
        <v>0</v>
      </c>
      <c r="I401" s="5" t="n">
        <v>0</v>
      </c>
      <c r="J401" s="5" t="n">
        <v>0</v>
      </c>
      <c r="K401" s="5" t="n">
        <v>0</v>
      </c>
      <c r="L401" s="5" t="n">
        <v>0</v>
      </c>
      <c r="M401" s="5" t="n">
        <v>0</v>
      </c>
      <c r="N401" s="5" t="n">
        <v>0</v>
      </c>
      <c r="O401" s="5" t="n">
        <v>0</v>
      </c>
      <c r="P401" s="5" t="n">
        <v>0</v>
      </c>
      <c r="Q401" s="5" t="n">
        <v>1</v>
      </c>
      <c r="R401" s="5" t="n">
        <v>0</v>
      </c>
      <c r="S401" s="5" t="n">
        <v>0</v>
      </c>
      <c r="T401" s="5" t="n">
        <v>1</v>
      </c>
      <c r="U401" s="5" t="inlineStr">
        <is>
          <t>testing</t>
        </is>
      </c>
    </row>
    <row r="402">
      <c r="A402" s="5" t="n">
        <v>398</v>
      </c>
      <c r="B402" s="5" t="n">
        <v>0</v>
      </c>
      <c r="C402" s="6" t="n">
        <v>1.286513816310289</v>
      </c>
      <c r="D402" s="6" t="n">
        <v>-0.3158466784621622</v>
      </c>
      <c r="E402" s="6" t="n">
        <v>0.9097377965011599</v>
      </c>
      <c r="F402" s="6" t="n">
        <v>0.01674764143977723</v>
      </c>
      <c r="G402" s="5" t="n">
        <v>1</v>
      </c>
      <c r="H402" s="5" t="n">
        <v>0</v>
      </c>
      <c r="I402" s="5" t="n">
        <v>0</v>
      </c>
      <c r="J402" s="5" t="n">
        <v>1</v>
      </c>
      <c r="K402" s="5" t="n">
        <v>0</v>
      </c>
      <c r="L402" s="5" t="n">
        <v>0</v>
      </c>
      <c r="M402" s="5" t="n">
        <v>0</v>
      </c>
      <c r="N402" s="5" t="n">
        <v>0</v>
      </c>
      <c r="O402" s="5" t="n">
        <v>0</v>
      </c>
      <c r="P402" s="5" t="n">
        <v>0</v>
      </c>
      <c r="Q402" s="5" t="n">
        <v>0</v>
      </c>
      <c r="R402" s="5" t="n">
        <v>0</v>
      </c>
      <c r="S402" s="5" t="n">
        <v>0</v>
      </c>
      <c r="T402" s="5" t="n">
        <v>1</v>
      </c>
      <c r="U402" s="5" t="inlineStr">
        <is>
          <t>testing</t>
        </is>
      </c>
    </row>
    <row r="403">
      <c r="A403" s="5" t="n">
        <v>399</v>
      </c>
      <c r="B403" s="5" t="n">
        <v>1</v>
      </c>
      <c r="C403" s="6" t="n">
        <v>-0.7357010147163632</v>
      </c>
      <c r="D403" s="6" t="n">
        <v>-0.7094760129617687</v>
      </c>
      <c r="E403" s="6" t="n">
        <v>0.9097377965011599</v>
      </c>
      <c r="F403" s="6" t="n">
        <v>-1.786844513613144</v>
      </c>
      <c r="G403" s="5" t="n">
        <v>0</v>
      </c>
      <c r="H403" s="5" t="n">
        <v>1</v>
      </c>
      <c r="I403" s="5" t="n">
        <v>0</v>
      </c>
      <c r="J403" s="5" t="n">
        <v>0</v>
      </c>
      <c r="K403" s="5" t="n">
        <v>0</v>
      </c>
      <c r="L403" s="5" t="n">
        <v>0</v>
      </c>
      <c r="M403" s="5" t="n">
        <v>0</v>
      </c>
      <c r="N403" s="5" t="n">
        <v>0</v>
      </c>
      <c r="O403" s="5" t="n">
        <v>0</v>
      </c>
      <c r="P403" s="5" t="n">
        <v>1</v>
      </c>
      <c r="Q403" s="5" t="n">
        <v>0</v>
      </c>
      <c r="R403" s="5" t="n">
        <v>1</v>
      </c>
      <c r="S403" s="5" t="n">
        <v>0</v>
      </c>
      <c r="T403" s="5" t="n">
        <v>0</v>
      </c>
      <c r="U403" s="5" t="inlineStr">
        <is>
          <t>training</t>
        </is>
      </c>
    </row>
    <row r="404">
      <c r="A404" s="5" t="n">
        <v>400</v>
      </c>
      <c r="B404" s="5" t="n">
        <v>0</v>
      </c>
      <c r="C404" s="6" t="n">
        <v>0.275406400796963</v>
      </c>
      <c r="D404" s="6" t="n">
        <v>-0.6069574396209823</v>
      </c>
      <c r="E404" s="6" t="n">
        <v>0.648818734407137</v>
      </c>
      <c r="F404" s="6" t="n">
        <v>0.9185437189662378</v>
      </c>
      <c r="G404" s="5" t="n">
        <v>0</v>
      </c>
      <c r="H404" s="5" t="n">
        <v>0</v>
      </c>
      <c r="I404" s="5" t="n">
        <v>0</v>
      </c>
      <c r="J404" s="5" t="n">
        <v>1</v>
      </c>
      <c r="K404" s="5" t="n">
        <v>0</v>
      </c>
      <c r="L404" s="5" t="n">
        <v>0</v>
      </c>
      <c r="M404" s="5" t="n">
        <v>0</v>
      </c>
      <c r="N404" s="5" t="n">
        <v>1</v>
      </c>
      <c r="O404" s="5" t="n">
        <v>0</v>
      </c>
      <c r="P404" s="5" t="n">
        <v>0</v>
      </c>
      <c r="Q404" s="5" t="n">
        <v>0</v>
      </c>
      <c r="R404" s="5" t="n">
        <v>0</v>
      </c>
      <c r="S404" s="5" t="n">
        <v>1</v>
      </c>
      <c r="T404" s="5" t="n">
        <v>0</v>
      </c>
      <c r="U404" s="5" t="inlineStr">
        <is>
          <t>training</t>
        </is>
      </c>
    </row>
    <row r="405">
      <c r="A405" s="5" t="n">
        <v>401</v>
      </c>
      <c r="B405" s="5" t="n">
        <v>0</v>
      </c>
      <c r="C405" s="6" t="n">
        <v>-0.2301473069597001</v>
      </c>
      <c r="D405" s="6" t="n">
        <v>-0.6220028275174116</v>
      </c>
      <c r="E405" s="6" t="n">
        <v>0.3009266516151065</v>
      </c>
      <c r="F405" s="6" t="n">
        <v>0.01674764143977723</v>
      </c>
      <c r="G405" s="5" t="n">
        <v>0</v>
      </c>
      <c r="H405" s="5" t="n">
        <v>0</v>
      </c>
      <c r="I405" s="5" t="n">
        <v>0</v>
      </c>
      <c r="J405" s="5" t="n">
        <v>0</v>
      </c>
      <c r="K405" s="5" t="n">
        <v>0</v>
      </c>
      <c r="L405" s="5" t="n">
        <v>0</v>
      </c>
      <c r="M405" s="5" t="n">
        <v>0</v>
      </c>
      <c r="N405" s="5" t="n">
        <v>0</v>
      </c>
      <c r="O405" s="5" t="n">
        <v>0</v>
      </c>
      <c r="P405" s="5" t="n">
        <v>0</v>
      </c>
      <c r="Q405" s="5" t="n">
        <v>0</v>
      </c>
      <c r="R405" s="5" t="n">
        <v>0</v>
      </c>
      <c r="S405" s="5" t="n">
        <v>1</v>
      </c>
      <c r="T405" s="5" t="n">
        <v>0</v>
      </c>
      <c r="U405" s="5" t="inlineStr">
        <is>
          <t>testing</t>
        </is>
      </c>
    </row>
    <row r="406">
      <c r="A406" s="5" t="n">
        <v>402</v>
      </c>
      <c r="B406" s="5" t="n">
        <v>0</v>
      </c>
      <c r="C406" s="6" t="n">
        <v>-0.2301473069597001</v>
      </c>
      <c r="D406" s="6" t="n">
        <v>-0.4771472324215565</v>
      </c>
      <c r="E406" s="6" t="n">
        <v>-0.6557765760629775</v>
      </c>
      <c r="F406" s="6" t="n">
        <v>0.9185437189662378</v>
      </c>
      <c r="G406" s="5" t="n">
        <v>0</v>
      </c>
      <c r="H406" s="5" t="n">
        <v>1</v>
      </c>
      <c r="I406" s="5" t="n">
        <v>0</v>
      </c>
      <c r="J406" s="5" t="n">
        <v>1</v>
      </c>
      <c r="K406" s="5" t="n">
        <v>0</v>
      </c>
      <c r="L406" s="5" t="n">
        <v>0</v>
      </c>
      <c r="M406" s="5" t="n">
        <v>0</v>
      </c>
      <c r="N406" s="5" t="n">
        <v>0</v>
      </c>
      <c r="O406" s="5" t="n">
        <v>1</v>
      </c>
      <c r="P406" s="5" t="n">
        <v>0</v>
      </c>
      <c r="Q406" s="5" t="n">
        <v>0</v>
      </c>
      <c r="R406" s="5" t="n">
        <v>0</v>
      </c>
      <c r="S406" s="5" t="n">
        <v>0</v>
      </c>
      <c r="T406" s="5" t="n">
        <v>0</v>
      </c>
      <c r="U406" s="5" t="inlineStr">
        <is>
          <t>training</t>
        </is>
      </c>
    </row>
    <row r="407">
      <c r="A407" s="5" t="n">
        <v>403</v>
      </c>
      <c r="B407" s="5" t="n">
        <v>1</v>
      </c>
      <c r="C407" s="6" t="n">
        <v>0.275406400796963</v>
      </c>
      <c r="D407" s="6" t="n">
        <v>1.888477594735634</v>
      </c>
      <c r="E407" s="6" t="n">
        <v>-0.7427495967609852</v>
      </c>
      <c r="F407" s="6" t="n">
        <v>-0.8850484360866833</v>
      </c>
      <c r="G407" s="5" t="n">
        <v>0</v>
      </c>
      <c r="H407" s="5" t="n">
        <v>0</v>
      </c>
      <c r="I407" s="5" t="n">
        <v>0</v>
      </c>
      <c r="J407" s="5" t="n">
        <v>0</v>
      </c>
      <c r="K407" s="5" t="n">
        <v>1</v>
      </c>
      <c r="L407" s="5" t="n">
        <v>0</v>
      </c>
      <c r="M407" s="5" t="n">
        <v>0</v>
      </c>
      <c r="N407" s="5" t="n">
        <v>0</v>
      </c>
      <c r="O407" s="5" t="n">
        <v>0</v>
      </c>
      <c r="P407" s="5" t="n">
        <v>0</v>
      </c>
      <c r="Q407" s="5" t="n">
        <v>0</v>
      </c>
      <c r="R407" s="5" t="n">
        <v>0</v>
      </c>
      <c r="S407" s="5" t="n">
        <v>0</v>
      </c>
      <c r="T407" s="5" t="n">
        <v>0</v>
      </c>
      <c r="U407" s="5" t="inlineStr">
        <is>
          <t>training</t>
        </is>
      </c>
    </row>
    <row r="408">
      <c r="A408" s="5" t="n">
        <v>404</v>
      </c>
      <c r="B408" s="5" t="n">
        <v>0</v>
      </c>
      <c r="C408" s="6" t="n">
        <v>-0.5671831121308089</v>
      </c>
      <c r="D408" s="6" t="n">
        <v>-0.8567808572500658</v>
      </c>
      <c r="E408" s="6" t="n">
        <v>-0.7427495967609852</v>
      </c>
      <c r="F408" s="6" t="n">
        <v>0.9185437189662378</v>
      </c>
      <c r="G408" s="5" t="n">
        <v>0</v>
      </c>
      <c r="H408" s="5" t="n">
        <v>0</v>
      </c>
      <c r="I408" s="5" t="n">
        <v>0</v>
      </c>
      <c r="J408" s="5" t="n">
        <v>0</v>
      </c>
      <c r="K408" s="5" t="n">
        <v>1</v>
      </c>
      <c r="L408" s="5" t="n">
        <v>0</v>
      </c>
      <c r="M408" s="5" t="n">
        <v>0</v>
      </c>
      <c r="N408" s="5" t="n">
        <v>0</v>
      </c>
      <c r="O408" s="5" t="n">
        <v>0</v>
      </c>
      <c r="P408" s="5" t="n">
        <v>0</v>
      </c>
      <c r="Q408" s="5" t="n">
        <v>0</v>
      </c>
      <c r="R408" s="5" t="n">
        <v>1</v>
      </c>
      <c r="S408" s="5" t="n">
        <v>0</v>
      </c>
      <c r="T408" s="5" t="n">
        <v>0</v>
      </c>
      <c r="U408" s="5" t="inlineStr">
        <is>
          <t>training</t>
        </is>
      </c>
    </row>
    <row r="409">
      <c r="A409" s="5" t="n">
        <v>405</v>
      </c>
      <c r="B409" s="5" t="n">
        <v>0</v>
      </c>
      <c r="C409" s="6" t="n">
        <v>-0.2301473069597001</v>
      </c>
      <c r="D409" s="6" t="n">
        <v>-0.1230557777427994</v>
      </c>
      <c r="E409" s="6" t="n">
        <v>0.648818734407137</v>
      </c>
      <c r="F409" s="6" t="n">
        <v>0.9185437189662378</v>
      </c>
      <c r="G409" s="5" t="n">
        <v>0</v>
      </c>
      <c r="H409" s="5" t="n">
        <v>1</v>
      </c>
      <c r="I409" s="5" t="n">
        <v>0</v>
      </c>
      <c r="J409" s="5" t="n">
        <v>0</v>
      </c>
      <c r="K409" s="5" t="n">
        <v>1</v>
      </c>
      <c r="L409" s="5" t="n">
        <v>0</v>
      </c>
      <c r="M409" s="5" t="n">
        <v>0</v>
      </c>
      <c r="N409" s="5" t="n">
        <v>0</v>
      </c>
      <c r="O409" s="5" t="n">
        <v>1</v>
      </c>
      <c r="P409" s="5" t="n">
        <v>0</v>
      </c>
      <c r="Q409" s="5" t="n">
        <v>0</v>
      </c>
      <c r="R409" s="5" t="n">
        <v>1</v>
      </c>
      <c r="S409" s="5" t="n">
        <v>0</v>
      </c>
      <c r="T409" s="5" t="n">
        <v>0</v>
      </c>
      <c r="U409" s="5" t="inlineStr">
        <is>
          <t>training</t>
        </is>
      </c>
    </row>
    <row r="410">
      <c r="A410" s="5" t="n">
        <v>406</v>
      </c>
      <c r="B410" s="5" t="n">
        <v>1</v>
      </c>
      <c r="C410" s="6" t="n">
        <v>0.275406400796963</v>
      </c>
      <c r="D410" s="6" t="n">
        <v>-0.4239635356713874</v>
      </c>
      <c r="E410" s="6" t="n">
        <v>-1.177614700251023</v>
      </c>
      <c r="F410" s="6" t="n">
        <v>-1.786844513613144</v>
      </c>
      <c r="G410" s="5" t="n">
        <v>0</v>
      </c>
      <c r="H410" s="5" t="n">
        <v>1</v>
      </c>
      <c r="I410" s="5" t="n">
        <v>0</v>
      </c>
      <c r="J410" s="5" t="n">
        <v>0</v>
      </c>
      <c r="K410" s="5" t="n">
        <v>0</v>
      </c>
      <c r="L410" s="5" t="n">
        <v>0</v>
      </c>
      <c r="M410" s="5" t="n">
        <v>0</v>
      </c>
      <c r="N410" s="5" t="n">
        <v>0</v>
      </c>
      <c r="O410" s="5" t="n">
        <v>0</v>
      </c>
      <c r="P410" s="5" t="n">
        <v>0</v>
      </c>
      <c r="Q410" s="5" t="n">
        <v>0</v>
      </c>
      <c r="R410" s="5" t="n">
        <v>0</v>
      </c>
      <c r="S410" s="5" t="n">
        <v>1</v>
      </c>
      <c r="T410" s="5" t="n">
        <v>0</v>
      </c>
      <c r="U410" s="5" t="inlineStr">
        <is>
          <t>training</t>
        </is>
      </c>
    </row>
    <row r="411">
      <c r="A411" s="5" t="n">
        <v>407</v>
      </c>
      <c r="B411" s="5" t="n">
        <v>0</v>
      </c>
      <c r="C411" s="6" t="n">
        <v>0.275406400796963</v>
      </c>
      <c r="D411" s="6" t="n">
        <v>-0.3686804824705538</v>
      </c>
      <c r="E411" s="6" t="n">
        <v>0.648818734407137</v>
      </c>
      <c r="F411" s="6" t="n">
        <v>0.9185437189662378</v>
      </c>
      <c r="G411" s="5" t="n">
        <v>0</v>
      </c>
      <c r="H411" s="5" t="n">
        <v>0</v>
      </c>
      <c r="I411" s="5" t="n">
        <v>0</v>
      </c>
      <c r="J411" s="5" t="n">
        <v>1</v>
      </c>
      <c r="K411" s="5" t="n">
        <v>0</v>
      </c>
      <c r="L411" s="5" t="n">
        <v>0</v>
      </c>
      <c r="M411" s="5" t="n">
        <v>0</v>
      </c>
      <c r="N411" s="5" t="n">
        <v>0</v>
      </c>
      <c r="O411" s="5" t="n">
        <v>1</v>
      </c>
      <c r="P411" s="5" t="n">
        <v>0</v>
      </c>
      <c r="Q411" s="5" t="n">
        <v>0</v>
      </c>
      <c r="R411" s="5" t="n">
        <v>1</v>
      </c>
      <c r="S411" s="5" t="n">
        <v>0</v>
      </c>
      <c r="T411" s="5" t="n">
        <v>0</v>
      </c>
      <c r="U411" s="5" t="inlineStr">
        <is>
          <t>training</t>
        </is>
      </c>
    </row>
    <row r="412">
      <c r="A412" s="5" t="n">
        <v>408</v>
      </c>
      <c r="B412" s="5" t="n">
        <v>0</v>
      </c>
      <c r="C412" s="6" t="n">
        <v>-0.4829241608380317</v>
      </c>
      <c r="D412" s="6" t="n">
        <v>-0.7689577790639314</v>
      </c>
      <c r="E412" s="6" t="n">
        <v>-0.7427495967609852</v>
      </c>
      <c r="F412" s="6" t="n">
        <v>0.9185437189662378</v>
      </c>
      <c r="G412" s="5" t="n">
        <v>1</v>
      </c>
      <c r="H412" s="5" t="n">
        <v>0</v>
      </c>
      <c r="I412" s="5" t="n">
        <v>0</v>
      </c>
      <c r="J412" s="5" t="n">
        <v>0</v>
      </c>
      <c r="K412" s="5" t="n">
        <v>0</v>
      </c>
      <c r="L412" s="5" t="n">
        <v>0</v>
      </c>
      <c r="M412" s="5" t="n">
        <v>0</v>
      </c>
      <c r="N412" s="5" t="n">
        <v>0</v>
      </c>
      <c r="O412" s="5" t="n">
        <v>0</v>
      </c>
      <c r="P412" s="5" t="n">
        <v>0</v>
      </c>
      <c r="Q412" s="5" t="n">
        <v>0</v>
      </c>
      <c r="R412" s="5" t="n">
        <v>0</v>
      </c>
      <c r="S412" s="5" t="n">
        <v>1</v>
      </c>
      <c r="T412" s="5" t="n">
        <v>0</v>
      </c>
      <c r="U412" s="5" t="inlineStr">
        <is>
          <t>testing</t>
        </is>
      </c>
    </row>
    <row r="413">
      <c r="A413" s="5" t="n">
        <v>409</v>
      </c>
      <c r="B413" s="5" t="n">
        <v>0</v>
      </c>
      <c r="C413" s="6" t="n">
        <v>0.275406400796963</v>
      </c>
      <c r="D413" s="6" t="n">
        <v>-0.005491816505583642</v>
      </c>
      <c r="E413" s="6" t="n">
        <v>-0.8297226174589928</v>
      </c>
      <c r="F413" s="6" t="n">
        <v>0.01674764143977723</v>
      </c>
      <c r="G413" s="5" t="n">
        <v>0</v>
      </c>
      <c r="H413" s="5" t="n">
        <v>0</v>
      </c>
      <c r="I413" s="5" t="n">
        <v>0</v>
      </c>
      <c r="J413" s="5" t="n">
        <v>0</v>
      </c>
      <c r="K413" s="5" t="n">
        <v>0</v>
      </c>
      <c r="L413" s="5" t="n">
        <v>0</v>
      </c>
      <c r="M413" s="5" t="n">
        <v>1</v>
      </c>
      <c r="N413" s="5" t="n">
        <v>0</v>
      </c>
      <c r="O413" s="5" t="n">
        <v>0</v>
      </c>
      <c r="P413" s="5" t="n">
        <v>0</v>
      </c>
      <c r="Q413" s="5" t="n">
        <v>0</v>
      </c>
      <c r="R413" s="5" t="n">
        <v>0</v>
      </c>
      <c r="S413" s="5" t="n">
        <v>1</v>
      </c>
      <c r="T413" s="5" t="n">
        <v>0</v>
      </c>
      <c r="U413" s="5" t="inlineStr">
        <is>
          <t>training</t>
        </is>
      </c>
    </row>
    <row r="414">
      <c r="A414" s="5" t="n">
        <v>410</v>
      </c>
      <c r="B414" s="5" t="n">
        <v>1</v>
      </c>
      <c r="C414" s="6" t="n">
        <v>-0.7357010147163632</v>
      </c>
      <c r="D414" s="6" t="n">
        <v>-0.8088455516265582</v>
      </c>
      <c r="E414" s="6" t="n">
        <v>-0.6557765760629775</v>
      </c>
      <c r="F414" s="6" t="n">
        <v>0.9185437189662378</v>
      </c>
      <c r="G414" s="5" t="n">
        <v>0</v>
      </c>
      <c r="H414" s="5" t="n">
        <v>0</v>
      </c>
      <c r="I414" s="5" t="n">
        <v>1</v>
      </c>
      <c r="J414" s="5" t="n">
        <v>1</v>
      </c>
      <c r="K414" s="5" t="n">
        <v>0</v>
      </c>
      <c r="L414" s="5" t="n">
        <v>0</v>
      </c>
      <c r="M414" s="5" t="n">
        <v>1</v>
      </c>
      <c r="N414" s="5" t="n">
        <v>0</v>
      </c>
      <c r="O414" s="5" t="n">
        <v>0</v>
      </c>
      <c r="P414" s="5" t="n">
        <v>0</v>
      </c>
      <c r="Q414" s="5" t="n">
        <v>0</v>
      </c>
      <c r="R414" s="5" t="n">
        <v>1</v>
      </c>
      <c r="S414" s="5" t="n">
        <v>0</v>
      </c>
      <c r="T414" s="5" t="n">
        <v>0</v>
      </c>
      <c r="U414" s="5" t="inlineStr">
        <is>
          <t>testing</t>
        </is>
      </c>
    </row>
    <row r="415">
      <c r="A415" s="5" t="n">
        <v>411</v>
      </c>
      <c r="B415" s="5" t="n">
        <v>0</v>
      </c>
      <c r="C415" s="6" t="n">
        <v>0.275406400796963</v>
      </c>
      <c r="D415" s="6" t="n">
        <v>-0.4491558130793623</v>
      </c>
      <c r="E415" s="6" t="n">
        <v>-1.351560741647039</v>
      </c>
      <c r="F415" s="6" t="n">
        <v>0.9185437189662378</v>
      </c>
      <c r="G415" s="5" t="n">
        <v>0</v>
      </c>
      <c r="H415" s="5" t="n">
        <v>1</v>
      </c>
      <c r="I415" s="5" t="n">
        <v>0</v>
      </c>
      <c r="J415" s="5" t="n">
        <v>0</v>
      </c>
      <c r="K415" s="5" t="n">
        <v>0</v>
      </c>
      <c r="L415" s="5" t="n">
        <v>0</v>
      </c>
      <c r="M415" s="5" t="n">
        <v>0</v>
      </c>
      <c r="N415" s="5" t="n">
        <v>0</v>
      </c>
      <c r="O415" s="5" t="n">
        <v>0</v>
      </c>
      <c r="P415" s="5" t="n">
        <v>0</v>
      </c>
      <c r="Q415" s="5" t="n">
        <v>0</v>
      </c>
      <c r="R415" s="5" t="n">
        <v>0</v>
      </c>
      <c r="S415" s="5" t="n">
        <v>1</v>
      </c>
      <c r="T415" s="5" t="n">
        <v>0</v>
      </c>
      <c r="U415" s="5" t="inlineStr">
        <is>
          <t>testing</t>
        </is>
      </c>
    </row>
    <row r="416">
      <c r="A416" s="5" t="n">
        <v>412</v>
      </c>
      <c r="B416" s="5" t="n">
        <v>0</v>
      </c>
      <c r="C416" s="6" t="n">
        <v>1.033736962431958</v>
      </c>
      <c r="D416" s="6" t="n">
        <v>1.400377219956122</v>
      </c>
      <c r="E416" s="6" t="n">
        <v>-0.04696543117692405</v>
      </c>
      <c r="F416" s="6" t="n">
        <v>0.01674764143977723</v>
      </c>
      <c r="G416" s="5" t="n">
        <v>0</v>
      </c>
      <c r="H416" s="5" t="n">
        <v>0</v>
      </c>
      <c r="I416" s="5" t="n">
        <v>0</v>
      </c>
      <c r="J416" s="5" t="n">
        <v>1</v>
      </c>
      <c r="K416" s="5" t="n">
        <v>0</v>
      </c>
      <c r="L416" s="5" t="n">
        <v>0</v>
      </c>
      <c r="M416" s="5" t="n">
        <v>0</v>
      </c>
      <c r="N416" s="5" t="n">
        <v>0</v>
      </c>
      <c r="O416" s="5" t="n">
        <v>0</v>
      </c>
      <c r="P416" s="5" t="n">
        <v>0</v>
      </c>
      <c r="Q416" s="5" t="n">
        <v>0</v>
      </c>
      <c r="R416" s="5" t="n">
        <v>1</v>
      </c>
      <c r="S416" s="5" t="n">
        <v>0</v>
      </c>
      <c r="T416" s="5" t="n">
        <v>0</v>
      </c>
      <c r="U416" s="5" t="inlineStr">
        <is>
          <t>testing</t>
        </is>
      </c>
    </row>
    <row r="417">
      <c r="A417" s="5" t="n">
        <v>413</v>
      </c>
      <c r="B417" s="5" t="n">
        <v>1</v>
      </c>
      <c r="C417" s="6" t="n">
        <v>-0.7357010147163632</v>
      </c>
      <c r="D417" s="6" t="n">
        <v>-0.3354406720016982</v>
      </c>
      <c r="E417" s="6" t="n">
        <v>0.5618457137091294</v>
      </c>
      <c r="F417" s="6" t="n">
        <v>0.9185437189662378</v>
      </c>
      <c r="G417" s="5" t="n">
        <v>0</v>
      </c>
      <c r="H417" s="5" t="n">
        <v>0</v>
      </c>
      <c r="I417" s="5" t="n">
        <v>0</v>
      </c>
      <c r="J417" s="5" t="n">
        <v>1</v>
      </c>
      <c r="K417" s="5" t="n">
        <v>0</v>
      </c>
      <c r="L417" s="5" t="n">
        <v>0</v>
      </c>
      <c r="M417" s="5" t="n">
        <v>0</v>
      </c>
      <c r="N417" s="5" t="n">
        <v>0</v>
      </c>
      <c r="O417" s="5" t="n">
        <v>0</v>
      </c>
      <c r="P417" s="5" t="n">
        <v>0</v>
      </c>
      <c r="Q417" s="5" t="n">
        <v>0</v>
      </c>
      <c r="R417" s="5" t="n">
        <v>0</v>
      </c>
      <c r="S417" s="5" t="n">
        <v>0</v>
      </c>
      <c r="T417" s="5" t="n">
        <v>0</v>
      </c>
      <c r="U417" s="5" t="inlineStr">
        <is>
          <t>training</t>
        </is>
      </c>
    </row>
    <row r="418">
      <c r="A418" s="5" t="n">
        <v>414</v>
      </c>
      <c r="B418" s="5" t="n">
        <v>0</v>
      </c>
      <c r="C418" s="6" t="n">
        <v>-0.9042189173019176</v>
      </c>
      <c r="D418" s="6" t="n">
        <v>-0.5786161275370106</v>
      </c>
      <c r="E418" s="6" t="n">
        <v>0.3878996723131141</v>
      </c>
      <c r="F418" s="6" t="n">
        <v>0.01674764143977723</v>
      </c>
      <c r="G418" s="5" t="n">
        <v>0</v>
      </c>
      <c r="H418" s="5" t="n">
        <v>0</v>
      </c>
      <c r="I418" s="5" t="n">
        <v>0</v>
      </c>
      <c r="J418" s="5" t="n">
        <v>0</v>
      </c>
      <c r="K418" s="5" t="n">
        <v>0</v>
      </c>
      <c r="L418" s="5" t="n">
        <v>0</v>
      </c>
      <c r="M418" s="5" t="n">
        <v>1</v>
      </c>
      <c r="N418" s="5" t="n">
        <v>0</v>
      </c>
      <c r="O418" s="5" t="n">
        <v>0</v>
      </c>
      <c r="P418" s="5" t="n">
        <v>1</v>
      </c>
      <c r="Q418" s="5" t="n">
        <v>0</v>
      </c>
      <c r="R418" s="5" t="n">
        <v>1</v>
      </c>
      <c r="S418" s="5" t="n">
        <v>0</v>
      </c>
      <c r="T418" s="5" t="n">
        <v>0</v>
      </c>
      <c r="U418" s="5" t="inlineStr">
        <is>
          <t>training</t>
        </is>
      </c>
    </row>
    <row r="419">
      <c r="A419" s="5" t="n">
        <v>415</v>
      </c>
      <c r="B419" s="5" t="n">
        <v>1</v>
      </c>
      <c r="C419" s="6" t="n">
        <v>0.275406400796963</v>
      </c>
      <c r="D419" s="6" t="n">
        <v>-0.6541929597609351</v>
      </c>
      <c r="E419" s="6" t="n">
        <v>-0.04696543117692405</v>
      </c>
      <c r="F419" s="6" t="n">
        <v>0.9185437189662378</v>
      </c>
      <c r="G419" s="5" t="n">
        <v>1</v>
      </c>
      <c r="H419" s="5" t="n">
        <v>0</v>
      </c>
      <c r="I419" s="5" t="n">
        <v>0</v>
      </c>
      <c r="J419" s="5" t="n">
        <v>0</v>
      </c>
      <c r="K419" s="5" t="n">
        <v>0</v>
      </c>
      <c r="L419" s="5" t="n">
        <v>0</v>
      </c>
      <c r="M419" s="5" t="n">
        <v>0</v>
      </c>
      <c r="N419" s="5" t="n">
        <v>0</v>
      </c>
      <c r="O419" s="5" t="n">
        <v>1</v>
      </c>
      <c r="P419" s="5" t="n">
        <v>0</v>
      </c>
      <c r="Q419" s="5" t="n">
        <v>0</v>
      </c>
      <c r="R419" s="5" t="n">
        <v>1</v>
      </c>
      <c r="S419" s="5" t="n">
        <v>0</v>
      </c>
      <c r="T419" s="5" t="n">
        <v>0</v>
      </c>
      <c r="U419" s="5" t="inlineStr">
        <is>
          <t>training</t>
        </is>
      </c>
    </row>
    <row r="420">
      <c r="A420" s="5" t="n">
        <v>416</v>
      </c>
      <c r="B420" s="5" t="n">
        <v>0</v>
      </c>
      <c r="C420" s="6" t="n">
        <v>1.286513816310289</v>
      </c>
      <c r="D420" s="6" t="n">
        <v>0.906678561308171</v>
      </c>
      <c r="E420" s="6" t="n">
        <v>-0.04696543117692405</v>
      </c>
      <c r="F420" s="6" t="n">
        <v>-0.8850484360866833</v>
      </c>
      <c r="G420" s="5" t="n">
        <v>0</v>
      </c>
      <c r="H420" s="5" t="n">
        <v>0</v>
      </c>
      <c r="I420" s="5" t="n">
        <v>0</v>
      </c>
      <c r="J420" s="5" t="n">
        <v>1</v>
      </c>
      <c r="K420" s="5" t="n">
        <v>0</v>
      </c>
      <c r="L420" s="5" t="n">
        <v>0</v>
      </c>
      <c r="M420" s="5" t="n">
        <v>0</v>
      </c>
      <c r="N420" s="5" t="n">
        <v>0</v>
      </c>
      <c r="O420" s="5" t="n">
        <v>0</v>
      </c>
      <c r="P420" s="5" t="n">
        <v>0</v>
      </c>
      <c r="Q420" s="5" t="n">
        <v>0</v>
      </c>
      <c r="R420" s="5" t="n">
        <v>1</v>
      </c>
      <c r="S420" s="5" t="n">
        <v>0</v>
      </c>
      <c r="T420" s="5" t="n">
        <v>0</v>
      </c>
      <c r="U420" s="5" t="inlineStr">
        <is>
          <t>training</t>
        </is>
      </c>
    </row>
    <row r="421">
      <c r="A421" s="5" t="n">
        <v>417</v>
      </c>
      <c r="B421" s="5" t="n">
        <v>1</v>
      </c>
      <c r="C421" s="6" t="n">
        <v>-0.7357010147163632</v>
      </c>
      <c r="D421" s="6" t="n">
        <v>-0.2350214551115764</v>
      </c>
      <c r="E421" s="6" t="n">
        <v>-0.2209114725729393</v>
      </c>
      <c r="F421" s="6" t="n">
        <v>0.9185437189662378</v>
      </c>
      <c r="G421" s="5" t="n">
        <v>1</v>
      </c>
      <c r="H421" s="5" t="n">
        <v>0</v>
      </c>
      <c r="I421" s="5" t="n">
        <v>0</v>
      </c>
      <c r="J421" s="5" t="n">
        <v>0</v>
      </c>
      <c r="K421" s="5" t="n">
        <v>0</v>
      </c>
      <c r="L421" s="5" t="n">
        <v>0</v>
      </c>
      <c r="M421" s="5" t="n">
        <v>0</v>
      </c>
      <c r="N421" s="5" t="n">
        <v>0</v>
      </c>
      <c r="O421" s="5" t="n">
        <v>0</v>
      </c>
      <c r="P421" s="5" t="n">
        <v>0</v>
      </c>
      <c r="Q421" s="5" t="n">
        <v>0</v>
      </c>
      <c r="R421" s="5" t="n">
        <v>1</v>
      </c>
      <c r="S421" s="5" t="n">
        <v>0</v>
      </c>
      <c r="T421" s="5" t="n">
        <v>0</v>
      </c>
      <c r="U421" s="5" t="inlineStr">
        <is>
          <t>testing</t>
        </is>
      </c>
    </row>
    <row r="422">
      <c r="A422" s="5" t="n">
        <v>418</v>
      </c>
      <c r="B422" s="5" t="n">
        <v>0</v>
      </c>
      <c r="C422" s="6" t="n">
        <v>-0.2301473069597001</v>
      </c>
      <c r="D422" s="6" t="n">
        <v>1.826546579441029</v>
      </c>
      <c r="E422" s="6" t="n">
        <v>-1.090641679553016</v>
      </c>
      <c r="F422" s="6" t="n">
        <v>-1.786844513613144</v>
      </c>
      <c r="G422" s="5" t="n">
        <v>1</v>
      </c>
      <c r="H422" s="5" t="n">
        <v>0</v>
      </c>
      <c r="I422" s="5" t="n">
        <v>0</v>
      </c>
      <c r="J422" s="5" t="n">
        <v>0</v>
      </c>
      <c r="K422" s="5" t="n">
        <v>1</v>
      </c>
      <c r="L422" s="5" t="n">
        <v>0</v>
      </c>
      <c r="M422" s="5" t="n">
        <v>0</v>
      </c>
      <c r="N422" s="5" t="n">
        <v>0</v>
      </c>
      <c r="O422" s="5" t="n">
        <v>1</v>
      </c>
      <c r="P422" s="5" t="n">
        <v>1</v>
      </c>
      <c r="Q422" s="5" t="n">
        <v>0</v>
      </c>
      <c r="R422" s="5" t="n">
        <v>0</v>
      </c>
      <c r="S422" s="5" t="n">
        <v>0</v>
      </c>
      <c r="T422" s="5" t="n">
        <v>0</v>
      </c>
      <c r="U422" s="5" t="inlineStr">
        <is>
          <t>training</t>
        </is>
      </c>
    </row>
    <row r="423">
      <c r="A423" s="5" t="n">
        <v>419</v>
      </c>
      <c r="B423" s="5" t="n">
        <v>0</v>
      </c>
      <c r="C423" s="6" t="n">
        <v>0.02262954691863145</v>
      </c>
      <c r="D423" s="6" t="n">
        <v>-0.1639932285307585</v>
      </c>
      <c r="E423" s="6" t="n">
        <v>-0.3948575139689546</v>
      </c>
      <c r="F423" s="6" t="n">
        <v>-1.786844513613144</v>
      </c>
      <c r="G423" s="5" t="n">
        <v>0</v>
      </c>
      <c r="H423" s="5" t="n">
        <v>0</v>
      </c>
      <c r="I423" s="5" t="n">
        <v>0</v>
      </c>
      <c r="J423" s="5" t="n">
        <v>0</v>
      </c>
      <c r="K423" s="5" t="n">
        <v>0</v>
      </c>
      <c r="L423" s="5" t="n">
        <v>0</v>
      </c>
      <c r="M423" s="5" t="n">
        <v>1</v>
      </c>
      <c r="N423" s="5" t="n">
        <v>0</v>
      </c>
      <c r="O423" s="5" t="n">
        <v>0</v>
      </c>
      <c r="P423" s="5" t="n">
        <v>0</v>
      </c>
      <c r="Q423" s="5" t="n">
        <v>0</v>
      </c>
      <c r="R423" s="5" t="n">
        <v>1</v>
      </c>
      <c r="S423" s="5" t="n">
        <v>0</v>
      </c>
      <c r="T423" s="5" t="n">
        <v>0</v>
      </c>
      <c r="U423" s="5" t="inlineStr">
        <is>
          <t>training</t>
        </is>
      </c>
    </row>
    <row r="424">
      <c r="A424" s="5" t="n">
        <v>420</v>
      </c>
      <c r="B424" s="5" t="n">
        <v>1</v>
      </c>
      <c r="C424" s="6" t="n">
        <v>-0.2301473069597001</v>
      </c>
      <c r="D424" s="6" t="n">
        <v>-0.7728065992234832</v>
      </c>
      <c r="E424" s="6" t="n">
        <v>-0.2209114725729393</v>
      </c>
      <c r="F424" s="6" t="n">
        <v>0.9185437189662378</v>
      </c>
      <c r="G424" s="5" t="n">
        <v>0</v>
      </c>
      <c r="H424" s="5" t="n">
        <v>1</v>
      </c>
      <c r="I424" s="5" t="n">
        <v>0</v>
      </c>
      <c r="J424" s="5" t="n">
        <v>0</v>
      </c>
      <c r="K424" s="5" t="n">
        <v>0</v>
      </c>
      <c r="L424" s="5" t="n">
        <v>0</v>
      </c>
      <c r="M424" s="5" t="n">
        <v>0</v>
      </c>
      <c r="N424" s="5" t="n">
        <v>0</v>
      </c>
      <c r="O424" s="5" t="n">
        <v>1</v>
      </c>
      <c r="P424" s="5" t="n">
        <v>0</v>
      </c>
      <c r="Q424" s="5" t="n">
        <v>0</v>
      </c>
      <c r="R424" s="5" t="n">
        <v>1</v>
      </c>
      <c r="S424" s="5" t="n">
        <v>0</v>
      </c>
      <c r="T424" s="5" t="n">
        <v>0</v>
      </c>
      <c r="U424" s="5" t="inlineStr">
        <is>
          <t>training</t>
        </is>
      </c>
    </row>
    <row r="425">
      <c r="A425" s="5" t="n">
        <v>421</v>
      </c>
      <c r="B425" s="5" t="n">
        <v>0</v>
      </c>
      <c r="C425" s="6" t="n">
        <v>-0.4829241608380317</v>
      </c>
      <c r="D425" s="6" t="n">
        <v>-0.02263656085267761</v>
      </c>
      <c r="E425" s="6" t="n">
        <v>-1.351560741647039</v>
      </c>
      <c r="F425" s="6" t="n">
        <v>-0.8850484360866833</v>
      </c>
      <c r="G425" s="5" t="n">
        <v>0</v>
      </c>
      <c r="H425" s="5" t="n">
        <v>0</v>
      </c>
      <c r="I425" s="5" t="n">
        <v>0</v>
      </c>
      <c r="J425" s="5" t="n">
        <v>0</v>
      </c>
      <c r="K425" s="5" t="n">
        <v>0</v>
      </c>
      <c r="L425" s="5" t="n">
        <v>0</v>
      </c>
      <c r="M425" s="5" t="n">
        <v>0</v>
      </c>
      <c r="N425" s="5" t="n">
        <v>1</v>
      </c>
      <c r="O425" s="5" t="n">
        <v>0</v>
      </c>
      <c r="P425" s="5" t="n">
        <v>1</v>
      </c>
      <c r="Q425" s="5" t="n">
        <v>0</v>
      </c>
      <c r="R425" s="5" t="n">
        <v>1</v>
      </c>
      <c r="S425" s="5" t="n">
        <v>0</v>
      </c>
      <c r="T425" s="5" t="n">
        <v>0</v>
      </c>
      <c r="U425" s="5" t="inlineStr">
        <is>
          <t>testing</t>
        </is>
      </c>
    </row>
    <row r="426">
      <c r="A426" s="5" t="n">
        <v>422</v>
      </c>
      <c r="B426" s="5" t="n">
        <v>0</v>
      </c>
      <c r="C426" s="6" t="n">
        <v>-0.7357010147163632</v>
      </c>
      <c r="D426" s="6" t="n">
        <v>-0.4278123558309392</v>
      </c>
      <c r="E426" s="6" t="n">
        <v>-0.4818305346669622</v>
      </c>
      <c r="F426" s="6" t="n">
        <v>0.9185437189662378</v>
      </c>
      <c r="G426" s="5" t="n">
        <v>0</v>
      </c>
      <c r="H426" s="5" t="n">
        <v>1</v>
      </c>
      <c r="I426" s="5" t="n">
        <v>0</v>
      </c>
      <c r="J426" s="5" t="n">
        <v>0</v>
      </c>
      <c r="K426" s="5" t="n">
        <v>0</v>
      </c>
      <c r="L426" s="5" t="n">
        <v>0</v>
      </c>
      <c r="M426" s="5" t="n">
        <v>0</v>
      </c>
      <c r="N426" s="5" t="n">
        <v>0</v>
      </c>
      <c r="O426" s="5" t="n">
        <v>1</v>
      </c>
      <c r="P426" s="5" t="n">
        <v>0</v>
      </c>
      <c r="Q426" s="5" t="n">
        <v>0</v>
      </c>
      <c r="R426" s="5" t="n">
        <v>1</v>
      </c>
      <c r="S426" s="5" t="n">
        <v>0</v>
      </c>
      <c r="T426" s="5" t="n">
        <v>0</v>
      </c>
      <c r="U426" s="5" t="inlineStr">
        <is>
          <t>training</t>
        </is>
      </c>
    </row>
    <row r="427">
      <c r="A427" s="5" t="n">
        <v>423</v>
      </c>
      <c r="B427" s="5" t="n">
        <v>0</v>
      </c>
      <c r="C427" s="6" t="n">
        <v>-0.7357010147163632</v>
      </c>
      <c r="D427" s="6" t="n">
        <v>-0.8021975895327871</v>
      </c>
      <c r="E427" s="6" t="n">
        <v>0.9967108171991675</v>
      </c>
      <c r="F427" s="6" t="n">
        <v>-0.8850484360866833</v>
      </c>
      <c r="G427" s="5" t="n">
        <v>0</v>
      </c>
      <c r="H427" s="5" t="n">
        <v>1</v>
      </c>
      <c r="I427" s="5" t="n">
        <v>0</v>
      </c>
      <c r="J427" s="5" t="n">
        <v>1</v>
      </c>
      <c r="K427" s="5" t="n">
        <v>0</v>
      </c>
      <c r="L427" s="5" t="n">
        <v>0</v>
      </c>
      <c r="M427" s="5" t="n">
        <v>0</v>
      </c>
      <c r="N427" s="5" t="n">
        <v>0</v>
      </c>
      <c r="O427" s="5" t="n">
        <v>0</v>
      </c>
      <c r="P427" s="5" t="n">
        <v>0</v>
      </c>
      <c r="Q427" s="5" t="n">
        <v>0</v>
      </c>
      <c r="R427" s="5" t="n">
        <v>1</v>
      </c>
      <c r="S427" s="5" t="n">
        <v>0</v>
      </c>
      <c r="T427" s="5" t="n">
        <v>0</v>
      </c>
      <c r="U427" s="5" t="inlineStr">
        <is>
          <t>training</t>
        </is>
      </c>
    </row>
    <row r="428">
      <c r="A428" s="5" t="n">
        <v>424</v>
      </c>
      <c r="B428" s="5" t="n">
        <v>0</v>
      </c>
      <c r="C428" s="6" t="n">
        <v>0.02262954691863145</v>
      </c>
      <c r="D428" s="6" t="n">
        <v>-0.5807154839876751</v>
      </c>
      <c r="E428" s="6" t="n">
        <v>-0.1339384518749317</v>
      </c>
      <c r="F428" s="6" t="n">
        <v>0.9185437189662378</v>
      </c>
      <c r="G428" s="5" t="n">
        <v>0</v>
      </c>
      <c r="H428" s="5" t="n">
        <v>0</v>
      </c>
      <c r="I428" s="5" t="n">
        <v>0</v>
      </c>
      <c r="J428" s="5" t="n">
        <v>0</v>
      </c>
      <c r="K428" s="5" t="n">
        <v>1</v>
      </c>
      <c r="L428" s="5" t="n">
        <v>0</v>
      </c>
      <c r="M428" s="5" t="n">
        <v>1</v>
      </c>
      <c r="N428" s="5" t="n">
        <v>0</v>
      </c>
      <c r="O428" s="5" t="n">
        <v>0</v>
      </c>
      <c r="P428" s="5" t="n">
        <v>0</v>
      </c>
      <c r="Q428" s="5" t="n">
        <v>0</v>
      </c>
      <c r="R428" s="5" t="n">
        <v>0</v>
      </c>
      <c r="S428" s="5" t="n">
        <v>0</v>
      </c>
      <c r="T428" s="5" t="n">
        <v>1</v>
      </c>
      <c r="U428" s="5" t="inlineStr">
        <is>
          <t>training</t>
        </is>
      </c>
    </row>
    <row r="429">
      <c r="A429" s="5" t="n">
        <v>425</v>
      </c>
      <c r="B429" s="5" t="n">
        <v>1</v>
      </c>
      <c r="C429" s="6" t="n">
        <v>-0.7357010147163632</v>
      </c>
      <c r="D429" s="6" t="n">
        <v>-0.1709910833663071</v>
      </c>
      <c r="E429" s="6" t="n">
        <v>-0.9166956381570004</v>
      </c>
      <c r="F429" s="6" t="n">
        <v>-1.786844513613144</v>
      </c>
      <c r="G429" s="5" t="n">
        <v>0</v>
      </c>
      <c r="H429" s="5" t="n">
        <v>1</v>
      </c>
      <c r="I429" s="5" t="n">
        <v>0</v>
      </c>
      <c r="J429" s="5" t="n">
        <v>0</v>
      </c>
      <c r="K429" s="5" t="n">
        <v>0</v>
      </c>
      <c r="L429" s="5" t="n">
        <v>0</v>
      </c>
      <c r="M429" s="5" t="n">
        <v>0</v>
      </c>
      <c r="N429" s="5" t="n">
        <v>0</v>
      </c>
      <c r="O429" s="5" t="n">
        <v>1</v>
      </c>
      <c r="P429" s="5" t="n">
        <v>0</v>
      </c>
      <c r="Q429" s="5" t="n">
        <v>0</v>
      </c>
      <c r="R429" s="5" t="n">
        <v>0</v>
      </c>
      <c r="S429" s="5" t="n">
        <v>0</v>
      </c>
      <c r="T429" s="5" t="n">
        <v>1</v>
      </c>
      <c r="U429" s="5" t="inlineStr">
        <is>
          <t>training</t>
        </is>
      </c>
    </row>
    <row r="430">
      <c r="A430" s="5" t="n">
        <v>426</v>
      </c>
      <c r="B430" s="5" t="n">
        <v>0</v>
      </c>
      <c r="C430" s="6" t="n">
        <v>-0.2301473069597001</v>
      </c>
      <c r="D430" s="6" t="n">
        <v>-0.1650429067560908</v>
      </c>
      <c r="E430" s="6" t="n">
        <v>-1.264587720949031</v>
      </c>
      <c r="F430" s="6" t="n">
        <v>-1.786844513613144</v>
      </c>
      <c r="G430" s="5" t="n">
        <v>0</v>
      </c>
      <c r="H430" s="5" t="n">
        <v>1</v>
      </c>
      <c r="I430" s="5" t="n">
        <v>0</v>
      </c>
      <c r="J430" s="5" t="n">
        <v>0</v>
      </c>
      <c r="K430" s="5" t="n">
        <v>0</v>
      </c>
      <c r="L430" s="5" t="n">
        <v>0</v>
      </c>
      <c r="M430" s="5" t="n">
        <v>0</v>
      </c>
      <c r="N430" s="5" t="n">
        <v>0</v>
      </c>
      <c r="O430" s="5" t="n">
        <v>0</v>
      </c>
      <c r="P430" s="5" t="n">
        <v>1</v>
      </c>
      <c r="Q430" s="5" t="n">
        <v>0</v>
      </c>
      <c r="R430" s="5" t="n">
        <v>1</v>
      </c>
      <c r="S430" s="5" t="n">
        <v>0</v>
      </c>
      <c r="T430" s="5" t="n">
        <v>0</v>
      </c>
      <c r="U430" s="5" t="inlineStr">
        <is>
          <t>training</t>
        </is>
      </c>
    </row>
    <row r="431">
      <c r="A431" s="5" t="n">
        <v>427</v>
      </c>
      <c r="B431" s="5" t="n">
        <v>0</v>
      </c>
      <c r="C431" s="6" t="n">
        <v>0.6124422059680718</v>
      </c>
      <c r="D431" s="6" t="n">
        <v>-0.1776390454600782</v>
      </c>
      <c r="E431" s="6" t="n">
        <v>-0.5688035553649698</v>
      </c>
      <c r="F431" s="6" t="n">
        <v>0.9185437189662378</v>
      </c>
      <c r="G431" s="5" t="n">
        <v>0</v>
      </c>
      <c r="H431" s="5" t="n">
        <v>0</v>
      </c>
      <c r="I431" s="5" t="n">
        <v>0</v>
      </c>
      <c r="J431" s="5" t="n">
        <v>1</v>
      </c>
      <c r="K431" s="5" t="n">
        <v>0</v>
      </c>
      <c r="L431" s="5" t="n">
        <v>0</v>
      </c>
      <c r="M431" s="5" t="n">
        <v>0</v>
      </c>
      <c r="N431" s="5" t="n">
        <v>0</v>
      </c>
      <c r="O431" s="5" t="n">
        <v>0</v>
      </c>
      <c r="P431" s="5" t="n">
        <v>0</v>
      </c>
      <c r="Q431" s="5" t="n">
        <v>0</v>
      </c>
      <c r="R431" s="5" t="n">
        <v>0</v>
      </c>
      <c r="S431" s="5" t="n">
        <v>1</v>
      </c>
      <c r="T431" s="5" t="n">
        <v>0</v>
      </c>
      <c r="U431" s="5" t="inlineStr">
        <is>
          <t>training</t>
        </is>
      </c>
    </row>
    <row r="432">
      <c r="A432" s="5" t="n">
        <v>428</v>
      </c>
      <c r="B432" s="5" t="n">
        <v>0</v>
      </c>
      <c r="C432" s="6" t="n">
        <v>-0.2301473069597001</v>
      </c>
      <c r="D432" s="6" t="n">
        <v>-0.7353680758532983</v>
      </c>
      <c r="E432" s="6" t="n">
        <v>0.9097377965011599</v>
      </c>
      <c r="F432" s="6" t="n">
        <v>0.9185437189662378</v>
      </c>
      <c r="G432" s="5" t="n">
        <v>0</v>
      </c>
      <c r="H432" s="5" t="n">
        <v>0</v>
      </c>
      <c r="I432" s="5" t="n">
        <v>0</v>
      </c>
      <c r="J432" s="5" t="n">
        <v>1</v>
      </c>
      <c r="K432" s="5" t="n">
        <v>0</v>
      </c>
      <c r="L432" s="5" t="n">
        <v>0</v>
      </c>
      <c r="M432" s="5" t="n">
        <v>0</v>
      </c>
      <c r="N432" s="5" t="n">
        <v>1</v>
      </c>
      <c r="O432" s="5" t="n">
        <v>0</v>
      </c>
      <c r="P432" s="5" t="n">
        <v>0</v>
      </c>
      <c r="Q432" s="5" t="n">
        <v>0</v>
      </c>
      <c r="R432" s="5" t="n">
        <v>0</v>
      </c>
      <c r="S432" s="5" t="n">
        <v>1</v>
      </c>
      <c r="T432" s="5" t="n">
        <v>0</v>
      </c>
      <c r="U432" s="5" t="inlineStr">
        <is>
          <t>training</t>
        </is>
      </c>
    </row>
    <row r="433">
      <c r="A433" s="5" t="n">
        <v>429</v>
      </c>
      <c r="B433" s="5" t="n">
        <v>0</v>
      </c>
      <c r="C433" s="6" t="n">
        <v>-0.9884778685946948</v>
      </c>
      <c r="D433" s="6" t="n">
        <v>-0.6779856662018001</v>
      </c>
      <c r="E433" s="6" t="n">
        <v>-1.351560741647039</v>
      </c>
      <c r="F433" s="6" t="n">
        <v>-1.786844513613144</v>
      </c>
      <c r="G433" s="5" t="n">
        <v>0</v>
      </c>
      <c r="H433" s="5" t="n">
        <v>0</v>
      </c>
      <c r="I433" s="5" t="n">
        <v>0</v>
      </c>
      <c r="J433" s="5" t="n">
        <v>0</v>
      </c>
      <c r="K433" s="5" t="n">
        <v>0</v>
      </c>
      <c r="L433" s="5" t="n">
        <v>0</v>
      </c>
      <c r="M433" s="5" t="n">
        <v>0</v>
      </c>
      <c r="N433" s="5" t="n">
        <v>0</v>
      </c>
      <c r="O433" s="5" t="n">
        <v>0</v>
      </c>
      <c r="P433" s="5" t="n">
        <v>0</v>
      </c>
      <c r="Q433" s="5" t="n">
        <v>0</v>
      </c>
      <c r="R433" s="5" t="n">
        <v>0</v>
      </c>
      <c r="S433" s="5" t="n">
        <v>0</v>
      </c>
      <c r="T433" s="5" t="n">
        <v>1</v>
      </c>
      <c r="U433" s="5" t="inlineStr">
        <is>
          <t>training</t>
        </is>
      </c>
    </row>
    <row r="434">
      <c r="A434" s="5" t="n">
        <v>430</v>
      </c>
      <c r="B434" s="5" t="n">
        <v>1</v>
      </c>
      <c r="C434" s="6" t="n">
        <v>-0.2301473069597001</v>
      </c>
      <c r="D434" s="6" t="n">
        <v>-0.7210224734404238</v>
      </c>
      <c r="E434" s="6" t="n">
        <v>1.692494982783229</v>
      </c>
      <c r="F434" s="6" t="n">
        <v>-0.8850484360866833</v>
      </c>
      <c r="G434" s="5" t="n">
        <v>1</v>
      </c>
      <c r="H434" s="5" t="n">
        <v>0</v>
      </c>
      <c r="I434" s="5" t="n">
        <v>0</v>
      </c>
      <c r="J434" s="5" t="n">
        <v>1</v>
      </c>
      <c r="K434" s="5" t="n">
        <v>0</v>
      </c>
      <c r="L434" s="5" t="n">
        <v>0</v>
      </c>
      <c r="M434" s="5" t="n">
        <v>0</v>
      </c>
      <c r="N434" s="5" t="n">
        <v>0</v>
      </c>
      <c r="O434" s="5" t="n">
        <v>0</v>
      </c>
      <c r="P434" s="5" t="n">
        <v>0</v>
      </c>
      <c r="Q434" s="5" t="n">
        <v>1</v>
      </c>
      <c r="R434" s="5" t="n">
        <v>0</v>
      </c>
      <c r="S434" s="5" t="n">
        <v>0</v>
      </c>
      <c r="T434" s="5" t="n">
        <v>0</v>
      </c>
      <c r="U434" s="5" t="inlineStr">
        <is>
          <t>testing</t>
        </is>
      </c>
    </row>
    <row r="435">
      <c r="A435" s="5" t="n">
        <v>431</v>
      </c>
      <c r="B435" s="5" t="n">
        <v>0</v>
      </c>
      <c r="C435" s="6" t="n">
        <v>-1.325513673765804</v>
      </c>
      <c r="D435" s="6" t="n">
        <v>0.06903533749300851</v>
      </c>
      <c r="E435" s="6" t="n">
        <v>3.344982376045374</v>
      </c>
      <c r="F435" s="6" t="n">
        <v>-1.786844513613144</v>
      </c>
      <c r="G435" s="5" t="n">
        <v>0</v>
      </c>
      <c r="H435" s="5" t="n">
        <v>0</v>
      </c>
      <c r="I435" s="5" t="n">
        <v>0</v>
      </c>
      <c r="J435" s="5" t="n">
        <v>0</v>
      </c>
      <c r="K435" s="5" t="n">
        <v>0</v>
      </c>
      <c r="L435" s="5" t="n">
        <v>0</v>
      </c>
      <c r="M435" s="5" t="n">
        <v>0</v>
      </c>
      <c r="N435" s="5" t="n">
        <v>0</v>
      </c>
      <c r="O435" s="5" t="n">
        <v>0</v>
      </c>
      <c r="P435" s="5" t="n">
        <v>0</v>
      </c>
      <c r="Q435" s="5" t="n">
        <v>0</v>
      </c>
      <c r="R435" s="5" t="n">
        <v>0</v>
      </c>
      <c r="S435" s="5" t="n">
        <v>0</v>
      </c>
      <c r="T435" s="5" t="n">
        <v>0</v>
      </c>
      <c r="U435" s="5" t="inlineStr">
        <is>
          <t>testing</t>
        </is>
      </c>
    </row>
    <row r="436">
      <c r="A436" s="5" t="n">
        <v>432</v>
      </c>
      <c r="B436" s="5" t="n">
        <v>1</v>
      </c>
      <c r="C436" s="6" t="n">
        <v>0.275406400796963</v>
      </c>
      <c r="D436" s="6" t="n">
        <v>2.826190142699141</v>
      </c>
      <c r="E436" s="6" t="n">
        <v>-0.5688035553649698</v>
      </c>
      <c r="F436" s="6" t="n">
        <v>-0.8850484360866833</v>
      </c>
      <c r="G436" s="5" t="n">
        <v>0</v>
      </c>
      <c r="H436" s="5" t="n">
        <v>1</v>
      </c>
      <c r="I436" s="5" t="n">
        <v>0</v>
      </c>
      <c r="J436" s="5" t="n">
        <v>0</v>
      </c>
      <c r="K436" s="5" t="n">
        <v>0</v>
      </c>
      <c r="L436" s="5" t="n">
        <v>0</v>
      </c>
      <c r="M436" s="5" t="n">
        <v>0</v>
      </c>
      <c r="N436" s="5" t="n">
        <v>0</v>
      </c>
      <c r="O436" s="5" t="n">
        <v>0</v>
      </c>
      <c r="P436" s="5" t="n">
        <v>0</v>
      </c>
      <c r="Q436" s="5" t="n">
        <v>0</v>
      </c>
      <c r="R436" s="5" t="n">
        <v>0</v>
      </c>
      <c r="S436" s="5" t="n">
        <v>0</v>
      </c>
      <c r="T436" s="5" t="n">
        <v>0</v>
      </c>
      <c r="U436" s="5" t="inlineStr">
        <is>
          <t>testing</t>
        </is>
      </c>
    </row>
    <row r="437">
      <c r="A437" s="5" t="n">
        <v>433</v>
      </c>
      <c r="B437" s="5" t="n">
        <v>0</v>
      </c>
      <c r="C437" s="6" t="n">
        <v>-1.241254722473026</v>
      </c>
      <c r="D437" s="6" t="n">
        <v>-0.4823956235482179</v>
      </c>
      <c r="E437" s="6" t="n">
        <v>0.04000758952108359</v>
      </c>
      <c r="F437" s="6" t="n">
        <v>0.9185437189662378</v>
      </c>
      <c r="G437" s="5" t="n">
        <v>1</v>
      </c>
      <c r="H437" s="5" t="n">
        <v>0</v>
      </c>
      <c r="I437" s="5" t="n">
        <v>0</v>
      </c>
      <c r="J437" s="5" t="n">
        <v>1</v>
      </c>
      <c r="K437" s="5" t="n">
        <v>0</v>
      </c>
      <c r="L437" s="5" t="n">
        <v>0</v>
      </c>
      <c r="M437" s="5" t="n">
        <v>0</v>
      </c>
      <c r="N437" s="5" t="n">
        <v>0</v>
      </c>
      <c r="O437" s="5" t="n">
        <v>0</v>
      </c>
      <c r="P437" s="5" t="n">
        <v>0</v>
      </c>
      <c r="Q437" s="5" t="n">
        <v>1</v>
      </c>
      <c r="R437" s="5" t="n">
        <v>0</v>
      </c>
      <c r="S437" s="5" t="n">
        <v>0</v>
      </c>
      <c r="T437" s="5" t="n">
        <v>1</v>
      </c>
      <c r="U437" s="5" t="inlineStr">
        <is>
          <t>testing</t>
        </is>
      </c>
    </row>
    <row r="438">
      <c r="A438" s="5" t="n">
        <v>434</v>
      </c>
      <c r="B438" s="5" t="n">
        <v>0</v>
      </c>
      <c r="C438" s="6" t="n">
        <v>0.275406400796963</v>
      </c>
      <c r="D438" s="6" t="n">
        <v>-0.4173155735776163</v>
      </c>
      <c r="E438" s="6" t="n">
        <v>-0.2209114725729393</v>
      </c>
      <c r="F438" s="6" t="n">
        <v>0.9185437189662378</v>
      </c>
      <c r="G438" s="5" t="n">
        <v>0</v>
      </c>
      <c r="H438" s="5" t="n">
        <v>0</v>
      </c>
      <c r="I438" s="5" t="n">
        <v>0</v>
      </c>
      <c r="J438" s="5" t="n">
        <v>1</v>
      </c>
      <c r="K438" s="5" t="n">
        <v>0</v>
      </c>
      <c r="L438" s="5" t="n">
        <v>0</v>
      </c>
      <c r="M438" s="5" t="n">
        <v>0</v>
      </c>
      <c r="N438" s="5" t="n">
        <v>0</v>
      </c>
      <c r="O438" s="5" t="n">
        <v>0</v>
      </c>
      <c r="P438" s="5" t="n">
        <v>0</v>
      </c>
      <c r="Q438" s="5" t="n">
        <v>0</v>
      </c>
      <c r="R438" s="5" t="n">
        <v>0</v>
      </c>
      <c r="S438" s="5" t="n">
        <v>0</v>
      </c>
      <c r="T438" s="5" t="n">
        <v>0</v>
      </c>
      <c r="U438" s="5" t="inlineStr">
        <is>
          <t>training</t>
        </is>
      </c>
    </row>
    <row r="439">
      <c r="A439" s="5" t="n">
        <v>435</v>
      </c>
      <c r="B439" s="5" t="n">
        <v>0</v>
      </c>
      <c r="C439" s="6" t="n">
        <v>-0.9884778685946948</v>
      </c>
      <c r="D439" s="6" t="n">
        <v>-0.390023939718977</v>
      </c>
      <c r="E439" s="6" t="n">
        <v>-0.9166956381570004</v>
      </c>
      <c r="F439" s="6" t="n">
        <v>0.01674764143977723</v>
      </c>
      <c r="G439" s="5" t="n">
        <v>1</v>
      </c>
      <c r="H439" s="5" t="n">
        <v>0</v>
      </c>
      <c r="I439" s="5" t="n">
        <v>0</v>
      </c>
      <c r="J439" s="5" t="n">
        <v>0</v>
      </c>
      <c r="K439" s="5" t="n">
        <v>0</v>
      </c>
      <c r="L439" s="5" t="n">
        <v>0</v>
      </c>
      <c r="M439" s="5" t="n">
        <v>0</v>
      </c>
      <c r="N439" s="5" t="n">
        <v>0</v>
      </c>
      <c r="O439" s="5" t="n">
        <v>0</v>
      </c>
      <c r="P439" s="5" t="n">
        <v>0</v>
      </c>
      <c r="Q439" s="5" t="n">
        <v>0</v>
      </c>
      <c r="R439" s="5" t="n">
        <v>0</v>
      </c>
      <c r="S439" s="5" t="n">
        <v>0</v>
      </c>
      <c r="T439" s="5" t="n">
        <v>1</v>
      </c>
      <c r="U439" s="5" t="inlineStr">
        <is>
          <t>training</t>
        </is>
      </c>
    </row>
    <row r="440">
      <c r="A440" s="5" t="n">
        <v>436</v>
      </c>
      <c r="B440" s="5" t="n">
        <v>1</v>
      </c>
      <c r="C440" s="6" t="n">
        <v>-0.7357010147163632</v>
      </c>
      <c r="D440" s="6" t="n">
        <v>-0.61815400735786</v>
      </c>
      <c r="E440" s="6" t="n">
        <v>-0.9166956381570004</v>
      </c>
      <c r="F440" s="6" t="n">
        <v>-0.8850484360866833</v>
      </c>
      <c r="G440" s="5" t="n">
        <v>0</v>
      </c>
      <c r="H440" s="5" t="n">
        <v>1</v>
      </c>
      <c r="I440" s="5" t="n">
        <v>0</v>
      </c>
      <c r="J440" s="5" t="n">
        <v>0</v>
      </c>
      <c r="K440" s="5" t="n">
        <v>0</v>
      </c>
      <c r="L440" s="5" t="n">
        <v>0</v>
      </c>
      <c r="M440" s="5" t="n">
        <v>0</v>
      </c>
      <c r="N440" s="5" t="n">
        <v>0</v>
      </c>
      <c r="O440" s="5" t="n">
        <v>1</v>
      </c>
      <c r="P440" s="5" t="n">
        <v>0</v>
      </c>
      <c r="Q440" s="5" t="n">
        <v>0</v>
      </c>
      <c r="R440" s="5" t="n">
        <v>0</v>
      </c>
      <c r="S440" s="5" t="n">
        <v>1</v>
      </c>
      <c r="T440" s="5" t="n">
        <v>0</v>
      </c>
      <c r="U440" s="5" t="inlineStr">
        <is>
          <t>training</t>
        </is>
      </c>
    </row>
    <row r="441">
      <c r="A441" s="5" t="n">
        <v>437</v>
      </c>
      <c r="B441" s="5" t="n">
        <v>0</v>
      </c>
      <c r="C441" s="6" t="n">
        <v>-1.241254722473026</v>
      </c>
      <c r="D441" s="6" t="n">
        <v>-0.9064656265824605</v>
      </c>
      <c r="E441" s="6" t="n">
        <v>-1.090641679553016</v>
      </c>
      <c r="F441" s="6" t="n">
        <v>-0.8850484360866833</v>
      </c>
      <c r="G441" s="5" t="n">
        <v>0</v>
      </c>
      <c r="H441" s="5" t="n">
        <v>0</v>
      </c>
      <c r="I441" s="5" t="n">
        <v>0</v>
      </c>
      <c r="J441" s="5" t="n">
        <v>0</v>
      </c>
      <c r="K441" s="5" t="n">
        <v>0</v>
      </c>
      <c r="L441" s="5" t="n">
        <v>0</v>
      </c>
      <c r="M441" s="5" t="n">
        <v>1</v>
      </c>
      <c r="N441" s="5" t="n">
        <v>0</v>
      </c>
      <c r="O441" s="5" t="n">
        <v>0</v>
      </c>
      <c r="P441" s="5" t="n">
        <v>1</v>
      </c>
      <c r="Q441" s="5" t="n">
        <v>0</v>
      </c>
      <c r="R441" s="5" t="n">
        <v>0</v>
      </c>
      <c r="S441" s="5" t="n">
        <v>0</v>
      </c>
      <c r="T441" s="5" t="n">
        <v>0</v>
      </c>
      <c r="U441" s="5" t="inlineStr">
        <is>
          <t>training</t>
        </is>
      </c>
    </row>
    <row r="442">
      <c r="A442" s="5" t="n">
        <v>438</v>
      </c>
      <c r="B442" s="5" t="n">
        <v>0</v>
      </c>
      <c r="C442" s="6" t="n">
        <v>0.275406400796963</v>
      </c>
      <c r="D442" s="6" t="n">
        <v>-0.6870828774880133</v>
      </c>
      <c r="E442" s="6" t="n">
        <v>0.1269806102190912</v>
      </c>
      <c r="F442" s="6" t="n">
        <v>0.9185437189662378</v>
      </c>
      <c r="G442" s="5" t="n">
        <v>0</v>
      </c>
      <c r="H442" s="5" t="n">
        <v>0</v>
      </c>
      <c r="I442" s="5" t="n">
        <v>0</v>
      </c>
      <c r="J442" s="5" t="n">
        <v>1</v>
      </c>
      <c r="K442" s="5" t="n">
        <v>0</v>
      </c>
      <c r="L442" s="5" t="n">
        <v>0</v>
      </c>
      <c r="M442" s="5" t="n">
        <v>0</v>
      </c>
      <c r="N442" s="5" t="n">
        <v>1</v>
      </c>
      <c r="O442" s="5" t="n">
        <v>0</v>
      </c>
      <c r="P442" s="5" t="n">
        <v>0</v>
      </c>
      <c r="Q442" s="5" t="n">
        <v>0</v>
      </c>
      <c r="R442" s="5" t="n">
        <v>1</v>
      </c>
      <c r="S442" s="5" t="n">
        <v>0</v>
      </c>
      <c r="T442" s="5" t="n">
        <v>0</v>
      </c>
      <c r="U442" s="5" t="inlineStr">
        <is>
          <t>testing</t>
        </is>
      </c>
    </row>
    <row r="443">
      <c r="A443" s="5" t="n">
        <v>439</v>
      </c>
      <c r="B443" s="5" t="n">
        <v>0</v>
      </c>
      <c r="C443" s="6" t="n">
        <v>1.792067524066952</v>
      </c>
      <c r="D443" s="6" t="n">
        <v>0.0501411294370274</v>
      </c>
      <c r="E443" s="6" t="n">
        <v>2.562225189763305</v>
      </c>
      <c r="F443" s="6" t="n">
        <v>0.9185437189662378</v>
      </c>
      <c r="G443" s="5" t="n">
        <v>1</v>
      </c>
      <c r="H443" s="5" t="n">
        <v>0</v>
      </c>
      <c r="I443" s="5" t="n">
        <v>0</v>
      </c>
      <c r="J443" s="5" t="n">
        <v>1</v>
      </c>
      <c r="K443" s="5" t="n">
        <v>0</v>
      </c>
      <c r="L443" s="5" t="n">
        <v>0</v>
      </c>
      <c r="M443" s="5" t="n">
        <v>0</v>
      </c>
      <c r="N443" s="5" t="n">
        <v>0</v>
      </c>
      <c r="O443" s="5" t="n">
        <v>0</v>
      </c>
      <c r="P443" s="5" t="n">
        <v>0</v>
      </c>
      <c r="Q443" s="5" t="n">
        <v>0</v>
      </c>
      <c r="R443" s="5" t="n">
        <v>0</v>
      </c>
      <c r="S443" s="5" t="n">
        <v>0</v>
      </c>
      <c r="T443" s="5" t="n">
        <v>0</v>
      </c>
      <c r="U443" s="5" t="inlineStr">
        <is>
          <t>training</t>
        </is>
      </c>
    </row>
    <row r="444">
      <c r="A444" s="5" t="n">
        <v>440</v>
      </c>
      <c r="B444" s="5" t="n">
        <v>1</v>
      </c>
      <c r="C444" s="6" t="n">
        <v>-0.7357010147163632</v>
      </c>
      <c r="D444" s="6" t="n">
        <v>-0.9243101564131094</v>
      </c>
      <c r="E444" s="6" t="n">
        <v>-0.8297226174589928</v>
      </c>
      <c r="F444" s="6" t="n">
        <v>0.9185437189662378</v>
      </c>
      <c r="G444" s="5" t="n">
        <v>0</v>
      </c>
      <c r="H444" s="5" t="n">
        <v>0</v>
      </c>
      <c r="I444" s="5" t="n">
        <v>1</v>
      </c>
      <c r="J444" s="5" t="n">
        <v>0</v>
      </c>
      <c r="K444" s="5" t="n">
        <v>0</v>
      </c>
      <c r="L444" s="5" t="n">
        <v>1</v>
      </c>
      <c r="M444" s="5" t="n">
        <v>0</v>
      </c>
      <c r="N444" s="5" t="n">
        <v>0</v>
      </c>
      <c r="O444" s="5" t="n">
        <v>0</v>
      </c>
      <c r="P444" s="5" t="n">
        <v>0</v>
      </c>
      <c r="Q444" s="5" t="n">
        <v>0</v>
      </c>
      <c r="R444" s="5" t="n">
        <v>0</v>
      </c>
      <c r="S444" s="5" t="n">
        <v>0</v>
      </c>
      <c r="T444" s="5" t="n">
        <v>0</v>
      </c>
      <c r="U444" s="5" t="inlineStr">
        <is>
          <t>training</t>
        </is>
      </c>
    </row>
    <row r="445">
      <c r="A445" s="5" t="n">
        <v>441</v>
      </c>
      <c r="B445" s="5" t="n">
        <v>0</v>
      </c>
      <c r="C445" s="6" t="n">
        <v>-0.7357010147163632</v>
      </c>
      <c r="D445" s="6" t="n">
        <v>-0.4781969106468888</v>
      </c>
      <c r="E445" s="6" t="n">
        <v>0.3009266516151065</v>
      </c>
      <c r="F445" s="6" t="n">
        <v>0.9185437189662378</v>
      </c>
      <c r="G445" s="5" t="n">
        <v>0</v>
      </c>
      <c r="H445" s="5" t="n">
        <v>0</v>
      </c>
      <c r="I445" s="5" t="n">
        <v>0</v>
      </c>
      <c r="J445" s="5" t="n">
        <v>0</v>
      </c>
      <c r="K445" s="5" t="n">
        <v>0</v>
      </c>
      <c r="L445" s="5" t="n">
        <v>0</v>
      </c>
      <c r="M445" s="5" t="n">
        <v>0</v>
      </c>
      <c r="N445" s="5" t="n">
        <v>0</v>
      </c>
      <c r="O445" s="5" t="n">
        <v>0</v>
      </c>
      <c r="P445" s="5" t="n">
        <v>0</v>
      </c>
      <c r="Q445" s="5" t="n">
        <v>0</v>
      </c>
      <c r="R445" s="5" t="n">
        <v>1</v>
      </c>
      <c r="S445" s="5" t="n">
        <v>0</v>
      </c>
      <c r="T445" s="5" t="n">
        <v>0</v>
      </c>
      <c r="U445" s="5" t="inlineStr">
        <is>
          <t>testing</t>
        </is>
      </c>
    </row>
    <row r="446">
      <c r="A446" s="5" t="n">
        <v>442</v>
      </c>
      <c r="B446" s="5" t="n">
        <v>0</v>
      </c>
      <c r="C446" s="6" t="n">
        <v>-0.7357010147163632</v>
      </c>
      <c r="D446" s="6" t="n">
        <v>-0.5705685944761297</v>
      </c>
      <c r="E446" s="6" t="n">
        <v>-0.4818305346669622</v>
      </c>
      <c r="F446" s="6" t="n">
        <v>-0.8850484360866833</v>
      </c>
      <c r="G446" s="5" t="n">
        <v>1</v>
      </c>
      <c r="H446" s="5" t="n">
        <v>0</v>
      </c>
      <c r="I446" s="5" t="n">
        <v>0</v>
      </c>
      <c r="J446" s="5" t="n">
        <v>0</v>
      </c>
      <c r="K446" s="5" t="n">
        <v>0</v>
      </c>
      <c r="L446" s="5" t="n">
        <v>0</v>
      </c>
      <c r="M446" s="5" t="n">
        <v>0</v>
      </c>
      <c r="N446" s="5" t="n">
        <v>0</v>
      </c>
      <c r="O446" s="5" t="n">
        <v>0</v>
      </c>
      <c r="P446" s="5" t="n">
        <v>0</v>
      </c>
      <c r="Q446" s="5" t="n">
        <v>0</v>
      </c>
      <c r="R446" s="5" t="n">
        <v>0</v>
      </c>
      <c r="S446" s="5" t="n">
        <v>0</v>
      </c>
      <c r="T446" s="5" t="n">
        <v>1</v>
      </c>
      <c r="U446" s="5" t="inlineStr">
        <is>
          <t>testing</t>
        </is>
      </c>
    </row>
    <row r="447">
      <c r="A447" s="5" t="n">
        <v>443</v>
      </c>
      <c r="B447" s="5" t="n">
        <v>0</v>
      </c>
      <c r="C447" s="6" t="n">
        <v>-0.06162940437414574</v>
      </c>
      <c r="D447" s="6" t="n">
        <v>-0.217526818022705</v>
      </c>
      <c r="E447" s="6" t="n">
        <v>-0.5688035553649698</v>
      </c>
      <c r="F447" s="6" t="n">
        <v>-0.8850484360866833</v>
      </c>
      <c r="G447" s="5" t="n">
        <v>0</v>
      </c>
      <c r="H447" s="5" t="n">
        <v>1</v>
      </c>
      <c r="I447" s="5" t="n">
        <v>0</v>
      </c>
      <c r="J447" s="5" t="n">
        <v>0</v>
      </c>
      <c r="K447" s="5" t="n">
        <v>1</v>
      </c>
      <c r="L447" s="5" t="n">
        <v>0</v>
      </c>
      <c r="M447" s="5" t="n">
        <v>0</v>
      </c>
      <c r="N447" s="5" t="n">
        <v>0</v>
      </c>
      <c r="O447" s="5" t="n">
        <v>0</v>
      </c>
      <c r="P447" s="5" t="n">
        <v>0</v>
      </c>
      <c r="Q447" s="5" t="n">
        <v>0</v>
      </c>
      <c r="R447" s="5" t="n">
        <v>0</v>
      </c>
      <c r="S447" s="5" t="n">
        <v>0</v>
      </c>
      <c r="T447" s="5" t="n">
        <v>0</v>
      </c>
      <c r="U447" s="5" t="inlineStr">
        <is>
          <t>training</t>
        </is>
      </c>
    </row>
    <row r="448">
      <c r="A448" s="5" t="n">
        <v>444</v>
      </c>
      <c r="B448" s="5" t="n">
        <v>1</v>
      </c>
      <c r="C448" s="6" t="n">
        <v>-0.7357010147163632</v>
      </c>
      <c r="D448" s="6" t="n">
        <v>-0.8858219548175924</v>
      </c>
      <c r="E448" s="6" t="n">
        <v>0.4748726930111218</v>
      </c>
      <c r="F448" s="6" t="n">
        <v>0.9185437189662378</v>
      </c>
      <c r="G448" s="5" t="n">
        <v>0</v>
      </c>
      <c r="H448" s="5" t="n">
        <v>0</v>
      </c>
      <c r="I448" s="5" t="n">
        <v>0</v>
      </c>
      <c r="J448" s="5" t="n">
        <v>0</v>
      </c>
      <c r="K448" s="5" t="n">
        <v>0</v>
      </c>
      <c r="L448" s="5" t="n">
        <v>0</v>
      </c>
      <c r="M448" s="5" t="n">
        <v>0</v>
      </c>
      <c r="N448" s="5" t="n">
        <v>0</v>
      </c>
      <c r="O448" s="5" t="n">
        <v>0</v>
      </c>
      <c r="P448" s="5" t="n">
        <v>0</v>
      </c>
      <c r="Q448" s="5" t="n">
        <v>0</v>
      </c>
      <c r="R448" s="5" t="n">
        <v>0</v>
      </c>
      <c r="S448" s="5" t="n">
        <v>0</v>
      </c>
      <c r="T448" s="5" t="n">
        <v>0</v>
      </c>
      <c r="U448" s="5" t="inlineStr">
        <is>
          <t>training</t>
        </is>
      </c>
    </row>
    <row r="449">
      <c r="A449" s="5" t="n">
        <v>445</v>
      </c>
      <c r="B449" s="5" t="n">
        <v>1</v>
      </c>
      <c r="C449" s="6" t="n">
        <v>2.297621231823615</v>
      </c>
      <c r="D449" s="6" t="n">
        <v>0.6456585759422098</v>
      </c>
      <c r="E449" s="6" t="n">
        <v>-0.4818305346669622</v>
      </c>
      <c r="F449" s="6" t="n">
        <v>-0.8850484360866833</v>
      </c>
      <c r="G449" s="5" t="n">
        <v>0</v>
      </c>
      <c r="H449" s="5" t="n">
        <v>1</v>
      </c>
      <c r="I449" s="5" t="n">
        <v>0</v>
      </c>
      <c r="J449" s="5" t="n">
        <v>1</v>
      </c>
      <c r="K449" s="5" t="n">
        <v>0</v>
      </c>
      <c r="L449" s="5" t="n">
        <v>0</v>
      </c>
      <c r="M449" s="5" t="n">
        <v>0</v>
      </c>
      <c r="N449" s="5" t="n">
        <v>0</v>
      </c>
      <c r="O449" s="5" t="n">
        <v>0</v>
      </c>
      <c r="P449" s="5" t="n">
        <v>0</v>
      </c>
      <c r="Q449" s="5" t="n">
        <v>0</v>
      </c>
      <c r="R449" s="5" t="n">
        <v>0</v>
      </c>
      <c r="S449" s="5" t="n">
        <v>0</v>
      </c>
      <c r="T449" s="5" t="n">
        <v>1</v>
      </c>
      <c r="U449" s="5" t="inlineStr">
        <is>
          <t>training</t>
        </is>
      </c>
    </row>
    <row r="450">
      <c r="A450" s="5" t="n">
        <v>446</v>
      </c>
      <c r="B450" s="5" t="n">
        <v>0</v>
      </c>
      <c r="C450" s="6" t="n">
        <v>-0.9884778685946948</v>
      </c>
      <c r="D450" s="6" t="n">
        <v>-0.7021282653844427</v>
      </c>
      <c r="E450" s="6" t="n">
        <v>0.4748726930111218</v>
      </c>
      <c r="F450" s="6" t="n">
        <v>0.9185437189662378</v>
      </c>
      <c r="G450" s="5" t="n">
        <v>0</v>
      </c>
      <c r="H450" s="5" t="n">
        <v>0</v>
      </c>
      <c r="I450" s="5" t="n">
        <v>0</v>
      </c>
      <c r="J450" s="5" t="n">
        <v>1</v>
      </c>
      <c r="K450" s="5" t="n">
        <v>0</v>
      </c>
      <c r="L450" s="5" t="n">
        <v>0</v>
      </c>
      <c r="M450" s="5" t="n">
        <v>0</v>
      </c>
      <c r="N450" s="5" t="n">
        <v>0</v>
      </c>
      <c r="O450" s="5" t="n">
        <v>1</v>
      </c>
      <c r="P450" s="5" t="n">
        <v>1</v>
      </c>
      <c r="Q450" s="5" t="n">
        <v>0</v>
      </c>
      <c r="R450" s="5" t="n">
        <v>0</v>
      </c>
      <c r="S450" s="5" t="n">
        <v>0</v>
      </c>
      <c r="T450" s="5" t="n">
        <v>0</v>
      </c>
      <c r="U450" s="5" t="inlineStr">
        <is>
          <t>training</t>
        </is>
      </c>
    </row>
    <row r="451">
      <c r="A451" s="5" t="n">
        <v>447</v>
      </c>
      <c r="B451" s="5" t="n">
        <v>1</v>
      </c>
      <c r="C451" s="6" t="n">
        <v>1.286513816310289</v>
      </c>
      <c r="D451" s="6" t="n">
        <v>-0.4928924058015408</v>
      </c>
      <c r="E451" s="6" t="n">
        <v>-0.1339384518749317</v>
      </c>
      <c r="F451" s="6" t="n">
        <v>0.9185437189662378</v>
      </c>
      <c r="G451" s="5" t="n">
        <v>1</v>
      </c>
      <c r="H451" s="5" t="n">
        <v>0</v>
      </c>
      <c r="I451" s="5" t="n">
        <v>0</v>
      </c>
      <c r="J451" s="5" t="n">
        <v>0</v>
      </c>
      <c r="K451" s="5" t="n">
        <v>0</v>
      </c>
      <c r="L451" s="5" t="n">
        <v>0</v>
      </c>
      <c r="M451" s="5" t="n">
        <v>0</v>
      </c>
      <c r="N451" s="5" t="n">
        <v>0</v>
      </c>
      <c r="O451" s="5" t="n">
        <v>0</v>
      </c>
      <c r="P451" s="5" t="n">
        <v>0</v>
      </c>
      <c r="Q451" s="5" t="n">
        <v>0</v>
      </c>
      <c r="R451" s="5" t="n">
        <v>1</v>
      </c>
      <c r="S451" s="5" t="n">
        <v>0</v>
      </c>
      <c r="T451" s="5" t="n">
        <v>0</v>
      </c>
      <c r="U451" s="5" t="inlineStr">
        <is>
          <t>training</t>
        </is>
      </c>
    </row>
    <row r="452">
      <c r="A452" s="5" t="n">
        <v>448</v>
      </c>
      <c r="B452" s="5" t="n">
        <v>0</v>
      </c>
      <c r="C452" s="6" t="n">
        <v>-1.156995771180249</v>
      </c>
      <c r="D452" s="6" t="n">
        <v>-0.2360711333369087</v>
      </c>
      <c r="E452" s="6" t="n">
        <v>-0.04696543117692405</v>
      </c>
      <c r="F452" s="6" t="n">
        <v>-0.8850484360866833</v>
      </c>
      <c r="G452" s="5" t="n">
        <v>0</v>
      </c>
      <c r="H452" s="5" t="n">
        <v>1</v>
      </c>
      <c r="I452" s="5" t="n">
        <v>0</v>
      </c>
      <c r="J452" s="5" t="n">
        <v>0</v>
      </c>
      <c r="K452" s="5" t="n">
        <v>0</v>
      </c>
      <c r="L452" s="5" t="n">
        <v>0</v>
      </c>
      <c r="M452" s="5" t="n">
        <v>0</v>
      </c>
      <c r="N452" s="5" t="n">
        <v>0</v>
      </c>
      <c r="O452" s="5" t="n">
        <v>0</v>
      </c>
      <c r="P452" s="5" t="n">
        <v>0</v>
      </c>
      <c r="Q452" s="5" t="n">
        <v>0</v>
      </c>
      <c r="R452" s="5" t="n">
        <v>0</v>
      </c>
      <c r="S452" s="5" t="n">
        <v>1</v>
      </c>
      <c r="T452" s="5" t="n">
        <v>0</v>
      </c>
      <c r="U452" s="5" t="inlineStr">
        <is>
          <t>testing</t>
        </is>
      </c>
    </row>
    <row r="453">
      <c r="A453" s="5" t="n">
        <v>449</v>
      </c>
      <c r="B453" s="5" t="n">
        <v>0</v>
      </c>
      <c r="C453" s="6" t="n">
        <v>-0.7357010147163632</v>
      </c>
      <c r="D453" s="6" t="n">
        <v>-0.6391475718645057</v>
      </c>
      <c r="E453" s="6" t="n">
        <v>1.692494982783229</v>
      </c>
      <c r="F453" s="6" t="n">
        <v>0.01674764143977723</v>
      </c>
      <c r="G453" s="5" t="n">
        <v>0</v>
      </c>
      <c r="H453" s="5" t="n">
        <v>0</v>
      </c>
      <c r="I453" s="5" t="n">
        <v>1</v>
      </c>
      <c r="J453" s="5" t="n">
        <v>0</v>
      </c>
      <c r="K453" s="5" t="n">
        <v>0</v>
      </c>
      <c r="L453" s="5" t="n">
        <v>0</v>
      </c>
      <c r="M453" s="5" t="n">
        <v>0</v>
      </c>
      <c r="N453" s="5" t="n">
        <v>0</v>
      </c>
      <c r="O453" s="5" t="n">
        <v>1</v>
      </c>
      <c r="P453" s="5" t="n">
        <v>0</v>
      </c>
      <c r="Q453" s="5" t="n">
        <v>0</v>
      </c>
      <c r="R453" s="5" t="n">
        <v>0</v>
      </c>
      <c r="S453" s="5" t="n">
        <v>0</v>
      </c>
      <c r="T453" s="5" t="n">
        <v>1</v>
      </c>
      <c r="U453" s="5" t="inlineStr">
        <is>
          <t>testing</t>
        </is>
      </c>
    </row>
    <row r="454">
      <c r="A454" s="5" t="n">
        <v>450</v>
      </c>
      <c r="B454" s="5" t="n">
        <v>1</v>
      </c>
      <c r="C454" s="6" t="n">
        <v>-0.4829241608380317</v>
      </c>
      <c r="D454" s="6" t="n">
        <v>-0.608357010588092</v>
      </c>
      <c r="E454" s="6" t="n">
        <v>2.214333106971274</v>
      </c>
      <c r="F454" s="6" t="n">
        <v>0.01674764143977723</v>
      </c>
      <c r="G454" s="5" t="n">
        <v>0</v>
      </c>
      <c r="H454" s="5" t="n">
        <v>1</v>
      </c>
      <c r="I454" s="5" t="n">
        <v>0</v>
      </c>
      <c r="J454" s="5" t="n">
        <v>0</v>
      </c>
      <c r="K454" s="5" t="n">
        <v>1</v>
      </c>
      <c r="L454" s="5" t="n">
        <v>0</v>
      </c>
      <c r="M454" s="5" t="n">
        <v>0</v>
      </c>
      <c r="N454" s="5" t="n">
        <v>1</v>
      </c>
      <c r="O454" s="5" t="n">
        <v>0</v>
      </c>
      <c r="P454" s="5" t="n">
        <v>0</v>
      </c>
      <c r="Q454" s="5" t="n">
        <v>0</v>
      </c>
      <c r="R454" s="5" t="n">
        <v>0</v>
      </c>
      <c r="S454" s="5" t="n">
        <v>0</v>
      </c>
      <c r="T454" s="5" t="n">
        <v>0</v>
      </c>
      <c r="U454" s="5" t="inlineStr">
        <is>
          <t>training</t>
        </is>
      </c>
    </row>
    <row r="455">
      <c r="A455" s="5" t="n">
        <v>451</v>
      </c>
      <c r="B455" s="5" t="n">
        <v>0</v>
      </c>
      <c r="C455" s="6" t="n">
        <v>1.286513816310289</v>
      </c>
      <c r="D455" s="6" t="n">
        <v>2.730319531452126</v>
      </c>
      <c r="E455" s="6" t="n">
        <v>-0.4818305346669622</v>
      </c>
      <c r="F455" s="6" t="n">
        <v>0.9185437189662378</v>
      </c>
      <c r="G455" s="5" t="n">
        <v>0</v>
      </c>
      <c r="H455" s="5" t="n">
        <v>0</v>
      </c>
      <c r="I455" s="5" t="n">
        <v>0</v>
      </c>
      <c r="J455" s="5" t="n">
        <v>1</v>
      </c>
      <c r="K455" s="5" t="n">
        <v>0</v>
      </c>
      <c r="L455" s="5" t="n">
        <v>0</v>
      </c>
      <c r="M455" s="5" t="n">
        <v>0</v>
      </c>
      <c r="N455" s="5" t="n">
        <v>0</v>
      </c>
      <c r="O455" s="5" t="n">
        <v>1</v>
      </c>
      <c r="P455" s="5" t="n">
        <v>0</v>
      </c>
      <c r="Q455" s="5" t="n">
        <v>0</v>
      </c>
      <c r="R455" s="5" t="n">
        <v>1</v>
      </c>
      <c r="S455" s="5" t="n">
        <v>0</v>
      </c>
      <c r="T455" s="5" t="n">
        <v>0</v>
      </c>
      <c r="U455" s="5" t="inlineStr">
        <is>
          <t>testing</t>
        </is>
      </c>
    </row>
    <row r="456">
      <c r="A456" s="5" t="n">
        <v>452</v>
      </c>
      <c r="B456" s="5" t="n">
        <v>0</v>
      </c>
      <c r="C456" s="6" t="n">
        <v>-1.241254722473026</v>
      </c>
      <c r="D456" s="6" t="n">
        <v>-0.9561503959148554</v>
      </c>
      <c r="E456" s="6" t="n">
        <v>-0.5688035553649698</v>
      </c>
      <c r="F456" s="6" t="n">
        <v>0.01674764143977723</v>
      </c>
      <c r="G456" s="5" t="n">
        <v>0</v>
      </c>
      <c r="H456" s="5" t="n">
        <v>0</v>
      </c>
      <c r="I456" s="5" t="n">
        <v>0</v>
      </c>
      <c r="J456" s="5" t="n">
        <v>0</v>
      </c>
      <c r="K456" s="5" t="n">
        <v>0</v>
      </c>
      <c r="L456" s="5" t="n">
        <v>0</v>
      </c>
      <c r="M456" s="5" t="n">
        <v>0</v>
      </c>
      <c r="N456" s="5" t="n">
        <v>0</v>
      </c>
      <c r="O456" s="5" t="n">
        <v>0</v>
      </c>
      <c r="P456" s="5" t="n">
        <v>0</v>
      </c>
      <c r="Q456" s="5" t="n">
        <v>0</v>
      </c>
      <c r="R456" s="5" t="n">
        <v>0</v>
      </c>
      <c r="S456" s="5" t="n">
        <v>1</v>
      </c>
      <c r="T456" s="5" t="n">
        <v>0</v>
      </c>
      <c r="U456" s="5" t="inlineStr">
        <is>
          <t>training</t>
        </is>
      </c>
    </row>
    <row r="457">
      <c r="A457" s="5" t="n">
        <v>453</v>
      </c>
      <c r="B457" s="5" t="n">
        <v>0</v>
      </c>
      <c r="C457" s="6" t="n">
        <v>-0.7357010147163632</v>
      </c>
      <c r="D457" s="6" t="n">
        <v>-0.1720407615916393</v>
      </c>
      <c r="E457" s="6" t="n">
        <v>-0.1339384518749317</v>
      </c>
      <c r="F457" s="6" t="n">
        <v>-0.8850484360866833</v>
      </c>
      <c r="G457" s="5" t="n">
        <v>0</v>
      </c>
      <c r="H457" s="5" t="n">
        <v>0</v>
      </c>
      <c r="I457" s="5" t="n">
        <v>0</v>
      </c>
      <c r="J457" s="5" t="n">
        <v>0</v>
      </c>
      <c r="K457" s="5" t="n">
        <v>0</v>
      </c>
      <c r="L457" s="5" t="n">
        <v>1</v>
      </c>
      <c r="M457" s="5" t="n">
        <v>0</v>
      </c>
      <c r="N457" s="5" t="n">
        <v>0</v>
      </c>
      <c r="O457" s="5" t="n">
        <v>0</v>
      </c>
      <c r="P457" s="5" t="n">
        <v>0</v>
      </c>
      <c r="Q457" s="5" t="n">
        <v>0</v>
      </c>
      <c r="R457" s="5" t="n">
        <v>0</v>
      </c>
      <c r="S457" s="5" t="n">
        <v>0</v>
      </c>
      <c r="T457" s="5" t="n">
        <v>1</v>
      </c>
      <c r="U457" s="5" t="inlineStr">
        <is>
          <t>training</t>
        </is>
      </c>
    </row>
    <row r="458">
      <c r="A458" s="5" t="n">
        <v>454</v>
      </c>
      <c r="B458" s="5" t="n">
        <v>0</v>
      </c>
      <c r="C458" s="6" t="n">
        <v>0.275406400796963</v>
      </c>
      <c r="D458" s="6" t="n">
        <v>-0.2031812156098304</v>
      </c>
      <c r="E458" s="6" t="n">
        <v>-0.04696543117692405</v>
      </c>
      <c r="F458" s="6" t="n">
        <v>0.9185437189662378</v>
      </c>
      <c r="G458" s="5" t="n">
        <v>0</v>
      </c>
      <c r="H458" s="5" t="n">
        <v>0</v>
      </c>
      <c r="I458" s="5" t="n">
        <v>0</v>
      </c>
      <c r="J458" s="5" t="n">
        <v>0</v>
      </c>
      <c r="K458" s="5" t="n">
        <v>0</v>
      </c>
      <c r="L458" s="5" t="n">
        <v>0</v>
      </c>
      <c r="M458" s="5" t="n">
        <v>0</v>
      </c>
      <c r="N458" s="5" t="n">
        <v>0</v>
      </c>
      <c r="O458" s="5" t="n">
        <v>0</v>
      </c>
      <c r="P458" s="5" t="n">
        <v>0</v>
      </c>
      <c r="Q458" s="5" t="n">
        <v>0</v>
      </c>
      <c r="R458" s="5" t="n">
        <v>1</v>
      </c>
      <c r="S458" s="5" t="n">
        <v>0</v>
      </c>
      <c r="T458" s="5" t="n">
        <v>0</v>
      </c>
      <c r="U458" s="5" t="inlineStr">
        <is>
          <t>testing</t>
        </is>
      </c>
    </row>
    <row r="459">
      <c r="A459" s="5" t="n">
        <v>455</v>
      </c>
      <c r="B459" s="5" t="n">
        <v>1</v>
      </c>
      <c r="C459" s="6" t="n">
        <v>0.275406400796963</v>
      </c>
      <c r="D459" s="6" t="n">
        <v>0.5480385009863074</v>
      </c>
      <c r="E459" s="6" t="n">
        <v>-0.3948575139689546</v>
      </c>
      <c r="F459" s="6" t="n">
        <v>-0.8850484360866833</v>
      </c>
      <c r="G459" s="5" t="n">
        <v>1</v>
      </c>
      <c r="H459" s="5" t="n">
        <v>0</v>
      </c>
      <c r="I459" s="5" t="n">
        <v>0</v>
      </c>
      <c r="J459" s="5" t="n">
        <v>0</v>
      </c>
      <c r="K459" s="5" t="n">
        <v>0</v>
      </c>
      <c r="L459" s="5" t="n">
        <v>0</v>
      </c>
      <c r="M459" s="5" t="n">
        <v>0</v>
      </c>
      <c r="N459" s="5" t="n">
        <v>0</v>
      </c>
      <c r="O459" s="5" t="n">
        <v>0</v>
      </c>
      <c r="P459" s="5" t="n">
        <v>0</v>
      </c>
      <c r="Q459" s="5" t="n">
        <v>0</v>
      </c>
      <c r="R459" s="5" t="n">
        <v>1</v>
      </c>
      <c r="S459" s="5" t="n">
        <v>0</v>
      </c>
      <c r="T459" s="5" t="n">
        <v>0</v>
      </c>
      <c r="U459" s="5" t="inlineStr">
        <is>
          <t>testing</t>
        </is>
      </c>
    </row>
    <row r="460">
      <c r="A460" s="5" t="n">
        <v>456</v>
      </c>
      <c r="B460" s="5" t="n">
        <v>0</v>
      </c>
      <c r="C460" s="6" t="n">
        <v>0.275406400796963</v>
      </c>
      <c r="D460" s="6" t="n">
        <v>-0.2000321809338336</v>
      </c>
      <c r="E460" s="6" t="n">
        <v>-0.5688035553649698</v>
      </c>
      <c r="F460" s="6" t="n">
        <v>0.9185437189662378</v>
      </c>
      <c r="G460" s="5" t="n">
        <v>0</v>
      </c>
      <c r="H460" s="5" t="n">
        <v>0</v>
      </c>
      <c r="I460" s="5" t="n">
        <v>0</v>
      </c>
      <c r="J460" s="5" t="n">
        <v>0</v>
      </c>
      <c r="K460" s="5" t="n">
        <v>0</v>
      </c>
      <c r="L460" s="5" t="n">
        <v>0</v>
      </c>
      <c r="M460" s="5" t="n">
        <v>0</v>
      </c>
      <c r="N460" s="5" t="n">
        <v>0</v>
      </c>
      <c r="O460" s="5" t="n">
        <v>0</v>
      </c>
      <c r="P460" s="5" t="n">
        <v>0</v>
      </c>
      <c r="Q460" s="5" t="n">
        <v>0</v>
      </c>
      <c r="R460" s="5" t="n">
        <v>1</v>
      </c>
      <c r="S460" s="5" t="n">
        <v>0</v>
      </c>
      <c r="T460" s="5" t="n">
        <v>0</v>
      </c>
      <c r="U460" s="5" t="inlineStr">
        <is>
          <t>testing</t>
        </is>
      </c>
    </row>
    <row r="461">
      <c r="A461" s="5" t="n">
        <v>457</v>
      </c>
      <c r="B461" s="5" t="n">
        <v>0</v>
      </c>
      <c r="C461" s="6" t="n">
        <v>-0.8199599660091405</v>
      </c>
      <c r="D461" s="6" t="n">
        <v>0.2289363204852931</v>
      </c>
      <c r="E461" s="6" t="n">
        <v>0.04000758952108359</v>
      </c>
      <c r="F461" s="6" t="n">
        <v>-0.8850484360866833</v>
      </c>
      <c r="G461" s="5" t="n">
        <v>1</v>
      </c>
      <c r="H461" s="5" t="n">
        <v>0</v>
      </c>
      <c r="I461" s="5" t="n">
        <v>0</v>
      </c>
      <c r="J461" s="5" t="n">
        <v>1</v>
      </c>
      <c r="K461" s="5" t="n">
        <v>0</v>
      </c>
      <c r="L461" s="5" t="n">
        <v>0</v>
      </c>
      <c r="M461" s="5" t="n">
        <v>0</v>
      </c>
      <c r="N461" s="5" t="n">
        <v>0</v>
      </c>
      <c r="O461" s="5" t="n">
        <v>0</v>
      </c>
      <c r="P461" s="5" t="n">
        <v>1</v>
      </c>
      <c r="Q461" s="5" t="n">
        <v>0</v>
      </c>
      <c r="R461" s="5" t="n">
        <v>1</v>
      </c>
      <c r="S461" s="5" t="n">
        <v>0</v>
      </c>
      <c r="T461" s="5" t="n">
        <v>0</v>
      </c>
      <c r="U461" s="5" t="inlineStr">
        <is>
          <t>testing</t>
        </is>
      </c>
    </row>
    <row r="462">
      <c r="A462" s="5" t="n">
        <v>458</v>
      </c>
      <c r="B462" s="5" t="n">
        <v>1</v>
      </c>
      <c r="C462" s="6" t="n">
        <v>-0.7357010147163632</v>
      </c>
      <c r="D462" s="6" t="n">
        <v>0.04734198750280798</v>
      </c>
      <c r="E462" s="6" t="n">
        <v>-0.04696543117692405</v>
      </c>
      <c r="F462" s="6" t="n">
        <v>0.01674764143977723</v>
      </c>
      <c r="G462" s="5" t="n">
        <v>1</v>
      </c>
      <c r="H462" s="5" t="n">
        <v>0</v>
      </c>
      <c r="I462" s="5" t="n">
        <v>0</v>
      </c>
      <c r="J462" s="5" t="n">
        <v>0</v>
      </c>
      <c r="K462" s="5" t="n">
        <v>0</v>
      </c>
      <c r="L462" s="5" t="n">
        <v>0</v>
      </c>
      <c r="M462" s="5" t="n">
        <v>0</v>
      </c>
      <c r="N462" s="5" t="n">
        <v>0</v>
      </c>
      <c r="O462" s="5" t="n">
        <v>0</v>
      </c>
      <c r="P462" s="5" t="n">
        <v>0</v>
      </c>
      <c r="Q462" s="5" t="n">
        <v>1</v>
      </c>
      <c r="R462" s="5" t="n">
        <v>1</v>
      </c>
      <c r="S462" s="5" t="n">
        <v>0</v>
      </c>
      <c r="T462" s="5" t="n">
        <v>0</v>
      </c>
      <c r="U462" s="5" t="inlineStr">
        <is>
          <t>training</t>
        </is>
      </c>
    </row>
    <row r="463">
      <c r="A463" s="5" t="n">
        <v>459</v>
      </c>
      <c r="B463" s="5" t="n">
        <v>0</v>
      </c>
      <c r="C463" s="6" t="n">
        <v>-1.241254722473026</v>
      </c>
      <c r="D463" s="6" t="n">
        <v>-1.017381625725905</v>
      </c>
      <c r="E463" s="6" t="n">
        <v>-0.7427495967609852</v>
      </c>
      <c r="F463" s="6" t="n">
        <v>0.9185437189662378</v>
      </c>
      <c r="G463" s="5" t="n">
        <v>1</v>
      </c>
      <c r="H463" s="5" t="n">
        <v>0</v>
      </c>
      <c r="I463" s="5" t="n">
        <v>0</v>
      </c>
      <c r="J463" s="5" t="n">
        <v>0</v>
      </c>
      <c r="K463" s="5" t="n">
        <v>0</v>
      </c>
      <c r="L463" s="5" t="n">
        <v>0</v>
      </c>
      <c r="M463" s="5" t="n">
        <v>0</v>
      </c>
      <c r="N463" s="5" t="n">
        <v>0</v>
      </c>
      <c r="O463" s="5" t="n">
        <v>0</v>
      </c>
      <c r="P463" s="5" t="n">
        <v>0</v>
      </c>
      <c r="Q463" s="5" t="n">
        <v>0</v>
      </c>
      <c r="R463" s="5" t="n">
        <v>0</v>
      </c>
      <c r="S463" s="5" t="n">
        <v>0</v>
      </c>
      <c r="T463" s="5" t="n">
        <v>0</v>
      </c>
      <c r="U463" s="5" t="inlineStr">
        <is>
          <t>training</t>
        </is>
      </c>
    </row>
    <row r="464">
      <c r="A464" s="5" t="n">
        <v>460</v>
      </c>
      <c r="B464" s="5" t="n">
        <v>0</v>
      </c>
      <c r="C464" s="6" t="n">
        <v>-0.2301473069597001</v>
      </c>
      <c r="D464" s="6" t="n">
        <v>0.4700124195699409</v>
      </c>
      <c r="E464" s="6" t="n">
        <v>-0.307884493270947</v>
      </c>
      <c r="F464" s="6" t="n">
        <v>0.01674764143977723</v>
      </c>
      <c r="G464" s="5" t="n">
        <v>0</v>
      </c>
      <c r="H464" s="5" t="n">
        <v>0</v>
      </c>
      <c r="I464" s="5" t="n">
        <v>0</v>
      </c>
      <c r="J464" s="5" t="n">
        <v>0</v>
      </c>
      <c r="K464" s="5" t="n">
        <v>0</v>
      </c>
      <c r="L464" s="5" t="n">
        <v>0</v>
      </c>
      <c r="M464" s="5" t="n">
        <v>0</v>
      </c>
      <c r="N464" s="5" t="n">
        <v>0</v>
      </c>
      <c r="O464" s="5" t="n">
        <v>0</v>
      </c>
      <c r="P464" s="5" t="n">
        <v>0</v>
      </c>
      <c r="Q464" s="5" t="n">
        <v>0</v>
      </c>
      <c r="R464" s="5" t="n">
        <v>0</v>
      </c>
      <c r="S464" s="5" t="n">
        <v>1</v>
      </c>
      <c r="T464" s="5" t="n">
        <v>0</v>
      </c>
      <c r="U464" s="5" t="inlineStr">
        <is>
          <t>testing</t>
        </is>
      </c>
    </row>
    <row r="465">
      <c r="A465" s="5" t="n">
        <v>461</v>
      </c>
      <c r="B465" s="5" t="n">
        <v>0</v>
      </c>
      <c r="C465" s="6" t="n">
        <v>1.286513816310289</v>
      </c>
      <c r="D465" s="6" t="n">
        <v>0.1292168890787261</v>
      </c>
      <c r="E465" s="6" t="n">
        <v>0.1269806102190912</v>
      </c>
      <c r="F465" s="6" t="n">
        <v>-1.786844513613144</v>
      </c>
      <c r="G465" s="5" t="n">
        <v>1</v>
      </c>
      <c r="H465" s="5" t="n">
        <v>0</v>
      </c>
      <c r="I465" s="5" t="n">
        <v>0</v>
      </c>
      <c r="J465" s="5" t="n">
        <v>0</v>
      </c>
      <c r="K465" s="5" t="n">
        <v>0</v>
      </c>
      <c r="L465" s="5" t="n">
        <v>0</v>
      </c>
      <c r="M465" s="5" t="n">
        <v>0</v>
      </c>
      <c r="N465" s="5" t="n">
        <v>0</v>
      </c>
      <c r="O465" s="5" t="n">
        <v>0</v>
      </c>
      <c r="P465" s="5" t="n">
        <v>0</v>
      </c>
      <c r="Q465" s="5" t="n">
        <v>0</v>
      </c>
      <c r="R465" s="5" t="n">
        <v>0</v>
      </c>
      <c r="S465" s="5" t="n">
        <v>0</v>
      </c>
      <c r="T465" s="5" t="n">
        <v>1</v>
      </c>
      <c r="U465" s="5" t="inlineStr">
        <is>
          <t>training</t>
        </is>
      </c>
    </row>
    <row r="466">
      <c r="A466" s="5" t="n">
        <v>462</v>
      </c>
      <c r="B466" s="5" t="n">
        <v>0</v>
      </c>
      <c r="C466" s="6" t="n">
        <v>-0.4829241608380317</v>
      </c>
      <c r="D466" s="6" t="n">
        <v>-0.5352294275566095</v>
      </c>
      <c r="E466" s="6" t="n">
        <v>0.04000758952108359</v>
      </c>
      <c r="F466" s="6" t="n">
        <v>-0.8850484360866833</v>
      </c>
      <c r="G466" s="5" t="n">
        <v>1</v>
      </c>
      <c r="H466" s="5" t="n">
        <v>0</v>
      </c>
      <c r="I466" s="5" t="n">
        <v>0</v>
      </c>
      <c r="J466" s="5" t="n">
        <v>0</v>
      </c>
      <c r="K466" s="5" t="n">
        <v>0</v>
      </c>
      <c r="L466" s="5" t="n">
        <v>0</v>
      </c>
      <c r="M466" s="5" t="n">
        <v>0</v>
      </c>
      <c r="N466" s="5" t="n">
        <v>0</v>
      </c>
      <c r="O466" s="5" t="n">
        <v>0</v>
      </c>
      <c r="P466" s="5" t="n">
        <v>0</v>
      </c>
      <c r="Q466" s="5" t="n">
        <v>0</v>
      </c>
      <c r="R466" s="5" t="n">
        <v>1</v>
      </c>
      <c r="S466" s="5" t="n">
        <v>0</v>
      </c>
      <c r="T466" s="5" t="n">
        <v>0</v>
      </c>
      <c r="U466" s="5" t="inlineStr">
        <is>
          <t>training</t>
        </is>
      </c>
    </row>
    <row r="467">
      <c r="A467" s="5" t="n">
        <v>463</v>
      </c>
      <c r="B467" s="5" t="n">
        <v>0</v>
      </c>
      <c r="C467" s="6" t="n">
        <v>-0.7357010147163632</v>
      </c>
      <c r="D467" s="6" t="n">
        <v>-0.08176843421306293</v>
      </c>
      <c r="E467" s="6" t="n">
        <v>-0.1339384518749317</v>
      </c>
      <c r="F467" s="6" t="n">
        <v>0.01674764143977723</v>
      </c>
      <c r="G467" s="5" t="n">
        <v>0</v>
      </c>
      <c r="H467" s="5" t="n">
        <v>1</v>
      </c>
      <c r="I467" s="5" t="n">
        <v>0</v>
      </c>
      <c r="J467" s="5" t="n">
        <v>0</v>
      </c>
      <c r="K467" s="5" t="n">
        <v>0</v>
      </c>
      <c r="L467" s="5" t="n">
        <v>0</v>
      </c>
      <c r="M467" s="5" t="n">
        <v>0</v>
      </c>
      <c r="N467" s="5" t="n">
        <v>0</v>
      </c>
      <c r="O467" s="5" t="n">
        <v>0</v>
      </c>
      <c r="P467" s="5" t="n">
        <v>1</v>
      </c>
      <c r="Q467" s="5" t="n">
        <v>0</v>
      </c>
      <c r="R467" s="5" t="n">
        <v>0</v>
      </c>
      <c r="S467" s="5" t="n">
        <v>0</v>
      </c>
      <c r="T467" s="5" t="n">
        <v>1</v>
      </c>
      <c r="U467" s="5" t="inlineStr">
        <is>
          <t>testing</t>
        </is>
      </c>
    </row>
    <row r="468">
      <c r="A468" s="5" t="n">
        <v>464</v>
      </c>
      <c r="B468" s="5" t="n">
        <v>0</v>
      </c>
      <c r="C468" s="6" t="n">
        <v>-0.7357010147163632</v>
      </c>
      <c r="D468" s="6" t="n">
        <v>-0.8735757088553824</v>
      </c>
      <c r="E468" s="6" t="n">
        <v>0.2139536309170988</v>
      </c>
      <c r="F468" s="6" t="n">
        <v>0.9185437189662378</v>
      </c>
      <c r="G468" s="5" t="n">
        <v>0</v>
      </c>
      <c r="H468" s="5" t="n">
        <v>1</v>
      </c>
      <c r="I468" s="5" t="n">
        <v>0</v>
      </c>
      <c r="J468" s="5" t="n">
        <v>0</v>
      </c>
      <c r="K468" s="5" t="n">
        <v>0</v>
      </c>
      <c r="L468" s="5" t="n">
        <v>0</v>
      </c>
      <c r="M468" s="5" t="n">
        <v>0</v>
      </c>
      <c r="N468" s="5" t="n">
        <v>0</v>
      </c>
      <c r="O468" s="5" t="n">
        <v>1</v>
      </c>
      <c r="P468" s="5" t="n">
        <v>0</v>
      </c>
      <c r="Q468" s="5" t="n">
        <v>0</v>
      </c>
      <c r="R468" s="5" t="n">
        <v>0</v>
      </c>
      <c r="S468" s="5" t="n">
        <v>0</v>
      </c>
      <c r="T468" s="5" t="n">
        <v>0</v>
      </c>
      <c r="U468" s="5" t="inlineStr">
        <is>
          <t>testing</t>
        </is>
      </c>
    </row>
    <row r="469">
      <c r="A469" s="5" t="n">
        <v>465</v>
      </c>
      <c r="B469" s="5" t="n">
        <v>0</v>
      </c>
      <c r="C469" s="6" t="n">
        <v>-0.2301473069597001</v>
      </c>
      <c r="D469" s="6" t="n">
        <v>-0.4551039896895785</v>
      </c>
      <c r="E469" s="6" t="n">
        <v>-0.1339384518749317</v>
      </c>
      <c r="F469" s="6" t="n">
        <v>0.9185437189662378</v>
      </c>
      <c r="G469" s="5" t="n">
        <v>0</v>
      </c>
      <c r="H469" s="5" t="n">
        <v>0</v>
      </c>
      <c r="I469" s="5" t="n">
        <v>0</v>
      </c>
      <c r="J469" s="5" t="n">
        <v>0</v>
      </c>
      <c r="K469" s="5" t="n">
        <v>0</v>
      </c>
      <c r="L469" s="5" t="n">
        <v>0</v>
      </c>
      <c r="M469" s="5" t="n">
        <v>0</v>
      </c>
      <c r="N469" s="5" t="n">
        <v>0</v>
      </c>
      <c r="O469" s="5" t="n">
        <v>0</v>
      </c>
      <c r="P469" s="5" t="n">
        <v>0</v>
      </c>
      <c r="Q469" s="5" t="n">
        <v>0</v>
      </c>
      <c r="R469" s="5" t="n">
        <v>0</v>
      </c>
      <c r="S469" s="5" t="n">
        <v>0</v>
      </c>
      <c r="T469" s="5" t="n">
        <v>0</v>
      </c>
      <c r="U469" s="5" t="inlineStr">
        <is>
          <t>training</t>
        </is>
      </c>
    </row>
    <row r="470">
      <c r="A470" s="5" t="n">
        <v>466</v>
      </c>
      <c r="B470" s="5" t="n">
        <v>0</v>
      </c>
      <c r="C470" s="6" t="n">
        <v>0.275406400796963</v>
      </c>
      <c r="D470" s="6" t="n">
        <v>-0.1143084591983637</v>
      </c>
      <c r="E470" s="6" t="n">
        <v>2.38827914836729</v>
      </c>
      <c r="F470" s="6" t="n">
        <v>0.01674764143977723</v>
      </c>
      <c r="G470" s="5" t="n">
        <v>1</v>
      </c>
      <c r="H470" s="5" t="n">
        <v>0</v>
      </c>
      <c r="I470" s="5" t="n">
        <v>0</v>
      </c>
      <c r="J470" s="5" t="n">
        <v>0</v>
      </c>
      <c r="K470" s="5" t="n">
        <v>0</v>
      </c>
      <c r="L470" s="5" t="n">
        <v>0</v>
      </c>
      <c r="M470" s="5" t="n">
        <v>0</v>
      </c>
      <c r="N470" s="5" t="n">
        <v>0</v>
      </c>
      <c r="O470" s="5" t="n">
        <v>0</v>
      </c>
      <c r="P470" s="5" t="n">
        <v>0</v>
      </c>
      <c r="Q470" s="5" t="n">
        <v>0</v>
      </c>
      <c r="R470" s="5" t="n">
        <v>1</v>
      </c>
      <c r="S470" s="5" t="n">
        <v>0</v>
      </c>
      <c r="T470" s="5" t="n">
        <v>0</v>
      </c>
      <c r="U470" s="5" t="inlineStr">
        <is>
          <t>training</t>
        </is>
      </c>
    </row>
    <row r="471">
      <c r="A471" s="5" t="n">
        <v>467</v>
      </c>
      <c r="B471" s="5" t="n">
        <v>1</v>
      </c>
      <c r="C471" s="6" t="n">
        <v>0.275406400796963</v>
      </c>
      <c r="D471" s="6" t="n">
        <v>-0.5569227775468101</v>
      </c>
      <c r="E471" s="6" t="n">
        <v>-0.5688035553649698</v>
      </c>
      <c r="F471" s="6" t="n">
        <v>0.9185437189662378</v>
      </c>
      <c r="G471" s="5" t="n">
        <v>1</v>
      </c>
      <c r="H471" s="5" t="n">
        <v>0</v>
      </c>
      <c r="I471" s="5" t="n">
        <v>0</v>
      </c>
      <c r="J471" s="5" t="n">
        <v>0</v>
      </c>
      <c r="K471" s="5" t="n">
        <v>1</v>
      </c>
      <c r="L471" s="5" t="n">
        <v>0</v>
      </c>
      <c r="M471" s="5" t="n">
        <v>0</v>
      </c>
      <c r="N471" s="5" t="n">
        <v>0</v>
      </c>
      <c r="O471" s="5" t="n">
        <v>0</v>
      </c>
      <c r="P471" s="5" t="n">
        <v>1</v>
      </c>
      <c r="Q471" s="5" t="n">
        <v>0</v>
      </c>
      <c r="R471" s="5" t="n">
        <v>0</v>
      </c>
      <c r="S471" s="5" t="n">
        <v>1</v>
      </c>
      <c r="T471" s="5" t="n">
        <v>0</v>
      </c>
      <c r="U471" s="5" t="inlineStr">
        <is>
          <t>testing</t>
        </is>
      </c>
    </row>
    <row r="472">
      <c r="A472" s="5" t="n">
        <v>468</v>
      </c>
      <c r="B472" s="5" t="n">
        <v>0</v>
      </c>
      <c r="C472" s="6" t="n">
        <v>2.297621231823615</v>
      </c>
      <c r="D472" s="6" t="n">
        <v>1.39512882882946</v>
      </c>
      <c r="E472" s="6" t="n">
        <v>-0.307884493270947</v>
      </c>
      <c r="F472" s="6" t="n">
        <v>0.01674764143977723</v>
      </c>
      <c r="G472" s="5" t="n">
        <v>0</v>
      </c>
      <c r="H472" s="5" t="n">
        <v>0</v>
      </c>
      <c r="I472" s="5" t="n">
        <v>0</v>
      </c>
      <c r="J472" s="5" t="n">
        <v>0</v>
      </c>
      <c r="K472" s="5" t="n">
        <v>1</v>
      </c>
      <c r="L472" s="5" t="n">
        <v>0</v>
      </c>
      <c r="M472" s="5" t="n">
        <v>0</v>
      </c>
      <c r="N472" s="5" t="n">
        <v>0</v>
      </c>
      <c r="O472" s="5" t="n">
        <v>1</v>
      </c>
      <c r="P472" s="5" t="n">
        <v>0</v>
      </c>
      <c r="Q472" s="5" t="n">
        <v>0</v>
      </c>
      <c r="R472" s="5" t="n">
        <v>0</v>
      </c>
      <c r="S472" s="5" t="n">
        <v>1</v>
      </c>
      <c r="T472" s="5" t="n">
        <v>0</v>
      </c>
      <c r="U472" s="5" t="inlineStr">
        <is>
          <t>testing</t>
        </is>
      </c>
    </row>
    <row r="473">
      <c r="A473" s="5" t="n">
        <v>469</v>
      </c>
      <c r="B473" s="5" t="n">
        <v>0</v>
      </c>
      <c r="C473" s="6" t="n">
        <v>1.033736962431958</v>
      </c>
      <c r="D473" s="6" t="n">
        <v>-0.1702912978827522</v>
      </c>
      <c r="E473" s="6" t="n">
        <v>-0.8297226174589928</v>
      </c>
      <c r="F473" s="6" t="n">
        <v>-0.8850484360866833</v>
      </c>
      <c r="G473" s="5" t="n">
        <v>0</v>
      </c>
      <c r="H473" s="5" t="n">
        <v>0</v>
      </c>
      <c r="I473" s="5" t="n">
        <v>0</v>
      </c>
      <c r="J473" s="5" t="n">
        <v>0</v>
      </c>
      <c r="K473" s="5" t="n">
        <v>1</v>
      </c>
      <c r="L473" s="5" t="n">
        <v>0</v>
      </c>
      <c r="M473" s="5" t="n">
        <v>0</v>
      </c>
      <c r="N473" s="5" t="n">
        <v>0</v>
      </c>
      <c r="O473" s="5" t="n">
        <v>0</v>
      </c>
      <c r="P473" s="5" t="n">
        <v>0</v>
      </c>
      <c r="Q473" s="5" t="n">
        <v>0</v>
      </c>
      <c r="R473" s="5" t="n">
        <v>0</v>
      </c>
      <c r="S473" s="5" t="n">
        <v>0</v>
      </c>
      <c r="T473" s="5" t="n">
        <v>0</v>
      </c>
      <c r="U473" s="5" t="inlineStr">
        <is>
          <t>training</t>
        </is>
      </c>
    </row>
    <row r="474">
      <c r="A474" s="5" t="n">
        <v>470</v>
      </c>
      <c r="B474" s="5" t="n">
        <v>0</v>
      </c>
      <c r="C474" s="6" t="n">
        <v>0.275406400796963</v>
      </c>
      <c r="D474" s="6" t="n">
        <v>0.4997533026210223</v>
      </c>
      <c r="E474" s="6" t="n">
        <v>-0.04696543117692405</v>
      </c>
      <c r="F474" s="6" t="n">
        <v>0.01674764143977723</v>
      </c>
      <c r="G474" s="5" t="n">
        <v>0</v>
      </c>
      <c r="H474" s="5" t="n">
        <v>0</v>
      </c>
      <c r="I474" s="5" t="n">
        <v>0</v>
      </c>
      <c r="J474" s="5" t="n">
        <v>0</v>
      </c>
      <c r="K474" s="5" t="n">
        <v>1</v>
      </c>
      <c r="L474" s="5" t="n">
        <v>0</v>
      </c>
      <c r="M474" s="5" t="n">
        <v>0</v>
      </c>
      <c r="N474" s="5" t="n">
        <v>0</v>
      </c>
      <c r="O474" s="5" t="n">
        <v>0</v>
      </c>
      <c r="P474" s="5" t="n">
        <v>0</v>
      </c>
      <c r="Q474" s="5" t="n">
        <v>0</v>
      </c>
      <c r="R474" s="5" t="n">
        <v>1</v>
      </c>
      <c r="S474" s="5" t="n">
        <v>0</v>
      </c>
      <c r="T474" s="5" t="n">
        <v>0</v>
      </c>
      <c r="U474" s="5" t="inlineStr">
        <is>
          <t>training</t>
        </is>
      </c>
    </row>
    <row r="475">
      <c r="A475" s="5" t="n">
        <v>471</v>
      </c>
      <c r="B475" s="5" t="n">
        <v>1</v>
      </c>
      <c r="C475" s="6" t="n">
        <v>0.275406400796963</v>
      </c>
      <c r="D475" s="6" t="n">
        <v>-0.05552647857975584</v>
      </c>
      <c r="E475" s="6" t="n">
        <v>-1.177614700251023</v>
      </c>
      <c r="F475" s="6" t="n">
        <v>0.01674764143977723</v>
      </c>
      <c r="G475" s="5" t="n">
        <v>0</v>
      </c>
      <c r="H475" s="5" t="n">
        <v>1</v>
      </c>
      <c r="I475" s="5" t="n">
        <v>0</v>
      </c>
      <c r="J475" s="5" t="n">
        <v>0</v>
      </c>
      <c r="K475" s="5" t="n">
        <v>0</v>
      </c>
      <c r="L475" s="5" t="n">
        <v>0</v>
      </c>
      <c r="M475" s="5" t="n">
        <v>1</v>
      </c>
      <c r="N475" s="5" t="n">
        <v>0</v>
      </c>
      <c r="O475" s="5" t="n">
        <v>0</v>
      </c>
      <c r="P475" s="5" t="n">
        <v>1</v>
      </c>
      <c r="Q475" s="5" t="n">
        <v>0</v>
      </c>
      <c r="R475" s="5" t="n">
        <v>0</v>
      </c>
      <c r="S475" s="5" t="n">
        <v>1</v>
      </c>
      <c r="T475" s="5" t="n">
        <v>0</v>
      </c>
      <c r="U475" s="5" t="inlineStr">
        <is>
          <t>testing</t>
        </is>
      </c>
    </row>
    <row r="476">
      <c r="A476" s="5" t="n">
        <v>472</v>
      </c>
      <c r="B476" s="5" t="n">
        <v>1</v>
      </c>
      <c r="C476" s="6" t="n">
        <v>-1.241254722473026</v>
      </c>
      <c r="D476" s="6" t="n">
        <v>-0.9806428878392753</v>
      </c>
      <c r="E476" s="6" t="n">
        <v>-1.090641679553016</v>
      </c>
      <c r="F476" s="6" t="n">
        <v>0.9185437189662378</v>
      </c>
      <c r="G476" s="5" t="n">
        <v>1</v>
      </c>
      <c r="H476" s="5" t="n">
        <v>0</v>
      </c>
      <c r="I476" s="5" t="n">
        <v>0</v>
      </c>
      <c r="J476" s="5" t="n">
        <v>0</v>
      </c>
      <c r="K476" s="5" t="n">
        <v>0</v>
      </c>
      <c r="L476" s="5" t="n">
        <v>0</v>
      </c>
      <c r="M476" s="5" t="n">
        <v>0</v>
      </c>
      <c r="N476" s="5" t="n">
        <v>0</v>
      </c>
      <c r="O476" s="5" t="n">
        <v>0</v>
      </c>
      <c r="P476" s="5" t="n">
        <v>0</v>
      </c>
      <c r="Q476" s="5" t="n">
        <v>0</v>
      </c>
      <c r="R476" s="5" t="n">
        <v>0</v>
      </c>
      <c r="S476" s="5" t="n">
        <v>0</v>
      </c>
      <c r="T476" s="5" t="n">
        <v>0</v>
      </c>
      <c r="U476" s="5" t="inlineStr">
        <is>
          <t>training</t>
        </is>
      </c>
    </row>
    <row r="477">
      <c r="A477" s="5" t="n">
        <v>473</v>
      </c>
      <c r="B477" s="5" t="n">
        <v>1</v>
      </c>
      <c r="C477" s="6" t="n">
        <v>-0.9884778685946948</v>
      </c>
      <c r="D477" s="6" t="n">
        <v>-0.9085649830331252</v>
      </c>
      <c r="E477" s="6" t="n">
        <v>-0.6557765760629775</v>
      </c>
      <c r="F477" s="6" t="n">
        <v>0.9185437189662378</v>
      </c>
      <c r="G477" s="5" t="n">
        <v>1</v>
      </c>
      <c r="H477" s="5" t="n">
        <v>0</v>
      </c>
      <c r="I477" s="5" t="n">
        <v>0</v>
      </c>
      <c r="J477" s="5" t="n">
        <v>0</v>
      </c>
      <c r="K477" s="5" t="n">
        <v>0</v>
      </c>
      <c r="L477" s="5" t="n">
        <v>0</v>
      </c>
      <c r="M477" s="5" t="n">
        <v>0</v>
      </c>
      <c r="N477" s="5" t="n">
        <v>0</v>
      </c>
      <c r="O477" s="5" t="n">
        <v>0</v>
      </c>
      <c r="P477" s="5" t="n">
        <v>0</v>
      </c>
      <c r="Q477" s="5" t="n">
        <v>0</v>
      </c>
      <c r="R477" s="5" t="n">
        <v>1</v>
      </c>
      <c r="S477" s="5" t="n">
        <v>0</v>
      </c>
      <c r="T477" s="5" t="n">
        <v>0</v>
      </c>
      <c r="U477" s="5" t="inlineStr">
        <is>
          <t>testing</t>
        </is>
      </c>
    </row>
    <row r="478">
      <c r="A478" s="5" t="n">
        <v>474</v>
      </c>
      <c r="B478" s="5" t="n">
        <v>0</v>
      </c>
      <c r="C478" s="6" t="n">
        <v>-1.241254722473026</v>
      </c>
      <c r="D478" s="6" t="n">
        <v>-0.7042276218351072</v>
      </c>
      <c r="E478" s="6" t="n">
        <v>0.04000758952108359</v>
      </c>
      <c r="F478" s="6" t="n">
        <v>0.9185437189662378</v>
      </c>
      <c r="G478" s="5" t="n">
        <v>0</v>
      </c>
      <c r="H478" s="5" t="n">
        <v>0</v>
      </c>
      <c r="I478" s="5" t="n">
        <v>0</v>
      </c>
      <c r="J478" s="5" t="n">
        <v>0</v>
      </c>
      <c r="K478" s="5" t="n">
        <v>0</v>
      </c>
      <c r="L478" s="5" t="n">
        <v>0</v>
      </c>
      <c r="M478" s="5" t="n">
        <v>0</v>
      </c>
      <c r="N478" s="5" t="n">
        <v>0</v>
      </c>
      <c r="O478" s="5" t="n">
        <v>1</v>
      </c>
      <c r="P478" s="5" t="n">
        <v>0</v>
      </c>
      <c r="Q478" s="5" t="n">
        <v>0</v>
      </c>
      <c r="R478" s="5" t="n">
        <v>0</v>
      </c>
      <c r="S478" s="5" t="n">
        <v>0</v>
      </c>
      <c r="T478" s="5" t="n">
        <v>0</v>
      </c>
      <c r="U478" s="5" t="inlineStr">
        <is>
          <t>testing</t>
        </is>
      </c>
    </row>
    <row r="479">
      <c r="A479" s="5" t="n">
        <v>475</v>
      </c>
      <c r="B479" s="5" t="n">
        <v>1</v>
      </c>
      <c r="C479" s="6" t="n">
        <v>-0.2301473069597001</v>
      </c>
      <c r="D479" s="6" t="n">
        <v>-0.7017783726426653</v>
      </c>
      <c r="E479" s="6" t="n">
        <v>-0.2209114725729393</v>
      </c>
      <c r="F479" s="6" t="n">
        <v>0.9185437189662378</v>
      </c>
      <c r="G479" s="5" t="n">
        <v>0</v>
      </c>
      <c r="H479" s="5" t="n">
        <v>1</v>
      </c>
      <c r="I479" s="5" t="n">
        <v>0</v>
      </c>
      <c r="J479" s="5" t="n">
        <v>1</v>
      </c>
      <c r="K479" s="5" t="n">
        <v>0</v>
      </c>
      <c r="L479" s="5" t="n">
        <v>0</v>
      </c>
      <c r="M479" s="5" t="n">
        <v>0</v>
      </c>
      <c r="N479" s="5" t="n">
        <v>0</v>
      </c>
      <c r="O479" s="5" t="n">
        <v>0</v>
      </c>
      <c r="P479" s="5" t="n">
        <v>0</v>
      </c>
      <c r="Q479" s="5" t="n">
        <v>0</v>
      </c>
      <c r="R479" s="5" t="n">
        <v>0</v>
      </c>
      <c r="S479" s="5" t="n">
        <v>1</v>
      </c>
      <c r="T479" s="5" t="n">
        <v>0</v>
      </c>
      <c r="U479" s="5" t="inlineStr">
        <is>
          <t>training</t>
        </is>
      </c>
    </row>
    <row r="480">
      <c r="A480" s="5" t="n">
        <v>476</v>
      </c>
      <c r="B480" s="5" t="n">
        <v>1</v>
      </c>
      <c r="C480" s="6" t="n">
        <v>-0.2301473069597001</v>
      </c>
      <c r="D480" s="6" t="n">
        <v>-0.04782883826065242</v>
      </c>
      <c r="E480" s="6" t="n">
        <v>-0.8297226174589928</v>
      </c>
      <c r="F480" s="6" t="n">
        <v>-1.786844513613144</v>
      </c>
      <c r="G480" s="5" t="n">
        <v>1</v>
      </c>
      <c r="H480" s="5" t="n">
        <v>0</v>
      </c>
      <c r="I480" s="5" t="n">
        <v>0</v>
      </c>
      <c r="J480" s="5" t="n">
        <v>0</v>
      </c>
      <c r="K480" s="5" t="n">
        <v>0</v>
      </c>
      <c r="L480" s="5" t="n">
        <v>1</v>
      </c>
      <c r="M480" s="5" t="n">
        <v>0</v>
      </c>
      <c r="N480" s="5" t="n">
        <v>0</v>
      </c>
      <c r="O480" s="5" t="n">
        <v>0</v>
      </c>
      <c r="P480" s="5" t="n">
        <v>1</v>
      </c>
      <c r="Q480" s="5" t="n">
        <v>0</v>
      </c>
      <c r="R480" s="5" t="n">
        <v>0</v>
      </c>
      <c r="S480" s="5" t="n">
        <v>0</v>
      </c>
      <c r="T480" s="5" t="n">
        <v>1</v>
      </c>
      <c r="U480" s="5" t="inlineStr">
        <is>
          <t>training</t>
        </is>
      </c>
    </row>
    <row r="481">
      <c r="A481" s="5" t="n">
        <v>477</v>
      </c>
      <c r="B481" s="5" t="n">
        <v>0</v>
      </c>
      <c r="C481" s="6" t="n">
        <v>1.539290670188621</v>
      </c>
      <c r="D481" s="6" t="n">
        <v>-0.2385203825293506</v>
      </c>
      <c r="E481" s="6" t="n">
        <v>-1.003668658855008</v>
      </c>
      <c r="F481" s="6" t="n">
        <v>0.9185437189662378</v>
      </c>
      <c r="G481" s="5" t="n">
        <v>0</v>
      </c>
      <c r="H481" s="5" t="n">
        <v>0</v>
      </c>
      <c r="I481" s="5" t="n">
        <v>0</v>
      </c>
      <c r="J481" s="5" t="n">
        <v>0</v>
      </c>
      <c r="K481" s="5" t="n">
        <v>0</v>
      </c>
      <c r="L481" s="5" t="n">
        <v>0</v>
      </c>
      <c r="M481" s="5" t="n">
        <v>1</v>
      </c>
      <c r="N481" s="5" t="n">
        <v>0</v>
      </c>
      <c r="O481" s="5" t="n">
        <v>0</v>
      </c>
      <c r="P481" s="5" t="n">
        <v>0</v>
      </c>
      <c r="Q481" s="5" t="n">
        <v>0</v>
      </c>
      <c r="R481" s="5" t="n">
        <v>1</v>
      </c>
      <c r="S481" s="5" t="n">
        <v>0</v>
      </c>
      <c r="T481" s="5" t="n">
        <v>0</v>
      </c>
      <c r="U481" s="5" t="inlineStr">
        <is>
          <t>testing</t>
        </is>
      </c>
    </row>
    <row r="482">
      <c r="A482" s="5" t="n">
        <v>478</v>
      </c>
      <c r="B482" s="5" t="n">
        <v>0</v>
      </c>
      <c r="C482" s="6" t="n">
        <v>0.275406400796963</v>
      </c>
      <c r="D482" s="6" t="n">
        <v>0.6652525694817457</v>
      </c>
      <c r="E482" s="6" t="n">
        <v>-0.9166956381570004</v>
      </c>
      <c r="F482" s="6" t="n">
        <v>0.9185437189662378</v>
      </c>
      <c r="G482" s="5" t="n">
        <v>0</v>
      </c>
      <c r="H482" s="5" t="n">
        <v>0</v>
      </c>
      <c r="I482" s="5" t="n">
        <v>1</v>
      </c>
      <c r="J482" s="5" t="n">
        <v>0</v>
      </c>
      <c r="K482" s="5" t="n">
        <v>0</v>
      </c>
      <c r="L482" s="5" t="n">
        <v>0</v>
      </c>
      <c r="M482" s="5" t="n">
        <v>0</v>
      </c>
      <c r="N482" s="5" t="n">
        <v>0</v>
      </c>
      <c r="O482" s="5" t="n">
        <v>0</v>
      </c>
      <c r="P482" s="5" t="n">
        <v>0</v>
      </c>
      <c r="Q482" s="5" t="n">
        <v>0</v>
      </c>
      <c r="R482" s="5" t="n">
        <v>0</v>
      </c>
      <c r="S482" s="5" t="n">
        <v>1</v>
      </c>
      <c r="T482" s="5" t="n">
        <v>0</v>
      </c>
      <c r="U482" s="5" t="inlineStr">
        <is>
          <t>training</t>
        </is>
      </c>
    </row>
    <row r="483">
      <c r="A483" s="5" t="n">
        <v>479</v>
      </c>
      <c r="B483" s="5" t="n">
        <v>0</v>
      </c>
      <c r="C483" s="6" t="n">
        <v>-0.7357010147163632</v>
      </c>
      <c r="D483" s="6" t="n">
        <v>-0.7745560629323702</v>
      </c>
      <c r="E483" s="6" t="n">
        <v>0.3009266516151065</v>
      </c>
      <c r="F483" s="6" t="n">
        <v>0.01674764143977723</v>
      </c>
      <c r="G483" s="5" t="n">
        <v>0</v>
      </c>
      <c r="H483" s="5" t="n">
        <v>1</v>
      </c>
      <c r="I483" s="5" t="n">
        <v>0</v>
      </c>
      <c r="J483" s="5" t="n">
        <v>0</v>
      </c>
      <c r="K483" s="5" t="n">
        <v>0</v>
      </c>
      <c r="L483" s="5" t="n">
        <v>0</v>
      </c>
      <c r="M483" s="5" t="n">
        <v>1</v>
      </c>
      <c r="N483" s="5" t="n">
        <v>0</v>
      </c>
      <c r="O483" s="5" t="n">
        <v>0</v>
      </c>
      <c r="P483" s="5" t="n">
        <v>0</v>
      </c>
      <c r="Q483" s="5" t="n">
        <v>0</v>
      </c>
      <c r="R483" s="5" t="n">
        <v>0</v>
      </c>
      <c r="S483" s="5" t="n">
        <v>0</v>
      </c>
      <c r="T483" s="5" t="n">
        <v>0</v>
      </c>
      <c r="U483" s="5" t="inlineStr">
        <is>
          <t>training</t>
        </is>
      </c>
    </row>
    <row r="484">
      <c r="A484" s="5" t="n">
        <v>480</v>
      </c>
      <c r="B484" s="5" t="n">
        <v>0</v>
      </c>
      <c r="C484" s="6" t="n">
        <v>-0.4829241608380317</v>
      </c>
      <c r="D484" s="6" t="n">
        <v>-0.6202533638085246</v>
      </c>
      <c r="E484" s="6" t="n">
        <v>0.7357917551051447</v>
      </c>
      <c r="F484" s="6" t="n">
        <v>0.9185437189662378</v>
      </c>
      <c r="G484" s="5" t="n">
        <v>1</v>
      </c>
      <c r="H484" s="5" t="n">
        <v>0</v>
      </c>
      <c r="I484" s="5" t="n">
        <v>0</v>
      </c>
      <c r="J484" s="5" t="n">
        <v>1</v>
      </c>
      <c r="K484" s="5" t="n">
        <v>0</v>
      </c>
      <c r="L484" s="5" t="n">
        <v>0</v>
      </c>
      <c r="M484" s="5" t="n">
        <v>0</v>
      </c>
      <c r="N484" s="5" t="n">
        <v>0</v>
      </c>
      <c r="O484" s="5" t="n">
        <v>0</v>
      </c>
      <c r="P484" s="5" t="n">
        <v>0</v>
      </c>
      <c r="Q484" s="5" t="n">
        <v>0</v>
      </c>
      <c r="R484" s="5" t="n">
        <v>0</v>
      </c>
      <c r="S484" s="5" t="n">
        <v>0</v>
      </c>
      <c r="T484" s="5" t="n">
        <v>1</v>
      </c>
      <c r="U484" s="5" t="inlineStr">
        <is>
          <t>training</t>
        </is>
      </c>
    </row>
    <row r="485">
      <c r="A485" s="5" t="n">
        <v>481</v>
      </c>
      <c r="B485" s="5" t="n">
        <v>0</v>
      </c>
      <c r="C485" s="6" t="n">
        <v>-0.7357010147163632</v>
      </c>
      <c r="D485" s="6" t="n">
        <v>0.112771930215187</v>
      </c>
      <c r="E485" s="6" t="n">
        <v>-1.090641679553016</v>
      </c>
      <c r="F485" s="6" t="n">
        <v>-1.786844513613144</v>
      </c>
      <c r="G485" s="5" t="n">
        <v>0</v>
      </c>
      <c r="H485" s="5" t="n">
        <v>1</v>
      </c>
      <c r="I485" s="5" t="n">
        <v>0</v>
      </c>
      <c r="J485" s="5" t="n">
        <v>1</v>
      </c>
      <c r="K485" s="5" t="n">
        <v>0</v>
      </c>
      <c r="L485" s="5" t="n">
        <v>0</v>
      </c>
      <c r="M485" s="5" t="n">
        <v>0</v>
      </c>
      <c r="N485" s="5" t="n">
        <v>0</v>
      </c>
      <c r="O485" s="5" t="n">
        <v>0</v>
      </c>
      <c r="P485" s="5" t="n">
        <v>0</v>
      </c>
      <c r="Q485" s="5" t="n">
        <v>0</v>
      </c>
      <c r="R485" s="5" t="n">
        <v>0</v>
      </c>
      <c r="S485" s="5" t="n">
        <v>1</v>
      </c>
      <c r="T485" s="5" t="n">
        <v>0</v>
      </c>
      <c r="U485" s="5" t="inlineStr">
        <is>
          <t>testing</t>
        </is>
      </c>
    </row>
    <row r="486">
      <c r="A486" s="5" t="n">
        <v>482</v>
      </c>
      <c r="B486" s="5" t="n">
        <v>0</v>
      </c>
      <c r="C486" s="6" t="n">
        <v>0.275406400796963</v>
      </c>
      <c r="D486" s="6" t="n">
        <v>-0.7171736532808721</v>
      </c>
      <c r="E486" s="6" t="n">
        <v>-0.8297226174589928</v>
      </c>
      <c r="F486" s="6" t="n">
        <v>0.9185437189662378</v>
      </c>
      <c r="G486" s="5" t="n">
        <v>0</v>
      </c>
      <c r="H486" s="5" t="n">
        <v>1</v>
      </c>
      <c r="I486" s="5" t="n">
        <v>0</v>
      </c>
      <c r="J486" s="5" t="n">
        <v>0</v>
      </c>
      <c r="K486" s="5" t="n">
        <v>0</v>
      </c>
      <c r="L486" s="5" t="n">
        <v>0</v>
      </c>
      <c r="M486" s="5" t="n">
        <v>0</v>
      </c>
      <c r="N486" s="5" t="n">
        <v>0</v>
      </c>
      <c r="O486" s="5" t="n">
        <v>0</v>
      </c>
      <c r="P486" s="5" t="n">
        <v>0</v>
      </c>
      <c r="Q486" s="5" t="n">
        <v>0</v>
      </c>
      <c r="R486" s="5" t="n">
        <v>1</v>
      </c>
      <c r="S486" s="5" t="n">
        <v>0</v>
      </c>
      <c r="T486" s="5" t="n">
        <v>0</v>
      </c>
      <c r="U486" s="5" t="inlineStr">
        <is>
          <t>training</t>
        </is>
      </c>
    </row>
    <row r="487">
      <c r="A487" s="5" t="n">
        <v>483</v>
      </c>
      <c r="B487" s="5" t="n">
        <v>0</v>
      </c>
      <c r="C487" s="6" t="n">
        <v>0.7809601085536261</v>
      </c>
      <c r="D487" s="6" t="n">
        <v>0.129916674562281</v>
      </c>
      <c r="E487" s="6" t="n">
        <v>1.866441024179244</v>
      </c>
      <c r="F487" s="6" t="n">
        <v>0.9185437189662378</v>
      </c>
      <c r="G487" s="5" t="n">
        <v>1</v>
      </c>
      <c r="H487" s="5" t="n">
        <v>0</v>
      </c>
      <c r="I487" s="5" t="n">
        <v>0</v>
      </c>
      <c r="J487" s="5" t="n">
        <v>0</v>
      </c>
      <c r="K487" s="5" t="n">
        <v>0</v>
      </c>
      <c r="L487" s="5" t="n">
        <v>0</v>
      </c>
      <c r="M487" s="5" t="n">
        <v>0</v>
      </c>
      <c r="N487" s="5" t="n">
        <v>1</v>
      </c>
      <c r="O487" s="5" t="n">
        <v>0</v>
      </c>
      <c r="P487" s="5" t="n">
        <v>1</v>
      </c>
      <c r="Q487" s="5" t="n">
        <v>0</v>
      </c>
      <c r="R487" s="5" t="n">
        <v>0</v>
      </c>
      <c r="S487" s="5" t="n">
        <v>0</v>
      </c>
      <c r="T487" s="5" t="n">
        <v>1</v>
      </c>
      <c r="U487" s="5" t="inlineStr">
        <is>
          <t>training</t>
        </is>
      </c>
    </row>
    <row r="488">
      <c r="A488" s="5" t="n">
        <v>484</v>
      </c>
      <c r="B488" s="5" t="n">
        <v>0</v>
      </c>
      <c r="C488" s="6" t="n">
        <v>-0.4829241608380317</v>
      </c>
      <c r="D488" s="6" t="n">
        <v>-0.8014978040492322</v>
      </c>
      <c r="E488" s="6" t="n">
        <v>-0.4818305346669622</v>
      </c>
      <c r="F488" s="6" t="n">
        <v>0.01674764143977723</v>
      </c>
      <c r="G488" s="5" t="n">
        <v>0</v>
      </c>
      <c r="H488" s="5" t="n">
        <v>0</v>
      </c>
      <c r="I488" s="5" t="n">
        <v>0</v>
      </c>
      <c r="J488" s="5" t="n">
        <v>0</v>
      </c>
      <c r="K488" s="5" t="n">
        <v>1</v>
      </c>
      <c r="L488" s="5" t="n">
        <v>0</v>
      </c>
      <c r="M488" s="5" t="n">
        <v>0</v>
      </c>
      <c r="N488" s="5" t="n">
        <v>1</v>
      </c>
      <c r="O488" s="5" t="n">
        <v>0</v>
      </c>
      <c r="P488" s="5" t="n">
        <v>0</v>
      </c>
      <c r="Q488" s="5" t="n">
        <v>0</v>
      </c>
      <c r="R488" s="5" t="n">
        <v>0</v>
      </c>
      <c r="S488" s="5" t="n">
        <v>0</v>
      </c>
      <c r="T488" s="5" t="n">
        <v>1</v>
      </c>
      <c r="U488" s="5" t="inlineStr">
        <is>
          <t>training</t>
        </is>
      </c>
    </row>
    <row r="489">
      <c r="A489" s="5" t="n">
        <v>485</v>
      </c>
      <c r="B489" s="5" t="n">
        <v>0</v>
      </c>
      <c r="C489" s="6" t="n">
        <v>-0.7357010147163632</v>
      </c>
      <c r="D489" s="6" t="n">
        <v>-0.7304695774684143</v>
      </c>
      <c r="E489" s="6" t="n">
        <v>0.7357917551051447</v>
      </c>
      <c r="F489" s="6" t="n">
        <v>0.9185437189662378</v>
      </c>
      <c r="G489" s="5" t="n">
        <v>0</v>
      </c>
      <c r="H489" s="5" t="n">
        <v>0</v>
      </c>
      <c r="I489" s="5" t="n">
        <v>0</v>
      </c>
      <c r="J489" s="5" t="n">
        <v>1</v>
      </c>
      <c r="K489" s="5" t="n">
        <v>0</v>
      </c>
      <c r="L489" s="5" t="n">
        <v>0</v>
      </c>
      <c r="M489" s="5" t="n">
        <v>1</v>
      </c>
      <c r="N489" s="5" t="n">
        <v>0</v>
      </c>
      <c r="O489" s="5" t="n">
        <v>0</v>
      </c>
      <c r="P489" s="5" t="n">
        <v>0</v>
      </c>
      <c r="Q489" s="5" t="n">
        <v>0</v>
      </c>
      <c r="R489" s="5" t="n">
        <v>1</v>
      </c>
      <c r="S489" s="5" t="n">
        <v>0</v>
      </c>
      <c r="T489" s="5" t="n">
        <v>0</v>
      </c>
      <c r="U489" s="5" t="inlineStr">
        <is>
          <t>testing</t>
        </is>
      </c>
    </row>
    <row r="490">
      <c r="A490" s="5" t="n">
        <v>486</v>
      </c>
      <c r="B490" s="5" t="n">
        <v>1</v>
      </c>
      <c r="C490" s="6" t="n">
        <v>-1.241254722473026</v>
      </c>
      <c r="D490" s="6" t="n">
        <v>-0.7143745113466526</v>
      </c>
      <c r="E490" s="6" t="n">
        <v>0.9967108171991675</v>
      </c>
      <c r="F490" s="6" t="n">
        <v>0.9185437189662378</v>
      </c>
      <c r="G490" s="5" t="n">
        <v>0</v>
      </c>
      <c r="H490" s="5" t="n">
        <v>1</v>
      </c>
      <c r="I490" s="5" t="n">
        <v>0</v>
      </c>
      <c r="J490" s="5" t="n">
        <v>0</v>
      </c>
      <c r="K490" s="5" t="n">
        <v>1</v>
      </c>
      <c r="L490" s="5" t="n">
        <v>0</v>
      </c>
      <c r="M490" s="5" t="n">
        <v>0</v>
      </c>
      <c r="N490" s="5" t="n">
        <v>0</v>
      </c>
      <c r="O490" s="5" t="n">
        <v>0</v>
      </c>
      <c r="P490" s="5" t="n">
        <v>0</v>
      </c>
      <c r="Q490" s="5" t="n">
        <v>0</v>
      </c>
      <c r="R490" s="5" t="n">
        <v>1</v>
      </c>
      <c r="S490" s="5" t="n">
        <v>0</v>
      </c>
      <c r="T490" s="5" t="n">
        <v>0</v>
      </c>
      <c r="U490" s="5" t="inlineStr">
        <is>
          <t>training</t>
        </is>
      </c>
    </row>
    <row r="491">
      <c r="A491" s="5" t="n">
        <v>487</v>
      </c>
      <c r="B491" s="5" t="n">
        <v>0</v>
      </c>
      <c r="C491" s="6" t="n">
        <v>-0.7357010147163632</v>
      </c>
      <c r="D491" s="6" t="n">
        <v>-0.06077486970641726</v>
      </c>
      <c r="E491" s="6" t="n">
        <v>1.431575920689206</v>
      </c>
      <c r="F491" s="6" t="n">
        <v>-0.8850484360866833</v>
      </c>
      <c r="G491" s="5" t="n">
        <v>0</v>
      </c>
      <c r="H491" s="5" t="n">
        <v>0</v>
      </c>
      <c r="I491" s="5" t="n">
        <v>0</v>
      </c>
      <c r="J491" s="5" t="n">
        <v>0</v>
      </c>
      <c r="K491" s="5" t="n">
        <v>0</v>
      </c>
      <c r="L491" s="5" t="n">
        <v>0</v>
      </c>
      <c r="M491" s="5" t="n">
        <v>0</v>
      </c>
      <c r="N491" s="5" t="n">
        <v>0</v>
      </c>
      <c r="O491" s="5" t="n">
        <v>0</v>
      </c>
      <c r="P491" s="5" t="n">
        <v>0</v>
      </c>
      <c r="Q491" s="5" t="n">
        <v>0</v>
      </c>
      <c r="R491" s="5" t="n">
        <v>0</v>
      </c>
      <c r="S491" s="5" t="n">
        <v>1</v>
      </c>
      <c r="T491" s="5" t="n">
        <v>0</v>
      </c>
      <c r="U491" s="5" t="inlineStr">
        <is>
          <t>training</t>
        </is>
      </c>
    </row>
    <row r="492">
      <c r="A492" s="5" t="n">
        <v>488</v>
      </c>
      <c r="B492" s="5" t="n">
        <v>0</v>
      </c>
      <c r="C492" s="6" t="n">
        <v>0.275406400796963</v>
      </c>
      <c r="D492" s="6" t="n">
        <v>0.1771521947022338</v>
      </c>
      <c r="E492" s="6" t="n">
        <v>2.301306127669282</v>
      </c>
      <c r="F492" s="6" t="n">
        <v>0.9185437189662378</v>
      </c>
      <c r="G492" s="5" t="n">
        <v>0</v>
      </c>
      <c r="H492" s="5" t="n">
        <v>0</v>
      </c>
      <c r="I492" s="5" t="n">
        <v>0</v>
      </c>
      <c r="J492" s="5" t="n">
        <v>0</v>
      </c>
      <c r="K492" s="5" t="n">
        <v>0</v>
      </c>
      <c r="L492" s="5" t="n">
        <v>0</v>
      </c>
      <c r="M492" s="5" t="n">
        <v>0</v>
      </c>
      <c r="N492" s="5" t="n">
        <v>0</v>
      </c>
      <c r="O492" s="5" t="n">
        <v>0</v>
      </c>
      <c r="P492" s="5" t="n">
        <v>0</v>
      </c>
      <c r="Q492" s="5" t="n">
        <v>1</v>
      </c>
      <c r="R492" s="5" t="n">
        <v>1</v>
      </c>
      <c r="S492" s="5" t="n">
        <v>0</v>
      </c>
      <c r="T492" s="5" t="n">
        <v>0</v>
      </c>
      <c r="U492" s="5" t="inlineStr">
        <is>
          <t>training</t>
        </is>
      </c>
    </row>
    <row r="493">
      <c r="A493" s="5" t="n">
        <v>489</v>
      </c>
      <c r="B493" s="5" t="n">
        <v>0</v>
      </c>
      <c r="C493" s="6" t="n">
        <v>-0.9042189173019176</v>
      </c>
      <c r="D493" s="6" t="n">
        <v>-0.6412469283151703</v>
      </c>
      <c r="E493" s="6" t="n">
        <v>-0.04696543117692405</v>
      </c>
      <c r="F493" s="6" t="n">
        <v>0.01674764143977723</v>
      </c>
      <c r="G493" s="5" t="n">
        <v>0</v>
      </c>
      <c r="H493" s="5" t="n">
        <v>0</v>
      </c>
      <c r="I493" s="5" t="n">
        <v>0</v>
      </c>
      <c r="J493" s="5" t="n">
        <v>0</v>
      </c>
      <c r="K493" s="5" t="n">
        <v>0</v>
      </c>
      <c r="L493" s="5" t="n">
        <v>0</v>
      </c>
      <c r="M493" s="5" t="n">
        <v>1</v>
      </c>
      <c r="N493" s="5" t="n">
        <v>0</v>
      </c>
      <c r="O493" s="5" t="n">
        <v>0</v>
      </c>
      <c r="P493" s="5" t="n">
        <v>1</v>
      </c>
      <c r="Q493" s="5" t="n">
        <v>0</v>
      </c>
      <c r="R493" s="5" t="n">
        <v>1</v>
      </c>
      <c r="S493" s="5" t="n">
        <v>0</v>
      </c>
      <c r="T493" s="5" t="n">
        <v>0</v>
      </c>
      <c r="U493" s="5" t="inlineStr">
        <is>
          <t>training</t>
        </is>
      </c>
    </row>
    <row r="494">
      <c r="A494" s="5" t="n">
        <v>490</v>
      </c>
      <c r="B494" s="5" t="n">
        <v>0</v>
      </c>
      <c r="C494" s="6" t="n">
        <v>-1.241254722473026</v>
      </c>
      <c r="D494" s="6" t="n">
        <v>0.09352782941742847</v>
      </c>
      <c r="E494" s="6" t="n">
        <v>-0.8297226174589928</v>
      </c>
      <c r="F494" s="6" t="n">
        <v>-0.8850484360866833</v>
      </c>
      <c r="G494" s="5" t="n">
        <v>0</v>
      </c>
      <c r="H494" s="5" t="n">
        <v>0</v>
      </c>
      <c r="I494" s="5" t="n">
        <v>0</v>
      </c>
      <c r="J494" s="5" t="n">
        <v>0</v>
      </c>
      <c r="K494" s="5" t="n">
        <v>0</v>
      </c>
      <c r="L494" s="5" t="n">
        <v>0</v>
      </c>
      <c r="M494" s="5" t="n">
        <v>0</v>
      </c>
      <c r="N494" s="5" t="n">
        <v>0</v>
      </c>
      <c r="O494" s="5" t="n">
        <v>0</v>
      </c>
      <c r="P494" s="5" t="n">
        <v>1</v>
      </c>
      <c r="Q494" s="5" t="n">
        <v>0</v>
      </c>
      <c r="R494" s="5" t="n">
        <v>1</v>
      </c>
      <c r="S494" s="5" t="n">
        <v>0</v>
      </c>
      <c r="T494" s="5" t="n">
        <v>0</v>
      </c>
      <c r="U494" s="5" t="inlineStr">
        <is>
          <t>training</t>
        </is>
      </c>
    </row>
    <row r="495">
      <c r="A495" s="5" t="n">
        <v>491</v>
      </c>
      <c r="B495" s="5" t="n">
        <v>0</v>
      </c>
      <c r="C495" s="6" t="n">
        <v>-0.7357010147163632</v>
      </c>
      <c r="D495" s="6" t="n">
        <v>-0.4607022735580174</v>
      </c>
      <c r="E495" s="6" t="n">
        <v>-0.8297226174589928</v>
      </c>
      <c r="F495" s="6" t="n">
        <v>-0.8850484360866833</v>
      </c>
      <c r="G495" s="5" t="n">
        <v>0</v>
      </c>
      <c r="H495" s="5" t="n">
        <v>0</v>
      </c>
      <c r="I495" s="5" t="n">
        <v>0</v>
      </c>
      <c r="J495" s="5" t="n">
        <v>1</v>
      </c>
      <c r="K495" s="5" t="n">
        <v>0</v>
      </c>
      <c r="L495" s="5" t="n">
        <v>0</v>
      </c>
      <c r="M495" s="5" t="n">
        <v>0</v>
      </c>
      <c r="N495" s="5" t="n">
        <v>0</v>
      </c>
      <c r="O495" s="5" t="n">
        <v>0</v>
      </c>
      <c r="P495" s="5" t="n">
        <v>0</v>
      </c>
      <c r="Q495" s="5" t="n">
        <v>0</v>
      </c>
      <c r="R495" s="5" t="n">
        <v>0</v>
      </c>
      <c r="S495" s="5" t="n">
        <v>1</v>
      </c>
      <c r="T495" s="5" t="n">
        <v>0</v>
      </c>
      <c r="U495" s="5" t="inlineStr">
        <is>
          <t>testing</t>
        </is>
      </c>
    </row>
    <row r="496">
      <c r="A496" s="5" t="n">
        <v>492</v>
      </c>
      <c r="B496" s="5" t="n">
        <v>1</v>
      </c>
      <c r="C496" s="6" t="n">
        <v>0.5281832546752946</v>
      </c>
      <c r="D496" s="6" t="n">
        <v>1.773012989949083</v>
      </c>
      <c r="E496" s="6" t="n">
        <v>0.5618457137091294</v>
      </c>
      <c r="F496" s="6" t="n">
        <v>-0.8850484360866833</v>
      </c>
      <c r="G496" s="5" t="n">
        <v>0</v>
      </c>
      <c r="H496" s="5" t="n">
        <v>1</v>
      </c>
      <c r="I496" s="5" t="n">
        <v>0</v>
      </c>
      <c r="J496" s="5" t="n">
        <v>0</v>
      </c>
      <c r="K496" s="5" t="n">
        <v>0</v>
      </c>
      <c r="L496" s="5" t="n">
        <v>1</v>
      </c>
      <c r="M496" s="5" t="n">
        <v>0</v>
      </c>
      <c r="N496" s="5" t="n">
        <v>0</v>
      </c>
      <c r="O496" s="5" t="n">
        <v>0</v>
      </c>
      <c r="P496" s="5" t="n">
        <v>0</v>
      </c>
      <c r="Q496" s="5" t="n">
        <v>1</v>
      </c>
      <c r="R496" s="5" t="n">
        <v>0</v>
      </c>
      <c r="S496" s="5" t="n">
        <v>0</v>
      </c>
      <c r="T496" s="5" t="n">
        <v>0</v>
      </c>
      <c r="U496" s="5" t="inlineStr">
        <is>
          <t>testing</t>
        </is>
      </c>
    </row>
    <row r="497">
      <c r="A497" s="5" t="n">
        <v>493</v>
      </c>
      <c r="B497" s="5" t="n">
        <v>0</v>
      </c>
      <c r="C497" s="6" t="n">
        <v>-1.241254722473026</v>
      </c>
      <c r="D497" s="6" t="n">
        <v>-0.7045775145768847</v>
      </c>
      <c r="E497" s="6" t="n">
        <v>-0.7427495967609852</v>
      </c>
      <c r="F497" s="6" t="n">
        <v>-1.786844513613144</v>
      </c>
      <c r="G497" s="5" t="n">
        <v>0</v>
      </c>
      <c r="H497" s="5" t="n">
        <v>0</v>
      </c>
      <c r="I497" s="5" t="n">
        <v>0</v>
      </c>
      <c r="J497" s="5" t="n">
        <v>1</v>
      </c>
      <c r="K497" s="5" t="n">
        <v>0</v>
      </c>
      <c r="L497" s="5" t="n">
        <v>0</v>
      </c>
      <c r="M497" s="5" t="n">
        <v>1</v>
      </c>
      <c r="N497" s="5" t="n">
        <v>0</v>
      </c>
      <c r="O497" s="5" t="n">
        <v>0</v>
      </c>
      <c r="P497" s="5" t="n">
        <v>0</v>
      </c>
      <c r="Q497" s="5" t="n">
        <v>0</v>
      </c>
      <c r="R497" s="5" t="n">
        <v>0</v>
      </c>
      <c r="S497" s="5" t="n">
        <v>1</v>
      </c>
      <c r="T497" s="5" t="n">
        <v>0</v>
      </c>
      <c r="U497" s="5" t="inlineStr">
        <is>
          <t>training</t>
        </is>
      </c>
    </row>
    <row r="498">
      <c r="A498" s="5" t="n">
        <v>494</v>
      </c>
      <c r="B498" s="5" t="n">
        <v>0</v>
      </c>
      <c r="C498" s="6" t="n">
        <v>-1.241254722473026</v>
      </c>
      <c r="D498" s="6" t="n">
        <v>-1.00863430718147</v>
      </c>
      <c r="E498" s="6" t="n">
        <v>0.2139536309170988</v>
      </c>
      <c r="F498" s="6" t="n">
        <v>0.9185437189662378</v>
      </c>
      <c r="G498" s="5" t="n">
        <v>0</v>
      </c>
      <c r="H498" s="5" t="n">
        <v>1</v>
      </c>
      <c r="I498" s="5" t="n">
        <v>0</v>
      </c>
      <c r="J498" s="5" t="n">
        <v>0</v>
      </c>
      <c r="K498" s="5" t="n">
        <v>0</v>
      </c>
      <c r="L498" s="5" t="n">
        <v>0</v>
      </c>
      <c r="M498" s="5" t="n">
        <v>0</v>
      </c>
      <c r="N498" s="5" t="n">
        <v>0</v>
      </c>
      <c r="O498" s="5" t="n">
        <v>1</v>
      </c>
      <c r="P498" s="5" t="n">
        <v>0</v>
      </c>
      <c r="Q498" s="5" t="n">
        <v>0</v>
      </c>
      <c r="R498" s="5" t="n">
        <v>0</v>
      </c>
      <c r="S498" s="5" t="n">
        <v>1</v>
      </c>
      <c r="T498" s="5" t="n">
        <v>0</v>
      </c>
      <c r="U498" s="5" t="inlineStr">
        <is>
          <t>training</t>
        </is>
      </c>
    </row>
    <row r="499">
      <c r="A499" s="5" t="n">
        <v>495</v>
      </c>
      <c r="B499" s="5" t="n">
        <v>0</v>
      </c>
      <c r="C499" s="6" t="n">
        <v>-0.7357010147163632</v>
      </c>
      <c r="D499" s="6" t="n">
        <v>-0.394922438103861</v>
      </c>
      <c r="E499" s="6" t="n">
        <v>0.3009266516151065</v>
      </c>
      <c r="F499" s="6" t="n">
        <v>0.01674764143977723</v>
      </c>
      <c r="G499" s="5" t="n">
        <v>1</v>
      </c>
      <c r="H499" s="5" t="n">
        <v>0</v>
      </c>
      <c r="I499" s="5" t="n">
        <v>0</v>
      </c>
      <c r="J499" s="5" t="n">
        <v>1</v>
      </c>
      <c r="K499" s="5" t="n">
        <v>0</v>
      </c>
      <c r="L499" s="5" t="n">
        <v>0</v>
      </c>
      <c r="M499" s="5" t="n">
        <v>0</v>
      </c>
      <c r="N499" s="5" t="n">
        <v>0</v>
      </c>
      <c r="O499" s="5" t="n">
        <v>0</v>
      </c>
      <c r="P499" s="5" t="n">
        <v>1</v>
      </c>
      <c r="Q499" s="5" t="n">
        <v>0</v>
      </c>
      <c r="R499" s="5" t="n">
        <v>1</v>
      </c>
      <c r="S499" s="5" t="n">
        <v>0</v>
      </c>
      <c r="T499" s="5" t="n">
        <v>0</v>
      </c>
      <c r="U499" s="5" t="inlineStr">
        <is>
          <t>testing</t>
        </is>
      </c>
    </row>
    <row r="500">
      <c r="A500" s="5" t="n">
        <v>496</v>
      </c>
      <c r="B500" s="5" t="n">
        <v>1</v>
      </c>
      <c r="C500" s="6" t="n">
        <v>0.275406400796963</v>
      </c>
      <c r="D500" s="6" t="n">
        <v>-0.08911618179038892</v>
      </c>
      <c r="E500" s="6" t="n">
        <v>-1.351560741647039</v>
      </c>
      <c r="F500" s="6" t="n">
        <v>-0.8850484360866833</v>
      </c>
      <c r="G500" s="5" t="n">
        <v>1</v>
      </c>
      <c r="H500" s="5" t="n">
        <v>0</v>
      </c>
      <c r="I500" s="5" t="n">
        <v>0</v>
      </c>
      <c r="J500" s="5" t="n">
        <v>0</v>
      </c>
      <c r="K500" s="5" t="n">
        <v>0</v>
      </c>
      <c r="L500" s="5" t="n">
        <v>0</v>
      </c>
      <c r="M500" s="5" t="n">
        <v>0</v>
      </c>
      <c r="N500" s="5" t="n">
        <v>0</v>
      </c>
      <c r="O500" s="5" t="n">
        <v>1</v>
      </c>
      <c r="P500" s="5" t="n">
        <v>0</v>
      </c>
      <c r="Q500" s="5" t="n">
        <v>0</v>
      </c>
      <c r="R500" s="5" t="n">
        <v>0</v>
      </c>
      <c r="S500" s="5" t="n">
        <v>0</v>
      </c>
      <c r="T500" s="5" t="n">
        <v>1</v>
      </c>
      <c r="U500" s="5" t="inlineStr">
        <is>
          <t>testing</t>
        </is>
      </c>
    </row>
    <row r="501">
      <c r="A501" s="5" t="n">
        <v>497</v>
      </c>
      <c r="B501" s="5" t="n">
        <v>1</v>
      </c>
      <c r="C501" s="6" t="n">
        <v>1.286513816310289</v>
      </c>
      <c r="D501" s="6" t="n">
        <v>2.023536193061721</v>
      </c>
      <c r="E501" s="6" t="n">
        <v>-0.5688035553649698</v>
      </c>
      <c r="F501" s="6" t="n">
        <v>0.9185437189662378</v>
      </c>
      <c r="G501" s="5" t="n">
        <v>0</v>
      </c>
      <c r="H501" s="5" t="n">
        <v>1</v>
      </c>
      <c r="I501" s="5" t="n">
        <v>0</v>
      </c>
      <c r="J501" s="5" t="n">
        <v>0</v>
      </c>
      <c r="K501" s="5" t="n">
        <v>0</v>
      </c>
      <c r="L501" s="5" t="n">
        <v>0</v>
      </c>
      <c r="M501" s="5" t="n">
        <v>1</v>
      </c>
      <c r="N501" s="5" t="n">
        <v>0</v>
      </c>
      <c r="O501" s="5" t="n">
        <v>0</v>
      </c>
      <c r="P501" s="5" t="n">
        <v>1</v>
      </c>
      <c r="Q501" s="5" t="n">
        <v>0</v>
      </c>
      <c r="R501" s="5" t="n">
        <v>0</v>
      </c>
      <c r="S501" s="5" t="n">
        <v>0</v>
      </c>
      <c r="T501" s="5" t="n">
        <v>1</v>
      </c>
      <c r="U501" s="5" t="inlineStr">
        <is>
          <t>testing</t>
        </is>
      </c>
    </row>
    <row r="502">
      <c r="A502" s="5" t="n">
        <v>498</v>
      </c>
      <c r="B502" s="5" t="n">
        <v>0</v>
      </c>
      <c r="C502" s="6" t="n">
        <v>0.275406400796963</v>
      </c>
      <c r="D502" s="6" t="n">
        <v>-0.5828148404383398</v>
      </c>
      <c r="E502" s="6" t="n">
        <v>0.3878996723131141</v>
      </c>
      <c r="F502" s="6" t="n">
        <v>0.9185437189662378</v>
      </c>
      <c r="G502" s="5" t="n">
        <v>0</v>
      </c>
      <c r="H502" s="5" t="n">
        <v>0</v>
      </c>
      <c r="I502" s="5" t="n">
        <v>0</v>
      </c>
      <c r="J502" s="5" t="n">
        <v>1</v>
      </c>
      <c r="K502" s="5" t="n">
        <v>0</v>
      </c>
      <c r="L502" s="5" t="n">
        <v>0</v>
      </c>
      <c r="M502" s="5" t="n">
        <v>0</v>
      </c>
      <c r="N502" s="5" t="n">
        <v>0</v>
      </c>
      <c r="O502" s="5" t="n">
        <v>0</v>
      </c>
      <c r="P502" s="5" t="n">
        <v>0</v>
      </c>
      <c r="Q502" s="5" t="n">
        <v>0</v>
      </c>
      <c r="R502" s="5" t="n">
        <v>0</v>
      </c>
      <c r="S502" s="5" t="n">
        <v>0</v>
      </c>
      <c r="T502" s="5" t="n">
        <v>1</v>
      </c>
      <c r="U502" s="5" t="inlineStr">
        <is>
          <t>testing</t>
        </is>
      </c>
    </row>
    <row r="503">
      <c r="A503" s="5" t="n">
        <v>499</v>
      </c>
      <c r="B503" s="5" t="n">
        <v>0</v>
      </c>
      <c r="C503" s="6" t="n">
        <v>-0.2301473069597001</v>
      </c>
      <c r="D503" s="6" t="n">
        <v>-0.6821843791031292</v>
      </c>
      <c r="E503" s="6" t="n">
        <v>-0.307884493270947</v>
      </c>
      <c r="F503" s="6" t="n">
        <v>0.9185437189662378</v>
      </c>
      <c r="G503" s="5" t="n">
        <v>0</v>
      </c>
      <c r="H503" s="5" t="n">
        <v>1</v>
      </c>
      <c r="I503" s="5" t="n">
        <v>0</v>
      </c>
      <c r="J503" s="5" t="n">
        <v>0</v>
      </c>
      <c r="K503" s="5" t="n">
        <v>0</v>
      </c>
      <c r="L503" s="5" t="n">
        <v>0</v>
      </c>
      <c r="M503" s="5" t="n">
        <v>0</v>
      </c>
      <c r="N503" s="5" t="n">
        <v>0</v>
      </c>
      <c r="O503" s="5" t="n">
        <v>0</v>
      </c>
      <c r="P503" s="5" t="n">
        <v>0</v>
      </c>
      <c r="Q503" s="5" t="n">
        <v>0</v>
      </c>
      <c r="R503" s="5" t="n">
        <v>0</v>
      </c>
      <c r="S503" s="5" t="n">
        <v>1</v>
      </c>
      <c r="T503" s="5" t="n">
        <v>0</v>
      </c>
      <c r="U503" s="5" t="inlineStr">
        <is>
          <t>training</t>
        </is>
      </c>
    </row>
    <row r="504">
      <c r="A504" s="5" t="n">
        <v>500</v>
      </c>
      <c r="B504" s="5" t="n">
        <v>0</v>
      </c>
      <c r="C504" s="6" t="n">
        <v>-1.241254722473026</v>
      </c>
      <c r="D504" s="6" t="n">
        <v>-0.6744867387840259</v>
      </c>
      <c r="E504" s="6" t="n">
        <v>-0.6557765760629775</v>
      </c>
      <c r="F504" s="6" t="n">
        <v>-0.8850484360866833</v>
      </c>
      <c r="G504" s="5" t="n">
        <v>0</v>
      </c>
      <c r="H504" s="5" t="n">
        <v>0</v>
      </c>
      <c r="I504" s="5" t="n">
        <v>1</v>
      </c>
      <c r="J504" s="5" t="n">
        <v>1</v>
      </c>
      <c r="K504" s="5" t="n">
        <v>0</v>
      </c>
      <c r="L504" s="5" t="n">
        <v>0</v>
      </c>
      <c r="M504" s="5" t="n">
        <v>1</v>
      </c>
      <c r="N504" s="5" t="n">
        <v>0</v>
      </c>
      <c r="O504" s="5" t="n">
        <v>0</v>
      </c>
      <c r="P504" s="5" t="n">
        <v>0</v>
      </c>
      <c r="Q504" s="5" t="n">
        <v>0</v>
      </c>
      <c r="R504" s="5" t="n">
        <v>1</v>
      </c>
      <c r="S504" s="5" t="n">
        <v>0</v>
      </c>
      <c r="T504" s="5" t="n">
        <v>0</v>
      </c>
      <c r="U504" s="5" t="inlineStr">
        <is>
          <t>training</t>
        </is>
      </c>
    </row>
    <row r="505">
      <c r="A505" s="5" t="n">
        <v>501</v>
      </c>
      <c r="B505" s="5" t="n">
        <v>1</v>
      </c>
      <c r="C505" s="6" t="n">
        <v>0.275406400796963</v>
      </c>
      <c r="D505" s="6" t="n">
        <v>-0.04467980358465557</v>
      </c>
      <c r="E505" s="6" t="n">
        <v>-0.7427495967609852</v>
      </c>
      <c r="F505" s="6" t="n">
        <v>0.9185437189662378</v>
      </c>
      <c r="G505" s="5" t="n">
        <v>1</v>
      </c>
      <c r="H505" s="5" t="n">
        <v>0</v>
      </c>
      <c r="I505" s="5" t="n">
        <v>0</v>
      </c>
      <c r="J505" s="5" t="n">
        <v>0</v>
      </c>
      <c r="K505" s="5" t="n">
        <v>0</v>
      </c>
      <c r="L505" s="5" t="n">
        <v>0</v>
      </c>
      <c r="M505" s="5" t="n">
        <v>0</v>
      </c>
      <c r="N505" s="5" t="n">
        <v>0</v>
      </c>
      <c r="O505" s="5" t="n">
        <v>0</v>
      </c>
      <c r="P505" s="5" t="n">
        <v>0</v>
      </c>
      <c r="Q505" s="5" t="n">
        <v>0</v>
      </c>
      <c r="R505" s="5" t="n">
        <v>1</v>
      </c>
      <c r="S505" s="5" t="n">
        <v>0</v>
      </c>
      <c r="T505" s="5" t="n">
        <v>0</v>
      </c>
      <c r="U505" s="5" t="inlineStr">
        <is>
          <t>training</t>
        </is>
      </c>
    </row>
    <row r="506">
      <c r="A506" s="5" t="n">
        <v>502</v>
      </c>
      <c r="B506" s="5" t="n">
        <v>0</v>
      </c>
      <c r="C506" s="6" t="n">
        <v>1.286513816310289</v>
      </c>
      <c r="D506" s="6" t="n">
        <v>0.7845659944278487</v>
      </c>
      <c r="E506" s="6" t="n">
        <v>0.5618457137091294</v>
      </c>
      <c r="F506" s="6" t="n">
        <v>-0.8850484360866833</v>
      </c>
      <c r="G506" s="5" t="n">
        <v>1</v>
      </c>
      <c r="H506" s="5" t="n">
        <v>0</v>
      </c>
      <c r="I506" s="5" t="n">
        <v>0</v>
      </c>
      <c r="J506" s="5" t="n">
        <v>0</v>
      </c>
      <c r="K506" s="5" t="n">
        <v>0</v>
      </c>
      <c r="L506" s="5" t="n">
        <v>0</v>
      </c>
      <c r="M506" s="5" t="n">
        <v>0</v>
      </c>
      <c r="N506" s="5" t="n">
        <v>0</v>
      </c>
      <c r="O506" s="5" t="n">
        <v>0</v>
      </c>
      <c r="P506" s="5" t="n">
        <v>0</v>
      </c>
      <c r="Q506" s="5" t="n">
        <v>1</v>
      </c>
      <c r="R506" s="5" t="n">
        <v>1</v>
      </c>
      <c r="S506" s="5" t="n">
        <v>0</v>
      </c>
      <c r="T506" s="5" t="n">
        <v>0</v>
      </c>
      <c r="U506" s="5" t="inlineStr">
        <is>
          <t>training</t>
        </is>
      </c>
    </row>
    <row r="507">
      <c r="A507" s="5" t="n">
        <v>503</v>
      </c>
      <c r="B507" s="5" t="n">
        <v>0</v>
      </c>
      <c r="C507" s="6" t="n">
        <v>-0.9884778685946948</v>
      </c>
      <c r="D507" s="6" t="n">
        <v>-0.7434156089141791</v>
      </c>
      <c r="E507" s="6" t="n">
        <v>1.170656858595183</v>
      </c>
      <c r="F507" s="6" t="n">
        <v>-0.8850484360866833</v>
      </c>
      <c r="G507" s="5" t="n">
        <v>0</v>
      </c>
      <c r="H507" s="5" t="n">
        <v>0</v>
      </c>
      <c r="I507" s="5" t="n">
        <v>1</v>
      </c>
      <c r="J507" s="5" t="n">
        <v>0</v>
      </c>
      <c r="K507" s="5" t="n">
        <v>0</v>
      </c>
      <c r="L507" s="5" t="n">
        <v>0</v>
      </c>
      <c r="M507" s="5" t="n">
        <v>1</v>
      </c>
      <c r="N507" s="5" t="n">
        <v>0</v>
      </c>
      <c r="O507" s="5" t="n">
        <v>0</v>
      </c>
      <c r="P507" s="5" t="n">
        <v>0</v>
      </c>
      <c r="Q507" s="5" t="n">
        <v>0</v>
      </c>
      <c r="R507" s="5" t="n">
        <v>0</v>
      </c>
      <c r="S507" s="5" t="n">
        <v>1</v>
      </c>
      <c r="T507" s="5" t="n">
        <v>0</v>
      </c>
      <c r="U507" s="5" t="inlineStr">
        <is>
          <t>training</t>
        </is>
      </c>
    </row>
    <row r="508">
      <c r="A508" s="5" t="n">
        <v>504</v>
      </c>
      <c r="B508" s="5" t="n">
        <v>1</v>
      </c>
      <c r="C508" s="6" t="n">
        <v>0.275406400796963</v>
      </c>
      <c r="D508" s="6" t="n">
        <v>-0.7119252621542107</v>
      </c>
      <c r="E508" s="6" t="n">
        <v>0.2139536309170988</v>
      </c>
      <c r="F508" s="6" t="n">
        <v>0.9185437189662378</v>
      </c>
      <c r="G508" s="5" t="n">
        <v>0</v>
      </c>
      <c r="H508" s="5" t="n">
        <v>1</v>
      </c>
      <c r="I508" s="5" t="n">
        <v>0</v>
      </c>
      <c r="J508" s="5" t="n">
        <v>1</v>
      </c>
      <c r="K508" s="5" t="n">
        <v>0</v>
      </c>
      <c r="L508" s="5" t="n">
        <v>0</v>
      </c>
      <c r="M508" s="5" t="n">
        <v>1</v>
      </c>
      <c r="N508" s="5" t="n">
        <v>0</v>
      </c>
      <c r="O508" s="5" t="n">
        <v>0</v>
      </c>
      <c r="P508" s="5" t="n">
        <v>0</v>
      </c>
      <c r="Q508" s="5" t="n">
        <v>0</v>
      </c>
      <c r="R508" s="5" t="n">
        <v>0</v>
      </c>
      <c r="S508" s="5" t="n">
        <v>1</v>
      </c>
      <c r="T508" s="5" t="n">
        <v>0</v>
      </c>
      <c r="U508" s="5" t="inlineStr">
        <is>
          <t>training</t>
        </is>
      </c>
    </row>
    <row r="509">
      <c r="A509" s="5" t="n">
        <v>505</v>
      </c>
      <c r="B509" s="5" t="n">
        <v>1</v>
      </c>
      <c r="C509" s="6" t="n">
        <v>0.275406400796963</v>
      </c>
      <c r="D509" s="6" t="n">
        <v>-0.7150742968302075</v>
      </c>
      <c r="E509" s="6" t="n">
        <v>-1.003668658855008</v>
      </c>
      <c r="F509" s="6" t="n">
        <v>0.9185437189662378</v>
      </c>
      <c r="G509" s="5" t="n">
        <v>1</v>
      </c>
      <c r="H509" s="5" t="n">
        <v>0</v>
      </c>
      <c r="I509" s="5" t="n">
        <v>0</v>
      </c>
      <c r="J509" s="5" t="n">
        <v>0</v>
      </c>
      <c r="K509" s="5" t="n">
        <v>0</v>
      </c>
      <c r="L509" s="5" t="n">
        <v>0</v>
      </c>
      <c r="M509" s="5" t="n">
        <v>0</v>
      </c>
      <c r="N509" s="5" t="n">
        <v>0</v>
      </c>
      <c r="O509" s="5" t="n">
        <v>0</v>
      </c>
      <c r="P509" s="5" t="n">
        <v>1</v>
      </c>
      <c r="Q509" s="5" t="n">
        <v>0</v>
      </c>
      <c r="R509" s="5" t="n">
        <v>1</v>
      </c>
      <c r="S509" s="5" t="n">
        <v>0</v>
      </c>
      <c r="T509" s="5" t="n">
        <v>0</v>
      </c>
      <c r="U509" s="5" t="inlineStr">
        <is>
          <t>testing</t>
        </is>
      </c>
    </row>
    <row r="510">
      <c r="A510" s="5" t="n">
        <v>506</v>
      </c>
      <c r="B510" s="5" t="n">
        <v>1</v>
      </c>
      <c r="C510" s="6" t="n">
        <v>-0.9042189173019176</v>
      </c>
      <c r="D510" s="6" t="n">
        <v>-0.6793852371689099</v>
      </c>
      <c r="E510" s="6" t="n">
        <v>-0.7427495967609852</v>
      </c>
      <c r="F510" s="6" t="n">
        <v>0.9185437189662378</v>
      </c>
      <c r="G510" s="5" t="n">
        <v>0</v>
      </c>
      <c r="H510" s="5" t="n">
        <v>0</v>
      </c>
      <c r="I510" s="5" t="n">
        <v>0</v>
      </c>
      <c r="J510" s="5" t="n">
        <v>0</v>
      </c>
      <c r="K510" s="5" t="n">
        <v>0</v>
      </c>
      <c r="L510" s="5" t="n">
        <v>0</v>
      </c>
      <c r="M510" s="5" t="n">
        <v>0</v>
      </c>
      <c r="N510" s="5" t="n">
        <v>0</v>
      </c>
      <c r="O510" s="5" t="n">
        <v>1</v>
      </c>
      <c r="P510" s="5" t="n">
        <v>0</v>
      </c>
      <c r="Q510" s="5" t="n">
        <v>0</v>
      </c>
      <c r="R510" s="5" t="n">
        <v>1</v>
      </c>
      <c r="S510" s="5" t="n">
        <v>0</v>
      </c>
      <c r="T510" s="5" t="n">
        <v>0</v>
      </c>
      <c r="U510" s="5" t="inlineStr">
        <is>
          <t>training</t>
        </is>
      </c>
    </row>
    <row r="511">
      <c r="A511" s="5" t="n">
        <v>507</v>
      </c>
      <c r="B511" s="5" t="n">
        <v>0</v>
      </c>
      <c r="C511" s="6" t="n">
        <v>-0.4829241608380317</v>
      </c>
      <c r="D511" s="6" t="n">
        <v>-0.3116479655608331</v>
      </c>
      <c r="E511" s="6" t="n">
        <v>0.04000758952108359</v>
      </c>
      <c r="F511" s="6" t="n">
        <v>-0.8850484360866833</v>
      </c>
      <c r="G511" s="5" t="n">
        <v>0</v>
      </c>
      <c r="H511" s="5" t="n">
        <v>0</v>
      </c>
      <c r="I511" s="5" t="n">
        <v>1</v>
      </c>
      <c r="J511" s="5" t="n">
        <v>1</v>
      </c>
      <c r="K511" s="5" t="n">
        <v>0</v>
      </c>
      <c r="L511" s="5" t="n">
        <v>0</v>
      </c>
      <c r="M511" s="5" t="n">
        <v>1</v>
      </c>
      <c r="N511" s="5" t="n">
        <v>0</v>
      </c>
      <c r="O511" s="5" t="n">
        <v>0</v>
      </c>
      <c r="P511" s="5" t="n">
        <v>0</v>
      </c>
      <c r="Q511" s="5" t="n">
        <v>0</v>
      </c>
      <c r="R511" s="5" t="n">
        <v>1</v>
      </c>
      <c r="S511" s="5" t="n">
        <v>0</v>
      </c>
      <c r="T511" s="5" t="n">
        <v>0</v>
      </c>
      <c r="U511" s="5" t="inlineStr">
        <is>
          <t>training</t>
        </is>
      </c>
    </row>
    <row r="512">
      <c r="A512" s="5" t="n">
        <v>508</v>
      </c>
      <c r="B512" s="5" t="n">
        <v>1</v>
      </c>
      <c r="C512" s="6" t="n">
        <v>-0.4829241608380317</v>
      </c>
      <c r="D512" s="6" t="n">
        <v>1.259370445019818</v>
      </c>
      <c r="E512" s="6" t="n">
        <v>-0.1339384518749317</v>
      </c>
      <c r="F512" s="6" t="n">
        <v>-1.786844513613144</v>
      </c>
      <c r="G512" s="5" t="n">
        <v>0</v>
      </c>
      <c r="H512" s="5" t="n">
        <v>1</v>
      </c>
      <c r="I512" s="5" t="n">
        <v>0</v>
      </c>
      <c r="J512" s="5" t="n">
        <v>0</v>
      </c>
      <c r="K512" s="5" t="n">
        <v>0</v>
      </c>
      <c r="L512" s="5" t="n">
        <v>1</v>
      </c>
      <c r="M512" s="5" t="n">
        <v>1</v>
      </c>
      <c r="N512" s="5" t="n">
        <v>0</v>
      </c>
      <c r="O512" s="5" t="n">
        <v>0</v>
      </c>
      <c r="P512" s="5" t="n">
        <v>0</v>
      </c>
      <c r="Q512" s="5" t="n">
        <v>0</v>
      </c>
      <c r="R512" s="5" t="n">
        <v>1</v>
      </c>
      <c r="S512" s="5" t="n">
        <v>0</v>
      </c>
      <c r="T512" s="5" t="n">
        <v>0</v>
      </c>
      <c r="U512" s="5" t="inlineStr">
        <is>
          <t>testing</t>
        </is>
      </c>
    </row>
    <row r="513">
      <c r="A513" s="5" t="n">
        <v>509</v>
      </c>
      <c r="B513" s="5" t="n">
        <v>0</v>
      </c>
      <c r="C513" s="6" t="n">
        <v>0.275406400796963</v>
      </c>
      <c r="D513" s="6" t="n">
        <v>-0.6429963920240573</v>
      </c>
      <c r="E513" s="6" t="n">
        <v>-0.6557765760629775</v>
      </c>
      <c r="F513" s="6" t="n">
        <v>0.9185437189662378</v>
      </c>
      <c r="G513" s="5" t="n">
        <v>0</v>
      </c>
      <c r="H513" s="5" t="n">
        <v>0</v>
      </c>
      <c r="I513" s="5" t="n">
        <v>0</v>
      </c>
      <c r="J513" s="5" t="n">
        <v>0</v>
      </c>
      <c r="K513" s="5" t="n">
        <v>0</v>
      </c>
      <c r="L513" s="5" t="n">
        <v>0</v>
      </c>
      <c r="M513" s="5" t="n">
        <v>0</v>
      </c>
      <c r="N513" s="5" t="n">
        <v>0</v>
      </c>
      <c r="O513" s="5" t="n">
        <v>0</v>
      </c>
      <c r="P513" s="5" t="n">
        <v>0</v>
      </c>
      <c r="Q513" s="5" t="n">
        <v>0</v>
      </c>
      <c r="R513" s="5" t="n">
        <v>0</v>
      </c>
      <c r="S513" s="5" t="n">
        <v>1</v>
      </c>
      <c r="T513" s="5" t="n">
        <v>0</v>
      </c>
      <c r="U513" s="5" t="inlineStr">
        <is>
          <t>training</t>
        </is>
      </c>
    </row>
    <row r="514">
      <c r="A514" s="5" t="n">
        <v>510</v>
      </c>
      <c r="B514" s="5" t="n">
        <v>0</v>
      </c>
      <c r="C514" s="6" t="n">
        <v>1.539290670188621</v>
      </c>
      <c r="D514" s="6" t="n">
        <v>1.867484030228988</v>
      </c>
      <c r="E514" s="6" t="n">
        <v>0.8227647758031523</v>
      </c>
      <c r="F514" s="6" t="n">
        <v>0.9185437189662378</v>
      </c>
      <c r="G514" s="5" t="n">
        <v>0</v>
      </c>
      <c r="H514" s="5" t="n">
        <v>0</v>
      </c>
      <c r="I514" s="5" t="n">
        <v>0</v>
      </c>
      <c r="J514" s="5" t="n">
        <v>0</v>
      </c>
      <c r="K514" s="5" t="n">
        <v>0</v>
      </c>
      <c r="L514" s="5" t="n">
        <v>0</v>
      </c>
      <c r="M514" s="5" t="n">
        <v>1</v>
      </c>
      <c r="N514" s="5" t="n">
        <v>0</v>
      </c>
      <c r="O514" s="5" t="n">
        <v>0</v>
      </c>
      <c r="P514" s="5" t="n">
        <v>0</v>
      </c>
      <c r="Q514" s="5" t="n">
        <v>0</v>
      </c>
      <c r="R514" s="5" t="n">
        <v>1</v>
      </c>
      <c r="S514" s="5" t="n">
        <v>0</v>
      </c>
      <c r="T514" s="5" t="n">
        <v>0</v>
      </c>
      <c r="U514" s="5" t="inlineStr">
        <is>
          <t>training</t>
        </is>
      </c>
    </row>
    <row r="515">
      <c r="A515" s="5" t="n">
        <v>511</v>
      </c>
      <c r="B515" s="5" t="n">
        <v>1</v>
      </c>
      <c r="C515" s="6" t="n">
        <v>-0.7357010147163632</v>
      </c>
      <c r="D515" s="6" t="n">
        <v>-0.8718262451464952</v>
      </c>
      <c r="E515" s="6" t="n">
        <v>-0.8297226174589928</v>
      </c>
      <c r="F515" s="6" t="n">
        <v>0.9185437189662378</v>
      </c>
      <c r="G515" s="5" t="n">
        <v>1</v>
      </c>
      <c r="H515" s="5" t="n">
        <v>0</v>
      </c>
      <c r="I515" s="5" t="n">
        <v>0</v>
      </c>
      <c r="J515" s="5" t="n">
        <v>0</v>
      </c>
      <c r="K515" s="5" t="n">
        <v>0</v>
      </c>
      <c r="L515" s="5" t="n">
        <v>0</v>
      </c>
      <c r="M515" s="5" t="n">
        <v>0</v>
      </c>
      <c r="N515" s="5" t="n">
        <v>0</v>
      </c>
      <c r="O515" s="5" t="n">
        <v>0</v>
      </c>
      <c r="P515" s="5" t="n">
        <v>0</v>
      </c>
      <c r="Q515" s="5" t="n">
        <v>0</v>
      </c>
      <c r="R515" s="5" t="n">
        <v>1</v>
      </c>
      <c r="S515" s="5" t="n">
        <v>0</v>
      </c>
      <c r="T515" s="5" t="n">
        <v>0</v>
      </c>
      <c r="U515" s="5" t="inlineStr">
        <is>
          <t>training</t>
        </is>
      </c>
    </row>
    <row r="516">
      <c r="A516" s="5" t="n">
        <v>512</v>
      </c>
      <c r="B516" s="5" t="n">
        <v>0</v>
      </c>
      <c r="C516" s="6" t="n">
        <v>1.286513816310289</v>
      </c>
      <c r="D516" s="6" t="n">
        <v>0.5022025518134643</v>
      </c>
      <c r="E516" s="6" t="n">
        <v>-0.307884493270947</v>
      </c>
      <c r="F516" s="6" t="n">
        <v>-0.8850484360866833</v>
      </c>
      <c r="G516" s="5" t="n">
        <v>0</v>
      </c>
      <c r="H516" s="5" t="n">
        <v>0</v>
      </c>
      <c r="I516" s="5" t="n">
        <v>0</v>
      </c>
      <c r="J516" s="5" t="n">
        <v>0</v>
      </c>
      <c r="K516" s="5" t="n">
        <v>0</v>
      </c>
      <c r="L516" s="5" t="n">
        <v>0</v>
      </c>
      <c r="M516" s="5" t="n">
        <v>0</v>
      </c>
      <c r="N516" s="5" t="n">
        <v>0</v>
      </c>
      <c r="O516" s="5" t="n">
        <v>0</v>
      </c>
      <c r="P516" s="5" t="n">
        <v>0</v>
      </c>
      <c r="Q516" s="5" t="n">
        <v>1</v>
      </c>
      <c r="R516" s="5" t="n">
        <v>1</v>
      </c>
      <c r="S516" s="5" t="n">
        <v>0</v>
      </c>
      <c r="T516" s="5" t="n">
        <v>0</v>
      </c>
      <c r="U516" s="5" t="inlineStr">
        <is>
          <t>training</t>
        </is>
      </c>
    </row>
    <row r="517">
      <c r="A517" s="5" t="n">
        <v>513</v>
      </c>
      <c r="B517" s="5" t="n">
        <v>0</v>
      </c>
      <c r="C517" s="6" t="n">
        <v>-0.4829241608380317</v>
      </c>
      <c r="D517" s="6" t="n">
        <v>-0.1972330389996142</v>
      </c>
      <c r="E517" s="6" t="n">
        <v>-0.8297226174589928</v>
      </c>
      <c r="F517" s="6" t="n">
        <v>-0.8850484360866833</v>
      </c>
      <c r="G517" s="5" t="n">
        <v>0</v>
      </c>
      <c r="H517" s="5" t="n">
        <v>0</v>
      </c>
      <c r="I517" s="5" t="n">
        <v>1</v>
      </c>
      <c r="J517" s="5" t="n">
        <v>0</v>
      </c>
      <c r="K517" s="5" t="n">
        <v>0</v>
      </c>
      <c r="L517" s="5" t="n">
        <v>0</v>
      </c>
      <c r="M517" s="5" t="n">
        <v>0</v>
      </c>
      <c r="N517" s="5" t="n">
        <v>0</v>
      </c>
      <c r="O517" s="5" t="n">
        <v>0</v>
      </c>
      <c r="P517" s="5" t="n">
        <v>1</v>
      </c>
      <c r="Q517" s="5" t="n">
        <v>0</v>
      </c>
      <c r="R517" s="5" t="n">
        <v>0</v>
      </c>
      <c r="S517" s="5" t="n">
        <v>0</v>
      </c>
      <c r="T517" s="5" t="n">
        <v>0</v>
      </c>
      <c r="U517" s="5" t="inlineStr">
        <is>
          <t>training</t>
        </is>
      </c>
    </row>
    <row r="518">
      <c r="A518" s="5" t="n">
        <v>514</v>
      </c>
      <c r="B518" s="5" t="n">
        <v>0</v>
      </c>
      <c r="C518" s="6" t="n">
        <v>-0.7357010147163632</v>
      </c>
      <c r="D518" s="6" t="n">
        <v>-0.9327075822157677</v>
      </c>
      <c r="E518" s="6" t="n">
        <v>-1.351560741647039</v>
      </c>
      <c r="F518" s="6" t="n">
        <v>0.9185437189662378</v>
      </c>
      <c r="G518" s="5" t="n">
        <v>0</v>
      </c>
      <c r="H518" s="5" t="n">
        <v>1</v>
      </c>
      <c r="I518" s="5" t="n">
        <v>0</v>
      </c>
      <c r="J518" s="5" t="n">
        <v>0</v>
      </c>
      <c r="K518" s="5" t="n">
        <v>1</v>
      </c>
      <c r="L518" s="5" t="n">
        <v>0</v>
      </c>
      <c r="M518" s="5" t="n">
        <v>0</v>
      </c>
      <c r="N518" s="5" t="n">
        <v>0</v>
      </c>
      <c r="O518" s="5" t="n">
        <v>0</v>
      </c>
      <c r="P518" s="5" t="n">
        <v>1</v>
      </c>
      <c r="Q518" s="5" t="n">
        <v>0</v>
      </c>
      <c r="R518" s="5" t="n">
        <v>0</v>
      </c>
      <c r="S518" s="5" t="n">
        <v>1</v>
      </c>
      <c r="T518" s="5" t="n">
        <v>0</v>
      </c>
      <c r="U518" s="5" t="inlineStr">
        <is>
          <t>training</t>
        </is>
      </c>
    </row>
    <row r="519">
      <c r="A519" s="5" t="n">
        <v>515</v>
      </c>
      <c r="B519" s="5" t="n">
        <v>0</v>
      </c>
      <c r="C519" s="6" t="n">
        <v>0.275406400796963</v>
      </c>
      <c r="D519" s="6" t="n">
        <v>-0.348386703447463</v>
      </c>
      <c r="E519" s="6" t="n">
        <v>1.605521962085221</v>
      </c>
      <c r="F519" s="6" t="n">
        <v>0.9185437189662378</v>
      </c>
      <c r="G519" s="5" t="n">
        <v>0</v>
      </c>
      <c r="H519" s="5" t="n">
        <v>0</v>
      </c>
      <c r="I519" s="5" t="n">
        <v>0</v>
      </c>
      <c r="J519" s="5" t="n">
        <v>0</v>
      </c>
      <c r="K519" s="5" t="n">
        <v>0</v>
      </c>
      <c r="L519" s="5" t="n">
        <v>0</v>
      </c>
      <c r="M519" s="5" t="n">
        <v>0</v>
      </c>
      <c r="N519" s="5" t="n">
        <v>0</v>
      </c>
      <c r="O519" s="5" t="n">
        <v>1</v>
      </c>
      <c r="P519" s="5" t="n">
        <v>0</v>
      </c>
      <c r="Q519" s="5" t="n">
        <v>0</v>
      </c>
      <c r="R519" s="5" t="n">
        <v>1</v>
      </c>
      <c r="S519" s="5" t="n">
        <v>0</v>
      </c>
      <c r="T519" s="5" t="n">
        <v>0</v>
      </c>
      <c r="U519" s="5" t="inlineStr">
        <is>
          <t>training</t>
        </is>
      </c>
    </row>
    <row r="520">
      <c r="A520" s="5" t="n">
        <v>516</v>
      </c>
      <c r="B520" s="5" t="n">
        <v>0</v>
      </c>
      <c r="C520" s="6" t="n">
        <v>-1.241254722473026</v>
      </c>
      <c r="D520" s="6" t="n">
        <v>-0.9243101564131094</v>
      </c>
      <c r="E520" s="6" t="n">
        <v>0.1269806102190912</v>
      </c>
      <c r="F520" s="6" t="n">
        <v>0.9185437189662378</v>
      </c>
      <c r="G520" s="5" t="n">
        <v>1</v>
      </c>
      <c r="H520" s="5" t="n">
        <v>0</v>
      </c>
      <c r="I520" s="5" t="n">
        <v>0</v>
      </c>
      <c r="J520" s="5" t="n">
        <v>1</v>
      </c>
      <c r="K520" s="5" t="n">
        <v>0</v>
      </c>
      <c r="L520" s="5" t="n">
        <v>0</v>
      </c>
      <c r="M520" s="5" t="n">
        <v>0</v>
      </c>
      <c r="N520" s="5" t="n">
        <v>0</v>
      </c>
      <c r="O520" s="5" t="n">
        <v>0</v>
      </c>
      <c r="P520" s="5" t="n">
        <v>0</v>
      </c>
      <c r="Q520" s="5" t="n">
        <v>0</v>
      </c>
      <c r="R520" s="5" t="n">
        <v>1</v>
      </c>
      <c r="S520" s="5" t="n">
        <v>0</v>
      </c>
      <c r="T520" s="5" t="n">
        <v>0</v>
      </c>
      <c r="U520" s="5" t="inlineStr">
        <is>
          <t>testing</t>
        </is>
      </c>
    </row>
    <row r="521">
      <c r="A521" s="5" t="n">
        <v>517</v>
      </c>
      <c r="B521" s="5" t="n">
        <v>0</v>
      </c>
      <c r="C521" s="6" t="n">
        <v>-1.241254722473026</v>
      </c>
      <c r="D521" s="6" t="n">
        <v>-0.6611908145964837</v>
      </c>
      <c r="E521" s="6" t="n">
        <v>0.3878996723131141</v>
      </c>
      <c r="F521" s="6" t="n">
        <v>-0.8850484360866833</v>
      </c>
      <c r="G521" s="5" t="n">
        <v>1</v>
      </c>
      <c r="H521" s="5" t="n">
        <v>0</v>
      </c>
      <c r="I521" s="5" t="n">
        <v>0</v>
      </c>
      <c r="J521" s="5" t="n">
        <v>1</v>
      </c>
      <c r="K521" s="5" t="n">
        <v>0</v>
      </c>
      <c r="L521" s="5" t="n">
        <v>0</v>
      </c>
      <c r="M521" s="5" t="n">
        <v>0</v>
      </c>
      <c r="N521" s="5" t="n">
        <v>0</v>
      </c>
      <c r="O521" s="5" t="n">
        <v>0</v>
      </c>
      <c r="P521" s="5" t="n">
        <v>0</v>
      </c>
      <c r="Q521" s="5" t="n">
        <v>0</v>
      </c>
      <c r="R521" s="5" t="n">
        <v>1</v>
      </c>
      <c r="S521" s="5" t="n">
        <v>0</v>
      </c>
      <c r="T521" s="5" t="n">
        <v>0</v>
      </c>
      <c r="U521" s="5" t="inlineStr">
        <is>
          <t>training</t>
        </is>
      </c>
    </row>
    <row r="522">
      <c r="A522" s="5" t="n">
        <v>518</v>
      </c>
      <c r="B522" s="5" t="n">
        <v>1</v>
      </c>
      <c r="C522" s="6" t="n">
        <v>1.286513816310289</v>
      </c>
      <c r="D522" s="6" t="n">
        <v>1.356290734492166</v>
      </c>
      <c r="E522" s="6" t="n">
        <v>-1.090641679553016</v>
      </c>
      <c r="F522" s="6" t="n">
        <v>-0.8850484360866833</v>
      </c>
      <c r="G522" s="5" t="n">
        <v>0</v>
      </c>
      <c r="H522" s="5" t="n">
        <v>0</v>
      </c>
      <c r="I522" s="5" t="n">
        <v>0</v>
      </c>
      <c r="J522" s="5" t="n">
        <v>1</v>
      </c>
      <c r="K522" s="5" t="n">
        <v>0</v>
      </c>
      <c r="L522" s="5" t="n">
        <v>0</v>
      </c>
      <c r="M522" s="5" t="n">
        <v>0</v>
      </c>
      <c r="N522" s="5" t="n">
        <v>0</v>
      </c>
      <c r="O522" s="5" t="n">
        <v>0</v>
      </c>
      <c r="P522" s="5" t="n">
        <v>1</v>
      </c>
      <c r="Q522" s="5" t="n">
        <v>0</v>
      </c>
      <c r="R522" s="5" t="n">
        <v>0</v>
      </c>
      <c r="S522" s="5" t="n">
        <v>0</v>
      </c>
      <c r="T522" s="5" t="n">
        <v>1</v>
      </c>
      <c r="U522" s="5" t="inlineStr">
        <is>
          <t>training</t>
        </is>
      </c>
    </row>
    <row r="523">
      <c r="A523" s="5" t="n">
        <v>519</v>
      </c>
      <c r="B523" s="5" t="n">
        <v>0</v>
      </c>
      <c r="C523" s="6" t="n">
        <v>-1.241254722473026</v>
      </c>
      <c r="D523" s="6" t="n">
        <v>-0.7164738677973173</v>
      </c>
      <c r="E523" s="6" t="n">
        <v>0.648818734407137</v>
      </c>
      <c r="F523" s="6" t="n">
        <v>0.01674764143977723</v>
      </c>
      <c r="G523" s="5" t="n">
        <v>1</v>
      </c>
      <c r="H523" s="5" t="n">
        <v>0</v>
      </c>
      <c r="I523" s="5" t="n">
        <v>0</v>
      </c>
      <c r="J523" s="5" t="n">
        <v>0</v>
      </c>
      <c r="K523" s="5" t="n">
        <v>0</v>
      </c>
      <c r="L523" s="5" t="n">
        <v>0</v>
      </c>
      <c r="M523" s="5" t="n">
        <v>1</v>
      </c>
      <c r="N523" s="5" t="n">
        <v>0</v>
      </c>
      <c r="O523" s="5" t="n">
        <v>0</v>
      </c>
      <c r="P523" s="5" t="n">
        <v>0</v>
      </c>
      <c r="Q523" s="5" t="n">
        <v>0</v>
      </c>
      <c r="R523" s="5" t="n">
        <v>1</v>
      </c>
      <c r="S523" s="5" t="n">
        <v>0</v>
      </c>
      <c r="T523" s="5" t="n">
        <v>0</v>
      </c>
      <c r="U523" s="5" t="inlineStr">
        <is>
          <t>training</t>
        </is>
      </c>
    </row>
    <row r="524">
      <c r="A524" s="5" t="n">
        <v>520</v>
      </c>
      <c r="B524" s="5" t="n">
        <v>0</v>
      </c>
      <c r="C524" s="6" t="n">
        <v>-1.241254722473026</v>
      </c>
      <c r="D524" s="6" t="n">
        <v>-0.8924699169113635</v>
      </c>
      <c r="E524" s="6" t="n">
        <v>0.04000758952108359</v>
      </c>
      <c r="F524" s="6" t="n">
        <v>0.9185437189662378</v>
      </c>
      <c r="G524" s="5" t="n">
        <v>0</v>
      </c>
      <c r="H524" s="5" t="n">
        <v>0</v>
      </c>
      <c r="I524" s="5" t="n">
        <v>0</v>
      </c>
      <c r="J524" s="5" t="n">
        <v>1</v>
      </c>
      <c r="K524" s="5" t="n">
        <v>0</v>
      </c>
      <c r="L524" s="5" t="n">
        <v>0</v>
      </c>
      <c r="M524" s="5" t="n">
        <v>0</v>
      </c>
      <c r="N524" s="5" t="n">
        <v>0</v>
      </c>
      <c r="O524" s="5" t="n">
        <v>1</v>
      </c>
      <c r="P524" s="5" t="n">
        <v>0</v>
      </c>
      <c r="Q524" s="5" t="n">
        <v>1</v>
      </c>
      <c r="R524" s="5" t="n">
        <v>0</v>
      </c>
      <c r="S524" s="5" t="n">
        <v>1</v>
      </c>
      <c r="T524" s="5" t="n">
        <v>0</v>
      </c>
      <c r="U524" s="5" t="inlineStr">
        <is>
          <t>testing</t>
        </is>
      </c>
    </row>
    <row r="525">
      <c r="A525" s="5" t="n">
        <v>521</v>
      </c>
      <c r="B525" s="5" t="n">
        <v>0</v>
      </c>
      <c r="C525" s="6" t="n">
        <v>0.275406400796963</v>
      </c>
      <c r="D525" s="6" t="n">
        <v>0.7894644928127327</v>
      </c>
      <c r="E525" s="6" t="n">
        <v>0.7357917551051447</v>
      </c>
      <c r="F525" s="6" t="n">
        <v>0.01674764143977723</v>
      </c>
      <c r="G525" s="5" t="n">
        <v>0</v>
      </c>
      <c r="H525" s="5" t="n">
        <v>0</v>
      </c>
      <c r="I525" s="5" t="n">
        <v>0</v>
      </c>
      <c r="J525" s="5" t="n">
        <v>1</v>
      </c>
      <c r="K525" s="5" t="n">
        <v>0</v>
      </c>
      <c r="L525" s="5" t="n">
        <v>0</v>
      </c>
      <c r="M525" s="5" t="n">
        <v>0</v>
      </c>
      <c r="N525" s="5" t="n">
        <v>0</v>
      </c>
      <c r="O525" s="5" t="n">
        <v>0</v>
      </c>
      <c r="P525" s="5" t="n">
        <v>0</v>
      </c>
      <c r="Q525" s="5" t="n">
        <v>1</v>
      </c>
      <c r="R525" s="5" t="n">
        <v>0</v>
      </c>
      <c r="S525" s="5" t="n">
        <v>0</v>
      </c>
      <c r="T525" s="5" t="n">
        <v>0</v>
      </c>
      <c r="U525" s="5" t="inlineStr">
        <is>
          <t>training</t>
        </is>
      </c>
    </row>
    <row r="526">
      <c r="A526" s="5" t="n">
        <v>522</v>
      </c>
      <c r="B526" s="5" t="n">
        <v>1</v>
      </c>
      <c r="C526" s="6" t="n">
        <v>-0.2301473069597001</v>
      </c>
      <c r="D526" s="6" t="n">
        <v>-0.0212369898855679</v>
      </c>
      <c r="E526" s="6" t="n">
        <v>-1.003668658855008</v>
      </c>
      <c r="F526" s="6" t="n">
        <v>-0.8850484360866833</v>
      </c>
      <c r="G526" s="5" t="n">
        <v>1</v>
      </c>
      <c r="H526" s="5" t="n">
        <v>0</v>
      </c>
      <c r="I526" s="5" t="n">
        <v>0</v>
      </c>
      <c r="J526" s="5" t="n">
        <v>0</v>
      </c>
      <c r="K526" s="5" t="n">
        <v>0</v>
      </c>
      <c r="L526" s="5" t="n">
        <v>0</v>
      </c>
      <c r="M526" s="5" t="n">
        <v>0</v>
      </c>
      <c r="N526" s="5" t="n">
        <v>0</v>
      </c>
      <c r="O526" s="5" t="n">
        <v>0</v>
      </c>
      <c r="P526" s="5" t="n">
        <v>0</v>
      </c>
      <c r="Q526" s="5" t="n">
        <v>0</v>
      </c>
      <c r="R526" s="5" t="n">
        <v>0</v>
      </c>
      <c r="S526" s="5" t="n">
        <v>1</v>
      </c>
      <c r="T526" s="5" t="n">
        <v>0</v>
      </c>
      <c r="U526" s="5" t="inlineStr">
        <is>
          <t>training</t>
        </is>
      </c>
    </row>
    <row r="527">
      <c r="A527" s="5" t="n">
        <v>523</v>
      </c>
      <c r="B527" s="5" t="n">
        <v>1</v>
      </c>
      <c r="C527" s="6" t="n">
        <v>2.297621231823615</v>
      </c>
      <c r="D527" s="6" t="n">
        <v>1.353491592557946</v>
      </c>
      <c r="E527" s="6" t="n">
        <v>1.518548941387213</v>
      </c>
      <c r="F527" s="6" t="n">
        <v>0.01674764143977723</v>
      </c>
      <c r="G527" s="5" t="n">
        <v>1</v>
      </c>
      <c r="H527" s="5" t="n">
        <v>0</v>
      </c>
      <c r="I527" s="5" t="n">
        <v>0</v>
      </c>
      <c r="J527" s="5" t="n">
        <v>0</v>
      </c>
      <c r="K527" s="5" t="n">
        <v>0</v>
      </c>
      <c r="L527" s="5" t="n">
        <v>1</v>
      </c>
      <c r="M527" s="5" t="n">
        <v>0</v>
      </c>
      <c r="N527" s="5" t="n">
        <v>0</v>
      </c>
      <c r="O527" s="5" t="n">
        <v>0</v>
      </c>
      <c r="P527" s="5" t="n">
        <v>0</v>
      </c>
      <c r="Q527" s="5" t="n">
        <v>1</v>
      </c>
      <c r="R527" s="5" t="n">
        <v>0</v>
      </c>
      <c r="S527" s="5" t="n">
        <v>0</v>
      </c>
      <c r="T527" s="5" t="n">
        <v>1</v>
      </c>
      <c r="U527" s="5" t="inlineStr">
        <is>
          <t>training</t>
        </is>
      </c>
    </row>
    <row r="528">
      <c r="A528" s="5" t="n">
        <v>524</v>
      </c>
      <c r="B528" s="5" t="n">
        <v>0</v>
      </c>
      <c r="C528" s="6" t="n">
        <v>0.275406400796963</v>
      </c>
      <c r="D528" s="6" t="n">
        <v>0.08303104716410563</v>
      </c>
      <c r="E528" s="6" t="n">
        <v>-1.090641679553016</v>
      </c>
      <c r="F528" s="6" t="n">
        <v>0.01674764143977723</v>
      </c>
      <c r="G528" s="5" t="n">
        <v>0</v>
      </c>
      <c r="H528" s="5" t="n">
        <v>0</v>
      </c>
      <c r="I528" s="5" t="n">
        <v>0</v>
      </c>
      <c r="J528" s="5" t="n">
        <v>0</v>
      </c>
      <c r="K528" s="5" t="n">
        <v>0</v>
      </c>
      <c r="L528" s="5" t="n">
        <v>0</v>
      </c>
      <c r="M528" s="5" t="n">
        <v>1</v>
      </c>
      <c r="N528" s="5" t="n">
        <v>0</v>
      </c>
      <c r="O528" s="5" t="n">
        <v>0</v>
      </c>
      <c r="P528" s="5" t="n">
        <v>0</v>
      </c>
      <c r="Q528" s="5" t="n">
        <v>0</v>
      </c>
      <c r="R528" s="5" t="n">
        <v>1</v>
      </c>
      <c r="S528" s="5" t="n">
        <v>0</v>
      </c>
      <c r="T528" s="5" t="n">
        <v>0</v>
      </c>
      <c r="U528" s="5" t="inlineStr">
        <is>
          <t>training</t>
        </is>
      </c>
    </row>
    <row r="529">
      <c r="A529" s="5" t="n">
        <v>525</v>
      </c>
      <c r="B529" s="5" t="n">
        <v>0</v>
      </c>
      <c r="C529" s="6" t="n">
        <v>-0.2301473069597001</v>
      </c>
      <c r="D529" s="6" t="n">
        <v>-0.7479642145572858</v>
      </c>
      <c r="E529" s="6" t="n">
        <v>-0.8297226174589928</v>
      </c>
      <c r="F529" s="6" t="n">
        <v>0.9185437189662378</v>
      </c>
      <c r="G529" s="5" t="n">
        <v>0</v>
      </c>
      <c r="H529" s="5" t="n">
        <v>1</v>
      </c>
      <c r="I529" s="5" t="n">
        <v>0</v>
      </c>
      <c r="J529" s="5" t="n">
        <v>0</v>
      </c>
      <c r="K529" s="5" t="n">
        <v>0</v>
      </c>
      <c r="L529" s="5" t="n">
        <v>0</v>
      </c>
      <c r="M529" s="5" t="n">
        <v>0</v>
      </c>
      <c r="N529" s="5" t="n">
        <v>0</v>
      </c>
      <c r="O529" s="5" t="n">
        <v>0</v>
      </c>
      <c r="P529" s="5" t="n">
        <v>0</v>
      </c>
      <c r="Q529" s="5" t="n">
        <v>0</v>
      </c>
      <c r="R529" s="5" t="n">
        <v>0</v>
      </c>
      <c r="S529" s="5" t="n">
        <v>1</v>
      </c>
      <c r="T529" s="5" t="n">
        <v>0</v>
      </c>
      <c r="U529" s="5" t="inlineStr">
        <is>
          <t>training</t>
        </is>
      </c>
    </row>
    <row r="530">
      <c r="A530" s="5" t="n">
        <v>526</v>
      </c>
      <c r="B530" s="5" t="n">
        <v>0</v>
      </c>
      <c r="C530" s="6" t="n">
        <v>0.4439243033825174</v>
      </c>
      <c r="D530" s="6" t="n">
        <v>1.649850744843428</v>
      </c>
      <c r="E530" s="6" t="n">
        <v>-0.4818305346669622</v>
      </c>
      <c r="F530" s="6" t="n">
        <v>-0.8850484360866833</v>
      </c>
      <c r="G530" s="5" t="n">
        <v>0</v>
      </c>
      <c r="H530" s="5" t="n">
        <v>1</v>
      </c>
      <c r="I530" s="5" t="n">
        <v>0</v>
      </c>
      <c r="J530" s="5" t="n">
        <v>0</v>
      </c>
      <c r="K530" s="5" t="n">
        <v>0</v>
      </c>
      <c r="L530" s="5" t="n">
        <v>0</v>
      </c>
      <c r="M530" s="5" t="n">
        <v>0</v>
      </c>
      <c r="N530" s="5" t="n">
        <v>0</v>
      </c>
      <c r="O530" s="5" t="n">
        <v>0</v>
      </c>
      <c r="P530" s="5" t="n">
        <v>0</v>
      </c>
      <c r="Q530" s="5" t="n">
        <v>0</v>
      </c>
      <c r="R530" s="5" t="n">
        <v>1</v>
      </c>
      <c r="S530" s="5" t="n">
        <v>0</v>
      </c>
      <c r="T530" s="5" t="n">
        <v>0</v>
      </c>
      <c r="U530" s="5" t="inlineStr">
        <is>
          <t>training</t>
        </is>
      </c>
    </row>
    <row r="531">
      <c r="A531" s="5" t="n">
        <v>527</v>
      </c>
      <c r="B531" s="5" t="n">
        <v>0</v>
      </c>
      <c r="C531" s="6" t="n">
        <v>-0.4829241608380317</v>
      </c>
      <c r="D531" s="6" t="n">
        <v>-0.6013591557525434</v>
      </c>
      <c r="E531" s="6" t="n">
        <v>-0.3948575139689546</v>
      </c>
      <c r="F531" s="6" t="n">
        <v>0.9185437189662378</v>
      </c>
      <c r="G531" s="5" t="n">
        <v>0</v>
      </c>
      <c r="H531" s="5" t="n">
        <v>0</v>
      </c>
      <c r="I531" s="5" t="n">
        <v>0</v>
      </c>
      <c r="J531" s="5" t="n">
        <v>1</v>
      </c>
      <c r="K531" s="5" t="n">
        <v>0</v>
      </c>
      <c r="L531" s="5" t="n">
        <v>0</v>
      </c>
      <c r="M531" s="5" t="n">
        <v>1</v>
      </c>
      <c r="N531" s="5" t="n">
        <v>0</v>
      </c>
      <c r="O531" s="5" t="n">
        <v>0</v>
      </c>
      <c r="P531" s="5" t="n">
        <v>0</v>
      </c>
      <c r="Q531" s="5" t="n">
        <v>0</v>
      </c>
      <c r="R531" s="5" t="n">
        <v>0</v>
      </c>
      <c r="S531" s="5" t="n">
        <v>0</v>
      </c>
      <c r="T531" s="5" t="n">
        <v>0</v>
      </c>
      <c r="U531" s="5" t="inlineStr">
        <is>
          <t>training</t>
        </is>
      </c>
    </row>
    <row r="532">
      <c r="A532" s="5" t="n">
        <v>528</v>
      </c>
      <c r="B532" s="5" t="n">
        <v>0</v>
      </c>
      <c r="C532" s="6" t="n">
        <v>-1.409772625058581</v>
      </c>
      <c r="D532" s="6" t="n">
        <v>-0.6115060452640888</v>
      </c>
      <c r="E532" s="6" t="n">
        <v>0.5618457137091294</v>
      </c>
      <c r="F532" s="6" t="n">
        <v>-0.8850484360866833</v>
      </c>
      <c r="G532" s="5" t="n">
        <v>0</v>
      </c>
      <c r="H532" s="5" t="n">
        <v>0</v>
      </c>
      <c r="I532" s="5" t="n">
        <v>0</v>
      </c>
      <c r="J532" s="5" t="n">
        <v>1</v>
      </c>
      <c r="K532" s="5" t="n">
        <v>0</v>
      </c>
      <c r="L532" s="5" t="n">
        <v>0</v>
      </c>
      <c r="M532" s="5" t="n">
        <v>0</v>
      </c>
      <c r="N532" s="5" t="n">
        <v>0</v>
      </c>
      <c r="O532" s="5" t="n">
        <v>0</v>
      </c>
      <c r="P532" s="5" t="n">
        <v>0</v>
      </c>
      <c r="Q532" s="5" t="n">
        <v>0</v>
      </c>
      <c r="R532" s="5" t="n">
        <v>0</v>
      </c>
      <c r="S532" s="5" t="n">
        <v>1</v>
      </c>
      <c r="T532" s="5" t="n">
        <v>0</v>
      </c>
      <c r="U532" s="5" t="inlineStr">
        <is>
          <t>testing</t>
        </is>
      </c>
    </row>
    <row r="533">
      <c r="A533" s="5" t="n">
        <v>529</v>
      </c>
      <c r="B533" s="5" t="n">
        <v>1</v>
      </c>
      <c r="C533" s="6" t="n">
        <v>1.286513816310289</v>
      </c>
      <c r="D533" s="6" t="n">
        <v>-0.3319417445839239</v>
      </c>
      <c r="E533" s="6" t="n">
        <v>-0.3948575139689546</v>
      </c>
      <c r="F533" s="6" t="n">
        <v>0.9185437189662378</v>
      </c>
      <c r="G533" s="5" t="n">
        <v>1</v>
      </c>
      <c r="H533" s="5" t="n">
        <v>0</v>
      </c>
      <c r="I533" s="5" t="n">
        <v>0</v>
      </c>
      <c r="J533" s="5" t="n">
        <v>0</v>
      </c>
      <c r="K533" s="5" t="n">
        <v>0</v>
      </c>
      <c r="L533" s="5" t="n">
        <v>0</v>
      </c>
      <c r="M533" s="5" t="n">
        <v>0</v>
      </c>
      <c r="N533" s="5" t="n">
        <v>0</v>
      </c>
      <c r="O533" s="5" t="n">
        <v>0</v>
      </c>
      <c r="P533" s="5" t="n">
        <v>1</v>
      </c>
      <c r="Q533" s="5" t="n">
        <v>0</v>
      </c>
      <c r="R533" s="5" t="n">
        <v>0</v>
      </c>
      <c r="S533" s="5" t="n">
        <v>1</v>
      </c>
      <c r="T533" s="5" t="n">
        <v>0</v>
      </c>
      <c r="U533" s="5" t="inlineStr">
        <is>
          <t>testing</t>
        </is>
      </c>
    </row>
    <row r="534">
      <c r="A534" s="5" t="n">
        <v>530</v>
      </c>
      <c r="B534" s="5" t="n">
        <v>0</v>
      </c>
      <c r="C534" s="6" t="n">
        <v>-1.241254722473026</v>
      </c>
      <c r="D534" s="6" t="n">
        <v>-0.9057658410989058</v>
      </c>
      <c r="E534" s="6" t="n">
        <v>0.4748726930111218</v>
      </c>
      <c r="F534" s="6" t="n">
        <v>0.01674764143977723</v>
      </c>
      <c r="G534" s="5" t="n">
        <v>1</v>
      </c>
      <c r="H534" s="5" t="n">
        <v>0</v>
      </c>
      <c r="I534" s="5" t="n">
        <v>0</v>
      </c>
      <c r="J534" s="5" t="n">
        <v>0</v>
      </c>
      <c r="K534" s="5" t="n">
        <v>0</v>
      </c>
      <c r="L534" s="5" t="n">
        <v>0</v>
      </c>
      <c r="M534" s="5" t="n">
        <v>0</v>
      </c>
      <c r="N534" s="5" t="n">
        <v>0</v>
      </c>
      <c r="O534" s="5" t="n">
        <v>0</v>
      </c>
      <c r="P534" s="5" t="n">
        <v>0</v>
      </c>
      <c r="Q534" s="5" t="n">
        <v>0</v>
      </c>
      <c r="R534" s="5" t="n">
        <v>1</v>
      </c>
      <c r="S534" s="5" t="n">
        <v>0</v>
      </c>
      <c r="T534" s="5" t="n">
        <v>0</v>
      </c>
      <c r="U534" s="5" t="inlineStr">
        <is>
          <t>testing</t>
        </is>
      </c>
    </row>
    <row r="535">
      <c r="A535" s="5" t="n">
        <v>531</v>
      </c>
      <c r="B535" s="5" t="n">
        <v>0</v>
      </c>
      <c r="C535" s="6" t="n">
        <v>1.286513816310289</v>
      </c>
      <c r="D535" s="6" t="n">
        <v>-0.3420886340954693</v>
      </c>
      <c r="E535" s="6" t="n">
        <v>-0.307884493270947</v>
      </c>
      <c r="F535" s="6" t="n">
        <v>0.01674764143977723</v>
      </c>
      <c r="G535" s="5" t="n">
        <v>0</v>
      </c>
      <c r="H535" s="5" t="n">
        <v>1</v>
      </c>
      <c r="I535" s="5" t="n">
        <v>0</v>
      </c>
      <c r="J535" s="5" t="n">
        <v>0</v>
      </c>
      <c r="K535" s="5" t="n">
        <v>0</v>
      </c>
      <c r="L535" s="5" t="n">
        <v>0</v>
      </c>
      <c r="M535" s="5" t="n">
        <v>0</v>
      </c>
      <c r="N535" s="5" t="n">
        <v>0</v>
      </c>
      <c r="O535" s="5" t="n">
        <v>0</v>
      </c>
      <c r="P535" s="5" t="n">
        <v>0</v>
      </c>
      <c r="Q535" s="5" t="n">
        <v>0</v>
      </c>
      <c r="R535" s="5" t="n">
        <v>0</v>
      </c>
      <c r="S535" s="5" t="n">
        <v>0</v>
      </c>
      <c r="T535" s="5" t="n">
        <v>0</v>
      </c>
      <c r="U535" s="5" t="inlineStr">
        <is>
          <t>testing</t>
        </is>
      </c>
    </row>
    <row r="536">
      <c r="A536" s="5" t="n">
        <v>532</v>
      </c>
      <c r="B536" s="5" t="n">
        <v>1</v>
      </c>
      <c r="C536" s="6" t="n">
        <v>-0.4829241608380317</v>
      </c>
      <c r="D536" s="6" t="n">
        <v>-0.2168270325391501</v>
      </c>
      <c r="E536" s="6" t="n">
        <v>-0.6557765760629775</v>
      </c>
      <c r="F536" s="6" t="n">
        <v>-0.8850484360866833</v>
      </c>
      <c r="G536" s="5" t="n">
        <v>0</v>
      </c>
      <c r="H536" s="5" t="n">
        <v>1</v>
      </c>
      <c r="I536" s="5" t="n">
        <v>0</v>
      </c>
      <c r="J536" s="5" t="n">
        <v>0</v>
      </c>
      <c r="K536" s="5" t="n">
        <v>0</v>
      </c>
      <c r="L536" s="5" t="n">
        <v>0</v>
      </c>
      <c r="M536" s="5" t="n">
        <v>1</v>
      </c>
      <c r="N536" s="5" t="n">
        <v>0</v>
      </c>
      <c r="O536" s="5" t="n">
        <v>0</v>
      </c>
      <c r="P536" s="5" t="n">
        <v>1</v>
      </c>
      <c r="Q536" s="5" t="n">
        <v>0</v>
      </c>
      <c r="R536" s="5" t="n">
        <v>1</v>
      </c>
      <c r="S536" s="5" t="n">
        <v>0</v>
      </c>
      <c r="T536" s="5" t="n">
        <v>0</v>
      </c>
      <c r="U536" s="5" t="inlineStr">
        <is>
          <t>training</t>
        </is>
      </c>
    </row>
    <row r="537">
      <c r="A537" s="5" t="n">
        <v>533</v>
      </c>
      <c r="B537" s="5" t="n">
        <v>0</v>
      </c>
      <c r="C537" s="6" t="n">
        <v>-0.7357010147163632</v>
      </c>
      <c r="D537" s="6" t="n">
        <v>-0.6115060452640888</v>
      </c>
      <c r="E537" s="6" t="n">
        <v>0.4748726930111218</v>
      </c>
      <c r="F537" s="6" t="n">
        <v>0.9185437189662378</v>
      </c>
      <c r="G537" s="5" t="n">
        <v>0</v>
      </c>
      <c r="H537" s="5" t="n">
        <v>0</v>
      </c>
      <c r="I537" s="5" t="n">
        <v>0</v>
      </c>
      <c r="J537" s="5" t="n">
        <v>0</v>
      </c>
      <c r="K537" s="5" t="n">
        <v>1</v>
      </c>
      <c r="L537" s="5" t="n">
        <v>0</v>
      </c>
      <c r="M537" s="5" t="n">
        <v>0</v>
      </c>
      <c r="N537" s="5" t="n">
        <v>0</v>
      </c>
      <c r="O537" s="5" t="n">
        <v>0</v>
      </c>
      <c r="P537" s="5" t="n">
        <v>1</v>
      </c>
      <c r="Q537" s="5" t="n">
        <v>0</v>
      </c>
      <c r="R537" s="5" t="n">
        <v>1</v>
      </c>
      <c r="S537" s="5" t="n">
        <v>0</v>
      </c>
      <c r="T537" s="5" t="n">
        <v>0</v>
      </c>
      <c r="U537" s="5" t="inlineStr">
        <is>
          <t>training</t>
        </is>
      </c>
    </row>
    <row r="538">
      <c r="A538" s="5" t="n">
        <v>534</v>
      </c>
      <c r="B538" s="5" t="n">
        <v>0</v>
      </c>
      <c r="C538" s="6" t="n">
        <v>0.275406400796963</v>
      </c>
      <c r="D538" s="6" t="n">
        <v>-0.678685451685355</v>
      </c>
      <c r="E538" s="6" t="n">
        <v>-0.8297226174589928</v>
      </c>
      <c r="F538" s="6" t="n">
        <v>0.9185437189662378</v>
      </c>
      <c r="G538" s="5" t="n">
        <v>0</v>
      </c>
      <c r="H538" s="5" t="n">
        <v>0</v>
      </c>
      <c r="I538" s="5" t="n">
        <v>0</v>
      </c>
      <c r="J538" s="5" t="n">
        <v>0</v>
      </c>
      <c r="K538" s="5" t="n">
        <v>0</v>
      </c>
      <c r="L538" s="5" t="n">
        <v>0</v>
      </c>
      <c r="M538" s="5" t="n">
        <v>1</v>
      </c>
      <c r="N538" s="5" t="n">
        <v>0</v>
      </c>
      <c r="O538" s="5" t="n">
        <v>0</v>
      </c>
      <c r="P538" s="5" t="n">
        <v>0</v>
      </c>
      <c r="Q538" s="5" t="n">
        <v>0</v>
      </c>
      <c r="R538" s="5" t="n">
        <v>0</v>
      </c>
      <c r="S538" s="5" t="n">
        <v>1</v>
      </c>
      <c r="T538" s="5" t="n">
        <v>0</v>
      </c>
      <c r="U538" s="5" t="inlineStr">
        <is>
          <t>training</t>
        </is>
      </c>
    </row>
    <row r="539">
      <c r="A539" s="5" t="n">
        <v>535</v>
      </c>
      <c r="B539" s="5" t="n">
        <v>0</v>
      </c>
      <c r="C539" s="6" t="n">
        <v>0.275406400796963</v>
      </c>
      <c r="D539" s="6" t="n">
        <v>-0.05097787293664927</v>
      </c>
      <c r="E539" s="6" t="n">
        <v>-0.9166956381570004</v>
      </c>
      <c r="F539" s="6" t="n">
        <v>0.9185437189662378</v>
      </c>
      <c r="G539" s="5" t="n">
        <v>0</v>
      </c>
      <c r="H539" s="5" t="n">
        <v>0</v>
      </c>
      <c r="I539" s="5" t="n">
        <v>0</v>
      </c>
      <c r="J539" s="5" t="n">
        <v>0</v>
      </c>
      <c r="K539" s="5" t="n">
        <v>0</v>
      </c>
      <c r="L539" s="5" t="n">
        <v>0</v>
      </c>
      <c r="M539" s="5" t="n">
        <v>0</v>
      </c>
      <c r="N539" s="5" t="n">
        <v>0</v>
      </c>
      <c r="O539" s="5" t="n">
        <v>1</v>
      </c>
      <c r="P539" s="5" t="n">
        <v>0</v>
      </c>
      <c r="Q539" s="5" t="n">
        <v>0</v>
      </c>
      <c r="R539" s="5" t="n">
        <v>0</v>
      </c>
      <c r="S539" s="5" t="n">
        <v>1</v>
      </c>
      <c r="T539" s="5" t="n">
        <v>0</v>
      </c>
      <c r="U539" s="5" t="inlineStr">
        <is>
          <t>training</t>
        </is>
      </c>
    </row>
    <row r="540">
      <c r="A540" s="5" t="n">
        <v>536</v>
      </c>
      <c r="B540" s="5" t="n">
        <v>1</v>
      </c>
      <c r="C540" s="6" t="n">
        <v>0.02262954691863145</v>
      </c>
      <c r="D540" s="6" t="n">
        <v>-0.3259935679737077</v>
      </c>
      <c r="E540" s="6" t="n">
        <v>-0.2209114725729393</v>
      </c>
      <c r="F540" s="6" t="n">
        <v>-0.8850484360866833</v>
      </c>
      <c r="G540" s="5" t="n">
        <v>0</v>
      </c>
      <c r="H540" s="5" t="n">
        <v>0</v>
      </c>
      <c r="I540" s="5" t="n">
        <v>1</v>
      </c>
      <c r="J540" s="5" t="n">
        <v>1</v>
      </c>
      <c r="K540" s="5" t="n">
        <v>0</v>
      </c>
      <c r="L540" s="5" t="n">
        <v>0</v>
      </c>
      <c r="M540" s="5" t="n">
        <v>0</v>
      </c>
      <c r="N540" s="5" t="n">
        <v>0</v>
      </c>
      <c r="O540" s="5" t="n">
        <v>0</v>
      </c>
      <c r="P540" s="5" t="n">
        <v>1</v>
      </c>
      <c r="Q540" s="5" t="n">
        <v>0</v>
      </c>
      <c r="R540" s="5" t="n">
        <v>0</v>
      </c>
      <c r="S540" s="5" t="n">
        <v>0</v>
      </c>
      <c r="T540" s="5" t="n">
        <v>0</v>
      </c>
      <c r="U540" s="5" t="inlineStr">
        <is>
          <t>testing</t>
        </is>
      </c>
    </row>
    <row r="541">
      <c r="A541" s="5" t="n">
        <v>537</v>
      </c>
      <c r="B541" s="5" t="n">
        <v>0</v>
      </c>
      <c r="C541" s="6" t="n">
        <v>-1.241254722473026</v>
      </c>
      <c r="D541" s="6" t="n">
        <v>-0.6566422089533771</v>
      </c>
      <c r="E541" s="6" t="n">
        <v>3.431955396743382</v>
      </c>
      <c r="F541" s="6" t="n">
        <v>0.9185437189662378</v>
      </c>
      <c r="G541" s="5" t="n">
        <v>1</v>
      </c>
      <c r="H541" s="5" t="n">
        <v>0</v>
      </c>
      <c r="I541" s="5" t="n">
        <v>0</v>
      </c>
      <c r="J541" s="5" t="n">
        <v>0</v>
      </c>
      <c r="K541" s="5" t="n">
        <v>0</v>
      </c>
      <c r="L541" s="5" t="n">
        <v>0</v>
      </c>
      <c r="M541" s="5" t="n">
        <v>0</v>
      </c>
      <c r="N541" s="5" t="n">
        <v>0</v>
      </c>
      <c r="O541" s="5" t="n">
        <v>1</v>
      </c>
      <c r="P541" s="5" t="n">
        <v>0</v>
      </c>
      <c r="Q541" s="5" t="n">
        <v>0</v>
      </c>
      <c r="R541" s="5" t="n">
        <v>1</v>
      </c>
      <c r="S541" s="5" t="n">
        <v>0</v>
      </c>
      <c r="T541" s="5" t="n">
        <v>0</v>
      </c>
      <c r="U541" s="5" t="inlineStr">
        <is>
          <t>training</t>
        </is>
      </c>
    </row>
    <row r="542">
      <c r="A542" s="5" t="n">
        <v>538</v>
      </c>
      <c r="B542" s="5" t="n">
        <v>0</v>
      </c>
      <c r="C542" s="6" t="n">
        <v>-0.2301473069597001</v>
      </c>
      <c r="D542" s="6" t="n">
        <v>0.1264177471445067</v>
      </c>
      <c r="E542" s="6" t="n">
        <v>0.1269806102190912</v>
      </c>
      <c r="F542" s="6" t="n">
        <v>0.01674764143977723</v>
      </c>
      <c r="G542" s="5" t="n">
        <v>0</v>
      </c>
      <c r="H542" s="5" t="n">
        <v>1</v>
      </c>
      <c r="I542" s="5" t="n">
        <v>0</v>
      </c>
      <c r="J542" s="5" t="n">
        <v>1</v>
      </c>
      <c r="K542" s="5" t="n">
        <v>0</v>
      </c>
      <c r="L542" s="5" t="n">
        <v>0</v>
      </c>
      <c r="M542" s="5" t="n">
        <v>0</v>
      </c>
      <c r="N542" s="5" t="n">
        <v>0</v>
      </c>
      <c r="O542" s="5" t="n">
        <v>0</v>
      </c>
      <c r="P542" s="5" t="n">
        <v>0</v>
      </c>
      <c r="Q542" s="5" t="n">
        <v>0</v>
      </c>
      <c r="R542" s="5" t="n">
        <v>0</v>
      </c>
      <c r="S542" s="5" t="n">
        <v>0</v>
      </c>
      <c r="T542" s="5" t="n">
        <v>1</v>
      </c>
      <c r="U542" s="5" t="inlineStr">
        <is>
          <t>training</t>
        </is>
      </c>
    </row>
    <row r="543">
      <c r="A543" s="5" t="n">
        <v>539</v>
      </c>
      <c r="B543" s="5" t="n">
        <v>1</v>
      </c>
      <c r="C543" s="6" t="n">
        <v>2.297621231823615</v>
      </c>
      <c r="D543" s="6" t="n">
        <v>1.57882251826261</v>
      </c>
      <c r="E543" s="6" t="n">
        <v>0.5618457137091294</v>
      </c>
      <c r="F543" s="6" t="n">
        <v>0.9185437189662378</v>
      </c>
      <c r="G543" s="5" t="n">
        <v>1</v>
      </c>
      <c r="H543" s="5" t="n">
        <v>0</v>
      </c>
      <c r="I543" s="5" t="n">
        <v>0</v>
      </c>
      <c r="J543" s="5" t="n">
        <v>0</v>
      </c>
      <c r="K543" s="5" t="n">
        <v>0</v>
      </c>
      <c r="L543" s="5" t="n">
        <v>0</v>
      </c>
      <c r="M543" s="5" t="n">
        <v>0</v>
      </c>
      <c r="N543" s="5" t="n">
        <v>0</v>
      </c>
      <c r="O543" s="5" t="n">
        <v>0</v>
      </c>
      <c r="P543" s="5" t="n">
        <v>0</v>
      </c>
      <c r="Q543" s="5" t="n">
        <v>1</v>
      </c>
      <c r="R543" s="5" t="n">
        <v>1</v>
      </c>
      <c r="S543" s="5" t="n">
        <v>0</v>
      </c>
      <c r="T543" s="5" t="n">
        <v>0</v>
      </c>
      <c r="U543" s="5" t="inlineStr">
        <is>
          <t>training</t>
        </is>
      </c>
    </row>
    <row r="544">
      <c r="A544" s="5" t="n">
        <v>540</v>
      </c>
      <c r="B544" s="5" t="n">
        <v>0</v>
      </c>
      <c r="C544" s="6" t="n">
        <v>-0.2301473069597001</v>
      </c>
      <c r="D544" s="6" t="n">
        <v>-0.07057186647618524</v>
      </c>
      <c r="E544" s="6" t="n">
        <v>0.8227647758031523</v>
      </c>
      <c r="F544" s="6" t="n">
        <v>-1.786844513613144</v>
      </c>
      <c r="G544" s="5" t="n">
        <v>0</v>
      </c>
      <c r="H544" s="5" t="n">
        <v>0</v>
      </c>
      <c r="I544" s="5" t="n">
        <v>1</v>
      </c>
      <c r="J544" s="5" t="n">
        <v>0</v>
      </c>
      <c r="K544" s="5" t="n">
        <v>0</v>
      </c>
      <c r="L544" s="5" t="n">
        <v>0</v>
      </c>
      <c r="M544" s="5" t="n">
        <v>0</v>
      </c>
      <c r="N544" s="5" t="n">
        <v>0</v>
      </c>
      <c r="O544" s="5" t="n">
        <v>0</v>
      </c>
      <c r="P544" s="5" t="n">
        <v>0</v>
      </c>
      <c r="Q544" s="5" t="n">
        <v>0</v>
      </c>
      <c r="R544" s="5" t="n">
        <v>0</v>
      </c>
      <c r="S544" s="5" t="n">
        <v>0</v>
      </c>
      <c r="T544" s="5" t="n">
        <v>1</v>
      </c>
      <c r="U544" s="5" t="inlineStr">
        <is>
          <t>training</t>
        </is>
      </c>
    </row>
    <row r="545">
      <c r="A545" s="5" t="n">
        <v>541</v>
      </c>
      <c r="B545" s="5" t="n">
        <v>1</v>
      </c>
      <c r="C545" s="6" t="n">
        <v>-0.7357010147163632</v>
      </c>
      <c r="D545" s="6" t="n">
        <v>-0.6006593702689885</v>
      </c>
      <c r="E545" s="6" t="n">
        <v>-1.090641679553016</v>
      </c>
      <c r="F545" s="6" t="n">
        <v>-1.786844513613144</v>
      </c>
      <c r="G545" s="5" t="n">
        <v>0</v>
      </c>
      <c r="H545" s="5" t="n">
        <v>1</v>
      </c>
      <c r="I545" s="5" t="n">
        <v>0</v>
      </c>
      <c r="J545" s="5" t="n">
        <v>0</v>
      </c>
      <c r="K545" s="5" t="n">
        <v>0</v>
      </c>
      <c r="L545" s="5" t="n">
        <v>0</v>
      </c>
      <c r="M545" s="5" t="n">
        <v>0</v>
      </c>
      <c r="N545" s="5" t="n">
        <v>0</v>
      </c>
      <c r="O545" s="5" t="n">
        <v>0</v>
      </c>
      <c r="P545" s="5" t="n">
        <v>1</v>
      </c>
      <c r="Q545" s="5" t="n">
        <v>0</v>
      </c>
      <c r="R545" s="5" t="n">
        <v>0</v>
      </c>
      <c r="S545" s="5" t="n">
        <v>1</v>
      </c>
      <c r="T545" s="5" t="n">
        <v>0</v>
      </c>
      <c r="U545" s="5" t="inlineStr">
        <is>
          <t>training</t>
        </is>
      </c>
    </row>
    <row r="546">
      <c r="A546" s="5" t="n">
        <v>542</v>
      </c>
      <c r="B546" s="5" t="n">
        <v>0</v>
      </c>
      <c r="C546" s="6" t="n">
        <v>0.275406400796963</v>
      </c>
      <c r="D546" s="6" t="n">
        <v>-0.4264127848638294</v>
      </c>
      <c r="E546" s="6" t="n">
        <v>2.127360086273267</v>
      </c>
      <c r="F546" s="6" t="n">
        <v>0.9185437189662378</v>
      </c>
      <c r="G546" s="5" t="n">
        <v>0</v>
      </c>
      <c r="H546" s="5" t="n">
        <v>0</v>
      </c>
      <c r="I546" s="5" t="n">
        <v>0</v>
      </c>
      <c r="J546" s="5" t="n">
        <v>0</v>
      </c>
      <c r="K546" s="5" t="n">
        <v>1</v>
      </c>
      <c r="L546" s="5" t="n">
        <v>0</v>
      </c>
      <c r="M546" s="5" t="n">
        <v>0</v>
      </c>
      <c r="N546" s="5" t="n">
        <v>0</v>
      </c>
      <c r="O546" s="5" t="n">
        <v>0</v>
      </c>
      <c r="P546" s="5" t="n">
        <v>0</v>
      </c>
      <c r="Q546" s="5" t="n">
        <v>1</v>
      </c>
      <c r="R546" s="5" t="n">
        <v>1</v>
      </c>
      <c r="S546" s="5" t="n">
        <v>0</v>
      </c>
      <c r="T546" s="5" t="n">
        <v>0</v>
      </c>
      <c r="U546" s="5" t="inlineStr">
        <is>
          <t>training</t>
        </is>
      </c>
    </row>
    <row r="547">
      <c r="A547" s="5" t="n">
        <v>543</v>
      </c>
      <c r="B547" s="5" t="n">
        <v>1</v>
      </c>
      <c r="C547" s="6" t="n">
        <v>0.7809601085536261</v>
      </c>
      <c r="D547" s="6" t="n">
        <v>1.084424074131104</v>
      </c>
      <c r="E547" s="6" t="n">
        <v>-0.3948575139689546</v>
      </c>
      <c r="F547" s="6" t="n">
        <v>0.9185437189662378</v>
      </c>
      <c r="G547" s="5" t="n">
        <v>1</v>
      </c>
      <c r="H547" s="5" t="n">
        <v>0</v>
      </c>
      <c r="I547" s="5" t="n">
        <v>0</v>
      </c>
      <c r="J547" s="5" t="n">
        <v>0</v>
      </c>
      <c r="K547" s="5" t="n">
        <v>0</v>
      </c>
      <c r="L547" s="5" t="n">
        <v>0</v>
      </c>
      <c r="M547" s="5" t="n">
        <v>0</v>
      </c>
      <c r="N547" s="5" t="n">
        <v>0</v>
      </c>
      <c r="O547" s="5" t="n">
        <v>1</v>
      </c>
      <c r="P547" s="5" t="n">
        <v>0</v>
      </c>
      <c r="Q547" s="5" t="n">
        <v>0</v>
      </c>
      <c r="R547" s="5" t="n">
        <v>0</v>
      </c>
      <c r="S547" s="5" t="n">
        <v>0</v>
      </c>
      <c r="T547" s="5" t="n">
        <v>1</v>
      </c>
      <c r="U547" s="5" t="inlineStr">
        <is>
          <t>testing</t>
        </is>
      </c>
    </row>
    <row r="548">
      <c r="A548" s="5" t="n">
        <v>544</v>
      </c>
      <c r="B548" s="5" t="n">
        <v>1</v>
      </c>
      <c r="C548" s="6" t="n">
        <v>-0.2301473069597001</v>
      </c>
      <c r="D548" s="6" t="n">
        <v>-0.1353020237050094</v>
      </c>
      <c r="E548" s="6" t="n">
        <v>-0.1339384518749317</v>
      </c>
      <c r="F548" s="6" t="n">
        <v>-0.8850484360866833</v>
      </c>
      <c r="G548" s="5" t="n">
        <v>0</v>
      </c>
      <c r="H548" s="5" t="n">
        <v>0</v>
      </c>
      <c r="I548" s="5" t="n">
        <v>1</v>
      </c>
      <c r="J548" s="5" t="n">
        <v>0</v>
      </c>
      <c r="K548" s="5" t="n">
        <v>0</v>
      </c>
      <c r="L548" s="5" t="n">
        <v>0</v>
      </c>
      <c r="M548" s="5" t="n">
        <v>0</v>
      </c>
      <c r="N548" s="5" t="n">
        <v>0</v>
      </c>
      <c r="O548" s="5" t="n">
        <v>0</v>
      </c>
      <c r="P548" s="5" t="n">
        <v>0</v>
      </c>
      <c r="Q548" s="5" t="n">
        <v>0</v>
      </c>
      <c r="R548" s="5" t="n">
        <v>0</v>
      </c>
      <c r="S548" s="5" t="n">
        <v>0</v>
      </c>
      <c r="T548" s="5" t="n">
        <v>1</v>
      </c>
      <c r="U548" s="5" t="inlineStr">
        <is>
          <t>training</t>
        </is>
      </c>
    </row>
    <row r="549">
      <c r="A549" s="5" t="n">
        <v>545</v>
      </c>
      <c r="B549" s="5" t="n">
        <v>0</v>
      </c>
      <c r="C549" s="6" t="n">
        <v>-0.7357010147163632</v>
      </c>
      <c r="D549" s="6" t="n">
        <v>-0.6982794452248909</v>
      </c>
      <c r="E549" s="6" t="n">
        <v>2.214333106971274</v>
      </c>
      <c r="F549" s="6" t="n">
        <v>0.9185437189662378</v>
      </c>
      <c r="G549" s="5" t="n">
        <v>0</v>
      </c>
      <c r="H549" s="5" t="n">
        <v>0</v>
      </c>
      <c r="I549" s="5" t="n">
        <v>0</v>
      </c>
      <c r="J549" s="5" t="n">
        <v>1</v>
      </c>
      <c r="K549" s="5" t="n">
        <v>0</v>
      </c>
      <c r="L549" s="5" t="n">
        <v>0</v>
      </c>
      <c r="M549" s="5" t="n">
        <v>0</v>
      </c>
      <c r="N549" s="5" t="n">
        <v>0</v>
      </c>
      <c r="O549" s="5" t="n">
        <v>0</v>
      </c>
      <c r="P549" s="5" t="n">
        <v>0</v>
      </c>
      <c r="Q549" s="5" t="n">
        <v>0</v>
      </c>
      <c r="R549" s="5" t="n">
        <v>1</v>
      </c>
      <c r="S549" s="5" t="n">
        <v>0</v>
      </c>
      <c r="T549" s="5" t="n">
        <v>0</v>
      </c>
      <c r="U549" s="5" t="inlineStr">
        <is>
          <t>testing</t>
        </is>
      </c>
    </row>
    <row r="550">
      <c r="A550" s="5" t="n">
        <v>546</v>
      </c>
      <c r="B550" s="5" t="n">
        <v>1</v>
      </c>
      <c r="C550" s="6" t="n">
        <v>0.275406400796963</v>
      </c>
      <c r="D550" s="6" t="n">
        <v>-0.6709878113662516</v>
      </c>
      <c r="E550" s="6" t="n">
        <v>0.648818734407137</v>
      </c>
      <c r="F550" s="6" t="n">
        <v>0.9185437189662378</v>
      </c>
      <c r="G550" s="5" t="n">
        <v>1</v>
      </c>
      <c r="H550" s="5" t="n">
        <v>0</v>
      </c>
      <c r="I550" s="5" t="n">
        <v>0</v>
      </c>
      <c r="J550" s="5" t="n">
        <v>0</v>
      </c>
      <c r="K550" s="5" t="n">
        <v>1</v>
      </c>
      <c r="L550" s="5" t="n">
        <v>0</v>
      </c>
      <c r="M550" s="5" t="n">
        <v>0</v>
      </c>
      <c r="N550" s="5" t="n">
        <v>0</v>
      </c>
      <c r="O550" s="5" t="n">
        <v>0</v>
      </c>
      <c r="P550" s="5" t="n">
        <v>0</v>
      </c>
      <c r="Q550" s="5" t="n">
        <v>1</v>
      </c>
      <c r="R550" s="5" t="n">
        <v>1</v>
      </c>
      <c r="S550" s="5" t="n">
        <v>0</v>
      </c>
      <c r="T550" s="5" t="n">
        <v>0</v>
      </c>
      <c r="U550" s="5" t="inlineStr">
        <is>
          <t>testing</t>
        </is>
      </c>
    </row>
    <row r="551">
      <c r="A551" s="5" t="n">
        <v>547</v>
      </c>
      <c r="B551" s="5" t="n">
        <v>0</v>
      </c>
      <c r="C551" s="6" t="n">
        <v>0.275406400796963</v>
      </c>
      <c r="D551" s="6" t="n">
        <v>-0.4299117122816037</v>
      </c>
      <c r="E551" s="6" t="n">
        <v>0.1269806102190912</v>
      </c>
      <c r="F551" s="6" t="n">
        <v>0.9185437189662378</v>
      </c>
      <c r="G551" s="5" t="n">
        <v>0</v>
      </c>
      <c r="H551" s="5" t="n">
        <v>0</v>
      </c>
      <c r="I551" s="5" t="n">
        <v>0</v>
      </c>
      <c r="J551" s="5" t="n">
        <v>1</v>
      </c>
      <c r="K551" s="5" t="n">
        <v>0</v>
      </c>
      <c r="L551" s="5" t="n">
        <v>0</v>
      </c>
      <c r="M551" s="5" t="n">
        <v>0</v>
      </c>
      <c r="N551" s="5" t="n">
        <v>0</v>
      </c>
      <c r="O551" s="5" t="n">
        <v>0</v>
      </c>
      <c r="P551" s="5" t="n">
        <v>0</v>
      </c>
      <c r="Q551" s="5" t="n">
        <v>0</v>
      </c>
      <c r="R551" s="5" t="n">
        <v>1</v>
      </c>
      <c r="S551" s="5" t="n">
        <v>0</v>
      </c>
      <c r="T551" s="5" t="n">
        <v>0</v>
      </c>
      <c r="U551" s="5" t="inlineStr">
        <is>
          <t>training</t>
        </is>
      </c>
    </row>
    <row r="552">
      <c r="A552" s="5" t="n">
        <v>548</v>
      </c>
      <c r="B552" s="5" t="n">
        <v>0</v>
      </c>
      <c r="C552" s="6" t="n">
        <v>0.275406400796963</v>
      </c>
      <c r="D552" s="6" t="n">
        <v>-0.5943613009169949</v>
      </c>
      <c r="E552" s="6" t="n">
        <v>-0.307884493270947</v>
      </c>
      <c r="F552" s="6" t="n">
        <v>0.01674764143977723</v>
      </c>
      <c r="G552" s="5" t="n">
        <v>0</v>
      </c>
      <c r="H552" s="5" t="n">
        <v>0</v>
      </c>
      <c r="I552" s="5" t="n">
        <v>0</v>
      </c>
      <c r="J552" s="5" t="n">
        <v>0</v>
      </c>
      <c r="K552" s="5" t="n">
        <v>0</v>
      </c>
      <c r="L552" s="5" t="n">
        <v>0</v>
      </c>
      <c r="M552" s="5" t="n">
        <v>0</v>
      </c>
      <c r="N552" s="5" t="n">
        <v>0</v>
      </c>
      <c r="O552" s="5" t="n">
        <v>0</v>
      </c>
      <c r="P552" s="5" t="n">
        <v>0</v>
      </c>
      <c r="Q552" s="5" t="n">
        <v>0</v>
      </c>
      <c r="R552" s="5" t="n">
        <v>0</v>
      </c>
      <c r="S552" s="5" t="n">
        <v>1</v>
      </c>
      <c r="T552" s="5" t="n">
        <v>0</v>
      </c>
      <c r="U552" s="5" t="inlineStr">
        <is>
          <t>training</t>
        </is>
      </c>
    </row>
    <row r="553">
      <c r="A553" s="5" t="n">
        <v>549</v>
      </c>
      <c r="B553" s="5" t="n">
        <v>1</v>
      </c>
      <c r="C553" s="6" t="n">
        <v>-0.7357010147163632</v>
      </c>
      <c r="D553" s="6" t="n">
        <v>-0.9183619798028931</v>
      </c>
      <c r="E553" s="6" t="n">
        <v>-1.003668658855008</v>
      </c>
      <c r="F553" s="6" t="n">
        <v>0.9185437189662378</v>
      </c>
      <c r="G553" s="5" t="n">
        <v>1</v>
      </c>
      <c r="H553" s="5" t="n">
        <v>0</v>
      </c>
      <c r="I553" s="5" t="n">
        <v>0</v>
      </c>
      <c r="J553" s="5" t="n">
        <v>0</v>
      </c>
      <c r="K553" s="5" t="n">
        <v>0</v>
      </c>
      <c r="L553" s="5" t="n">
        <v>1</v>
      </c>
      <c r="M553" s="5" t="n">
        <v>0</v>
      </c>
      <c r="N553" s="5" t="n">
        <v>0</v>
      </c>
      <c r="O553" s="5" t="n">
        <v>0</v>
      </c>
      <c r="P553" s="5" t="n">
        <v>0</v>
      </c>
      <c r="Q553" s="5" t="n">
        <v>0</v>
      </c>
      <c r="R553" s="5" t="n">
        <v>0</v>
      </c>
      <c r="S553" s="5" t="n">
        <v>1</v>
      </c>
      <c r="T553" s="5" t="n">
        <v>0</v>
      </c>
      <c r="U553" s="5" t="inlineStr">
        <is>
          <t>testing</t>
        </is>
      </c>
    </row>
    <row r="554">
      <c r="A554" s="5" t="n">
        <v>550</v>
      </c>
      <c r="B554" s="5" t="n">
        <v>0</v>
      </c>
      <c r="C554" s="6" t="n">
        <v>2.297621231823615</v>
      </c>
      <c r="D554" s="6" t="n">
        <v>1.961955070508894</v>
      </c>
      <c r="E554" s="6" t="n">
        <v>-0.04696543117692405</v>
      </c>
      <c r="F554" s="6" t="n">
        <v>-0.8850484360866833</v>
      </c>
      <c r="G554" s="5" t="n">
        <v>0</v>
      </c>
      <c r="H554" s="5" t="n">
        <v>0</v>
      </c>
      <c r="I554" s="5" t="n">
        <v>0</v>
      </c>
      <c r="J554" s="5" t="n">
        <v>1</v>
      </c>
      <c r="K554" s="5" t="n">
        <v>0</v>
      </c>
      <c r="L554" s="5" t="n">
        <v>0</v>
      </c>
      <c r="M554" s="5" t="n">
        <v>0</v>
      </c>
      <c r="N554" s="5" t="n">
        <v>0</v>
      </c>
      <c r="O554" s="5" t="n">
        <v>1</v>
      </c>
      <c r="P554" s="5" t="n">
        <v>0</v>
      </c>
      <c r="Q554" s="5" t="n">
        <v>1</v>
      </c>
      <c r="R554" s="5" t="n">
        <v>1</v>
      </c>
      <c r="S554" s="5" t="n">
        <v>0</v>
      </c>
      <c r="T554" s="5" t="n">
        <v>0</v>
      </c>
      <c r="U554" s="5" t="inlineStr">
        <is>
          <t>training</t>
        </is>
      </c>
    </row>
    <row r="555">
      <c r="A555" s="5" t="n">
        <v>551</v>
      </c>
      <c r="B555" s="5" t="n">
        <v>0</v>
      </c>
      <c r="C555" s="6" t="n">
        <v>-0.7357010147163632</v>
      </c>
      <c r="D555" s="6" t="n">
        <v>-0.7889016653452449</v>
      </c>
      <c r="E555" s="6" t="n">
        <v>-1.090641679553016</v>
      </c>
      <c r="F555" s="6" t="n">
        <v>0.9185437189662378</v>
      </c>
      <c r="G555" s="5" t="n">
        <v>0</v>
      </c>
      <c r="H555" s="5" t="n">
        <v>0</v>
      </c>
      <c r="I555" s="5" t="n">
        <v>0</v>
      </c>
      <c r="J555" s="5" t="n">
        <v>1</v>
      </c>
      <c r="K555" s="5" t="n">
        <v>0</v>
      </c>
      <c r="L555" s="5" t="n">
        <v>0</v>
      </c>
      <c r="M555" s="5" t="n">
        <v>0</v>
      </c>
      <c r="N555" s="5" t="n">
        <v>0</v>
      </c>
      <c r="O555" s="5" t="n">
        <v>1</v>
      </c>
      <c r="P555" s="5" t="n">
        <v>0</v>
      </c>
      <c r="Q555" s="5" t="n">
        <v>0</v>
      </c>
      <c r="R555" s="5" t="n">
        <v>0</v>
      </c>
      <c r="S555" s="5" t="n">
        <v>0</v>
      </c>
      <c r="T555" s="5" t="n">
        <v>0</v>
      </c>
      <c r="U555" s="5" t="inlineStr">
        <is>
          <t>training</t>
        </is>
      </c>
    </row>
    <row r="556">
      <c r="A556" s="5" t="n">
        <v>552</v>
      </c>
      <c r="B556" s="5" t="n">
        <v>0</v>
      </c>
      <c r="C556" s="6" t="n">
        <v>-1.241254722473026</v>
      </c>
      <c r="D556" s="6" t="n">
        <v>-0.5250825380450641</v>
      </c>
      <c r="E556" s="6" t="n">
        <v>0.8227647758031523</v>
      </c>
      <c r="F556" s="6" t="n">
        <v>-0.8850484360866833</v>
      </c>
      <c r="G556" s="5" t="n">
        <v>0</v>
      </c>
      <c r="H556" s="5" t="n">
        <v>0</v>
      </c>
      <c r="I556" s="5" t="n">
        <v>0</v>
      </c>
      <c r="J556" s="5" t="n">
        <v>0</v>
      </c>
      <c r="K556" s="5" t="n">
        <v>0</v>
      </c>
      <c r="L556" s="5" t="n">
        <v>1</v>
      </c>
      <c r="M556" s="5" t="n">
        <v>1</v>
      </c>
      <c r="N556" s="5" t="n">
        <v>0</v>
      </c>
      <c r="O556" s="5" t="n">
        <v>0</v>
      </c>
      <c r="P556" s="5" t="n">
        <v>0</v>
      </c>
      <c r="Q556" s="5" t="n">
        <v>0</v>
      </c>
      <c r="R556" s="5" t="n">
        <v>0</v>
      </c>
      <c r="S556" s="5" t="n">
        <v>1</v>
      </c>
      <c r="T556" s="5" t="n">
        <v>0</v>
      </c>
      <c r="U556" s="5" t="inlineStr">
        <is>
          <t>training</t>
        </is>
      </c>
    </row>
    <row r="557">
      <c r="A557" s="5" t="n">
        <v>553</v>
      </c>
      <c r="B557" s="5" t="n">
        <v>1</v>
      </c>
      <c r="C557" s="6" t="n">
        <v>2.297621231823615</v>
      </c>
      <c r="D557" s="6" t="n">
        <v>1.311504463544655</v>
      </c>
      <c r="E557" s="6" t="n">
        <v>-0.1339384518749317</v>
      </c>
      <c r="F557" s="6" t="n">
        <v>-1.786844513613144</v>
      </c>
      <c r="G557" s="5" t="n">
        <v>1</v>
      </c>
      <c r="H557" s="5" t="n">
        <v>0</v>
      </c>
      <c r="I557" s="5" t="n">
        <v>0</v>
      </c>
      <c r="J557" s="5" t="n">
        <v>0</v>
      </c>
      <c r="K557" s="5" t="n">
        <v>0</v>
      </c>
      <c r="L557" s="5" t="n">
        <v>0</v>
      </c>
      <c r="M557" s="5" t="n">
        <v>0</v>
      </c>
      <c r="N557" s="5" t="n">
        <v>0</v>
      </c>
      <c r="O557" s="5" t="n">
        <v>0</v>
      </c>
      <c r="P557" s="5" t="n">
        <v>0</v>
      </c>
      <c r="Q557" s="5" t="n">
        <v>0</v>
      </c>
      <c r="R557" s="5" t="n">
        <v>0</v>
      </c>
      <c r="S557" s="5" t="n">
        <v>1</v>
      </c>
      <c r="T557" s="5" t="n">
        <v>0</v>
      </c>
      <c r="U557" s="5" t="inlineStr">
        <is>
          <t>training</t>
        </is>
      </c>
    </row>
    <row r="558">
      <c r="A558" s="5" t="n">
        <v>554</v>
      </c>
      <c r="B558" s="5" t="n">
        <v>0</v>
      </c>
      <c r="C558" s="6" t="n">
        <v>-0.7357010147163632</v>
      </c>
      <c r="D558" s="6" t="n">
        <v>-0.4393588163095943</v>
      </c>
      <c r="E558" s="6" t="n">
        <v>-0.7427495967609852</v>
      </c>
      <c r="F558" s="6" t="n">
        <v>0.9185437189662378</v>
      </c>
      <c r="G558" s="5" t="n">
        <v>0</v>
      </c>
      <c r="H558" s="5" t="n">
        <v>1</v>
      </c>
      <c r="I558" s="5" t="n">
        <v>0</v>
      </c>
      <c r="J558" s="5" t="n">
        <v>1</v>
      </c>
      <c r="K558" s="5" t="n">
        <v>0</v>
      </c>
      <c r="L558" s="5" t="n">
        <v>0</v>
      </c>
      <c r="M558" s="5" t="n">
        <v>1</v>
      </c>
      <c r="N558" s="5" t="n">
        <v>0</v>
      </c>
      <c r="O558" s="5" t="n">
        <v>0</v>
      </c>
      <c r="P558" s="5" t="n">
        <v>0</v>
      </c>
      <c r="Q558" s="5" t="n">
        <v>0</v>
      </c>
      <c r="R558" s="5" t="n">
        <v>1</v>
      </c>
      <c r="S558" s="5" t="n">
        <v>0</v>
      </c>
      <c r="T558" s="5" t="n">
        <v>0</v>
      </c>
      <c r="U558" s="5" t="inlineStr">
        <is>
          <t>training</t>
        </is>
      </c>
    </row>
    <row r="559">
      <c r="A559" s="5" t="n">
        <v>555</v>
      </c>
      <c r="B559" s="5" t="n">
        <v>0</v>
      </c>
      <c r="C559" s="6" t="n">
        <v>-0.9884778685946948</v>
      </c>
      <c r="D559" s="6" t="n">
        <v>-0.7178734387644269</v>
      </c>
      <c r="E559" s="6" t="n">
        <v>2.73617123115932</v>
      </c>
      <c r="F559" s="6" t="n">
        <v>0.9185437189662378</v>
      </c>
      <c r="G559" s="5" t="n">
        <v>0</v>
      </c>
      <c r="H559" s="5" t="n">
        <v>1</v>
      </c>
      <c r="I559" s="5" t="n">
        <v>0</v>
      </c>
      <c r="J559" s="5" t="n">
        <v>0</v>
      </c>
      <c r="K559" s="5" t="n">
        <v>0</v>
      </c>
      <c r="L559" s="5" t="n">
        <v>0</v>
      </c>
      <c r="M559" s="5" t="n">
        <v>0</v>
      </c>
      <c r="N559" s="5" t="n">
        <v>0</v>
      </c>
      <c r="O559" s="5" t="n">
        <v>0</v>
      </c>
      <c r="P559" s="5" t="n">
        <v>0</v>
      </c>
      <c r="Q559" s="5" t="n">
        <v>0</v>
      </c>
      <c r="R559" s="5" t="n">
        <v>0</v>
      </c>
      <c r="S559" s="5" t="n">
        <v>0</v>
      </c>
      <c r="T559" s="5" t="n">
        <v>0</v>
      </c>
      <c r="U559" s="5" t="inlineStr">
        <is>
          <t>testing</t>
        </is>
      </c>
    </row>
    <row r="560">
      <c r="A560" s="5" t="n">
        <v>556</v>
      </c>
      <c r="B560" s="5" t="n">
        <v>1</v>
      </c>
      <c r="C560" s="6" t="n">
        <v>-0.7357010147163632</v>
      </c>
      <c r="D560" s="6" t="n">
        <v>-0.6716875968498065</v>
      </c>
      <c r="E560" s="6" t="n">
        <v>-1.177614700251023</v>
      </c>
      <c r="F560" s="6" t="n">
        <v>-0.8850484360866833</v>
      </c>
      <c r="G560" s="5" t="n">
        <v>0</v>
      </c>
      <c r="H560" s="5" t="n">
        <v>1</v>
      </c>
      <c r="I560" s="5" t="n">
        <v>0</v>
      </c>
      <c r="J560" s="5" t="n">
        <v>0</v>
      </c>
      <c r="K560" s="5" t="n">
        <v>0</v>
      </c>
      <c r="L560" s="5" t="n">
        <v>0</v>
      </c>
      <c r="M560" s="5" t="n">
        <v>0</v>
      </c>
      <c r="N560" s="5" t="n">
        <v>0</v>
      </c>
      <c r="O560" s="5" t="n">
        <v>0</v>
      </c>
      <c r="P560" s="5" t="n">
        <v>0</v>
      </c>
      <c r="Q560" s="5" t="n">
        <v>0</v>
      </c>
      <c r="R560" s="5" t="n">
        <v>0</v>
      </c>
      <c r="S560" s="5" t="n">
        <v>1</v>
      </c>
      <c r="T560" s="5" t="n">
        <v>0</v>
      </c>
      <c r="U560" s="5" t="inlineStr">
        <is>
          <t>testing</t>
        </is>
      </c>
    </row>
    <row r="561">
      <c r="A561" s="5" t="n">
        <v>557</v>
      </c>
      <c r="B561" s="5" t="n">
        <v>1</v>
      </c>
      <c r="C561" s="6" t="n">
        <v>-0.2301473069597001</v>
      </c>
      <c r="D561" s="6" t="n">
        <v>-0.3403391703865822</v>
      </c>
      <c r="E561" s="6" t="n">
        <v>-0.6557765760629775</v>
      </c>
      <c r="F561" s="6" t="n">
        <v>0.01674764143977723</v>
      </c>
      <c r="G561" s="5" t="n">
        <v>0</v>
      </c>
      <c r="H561" s="5" t="n">
        <v>1</v>
      </c>
      <c r="I561" s="5" t="n">
        <v>0</v>
      </c>
      <c r="J561" s="5" t="n">
        <v>0</v>
      </c>
      <c r="K561" s="5" t="n">
        <v>0</v>
      </c>
      <c r="L561" s="5" t="n">
        <v>1</v>
      </c>
      <c r="M561" s="5" t="n">
        <v>1</v>
      </c>
      <c r="N561" s="5" t="n">
        <v>0</v>
      </c>
      <c r="O561" s="5" t="n">
        <v>0</v>
      </c>
      <c r="P561" s="5" t="n">
        <v>0</v>
      </c>
      <c r="Q561" s="5" t="n">
        <v>0</v>
      </c>
      <c r="R561" s="5" t="n">
        <v>1</v>
      </c>
      <c r="S561" s="5" t="n">
        <v>0</v>
      </c>
      <c r="T561" s="5" t="n">
        <v>0</v>
      </c>
      <c r="U561" s="5" t="inlineStr">
        <is>
          <t>training</t>
        </is>
      </c>
    </row>
    <row r="562">
      <c r="A562" s="5" t="n">
        <v>558</v>
      </c>
      <c r="B562" s="5" t="n">
        <v>1</v>
      </c>
      <c r="C562" s="6" t="n">
        <v>0.02262954691863145</v>
      </c>
      <c r="D562" s="6" t="n">
        <v>0.6131185509569089</v>
      </c>
      <c r="E562" s="6" t="n">
        <v>-0.5688035553649698</v>
      </c>
      <c r="F562" s="6" t="n">
        <v>-1.786844513613144</v>
      </c>
      <c r="G562" s="5" t="n">
        <v>0</v>
      </c>
      <c r="H562" s="5" t="n">
        <v>0</v>
      </c>
      <c r="I562" s="5" t="n">
        <v>0</v>
      </c>
      <c r="J562" s="5" t="n">
        <v>0</v>
      </c>
      <c r="K562" s="5" t="n">
        <v>0</v>
      </c>
      <c r="L562" s="5" t="n">
        <v>1</v>
      </c>
      <c r="M562" s="5" t="n">
        <v>0</v>
      </c>
      <c r="N562" s="5" t="n">
        <v>0</v>
      </c>
      <c r="O562" s="5" t="n">
        <v>1</v>
      </c>
      <c r="P562" s="5" t="n">
        <v>0</v>
      </c>
      <c r="Q562" s="5" t="n">
        <v>0</v>
      </c>
      <c r="R562" s="5" t="n">
        <v>1</v>
      </c>
      <c r="S562" s="5" t="n">
        <v>0</v>
      </c>
      <c r="T562" s="5" t="n">
        <v>0</v>
      </c>
      <c r="U562" s="5" t="inlineStr">
        <is>
          <t>testing</t>
        </is>
      </c>
    </row>
    <row r="563">
      <c r="A563" s="5" t="n">
        <v>559</v>
      </c>
      <c r="B563" s="5" t="n">
        <v>1</v>
      </c>
      <c r="C563" s="6" t="n">
        <v>0.275406400796963</v>
      </c>
      <c r="D563" s="6" t="n">
        <v>0.105424182637861</v>
      </c>
      <c r="E563" s="6" t="n">
        <v>-0.7427495967609852</v>
      </c>
      <c r="F563" s="6" t="n">
        <v>0.01674764143977723</v>
      </c>
      <c r="G563" s="5" t="n">
        <v>1</v>
      </c>
      <c r="H563" s="5" t="n">
        <v>0</v>
      </c>
      <c r="I563" s="5" t="n">
        <v>0</v>
      </c>
      <c r="J563" s="5" t="n">
        <v>0</v>
      </c>
      <c r="K563" s="5" t="n">
        <v>0</v>
      </c>
      <c r="L563" s="5" t="n">
        <v>1</v>
      </c>
      <c r="M563" s="5" t="n">
        <v>0</v>
      </c>
      <c r="N563" s="5" t="n">
        <v>0</v>
      </c>
      <c r="O563" s="5" t="n">
        <v>0</v>
      </c>
      <c r="P563" s="5" t="n">
        <v>0</v>
      </c>
      <c r="Q563" s="5" t="n">
        <v>0</v>
      </c>
      <c r="R563" s="5" t="n">
        <v>0</v>
      </c>
      <c r="S563" s="5" t="n">
        <v>0</v>
      </c>
      <c r="T563" s="5" t="n">
        <v>1</v>
      </c>
      <c r="U563" s="5" t="inlineStr">
        <is>
          <t>training</t>
        </is>
      </c>
    </row>
    <row r="564">
      <c r="A564" s="5" t="n">
        <v>560</v>
      </c>
      <c r="B564" s="5" t="n">
        <v>1</v>
      </c>
      <c r="C564" s="6" t="n">
        <v>-0.2301473069597001</v>
      </c>
      <c r="D564" s="6" t="n">
        <v>-0.462801630008682</v>
      </c>
      <c r="E564" s="6" t="n">
        <v>-0.3948575139689546</v>
      </c>
      <c r="F564" s="6" t="n">
        <v>-0.8850484360866833</v>
      </c>
      <c r="G564" s="5" t="n">
        <v>0</v>
      </c>
      <c r="H564" s="5" t="n">
        <v>1</v>
      </c>
      <c r="I564" s="5" t="n">
        <v>0</v>
      </c>
      <c r="J564" s="5" t="n">
        <v>1</v>
      </c>
      <c r="K564" s="5" t="n">
        <v>0</v>
      </c>
      <c r="L564" s="5" t="n">
        <v>0</v>
      </c>
      <c r="M564" s="5" t="n">
        <v>0</v>
      </c>
      <c r="N564" s="5" t="n">
        <v>0</v>
      </c>
      <c r="O564" s="5" t="n">
        <v>0</v>
      </c>
      <c r="P564" s="5" t="n">
        <v>0</v>
      </c>
      <c r="Q564" s="5" t="n">
        <v>0</v>
      </c>
      <c r="R564" s="5" t="n">
        <v>0</v>
      </c>
      <c r="S564" s="5" t="n">
        <v>0</v>
      </c>
      <c r="T564" s="5" t="n">
        <v>1</v>
      </c>
      <c r="U564" s="5" t="inlineStr">
        <is>
          <t>training</t>
        </is>
      </c>
    </row>
    <row r="565">
      <c r="A565" s="5" t="n">
        <v>561</v>
      </c>
      <c r="B565" s="5" t="n">
        <v>0</v>
      </c>
      <c r="C565" s="6" t="n">
        <v>0.275406400796963</v>
      </c>
      <c r="D565" s="6" t="n">
        <v>-0.1003127495272666</v>
      </c>
      <c r="E565" s="6" t="n">
        <v>1.170656858595183</v>
      </c>
      <c r="F565" s="6" t="n">
        <v>0.9185437189662378</v>
      </c>
      <c r="G565" s="5" t="n">
        <v>1</v>
      </c>
      <c r="H565" s="5" t="n">
        <v>0</v>
      </c>
      <c r="I565" s="5" t="n">
        <v>0</v>
      </c>
      <c r="J565" s="5" t="n">
        <v>0</v>
      </c>
      <c r="K565" s="5" t="n">
        <v>0</v>
      </c>
      <c r="L565" s="5" t="n">
        <v>0</v>
      </c>
      <c r="M565" s="5" t="n">
        <v>0</v>
      </c>
      <c r="N565" s="5" t="n">
        <v>0</v>
      </c>
      <c r="O565" s="5" t="n">
        <v>1</v>
      </c>
      <c r="P565" s="5" t="n">
        <v>0</v>
      </c>
      <c r="Q565" s="5" t="n">
        <v>1</v>
      </c>
      <c r="R565" s="5" t="n">
        <v>1</v>
      </c>
      <c r="S565" s="5" t="n">
        <v>0</v>
      </c>
      <c r="T565" s="5" t="n">
        <v>0</v>
      </c>
      <c r="U565" s="5" t="inlineStr">
        <is>
          <t>training</t>
        </is>
      </c>
    </row>
    <row r="566">
      <c r="A566" s="5" t="n">
        <v>562</v>
      </c>
      <c r="B566" s="5" t="n">
        <v>1</v>
      </c>
      <c r="C566" s="6" t="n">
        <v>0.275406400796963</v>
      </c>
      <c r="D566" s="6" t="n">
        <v>-0.5964606573676594</v>
      </c>
      <c r="E566" s="6" t="n">
        <v>-1.003668658855008</v>
      </c>
      <c r="F566" s="6" t="n">
        <v>0.9185437189662378</v>
      </c>
      <c r="G566" s="5" t="n">
        <v>1</v>
      </c>
      <c r="H566" s="5" t="n">
        <v>0</v>
      </c>
      <c r="I566" s="5" t="n">
        <v>0</v>
      </c>
      <c r="J566" s="5" t="n">
        <v>0</v>
      </c>
      <c r="K566" s="5" t="n">
        <v>0</v>
      </c>
      <c r="L566" s="5" t="n">
        <v>1</v>
      </c>
      <c r="M566" s="5" t="n">
        <v>0</v>
      </c>
      <c r="N566" s="5" t="n">
        <v>0</v>
      </c>
      <c r="O566" s="5" t="n">
        <v>0</v>
      </c>
      <c r="P566" s="5" t="n">
        <v>1</v>
      </c>
      <c r="Q566" s="5" t="n">
        <v>0</v>
      </c>
      <c r="R566" s="5" t="n">
        <v>0</v>
      </c>
      <c r="S566" s="5" t="n">
        <v>1</v>
      </c>
      <c r="T566" s="5" t="n">
        <v>0</v>
      </c>
      <c r="U566" s="5" t="inlineStr">
        <is>
          <t>testing</t>
        </is>
      </c>
    </row>
    <row r="567">
      <c r="A567" s="5" t="n">
        <v>563</v>
      </c>
      <c r="B567" s="5" t="n">
        <v>0</v>
      </c>
      <c r="C567" s="6" t="n">
        <v>-1.241254722473026</v>
      </c>
      <c r="D567" s="6" t="n">
        <v>-0.8984180935215798</v>
      </c>
      <c r="E567" s="6" t="n">
        <v>-0.5688035553649698</v>
      </c>
      <c r="F567" s="6" t="n">
        <v>-0.8850484360866833</v>
      </c>
      <c r="G567" s="5" t="n">
        <v>0</v>
      </c>
      <c r="H567" s="5" t="n">
        <v>0</v>
      </c>
      <c r="I567" s="5" t="n">
        <v>1</v>
      </c>
      <c r="J567" s="5" t="n">
        <v>0</v>
      </c>
      <c r="K567" s="5" t="n">
        <v>1</v>
      </c>
      <c r="L567" s="5" t="n">
        <v>0</v>
      </c>
      <c r="M567" s="5" t="n">
        <v>0</v>
      </c>
      <c r="N567" s="5" t="n">
        <v>0</v>
      </c>
      <c r="O567" s="5" t="n">
        <v>0</v>
      </c>
      <c r="P567" s="5" t="n">
        <v>0</v>
      </c>
      <c r="Q567" s="5" t="n">
        <v>0</v>
      </c>
      <c r="R567" s="5" t="n">
        <v>0</v>
      </c>
      <c r="S567" s="5" t="n">
        <v>1</v>
      </c>
      <c r="T567" s="5" t="n">
        <v>0</v>
      </c>
      <c r="U567" s="5" t="inlineStr">
        <is>
          <t>testing</t>
        </is>
      </c>
    </row>
    <row r="568">
      <c r="A568" s="5" t="n">
        <v>564</v>
      </c>
      <c r="B568" s="5" t="n">
        <v>1</v>
      </c>
      <c r="C568" s="6" t="n">
        <v>1.286513816310289</v>
      </c>
      <c r="D568" s="6" t="n">
        <v>3.197426341724992</v>
      </c>
      <c r="E568" s="6" t="n">
        <v>0.1269806102190912</v>
      </c>
      <c r="F568" s="6" t="n">
        <v>-1.786844513613144</v>
      </c>
      <c r="G568" s="5" t="n">
        <v>0</v>
      </c>
      <c r="H568" s="5" t="n">
        <v>1</v>
      </c>
      <c r="I568" s="5" t="n">
        <v>0</v>
      </c>
      <c r="J568" s="5" t="n">
        <v>0</v>
      </c>
      <c r="K568" s="5" t="n">
        <v>0</v>
      </c>
      <c r="L568" s="5" t="n">
        <v>0</v>
      </c>
      <c r="M568" s="5" t="n">
        <v>0</v>
      </c>
      <c r="N568" s="5" t="n">
        <v>0</v>
      </c>
      <c r="O568" s="5" t="n">
        <v>1</v>
      </c>
      <c r="P568" s="5" t="n">
        <v>0</v>
      </c>
      <c r="Q568" s="5" t="n">
        <v>1</v>
      </c>
      <c r="R568" s="5" t="n">
        <v>1</v>
      </c>
      <c r="S568" s="5" t="n">
        <v>0</v>
      </c>
      <c r="T568" s="5" t="n">
        <v>0</v>
      </c>
      <c r="U568" s="5" t="inlineStr">
        <is>
          <t>testing</t>
        </is>
      </c>
    </row>
    <row r="569">
      <c r="A569" s="5" t="n">
        <v>565</v>
      </c>
      <c r="B569" s="5" t="n">
        <v>0</v>
      </c>
      <c r="C569" s="6" t="n">
        <v>0.275406400796963</v>
      </c>
      <c r="D569" s="6" t="n">
        <v>0.5112997630996774</v>
      </c>
      <c r="E569" s="6" t="n">
        <v>0.1269806102190912</v>
      </c>
      <c r="F569" s="6" t="n">
        <v>0.9185437189662378</v>
      </c>
      <c r="G569" s="5" t="n">
        <v>0</v>
      </c>
      <c r="H569" s="5" t="n">
        <v>1</v>
      </c>
      <c r="I569" s="5" t="n">
        <v>0</v>
      </c>
      <c r="J569" s="5" t="n">
        <v>0</v>
      </c>
      <c r="K569" s="5" t="n">
        <v>1</v>
      </c>
      <c r="L569" s="5" t="n">
        <v>0</v>
      </c>
      <c r="M569" s="5" t="n">
        <v>0</v>
      </c>
      <c r="N569" s="5" t="n">
        <v>0</v>
      </c>
      <c r="O569" s="5" t="n">
        <v>1</v>
      </c>
      <c r="P569" s="5" t="n">
        <v>0</v>
      </c>
      <c r="Q569" s="5" t="n">
        <v>0</v>
      </c>
      <c r="R569" s="5" t="n">
        <v>0</v>
      </c>
      <c r="S569" s="5" t="n">
        <v>0</v>
      </c>
      <c r="T569" s="5" t="n">
        <v>0</v>
      </c>
      <c r="U569" s="5" t="inlineStr">
        <is>
          <t>training</t>
        </is>
      </c>
    </row>
    <row r="570">
      <c r="A570" s="5" t="n">
        <v>566</v>
      </c>
      <c r="B570" s="5" t="n">
        <v>0</v>
      </c>
      <c r="C570" s="6" t="n">
        <v>0.275406400796963</v>
      </c>
      <c r="D570" s="6" t="n">
        <v>-0.5940114081752175</v>
      </c>
      <c r="E570" s="6" t="n">
        <v>-1.090641679553016</v>
      </c>
      <c r="F570" s="6" t="n">
        <v>0.01674764143977723</v>
      </c>
      <c r="G570" s="5" t="n">
        <v>0</v>
      </c>
      <c r="H570" s="5" t="n">
        <v>1</v>
      </c>
      <c r="I570" s="5" t="n">
        <v>0</v>
      </c>
      <c r="J570" s="5" t="n">
        <v>0</v>
      </c>
      <c r="K570" s="5" t="n">
        <v>1</v>
      </c>
      <c r="L570" s="5" t="n">
        <v>0</v>
      </c>
      <c r="M570" s="5" t="n">
        <v>1</v>
      </c>
      <c r="N570" s="5" t="n">
        <v>0</v>
      </c>
      <c r="O570" s="5" t="n">
        <v>0</v>
      </c>
      <c r="P570" s="5" t="n">
        <v>1</v>
      </c>
      <c r="Q570" s="5" t="n">
        <v>0</v>
      </c>
      <c r="R570" s="5" t="n">
        <v>0</v>
      </c>
      <c r="S570" s="5" t="n">
        <v>1</v>
      </c>
      <c r="T570" s="5" t="n">
        <v>0</v>
      </c>
      <c r="U570" s="5" t="inlineStr">
        <is>
          <t>training</t>
        </is>
      </c>
    </row>
    <row r="571">
      <c r="A571" s="5" t="n">
        <v>567</v>
      </c>
      <c r="B571" s="5" t="n">
        <v>1</v>
      </c>
      <c r="C571" s="6" t="n">
        <v>-0.7357010147163632</v>
      </c>
      <c r="D571" s="6" t="n">
        <v>-0.6573419944369319</v>
      </c>
      <c r="E571" s="6" t="n">
        <v>0.04000758952108359</v>
      </c>
      <c r="F571" s="6" t="n">
        <v>-0.8850484360866833</v>
      </c>
      <c r="G571" s="5" t="n">
        <v>1</v>
      </c>
      <c r="H571" s="5" t="n">
        <v>0</v>
      </c>
      <c r="I571" s="5" t="n">
        <v>0</v>
      </c>
      <c r="J571" s="5" t="n">
        <v>0</v>
      </c>
      <c r="K571" s="5" t="n">
        <v>0</v>
      </c>
      <c r="L571" s="5" t="n">
        <v>0</v>
      </c>
      <c r="M571" s="5" t="n">
        <v>0</v>
      </c>
      <c r="N571" s="5" t="n">
        <v>0</v>
      </c>
      <c r="O571" s="5" t="n">
        <v>0</v>
      </c>
      <c r="P571" s="5" t="n">
        <v>0</v>
      </c>
      <c r="Q571" s="5" t="n">
        <v>0</v>
      </c>
      <c r="R571" s="5" t="n">
        <v>1</v>
      </c>
      <c r="S571" s="5" t="n">
        <v>0</v>
      </c>
      <c r="T571" s="5" t="n">
        <v>0</v>
      </c>
      <c r="U571" s="5" t="inlineStr">
        <is>
          <t>testing</t>
        </is>
      </c>
    </row>
    <row r="572">
      <c r="A572" s="5" t="n">
        <v>568</v>
      </c>
      <c r="B572" s="5" t="n">
        <v>0</v>
      </c>
      <c r="C572" s="6" t="n">
        <v>0.275406400796963</v>
      </c>
      <c r="D572" s="6" t="n">
        <v>-0.2353713478533538</v>
      </c>
      <c r="E572" s="6" t="n">
        <v>-0.1339384518749317</v>
      </c>
      <c r="F572" s="6" t="n">
        <v>-0.8850484360866833</v>
      </c>
      <c r="G572" s="5" t="n">
        <v>0</v>
      </c>
      <c r="H572" s="5" t="n">
        <v>0</v>
      </c>
      <c r="I572" s="5" t="n">
        <v>0</v>
      </c>
      <c r="J572" s="5" t="n">
        <v>1</v>
      </c>
      <c r="K572" s="5" t="n">
        <v>0</v>
      </c>
      <c r="L572" s="5" t="n">
        <v>0</v>
      </c>
      <c r="M572" s="5" t="n">
        <v>0</v>
      </c>
      <c r="N572" s="5" t="n">
        <v>1</v>
      </c>
      <c r="O572" s="5" t="n">
        <v>0</v>
      </c>
      <c r="P572" s="5" t="n">
        <v>0</v>
      </c>
      <c r="Q572" s="5" t="n">
        <v>0</v>
      </c>
      <c r="R572" s="5" t="n">
        <v>0</v>
      </c>
      <c r="S572" s="5" t="n">
        <v>1</v>
      </c>
      <c r="T572" s="5" t="n">
        <v>0</v>
      </c>
      <c r="U572" s="5" t="inlineStr">
        <is>
          <t>testing</t>
        </is>
      </c>
    </row>
    <row r="573">
      <c r="A573" s="5" t="n">
        <v>569</v>
      </c>
      <c r="B573" s="5" t="n">
        <v>0</v>
      </c>
      <c r="C573" s="6" t="n">
        <v>2.297621231823615</v>
      </c>
      <c r="D573" s="6" t="n">
        <v>0.2548283833768227</v>
      </c>
      <c r="E573" s="6" t="n">
        <v>0.4748726930111218</v>
      </c>
      <c r="F573" s="6" t="n">
        <v>0.9185437189662378</v>
      </c>
      <c r="G573" s="5" t="n">
        <v>0</v>
      </c>
      <c r="H573" s="5" t="n">
        <v>1</v>
      </c>
      <c r="I573" s="5" t="n">
        <v>0</v>
      </c>
      <c r="J573" s="5" t="n">
        <v>0</v>
      </c>
      <c r="K573" s="5" t="n">
        <v>0</v>
      </c>
      <c r="L573" s="5" t="n">
        <v>0</v>
      </c>
      <c r="M573" s="5" t="n">
        <v>0</v>
      </c>
      <c r="N573" s="5" t="n">
        <v>0</v>
      </c>
      <c r="O573" s="5" t="n">
        <v>1</v>
      </c>
      <c r="P573" s="5" t="n">
        <v>0</v>
      </c>
      <c r="Q573" s="5" t="n">
        <v>0</v>
      </c>
      <c r="R573" s="5" t="n">
        <v>0</v>
      </c>
      <c r="S573" s="5" t="n">
        <v>1</v>
      </c>
      <c r="T573" s="5" t="n">
        <v>0</v>
      </c>
      <c r="U573" s="5" t="inlineStr">
        <is>
          <t>training</t>
        </is>
      </c>
    </row>
    <row r="574">
      <c r="A574" s="5" t="n">
        <v>570</v>
      </c>
      <c r="B574" s="5" t="n">
        <v>1</v>
      </c>
      <c r="C574" s="6" t="n">
        <v>2.297621231823615</v>
      </c>
      <c r="D574" s="6" t="n">
        <v>1.227180312776295</v>
      </c>
      <c r="E574" s="6" t="n">
        <v>-0.3948575139689546</v>
      </c>
      <c r="F574" s="6" t="n">
        <v>0.01674764143977723</v>
      </c>
      <c r="G574" s="5" t="n">
        <v>1</v>
      </c>
      <c r="H574" s="5" t="n">
        <v>0</v>
      </c>
      <c r="I574" s="5" t="n">
        <v>0</v>
      </c>
      <c r="J574" s="5" t="n">
        <v>0</v>
      </c>
      <c r="K574" s="5" t="n">
        <v>0</v>
      </c>
      <c r="L574" s="5" t="n">
        <v>0</v>
      </c>
      <c r="M574" s="5" t="n">
        <v>0</v>
      </c>
      <c r="N574" s="5" t="n">
        <v>0</v>
      </c>
      <c r="O574" s="5" t="n">
        <v>0</v>
      </c>
      <c r="P574" s="5" t="n">
        <v>0</v>
      </c>
      <c r="Q574" s="5" t="n">
        <v>0</v>
      </c>
      <c r="R574" s="5" t="n">
        <v>0</v>
      </c>
      <c r="S574" s="5" t="n">
        <v>1</v>
      </c>
      <c r="T574" s="5" t="n">
        <v>0</v>
      </c>
      <c r="U574" s="5" t="inlineStr">
        <is>
          <t>training</t>
        </is>
      </c>
    </row>
    <row r="575">
      <c r="A575" s="5" t="n">
        <v>571</v>
      </c>
      <c r="B575" s="5" t="n">
        <v>1</v>
      </c>
      <c r="C575" s="6" t="n">
        <v>0.275406400796963</v>
      </c>
      <c r="D575" s="6" t="n">
        <v>-0.00584170924736107</v>
      </c>
      <c r="E575" s="6" t="n">
        <v>-1.090641679553016</v>
      </c>
      <c r="F575" s="6" t="n">
        <v>0.9185437189662378</v>
      </c>
      <c r="G575" s="5" t="n">
        <v>1</v>
      </c>
      <c r="H575" s="5" t="n">
        <v>0</v>
      </c>
      <c r="I575" s="5" t="n">
        <v>0</v>
      </c>
      <c r="J575" s="5" t="n">
        <v>0</v>
      </c>
      <c r="K575" s="5" t="n">
        <v>0</v>
      </c>
      <c r="L575" s="5" t="n">
        <v>0</v>
      </c>
      <c r="M575" s="5" t="n">
        <v>0</v>
      </c>
      <c r="N575" s="5" t="n">
        <v>0</v>
      </c>
      <c r="O575" s="5" t="n">
        <v>0</v>
      </c>
      <c r="P575" s="5" t="n">
        <v>1</v>
      </c>
      <c r="Q575" s="5" t="n">
        <v>0</v>
      </c>
      <c r="R575" s="5" t="n">
        <v>0</v>
      </c>
      <c r="S575" s="5" t="n">
        <v>0</v>
      </c>
      <c r="T575" s="5" t="n">
        <v>1</v>
      </c>
      <c r="U575" s="5" t="inlineStr">
        <is>
          <t>testing</t>
        </is>
      </c>
    </row>
    <row r="576">
      <c r="A576" s="5" t="n">
        <v>572</v>
      </c>
      <c r="B576" s="5" t="n">
        <v>0</v>
      </c>
      <c r="C576" s="6" t="n">
        <v>0.7809601085536261</v>
      </c>
      <c r="D576" s="6" t="n">
        <v>0.9458665483872429</v>
      </c>
      <c r="E576" s="6" t="n">
        <v>0.2139536309170988</v>
      </c>
      <c r="F576" s="6" t="n">
        <v>0.01674764143977723</v>
      </c>
      <c r="G576" s="5" t="n">
        <v>0</v>
      </c>
      <c r="H576" s="5" t="n">
        <v>0</v>
      </c>
      <c r="I576" s="5" t="n">
        <v>0</v>
      </c>
      <c r="J576" s="5" t="n">
        <v>1</v>
      </c>
      <c r="K576" s="5" t="n">
        <v>0</v>
      </c>
      <c r="L576" s="5" t="n">
        <v>0</v>
      </c>
      <c r="M576" s="5" t="n">
        <v>0</v>
      </c>
      <c r="N576" s="5" t="n">
        <v>0</v>
      </c>
      <c r="O576" s="5" t="n">
        <v>0</v>
      </c>
      <c r="P576" s="5" t="n">
        <v>0</v>
      </c>
      <c r="Q576" s="5" t="n">
        <v>0</v>
      </c>
      <c r="R576" s="5" t="n">
        <v>0</v>
      </c>
      <c r="S576" s="5" t="n">
        <v>1</v>
      </c>
      <c r="T576" s="5" t="n">
        <v>0</v>
      </c>
      <c r="U576" s="5" t="inlineStr">
        <is>
          <t>training</t>
        </is>
      </c>
    </row>
    <row r="577">
      <c r="A577" s="5" t="n">
        <v>573</v>
      </c>
      <c r="B577" s="5" t="n">
        <v>0</v>
      </c>
      <c r="C577" s="6" t="n">
        <v>0.275406400796963</v>
      </c>
      <c r="D577" s="6" t="n">
        <v>0.763572429921203</v>
      </c>
      <c r="E577" s="6" t="n">
        <v>-0.8297226174589928</v>
      </c>
      <c r="F577" s="6" t="n">
        <v>-0.8850484360866833</v>
      </c>
      <c r="G577" s="5" t="n">
        <v>0</v>
      </c>
      <c r="H577" s="5" t="n">
        <v>0</v>
      </c>
      <c r="I577" s="5" t="n">
        <v>0</v>
      </c>
      <c r="J577" s="5" t="n">
        <v>0</v>
      </c>
      <c r="K577" s="5" t="n">
        <v>0</v>
      </c>
      <c r="L577" s="5" t="n">
        <v>0</v>
      </c>
      <c r="M577" s="5" t="n">
        <v>0</v>
      </c>
      <c r="N577" s="5" t="n">
        <v>0</v>
      </c>
      <c r="O577" s="5" t="n">
        <v>1</v>
      </c>
      <c r="P577" s="5" t="n">
        <v>1</v>
      </c>
      <c r="Q577" s="5" t="n">
        <v>0</v>
      </c>
      <c r="R577" s="5" t="n">
        <v>1</v>
      </c>
      <c r="S577" s="5" t="n">
        <v>0</v>
      </c>
      <c r="T577" s="5" t="n">
        <v>0</v>
      </c>
      <c r="U577" s="5" t="inlineStr">
        <is>
          <t>testing</t>
        </is>
      </c>
    </row>
    <row r="578">
      <c r="A578" s="5" t="n">
        <v>574</v>
      </c>
      <c r="B578" s="5" t="n">
        <v>0</v>
      </c>
      <c r="C578" s="6" t="n">
        <v>-0.4829241608380317</v>
      </c>
      <c r="D578" s="6" t="n">
        <v>-0.8553812862829562</v>
      </c>
      <c r="E578" s="6" t="n">
        <v>-1.177614700251023</v>
      </c>
      <c r="F578" s="6" t="n">
        <v>0.9185437189662378</v>
      </c>
      <c r="G578" s="5" t="n">
        <v>1</v>
      </c>
      <c r="H578" s="5" t="n">
        <v>0</v>
      </c>
      <c r="I578" s="5" t="n">
        <v>0</v>
      </c>
      <c r="J578" s="5" t="n">
        <v>0</v>
      </c>
      <c r="K578" s="5" t="n">
        <v>0</v>
      </c>
      <c r="L578" s="5" t="n">
        <v>0</v>
      </c>
      <c r="M578" s="5" t="n">
        <v>0</v>
      </c>
      <c r="N578" s="5" t="n">
        <v>0</v>
      </c>
      <c r="O578" s="5" t="n">
        <v>0</v>
      </c>
      <c r="P578" s="5" t="n">
        <v>0</v>
      </c>
      <c r="Q578" s="5" t="n">
        <v>0</v>
      </c>
      <c r="R578" s="5" t="n">
        <v>0</v>
      </c>
      <c r="S578" s="5" t="n">
        <v>0</v>
      </c>
      <c r="T578" s="5" t="n">
        <v>0</v>
      </c>
      <c r="U578" s="5" t="inlineStr">
        <is>
          <t>training</t>
        </is>
      </c>
    </row>
    <row r="579">
      <c r="A579" s="5" t="n">
        <v>575</v>
      </c>
      <c r="B579" s="5" t="n">
        <v>0</v>
      </c>
      <c r="C579" s="6" t="n">
        <v>-0.9884778685946948</v>
      </c>
      <c r="D579" s="6" t="n">
        <v>-0.758810889552386</v>
      </c>
      <c r="E579" s="6" t="n">
        <v>-0.7427495967609852</v>
      </c>
      <c r="F579" s="6" t="n">
        <v>0.9185437189662378</v>
      </c>
      <c r="G579" s="5" t="n">
        <v>0</v>
      </c>
      <c r="H579" s="5" t="n">
        <v>1</v>
      </c>
      <c r="I579" s="5" t="n">
        <v>0</v>
      </c>
      <c r="J579" s="5" t="n">
        <v>0</v>
      </c>
      <c r="K579" s="5" t="n">
        <v>0</v>
      </c>
      <c r="L579" s="5" t="n">
        <v>0</v>
      </c>
      <c r="M579" s="5" t="n">
        <v>0</v>
      </c>
      <c r="N579" s="5" t="n">
        <v>0</v>
      </c>
      <c r="O579" s="5" t="n">
        <v>0</v>
      </c>
      <c r="P579" s="5" t="n">
        <v>0</v>
      </c>
      <c r="Q579" s="5" t="n">
        <v>0</v>
      </c>
      <c r="R579" s="5" t="n">
        <v>0</v>
      </c>
      <c r="S579" s="5" t="n">
        <v>1</v>
      </c>
      <c r="T579" s="5" t="n">
        <v>0</v>
      </c>
      <c r="U579" s="5" t="inlineStr">
        <is>
          <t>training</t>
        </is>
      </c>
    </row>
    <row r="580">
      <c r="A580" s="5" t="n">
        <v>576</v>
      </c>
      <c r="B580" s="5" t="n">
        <v>0</v>
      </c>
      <c r="C580" s="6" t="n">
        <v>-0.4829241608380317</v>
      </c>
      <c r="D580" s="6" t="n">
        <v>-0.1618938720800939</v>
      </c>
      <c r="E580" s="6" t="n">
        <v>-1.003668658855008</v>
      </c>
      <c r="F580" s="6" t="n">
        <v>-0.8850484360866833</v>
      </c>
      <c r="G580" s="5" t="n">
        <v>0</v>
      </c>
      <c r="H580" s="5" t="n">
        <v>0</v>
      </c>
      <c r="I580" s="5" t="n">
        <v>0</v>
      </c>
      <c r="J580" s="5" t="n">
        <v>1</v>
      </c>
      <c r="K580" s="5" t="n">
        <v>0</v>
      </c>
      <c r="L580" s="5" t="n">
        <v>0</v>
      </c>
      <c r="M580" s="5" t="n">
        <v>0</v>
      </c>
      <c r="N580" s="5" t="n">
        <v>0</v>
      </c>
      <c r="O580" s="5" t="n">
        <v>0</v>
      </c>
      <c r="P580" s="5" t="n">
        <v>0</v>
      </c>
      <c r="Q580" s="5" t="n">
        <v>0</v>
      </c>
      <c r="R580" s="5" t="n">
        <v>0</v>
      </c>
      <c r="S580" s="5" t="n">
        <v>0</v>
      </c>
      <c r="T580" s="5" t="n">
        <v>1</v>
      </c>
      <c r="U580" s="5" t="inlineStr">
        <is>
          <t>training</t>
        </is>
      </c>
    </row>
    <row r="581">
      <c r="A581" s="5" t="n">
        <v>577</v>
      </c>
      <c r="B581" s="5" t="n">
        <v>0</v>
      </c>
      <c r="C581" s="6" t="n">
        <v>-0.7357010147163632</v>
      </c>
      <c r="D581" s="6" t="n">
        <v>-0.1122091027476992</v>
      </c>
      <c r="E581" s="6" t="n">
        <v>-0.7427495967609852</v>
      </c>
      <c r="F581" s="6" t="n">
        <v>-0.8850484360866833</v>
      </c>
      <c r="G581" s="5" t="n">
        <v>0</v>
      </c>
      <c r="H581" s="5" t="n">
        <v>1</v>
      </c>
      <c r="I581" s="5" t="n">
        <v>0</v>
      </c>
      <c r="J581" s="5" t="n">
        <v>0</v>
      </c>
      <c r="K581" s="5" t="n">
        <v>0</v>
      </c>
      <c r="L581" s="5" t="n">
        <v>0</v>
      </c>
      <c r="M581" s="5" t="n">
        <v>0</v>
      </c>
      <c r="N581" s="5" t="n">
        <v>0</v>
      </c>
      <c r="O581" s="5" t="n">
        <v>0</v>
      </c>
      <c r="P581" s="5" t="n">
        <v>0</v>
      </c>
      <c r="Q581" s="5" t="n">
        <v>0</v>
      </c>
      <c r="R581" s="5" t="n">
        <v>0</v>
      </c>
      <c r="S581" s="5" t="n">
        <v>1</v>
      </c>
      <c r="T581" s="5" t="n">
        <v>0</v>
      </c>
      <c r="U581" s="5" t="inlineStr">
        <is>
          <t>training</t>
        </is>
      </c>
    </row>
    <row r="582">
      <c r="A582" s="5" t="n">
        <v>578</v>
      </c>
      <c r="B582" s="5" t="n">
        <v>0</v>
      </c>
      <c r="C582" s="6" t="n">
        <v>0.275406400796963</v>
      </c>
      <c r="D582" s="6" t="n">
        <v>-0.4631515227504594</v>
      </c>
      <c r="E582" s="6" t="n">
        <v>-0.2209114725729393</v>
      </c>
      <c r="F582" s="6" t="n">
        <v>0.01674764143977723</v>
      </c>
      <c r="G582" s="5" t="n">
        <v>0</v>
      </c>
      <c r="H582" s="5" t="n">
        <v>0</v>
      </c>
      <c r="I582" s="5" t="n">
        <v>0</v>
      </c>
      <c r="J582" s="5" t="n">
        <v>1</v>
      </c>
      <c r="K582" s="5" t="n">
        <v>0</v>
      </c>
      <c r="L582" s="5" t="n">
        <v>0</v>
      </c>
      <c r="M582" s="5" t="n">
        <v>0</v>
      </c>
      <c r="N582" s="5" t="n">
        <v>0</v>
      </c>
      <c r="O582" s="5" t="n">
        <v>1</v>
      </c>
      <c r="P582" s="5" t="n">
        <v>0</v>
      </c>
      <c r="Q582" s="5" t="n">
        <v>0</v>
      </c>
      <c r="R582" s="5" t="n">
        <v>0</v>
      </c>
      <c r="S582" s="5" t="n">
        <v>0</v>
      </c>
      <c r="T582" s="5" t="n">
        <v>0</v>
      </c>
      <c r="U582" s="5" t="inlineStr">
        <is>
          <t>training</t>
        </is>
      </c>
    </row>
    <row r="583">
      <c r="A583" s="5" t="n">
        <v>579</v>
      </c>
      <c r="B583" s="5" t="n">
        <v>1</v>
      </c>
      <c r="C583" s="6" t="n">
        <v>1.286513816310289</v>
      </c>
      <c r="D583" s="6" t="n">
        <v>-0.1506973043432162</v>
      </c>
      <c r="E583" s="6" t="n">
        <v>-0.7427495967609852</v>
      </c>
      <c r="F583" s="6" t="n">
        <v>0.9185437189662378</v>
      </c>
      <c r="G583" s="5" t="n">
        <v>0</v>
      </c>
      <c r="H583" s="5" t="n">
        <v>1</v>
      </c>
      <c r="I583" s="5" t="n">
        <v>0</v>
      </c>
      <c r="J583" s="5" t="n">
        <v>1</v>
      </c>
      <c r="K583" s="5" t="n">
        <v>0</v>
      </c>
      <c r="L583" s="5" t="n">
        <v>0</v>
      </c>
      <c r="M583" s="5" t="n">
        <v>0</v>
      </c>
      <c r="N583" s="5" t="n">
        <v>0</v>
      </c>
      <c r="O583" s="5" t="n">
        <v>0</v>
      </c>
      <c r="P583" s="5" t="n">
        <v>0</v>
      </c>
      <c r="Q583" s="5" t="n">
        <v>0</v>
      </c>
      <c r="R583" s="5" t="n">
        <v>1</v>
      </c>
      <c r="S583" s="5" t="n">
        <v>0</v>
      </c>
      <c r="T583" s="5" t="n">
        <v>0</v>
      </c>
      <c r="U583" s="5" t="inlineStr">
        <is>
          <t>training</t>
        </is>
      </c>
    </row>
    <row r="584">
      <c r="A584" s="5" t="n">
        <v>580</v>
      </c>
      <c r="B584" s="5" t="n">
        <v>0</v>
      </c>
      <c r="C584" s="6" t="n">
        <v>0.275406400796963</v>
      </c>
      <c r="D584" s="6" t="n">
        <v>-0.8095453371101131</v>
      </c>
      <c r="E584" s="6" t="n">
        <v>-0.7427495967609852</v>
      </c>
      <c r="F584" s="6" t="n">
        <v>0.9185437189662378</v>
      </c>
      <c r="G584" s="5" t="n">
        <v>0</v>
      </c>
      <c r="H584" s="5" t="n">
        <v>0</v>
      </c>
      <c r="I584" s="5" t="n">
        <v>0</v>
      </c>
      <c r="J584" s="5" t="n">
        <v>0</v>
      </c>
      <c r="K584" s="5" t="n">
        <v>0</v>
      </c>
      <c r="L584" s="5" t="n">
        <v>0</v>
      </c>
      <c r="M584" s="5" t="n">
        <v>0</v>
      </c>
      <c r="N584" s="5" t="n">
        <v>0</v>
      </c>
      <c r="O584" s="5" t="n">
        <v>0</v>
      </c>
      <c r="P584" s="5" t="n">
        <v>0</v>
      </c>
      <c r="Q584" s="5" t="n">
        <v>0</v>
      </c>
      <c r="R584" s="5" t="n">
        <v>0</v>
      </c>
      <c r="S584" s="5" t="n">
        <v>0</v>
      </c>
      <c r="T584" s="5" t="n">
        <v>0</v>
      </c>
      <c r="U584" s="5" t="inlineStr">
        <is>
          <t>training</t>
        </is>
      </c>
    </row>
    <row r="585">
      <c r="A585" s="5" t="n">
        <v>581</v>
      </c>
      <c r="B585" s="5" t="n">
        <v>1</v>
      </c>
      <c r="C585" s="6" t="n">
        <v>-0.2301473069597001</v>
      </c>
      <c r="D585" s="6" t="n">
        <v>-0.7679081008385992</v>
      </c>
      <c r="E585" s="6" t="n">
        <v>-0.4818305346669622</v>
      </c>
      <c r="F585" s="6" t="n">
        <v>0.01674764143977723</v>
      </c>
      <c r="G585" s="5" t="n">
        <v>0</v>
      </c>
      <c r="H585" s="5" t="n">
        <v>1</v>
      </c>
      <c r="I585" s="5" t="n">
        <v>0</v>
      </c>
      <c r="J585" s="5" t="n">
        <v>1</v>
      </c>
      <c r="K585" s="5" t="n">
        <v>0</v>
      </c>
      <c r="L585" s="5" t="n">
        <v>0</v>
      </c>
      <c r="M585" s="5" t="n">
        <v>0</v>
      </c>
      <c r="N585" s="5" t="n">
        <v>0</v>
      </c>
      <c r="O585" s="5" t="n">
        <v>0</v>
      </c>
      <c r="P585" s="5" t="n">
        <v>0</v>
      </c>
      <c r="Q585" s="5" t="n">
        <v>0</v>
      </c>
      <c r="R585" s="5" t="n">
        <v>1</v>
      </c>
      <c r="S585" s="5" t="n">
        <v>0</v>
      </c>
      <c r="T585" s="5" t="n">
        <v>0</v>
      </c>
      <c r="U585" s="5" t="inlineStr">
        <is>
          <t>training</t>
        </is>
      </c>
    </row>
    <row r="586">
      <c r="A586" s="5" t="n">
        <v>582</v>
      </c>
      <c r="B586" s="5" t="n">
        <v>0</v>
      </c>
      <c r="C586" s="6" t="n">
        <v>-0.7357010147163632</v>
      </c>
      <c r="D586" s="6" t="n">
        <v>-0.04432991084287814</v>
      </c>
      <c r="E586" s="6" t="n">
        <v>1.170656858595183</v>
      </c>
      <c r="F586" s="6" t="n">
        <v>-1.786844513613144</v>
      </c>
      <c r="G586" s="5" t="n">
        <v>0</v>
      </c>
      <c r="H586" s="5" t="n">
        <v>1</v>
      </c>
      <c r="I586" s="5" t="n">
        <v>0</v>
      </c>
      <c r="J586" s="5" t="n">
        <v>1</v>
      </c>
      <c r="K586" s="5" t="n">
        <v>0</v>
      </c>
      <c r="L586" s="5" t="n">
        <v>0</v>
      </c>
      <c r="M586" s="5" t="n">
        <v>0</v>
      </c>
      <c r="N586" s="5" t="n">
        <v>0</v>
      </c>
      <c r="O586" s="5" t="n">
        <v>0</v>
      </c>
      <c r="P586" s="5" t="n">
        <v>0</v>
      </c>
      <c r="Q586" s="5" t="n">
        <v>0</v>
      </c>
      <c r="R586" s="5" t="n">
        <v>1</v>
      </c>
      <c r="S586" s="5" t="n">
        <v>0</v>
      </c>
      <c r="T586" s="5" t="n">
        <v>0</v>
      </c>
      <c r="U586" s="5" t="inlineStr">
        <is>
          <t>testing</t>
        </is>
      </c>
    </row>
    <row r="587">
      <c r="A587" s="5" t="n">
        <v>583</v>
      </c>
      <c r="B587" s="5" t="n">
        <v>0</v>
      </c>
      <c r="C587" s="6" t="n">
        <v>-0.9884778685946948</v>
      </c>
      <c r="D587" s="6" t="n">
        <v>-0.651743710568493</v>
      </c>
      <c r="E587" s="6" t="n">
        <v>-0.8297226174589928</v>
      </c>
      <c r="F587" s="6" t="n">
        <v>0.9185437189662378</v>
      </c>
      <c r="G587" s="5" t="n">
        <v>0</v>
      </c>
      <c r="H587" s="5" t="n">
        <v>0</v>
      </c>
      <c r="I587" s="5" t="n">
        <v>0</v>
      </c>
      <c r="J587" s="5" t="n">
        <v>0</v>
      </c>
      <c r="K587" s="5" t="n">
        <v>0</v>
      </c>
      <c r="L587" s="5" t="n">
        <v>0</v>
      </c>
      <c r="M587" s="5" t="n">
        <v>0</v>
      </c>
      <c r="N587" s="5" t="n">
        <v>0</v>
      </c>
      <c r="O587" s="5" t="n">
        <v>0</v>
      </c>
      <c r="P587" s="5" t="n">
        <v>1</v>
      </c>
      <c r="Q587" s="5" t="n">
        <v>0</v>
      </c>
      <c r="R587" s="5" t="n">
        <v>0</v>
      </c>
      <c r="S587" s="5" t="n">
        <v>0</v>
      </c>
      <c r="T587" s="5" t="n">
        <v>1</v>
      </c>
      <c r="U587" s="5" t="inlineStr">
        <is>
          <t>training</t>
        </is>
      </c>
    </row>
    <row r="588">
      <c r="A588" s="5" t="n">
        <v>584</v>
      </c>
      <c r="B588" s="5" t="n">
        <v>1</v>
      </c>
      <c r="C588" s="6" t="n">
        <v>1.286513816310289</v>
      </c>
      <c r="D588" s="6" t="n">
        <v>-0.3032505397581748</v>
      </c>
      <c r="E588" s="6" t="n">
        <v>-0.2209114725729393</v>
      </c>
      <c r="F588" s="6" t="n">
        <v>0.9185437189662378</v>
      </c>
      <c r="G588" s="5" t="n">
        <v>0</v>
      </c>
      <c r="H588" s="5" t="n">
        <v>1</v>
      </c>
      <c r="I588" s="5" t="n">
        <v>0</v>
      </c>
      <c r="J588" s="5" t="n">
        <v>0</v>
      </c>
      <c r="K588" s="5" t="n">
        <v>0</v>
      </c>
      <c r="L588" s="5" t="n">
        <v>0</v>
      </c>
      <c r="M588" s="5" t="n">
        <v>0</v>
      </c>
      <c r="N588" s="5" t="n">
        <v>0</v>
      </c>
      <c r="O588" s="5" t="n">
        <v>0</v>
      </c>
      <c r="P588" s="5" t="n">
        <v>1</v>
      </c>
      <c r="Q588" s="5" t="n">
        <v>0</v>
      </c>
      <c r="R588" s="5" t="n">
        <v>0</v>
      </c>
      <c r="S588" s="5" t="n">
        <v>0</v>
      </c>
      <c r="T588" s="5" t="n">
        <v>0</v>
      </c>
      <c r="U588" s="5" t="inlineStr">
        <is>
          <t>testing</t>
        </is>
      </c>
    </row>
    <row r="589">
      <c r="A589" s="5" t="n">
        <v>585</v>
      </c>
      <c r="B589" s="5" t="n">
        <v>0</v>
      </c>
      <c r="C589" s="6" t="n">
        <v>-0.7357010147163632</v>
      </c>
      <c r="D589" s="6" t="n">
        <v>-0.3910736179443092</v>
      </c>
      <c r="E589" s="6" t="n">
        <v>1.431575920689206</v>
      </c>
      <c r="F589" s="6" t="n">
        <v>0.9185437189662378</v>
      </c>
      <c r="G589" s="5" t="n">
        <v>0</v>
      </c>
      <c r="H589" s="5" t="n">
        <v>0</v>
      </c>
      <c r="I589" s="5" t="n">
        <v>0</v>
      </c>
      <c r="J589" s="5" t="n">
        <v>0</v>
      </c>
      <c r="K589" s="5" t="n">
        <v>0</v>
      </c>
      <c r="L589" s="5" t="n">
        <v>0</v>
      </c>
      <c r="M589" s="5" t="n">
        <v>0</v>
      </c>
      <c r="N589" s="5" t="n">
        <v>0</v>
      </c>
      <c r="O589" s="5" t="n">
        <v>1</v>
      </c>
      <c r="P589" s="5" t="n">
        <v>0</v>
      </c>
      <c r="Q589" s="5" t="n">
        <v>1</v>
      </c>
      <c r="R589" s="5" t="n">
        <v>1</v>
      </c>
      <c r="S589" s="5" t="n">
        <v>0</v>
      </c>
      <c r="T589" s="5" t="n">
        <v>0</v>
      </c>
      <c r="U589" s="5" t="inlineStr">
        <is>
          <t>training</t>
        </is>
      </c>
    </row>
    <row r="590">
      <c r="A590" s="5" t="n">
        <v>586</v>
      </c>
      <c r="B590" s="5" t="n">
        <v>1</v>
      </c>
      <c r="C590" s="6" t="n">
        <v>-0.2301473069597001</v>
      </c>
      <c r="D590" s="6" t="n">
        <v>-0.4239635356713874</v>
      </c>
      <c r="E590" s="6" t="n">
        <v>-1.351560741647039</v>
      </c>
      <c r="F590" s="6" t="n">
        <v>-1.786844513613144</v>
      </c>
      <c r="G590" s="5" t="n">
        <v>1</v>
      </c>
      <c r="H590" s="5" t="n">
        <v>0</v>
      </c>
      <c r="I590" s="5" t="n">
        <v>0</v>
      </c>
      <c r="J590" s="5" t="n">
        <v>0</v>
      </c>
      <c r="K590" s="5" t="n">
        <v>0</v>
      </c>
      <c r="L590" s="5" t="n">
        <v>0</v>
      </c>
      <c r="M590" s="5" t="n">
        <v>0</v>
      </c>
      <c r="N590" s="5" t="n">
        <v>0</v>
      </c>
      <c r="O590" s="5" t="n">
        <v>0</v>
      </c>
      <c r="P590" s="5" t="n">
        <v>1</v>
      </c>
      <c r="Q590" s="5" t="n">
        <v>0</v>
      </c>
      <c r="R590" s="5" t="n">
        <v>0</v>
      </c>
      <c r="S590" s="5" t="n">
        <v>0</v>
      </c>
      <c r="T590" s="5" t="n">
        <v>1</v>
      </c>
      <c r="U590" s="5" t="inlineStr">
        <is>
          <t>testing</t>
        </is>
      </c>
    </row>
    <row r="591">
      <c r="A591" s="5" t="n">
        <v>587</v>
      </c>
      <c r="B591" s="5" t="n">
        <v>0</v>
      </c>
      <c r="C591" s="6" t="n">
        <v>-0.9884778685946948</v>
      </c>
      <c r="D591" s="6" t="n">
        <v>-0.1580450519205422</v>
      </c>
      <c r="E591" s="6" t="n">
        <v>0.04000758952108359</v>
      </c>
      <c r="F591" s="6" t="n">
        <v>-0.8850484360866833</v>
      </c>
      <c r="G591" s="5" t="n">
        <v>1</v>
      </c>
      <c r="H591" s="5" t="n">
        <v>0</v>
      </c>
      <c r="I591" s="5" t="n">
        <v>0</v>
      </c>
      <c r="J591" s="5" t="n">
        <v>1</v>
      </c>
      <c r="K591" s="5" t="n">
        <v>0</v>
      </c>
      <c r="L591" s="5" t="n">
        <v>0</v>
      </c>
      <c r="M591" s="5" t="n">
        <v>0</v>
      </c>
      <c r="N591" s="5" t="n">
        <v>0</v>
      </c>
      <c r="O591" s="5" t="n">
        <v>0</v>
      </c>
      <c r="P591" s="5" t="n">
        <v>1</v>
      </c>
      <c r="Q591" s="5" t="n">
        <v>0</v>
      </c>
      <c r="R591" s="5" t="n">
        <v>1</v>
      </c>
      <c r="S591" s="5" t="n">
        <v>0</v>
      </c>
      <c r="T591" s="5" t="n">
        <v>0</v>
      </c>
      <c r="U591" s="5" t="inlineStr">
        <is>
          <t>training</t>
        </is>
      </c>
    </row>
    <row r="592">
      <c r="A592" s="5" t="n">
        <v>588</v>
      </c>
      <c r="B592" s="5" t="n">
        <v>0</v>
      </c>
      <c r="C592" s="6" t="n">
        <v>-0.7357010147163632</v>
      </c>
      <c r="D592" s="6" t="n">
        <v>-0.6863830920044585</v>
      </c>
      <c r="E592" s="6" t="n">
        <v>-1.264587720949031</v>
      </c>
      <c r="F592" s="6" t="n">
        <v>0.9185437189662378</v>
      </c>
      <c r="G592" s="5" t="n">
        <v>1</v>
      </c>
      <c r="H592" s="5" t="n">
        <v>0</v>
      </c>
      <c r="I592" s="5" t="n">
        <v>0</v>
      </c>
      <c r="J592" s="5" t="n">
        <v>0</v>
      </c>
      <c r="K592" s="5" t="n">
        <v>0</v>
      </c>
      <c r="L592" s="5" t="n">
        <v>0</v>
      </c>
      <c r="M592" s="5" t="n">
        <v>0</v>
      </c>
      <c r="N592" s="5" t="n">
        <v>0</v>
      </c>
      <c r="O592" s="5" t="n">
        <v>0</v>
      </c>
      <c r="P592" s="5" t="n">
        <v>0</v>
      </c>
      <c r="Q592" s="5" t="n">
        <v>0</v>
      </c>
      <c r="R592" s="5" t="n">
        <v>0</v>
      </c>
      <c r="S592" s="5" t="n">
        <v>0</v>
      </c>
      <c r="T592" s="5" t="n">
        <v>1</v>
      </c>
      <c r="U592" s="5" t="inlineStr">
        <is>
          <t>training</t>
        </is>
      </c>
    </row>
    <row r="593">
      <c r="A593" s="5" t="n">
        <v>589</v>
      </c>
      <c r="B593" s="5" t="n">
        <v>1</v>
      </c>
      <c r="C593" s="6" t="n">
        <v>-0.2301473069597001</v>
      </c>
      <c r="D593" s="6" t="n">
        <v>-0.7115753694124333</v>
      </c>
      <c r="E593" s="6" t="n">
        <v>0.9967108171991675</v>
      </c>
      <c r="F593" s="6" t="n">
        <v>0.9185437189662378</v>
      </c>
      <c r="G593" s="5" t="n">
        <v>1</v>
      </c>
      <c r="H593" s="5" t="n">
        <v>0</v>
      </c>
      <c r="I593" s="5" t="n">
        <v>0</v>
      </c>
      <c r="J593" s="5" t="n">
        <v>0</v>
      </c>
      <c r="K593" s="5" t="n">
        <v>0</v>
      </c>
      <c r="L593" s="5" t="n">
        <v>0</v>
      </c>
      <c r="M593" s="5" t="n">
        <v>0</v>
      </c>
      <c r="N593" s="5" t="n">
        <v>0</v>
      </c>
      <c r="O593" s="5" t="n">
        <v>0</v>
      </c>
      <c r="P593" s="5" t="n">
        <v>0</v>
      </c>
      <c r="Q593" s="5" t="n">
        <v>0</v>
      </c>
      <c r="R593" s="5" t="n">
        <v>0</v>
      </c>
      <c r="S593" s="5" t="n">
        <v>0</v>
      </c>
      <c r="T593" s="5" t="n">
        <v>0</v>
      </c>
      <c r="U593" s="5" t="inlineStr">
        <is>
          <t>training</t>
        </is>
      </c>
    </row>
    <row r="594">
      <c r="A594" s="5" t="n">
        <v>590</v>
      </c>
      <c r="B594" s="5" t="n">
        <v>1</v>
      </c>
      <c r="C594" s="6" t="n">
        <v>-0.7357010147163632</v>
      </c>
      <c r="D594" s="6" t="n">
        <v>-0.3515357381234599</v>
      </c>
      <c r="E594" s="6" t="n">
        <v>2.127360086273267</v>
      </c>
      <c r="F594" s="6" t="n">
        <v>0.01674764143977723</v>
      </c>
      <c r="G594" s="5" t="n">
        <v>1</v>
      </c>
      <c r="H594" s="5" t="n">
        <v>0</v>
      </c>
      <c r="I594" s="5" t="n">
        <v>0</v>
      </c>
      <c r="J594" s="5" t="n">
        <v>1</v>
      </c>
      <c r="K594" s="5" t="n">
        <v>0</v>
      </c>
      <c r="L594" s="5" t="n">
        <v>0</v>
      </c>
      <c r="M594" s="5" t="n">
        <v>0</v>
      </c>
      <c r="N594" s="5" t="n">
        <v>0</v>
      </c>
      <c r="O594" s="5" t="n">
        <v>0</v>
      </c>
      <c r="P594" s="5" t="n">
        <v>0</v>
      </c>
      <c r="Q594" s="5" t="n">
        <v>0</v>
      </c>
      <c r="R594" s="5" t="n">
        <v>0</v>
      </c>
      <c r="S594" s="5" t="n">
        <v>0</v>
      </c>
      <c r="T594" s="5" t="n">
        <v>1</v>
      </c>
      <c r="U594" s="5" t="inlineStr">
        <is>
          <t>training</t>
        </is>
      </c>
    </row>
    <row r="595">
      <c r="A595" s="5" t="n">
        <v>591</v>
      </c>
      <c r="B595" s="5" t="n">
        <v>0</v>
      </c>
      <c r="C595" s="6" t="n">
        <v>-0.7357010147163632</v>
      </c>
      <c r="D595" s="6" t="n">
        <v>-1.002686130571253</v>
      </c>
      <c r="E595" s="6" t="n">
        <v>1.953414044877252</v>
      </c>
      <c r="F595" s="6" t="n">
        <v>0.9185437189662378</v>
      </c>
      <c r="G595" s="5" t="n">
        <v>1</v>
      </c>
      <c r="H595" s="5" t="n">
        <v>0</v>
      </c>
      <c r="I595" s="5" t="n">
        <v>0</v>
      </c>
      <c r="J595" s="5" t="n">
        <v>1</v>
      </c>
      <c r="K595" s="5" t="n">
        <v>0</v>
      </c>
      <c r="L595" s="5" t="n">
        <v>0</v>
      </c>
      <c r="M595" s="5" t="n">
        <v>0</v>
      </c>
      <c r="N595" s="5" t="n">
        <v>0</v>
      </c>
      <c r="O595" s="5" t="n">
        <v>0</v>
      </c>
      <c r="P595" s="5" t="n">
        <v>0</v>
      </c>
      <c r="Q595" s="5" t="n">
        <v>0</v>
      </c>
      <c r="R595" s="5" t="n">
        <v>0</v>
      </c>
      <c r="S595" s="5" t="n">
        <v>1</v>
      </c>
      <c r="T595" s="5" t="n">
        <v>0</v>
      </c>
      <c r="U595" s="5" t="inlineStr">
        <is>
          <t>testing</t>
        </is>
      </c>
    </row>
    <row r="596">
      <c r="A596" s="5" t="n">
        <v>592</v>
      </c>
      <c r="B596" s="5" t="n">
        <v>0</v>
      </c>
      <c r="C596" s="6" t="n">
        <v>0.275406400796963</v>
      </c>
      <c r="D596" s="6" t="n">
        <v>-0.4498555985629171</v>
      </c>
      <c r="E596" s="6" t="n">
        <v>0.5618457137091294</v>
      </c>
      <c r="F596" s="6" t="n">
        <v>0.9185437189662378</v>
      </c>
      <c r="G596" s="5" t="n">
        <v>0</v>
      </c>
      <c r="H596" s="5" t="n">
        <v>1</v>
      </c>
      <c r="I596" s="5" t="n">
        <v>0</v>
      </c>
      <c r="J596" s="5" t="n">
        <v>0</v>
      </c>
      <c r="K596" s="5" t="n">
        <v>1</v>
      </c>
      <c r="L596" s="5" t="n">
        <v>0</v>
      </c>
      <c r="M596" s="5" t="n">
        <v>0</v>
      </c>
      <c r="N596" s="5" t="n">
        <v>0</v>
      </c>
      <c r="O596" s="5" t="n">
        <v>1</v>
      </c>
      <c r="P596" s="5" t="n">
        <v>1</v>
      </c>
      <c r="Q596" s="5" t="n">
        <v>0</v>
      </c>
      <c r="R596" s="5" t="n">
        <v>1</v>
      </c>
      <c r="S596" s="5" t="n">
        <v>0</v>
      </c>
      <c r="T596" s="5" t="n">
        <v>0</v>
      </c>
      <c r="U596" s="5" t="inlineStr">
        <is>
          <t>testing</t>
        </is>
      </c>
    </row>
    <row r="597">
      <c r="A597" s="5" t="n">
        <v>593</v>
      </c>
      <c r="B597" s="5" t="n">
        <v>0</v>
      </c>
      <c r="C597" s="6" t="n">
        <v>0.02262954691863145</v>
      </c>
      <c r="D597" s="6" t="n">
        <v>-0.5873634460814463</v>
      </c>
      <c r="E597" s="6" t="n">
        <v>0.04000758952108359</v>
      </c>
      <c r="F597" s="6" t="n">
        <v>0.9185437189662378</v>
      </c>
      <c r="G597" s="5" t="n">
        <v>0</v>
      </c>
      <c r="H597" s="5" t="n">
        <v>0</v>
      </c>
      <c r="I597" s="5" t="n">
        <v>0</v>
      </c>
      <c r="J597" s="5" t="n">
        <v>0</v>
      </c>
      <c r="K597" s="5" t="n">
        <v>0</v>
      </c>
      <c r="L597" s="5" t="n">
        <v>0</v>
      </c>
      <c r="M597" s="5" t="n">
        <v>0</v>
      </c>
      <c r="N597" s="5" t="n">
        <v>1</v>
      </c>
      <c r="O597" s="5" t="n">
        <v>0</v>
      </c>
      <c r="P597" s="5" t="n">
        <v>0</v>
      </c>
      <c r="Q597" s="5" t="n">
        <v>0</v>
      </c>
      <c r="R597" s="5" t="n">
        <v>0</v>
      </c>
      <c r="S597" s="5" t="n">
        <v>0</v>
      </c>
      <c r="T597" s="5" t="n">
        <v>0</v>
      </c>
      <c r="U597" s="5" t="inlineStr">
        <is>
          <t>training</t>
        </is>
      </c>
    </row>
    <row r="598">
      <c r="A598" s="5" t="n">
        <v>594</v>
      </c>
      <c r="B598" s="5" t="n">
        <v>1</v>
      </c>
      <c r="C598" s="6" t="n">
        <v>0.275406400796963</v>
      </c>
      <c r="D598" s="6" t="n">
        <v>-0.1863863640045139</v>
      </c>
      <c r="E598" s="6" t="n">
        <v>-1.351560741647039</v>
      </c>
      <c r="F598" s="6" t="n">
        <v>0.01674764143977723</v>
      </c>
      <c r="G598" s="5" t="n">
        <v>0</v>
      </c>
      <c r="H598" s="5" t="n">
        <v>1</v>
      </c>
      <c r="I598" s="5" t="n">
        <v>0</v>
      </c>
      <c r="J598" s="5" t="n">
        <v>0</v>
      </c>
      <c r="K598" s="5" t="n">
        <v>0</v>
      </c>
      <c r="L598" s="5" t="n">
        <v>0</v>
      </c>
      <c r="M598" s="5" t="n">
        <v>0</v>
      </c>
      <c r="N598" s="5" t="n">
        <v>0</v>
      </c>
      <c r="O598" s="5" t="n">
        <v>0</v>
      </c>
      <c r="P598" s="5" t="n">
        <v>1</v>
      </c>
      <c r="Q598" s="5" t="n">
        <v>0</v>
      </c>
      <c r="R598" s="5" t="n">
        <v>1</v>
      </c>
      <c r="S598" s="5" t="n">
        <v>0</v>
      </c>
      <c r="T598" s="5" t="n">
        <v>0</v>
      </c>
      <c r="U598" s="5" t="inlineStr">
        <is>
          <t>training</t>
        </is>
      </c>
    </row>
    <row r="599">
      <c r="A599" s="5" t="n">
        <v>595</v>
      </c>
      <c r="B599" s="5" t="n">
        <v>1</v>
      </c>
      <c r="C599" s="6" t="n">
        <v>0.275406400796963</v>
      </c>
      <c r="D599" s="6" t="n">
        <v>-0.6622404928218159</v>
      </c>
      <c r="E599" s="6" t="n">
        <v>0.3878996723131141</v>
      </c>
      <c r="F599" s="6" t="n">
        <v>0.9185437189662378</v>
      </c>
      <c r="G599" s="5" t="n">
        <v>1</v>
      </c>
      <c r="H599" s="5" t="n">
        <v>0</v>
      </c>
      <c r="I599" s="5" t="n">
        <v>0</v>
      </c>
      <c r="J599" s="5" t="n">
        <v>0</v>
      </c>
      <c r="K599" s="5" t="n">
        <v>0</v>
      </c>
      <c r="L599" s="5" t="n">
        <v>1</v>
      </c>
      <c r="M599" s="5" t="n">
        <v>0</v>
      </c>
      <c r="N599" s="5" t="n">
        <v>0</v>
      </c>
      <c r="O599" s="5" t="n">
        <v>1</v>
      </c>
      <c r="P599" s="5" t="n">
        <v>0</v>
      </c>
      <c r="Q599" s="5" t="n">
        <v>0</v>
      </c>
      <c r="R599" s="5" t="n">
        <v>0</v>
      </c>
      <c r="S599" s="5" t="n">
        <v>0</v>
      </c>
      <c r="T599" s="5" t="n">
        <v>0</v>
      </c>
      <c r="U599" s="5" t="inlineStr">
        <is>
          <t>training</t>
        </is>
      </c>
    </row>
    <row r="600">
      <c r="A600" s="5" t="n">
        <v>596</v>
      </c>
      <c r="B600" s="5" t="n">
        <v>1</v>
      </c>
      <c r="C600" s="6" t="n">
        <v>-1.241254722473026</v>
      </c>
      <c r="D600" s="6" t="n">
        <v>-0.8116446935607776</v>
      </c>
      <c r="E600" s="6" t="n">
        <v>-0.307884493270947</v>
      </c>
      <c r="F600" s="6" t="n">
        <v>-1.786844513613144</v>
      </c>
      <c r="G600" s="5" t="n">
        <v>0</v>
      </c>
      <c r="H600" s="5" t="n">
        <v>1</v>
      </c>
      <c r="I600" s="5" t="n">
        <v>0</v>
      </c>
      <c r="J600" s="5" t="n">
        <v>0</v>
      </c>
      <c r="K600" s="5" t="n">
        <v>0</v>
      </c>
      <c r="L600" s="5" t="n">
        <v>1</v>
      </c>
      <c r="M600" s="5" t="n">
        <v>1</v>
      </c>
      <c r="N600" s="5" t="n">
        <v>0</v>
      </c>
      <c r="O600" s="5" t="n">
        <v>0</v>
      </c>
      <c r="P600" s="5" t="n">
        <v>0</v>
      </c>
      <c r="Q600" s="5" t="n">
        <v>0</v>
      </c>
      <c r="R600" s="5" t="n">
        <v>1</v>
      </c>
      <c r="S600" s="5" t="n">
        <v>0</v>
      </c>
      <c r="T600" s="5" t="n">
        <v>0</v>
      </c>
      <c r="U600" s="5" t="inlineStr">
        <is>
          <t>testing</t>
        </is>
      </c>
    </row>
    <row r="601">
      <c r="A601" s="5" t="n">
        <v>597</v>
      </c>
      <c r="B601" s="5" t="n">
        <v>1</v>
      </c>
      <c r="C601" s="6" t="n">
        <v>0.275406400796963</v>
      </c>
      <c r="D601" s="6" t="n">
        <v>-0.6328495025125119</v>
      </c>
      <c r="E601" s="6" t="n">
        <v>-1.090641679553016</v>
      </c>
      <c r="F601" s="6" t="n">
        <v>0.9185437189662378</v>
      </c>
      <c r="G601" s="5" t="n">
        <v>1</v>
      </c>
      <c r="H601" s="5" t="n">
        <v>0</v>
      </c>
      <c r="I601" s="5" t="n">
        <v>0</v>
      </c>
      <c r="J601" s="5" t="n">
        <v>0</v>
      </c>
      <c r="K601" s="5" t="n">
        <v>0</v>
      </c>
      <c r="L601" s="5" t="n">
        <v>0</v>
      </c>
      <c r="M601" s="5" t="n">
        <v>0</v>
      </c>
      <c r="N601" s="5" t="n">
        <v>0</v>
      </c>
      <c r="O601" s="5" t="n">
        <v>0</v>
      </c>
      <c r="P601" s="5" t="n">
        <v>1</v>
      </c>
      <c r="Q601" s="5" t="n">
        <v>0</v>
      </c>
      <c r="R601" s="5" t="n">
        <v>1</v>
      </c>
      <c r="S601" s="5" t="n">
        <v>0</v>
      </c>
      <c r="T601" s="5" t="n">
        <v>0</v>
      </c>
      <c r="U601" s="5" t="inlineStr">
        <is>
          <t>training</t>
        </is>
      </c>
    </row>
    <row r="602">
      <c r="A602" s="5" t="n">
        <v>598</v>
      </c>
      <c r="B602" s="5" t="n">
        <v>1</v>
      </c>
      <c r="C602" s="6" t="n">
        <v>0.275406400796963</v>
      </c>
      <c r="D602" s="6" t="n">
        <v>0.3465002817225089</v>
      </c>
      <c r="E602" s="6" t="n">
        <v>0.04000758952108359</v>
      </c>
      <c r="F602" s="6" t="n">
        <v>-1.786844513613144</v>
      </c>
      <c r="G602" s="5" t="n">
        <v>0</v>
      </c>
      <c r="H602" s="5" t="n">
        <v>1</v>
      </c>
      <c r="I602" s="5" t="n">
        <v>0</v>
      </c>
      <c r="J602" s="5" t="n">
        <v>0</v>
      </c>
      <c r="K602" s="5" t="n">
        <v>0</v>
      </c>
      <c r="L602" s="5" t="n">
        <v>1</v>
      </c>
      <c r="M602" s="5" t="n">
        <v>0</v>
      </c>
      <c r="N602" s="5" t="n">
        <v>0</v>
      </c>
      <c r="O602" s="5" t="n">
        <v>0</v>
      </c>
      <c r="P602" s="5" t="n">
        <v>0</v>
      </c>
      <c r="Q602" s="5" t="n">
        <v>0</v>
      </c>
      <c r="R602" s="5" t="n">
        <v>0</v>
      </c>
      <c r="S602" s="5" t="n">
        <v>0</v>
      </c>
      <c r="T602" s="5" t="n">
        <v>0</v>
      </c>
      <c r="U602" s="5" t="inlineStr">
        <is>
          <t>training</t>
        </is>
      </c>
    </row>
    <row r="603">
      <c r="A603" s="5" t="n">
        <v>599</v>
      </c>
      <c r="B603" s="5" t="n">
        <v>1</v>
      </c>
      <c r="C603" s="6" t="n">
        <v>-0.2301473069597001</v>
      </c>
      <c r="D603" s="6" t="n">
        <v>-0.1664424777232005</v>
      </c>
      <c r="E603" s="6" t="n">
        <v>-0.3948575139689546</v>
      </c>
      <c r="F603" s="6" t="n">
        <v>-0.8850484360866833</v>
      </c>
      <c r="G603" s="5" t="n">
        <v>0</v>
      </c>
      <c r="H603" s="5" t="n">
        <v>0</v>
      </c>
      <c r="I603" s="5" t="n">
        <v>0</v>
      </c>
      <c r="J603" s="5" t="n">
        <v>1</v>
      </c>
      <c r="K603" s="5" t="n">
        <v>0</v>
      </c>
      <c r="L603" s="5" t="n">
        <v>0</v>
      </c>
      <c r="M603" s="5" t="n">
        <v>0</v>
      </c>
      <c r="N603" s="5" t="n">
        <v>0</v>
      </c>
      <c r="O603" s="5" t="n">
        <v>0</v>
      </c>
      <c r="P603" s="5" t="n">
        <v>0</v>
      </c>
      <c r="Q603" s="5" t="n">
        <v>0</v>
      </c>
      <c r="R603" s="5" t="n">
        <v>1</v>
      </c>
      <c r="S603" s="5" t="n">
        <v>0</v>
      </c>
      <c r="T603" s="5" t="n">
        <v>0</v>
      </c>
      <c r="U603" s="5" t="inlineStr">
        <is>
          <t>training</t>
        </is>
      </c>
    </row>
    <row r="604">
      <c r="A604" s="5" t="n">
        <v>600</v>
      </c>
      <c r="B604" s="5" t="n">
        <v>0</v>
      </c>
      <c r="C604" s="6" t="n">
        <v>0.275406400796963</v>
      </c>
      <c r="D604" s="6" t="n">
        <v>0.2142408253306411</v>
      </c>
      <c r="E604" s="6" t="n">
        <v>-0.307884493270947</v>
      </c>
      <c r="F604" s="6" t="n">
        <v>-1.786844513613144</v>
      </c>
      <c r="G604" s="5" t="n">
        <v>0</v>
      </c>
      <c r="H604" s="5" t="n">
        <v>0</v>
      </c>
      <c r="I604" s="5" t="n">
        <v>0</v>
      </c>
      <c r="J604" s="5" t="n">
        <v>0</v>
      </c>
      <c r="K604" s="5" t="n">
        <v>1</v>
      </c>
      <c r="L604" s="5" t="n">
        <v>0</v>
      </c>
      <c r="M604" s="5" t="n">
        <v>0</v>
      </c>
      <c r="N604" s="5" t="n">
        <v>0</v>
      </c>
      <c r="O604" s="5" t="n">
        <v>0</v>
      </c>
      <c r="P604" s="5" t="n">
        <v>0</v>
      </c>
      <c r="Q604" s="5" t="n">
        <v>1</v>
      </c>
      <c r="R604" s="5" t="n">
        <v>0</v>
      </c>
      <c r="S604" s="5" t="n">
        <v>0</v>
      </c>
      <c r="T604" s="5" t="n">
        <v>0</v>
      </c>
      <c r="U604" s="5" t="inlineStr">
        <is>
          <t>testing</t>
        </is>
      </c>
    </row>
    <row r="605">
      <c r="A605" s="5" t="n">
        <v>601</v>
      </c>
      <c r="B605" s="5" t="n">
        <v>0</v>
      </c>
      <c r="C605" s="6" t="n">
        <v>-1.156995771180249</v>
      </c>
      <c r="D605" s="6" t="n">
        <v>-0.3224946405559334</v>
      </c>
      <c r="E605" s="6" t="n">
        <v>0.8227647758031523</v>
      </c>
      <c r="F605" s="6" t="n">
        <v>-1.786844513613144</v>
      </c>
      <c r="G605" s="5" t="n">
        <v>0</v>
      </c>
      <c r="H605" s="5" t="n">
        <v>1</v>
      </c>
      <c r="I605" s="5" t="n">
        <v>0</v>
      </c>
      <c r="J605" s="5" t="n">
        <v>0</v>
      </c>
      <c r="K605" s="5" t="n">
        <v>0</v>
      </c>
      <c r="L605" s="5" t="n">
        <v>0</v>
      </c>
      <c r="M605" s="5" t="n">
        <v>0</v>
      </c>
      <c r="N605" s="5" t="n">
        <v>0</v>
      </c>
      <c r="O605" s="5" t="n">
        <v>0</v>
      </c>
      <c r="P605" s="5" t="n">
        <v>0</v>
      </c>
      <c r="Q605" s="5" t="n">
        <v>0</v>
      </c>
      <c r="R605" s="5" t="n">
        <v>0</v>
      </c>
      <c r="S605" s="5" t="n">
        <v>1</v>
      </c>
      <c r="T605" s="5" t="n">
        <v>0</v>
      </c>
      <c r="U605" s="5" t="inlineStr">
        <is>
          <t>training</t>
        </is>
      </c>
    </row>
    <row r="606">
      <c r="A606" s="5" t="n">
        <v>602</v>
      </c>
      <c r="B606" s="5" t="n">
        <v>1</v>
      </c>
      <c r="C606" s="6" t="n">
        <v>-0.9884778685946948</v>
      </c>
      <c r="D606" s="6" t="n">
        <v>-0.8161932992038842</v>
      </c>
      <c r="E606" s="6" t="n">
        <v>-0.4818305346669622</v>
      </c>
      <c r="F606" s="6" t="n">
        <v>0.9185437189662378</v>
      </c>
      <c r="G606" s="5" t="n">
        <v>0</v>
      </c>
      <c r="H606" s="5" t="n">
        <v>1</v>
      </c>
      <c r="I606" s="5" t="n">
        <v>0</v>
      </c>
      <c r="J606" s="5" t="n">
        <v>0</v>
      </c>
      <c r="K606" s="5" t="n">
        <v>0</v>
      </c>
      <c r="L606" s="5" t="n">
        <v>0</v>
      </c>
      <c r="M606" s="5" t="n">
        <v>0</v>
      </c>
      <c r="N606" s="5" t="n">
        <v>0</v>
      </c>
      <c r="O606" s="5" t="n">
        <v>0</v>
      </c>
      <c r="P606" s="5" t="n">
        <v>0</v>
      </c>
      <c r="Q606" s="5" t="n">
        <v>0</v>
      </c>
      <c r="R606" s="5" t="n">
        <v>0</v>
      </c>
      <c r="S606" s="5" t="n">
        <v>0</v>
      </c>
      <c r="T606" s="5" t="n">
        <v>1</v>
      </c>
      <c r="U606" s="5" t="inlineStr">
        <is>
          <t>training</t>
        </is>
      </c>
    </row>
    <row r="607">
      <c r="A607" s="5" t="n">
        <v>603</v>
      </c>
      <c r="B607" s="5" t="n">
        <v>1</v>
      </c>
      <c r="C607" s="6" t="n">
        <v>0.275406400796963</v>
      </c>
      <c r="D607" s="6" t="n">
        <v>-0.4946418695104279</v>
      </c>
      <c r="E607" s="6" t="n">
        <v>-0.1339384518749317</v>
      </c>
      <c r="F607" s="6" t="n">
        <v>0.9185437189662378</v>
      </c>
      <c r="G607" s="5" t="n">
        <v>0</v>
      </c>
      <c r="H607" s="5" t="n">
        <v>1</v>
      </c>
      <c r="I607" s="5" t="n">
        <v>0</v>
      </c>
      <c r="J607" s="5" t="n">
        <v>0</v>
      </c>
      <c r="K607" s="5" t="n">
        <v>0</v>
      </c>
      <c r="L607" s="5" t="n">
        <v>1</v>
      </c>
      <c r="M607" s="5" t="n">
        <v>0</v>
      </c>
      <c r="N607" s="5" t="n">
        <v>0</v>
      </c>
      <c r="O607" s="5" t="n">
        <v>0</v>
      </c>
      <c r="P607" s="5" t="n">
        <v>0</v>
      </c>
      <c r="Q607" s="5" t="n">
        <v>1</v>
      </c>
      <c r="R607" s="5" t="n">
        <v>0</v>
      </c>
      <c r="S607" s="5" t="n">
        <v>0</v>
      </c>
      <c r="T607" s="5" t="n">
        <v>0</v>
      </c>
      <c r="U607" s="5" t="inlineStr">
        <is>
          <t>training</t>
        </is>
      </c>
    </row>
    <row r="608">
      <c r="A608" s="5" t="n">
        <v>604</v>
      </c>
      <c r="B608" s="5" t="n">
        <v>1</v>
      </c>
      <c r="C608" s="6" t="n">
        <v>1.286513816310289</v>
      </c>
      <c r="D608" s="6" t="n">
        <v>0.03439595605704315</v>
      </c>
      <c r="E608" s="6" t="n">
        <v>-0.6557765760629775</v>
      </c>
      <c r="F608" s="6" t="n">
        <v>0.9185437189662378</v>
      </c>
      <c r="G608" s="5" t="n">
        <v>0</v>
      </c>
      <c r="H608" s="5" t="n">
        <v>0</v>
      </c>
      <c r="I608" s="5" t="n">
        <v>0</v>
      </c>
      <c r="J608" s="5" t="n">
        <v>0</v>
      </c>
      <c r="K608" s="5" t="n">
        <v>0</v>
      </c>
      <c r="L608" s="5" t="n">
        <v>0</v>
      </c>
      <c r="M608" s="5" t="n">
        <v>0</v>
      </c>
      <c r="N608" s="5" t="n">
        <v>0</v>
      </c>
      <c r="O608" s="5" t="n">
        <v>0</v>
      </c>
      <c r="P608" s="5" t="n">
        <v>0</v>
      </c>
      <c r="Q608" s="5" t="n">
        <v>0</v>
      </c>
      <c r="R608" s="5" t="n">
        <v>0</v>
      </c>
      <c r="S608" s="5" t="n">
        <v>0</v>
      </c>
      <c r="T608" s="5" t="n">
        <v>1</v>
      </c>
      <c r="U608" s="5" t="inlineStr">
        <is>
          <t>training</t>
        </is>
      </c>
    </row>
    <row r="609">
      <c r="A609" s="5" t="n">
        <v>605</v>
      </c>
      <c r="B609" s="5" t="n">
        <v>0</v>
      </c>
      <c r="C609" s="6" t="n">
        <v>-0.9042189173019176</v>
      </c>
      <c r="D609" s="6" t="n">
        <v>-0.6912815903893424</v>
      </c>
      <c r="E609" s="6" t="n">
        <v>-1.090641679553016</v>
      </c>
      <c r="F609" s="6" t="n">
        <v>0.9185437189662378</v>
      </c>
      <c r="G609" s="5" t="n">
        <v>0</v>
      </c>
      <c r="H609" s="5" t="n">
        <v>0</v>
      </c>
      <c r="I609" s="5" t="n">
        <v>1</v>
      </c>
      <c r="J609" s="5" t="n">
        <v>0</v>
      </c>
      <c r="K609" s="5" t="n">
        <v>0</v>
      </c>
      <c r="L609" s="5" t="n">
        <v>0</v>
      </c>
      <c r="M609" s="5" t="n">
        <v>0</v>
      </c>
      <c r="N609" s="5" t="n">
        <v>0</v>
      </c>
      <c r="O609" s="5" t="n">
        <v>0</v>
      </c>
      <c r="P609" s="5" t="n">
        <v>0</v>
      </c>
      <c r="Q609" s="5" t="n">
        <v>0</v>
      </c>
      <c r="R609" s="5" t="n">
        <v>0</v>
      </c>
      <c r="S609" s="5" t="n">
        <v>0</v>
      </c>
      <c r="T609" s="5" t="n">
        <v>1</v>
      </c>
      <c r="U609" s="5" t="inlineStr">
        <is>
          <t>training</t>
        </is>
      </c>
    </row>
    <row r="610">
      <c r="A610" s="5" t="n">
        <v>606</v>
      </c>
      <c r="B610" s="5" t="n">
        <v>0</v>
      </c>
      <c r="C610" s="6" t="n">
        <v>0.275406400796963</v>
      </c>
      <c r="D610" s="6" t="n">
        <v>-0.1478981624089968</v>
      </c>
      <c r="E610" s="6" t="n">
        <v>-1.177614700251023</v>
      </c>
      <c r="F610" s="6" t="n">
        <v>0.9185437189662378</v>
      </c>
      <c r="G610" s="5" t="n">
        <v>1</v>
      </c>
      <c r="H610" s="5" t="n">
        <v>0</v>
      </c>
      <c r="I610" s="5" t="n">
        <v>0</v>
      </c>
      <c r="J610" s="5" t="n">
        <v>0</v>
      </c>
      <c r="K610" s="5" t="n">
        <v>0</v>
      </c>
      <c r="L610" s="5" t="n">
        <v>1</v>
      </c>
      <c r="M610" s="5" t="n">
        <v>1</v>
      </c>
      <c r="N610" s="5" t="n">
        <v>0</v>
      </c>
      <c r="O610" s="5" t="n">
        <v>0</v>
      </c>
      <c r="P610" s="5" t="n">
        <v>0</v>
      </c>
      <c r="Q610" s="5" t="n">
        <v>0</v>
      </c>
      <c r="R610" s="5" t="n">
        <v>0</v>
      </c>
      <c r="S610" s="5" t="n">
        <v>0</v>
      </c>
      <c r="T610" s="5" t="n">
        <v>1</v>
      </c>
      <c r="U610" s="5" t="inlineStr">
        <is>
          <t>training</t>
        </is>
      </c>
    </row>
    <row r="611">
      <c r="A611" s="5" t="n">
        <v>607</v>
      </c>
      <c r="B611" s="5" t="n">
        <v>0</v>
      </c>
      <c r="C611" s="6" t="n">
        <v>0.275406400796963</v>
      </c>
      <c r="D611" s="6" t="n">
        <v>0.4462197131290758</v>
      </c>
      <c r="E611" s="6" t="n">
        <v>3.344982376045374</v>
      </c>
      <c r="F611" s="6" t="n">
        <v>0.01674764143977723</v>
      </c>
      <c r="G611" s="5" t="n">
        <v>0</v>
      </c>
      <c r="H611" s="5" t="n">
        <v>0</v>
      </c>
      <c r="I611" s="5" t="n">
        <v>0</v>
      </c>
      <c r="J611" s="5" t="n">
        <v>1</v>
      </c>
      <c r="K611" s="5" t="n">
        <v>0</v>
      </c>
      <c r="L611" s="5" t="n">
        <v>0</v>
      </c>
      <c r="M611" s="5" t="n">
        <v>0</v>
      </c>
      <c r="N611" s="5" t="n">
        <v>0</v>
      </c>
      <c r="O611" s="5" t="n">
        <v>0</v>
      </c>
      <c r="P611" s="5" t="n">
        <v>0</v>
      </c>
      <c r="Q611" s="5" t="n">
        <v>0</v>
      </c>
      <c r="R611" s="5" t="n">
        <v>0</v>
      </c>
      <c r="S611" s="5" t="n">
        <v>0</v>
      </c>
      <c r="T611" s="5" t="n">
        <v>0</v>
      </c>
      <c r="U611" s="5" t="inlineStr">
        <is>
          <t>training</t>
        </is>
      </c>
    </row>
    <row r="612">
      <c r="A612" s="5" t="n">
        <v>608</v>
      </c>
      <c r="B612" s="5" t="n">
        <v>1</v>
      </c>
      <c r="C612" s="6" t="n">
        <v>1.286513816310289</v>
      </c>
      <c r="D612" s="6" t="n">
        <v>-0.202831322868053</v>
      </c>
      <c r="E612" s="6" t="n">
        <v>1.257629879293191</v>
      </c>
      <c r="F612" s="6" t="n">
        <v>0.9185437189662378</v>
      </c>
      <c r="G612" s="5" t="n">
        <v>0</v>
      </c>
      <c r="H612" s="5" t="n">
        <v>1</v>
      </c>
      <c r="I612" s="5" t="n">
        <v>0</v>
      </c>
      <c r="J612" s="5" t="n">
        <v>0</v>
      </c>
      <c r="K612" s="5" t="n">
        <v>0</v>
      </c>
      <c r="L612" s="5" t="n">
        <v>0</v>
      </c>
      <c r="M612" s="5" t="n">
        <v>1</v>
      </c>
      <c r="N612" s="5" t="n">
        <v>0</v>
      </c>
      <c r="O612" s="5" t="n">
        <v>0</v>
      </c>
      <c r="P612" s="5" t="n">
        <v>0</v>
      </c>
      <c r="Q612" s="5" t="n">
        <v>1</v>
      </c>
      <c r="R612" s="5" t="n">
        <v>0</v>
      </c>
      <c r="S612" s="5" t="n">
        <v>1</v>
      </c>
      <c r="T612" s="5" t="n">
        <v>0</v>
      </c>
      <c r="U612" s="5" t="inlineStr">
        <is>
          <t>testing</t>
        </is>
      </c>
    </row>
    <row r="613">
      <c r="A613" s="5" t="n">
        <v>609</v>
      </c>
      <c r="B613" s="5" t="n">
        <v>0</v>
      </c>
      <c r="C613" s="6" t="n">
        <v>-0.2301473069597001</v>
      </c>
      <c r="D613" s="6" t="n">
        <v>-0.4197648227700583</v>
      </c>
      <c r="E613" s="6" t="n">
        <v>-0.2209114725729393</v>
      </c>
      <c r="F613" s="6" t="n">
        <v>0.9185437189662378</v>
      </c>
      <c r="G613" s="5" t="n">
        <v>0</v>
      </c>
      <c r="H613" s="5" t="n">
        <v>0</v>
      </c>
      <c r="I613" s="5" t="n">
        <v>0</v>
      </c>
      <c r="J613" s="5" t="n">
        <v>0</v>
      </c>
      <c r="K613" s="5" t="n">
        <v>0</v>
      </c>
      <c r="L613" s="5" t="n">
        <v>0</v>
      </c>
      <c r="M613" s="5" t="n">
        <v>0</v>
      </c>
      <c r="N613" s="5" t="n">
        <v>0</v>
      </c>
      <c r="O613" s="5" t="n">
        <v>0</v>
      </c>
      <c r="P613" s="5" t="n">
        <v>0</v>
      </c>
      <c r="Q613" s="5" t="n">
        <v>0</v>
      </c>
      <c r="R613" s="5" t="n">
        <v>0</v>
      </c>
      <c r="S613" s="5" t="n">
        <v>1</v>
      </c>
      <c r="T613" s="5" t="n">
        <v>0</v>
      </c>
      <c r="U613" s="5" t="inlineStr">
        <is>
          <t>training</t>
        </is>
      </c>
    </row>
    <row r="614">
      <c r="A614" s="5" t="n">
        <v>610</v>
      </c>
      <c r="B614" s="5" t="n">
        <v>0</v>
      </c>
      <c r="C614" s="6" t="n">
        <v>-0.4829241608380317</v>
      </c>
      <c r="D614" s="6" t="n">
        <v>-0.6825342718449067</v>
      </c>
      <c r="E614" s="6" t="n">
        <v>0.8227647758031523</v>
      </c>
      <c r="F614" s="6" t="n">
        <v>0.9185437189662378</v>
      </c>
      <c r="G614" s="5" t="n">
        <v>0</v>
      </c>
      <c r="H614" s="5" t="n">
        <v>0</v>
      </c>
      <c r="I614" s="5" t="n">
        <v>0</v>
      </c>
      <c r="J614" s="5" t="n">
        <v>0</v>
      </c>
      <c r="K614" s="5" t="n">
        <v>0</v>
      </c>
      <c r="L614" s="5" t="n">
        <v>0</v>
      </c>
      <c r="M614" s="5" t="n">
        <v>0</v>
      </c>
      <c r="N614" s="5" t="n">
        <v>0</v>
      </c>
      <c r="O614" s="5" t="n">
        <v>1</v>
      </c>
      <c r="P614" s="5" t="n">
        <v>0</v>
      </c>
      <c r="Q614" s="5" t="n">
        <v>1</v>
      </c>
      <c r="R614" s="5" t="n">
        <v>1</v>
      </c>
      <c r="S614" s="5" t="n">
        <v>0</v>
      </c>
      <c r="T614" s="5" t="n">
        <v>0</v>
      </c>
      <c r="U614" s="5" t="inlineStr">
        <is>
          <t>testing</t>
        </is>
      </c>
    </row>
    <row r="615">
      <c r="A615" s="5" t="n">
        <v>611</v>
      </c>
      <c r="B615" s="5" t="n">
        <v>1</v>
      </c>
      <c r="C615" s="6" t="n">
        <v>-0.7357010147163632</v>
      </c>
      <c r="D615" s="6" t="n">
        <v>-0.8781243144984889</v>
      </c>
      <c r="E615" s="6" t="n">
        <v>-1.177614700251023</v>
      </c>
      <c r="F615" s="6" t="n">
        <v>0.9185437189662378</v>
      </c>
      <c r="G615" s="5" t="n">
        <v>1</v>
      </c>
      <c r="H615" s="5" t="n">
        <v>0</v>
      </c>
      <c r="I615" s="5" t="n">
        <v>0</v>
      </c>
      <c r="J615" s="5" t="n">
        <v>0</v>
      </c>
      <c r="K615" s="5" t="n">
        <v>0</v>
      </c>
      <c r="L615" s="5" t="n">
        <v>0</v>
      </c>
      <c r="M615" s="5" t="n">
        <v>1</v>
      </c>
      <c r="N615" s="5" t="n">
        <v>0</v>
      </c>
      <c r="O615" s="5" t="n">
        <v>0</v>
      </c>
      <c r="P615" s="5" t="n">
        <v>0</v>
      </c>
      <c r="Q615" s="5" t="n">
        <v>0</v>
      </c>
      <c r="R615" s="5" t="n">
        <v>0</v>
      </c>
      <c r="S615" s="5" t="n">
        <v>0</v>
      </c>
      <c r="T615" s="5" t="n">
        <v>0</v>
      </c>
      <c r="U615" s="5" t="inlineStr">
        <is>
          <t>testing</t>
        </is>
      </c>
    </row>
    <row r="616">
      <c r="A616" s="5" t="n">
        <v>612</v>
      </c>
      <c r="B616" s="5" t="n">
        <v>1</v>
      </c>
      <c r="C616" s="6" t="n">
        <v>-0.9042189173019176</v>
      </c>
      <c r="D616" s="6" t="n">
        <v>-0.7035278363515524</v>
      </c>
      <c r="E616" s="6" t="n">
        <v>1.083683837897175</v>
      </c>
      <c r="F616" s="6" t="n">
        <v>-1.786844513613144</v>
      </c>
      <c r="G616" s="5" t="n">
        <v>0</v>
      </c>
      <c r="H616" s="5" t="n">
        <v>0</v>
      </c>
      <c r="I616" s="5" t="n">
        <v>1</v>
      </c>
      <c r="J616" s="5" t="n">
        <v>0</v>
      </c>
      <c r="K616" s="5" t="n">
        <v>0</v>
      </c>
      <c r="L616" s="5" t="n">
        <v>0</v>
      </c>
      <c r="M616" s="5" t="n">
        <v>1</v>
      </c>
      <c r="N616" s="5" t="n">
        <v>0</v>
      </c>
      <c r="O616" s="5" t="n">
        <v>0</v>
      </c>
      <c r="P616" s="5" t="n">
        <v>0</v>
      </c>
      <c r="Q616" s="5" t="n">
        <v>1</v>
      </c>
      <c r="R616" s="5" t="n">
        <v>1</v>
      </c>
      <c r="S616" s="5" t="n">
        <v>0</v>
      </c>
      <c r="T616" s="5" t="n">
        <v>0</v>
      </c>
      <c r="U616" s="5" t="inlineStr">
        <is>
          <t>testing</t>
        </is>
      </c>
    </row>
    <row r="617">
      <c r="A617" s="5" t="n">
        <v>613</v>
      </c>
      <c r="B617" s="5" t="n">
        <v>0</v>
      </c>
      <c r="C617" s="6" t="n">
        <v>0.02262954691863145</v>
      </c>
      <c r="D617" s="6" t="n">
        <v>0.03719509799126257</v>
      </c>
      <c r="E617" s="6" t="n">
        <v>-0.5688035553649698</v>
      </c>
      <c r="F617" s="6" t="n">
        <v>0.9185437189662378</v>
      </c>
      <c r="G617" s="5" t="n">
        <v>1</v>
      </c>
      <c r="H617" s="5" t="n">
        <v>0</v>
      </c>
      <c r="I617" s="5" t="n">
        <v>0</v>
      </c>
      <c r="J617" s="5" t="n">
        <v>0</v>
      </c>
      <c r="K617" s="5" t="n">
        <v>0</v>
      </c>
      <c r="L617" s="5" t="n">
        <v>0</v>
      </c>
      <c r="M617" s="5" t="n">
        <v>0</v>
      </c>
      <c r="N617" s="5" t="n">
        <v>1</v>
      </c>
      <c r="O617" s="5" t="n">
        <v>0</v>
      </c>
      <c r="P617" s="5" t="n">
        <v>0</v>
      </c>
      <c r="Q617" s="5" t="n">
        <v>0</v>
      </c>
      <c r="R617" s="5" t="n">
        <v>0</v>
      </c>
      <c r="S617" s="5" t="n">
        <v>1</v>
      </c>
      <c r="T617" s="5" t="n">
        <v>0</v>
      </c>
      <c r="U617" s="5" t="inlineStr">
        <is>
          <t>training</t>
        </is>
      </c>
    </row>
    <row r="618">
      <c r="A618" s="5" t="n">
        <v>614</v>
      </c>
      <c r="B618" s="5" t="n">
        <v>0</v>
      </c>
      <c r="C618" s="6" t="n">
        <v>0.275406400796963</v>
      </c>
      <c r="D618" s="6" t="n">
        <v>0.1334156019800553</v>
      </c>
      <c r="E618" s="6" t="n">
        <v>-1.177614700251023</v>
      </c>
      <c r="F618" s="6" t="n">
        <v>-1.786844513613144</v>
      </c>
      <c r="G618" s="5" t="n">
        <v>1</v>
      </c>
      <c r="H618" s="5" t="n">
        <v>0</v>
      </c>
      <c r="I618" s="5" t="n">
        <v>0</v>
      </c>
      <c r="J618" s="5" t="n">
        <v>0</v>
      </c>
      <c r="K618" s="5" t="n">
        <v>0</v>
      </c>
      <c r="L618" s="5" t="n">
        <v>1</v>
      </c>
      <c r="M618" s="5" t="n">
        <v>0</v>
      </c>
      <c r="N618" s="5" t="n">
        <v>0</v>
      </c>
      <c r="O618" s="5" t="n">
        <v>0</v>
      </c>
      <c r="P618" s="5" t="n">
        <v>1</v>
      </c>
      <c r="Q618" s="5" t="n">
        <v>0</v>
      </c>
      <c r="R618" s="5" t="n">
        <v>1</v>
      </c>
      <c r="S618" s="5" t="n">
        <v>0</v>
      </c>
      <c r="T618" s="5" t="n">
        <v>0</v>
      </c>
      <c r="U618" s="5" t="inlineStr">
        <is>
          <t>testing</t>
        </is>
      </c>
    </row>
    <row r="619">
      <c r="A619" s="5" t="n">
        <v>615</v>
      </c>
      <c r="B619" s="5" t="n">
        <v>1</v>
      </c>
      <c r="C619" s="6" t="n">
        <v>-0.2301473069597001</v>
      </c>
      <c r="D619" s="6" t="n">
        <v>-0.5047887590219733</v>
      </c>
      <c r="E619" s="6" t="n">
        <v>-1.177614700251023</v>
      </c>
      <c r="F619" s="6" t="n">
        <v>0.9185437189662378</v>
      </c>
      <c r="G619" s="5" t="n">
        <v>0</v>
      </c>
      <c r="H619" s="5" t="n">
        <v>0</v>
      </c>
      <c r="I619" s="5" t="n">
        <v>0</v>
      </c>
      <c r="J619" s="5" t="n">
        <v>0</v>
      </c>
      <c r="K619" s="5" t="n">
        <v>1</v>
      </c>
      <c r="L619" s="5" t="n">
        <v>0</v>
      </c>
      <c r="M619" s="5" t="n">
        <v>0</v>
      </c>
      <c r="N619" s="5" t="n">
        <v>0</v>
      </c>
      <c r="O619" s="5" t="n">
        <v>0</v>
      </c>
      <c r="P619" s="5" t="n">
        <v>0</v>
      </c>
      <c r="Q619" s="5" t="n">
        <v>0</v>
      </c>
      <c r="R619" s="5" t="n">
        <v>0</v>
      </c>
      <c r="S619" s="5" t="n">
        <v>0</v>
      </c>
      <c r="T619" s="5" t="n">
        <v>1</v>
      </c>
      <c r="U619" s="5" t="inlineStr">
        <is>
          <t>testing</t>
        </is>
      </c>
    </row>
    <row r="620">
      <c r="A620" s="5" t="n">
        <v>616</v>
      </c>
      <c r="B620" s="5" t="n">
        <v>0</v>
      </c>
      <c r="C620" s="6" t="n">
        <v>2.297621231823615</v>
      </c>
      <c r="D620" s="6" t="n">
        <v>3.132696184496168</v>
      </c>
      <c r="E620" s="6" t="n">
        <v>1.083683837897175</v>
      </c>
      <c r="F620" s="6" t="n">
        <v>-0.8850484360866833</v>
      </c>
      <c r="G620" s="5" t="n">
        <v>0</v>
      </c>
      <c r="H620" s="5" t="n">
        <v>1</v>
      </c>
      <c r="I620" s="5" t="n">
        <v>0</v>
      </c>
      <c r="J620" s="5" t="n">
        <v>0</v>
      </c>
      <c r="K620" s="5" t="n">
        <v>0</v>
      </c>
      <c r="L620" s="5" t="n">
        <v>1</v>
      </c>
      <c r="M620" s="5" t="n">
        <v>0</v>
      </c>
      <c r="N620" s="5" t="n">
        <v>0</v>
      </c>
      <c r="O620" s="5" t="n">
        <v>1</v>
      </c>
      <c r="P620" s="5" t="n">
        <v>0</v>
      </c>
      <c r="Q620" s="5" t="n">
        <v>0</v>
      </c>
      <c r="R620" s="5" t="n">
        <v>0</v>
      </c>
      <c r="S620" s="5" t="n">
        <v>0</v>
      </c>
      <c r="T620" s="5" t="n">
        <v>0</v>
      </c>
      <c r="U620" s="5" t="inlineStr">
        <is>
          <t>training</t>
        </is>
      </c>
    </row>
    <row r="621">
      <c r="A621" s="5" t="n">
        <v>617</v>
      </c>
      <c r="B621" s="5" t="n">
        <v>0</v>
      </c>
      <c r="C621" s="6" t="n">
        <v>3.308728647336942</v>
      </c>
      <c r="D621" s="6" t="n">
        <v>2.066573000300345</v>
      </c>
      <c r="E621" s="6" t="n">
        <v>-0.7427495967609852</v>
      </c>
      <c r="F621" s="6" t="n">
        <v>-0.8850484360866833</v>
      </c>
      <c r="G621" s="5" t="n">
        <v>0</v>
      </c>
      <c r="H621" s="5" t="n">
        <v>1</v>
      </c>
      <c r="I621" s="5" t="n">
        <v>0</v>
      </c>
      <c r="J621" s="5" t="n">
        <v>0</v>
      </c>
      <c r="K621" s="5" t="n">
        <v>1</v>
      </c>
      <c r="L621" s="5" t="n">
        <v>0</v>
      </c>
      <c r="M621" s="5" t="n">
        <v>0</v>
      </c>
      <c r="N621" s="5" t="n">
        <v>0</v>
      </c>
      <c r="O621" s="5" t="n">
        <v>1</v>
      </c>
      <c r="P621" s="5" t="n">
        <v>0</v>
      </c>
      <c r="Q621" s="5" t="n">
        <v>1</v>
      </c>
      <c r="R621" s="5" t="n">
        <v>0</v>
      </c>
      <c r="S621" s="5" t="n">
        <v>1</v>
      </c>
      <c r="T621" s="5" t="n">
        <v>0</v>
      </c>
      <c r="U621" s="5" t="inlineStr">
        <is>
          <t>training</t>
        </is>
      </c>
    </row>
    <row r="622">
      <c r="A622" s="5" t="n">
        <v>618</v>
      </c>
      <c r="B622" s="5" t="n">
        <v>0</v>
      </c>
      <c r="C622" s="6" t="n">
        <v>-1.241254722473026</v>
      </c>
      <c r="D622" s="6" t="n">
        <v>0.1488108826182621</v>
      </c>
      <c r="E622" s="6" t="n">
        <v>0.1269806102190912</v>
      </c>
      <c r="F622" s="6" t="n">
        <v>-1.786844513613144</v>
      </c>
      <c r="G622" s="5" t="n">
        <v>1</v>
      </c>
      <c r="H622" s="5" t="n">
        <v>0</v>
      </c>
      <c r="I622" s="5" t="n">
        <v>0</v>
      </c>
      <c r="J622" s="5" t="n">
        <v>1</v>
      </c>
      <c r="K622" s="5" t="n">
        <v>0</v>
      </c>
      <c r="L622" s="5" t="n">
        <v>0</v>
      </c>
      <c r="M622" s="5" t="n">
        <v>0</v>
      </c>
      <c r="N622" s="5" t="n">
        <v>0</v>
      </c>
      <c r="O622" s="5" t="n">
        <v>0</v>
      </c>
      <c r="P622" s="5" t="n">
        <v>1</v>
      </c>
      <c r="Q622" s="5" t="n">
        <v>0</v>
      </c>
      <c r="R622" s="5" t="n">
        <v>1</v>
      </c>
      <c r="S622" s="5" t="n">
        <v>0</v>
      </c>
      <c r="T622" s="5" t="n">
        <v>0</v>
      </c>
      <c r="U622" s="5" t="inlineStr">
        <is>
          <t>testing</t>
        </is>
      </c>
    </row>
    <row r="623">
      <c r="A623" s="5" t="n">
        <v>619</v>
      </c>
      <c r="B623" s="5" t="n">
        <v>1</v>
      </c>
      <c r="C623" s="6" t="n">
        <v>0.7809601085536261</v>
      </c>
      <c r="D623" s="6" t="n">
        <v>0.06658608830056652</v>
      </c>
      <c r="E623" s="6" t="n">
        <v>-1.264587720949031</v>
      </c>
      <c r="F623" s="6" t="n">
        <v>-0.8850484360866833</v>
      </c>
      <c r="G623" s="5" t="n">
        <v>0</v>
      </c>
      <c r="H623" s="5" t="n">
        <v>1</v>
      </c>
      <c r="I623" s="5" t="n">
        <v>0</v>
      </c>
      <c r="J623" s="5" t="n">
        <v>0</v>
      </c>
      <c r="K623" s="5" t="n">
        <v>0</v>
      </c>
      <c r="L623" s="5" t="n">
        <v>0</v>
      </c>
      <c r="M623" s="5" t="n">
        <v>1</v>
      </c>
      <c r="N623" s="5" t="n">
        <v>0</v>
      </c>
      <c r="O623" s="5" t="n">
        <v>0</v>
      </c>
      <c r="P623" s="5" t="n">
        <v>1</v>
      </c>
      <c r="Q623" s="5" t="n">
        <v>0</v>
      </c>
      <c r="R623" s="5" t="n">
        <v>0</v>
      </c>
      <c r="S623" s="5" t="n">
        <v>0</v>
      </c>
      <c r="T623" s="5" t="n">
        <v>1</v>
      </c>
      <c r="U623" s="5" t="inlineStr">
        <is>
          <t>testing</t>
        </is>
      </c>
    </row>
    <row r="624">
      <c r="A624" s="5" t="n">
        <v>620</v>
      </c>
      <c r="B624" s="5" t="n">
        <v>0</v>
      </c>
      <c r="C624" s="6" t="n">
        <v>-0.7357010147163632</v>
      </c>
      <c r="D624" s="6" t="n">
        <v>-0.9134634814180091</v>
      </c>
      <c r="E624" s="6" t="n">
        <v>1.170656858595183</v>
      </c>
      <c r="F624" s="6" t="n">
        <v>0.9185437189662378</v>
      </c>
      <c r="G624" s="5" t="n">
        <v>0</v>
      </c>
      <c r="H624" s="5" t="n">
        <v>0</v>
      </c>
      <c r="I624" s="5" t="n">
        <v>0</v>
      </c>
      <c r="J624" s="5" t="n">
        <v>0</v>
      </c>
      <c r="K624" s="5" t="n">
        <v>0</v>
      </c>
      <c r="L624" s="5" t="n">
        <v>0</v>
      </c>
      <c r="M624" s="5" t="n">
        <v>0</v>
      </c>
      <c r="N624" s="5" t="n">
        <v>0</v>
      </c>
      <c r="O624" s="5" t="n">
        <v>0</v>
      </c>
      <c r="P624" s="5" t="n">
        <v>0</v>
      </c>
      <c r="Q624" s="5" t="n">
        <v>0</v>
      </c>
      <c r="R624" s="5" t="n">
        <v>1</v>
      </c>
      <c r="S624" s="5" t="n">
        <v>0</v>
      </c>
      <c r="T624" s="5" t="n">
        <v>0</v>
      </c>
      <c r="U624" s="5" t="inlineStr">
        <is>
          <t>training</t>
        </is>
      </c>
    </row>
    <row r="625">
      <c r="A625" s="5" t="n">
        <v>621</v>
      </c>
      <c r="B625" s="5" t="n">
        <v>0</v>
      </c>
      <c r="C625" s="6" t="n">
        <v>0.02262954691863145</v>
      </c>
      <c r="D625" s="6" t="n">
        <v>0.1404134568156038</v>
      </c>
      <c r="E625" s="6" t="n">
        <v>-0.7427495967609852</v>
      </c>
      <c r="F625" s="6" t="n">
        <v>-0.8850484360866833</v>
      </c>
      <c r="G625" s="5" t="n">
        <v>0</v>
      </c>
      <c r="H625" s="5" t="n">
        <v>1</v>
      </c>
      <c r="I625" s="5" t="n">
        <v>0</v>
      </c>
      <c r="J625" s="5" t="n">
        <v>1</v>
      </c>
      <c r="K625" s="5" t="n">
        <v>0</v>
      </c>
      <c r="L625" s="5" t="n">
        <v>0</v>
      </c>
      <c r="M625" s="5" t="n">
        <v>0</v>
      </c>
      <c r="N625" s="5" t="n">
        <v>0</v>
      </c>
      <c r="O625" s="5" t="n">
        <v>0</v>
      </c>
      <c r="P625" s="5" t="n">
        <v>0</v>
      </c>
      <c r="Q625" s="5" t="n">
        <v>0</v>
      </c>
      <c r="R625" s="5" t="n">
        <v>0</v>
      </c>
      <c r="S625" s="5" t="n">
        <v>0</v>
      </c>
      <c r="T625" s="5" t="n">
        <v>0</v>
      </c>
      <c r="U625" s="5" t="inlineStr">
        <is>
          <t>training</t>
        </is>
      </c>
    </row>
    <row r="626">
      <c r="A626" s="5" t="n">
        <v>622</v>
      </c>
      <c r="B626" s="5" t="n">
        <v>1</v>
      </c>
      <c r="C626" s="6" t="n">
        <v>-0.2301473069597001</v>
      </c>
      <c r="D626" s="6" t="n">
        <v>-0.6020589412360983</v>
      </c>
      <c r="E626" s="6" t="n">
        <v>-0.307884493270947</v>
      </c>
      <c r="F626" s="6" t="n">
        <v>0.01674764143977723</v>
      </c>
      <c r="G626" s="5" t="n">
        <v>0</v>
      </c>
      <c r="H626" s="5" t="n">
        <v>0</v>
      </c>
      <c r="I626" s="5" t="n">
        <v>0</v>
      </c>
      <c r="J626" s="5" t="n">
        <v>1</v>
      </c>
      <c r="K626" s="5" t="n">
        <v>0</v>
      </c>
      <c r="L626" s="5" t="n">
        <v>0</v>
      </c>
      <c r="M626" s="5" t="n">
        <v>0</v>
      </c>
      <c r="N626" s="5" t="n">
        <v>0</v>
      </c>
      <c r="O626" s="5" t="n">
        <v>0</v>
      </c>
      <c r="P626" s="5" t="n">
        <v>0</v>
      </c>
      <c r="Q626" s="5" t="n">
        <v>0</v>
      </c>
      <c r="R626" s="5" t="n">
        <v>1</v>
      </c>
      <c r="S626" s="5" t="n">
        <v>0</v>
      </c>
      <c r="T626" s="5" t="n">
        <v>0</v>
      </c>
      <c r="U626" s="5" t="inlineStr">
        <is>
          <t>training</t>
        </is>
      </c>
    </row>
    <row r="627">
      <c r="A627" s="5" t="n">
        <v>623</v>
      </c>
      <c r="B627" s="5" t="n">
        <v>1</v>
      </c>
      <c r="C627" s="6" t="n">
        <v>2.297621231823615</v>
      </c>
      <c r="D627" s="6" t="n">
        <v>0.2320853551612899</v>
      </c>
      <c r="E627" s="6" t="n">
        <v>0.2139536309170988</v>
      </c>
      <c r="F627" s="6" t="n">
        <v>0.9185437189662378</v>
      </c>
      <c r="G627" s="5" t="n">
        <v>0</v>
      </c>
      <c r="H627" s="5" t="n">
        <v>0</v>
      </c>
      <c r="I627" s="5" t="n">
        <v>0</v>
      </c>
      <c r="J627" s="5" t="n">
        <v>0</v>
      </c>
      <c r="K627" s="5" t="n">
        <v>0</v>
      </c>
      <c r="L627" s="5" t="n">
        <v>0</v>
      </c>
      <c r="M627" s="5" t="n">
        <v>0</v>
      </c>
      <c r="N627" s="5" t="n">
        <v>0</v>
      </c>
      <c r="O627" s="5" t="n">
        <v>1</v>
      </c>
      <c r="P627" s="5" t="n">
        <v>0</v>
      </c>
      <c r="Q627" s="5" t="n">
        <v>0</v>
      </c>
      <c r="R627" s="5" t="n">
        <v>0</v>
      </c>
      <c r="S627" s="5" t="n">
        <v>0</v>
      </c>
      <c r="T627" s="5" t="n">
        <v>0</v>
      </c>
      <c r="U627" s="5" t="inlineStr">
        <is>
          <t>training</t>
        </is>
      </c>
    </row>
    <row r="628">
      <c r="A628" s="5" t="n">
        <v>624</v>
      </c>
      <c r="B628" s="5" t="n">
        <v>0</v>
      </c>
      <c r="C628" s="6" t="n">
        <v>-0.7357010147163632</v>
      </c>
      <c r="D628" s="6" t="n">
        <v>-0.4872941219331019</v>
      </c>
      <c r="E628" s="6" t="n">
        <v>-1.177614700251023</v>
      </c>
      <c r="F628" s="6" t="n">
        <v>0.9185437189662378</v>
      </c>
      <c r="G628" s="5" t="n">
        <v>1</v>
      </c>
      <c r="H628" s="5" t="n">
        <v>0</v>
      </c>
      <c r="I628" s="5" t="n">
        <v>0</v>
      </c>
      <c r="J628" s="5" t="n">
        <v>0</v>
      </c>
      <c r="K628" s="5" t="n">
        <v>0</v>
      </c>
      <c r="L628" s="5" t="n">
        <v>0</v>
      </c>
      <c r="M628" s="5" t="n">
        <v>0</v>
      </c>
      <c r="N628" s="5" t="n">
        <v>0</v>
      </c>
      <c r="O628" s="5" t="n">
        <v>0</v>
      </c>
      <c r="P628" s="5" t="n">
        <v>1</v>
      </c>
      <c r="Q628" s="5" t="n">
        <v>0</v>
      </c>
      <c r="R628" s="5" t="n">
        <v>0</v>
      </c>
      <c r="S628" s="5" t="n">
        <v>0</v>
      </c>
      <c r="T628" s="5" t="n">
        <v>1</v>
      </c>
      <c r="U628" s="5" t="inlineStr">
        <is>
          <t>testing</t>
        </is>
      </c>
    </row>
    <row r="629">
      <c r="A629" s="5" t="n">
        <v>625</v>
      </c>
      <c r="B629" s="5" t="n">
        <v>1</v>
      </c>
      <c r="C629" s="6" t="n">
        <v>-0.2301473069597001</v>
      </c>
      <c r="D629" s="6" t="n">
        <v>-0.2276737075342504</v>
      </c>
      <c r="E629" s="6" t="n">
        <v>2.562225189763305</v>
      </c>
      <c r="F629" s="6" t="n">
        <v>0.9185437189662378</v>
      </c>
      <c r="G629" s="5" t="n">
        <v>1</v>
      </c>
      <c r="H629" s="5" t="n">
        <v>0</v>
      </c>
      <c r="I629" s="5" t="n">
        <v>0</v>
      </c>
      <c r="J629" s="5" t="n">
        <v>0</v>
      </c>
      <c r="K629" s="5" t="n">
        <v>0</v>
      </c>
      <c r="L629" s="5" t="n">
        <v>0</v>
      </c>
      <c r="M629" s="5" t="n">
        <v>0</v>
      </c>
      <c r="N629" s="5" t="n">
        <v>0</v>
      </c>
      <c r="O629" s="5" t="n">
        <v>0</v>
      </c>
      <c r="P629" s="5" t="n">
        <v>0</v>
      </c>
      <c r="Q629" s="5" t="n">
        <v>1</v>
      </c>
      <c r="R629" s="5" t="n">
        <v>0</v>
      </c>
      <c r="S629" s="5" t="n">
        <v>1</v>
      </c>
      <c r="T629" s="5" t="n">
        <v>0</v>
      </c>
      <c r="U629" s="5" t="inlineStr">
        <is>
          <t>training</t>
        </is>
      </c>
    </row>
    <row r="630">
      <c r="A630" s="5" t="n">
        <v>626</v>
      </c>
      <c r="B630" s="5" t="n">
        <v>0</v>
      </c>
      <c r="C630" s="6" t="n">
        <v>-0.4829241608380317</v>
      </c>
      <c r="D630" s="6" t="n">
        <v>-0.4449571001780331</v>
      </c>
      <c r="E630" s="6" t="n">
        <v>-0.04696543117692405</v>
      </c>
      <c r="F630" s="6" t="n">
        <v>0.9185437189662378</v>
      </c>
      <c r="G630" s="5" t="n">
        <v>0</v>
      </c>
      <c r="H630" s="5" t="n">
        <v>0</v>
      </c>
      <c r="I630" s="5" t="n">
        <v>0</v>
      </c>
      <c r="J630" s="5" t="n">
        <v>0</v>
      </c>
      <c r="K630" s="5" t="n">
        <v>0</v>
      </c>
      <c r="L630" s="5" t="n">
        <v>0</v>
      </c>
      <c r="M630" s="5" t="n">
        <v>0</v>
      </c>
      <c r="N630" s="5" t="n">
        <v>0</v>
      </c>
      <c r="O630" s="5" t="n">
        <v>1</v>
      </c>
      <c r="P630" s="5" t="n">
        <v>0</v>
      </c>
      <c r="Q630" s="5" t="n">
        <v>0</v>
      </c>
      <c r="R630" s="5" t="n">
        <v>0</v>
      </c>
      <c r="S630" s="5" t="n">
        <v>1</v>
      </c>
      <c r="T630" s="5" t="n">
        <v>0</v>
      </c>
      <c r="U630" s="5" t="inlineStr">
        <is>
          <t>training</t>
        </is>
      </c>
    </row>
    <row r="631">
      <c r="A631" s="5" t="n">
        <v>627</v>
      </c>
      <c r="B631" s="5" t="n">
        <v>0</v>
      </c>
      <c r="C631" s="6" t="n">
        <v>-1.241254722473026</v>
      </c>
      <c r="D631" s="6" t="n">
        <v>-0.3970217945545255</v>
      </c>
      <c r="E631" s="6" t="n">
        <v>0.4748726930111218</v>
      </c>
      <c r="F631" s="6" t="n">
        <v>-0.8850484360866833</v>
      </c>
      <c r="G631" s="5" t="n">
        <v>0</v>
      </c>
      <c r="H631" s="5" t="n">
        <v>0</v>
      </c>
      <c r="I631" s="5" t="n">
        <v>1</v>
      </c>
      <c r="J631" s="5" t="n">
        <v>0</v>
      </c>
      <c r="K631" s="5" t="n">
        <v>0</v>
      </c>
      <c r="L631" s="5" t="n">
        <v>0</v>
      </c>
      <c r="M631" s="5" t="n">
        <v>0</v>
      </c>
      <c r="N631" s="5" t="n">
        <v>0</v>
      </c>
      <c r="O631" s="5" t="n">
        <v>0</v>
      </c>
      <c r="P631" s="5" t="n">
        <v>0</v>
      </c>
      <c r="Q631" s="5" t="n">
        <v>0</v>
      </c>
      <c r="R631" s="5" t="n">
        <v>0</v>
      </c>
      <c r="S631" s="5" t="n">
        <v>0</v>
      </c>
      <c r="T631" s="5" t="n">
        <v>1</v>
      </c>
      <c r="U631" s="5" t="inlineStr">
        <is>
          <t>training</t>
        </is>
      </c>
    </row>
    <row r="632">
      <c r="A632" s="5" t="n">
        <v>628</v>
      </c>
      <c r="B632" s="5" t="n">
        <v>1</v>
      </c>
      <c r="C632" s="6" t="n">
        <v>-0.9884778685946948</v>
      </c>
      <c r="D632" s="6" t="n">
        <v>-0.6345989662213991</v>
      </c>
      <c r="E632" s="6" t="n">
        <v>-0.5688035553649698</v>
      </c>
      <c r="F632" s="6" t="n">
        <v>-0.8850484360866833</v>
      </c>
      <c r="G632" s="5" t="n">
        <v>0</v>
      </c>
      <c r="H632" s="5" t="n">
        <v>1</v>
      </c>
      <c r="I632" s="5" t="n">
        <v>0</v>
      </c>
      <c r="J632" s="5" t="n">
        <v>0</v>
      </c>
      <c r="K632" s="5" t="n">
        <v>0</v>
      </c>
      <c r="L632" s="5" t="n">
        <v>1</v>
      </c>
      <c r="M632" s="5" t="n">
        <v>1</v>
      </c>
      <c r="N632" s="5" t="n">
        <v>0</v>
      </c>
      <c r="O632" s="5" t="n">
        <v>0</v>
      </c>
      <c r="P632" s="5" t="n">
        <v>0</v>
      </c>
      <c r="Q632" s="5" t="n">
        <v>0</v>
      </c>
      <c r="R632" s="5" t="n">
        <v>1</v>
      </c>
      <c r="S632" s="5" t="n">
        <v>0</v>
      </c>
      <c r="T632" s="5" t="n">
        <v>0</v>
      </c>
      <c r="U632" s="5" t="inlineStr">
        <is>
          <t>training</t>
        </is>
      </c>
    </row>
    <row r="633">
      <c r="A633" s="5" t="n">
        <v>629</v>
      </c>
      <c r="B633" s="5" t="n">
        <v>0</v>
      </c>
      <c r="C633" s="6" t="n">
        <v>1.792067524066952</v>
      </c>
      <c r="D633" s="6" t="n">
        <v>0.2768716261088007</v>
      </c>
      <c r="E633" s="6" t="n">
        <v>0.04000758952108359</v>
      </c>
      <c r="F633" s="6" t="n">
        <v>0.9185437189662378</v>
      </c>
      <c r="G633" s="5" t="n">
        <v>0</v>
      </c>
      <c r="H633" s="5" t="n">
        <v>0</v>
      </c>
      <c r="I633" s="5" t="n">
        <v>0</v>
      </c>
      <c r="J633" s="5" t="n">
        <v>1</v>
      </c>
      <c r="K633" s="5" t="n">
        <v>0</v>
      </c>
      <c r="L633" s="5" t="n">
        <v>0</v>
      </c>
      <c r="M633" s="5" t="n">
        <v>1</v>
      </c>
      <c r="N633" s="5" t="n">
        <v>0</v>
      </c>
      <c r="O633" s="5" t="n">
        <v>0</v>
      </c>
      <c r="P633" s="5" t="n">
        <v>0</v>
      </c>
      <c r="Q633" s="5" t="n">
        <v>0</v>
      </c>
      <c r="R633" s="5" t="n">
        <v>0</v>
      </c>
      <c r="S633" s="5" t="n">
        <v>0</v>
      </c>
      <c r="T633" s="5" t="n">
        <v>1</v>
      </c>
      <c r="U633" s="5" t="inlineStr">
        <is>
          <t>training</t>
        </is>
      </c>
    </row>
    <row r="634">
      <c r="A634" s="5" t="n">
        <v>630</v>
      </c>
      <c r="B634" s="5" t="n">
        <v>0</v>
      </c>
      <c r="C634" s="6" t="n">
        <v>-0.9884778685946948</v>
      </c>
      <c r="D634" s="6" t="n">
        <v>0.2033941503355408</v>
      </c>
      <c r="E634" s="6" t="n">
        <v>2.475252169065298</v>
      </c>
      <c r="F634" s="6" t="n">
        <v>-1.786844513613144</v>
      </c>
      <c r="G634" s="5" t="n">
        <v>0</v>
      </c>
      <c r="H634" s="5" t="n">
        <v>0</v>
      </c>
      <c r="I634" s="5" t="n">
        <v>0</v>
      </c>
      <c r="J634" s="5" t="n">
        <v>0</v>
      </c>
      <c r="K634" s="5" t="n">
        <v>0</v>
      </c>
      <c r="L634" s="5" t="n">
        <v>0</v>
      </c>
      <c r="M634" s="5" t="n">
        <v>0</v>
      </c>
      <c r="N634" s="5" t="n">
        <v>0</v>
      </c>
      <c r="O634" s="5" t="n">
        <v>1</v>
      </c>
      <c r="P634" s="5" t="n">
        <v>0</v>
      </c>
      <c r="Q634" s="5" t="n">
        <v>0</v>
      </c>
      <c r="R634" s="5" t="n">
        <v>0</v>
      </c>
      <c r="S634" s="5" t="n">
        <v>0</v>
      </c>
      <c r="T634" s="5" t="n">
        <v>0</v>
      </c>
      <c r="U634" s="5" t="inlineStr">
        <is>
          <t>testing</t>
        </is>
      </c>
    </row>
    <row r="635">
      <c r="A635" s="5" t="n">
        <v>631</v>
      </c>
      <c r="B635" s="5" t="n">
        <v>0</v>
      </c>
      <c r="C635" s="6" t="n">
        <v>0.275406400796963</v>
      </c>
      <c r="D635" s="6" t="n">
        <v>0.1432125987498232</v>
      </c>
      <c r="E635" s="6" t="n">
        <v>-0.6557765760629775</v>
      </c>
      <c r="F635" s="6" t="n">
        <v>-0.8850484360866833</v>
      </c>
      <c r="G635" s="5" t="n">
        <v>1</v>
      </c>
      <c r="H635" s="5" t="n">
        <v>0</v>
      </c>
      <c r="I635" s="5" t="n">
        <v>0</v>
      </c>
      <c r="J635" s="5" t="n">
        <v>0</v>
      </c>
      <c r="K635" s="5" t="n">
        <v>0</v>
      </c>
      <c r="L635" s="5" t="n">
        <v>0</v>
      </c>
      <c r="M635" s="5" t="n">
        <v>0</v>
      </c>
      <c r="N635" s="5" t="n">
        <v>0</v>
      </c>
      <c r="O635" s="5" t="n">
        <v>0</v>
      </c>
      <c r="P635" s="5" t="n">
        <v>0</v>
      </c>
      <c r="Q635" s="5" t="n">
        <v>0</v>
      </c>
      <c r="R635" s="5" t="n">
        <v>0</v>
      </c>
      <c r="S635" s="5" t="n">
        <v>1</v>
      </c>
      <c r="T635" s="5" t="n">
        <v>0</v>
      </c>
      <c r="U635" s="5" t="inlineStr">
        <is>
          <t>testing</t>
        </is>
      </c>
    </row>
    <row r="636">
      <c r="A636" s="5" t="n">
        <v>632</v>
      </c>
      <c r="B636" s="5" t="n">
        <v>1</v>
      </c>
      <c r="C636" s="6" t="n">
        <v>-0.2301473069597001</v>
      </c>
      <c r="D636" s="6" t="n">
        <v>-0.5940114081752175</v>
      </c>
      <c r="E636" s="6" t="n">
        <v>0.7357917551051447</v>
      </c>
      <c r="F636" s="6" t="n">
        <v>0.9185437189662378</v>
      </c>
      <c r="G636" s="5" t="n">
        <v>1</v>
      </c>
      <c r="H636" s="5" t="n">
        <v>0</v>
      </c>
      <c r="I636" s="5" t="n">
        <v>0</v>
      </c>
      <c r="J636" s="5" t="n">
        <v>0</v>
      </c>
      <c r="K636" s="5" t="n">
        <v>0</v>
      </c>
      <c r="L636" s="5" t="n">
        <v>1</v>
      </c>
      <c r="M636" s="5" t="n">
        <v>0</v>
      </c>
      <c r="N636" s="5" t="n">
        <v>0</v>
      </c>
      <c r="O636" s="5" t="n">
        <v>0</v>
      </c>
      <c r="P636" s="5" t="n">
        <v>0</v>
      </c>
      <c r="Q636" s="5" t="n">
        <v>0</v>
      </c>
      <c r="R636" s="5" t="n">
        <v>0</v>
      </c>
      <c r="S636" s="5" t="n">
        <v>0</v>
      </c>
      <c r="T636" s="5" t="n">
        <v>1</v>
      </c>
      <c r="U636" s="5" t="inlineStr">
        <is>
          <t>training</t>
        </is>
      </c>
    </row>
    <row r="637">
      <c r="A637" s="5" t="n">
        <v>633</v>
      </c>
      <c r="B637" s="5" t="n">
        <v>0</v>
      </c>
      <c r="C637" s="6" t="n">
        <v>-0.4829241608380317</v>
      </c>
      <c r="D637" s="6" t="n">
        <v>-0.6321497170289571</v>
      </c>
      <c r="E637" s="6" t="n">
        <v>-1.090641679553016</v>
      </c>
      <c r="F637" s="6" t="n">
        <v>0.9185437189662378</v>
      </c>
      <c r="G637" s="5" t="n">
        <v>0</v>
      </c>
      <c r="H637" s="5" t="n">
        <v>1</v>
      </c>
      <c r="I637" s="5" t="n">
        <v>0</v>
      </c>
      <c r="J637" s="5" t="n">
        <v>0</v>
      </c>
      <c r="K637" s="5" t="n">
        <v>0</v>
      </c>
      <c r="L637" s="5" t="n">
        <v>0</v>
      </c>
      <c r="M637" s="5" t="n">
        <v>0</v>
      </c>
      <c r="N637" s="5" t="n">
        <v>0</v>
      </c>
      <c r="O637" s="5" t="n">
        <v>1</v>
      </c>
      <c r="P637" s="5" t="n">
        <v>0</v>
      </c>
      <c r="Q637" s="5" t="n">
        <v>0</v>
      </c>
      <c r="R637" s="5" t="n">
        <v>0</v>
      </c>
      <c r="S637" s="5" t="n">
        <v>1</v>
      </c>
      <c r="T637" s="5" t="n">
        <v>0</v>
      </c>
      <c r="U637" s="5" t="inlineStr">
        <is>
          <t>training</t>
        </is>
      </c>
    </row>
    <row r="638">
      <c r="A638" s="5" t="n">
        <v>634</v>
      </c>
      <c r="B638" s="5" t="n">
        <v>1</v>
      </c>
      <c r="C638" s="6" t="n">
        <v>-0.9884778685946948</v>
      </c>
      <c r="D638" s="6" t="n">
        <v>-0.4446072074362557</v>
      </c>
      <c r="E638" s="6" t="n">
        <v>-1.438533762345046</v>
      </c>
      <c r="F638" s="6" t="n">
        <v>-0.8850484360866833</v>
      </c>
      <c r="G638" s="5" t="n">
        <v>0</v>
      </c>
      <c r="H638" s="5" t="n">
        <v>0</v>
      </c>
      <c r="I638" s="5" t="n">
        <v>0</v>
      </c>
      <c r="J638" s="5" t="n">
        <v>0</v>
      </c>
      <c r="K638" s="5" t="n">
        <v>0</v>
      </c>
      <c r="L638" s="5" t="n">
        <v>0</v>
      </c>
      <c r="M638" s="5" t="n">
        <v>0</v>
      </c>
      <c r="N638" s="5" t="n">
        <v>0</v>
      </c>
      <c r="O638" s="5" t="n">
        <v>0</v>
      </c>
      <c r="P638" s="5" t="n">
        <v>1</v>
      </c>
      <c r="Q638" s="5" t="n">
        <v>0</v>
      </c>
      <c r="R638" s="5" t="n">
        <v>0</v>
      </c>
      <c r="S638" s="5" t="n">
        <v>0</v>
      </c>
      <c r="T638" s="5" t="n">
        <v>1</v>
      </c>
      <c r="U638" s="5" t="inlineStr">
        <is>
          <t>training</t>
        </is>
      </c>
    </row>
    <row r="639">
      <c r="A639" s="5" t="n">
        <v>635</v>
      </c>
      <c r="B639" s="5" t="n">
        <v>1</v>
      </c>
      <c r="C639" s="6" t="n">
        <v>0.275406400796963</v>
      </c>
      <c r="D639" s="6" t="n">
        <v>-0.6632901710471482</v>
      </c>
      <c r="E639" s="6" t="n">
        <v>-0.9166956381570004</v>
      </c>
      <c r="F639" s="6" t="n">
        <v>0.01674764143977723</v>
      </c>
      <c r="G639" s="5" t="n">
        <v>0</v>
      </c>
      <c r="H639" s="5" t="n">
        <v>1</v>
      </c>
      <c r="I639" s="5" t="n">
        <v>0</v>
      </c>
      <c r="J639" s="5" t="n">
        <v>0</v>
      </c>
      <c r="K639" s="5" t="n">
        <v>0</v>
      </c>
      <c r="L639" s="5" t="n">
        <v>0</v>
      </c>
      <c r="M639" s="5" t="n">
        <v>0</v>
      </c>
      <c r="N639" s="5" t="n">
        <v>0</v>
      </c>
      <c r="O639" s="5" t="n">
        <v>0</v>
      </c>
      <c r="P639" s="5" t="n">
        <v>0</v>
      </c>
      <c r="Q639" s="5" t="n">
        <v>0</v>
      </c>
      <c r="R639" s="5" t="n">
        <v>1</v>
      </c>
      <c r="S639" s="5" t="n">
        <v>0</v>
      </c>
      <c r="T639" s="5" t="n">
        <v>0</v>
      </c>
      <c r="U639" s="5" t="inlineStr">
        <is>
          <t>training</t>
        </is>
      </c>
    </row>
    <row r="640">
      <c r="A640" s="5" t="n">
        <v>636</v>
      </c>
      <c r="B640" s="5" t="n">
        <v>0</v>
      </c>
      <c r="C640" s="6" t="n">
        <v>-0.7357010147163632</v>
      </c>
      <c r="D640" s="6" t="n">
        <v>-0.6499942468596059</v>
      </c>
      <c r="E640" s="6" t="n">
        <v>0.9967108171991675</v>
      </c>
      <c r="F640" s="6" t="n">
        <v>0.9185437189662378</v>
      </c>
      <c r="G640" s="5" t="n">
        <v>0</v>
      </c>
      <c r="H640" s="5" t="n">
        <v>0</v>
      </c>
      <c r="I640" s="5" t="n">
        <v>0</v>
      </c>
      <c r="J640" s="5" t="n">
        <v>0</v>
      </c>
      <c r="K640" s="5" t="n">
        <v>0</v>
      </c>
      <c r="L640" s="5" t="n">
        <v>0</v>
      </c>
      <c r="M640" s="5" t="n">
        <v>0</v>
      </c>
      <c r="N640" s="5" t="n">
        <v>0</v>
      </c>
      <c r="O640" s="5" t="n">
        <v>0</v>
      </c>
      <c r="P640" s="5" t="n">
        <v>0</v>
      </c>
      <c r="Q640" s="5" t="n">
        <v>0</v>
      </c>
      <c r="R640" s="5" t="n">
        <v>0</v>
      </c>
      <c r="S640" s="5" t="n">
        <v>0</v>
      </c>
      <c r="T640" s="5" t="n">
        <v>0</v>
      </c>
      <c r="U640" s="5" t="inlineStr">
        <is>
          <t>training</t>
        </is>
      </c>
    </row>
    <row r="641">
      <c r="A641" s="5" t="n">
        <v>637</v>
      </c>
      <c r="B641" s="5" t="n">
        <v>0</v>
      </c>
      <c r="C641" s="6" t="n">
        <v>0.275406400796963</v>
      </c>
      <c r="D641" s="6" t="n">
        <v>-0.6559424234698222</v>
      </c>
      <c r="E641" s="6" t="n">
        <v>-0.6557765760629775</v>
      </c>
      <c r="F641" s="6" t="n">
        <v>0.9185437189662378</v>
      </c>
      <c r="G641" s="5" t="n">
        <v>0</v>
      </c>
      <c r="H641" s="5" t="n">
        <v>0</v>
      </c>
      <c r="I641" s="5" t="n">
        <v>0</v>
      </c>
      <c r="J641" s="5" t="n">
        <v>0</v>
      </c>
      <c r="K641" s="5" t="n">
        <v>0</v>
      </c>
      <c r="L641" s="5" t="n">
        <v>0</v>
      </c>
      <c r="M641" s="5" t="n">
        <v>1</v>
      </c>
      <c r="N641" s="5" t="n">
        <v>0</v>
      </c>
      <c r="O641" s="5" t="n">
        <v>0</v>
      </c>
      <c r="P641" s="5" t="n">
        <v>0</v>
      </c>
      <c r="Q641" s="5" t="n">
        <v>0</v>
      </c>
      <c r="R641" s="5" t="n">
        <v>0</v>
      </c>
      <c r="S641" s="5" t="n">
        <v>1</v>
      </c>
      <c r="T641" s="5" t="n">
        <v>0</v>
      </c>
      <c r="U641" s="5" t="inlineStr">
        <is>
          <t>training</t>
        </is>
      </c>
    </row>
    <row r="642">
      <c r="A642" s="5" t="n">
        <v>638</v>
      </c>
      <c r="B642" s="5" t="n">
        <v>0</v>
      </c>
      <c r="C642" s="6" t="n">
        <v>3.308728647336942</v>
      </c>
      <c r="D642" s="6" t="n">
        <v>4.339476250886516</v>
      </c>
      <c r="E642" s="6" t="n">
        <v>-1.264587720949031</v>
      </c>
      <c r="F642" s="6" t="n">
        <v>-0.8850484360866833</v>
      </c>
      <c r="G642" s="5" t="n">
        <v>0</v>
      </c>
      <c r="H642" s="5" t="n">
        <v>0</v>
      </c>
      <c r="I642" s="5" t="n">
        <v>0</v>
      </c>
      <c r="J642" s="5" t="n">
        <v>0</v>
      </c>
      <c r="K642" s="5" t="n">
        <v>1</v>
      </c>
      <c r="L642" s="5" t="n">
        <v>0</v>
      </c>
      <c r="M642" s="5" t="n">
        <v>0</v>
      </c>
      <c r="N642" s="5" t="n">
        <v>0</v>
      </c>
      <c r="O642" s="5" t="n">
        <v>0</v>
      </c>
      <c r="P642" s="5" t="n">
        <v>0</v>
      </c>
      <c r="Q642" s="5" t="n">
        <v>0</v>
      </c>
      <c r="R642" s="5" t="n">
        <v>0</v>
      </c>
      <c r="S642" s="5" t="n">
        <v>1</v>
      </c>
      <c r="T642" s="5" t="n">
        <v>0</v>
      </c>
      <c r="U642" s="5" t="inlineStr">
        <is>
          <t>training</t>
        </is>
      </c>
    </row>
    <row r="643">
      <c r="A643" s="5" t="n">
        <v>639</v>
      </c>
      <c r="B643" s="5" t="n">
        <v>0</v>
      </c>
      <c r="C643" s="6" t="n">
        <v>-0.7357010147163632</v>
      </c>
      <c r="D643" s="6" t="n">
        <v>-0.6150049726818632</v>
      </c>
      <c r="E643" s="6" t="n">
        <v>-0.1339384518749317</v>
      </c>
      <c r="F643" s="6" t="n">
        <v>0.9185437189662378</v>
      </c>
      <c r="G643" s="5" t="n">
        <v>0</v>
      </c>
      <c r="H643" s="5" t="n">
        <v>0</v>
      </c>
      <c r="I643" s="5" t="n">
        <v>0</v>
      </c>
      <c r="J643" s="5" t="n">
        <v>0</v>
      </c>
      <c r="K643" s="5" t="n">
        <v>0</v>
      </c>
      <c r="L643" s="5" t="n">
        <v>0</v>
      </c>
      <c r="M643" s="5" t="n">
        <v>0</v>
      </c>
      <c r="N643" s="5" t="n">
        <v>0</v>
      </c>
      <c r="O643" s="5" t="n">
        <v>0</v>
      </c>
      <c r="P643" s="5" t="n">
        <v>0</v>
      </c>
      <c r="Q643" s="5" t="n">
        <v>0</v>
      </c>
      <c r="R643" s="5" t="n">
        <v>0</v>
      </c>
      <c r="S643" s="5" t="n">
        <v>1</v>
      </c>
      <c r="T643" s="5" t="n">
        <v>0</v>
      </c>
      <c r="U643" s="5" t="inlineStr">
        <is>
          <t>training</t>
        </is>
      </c>
    </row>
    <row r="644">
      <c r="A644" s="5" t="n">
        <v>640</v>
      </c>
      <c r="B644" s="5" t="n">
        <v>1</v>
      </c>
      <c r="C644" s="6" t="n">
        <v>1.792067524066952</v>
      </c>
      <c r="D644" s="6" t="n">
        <v>0.3916364454117971</v>
      </c>
      <c r="E644" s="6" t="n">
        <v>-0.8297226174589928</v>
      </c>
      <c r="F644" s="6" t="n">
        <v>0.01674764143977723</v>
      </c>
      <c r="G644" s="5" t="n">
        <v>1</v>
      </c>
      <c r="H644" s="5" t="n">
        <v>0</v>
      </c>
      <c r="I644" s="5" t="n">
        <v>0</v>
      </c>
      <c r="J644" s="5" t="n">
        <v>0</v>
      </c>
      <c r="K644" s="5" t="n">
        <v>1</v>
      </c>
      <c r="L644" s="5" t="n">
        <v>0</v>
      </c>
      <c r="M644" s="5" t="n">
        <v>0</v>
      </c>
      <c r="N644" s="5" t="n">
        <v>0</v>
      </c>
      <c r="O644" s="5" t="n">
        <v>0</v>
      </c>
      <c r="P644" s="5" t="n">
        <v>0</v>
      </c>
      <c r="Q644" s="5" t="n">
        <v>0</v>
      </c>
      <c r="R644" s="5" t="n">
        <v>0</v>
      </c>
      <c r="S644" s="5" t="n">
        <v>1</v>
      </c>
      <c r="T644" s="5" t="n">
        <v>0</v>
      </c>
      <c r="U644" s="5" t="inlineStr">
        <is>
          <t>testing</t>
        </is>
      </c>
    </row>
    <row r="645">
      <c r="A645" s="5" t="n">
        <v>641</v>
      </c>
      <c r="B645" s="5" t="n">
        <v>1</v>
      </c>
      <c r="C645" s="6" t="n">
        <v>-0.2301473069597001</v>
      </c>
      <c r="D645" s="6" t="n">
        <v>-0.8749752798224921</v>
      </c>
      <c r="E645" s="6" t="n">
        <v>-0.7427495967609852</v>
      </c>
      <c r="F645" s="6" t="n">
        <v>0.9185437189662378</v>
      </c>
      <c r="G645" s="5" t="n">
        <v>1</v>
      </c>
      <c r="H645" s="5" t="n">
        <v>0</v>
      </c>
      <c r="I645" s="5" t="n">
        <v>0</v>
      </c>
      <c r="J645" s="5" t="n">
        <v>0</v>
      </c>
      <c r="K645" s="5" t="n">
        <v>0</v>
      </c>
      <c r="L645" s="5" t="n">
        <v>0</v>
      </c>
      <c r="M645" s="5" t="n">
        <v>0</v>
      </c>
      <c r="N645" s="5" t="n">
        <v>0</v>
      </c>
      <c r="O645" s="5" t="n">
        <v>0</v>
      </c>
      <c r="P645" s="5" t="n">
        <v>0</v>
      </c>
      <c r="Q645" s="5" t="n">
        <v>0</v>
      </c>
      <c r="R645" s="5" t="n">
        <v>0</v>
      </c>
      <c r="S645" s="5" t="n">
        <v>0</v>
      </c>
      <c r="T645" s="5" t="n">
        <v>0</v>
      </c>
      <c r="U645" s="5" t="inlineStr">
        <is>
          <t>testing</t>
        </is>
      </c>
    </row>
    <row r="646">
      <c r="A646" s="5" t="n">
        <v>642</v>
      </c>
      <c r="B646" s="5" t="n">
        <v>0</v>
      </c>
      <c r="C646" s="6" t="n">
        <v>-0.4829241608380317</v>
      </c>
      <c r="D646" s="6" t="n">
        <v>-0.6797351299106873</v>
      </c>
      <c r="E646" s="6" t="n">
        <v>0.2139536309170988</v>
      </c>
      <c r="F646" s="6" t="n">
        <v>0.9185437189662378</v>
      </c>
      <c r="G646" s="5" t="n">
        <v>0</v>
      </c>
      <c r="H646" s="5" t="n">
        <v>1</v>
      </c>
      <c r="I646" s="5" t="n">
        <v>0</v>
      </c>
      <c r="J646" s="5" t="n">
        <v>0</v>
      </c>
      <c r="K646" s="5" t="n">
        <v>0</v>
      </c>
      <c r="L646" s="5" t="n">
        <v>0</v>
      </c>
      <c r="M646" s="5" t="n">
        <v>0</v>
      </c>
      <c r="N646" s="5" t="n">
        <v>0</v>
      </c>
      <c r="O646" s="5" t="n">
        <v>0</v>
      </c>
      <c r="P646" s="5" t="n">
        <v>0</v>
      </c>
      <c r="Q646" s="5" t="n">
        <v>0</v>
      </c>
      <c r="R646" s="5" t="n">
        <v>0</v>
      </c>
      <c r="S646" s="5" t="n">
        <v>0</v>
      </c>
      <c r="T646" s="5" t="n">
        <v>0</v>
      </c>
      <c r="U646" s="5" t="inlineStr">
        <is>
          <t>training</t>
        </is>
      </c>
    </row>
    <row r="647">
      <c r="A647" s="5" t="n">
        <v>643</v>
      </c>
      <c r="B647" s="5" t="n">
        <v>1</v>
      </c>
      <c r="C647" s="6" t="n">
        <v>-0.4829241608380317</v>
      </c>
      <c r="D647" s="6" t="n">
        <v>0.4801593090814864</v>
      </c>
      <c r="E647" s="6" t="n">
        <v>0.3878996723131141</v>
      </c>
      <c r="F647" s="6" t="n">
        <v>0.01674764143977723</v>
      </c>
      <c r="G647" s="5" t="n">
        <v>0</v>
      </c>
      <c r="H647" s="5" t="n">
        <v>0</v>
      </c>
      <c r="I647" s="5" t="n">
        <v>0</v>
      </c>
      <c r="J647" s="5" t="n">
        <v>0</v>
      </c>
      <c r="K647" s="5" t="n">
        <v>0</v>
      </c>
      <c r="L647" s="5" t="n">
        <v>0</v>
      </c>
      <c r="M647" s="5" t="n">
        <v>1</v>
      </c>
      <c r="N647" s="5" t="n">
        <v>0</v>
      </c>
      <c r="O647" s="5" t="n">
        <v>0</v>
      </c>
      <c r="P647" s="5" t="n">
        <v>0</v>
      </c>
      <c r="Q647" s="5" t="n">
        <v>0</v>
      </c>
      <c r="R647" s="5" t="n">
        <v>0</v>
      </c>
      <c r="S647" s="5" t="n">
        <v>0</v>
      </c>
      <c r="T647" s="5" t="n">
        <v>0</v>
      </c>
      <c r="U647" s="5" t="inlineStr">
        <is>
          <t>training</t>
        </is>
      </c>
    </row>
    <row r="648">
      <c r="A648" s="5" t="n">
        <v>644</v>
      </c>
      <c r="B648" s="5" t="n">
        <v>0</v>
      </c>
      <c r="C648" s="6" t="n">
        <v>0.275406400796963</v>
      </c>
      <c r="D648" s="6" t="n">
        <v>-0.4897433711255439</v>
      </c>
      <c r="E648" s="6" t="n">
        <v>-0.2209114725729393</v>
      </c>
      <c r="F648" s="6" t="n">
        <v>0.9185437189662378</v>
      </c>
      <c r="G648" s="5" t="n">
        <v>0</v>
      </c>
      <c r="H648" s="5" t="n">
        <v>0</v>
      </c>
      <c r="I648" s="5" t="n">
        <v>0</v>
      </c>
      <c r="J648" s="5" t="n">
        <v>1</v>
      </c>
      <c r="K648" s="5" t="n">
        <v>0</v>
      </c>
      <c r="L648" s="5" t="n">
        <v>0</v>
      </c>
      <c r="M648" s="5" t="n">
        <v>0</v>
      </c>
      <c r="N648" s="5" t="n">
        <v>0</v>
      </c>
      <c r="O648" s="5" t="n">
        <v>0</v>
      </c>
      <c r="P648" s="5" t="n">
        <v>0</v>
      </c>
      <c r="Q648" s="5" t="n">
        <v>0</v>
      </c>
      <c r="R648" s="5" t="n">
        <v>0</v>
      </c>
      <c r="S648" s="5" t="n">
        <v>1</v>
      </c>
      <c r="T648" s="5" t="n">
        <v>0</v>
      </c>
      <c r="U648" s="5" t="inlineStr">
        <is>
          <t>training</t>
        </is>
      </c>
    </row>
    <row r="649">
      <c r="A649" s="5" t="n">
        <v>645</v>
      </c>
      <c r="B649" s="5" t="n">
        <v>0</v>
      </c>
      <c r="C649" s="6" t="n">
        <v>-0.2301473069597001</v>
      </c>
      <c r="D649" s="6" t="n">
        <v>-0.4795964816139985</v>
      </c>
      <c r="E649" s="6" t="n">
        <v>-0.307884493270947</v>
      </c>
      <c r="F649" s="6" t="n">
        <v>0.9185437189662378</v>
      </c>
      <c r="G649" s="5" t="n">
        <v>1</v>
      </c>
      <c r="H649" s="5" t="n">
        <v>0</v>
      </c>
      <c r="I649" s="5" t="n">
        <v>0</v>
      </c>
      <c r="J649" s="5" t="n">
        <v>1</v>
      </c>
      <c r="K649" s="5" t="n">
        <v>0</v>
      </c>
      <c r="L649" s="5" t="n">
        <v>0</v>
      </c>
      <c r="M649" s="5" t="n">
        <v>0</v>
      </c>
      <c r="N649" s="5" t="n">
        <v>0</v>
      </c>
      <c r="O649" s="5" t="n">
        <v>0</v>
      </c>
      <c r="P649" s="5" t="n">
        <v>0</v>
      </c>
      <c r="Q649" s="5" t="n">
        <v>0</v>
      </c>
      <c r="R649" s="5" t="n">
        <v>0</v>
      </c>
      <c r="S649" s="5" t="n">
        <v>1</v>
      </c>
      <c r="T649" s="5" t="n">
        <v>0</v>
      </c>
      <c r="U649" s="5" t="inlineStr">
        <is>
          <t>testing</t>
        </is>
      </c>
    </row>
    <row r="650">
      <c r="A650" s="5" t="n">
        <v>646</v>
      </c>
      <c r="B650" s="5" t="n">
        <v>1</v>
      </c>
      <c r="C650" s="6" t="n">
        <v>1.286513816310289</v>
      </c>
      <c r="D650" s="6" t="n">
        <v>1.654749243228312</v>
      </c>
      <c r="E650" s="6" t="n">
        <v>-0.7427495967609852</v>
      </c>
      <c r="F650" s="6" t="n">
        <v>0.9185437189662378</v>
      </c>
      <c r="G650" s="5" t="n">
        <v>0</v>
      </c>
      <c r="H650" s="5" t="n">
        <v>0</v>
      </c>
      <c r="I650" s="5" t="n">
        <v>0</v>
      </c>
      <c r="J650" s="5" t="n">
        <v>0</v>
      </c>
      <c r="K650" s="5" t="n">
        <v>1</v>
      </c>
      <c r="L650" s="5" t="n">
        <v>0</v>
      </c>
      <c r="M650" s="5" t="n">
        <v>0</v>
      </c>
      <c r="N650" s="5" t="n">
        <v>0</v>
      </c>
      <c r="O650" s="5" t="n">
        <v>1</v>
      </c>
      <c r="P650" s="5" t="n">
        <v>1</v>
      </c>
      <c r="Q650" s="5" t="n">
        <v>0</v>
      </c>
      <c r="R650" s="5" t="n">
        <v>0</v>
      </c>
      <c r="S650" s="5" t="n">
        <v>0</v>
      </c>
      <c r="T650" s="5" t="n">
        <v>0</v>
      </c>
      <c r="U650" s="5" t="inlineStr">
        <is>
          <t>training</t>
        </is>
      </c>
    </row>
    <row r="651">
      <c r="A651" s="5" t="n">
        <v>647</v>
      </c>
      <c r="B651" s="5" t="n">
        <v>0</v>
      </c>
      <c r="C651" s="6" t="n">
        <v>0.7809601085536261</v>
      </c>
      <c r="D651" s="6" t="n">
        <v>0.4661635994103892</v>
      </c>
      <c r="E651" s="6" t="n">
        <v>-0.307884493270947</v>
      </c>
      <c r="F651" s="6" t="n">
        <v>-0.8850484360866833</v>
      </c>
      <c r="G651" s="5" t="n">
        <v>1</v>
      </c>
      <c r="H651" s="5" t="n">
        <v>0</v>
      </c>
      <c r="I651" s="5" t="n">
        <v>0</v>
      </c>
      <c r="J651" s="5" t="n">
        <v>0</v>
      </c>
      <c r="K651" s="5" t="n">
        <v>0</v>
      </c>
      <c r="L651" s="5" t="n">
        <v>1</v>
      </c>
      <c r="M651" s="5" t="n">
        <v>0</v>
      </c>
      <c r="N651" s="5" t="n">
        <v>0</v>
      </c>
      <c r="O651" s="5" t="n">
        <v>0</v>
      </c>
      <c r="P651" s="5" t="n">
        <v>0</v>
      </c>
      <c r="Q651" s="5" t="n">
        <v>0</v>
      </c>
      <c r="R651" s="5" t="n">
        <v>0</v>
      </c>
      <c r="S651" s="5" t="n">
        <v>0</v>
      </c>
      <c r="T651" s="5" t="n">
        <v>1</v>
      </c>
      <c r="U651" s="5" t="inlineStr">
        <is>
          <t>training</t>
        </is>
      </c>
    </row>
    <row r="652">
      <c r="A652" s="5" t="n">
        <v>648</v>
      </c>
      <c r="B652" s="5" t="n">
        <v>1</v>
      </c>
      <c r="C652" s="6" t="n">
        <v>-0.7357010147163632</v>
      </c>
      <c r="D652" s="6" t="n">
        <v>-0.6524434960520479</v>
      </c>
      <c r="E652" s="6" t="n">
        <v>-0.8297226174589928</v>
      </c>
      <c r="F652" s="6" t="n">
        <v>-0.8850484360866833</v>
      </c>
      <c r="G652" s="5" t="n">
        <v>0</v>
      </c>
      <c r="H652" s="5" t="n">
        <v>0</v>
      </c>
      <c r="I652" s="5" t="n">
        <v>0</v>
      </c>
      <c r="J652" s="5" t="n">
        <v>0</v>
      </c>
      <c r="K652" s="5" t="n">
        <v>0</v>
      </c>
      <c r="L652" s="5" t="n">
        <v>0</v>
      </c>
      <c r="M652" s="5" t="n">
        <v>1</v>
      </c>
      <c r="N652" s="5" t="n">
        <v>0</v>
      </c>
      <c r="O652" s="5" t="n">
        <v>0</v>
      </c>
      <c r="P652" s="5" t="n">
        <v>0</v>
      </c>
      <c r="Q652" s="5" t="n">
        <v>0</v>
      </c>
      <c r="R652" s="5" t="n">
        <v>1</v>
      </c>
      <c r="S652" s="5" t="n">
        <v>0</v>
      </c>
      <c r="T652" s="5" t="n">
        <v>0</v>
      </c>
      <c r="U652" s="5" t="inlineStr">
        <is>
          <t>training</t>
        </is>
      </c>
    </row>
    <row r="653">
      <c r="A653" s="5" t="n">
        <v>649</v>
      </c>
      <c r="B653" s="5" t="n">
        <v>1</v>
      </c>
      <c r="C653" s="6" t="n">
        <v>0.275406400796963</v>
      </c>
      <c r="D653" s="6" t="n">
        <v>-0.8060464096923388</v>
      </c>
      <c r="E653" s="6" t="n">
        <v>0.2139536309170988</v>
      </c>
      <c r="F653" s="6" t="n">
        <v>0.9185437189662378</v>
      </c>
      <c r="G653" s="5" t="n">
        <v>0</v>
      </c>
      <c r="H653" s="5" t="n">
        <v>0</v>
      </c>
      <c r="I653" s="5" t="n">
        <v>1</v>
      </c>
      <c r="J653" s="5" t="n">
        <v>0</v>
      </c>
      <c r="K653" s="5" t="n">
        <v>0</v>
      </c>
      <c r="L653" s="5" t="n">
        <v>0</v>
      </c>
      <c r="M653" s="5" t="n">
        <v>0</v>
      </c>
      <c r="N653" s="5" t="n">
        <v>0</v>
      </c>
      <c r="O653" s="5" t="n">
        <v>0</v>
      </c>
      <c r="P653" s="5" t="n">
        <v>0</v>
      </c>
      <c r="Q653" s="5" t="n">
        <v>1</v>
      </c>
      <c r="R653" s="5" t="n">
        <v>1</v>
      </c>
      <c r="S653" s="5" t="n">
        <v>0</v>
      </c>
      <c r="T653" s="5" t="n">
        <v>0</v>
      </c>
      <c r="U653" s="5" t="inlineStr">
        <is>
          <t>training</t>
        </is>
      </c>
    </row>
    <row r="654">
      <c r="A654" s="5" t="n">
        <v>650</v>
      </c>
      <c r="B654" s="5" t="n">
        <v>1</v>
      </c>
      <c r="C654" s="6" t="n">
        <v>-0.7357010147163632</v>
      </c>
      <c r="D654" s="6" t="n">
        <v>-0.8980682007798023</v>
      </c>
      <c r="E654" s="6" t="n">
        <v>0.3878996723131141</v>
      </c>
      <c r="F654" s="6" t="n">
        <v>0.9185437189662378</v>
      </c>
      <c r="G654" s="5" t="n">
        <v>1</v>
      </c>
      <c r="H654" s="5" t="n">
        <v>0</v>
      </c>
      <c r="I654" s="5" t="n">
        <v>0</v>
      </c>
      <c r="J654" s="5" t="n">
        <v>0</v>
      </c>
      <c r="K654" s="5" t="n">
        <v>0</v>
      </c>
      <c r="L654" s="5" t="n">
        <v>0</v>
      </c>
      <c r="M654" s="5" t="n">
        <v>0</v>
      </c>
      <c r="N654" s="5" t="n">
        <v>0</v>
      </c>
      <c r="O654" s="5" t="n">
        <v>0</v>
      </c>
      <c r="P654" s="5" t="n">
        <v>1</v>
      </c>
      <c r="Q654" s="5" t="n">
        <v>0</v>
      </c>
      <c r="R654" s="5" t="n">
        <v>0</v>
      </c>
      <c r="S654" s="5" t="n">
        <v>0</v>
      </c>
      <c r="T654" s="5" t="n">
        <v>0</v>
      </c>
      <c r="U654" s="5" t="inlineStr">
        <is>
          <t>training</t>
        </is>
      </c>
    </row>
    <row r="655">
      <c r="A655" s="5" t="n">
        <v>651</v>
      </c>
      <c r="B655" s="5" t="n">
        <v>0</v>
      </c>
      <c r="C655" s="6" t="n">
        <v>2.297621231823615</v>
      </c>
      <c r="D655" s="6" t="n">
        <v>1.478403301372488</v>
      </c>
      <c r="E655" s="6" t="n">
        <v>1.257629879293191</v>
      </c>
      <c r="F655" s="6" t="n">
        <v>0.9185437189662378</v>
      </c>
      <c r="G655" s="5" t="n">
        <v>1</v>
      </c>
      <c r="H655" s="5" t="n">
        <v>0</v>
      </c>
      <c r="I655" s="5" t="n">
        <v>0</v>
      </c>
      <c r="J655" s="5" t="n">
        <v>0</v>
      </c>
      <c r="K655" s="5" t="n">
        <v>0</v>
      </c>
      <c r="L655" s="5" t="n">
        <v>0</v>
      </c>
      <c r="M655" s="5" t="n">
        <v>0</v>
      </c>
      <c r="N655" s="5" t="n">
        <v>0</v>
      </c>
      <c r="O655" s="5" t="n">
        <v>0</v>
      </c>
      <c r="P655" s="5" t="n">
        <v>0</v>
      </c>
      <c r="Q655" s="5" t="n">
        <v>1</v>
      </c>
      <c r="R655" s="5" t="n">
        <v>0</v>
      </c>
      <c r="S655" s="5" t="n">
        <v>0</v>
      </c>
      <c r="T655" s="5" t="n">
        <v>0</v>
      </c>
      <c r="U655" s="5" t="inlineStr">
        <is>
          <t>training</t>
        </is>
      </c>
    </row>
    <row r="656">
      <c r="A656" s="5" t="n">
        <v>652</v>
      </c>
      <c r="B656" s="5" t="n">
        <v>1</v>
      </c>
      <c r="C656" s="6" t="n">
        <v>-0.7357010147163632</v>
      </c>
      <c r="D656" s="6" t="n">
        <v>-0.4649009864593465</v>
      </c>
      <c r="E656" s="6" t="n">
        <v>0.1269806102190912</v>
      </c>
      <c r="F656" s="6" t="n">
        <v>0.9185437189662378</v>
      </c>
      <c r="G656" s="5" t="n">
        <v>0</v>
      </c>
      <c r="H656" s="5" t="n">
        <v>1</v>
      </c>
      <c r="I656" s="5" t="n">
        <v>0</v>
      </c>
      <c r="J656" s="5" t="n">
        <v>0</v>
      </c>
      <c r="K656" s="5" t="n">
        <v>0</v>
      </c>
      <c r="L656" s="5" t="n">
        <v>0</v>
      </c>
      <c r="M656" s="5" t="n">
        <v>0</v>
      </c>
      <c r="N656" s="5" t="n">
        <v>0</v>
      </c>
      <c r="O656" s="5" t="n">
        <v>0</v>
      </c>
      <c r="P656" s="5" t="n">
        <v>0</v>
      </c>
      <c r="Q656" s="5" t="n">
        <v>0</v>
      </c>
      <c r="R656" s="5" t="n">
        <v>0</v>
      </c>
      <c r="S656" s="5" t="n">
        <v>0</v>
      </c>
      <c r="T656" s="5" t="n">
        <v>1</v>
      </c>
      <c r="U656" s="5" t="inlineStr">
        <is>
          <t>testing</t>
        </is>
      </c>
    </row>
    <row r="657">
      <c r="A657" s="5" t="n">
        <v>653</v>
      </c>
      <c r="B657" s="5" t="n">
        <v>1</v>
      </c>
      <c r="C657" s="6" t="n">
        <v>0.275406400796963</v>
      </c>
      <c r="D657" s="6" t="n">
        <v>-0.3315918518421465</v>
      </c>
      <c r="E657" s="6" t="n">
        <v>0.8227647758031523</v>
      </c>
      <c r="F657" s="6" t="n">
        <v>0.9185437189662378</v>
      </c>
      <c r="G657" s="5" t="n">
        <v>1</v>
      </c>
      <c r="H657" s="5" t="n">
        <v>0</v>
      </c>
      <c r="I657" s="5" t="n">
        <v>0</v>
      </c>
      <c r="J657" s="5" t="n">
        <v>0</v>
      </c>
      <c r="K657" s="5" t="n">
        <v>0</v>
      </c>
      <c r="L657" s="5" t="n">
        <v>0</v>
      </c>
      <c r="M657" s="5" t="n">
        <v>0</v>
      </c>
      <c r="N657" s="5" t="n">
        <v>0</v>
      </c>
      <c r="O657" s="5" t="n">
        <v>0</v>
      </c>
      <c r="P657" s="5" t="n">
        <v>0</v>
      </c>
      <c r="Q657" s="5" t="n">
        <v>0</v>
      </c>
      <c r="R657" s="5" t="n">
        <v>1</v>
      </c>
      <c r="S657" s="5" t="n">
        <v>0</v>
      </c>
      <c r="T657" s="5" t="n">
        <v>0</v>
      </c>
      <c r="U657" s="5" t="inlineStr">
        <is>
          <t>testing</t>
        </is>
      </c>
    </row>
    <row r="658">
      <c r="A658" s="5" t="n">
        <v>654</v>
      </c>
      <c r="B658" s="5" t="n">
        <v>1</v>
      </c>
      <c r="C658" s="6" t="n">
        <v>1.286513816310289</v>
      </c>
      <c r="D658" s="6" t="n">
        <v>1.691837873856719</v>
      </c>
      <c r="E658" s="6" t="n">
        <v>0.5618457137091294</v>
      </c>
      <c r="F658" s="6" t="n">
        <v>-0.8850484360866833</v>
      </c>
      <c r="G658" s="5" t="n">
        <v>0</v>
      </c>
      <c r="H658" s="5" t="n">
        <v>1</v>
      </c>
      <c r="I658" s="5" t="n">
        <v>0</v>
      </c>
      <c r="J658" s="5" t="n">
        <v>0</v>
      </c>
      <c r="K658" s="5" t="n">
        <v>1</v>
      </c>
      <c r="L658" s="5" t="n">
        <v>0</v>
      </c>
      <c r="M658" s="5" t="n">
        <v>1</v>
      </c>
      <c r="N658" s="5" t="n">
        <v>0</v>
      </c>
      <c r="O658" s="5" t="n">
        <v>0</v>
      </c>
      <c r="P658" s="5" t="n">
        <v>0</v>
      </c>
      <c r="Q658" s="5" t="n">
        <v>0</v>
      </c>
      <c r="R658" s="5" t="n">
        <v>1</v>
      </c>
      <c r="S658" s="5" t="n">
        <v>0</v>
      </c>
      <c r="T658" s="5" t="n">
        <v>0</v>
      </c>
      <c r="U658" s="5" t="inlineStr">
        <is>
          <t>training</t>
        </is>
      </c>
    </row>
    <row r="659">
      <c r="A659" s="5" t="n">
        <v>655</v>
      </c>
      <c r="B659" s="5" t="n">
        <v>0</v>
      </c>
      <c r="C659" s="6" t="n">
        <v>0.275406400796963</v>
      </c>
      <c r="D659" s="6" t="n">
        <v>-0.3165464639457171</v>
      </c>
      <c r="E659" s="6" t="n">
        <v>-0.04696543117692405</v>
      </c>
      <c r="F659" s="6" t="n">
        <v>0.9185437189662378</v>
      </c>
      <c r="G659" s="5" t="n">
        <v>0</v>
      </c>
      <c r="H659" s="5" t="n">
        <v>0</v>
      </c>
      <c r="I659" s="5" t="n">
        <v>0</v>
      </c>
      <c r="J659" s="5" t="n">
        <v>1</v>
      </c>
      <c r="K659" s="5" t="n">
        <v>0</v>
      </c>
      <c r="L659" s="5" t="n">
        <v>0</v>
      </c>
      <c r="M659" s="5" t="n">
        <v>0</v>
      </c>
      <c r="N659" s="5" t="n">
        <v>0</v>
      </c>
      <c r="O659" s="5" t="n">
        <v>0</v>
      </c>
      <c r="P659" s="5" t="n">
        <v>0</v>
      </c>
      <c r="Q659" s="5" t="n">
        <v>0</v>
      </c>
      <c r="R659" s="5" t="n">
        <v>1</v>
      </c>
      <c r="S659" s="5" t="n">
        <v>0</v>
      </c>
      <c r="T659" s="5" t="n">
        <v>0</v>
      </c>
      <c r="U659" s="5" t="inlineStr">
        <is>
          <t>testing</t>
        </is>
      </c>
    </row>
    <row r="660">
      <c r="A660" s="5" t="n">
        <v>656</v>
      </c>
      <c r="B660" s="5" t="n">
        <v>0</v>
      </c>
      <c r="C660" s="6" t="n">
        <v>-0.5671831121308089</v>
      </c>
      <c r="D660" s="6" t="n">
        <v>0.2527290269261582</v>
      </c>
      <c r="E660" s="6" t="n">
        <v>-1.177614700251023</v>
      </c>
      <c r="F660" s="6" t="n">
        <v>-1.786844513613144</v>
      </c>
      <c r="G660" s="5" t="n">
        <v>1</v>
      </c>
      <c r="H660" s="5" t="n">
        <v>0</v>
      </c>
      <c r="I660" s="5" t="n">
        <v>0</v>
      </c>
      <c r="J660" s="5" t="n">
        <v>0</v>
      </c>
      <c r="K660" s="5" t="n">
        <v>0</v>
      </c>
      <c r="L660" s="5" t="n">
        <v>0</v>
      </c>
      <c r="M660" s="5" t="n">
        <v>0</v>
      </c>
      <c r="N660" s="5" t="n">
        <v>0</v>
      </c>
      <c r="O660" s="5" t="n">
        <v>0</v>
      </c>
      <c r="P660" s="5" t="n">
        <v>0</v>
      </c>
      <c r="Q660" s="5" t="n">
        <v>1</v>
      </c>
      <c r="R660" s="5" t="n">
        <v>1</v>
      </c>
      <c r="S660" s="5" t="n">
        <v>0</v>
      </c>
      <c r="T660" s="5" t="n">
        <v>0</v>
      </c>
      <c r="U660" s="5" t="inlineStr">
        <is>
          <t>training</t>
        </is>
      </c>
    </row>
    <row r="661">
      <c r="A661" s="5" t="n">
        <v>657</v>
      </c>
      <c r="B661" s="5" t="n">
        <v>1</v>
      </c>
      <c r="C661" s="6" t="n">
        <v>-0.7357010147163632</v>
      </c>
      <c r="D661" s="6" t="n">
        <v>-0.826690081457207</v>
      </c>
      <c r="E661" s="6" t="n">
        <v>0.4748726930111218</v>
      </c>
      <c r="F661" s="6" t="n">
        <v>0.9185437189662378</v>
      </c>
      <c r="G661" s="5" t="n">
        <v>0</v>
      </c>
      <c r="H661" s="5" t="n">
        <v>1</v>
      </c>
      <c r="I661" s="5" t="n">
        <v>0</v>
      </c>
      <c r="J661" s="5" t="n">
        <v>0</v>
      </c>
      <c r="K661" s="5" t="n">
        <v>0</v>
      </c>
      <c r="L661" s="5" t="n">
        <v>0</v>
      </c>
      <c r="M661" s="5" t="n">
        <v>0</v>
      </c>
      <c r="N661" s="5" t="n">
        <v>0</v>
      </c>
      <c r="O661" s="5" t="n">
        <v>0</v>
      </c>
      <c r="P661" s="5" t="n">
        <v>0</v>
      </c>
      <c r="Q661" s="5" t="n">
        <v>0</v>
      </c>
      <c r="R661" s="5" t="n">
        <v>1</v>
      </c>
      <c r="S661" s="5" t="n">
        <v>0</v>
      </c>
      <c r="T661" s="5" t="n">
        <v>0</v>
      </c>
      <c r="U661" s="5" t="inlineStr">
        <is>
          <t>testing</t>
        </is>
      </c>
    </row>
    <row r="662">
      <c r="A662" s="5" t="n">
        <v>658</v>
      </c>
      <c r="B662" s="5" t="n">
        <v>0</v>
      </c>
      <c r="C662" s="6" t="n">
        <v>2.297621231823615</v>
      </c>
      <c r="D662" s="6" t="n">
        <v>2.439208770293305</v>
      </c>
      <c r="E662" s="6" t="n">
        <v>0.1269806102190912</v>
      </c>
      <c r="F662" s="6" t="n">
        <v>0.9185437189662378</v>
      </c>
      <c r="G662" s="5" t="n">
        <v>0</v>
      </c>
      <c r="H662" s="5" t="n">
        <v>0</v>
      </c>
      <c r="I662" s="5" t="n">
        <v>0</v>
      </c>
      <c r="J662" s="5" t="n">
        <v>0</v>
      </c>
      <c r="K662" s="5" t="n">
        <v>0</v>
      </c>
      <c r="L662" s="5" t="n">
        <v>0</v>
      </c>
      <c r="M662" s="5" t="n">
        <v>0</v>
      </c>
      <c r="N662" s="5" t="n">
        <v>0</v>
      </c>
      <c r="O662" s="5" t="n">
        <v>1</v>
      </c>
      <c r="P662" s="5" t="n">
        <v>0</v>
      </c>
      <c r="Q662" s="5" t="n">
        <v>0</v>
      </c>
      <c r="R662" s="5" t="n">
        <v>0</v>
      </c>
      <c r="S662" s="5" t="n">
        <v>1</v>
      </c>
      <c r="T662" s="5" t="n">
        <v>0</v>
      </c>
      <c r="U662" s="5" t="inlineStr">
        <is>
          <t>training</t>
        </is>
      </c>
    </row>
    <row r="663">
      <c r="A663" s="5" t="n">
        <v>659</v>
      </c>
      <c r="B663" s="5" t="n">
        <v>0</v>
      </c>
      <c r="C663" s="6" t="n">
        <v>0.7809601085536261</v>
      </c>
      <c r="D663" s="6" t="n">
        <v>0.3395024268869603</v>
      </c>
      <c r="E663" s="6" t="n">
        <v>-0.6557765760629775</v>
      </c>
      <c r="F663" s="6" t="n">
        <v>-0.8850484360866833</v>
      </c>
      <c r="G663" s="5" t="n">
        <v>0</v>
      </c>
      <c r="H663" s="5" t="n">
        <v>1</v>
      </c>
      <c r="I663" s="5" t="n">
        <v>0</v>
      </c>
      <c r="J663" s="5" t="n">
        <v>0</v>
      </c>
      <c r="K663" s="5" t="n">
        <v>0</v>
      </c>
      <c r="L663" s="5" t="n">
        <v>1</v>
      </c>
      <c r="M663" s="5" t="n">
        <v>0</v>
      </c>
      <c r="N663" s="5" t="n">
        <v>0</v>
      </c>
      <c r="O663" s="5" t="n">
        <v>0</v>
      </c>
      <c r="P663" s="5" t="n">
        <v>0</v>
      </c>
      <c r="Q663" s="5" t="n">
        <v>0</v>
      </c>
      <c r="R663" s="5" t="n">
        <v>0</v>
      </c>
      <c r="S663" s="5" t="n">
        <v>0</v>
      </c>
      <c r="T663" s="5" t="n">
        <v>0</v>
      </c>
      <c r="U663" s="5" t="inlineStr">
        <is>
          <t>training</t>
        </is>
      </c>
    </row>
    <row r="664">
      <c r="A664" s="5" t="n">
        <v>660</v>
      </c>
      <c r="B664" s="5" t="n">
        <v>0</v>
      </c>
      <c r="C664" s="6" t="n">
        <v>-0.2301473069597001</v>
      </c>
      <c r="D664" s="6" t="n">
        <v>1.088272894290656</v>
      </c>
      <c r="E664" s="6" t="n">
        <v>0.4748726930111218</v>
      </c>
      <c r="F664" s="6" t="n">
        <v>-0.8850484360866833</v>
      </c>
      <c r="G664" s="5" t="n">
        <v>0</v>
      </c>
      <c r="H664" s="5" t="n">
        <v>1</v>
      </c>
      <c r="I664" s="5" t="n">
        <v>0</v>
      </c>
      <c r="J664" s="5" t="n">
        <v>1</v>
      </c>
      <c r="K664" s="5" t="n">
        <v>0</v>
      </c>
      <c r="L664" s="5" t="n">
        <v>0</v>
      </c>
      <c r="M664" s="5" t="n">
        <v>0</v>
      </c>
      <c r="N664" s="5" t="n">
        <v>0</v>
      </c>
      <c r="O664" s="5" t="n">
        <v>0</v>
      </c>
      <c r="P664" s="5" t="n">
        <v>0</v>
      </c>
      <c r="Q664" s="5" t="n">
        <v>0</v>
      </c>
      <c r="R664" s="5" t="n">
        <v>0</v>
      </c>
      <c r="S664" s="5" t="n">
        <v>0</v>
      </c>
      <c r="T664" s="5" t="n">
        <v>1</v>
      </c>
      <c r="U664" s="5" t="inlineStr">
        <is>
          <t>training</t>
        </is>
      </c>
    </row>
    <row r="665">
      <c r="A665" s="5" t="n">
        <v>661</v>
      </c>
      <c r="B665" s="5" t="n">
        <v>0</v>
      </c>
      <c r="C665" s="6" t="n">
        <v>-0.7357010147163632</v>
      </c>
      <c r="D665" s="6" t="n">
        <v>-0.683583950070239</v>
      </c>
      <c r="E665" s="6" t="n">
        <v>-1.090641679553016</v>
      </c>
      <c r="F665" s="6" t="n">
        <v>0.01674764143977723</v>
      </c>
      <c r="G665" s="5" t="n">
        <v>0</v>
      </c>
      <c r="H665" s="5" t="n">
        <v>0</v>
      </c>
      <c r="I665" s="5" t="n">
        <v>1</v>
      </c>
      <c r="J665" s="5" t="n">
        <v>0</v>
      </c>
      <c r="K665" s="5" t="n">
        <v>0</v>
      </c>
      <c r="L665" s="5" t="n">
        <v>0</v>
      </c>
      <c r="M665" s="5" t="n">
        <v>0</v>
      </c>
      <c r="N665" s="5" t="n">
        <v>0</v>
      </c>
      <c r="O665" s="5" t="n">
        <v>0</v>
      </c>
      <c r="P665" s="5" t="n">
        <v>1</v>
      </c>
      <c r="Q665" s="5" t="n">
        <v>0</v>
      </c>
      <c r="R665" s="5" t="n">
        <v>0</v>
      </c>
      <c r="S665" s="5" t="n">
        <v>1</v>
      </c>
      <c r="T665" s="5" t="n">
        <v>0</v>
      </c>
      <c r="U665" s="5" t="inlineStr">
        <is>
          <t>testing</t>
        </is>
      </c>
    </row>
    <row r="666">
      <c r="A666" s="5" t="n">
        <v>662</v>
      </c>
      <c r="B666" s="5" t="n">
        <v>1</v>
      </c>
      <c r="C666" s="6" t="n">
        <v>-0.7357010147163632</v>
      </c>
      <c r="D666" s="6" t="n">
        <v>-0.8224913685558779</v>
      </c>
      <c r="E666" s="6" t="n">
        <v>-1.090641679553016</v>
      </c>
      <c r="F666" s="6" t="n">
        <v>0.9185437189662378</v>
      </c>
      <c r="G666" s="5" t="n">
        <v>1</v>
      </c>
      <c r="H666" s="5" t="n">
        <v>0</v>
      </c>
      <c r="I666" s="5" t="n">
        <v>0</v>
      </c>
      <c r="J666" s="5" t="n">
        <v>0</v>
      </c>
      <c r="K666" s="5" t="n">
        <v>0</v>
      </c>
      <c r="L666" s="5" t="n">
        <v>0</v>
      </c>
      <c r="M666" s="5" t="n">
        <v>0</v>
      </c>
      <c r="N666" s="5" t="n">
        <v>0</v>
      </c>
      <c r="O666" s="5" t="n">
        <v>1</v>
      </c>
      <c r="P666" s="5" t="n">
        <v>0</v>
      </c>
      <c r="Q666" s="5" t="n">
        <v>0</v>
      </c>
      <c r="R666" s="5" t="n">
        <v>1</v>
      </c>
      <c r="S666" s="5" t="n">
        <v>0</v>
      </c>
      <c r="T666" s="5" t="n">
        <v>0</v>
      </c>
      <c r="U666" s="5" t="inlineStr">
        <is>
          <t>training</t>
        </is>
      </c>
    </row>
    <row r="667">
      <c r="A667" s="5" t="n">
        <v>663</v>
      </c>
      <c r="B667" s="5" t="n">
        <v>0</v>
      </c>
      <c r="C667" s="6" t="n">
        <v>0.02262954691863145</v>
      </c>
      <c r="D667" s="6" t="n">
        <v>-0.353285201832347</v>
      </c>
      <c r="E667" s="6" t="n">
        <v>1.257629879293191</v>
      </c>
      <c r="F667" s="6" t="n">
        <v>0.9185437189662378</v>
      </c>
      <c r="G667" s="5" t="n">
        <v>0</v>
      </c>
      <c r="H667" s="5" t="n">
        <v>0</v>
      </c>
      <c r="I667" s="5" t="n">
        <v>0</v>
      </c>
      <c r="J667" s="5" t="n">
        <v>0</v>
      </c>
      <c r="K667" s="5" t="n">
        <v>0</v>
      </c>
      <c r="L667" s="5" t="n">
        <v>0</v>
      </c>
      <c r="M667" s="5" t="n">
        <v>0</v>
      </c>
      <c r="N667" s="5" t="n">
        <v>0</v>
      </c>
      <c r="O667" s="5" t="n">
        <v>0</v>
      </c>
      <c r="P667" s="5" t="n">
        <v>0</v>
      </c>
      <c r="Q667" s="5" t="n">
        <v>0</v>
      </c>
      <c r="R667" s="5" t="n">
        <v>0</v>
      </c>
      <c r="S667" s="5" t="n">
        <v>0</v>
      </c>
      <c r="T667" s="5" t="n">
        <v>1</v>
      </c>
      <c r="U667" s="5" t="inlineStr">
        <is>
          <t>testing</t>
        </is>
      </c>
    </row>
    <row r="668">
      <c r="A668" s="5" t="n">
        <v>664</v>
      </c>
      <c r="B668" s="5" t="n">
        <v>0</v>
      </c>
      <c r="C668" s="6" t="n">
        <v>-1.241254722473026</v>
      </c>
      <c r="D668" s="6" t="n">
        <v>-0.7700074572892637</v>
      </c>
      <c r="E668" s="6" t="n">
        <v>-0.04696543117692405</v>
      </c>
      <c r="F668" s="6" t="n">
        <v>0.9185437189662378</v>
      </c>
      <c r="G668" s="5" t="n">
        <v>0</v>
      </c>
      <c r="H668" s="5" t="n">
        <v>1</v>
      </c>
      <c r="I668" s="5" t="n">
        <v>0</v>
      </c>
      <c r="J668" s="5" t="n">
        <v>0</v>
      </c>
      <c r="K668" s="5" t="n">
        <v>1</v>
      </c>
      <c r="L668" s="5" t="n">
        <v>0</v>
      </c>
      <c r="M668" s="5" t="n">
        <v>0</v>
      </c>
      <c r="N668" s="5" t="n">
        <v>0</v>
      </c>
      <c r="O668" s="5" t="n">
        <v>0</v>
      </c>
      <c r="P668" s="5" t="n">
        <v>0</v>
      </c>
      <c r="Q668" s="5" t="n">
        <v>0</v>
      </c>
      <c r="R668" s="5" t="n">
        <v>0</v>
      </c>
      <c r="S668" s="5" t="n">
        <v>0</v>
      </c>
      <c r="T668" s="5" t="n">
        <v>1</v>
      </c>
      <c r="U668" s="5" t="inlineStr">
        <is>
          <t>training</t>
        </is>
      </c>
    </row>
    <row r="669">
      <c r="A669" s="5" t="n">
        <v>665</v>
      </c>
      <c r="B669" s="5" t="n">
        <v>0</v>
      </c>
      <c r="C669" s="6" t="n">
        <v>-1.241254722473026</v>
      </c>
      <c r="D669" s="6" t="n">
        <v>-0.771057135514596</v>
      </c>
      <c r="E669" s="6" t="n">
        <v>1.257629879293191</v>
      </c>
      <c r="F669" s="6" t="n">
        <v>-0.8850484360866833</v>
      </c>
      <c r="G669" s="5" t="n">
        <v>0</v>
      </c>
      <c r="H669" s="5" t="n">
        <v>0</v>
      </c>
      <c r="I669" s="5" t="n">
        <v>1</v>
      </c>
      <c r="J669" s="5" t="n">
        <v>1</v>
      </c>
      <c r="K669" s="5" t="n">
        <v>0</v>
      </c>
      <c r="L669" s="5" t="n">
        <v>0</v>
      </c>
      <c r="M669" s="5" t="n">
        <v>0</v>
      </c>
      <c r="N669" s="5" t="n">
        <v>0</v>
      </c>
      <c r="O669" s="5" t="n">
        <v>0</v>
      </c>
      <c r="P669" s="5" t="n">
        <v>0</v>
      </c>
      <c r="Q669" s="5" t="n">
        <v>0</v>
      </c>
      <c r="R669" s="5" t="n">
        <v>0</v>
      </c>
      <c r="S669" s="5" t="n">
        <v>0</v>
      </c>
      <c r="T669" s="5" t="n">
        <v>0</v>
      </c>
      <c r="U669" s="5" t="inlineStr">
        <is>
          <t>testing</t>
        </is>
      </c>
    </row>
    <row r="670">
      <c r="A670" s="5" t="n">
        <v>666</v>
      </c>
      <c r="B670" s="5" t="n">
        <v>0</v>
      </c>
      <c r="C670" s="6" t="n">
        <v>0.275406400796963</v>
      </c>
      <c r="D670" s="6" t="n">
        <v>1.071827935427117</v>
      </c>
      <c r="E670" s="6" t="n">
        <v>-0.7427495967609852</v>
      </c>
      <c r="F670" s="6" t="n">
        <v>0.9185437189662378</v>
      </c>
      <c r="G670" s="5" t="n">
        <v>0</v>
      </c>
      <c r="H670" s="5" t="n">
        <v>0</v>
      </c>
      <c r="I670" s="5" t="n">
        <v>0</v>
      </c>
      <c r="J670" s="5" t="n">
        <v>1</v>
      </c>
      <c r="K670" s="5" t="n">
        <v>0</v>
      </c>
      <c r="L670" s="5" t="n">
        <v>0</v>
      </c>
      <c r="M670" s="5" t="n">
        <v>0</v>
      </c>
      <c r="N670" s="5" t="n">
        <v>0</v>
      </c>
      <c r="O670" s="5" t="n">
        <v>0</v>
      </c>
      <c r="P670" s="5" t="n">
        <v>0</v>
      </c>
      <c r="Q670" s="5" t="n">
        <v>0</v>
      </c>
      <c r="R670" s="5" t="n">
        <v>0</v>
      </c>
      <c r="S670" s="5" t="n">
        <v>0</v>
      </c>
      <c r="T670" s="5" t="n">
        <v>0</v>
      </c>
      <c r="U670" s="5" t="inlineStr">
        <is>
          <t>training</t>
        </is>
      </c>
    </row>
    <row r="671">
      <c r="A671" s="5" t="n">
        <v>667</v>
      </c>
      <c r="B671" s="5" t="n">
        <v>0</v>
      </c>
      <c r="C671" s="6" t="n">
        <v>0.7809601085536261</v>
      </c>
      <c r="D671" s="6" t="n">
        <v>0.08583018909832506</v>
      </c>
      <c r="E671" s="6" t="n">
        <v>-0.1339384518749317</v>
      </c>
      <c r="F671" s="6" t="n">
        <v>0.9185437189662378</v>
      </c>
      <c r="G671" s="5" t="n">
        <v>0</v>
      </c>
      <c r="H671" s="5" t="n">
        <v>1</v>
      </c>
      <c r="I671" s="5" t="n">
        <v>0</v>
      </c>
      <c r="J671" s="5" t="n">
        <v>0</v>
      </c>
      <c r="K671" s="5" t="n">
        <v>0</v>
      </c>
      <c r="L671" s="5" t="n">
        <v>1</v>
      </c>
      <c r="M671" s="5" t="n">
        <v>0</v>
      </c>
      <c r="N671" s="5" t="n">
        <v>1</v>
      </c>
      <c r="O671" s="5" t="n">
        <v>0</v>
      </c>
      <c r="P671" s="5" t="n">
        <v>0</v>
      </c>
      <c r="Q671" s="5" t="n">
        <v>0</v>
      </c>
      <c r="R671" s="5" t="n">
        <v>0</v>
      </c>
      <c r="S671" s="5" t="n">
        <v>0</v>
      </c>
      <c r="T671" s="5" t="n">
        <v>1</v>
      </c>
      <c r="U671" s="5" t="inlineStr">
        <is>
          <t>testing</t>
        </is>
      </c>
    </row>
    <row r="672">
      <c r="A672" s="5" t="n">
        <v>668</v>
      </c>
      <c r="B672" s="5" t="n">
        <v>0</v>
      </c>
      <c r="C672" s="6" t="n">
        <v>2.297621231823615</v>
      </c>
      <c r="D672" s="6" t="n">
        <v>0.1253680689191744</v>
      </c>
      <c r="E672" s="6" t="n">
        <v>-0.7427495967609852</v>
      </c>
      <c r="F672" s="6" t="n">
        <v>-1.786844513613144</v>
      </c>
      <c r="G672" s="5" t="n">
        <v>0</v>
      </c>
      <c r="H672" s="5" t="n">
        <v>0</v>
      </c>
      <c r="I672" s="5" t="n">
        <v>0</v>
      </c>
      <c r="J672" s="5" t="n">
        <v>0</v>
      </c>
      <c r="K672" s="5" t="n">
        <v>0</v>
      </c>
      <c r="L672" s="5" t="n">
        <v>1</v>
      </c>
      <c r="M672" s="5" t="n">
        <v>0</v>
      </c>
      <c r="N672" s="5" t="n">
        <v>0</v>
      </c>
      <c r="O672" s="5" t="n">
        <v>0</v>
      </c>
      <c r="P672" s="5" t="n">
        <v>0</v>
      </c>
      <c r="Q672" s="5" t="n">
        <v>0</v>
      </c>
      <c r="R672" s="5" t="n">
        <v>0</v>
      </c>
      <c r="S672" s="5" t="n">
        <v>0</v>
      </c>
      <c r="T672" s="5" t="n">
        <v>0</v>
      </c>
      <c r="U672" s="5" t="inlineStr">
        <is>
          <t>training</t>
        </is>
      </c>
    </row>
    <row r="673">
      <c r="A673" s="5" t="n">
        <v>669</v>
      </c>
      <c r="B673" s="5" t="n">
        <v>1</v>
      </c>
      <c r="C673" s="6" t="n">
        <v>-0.7357010147163632</v>
      </c>
      <c r="D673" s="6" t="n">
        <v>0.5571357122725205</v>
      </c>
      <c r="E673" s="6" t="n">
        <v>0.648818734407137</v>
      </c>
      <c r="F673" s="6" t="n">
        <v>0.01674764143977723</v>
      </c>
      <c r="G673" s="5" t="n">
        <v>1</v>
      </c>
      <c r="H673" s="5" t="n">
        <v>0</v>
      </c>
      <c r="I673" s="5" t="n">
        <v>0</v>
      </c>
      <c r="J673" s="5" t="n">
        <v>1</v>
      </c>
      <c r="K673" s="5" t="n">
        <v>0</v>
      </c>
      <c r="L673" s="5" t="n">
        <v>0</v>
      </c>
      <c r="M673" s="5" t="n">
        <v>0</v>
      </c>
      <c r="N673" s="5" t="n">
        <v>0</v>
      </c>
      <c r="O673" s="5" t="n">
        <v>0</v>
      </c>
      <c r="P673" s="5" t="n">
        <v>1</v>
      </c>
      <c r="Q673" s="5" t="n">
        <v>0</v>
      </c>
      <c r="R673" s="5" t="n">
        <v>1</v>
      </c>
      <c r="S673" s="5" t="n">
        <v>0</v>
      </c>
      <c r="T673" s="5" t="n">
        <v>0</v>
      </c>
      <c r="U673" s="5" t="inlineStr">
        <is>
          <t>testing</t>
        </is>
      </c>
    </row>
    <row r="674">
      <c r="A674" s="5" t="n">
        <v>670</v>
      </c>
      <c r="B674" s="5" t="n">
        <v>0</v>
      </c>
      <c r="C674" s="6" t="n">
        <v>0.7809601085536261</v>
      </c>
      <c r="D674" s="6" t="n">
        <v>-0.08176843421306293</v>
      </c>
      <c r="E674" s="6" t="n">
        <v>0.9967108171991675</v>
      </c>
      <c r="F674" s="6" t="n">
        <v>0.9185437189662378</v>
      </c>
      <c r="G674" s="5" t="n">
        <v>0</v>
      </c>
      <c r="H674" s="5" t="n">
        <v>0</v>
      </c>
      <c r="I674" s="5" t="n">
        <v>1</v>
      </c>
      <c r="J674" s="5" t="n">
        <v>1</v>
      </c>
      <c r="K674" s="5" t="n">
        <v>0</v>
      </c>
      <c r="L674" s="5" t="n">
        <v>0</v>
      </c>
      <c r="M674" s="5" t="n">
        <v>0</v>
      </c>
      <c r="N674" s="5" t="n">
        <v>0</v>
      </c>
      <c r="O674" s="5" t="n">
        <v>0</v>
      </c>
      <c r="P674" s="5" t="n">
        <v>0</v>
      </c>
      <c r="Q674" s="5" t="n">
        <v>0</v>
      </c>
      <c r="R674" s="5" t="n">
        <v>0</v>
      </c>
      <c r="S674" s="5" t="n">
        <v>1</v>
      </c>
      <c r="T674" s="5" t="n">
        <v>0</v>
      </c>
      <c r="U674" s="5" t="inlineStr">
        <is>
          <t>testing</t>
        </is>
      </c>
    </row>
    <row r="675">
      <c r="A675" s="5" t="n">
        <v>671</v>
      </c>
      <c r="B675" s="5" t="n">
        <v>0</v>
      </c>
      <c r="C675" s="6" t="n">
        <v>0.275406400796963</v>
      </c>
      <c r="D675" s="6" t="n">
        <v>0.3108112220612112</v>
      </c>
      <c r="E675" s="6" t="n">
        <v>-0.7427495967609852</v>
      </c>
      <c r="F675" s="6" t="n">
        <v>0.01674764143977723</v>
      </c>
      <c r="G675" s="5" t="n">
        <v>0</v>
      </c>
      <c r="H675" s="5" t="n">
        <v>0</v>
      </c>
      <c r="I675" s="5" t="n">
        <v>0</v>
      </c>
      <c r="J675" s="5" t="n">
        <v>1</v>
      </c>
      <c r="K675" s="5" t="n">
        <v>0</v>
      </c>
      <c r="L675" s="5" t="n">
        <v>0</v>
      </c>
      <c r="M675" s="5" t="n">
        <v>1</v>
      </c>
      <c r="N675" s="5" t="n">
        <v>0</v>
      </c>
      <c r="O675" s="5" t="n">
        <v>0</v>
      </c>
      <c r="P675" s="5" t="n">
        <v>0</v>
      </c>
      <c r="Q675" s="5" t="n">
        <v>0</v>
      </c>
      <c r="R675" s="5" t="n">
        <v>0</v>
      </c>
      <c r="S675" s="5" t="n">
        <v>0</v>
      </c>
      <c r="T675" s="5" t="n">
        <v>0</v>
      </c>
      <c r="U675" s="5" t="inlineStr">
        <is>
          <t>training</t>
        </is>
      </c>
    </row>
    <row r="676">
      <c r="A676" s="5" t="n">
        <v>672</v>
      </c>
      <c r="B676" s="5" t="n">
        <v>0</v>
      </c>
      <c r="C676" s="6" t="n">
        <v>1.286513816310289</v>
      </c>
      <c r="D676" s="6" t="n">
        <v>0.8716892871304283</v>
      </c>
      <c r="E676" s="6" t="n">
        <v>-0.3948575139689546</v>
      </c>
      <c r="F676" s="6" t="n">
        <v>-0.8850484360866833</v>
      </c>
      <c r="G676" s="5" t="n">
        <v>0</v>
      </c>
      <c r="H676" s="5" t="n">
        <v>0</v>
      </c>
      <c r="I676" s="5" t="n">
        <v>0</v>
      </c>
      <c r="J676" s="5" t="n">
        <v>0</v>
      </c>
      <c r="K676" s="5" t="n">
        <v>0</v>
      </c>
      <c r="L676" s="5" t="n">
        <v>0</v>
      </c>
      <c r="M676" s="5" t="n">
        <v>1</v>
      </c>
      <c r="N676" s="5" t="n">
        <v>0</v>
      </c>
      <c r="O676" s="5" t="n">
        <v>0</v>
      </c>
      <c r="P676" s="5" t="n">
        <v>0</v>
      </c>
      <c r="Q676" s="5" t="n">
        <v>0</v>
      </c>
      <c r="R676" s="5" t="n">
        <v>0</v>
      </c>
      <c r="S676" s="5" t="n">
        <v>0</v>
      </c>
      <c r="T676" s="5" t="n">
        <v>0</v>
      </c>
      <c r="U676" s="5" t="inlineStr">
        <is>
          <t>training</t>
        </is>
      </c>
    </row>
    <row r="677">
      <c r="A677" s="5" t="n">
        <v>673</v>
      </c>
      <c r="B677" s="5" t="n">
        <v>0</v>
      </c>
      <c r="C677" s="6" t="n">
        <v>3.308728647336942</v>
      </c>
      <c r="D677" s="6" t="n">
        <v>2.489593325109255</v>
      </c>
      <c r="E677" s="6" t="n">
        <v>0.5618457137091294</v>
      </c>
      <c r="F677" s="6" t="n">
        <v>-0.8850484360866833</v>
      </c>
      <c r="G677" s="5" t="n">
        <v>0</v>
      </c>
      <c r="H677" s="5" t="n">
        <v>0</v>
      </c>
      <c r="I677" s="5" t="n">
        <v>0</v>
      </c>
      <c r="J677" s="5" t="n">
        <v>0</v>
      </c>
      <c r="K677" s="5" t="n">
        <v>0</v>
      </c>
      <c r="L677" s="5" t="n">
        <v>0</v>
      </c>
      <c r="M677" s="5" t="n">
        <v>0</v>
      </c>
      <c r="N677" s="5" t="n">
        <v>0</v>
      </c>
      <c r="O677" s="5" t="n">
        <v>0</v>
      </c>
      <c r="P677" s="5" t="n">
        <v>0</v>
      </c>
      <c r="Q677" s="5" t="n">
        <v>0</v>
      </c>
      <c r="R677" s="5" t="n">
        <v>1</v>
      </c>
      <c r="S677" s="5" t="n">
        <v>0</v>
      </c>
      <c r="T677" s="5" t="n">
        <v>0</v>
      </c>
      <c r="U677" s="5" t="inlineStr">
        <is>
          <t>training</t>
        </is>
      </c>
    </row>
    <row r="678">
      <c r="A678" s="5" t="n">
        <v>674</v>
      </c>
      <c r="B678" s="5" t="n">
        <v>0</v>
      </c>
      <c r="C678" s="6" t="n">
        <v>-1.241254722473026</v>
      </c>
      <c r="D678" s="6" t="n">
        <v>-0.4096179332585129</v>
      </c>
      <c r="E678" s="6" t="n">
        <v>-1.003668658855008</v>
      </c>
      <c r="F678" s="6" t="n">
        <v>-1.786844513613144</v>
      </c>
      <c r="G678" s="5" t="n">
        <v>0</v>
      </c>
      <c r="H678" s="5" t="n">
        <v>0</v>
      </c>
      <c r="I678" s="5" t="n">
        <v>0</v>
      </c>
      <c r="J678" s="5" t="n">
        <v>1</v>
      </c>
      <c r="K678" s="5" t="n">
        <v>0</v>
      </c>
      <c r="L678" s="5" t="n">
        <v>0</v>
      </c>
      <c r="M678" s="5" t="n">
        <v>1</v>
      </c>
      <c r="N678" s="5" t="n">
        <v>0</v>
      </c>
      <c r="O678" s="5" t="n">
        <v>0</v>
      </c>
      <c r="P678" s="5" t="n">
        <v>0</v>
      </c>
      <c r="Q678" s="5" t="n">
        <v>0</v>
      </c>
      <c r="R678" s="5" t="n">
        <v>1</v>
      </c>
      <c r="S678" s="5" t="n">
        <v>0</v>
      </c>
      <c r="T678" s="5" t="n">
        <v>0</v>
      </c>
      <c r="U678" s="5" t="inlineStr">
        <is>
          <t>training</t>
        </is>
      </c>
    </row>
    <row r="679">
      <c r="A679" s="5" t="n">
        <v>675</v>
      </c>
      <c r="B679" s="5" t="n">
        <v>1</v>
      </c>
      <c r="C679" s="6" t="n">
        <v>0.02262954691863145</v>
      </c>
      <c r="D679" s="6" t="n">
        <v>-0.2346715623697989</v>
      </c>
      <c r="E679" s="6" t="n">
        <v>0.4748726930111218</v>
      </c>
      <c r="F679" s="6" t="n">
        <v>0.9185437189662378</v>
      </c>
      <c r="G679" s="5" t="n">
        <v>0</v>
      </c>
      <c r="H679" s="5" t="n">
        <v>0</v>
      </c>
      <c r="I679" s="5" t="n">
        <v>0</v>
      </c>
      <c r="J679" s="5" t="n">
        <v>0</v>
      </c>
      <c r="K679" s="5" t="n">
        <v>1</v>
      </c>
      <c r="L679" s="5" t="n">
        <v>0</v>
      </c>
      <c r="M679" s="5" t="n">
        <v>1</v>
      </c>
      <c r="N679" s="5" t="n">
        <v>0</v>
      </c>
      <c r="O679" s="5" t="n">
        <v>0</v>
      </c>
      <c r="P679" s="5" t="n">
        <v>0</v>
      </c>
      <c r="Q679" s="5" t="n">
        <v>0</v>
      </c>
      <c r="R679" s="5" t="n">
        <v>0</v>
      </c>
      <c r="S679" s="5" t="n">
        <v>0</v>
      </c>
      <c r="T679" s="5" t="n">
        <v>0</v>
      </c>
      <c r="U679" s="5" t="inlineStr">
        <is>
          <t>training</t>
        </is>
      </c>
    </row>
    <row r="680">
      <c r="A680" s="5" t="n">
        <v>676</v>
      </c>
      <c r="B680" s="5" t="n">
        <v>0</v>
      </c>
      <c r="C680" s="6" t="n">
        <v>0.7809601085536261</v>
      </c>
      <c r="D680" s="6" t="n">
        <v>0.4476192840961856</v>
      </c>
      <c r="E680" s="6" t="n">
        <v>-0.8297226174589928</v>
      </c>
      <c r="F680" s="6" t="n">
        <v>0.9185437189662378</v>
      </c>
      <c r="G680" s="5" t="n">
        <v>0</v>
      </c>
      <c r="H680" s="5" t="n">
        <v>0</v>
      </c>
      <c r="I680" s="5" t="n">
        <v>0</v>
      </c>
      <c r="J680" s="5" t="n">
        <v>1</v>
      </c>
      <c r="K680" s="5" t="n">
        <v>0</v>
      </c>
      <c r="L680" s="5" t="n">
        <v>0</v>
      </c>
      <c r="M680" s="5" t="n">
        <v>0</v>
      </c>
      <c r="N680" s="5" t="n">
        <v>0</v>
      </c>
      <c r="O680" s="5" t="n">
        <v>0</v>
      </c>
      <c r="P680" s="5" t="n">
        <v>1</v>
      </c>
      <c r="Q680" s="5" t="n">
        <v>0</v>
      </c>
      <c r="R680" s="5" t="n">
        <v>0</v>
      </c>
      <c r="S680" s="5" t="n">
        <v>1</v>
      </c>
      <c r="T680" s="5" t="n">
        <v>0</v>
      </c>
      <c r="U680" s="5" t="inlineStr">
        <is>
          <t>training</t>
        </is>
      </c>
    </row>
    <row r="681">
      <c r="A681" s="5" t="n">
        <v>677</v>
      </c>
      <c r="B681" s="5" t="n">
        <v>0</v>
      </c>
      <c r="C681" s="6" t="n">
        <v>0.275406400796963</v>
      </c>
      <c r="D681" s="6" t="n">
        <v>0.6645527839981908</v>
      </c>
      <c r="E681" s="6" t="n">
        <v>-0.2209114725729393</v>
      </c>
      <c r="F681" s="6" t="n">
        <v>0.9185437189662378</v>
      </c>
      <c r="G681" s="5" t="n">
        <v>0</v>
      </c>
      <c r="H681" s="5" t="n">
        <v>0</v>
      </c>
      <c r="I681" s="5" t="n">
        <v>0</v>
      </c>
      <c r="J681" s="5" t="n">
        <v>1</v>
      </c>
      <c r="K681" s="5" t="n">
        <v>0</v>
      </c>
      <c r="L681" s="5" t="n">
        <v>0</v>
      </c>
      <c r="M681" s="5" t="n">
        <v>0</v>
      </c>
      <c r="N681" s="5" t="n">
        <v>0</v>
      </c>
      <c r="O681" s="5" t="n">
        <v>0</v>
      </c>
      <c r="P681" s="5" t="n">
        <v>0</v>
      </c>
      <c r="Q681" s="5" t="n">
        <v>0</v>
      </c>
      <c r="R681" s="5" t="n">
        <v>0</v>
      </c>
      <c r="S681" s="5" t="n">
        <v>0</v>
      </c>
      <c r="T681" s="5" t="n">
        <v>1</v>
      </c>
      <c r="U681" s="5" t="inlineStr">
        <is>
          <t>training</t>
        </is>
      </c>
    </row>
    <row r="682">
      <c r="A682" s="5" t="n">
        <v>678</v>
      </c>
      <c r="B682" s="5" t="n">
        <v>1</v>
      </c>
      <c r="C682" s="6" t="n">
        <v>4.319836062850268</v>
      </c>
      <c r="D682" s="6" t="n">
        <v>0.8202550540891463</v>
      </c>
      <c r="E682" s="6" t="n">
        <v>-1.003668658855008</v>
      </c>
      <c r="F682" s="6" t="n">
        <v>-0.8850484360866833</v>
      </c>
      <c r="G682" s="5" t="n">
        <v>0</v>
      </c>
      <c r="H682" s="5" t="n">
        <v>1</v>
      </c>
      <c r="I682" s="5" t="n">
        <v>0</v>
      </c>
      <c r="J682" s="5" t="n">
        <v>0</v>
      </c>
      <c r="K682" s="5" t="n">
        <v>0</v>
      </c>
      <c r="L682" s="5" t="n">
        <v>0</v>
      </c>
      <c r="M682" s="5" t="n">
        <v>1</v>
      </c>
      <c r="N682" s="5" t="n">
        <v>0</v>
      </c>
      <c r="O682" s="5" t="n">
        <v>0</v>
      </c>
      <c r="P682" s="5" t="n">
        <v>0</v>
      </c>
      <c r="Q682" s="5" t="n">
        <v>0</v>
      </c>
      <c r="R682" s="5" t="n">
        <v>0</v>
      </c>
      <c r="S682" s="5" t="n">
        <v>1</v>
      </c>
      <c r="T682" s="5" t="n">
        <v>0</v>
      </c>
      <c r="U682" s="5" t="inlineStr">
        <is>
          <t>testing</t>
        </is>
      </c>
    </row>
    <row r="683">
      <c r="A683" s="5" t="n">
        <v>679</v>
      </c>
      <c r="B683" s="5" t="n">
        <v>0</v>
      </c>
      <c r="C683" s="6" t="n">
        <v>0.275406400796963</v>
      </c>
      <c r="D683" s="6" t="n">
        <v>-0.3032505397581748</v>
      </c>
      <c r="E683" s="6" t="n">
        <v>2.475252169065298</v>
      </c>
      <c r="F683" s="6" t="n">
        <v>0.9185437189662378</v>
      </c>
      <c r="G683" s="5" t="n">
        <v>1</v>
      </c>
      <c r="H683" s="5" t="n">
        <v>0</v>
      </c>
      <c r="I683" s="5" t="n">
        <v>0</v>
      </c>
      <c r="J683" s="5" t="n">
        <v>0</v>
      </c>
      <c r="K683" s="5" t="n">
        <v>0</v>
      </c>
      <c r="L683" s="5" t="n">
        <v>0</v>
      </c>
      <c r="M683" s="5" t="n">
        <v>0</v>
      </c>
      <c r="N683" s="5" t="n">
        <v>0</v>
      </c>
      <c r="O683" s="5" t="n">
        <v>0</v>
      </c>
      <c r="P683" s="5" t="n">
        <v>1</v>
      </c>
      <c r="Q683" s="5" t="n">
        <v>0</v>
      </c>
      <c r="R683" s="5" t="n">
        <v>0</v>
      </c>
      <c r="S683" s="5" t="n">
        <v>1</v>
      </c>
      <c r="T683" s="5" t="n">
        <v>0</v>
      </c>
      <c r="U683" s="5" t="inlineStr">
        <is>
          <t>testing</t>
        </is>
      </c>
    </row>
    <row r="684">
      <c r="A684" s="5" t="n">
        <v>680</v>
      </c>
      <c r="B684" s="5" t="n">
        <v>0</v>
      </c>
      <c r="C684" s="6" t="n">
        <v>-0.2301473069597001</v>
      </c>
      <c r="D684" s="6" t="n">
        <v>-0.6290006823529602</v>
      </c>
      <c r="E684" s="6" t="n">
        <v>-0.8297226174589928</v>
      </c>
      <c r="F684" s="6" t="n">
        <v>0.01674764143977723</v>
      </c>
      <c r="G684" s="5" t="n">
        <v>0</v>
      </c>
      <c r="H684" s="5" t="n">
        <v>0</v>
      </c>
      <c r="I684" s="5" t="n">
        <v>0</v>
      </c>
      <c r="J684" s="5" t="n">
        <v>0</v>
      </c>
      <c r="K684" s="5" t="n">
        <v>0</v>
      </c>
      <c r="L684" s="5" t="n">
        <v>0</v>
      </c>
      <c r="M684" s="5" t="n">
        <v>0</v>
      </c>
      <c r="N684" s="5" t="n">
        <v>0</v>
      </c>
      <c r="O684" s="5" t="n">
        <v>0</v>
      </c>
      <c r="P684" s="5" t="n">
        <v>0</v>
      </c>
      <c r="Q684" s="5" t="n">
        <v>0</v>
      </c>
      <c r="R684" s="5" t="n">
        <v>0</v>
      </c>
      <c r="S684" s="5" t="n">
        <v>1</v>
      </c>
      <c r="T684" s="5" t="n">
        <v>0</v>
      </c>
      <c r="U684" s="5" t="inlineStr">
        <is>
          <t>training</t>
        </is>
      </c>
    </row>
    <row r="685">
      <c r="A685" s="5" t="n">
        <v>681</v>
      </c>
      <c r="B685" s="5" t="n">
        <v>0</v>
      </c>
      <c r="C685" s="6" t="n">
        <v>-1.241254722473026</v>
      </c>
      <c r="D685" s="6" t="n">
        <v>-0.5992597993018789</v>
      </c>
      <c r="E685" s="6" t="n">
        <v>1.779468003481236</v>
      </c>
      <c r="F685" s="6" t="n">
        <v>-1.786844513613144</v>
      </c>
      <c r="G685" s="5" t="n">
        <v>0</v>
      </c>
      <c r="H685" s="5" t="n">
        <v>0</v>
      </c>
      <c r="I685" s="5" t="n">
        <v>0</v>
      </c>
      <c r="J685" s="5" t="n">
        <v>0</v>
      </c>
      <c r="K685" s="5" t="n">
        <v>0</v>
      </c>
      <c r="L685" s="5" t="n">
        <v>0</v>
      </c>
      <c r="M685" s="5" t="n">
        <v>0</v>
      </c>
      <c r="N685" s="5" t="n">
        <v>0</v>
      </c>
      <c r="O685" s="5" t="n">
        <v>0</v>
      </c>
      <c r="P685" s="5" t="n">
        <v>0</v>
      </c>
      <c r="Q685" s="5" t="n">
        <v>0</v>
      </c>
      <c r="R685" s="5" t="n">
        <v>0</v>
      </c>
      <c r="S685" s="5" t="n">
        <v>0</v>
      </c>
      <c r="T685" s="5" t="n">
        <v>0</v>
      </c>
      <c r="U685" s="5" t="inlineStr">
        <is>
          <t>training</t>
        </is>
      </c>
    </row>
    <row r="686">
      <c r="A686" s="5" t="n">
        <v>682</v>
      </c>
      <c r="B686" s="5" t="n">
        <v>0</v>
      </c>
      <c r="C686" s="6" t="n">
        <v>-0.7357010147163632</v>
      </c>
      <c r="D686" s="6" t="n">
        <v>-0.3399892776448047</v>
      </c>
      <c r="E686" s="6" t="n">
        <v>0.1269806102190912</v>
      </c>
      <c r="F686" s="6" t="n">
        <v>0.9185437189662378</v>
      </c>
      <c r="G686" s="5" t="n">
        <v>0</v>
      </c>
      <c r="H686" s="5" t="n">
        <v>0</v>
      </c>
      <c r="I686" s="5" t="n">
        <v>0</v>
      </c>
      <c r="J686" s="5" t="n">
        <v>0</v>
      </c>
      <c r="K686" s="5" t="n">
        <v>0</v>
      </c>
      <c r="L686" s="5" t="n">
        <v>0</v>
      </c>
      <c r="M686" s="5" t="n">
        <v>0</v>
      </c>
      <c r="N686" s="5" t="n">
        <v>0</v>
      </c>
      <c r="O686" s="5" t="n">
        <v>1</v>
      </c>
      <c r="P686" s="5" t="n">
        <v>0</v>
      </c>
      <c r="Q686" s="5" t="n">
        <v>1</v>
      </c>
      <c r="R686" s="5" t="n">
        <v>0</v>
      </c>
      <c r="S686" s="5" t="n">
        <v>1</v>
      </c>
      <c r="T686" s="5" t="n">
        <v>0</v>
      </c>
      <c r="U686" s="5" t="inlineStr">
        <is>
          <t>training</t>
        </is>
      </c>
    </row>
    <row r="687">
      <c r="A687" s="5" t="n">
        <v>683</v>
      </c>
      <c r="B687" s="5" t="n">
        <v>0</v>
      </c>
      <c r="C687" s="6" t="n">
        <v>-0.4829241608380317</v>
      </c>
      <c r="D687" s="6" t="n">
        <v>-0.6202533638085246</v>
      </c>
      <c r="E687" s="6" t="n">
        <v>-0.2209114725729393</v>
      </c>
      <c r="F687" s="6" t="n">
        <v>0.9185437189662378</v>
      </c>
      <c r="G687" s="5" t="n">
        <v>0</v>
      </c>
      <c r="H687" s="5" t="n">
        <v>0</v>
      </c>
      <c r="I687" s="5" t="n">
        <v>0</v>
      </c>
      <c r="J687" s="5" t="n">
        <v>0</v>
      </c>
      <c r="K687" s="5" t="n">
        <v>1</v>
      </c>
      <c r="L687" s="5" t="n">
        <v>0</v>
      </c>
      <c r="M687" s="5" t="n">
        <v>0</v>
      </c>
      <c r="N687" s="5" t="n">
        <v>0</v>
      </c>
      <c r="O687" s="5" t="n">
        <v>0</v>
      </c>
      <c r="P687" s="5" t="n">
        <v>0</v>
      </c>
      <c r="Q687" s="5" t="n">
        <v>0</v>
      </c>
      <c r="R687" s="5" t="n">
        <v>0</v>
      </c>
      <c r="S687" s="5" t="n">
        <v>1</v>
      </c>
      <c r="T687" s="5" t="n">
        <v>0</v>
      </c>
      <c r="U687" s="5" t="inlineStr">
        <is>
          <t>testing</t>
        </is>
      </c>
    </row>
    <row r="688">
      <c r="A688" s="5" t="n">
        <v>684</v>
      </c>
      <c r="B688" s="5" t="n">
        <v>0</v>
      </c>
      <c r="C688" s="6" t="n">
        <v>0.275406400796963</v>
      </c>
      <c r="D688" s="6" t="n">
        <v>0.6481078251346518</v>
      </c>
      <c r="E688" s="6" t="n">
        <v>0.9967108171991675</v>
      </c>
      <c r="F688" s="6" t="n">
        <v>0.01674764143977723</v>
      </c>
      <c r="G688" s="5" t="n">
        <v>0</v>
      </c>
      <c r="H688" s="5" t="n">
        <v>0</v>
      </c>
      <c r="I688" s="5" t="n">
        <v>0</v>
      </c>
      <c r="J688" s="5" t="n">
        <v>1</v>
      </c>
      <c r="K688" s="5" t="n">
        <v>0</v>
      </c>
      <c r="L688" s="5" t="n">
        <v>0</v>
      </c>
      <c r="M688" s="5" t="n">
        <v>0</v>
      </c>
      <c r="N688" s="5" t="n">
        <v>0</v>
      </c>
      <c r="O688" s="5" t="n">
        <v>0</v>
      </c>
      <c r="P688" s="5" t="n">
        <v>0</v>
      </c>
      <c r="Q688" s="5" t="n">
        <v>1</v>
      </c>
      <c r="R688" s="5" t="n">
        <v>0</v>
      </c>
      <c r="S688" s="5" t="n">
        <v>1</v>
      </c>
      <c r="T688" s="5" t="n">
        <v>0</v>
      </c>
      <c r="U688" s="5" t="inlineStr">
        <is>
          <t>training</t>
        </is>
      </c>
    </row>
    <row r="689">
      <c r="A689" s="5" t="n">
        <v>685</v>
      </c>
      <c r="B689" s="5" t="n">
        <v>0</v>
      </c>
      <c r="C689" s="6" t="n">
        <v>1.286513816310289</v>
      </c>
      <c r="D689" s="6" t="n">
        <v>2.311497919544544</v>
      </c>
      <c r="E689" s="6" t="n">
        <v>-0.3948575139689546</v>
      </c>
      <c r="F689" s="6" t="n">
        <v>-1.786844513613144</v>
      </c>
      <c r="G689" s="5" t="n">
        <v>0</v>
      </c>
      <c r="H689" s="5" t="n">
        <v>1</v>
      </c>
      <c r="I689" s="5" t="n">
        <v>0</v>
      </c>
      <c r="J689" s="5" t="n">
        <v>0</v>
      </c>
      <c r="K689" s="5" t="n">
        <v>1</v>
      </c>
      <c r="L689" s="5" t="n">
        <v>0</v>
      </c>
      <c r="M689" s="5" t="n">
        <v>1</v>
      </c>
      <c r="N689" s="5" t="n">
        <v>0</v>
      </c>
      <c r="O689" s="5" t="n">
        <v>0</v>
      </c>
      <c r="P689" s="5" t="n">
        <v>0</v>
      </c>
      <c r="Q689" s="5" t="n">
        <v>0</v>
      </c>
      <c r="R689" s="5" t="n">
        <v>0</v>
      </c>
      <c r="S689" s="5" t="n">
        <v>0</v>
      </c>
      <c r="T689" s="5" t="n">
        <v>0</v>
      </c>
      <c r="U689" s="5" t="inlineStr">
        <is>
          <t>training</t>
        </is>
      </c>
    </row>
    <row r="690">
      <c r="A690" s="5" t="n">
        <v>686</v>
      </c>
      <c r="B690" s="5" t="n">
        <v>0</v>
      </c>
      <c r="C690" s="6" t="n">
        <v>3.308728647336942</v>
      </c>
      <c r="D690" s="6" t="n">
        <v>1.146355089425709</v>
      </c>
      <c r="E690" s="6" t="n">
        <v>-0.1339384518749317</v>
      </c>
      <c r="F690" s="6" t="n">
        <v>0.9185437189662378</v>
      </c>
      <c r="G690" s="5" t="n">
        <v>0</v>
      </c>
      <c r="H690" s="5" t="n">
        <v>0</v>
      </c>
      <c r="I690" s="5" t="n">
        <v>0</v>
      </c>
      <c r="J690" s="5" t="n">
        <v>0</v>
      </c>
      <c r="K690" s="5" t="n">
        <v>0</v>
      </c>
      <c r="L690" s="5" t="n">
        <v>0</v>
      </c>
      <c r="M690" s="5" t="n">
        <v>0</v>
      </c>
      <c r="N690" s="5" t="n">
        <v>0</v>
      </c>
      <c r="O690" s="5" t="n">
        <v>1</v>
      </c>
      <c r="P690" s="5" t="n">
        <v>0</v>
      </c>
      <c r="Q690" s="5" t="n">
        <v>1</v>
      </c>
      <c r="R690" s="5" t="n">
        <v>1</v>
      </c>
      <c r="S690" s="5" t="n">
        <v>0</v>
      </c>
      <c r="T690" s="5" t="n">
        <v>0</v>
      </c>
      <c r="U690" s="5" t="inlineStr">
        <is>
          <t>testing</t>
        </is>
      </c>
    </row>
    <row r="691">
      <c r="A691" s="5" t="n">
        <v>687</v>
      </c>
      <c r="B691" s="5" t="n">
        <v>0</v>
      </c>
      <c r="C691" s="6" t="n">
        <v>-0.9042189173019176</v>
      </c>
      <c r="D691" s="6" t="n">
        <v>-0.6660893129813676</v>
      </c>
      <c r="E691" s="6" t="n">
        <v>-0.7427495967609852</v>
      </c>
      <c r="F691" s="6" t="n">
        <v>0.9185437189662378</v>
      </c>
      <c r="G691" s="5" t="n">
        <v>0</v>
      </c>
      <c r="H691" s="5" t="n">
        <v>0</v>
      </c>
      <c r="I691" s="5" t="n">
        <v>1</v>
      </c>
      <c r="J691" s="5" t="n">
        <v>1</v>
      </c>
      <c r="K691" s="5" t="n">
        <v>0</v>
      </c>
      <c r="L691" s="5" t="n">
        <v>0</v>
      </c>
      <c r="M691" s="5" t="n">
        <v>0</v>
      </c>
      <c r="N691" s="5" t="n">
        <v>0</v>
      </c>
      <c r="O691" s="5" t="n">
        <v>1</v>
      </c>
      <c r="P691" s="5" t="n">
        <v>0</v>
      </c>
      <c r="Q691" s="5" t="n">
        <v>0</v>
      </c>
      <c r="R691" s="5" t="n">
        <v>0</v>
      </c>
      <c r="S691" s="5" t="n">
        <v>1</v>
      </c>
      <c r="T691" s="5" t="n">
        <v>0</v>
      </c>
      <c r="U691" s="5" t="inlineStr">
        <is>
          <t>training</t>
        </is>
      </c>
    </row>
    <row r="692">
      <c r="A692" s="5" t="n">
        <v>688</v>
      </c>
      <c r="B692" s="5" t="n">
        <v>0</v>
      </c>
      <c r="C692" s="6" t="n">
        <v>1.286513816310289</v>
      </c>
      <c r="D692" s="6" t="n">
        <v>-0.1360018091885643</v>
      </c>
      <c r="E692" s="6" t="n">
        <v>-0.4818305346669622</v>
      </c>
      <c r="F692" s="6" t="n">
        <v>0.9185437189662378</v>
      </c>
      <c r="G692" s="5" t="n">
        <v>0</v>
      </c>
      <c r="H692" s="5" t="n">
        <v>1</v>
      </c>
      <c r="I692" s="5" t="n">
        <v>0</v>
      </c>
      <c r="J692" s="5" t="n">
        <v>0</v>
      </c>
      <c r="K692" s="5" t="n">
        <v>1</v>
      </c>
      <c r="L692" s="5" t="n">
        <v>0</v>
      </c>
      <c r="M692" s="5" t="n">
        <v>1</v>
      </c>
      <c r="N692" s="5" t="n">
        <v>0</v>
      </c>
      <c r="O692" s="5" t="n">
        <v>0</v>
      </c>
      <c r="P692" s="5" t="n">
        <v>0</v>
      </c>
      <c r="Q692" s="5" t="n">
        <v>1</v>
      </c>
      <c r="R692" s="5" t="n">
        <v>1</v>
      </c>
      <c r="S692" s="5" t="n">
        <v>0</v>
      </c>
      <c r="T692" s="5" t="n">
        <v>0</v>
      </c>
      <c r="U692" s="5" t="inlineStr">
        <is>
          <t>testing</t>
        </is>
      </c>
    </row>
    <row r="693">
      <c r="A693" s="5" t="n">
        <v>689</v>
      </c>
      <c r="B693" s="5" t="n">
        <v>0</v>
      </c>
      <c r="C693" s="6" t="n">
        <v>-0.9884778685946948</v>
      </c>
      <c r="D693" s="6" t="n">
        <v>-0.1741401180423039</v>
      </c>
      <c r="E693" s="6" t="n">
        <v>-0.04696543117692405</v>
      </c>
      <c r="F693" s="6" t="n">
        <v>0.01674764143977723</v>
      </c>
      <c r="G693" s="5" t="n">
        <v>0</v>
      </c>
      <c r="H693" s="5" t="n">
        <v>0</v>
      </c>
      <c r="I693" s="5" t="n">
        <v>0</v>
      </c>
      <c r="J693" s="5" t="n">
        <v>0</v>
      </c>
      <c r="K693" s="5" t="n">
        <v>0</v>
      </c>
      <c r="L693" s="5" t="n">
        <v>0</v>
      </c>
      <c r="M693" s="5" t="n">
        <v>1</v>
      </c>
      <c r="N693" s="5" t="n">
        <v>0</v>
      </c>
      <c r="O693" s="5" t="n">
        <v>0</v>
      </c>
      <c r="P693" s="5" t="n">
        <v>0</v>
      </c>
      <c r="Q693" s="5" t="n">
        <v>0</v>
      </c>
      <c r="R693" s="5" t="n">
        <v>0</v>
      </c>
      <c r="S693" s="5" t="n">
        <v>1</v>
      </c>
      <c r="T693" s="5" t="n">
        <v>0</v>
      </c>
      <c r="U693" s="5" t="inlineStr">
        <is>
          <t>training</t>
        </is>
      </c>
    </row>
    <row r="694">
      <c r="A694" s="5" t="n">
        <v>690</v>
      </c>
      <c r="B694" s="5" t="n">
        <v>0</v>
      </c>
      <c r="C694" s="6" t="n">
        <v>-0.7357010147163632</v>
      </c>
      <c r="D694" s="6" t="n">
        <v>0.1400635640738264</v>
      </c>
      <c r="E694" s="6" t="n">
        <v>-0.3948575139689546</v>
      </c>
      <c r="F694" s="6" t="n">
        <v>-1.786844513613144</v>
      </c>
      <c r="G694" s="5" t="n">
        <v>1</v>
      </c>
      <c r="H694" s="5" t="n">
        <v>0</v>
      </c>
      <c r="I694" s="5" t="n">
        <v>0</v>
      </c>
      <c r="J694" s="5" t="n">
        <v>0</v>
      </c>
      <c r="K694" s="5" t="n">
        <v>0</v>
      </c>
      <c r="L694" s="5" t="n">
        <v>0</v>
      </c>
      <c r="M694" s="5" t="n">
        <v>0</v>
      </c>
      <c r="N694" s="5" t="n">
        <v>1</v>
      </c>
      <c r="O694" s="5" t="n">
        <v>0</v>
      </c>
      <c r="P694" s="5" t="n">
        <v>0</v>
      </c>
      <c r="Q694" s="5" t="n">
        <v>0</v>
      </c>
      <c r="R694" s="5" t="n">
        <v>1</v>
      </c>
      <c r="S694" s="5" t="n">
        <v>0</v>
      </c>
      <c r="T694" s="5" t="n">
        <v>0</v>
      </c>
      <c r="U694" s="5" t="inlineStr">
        <is>
          <t>training</t>
        </is>
      </c>
    </row>
    <row r="695">
      <c r="A695" s="5" t="n">
        <v>691</v>
      </c>
      <c r="B695" s="5" t="n">
        <v>0</v>
      </c>
      <c r="C695" s="6" t="n">
        <v>-0.4829241608380317</v>
      </c>
      <c r="D695" s="6" t="n">
        <v>-0.7962494129225708</v>
      </c>
      <c r="E695" s="6" t="n">
        <v>-0.9166956381570004</v>
      </c>
      <c r="F695" s="6" t="n">
        <v>-0.8850484360866833</v>
      </c>
      <c r="G695" s="5" t="n">
        <v>1</v>
      </c>
      <c r="H695" s="5" t="n">
        <v>0</v>
      </c>
      <c r="I695" s="5" t="n">
        <v>0</v>
      </c>
      <c r="J695" s="5" t="n">
        <v>1</v>
      </c>
      <c r="K695" s="5" t="n">
        <v>0</v>
      </c>
      <c r="L695" s="5" t="n">
        <v>0</v>
      </c>
      <c r="M695" s="5" t="n">
        <v>0</v>
      </c>
      <c r="N695" s="5" t="n">
        <v>0</v>
      </c>
      <c r="O695" s="5" t="n">
        <v>0</v>
      </c>
      <c r="P695" s="5" t="n">
        <v>0</v>
      </c>
      <c r="Q695" s="5" t="n">
        <v>0</v>
      </c>
      <c r="R695" s="5" t="n">
        <v>0</v>
      </c>
      <c r="S695" s="5" t="n">
        <v>0</v>
      </c>
      <c r="T695" s="5" t="n">
        <v>1</v>
      </c>
      <c r="U695" s="5" t="inlineStr">
        <is>
          <t>testing</t>
        </is>
      </c>
    </row>
    <row r="696">
      <c r="A696" s="5" t="n">
        <v>692</v>
      </c>
      <c r="B696" s="5" t="n">
        <v>0</v>
      </c>
      <c r="C696" s="6" t="n">
        <v>-0.4829241608380317</v>
      </c>
      <c r="D696" s="6" t="n">
        <v>-0.2168270325391501</v>
      </c>
      <c r="E696" s="6" t="n">
        <v>-0.9166956381570004</v>
      </c>
      <c r="F696" s="6" t="n">
        <v>0.01674764143977723</v>
      </c>
      <c r="G696" s="5" t="n">
        <v>0</v>
      </c>
      <c r="H696" s="5" t="n">
        <v>1</v>
      </c>
      <c r="I696" s="5" t="n">
        <v>0</v>
      </c>
      <c r="J696" s="5" t="n">
        <v>0</v>
      </c>
      <c r="K696" s="5" t="n">
        <v>0</v>
      </c>
      <c r="L696" s="5" t="n">
        <v>0</v>
      </c>
      <c r="M696" s="5" t="n">
        <v>1</v>
      </c>
      <c r="N696" s="5" t="n">
        <v>0</v>
      </c>
      <c r="O696" s="5" t="n">
        <v>0</v>
      </c>
      <c r="P696" s="5" t="n">
        <v>0</v>
      </c>
      <c r="Q696" s="5" t="n">
        <v>0</v>
      </c>
      <c r="R696" s="5" t="n">
        <v>0</v>
      </c>
      <c r="S696" s="5" t="n">
        <v>0</v>
      </c>
      <c r="T696" s="5" t="n">
        <v>0</v>
      </c>
      <c r="U696" s="5" t="inlineStr">
        <is>
          <t>training</t>
        </is>
      </c>
    </row>
    <row r="697">
      <c r="A697" s="5" t="n">
        <v>693</v>
      </c>
      <c r="B697" s="5" t="n">
        <v>0</v>
      </c>
      <c r="C697" s="6" t="n">
        <v>0.275406400796963</v>
      </c>
      <c r="D697" s="6" t="n">
        <v>-0.1241054559681317</v>
      </c>
      <c r="E697" s="6" t="n">
        <v>-0.5688035553649698</v>
      </c>
      <c r="F697" s="6" t="n">
        <v>-0.8850484360866833</v>
      </c>
      <c r="G697" s="5" t="n">
        <v>0</v>
      </c>
      <c r="H697" s="5" t="n">
        <v>1</v>
      </c>
      <c r="I697" s="5" t="n">
        <v>0</v>
      </c>
      <c r="J697" s="5" t="n">
        <v>0</v>
      </c>
      <c r="K697" s="5" t="n">
        <v>0</v>
      </c>
      <c r="L697" s="5" t="n">
        <v>0</v>
      </c>
      <c r="M697" s="5" t="n">
        <v>1</v>
      </c>
      <c r="N697" s="5" t="n">
        <v>0</v>
      </c>
      <c r="O697" s="5" t="n">
        <v>0</v>
      </c>
      <c r="P697" s="5" t="n">
        <v>0</v>
      </c>
      <c r="Q697" s="5" t="n">
        <v>0</v>
      </c>
      <c r="R697" s="5" t="n">
        <v>0</v>
      </c>
      <c r="S697" s="5" t="n">
        <v>1</v>
      </c>
      <c r="T697" s="5" t="n">
        <v>0</v>
      </c>
      <c r="U697" s="5" t="inlineStr">
        <is>
          <t>training</t>
        </is>
      </c>
    </row>
    <row r="698">
      <c r="A698" s="5" t="n">
        <v>694</v>
      </c>
      <c r="B698" s="5" t="n">
        <v>0</v>
      </c>
      <c r="C698" s="6" t="n">
        <v>-1.241254722473026</v>
      </c>
      <c r="D698" s="6" t="n">
        <v>0.5126993340667871</v>
      </c>
      <c r="E698" s="6" t="n">
        <v>0.7357917551051447</v>
      </c>
      <c r="F698" s="6" t="n">
        <v>-1.786844513613144</v>
      </c>
      <c r="G698" s="5" t="n">
        <v>1</v>
      </c>
      <c r="H698" s="5" t="n">
        <v>0</v>
      </c>
      <c r="I698" s="5" t="n">
        <v>0</v>
      </c>
      <c r="J698" s="5" t="n">
        <v>1</v>
      </c>
      <c r="K698" s="5" t="n">
        <v>0</v>
      </c>
      <c r="L698" s="5" t="n">
        <v>0</v>
      </c>
      <c r="M698" s="5" t="n">
        <v>0</v>
      </c>
      <c r="N698" s="5" t="n">
        <v>0</v>
      </c>
      <c r="O698" s="5" t="n">
        <v>1</v>
      </c>
      <c r="P698" s="5" t="n">
        <v>0</v>
      </c>
      <c r="Q698" s="5" t="n">
        <v>0</v>
      </c>
      <c r="R698" s="5" t="n">
        <v>1</v>
      </c>
      <c r="S698" s="5" t="n">
        <v>0</v>
      </c>
      <c r="T698" s="5" t="n">
        <v>0</v>
      </c>
      <c r="U698" s="5" t="inlineStr">
        <is>
          <t>training</t>
        </is>
      </c>
    </row>
    <row r="699">
      <c r="A699" s="5" t="n">
        <v>695</v>
      </c>
      <c r="B699" s="5" t="n">
        <v>0</v>
      </c>
      <c r="C699" s="6" t="n">
        <v>0.275406400796963</v>
      </c>
      <c r="D699" s="6" t="n">
        <v>-0.3382398139359176</v>
      </c>
      <c r="E699" s="6" t="n">
        <v>-0.6557765760629775</v>
      </c>
      <c r="F699" s="6" t="n">
        <v>0.9185437189662378</v>
      </c>
      <c r="G699" s="5" t="n">
        <v>0</v>
      </c>
      <c r="H699" s="5" t="n">
        <v>0</v>
      </c>
      <c r="I699" s="5" t="n">
        <v>0</v>
      </c>
      <c r="J699" s="5" t="n">
        <v>0</v>
      </c>
      <c r="K699" s="5" t="n">
        <v>0</v>
      </c>
      <c r="L699" s="5" t="n">
        <v>0</v>
      </c>
      <c r="M699" s="5" t="n">
        <v>0</v>
      </c>
      <c r="N699" s="5" t="n">
        <v>0</v>
      </c>
      <c r="O699" s="5" t="n">
        <v>0</v>
      </c>
      <c r="P699" s="5" t="n">
        <v>0</v>
      </c>
      <c r="Q699" s="5" t="n">
        <v>0</v>
      </c>
      <c r="R699" s="5" t="n">
        <v>0</v>
      </c>
      <c r="S699" s="5" t="n">
        <v>1</v>
      </c>
      <c r="T699" s="5" t="n">
        <v>0</v>
      </c>
      <c r="U699" s="5" t="inlineStr">
        <is>
          <t>training</t>
        </is>
      </c>
    </row>
    <row r="700">
      <c r="A700" s="5" t="n">
        <v>696</v>
      </c>
      <c r="B700" s="5" t="n">
        <v>0</v>
      </c>
      <c r="C700" s="6" t="n">
        <v>-1.241254722473026</v>
      </c>
      <c r="D700" s="6" t="n">
        <v>-0.7049274073186621</v>
      </c>
      <c r="E700" s="6" t="n">
        <v>1.257629879293191</v>
      </c>
      <c r="F700" s="6" t="n">
        <v>-0.8850484360866833</v>
      </c>
      <c r="G700" s="5" t="n">
        <v>0</v>
      </c>
      <c r="H700" s="5" t="n">
        <v>0</v>
      </c>
      <c r="I700" s="5" t="n">
        <v>0</v>
      </c>
      <c r="J700" s="5" t="n">
        <v>0</v>
      </c>
      <c r="K700" s="5" t="n">
        <v>0</v>
      </c>
      <c r="L700" s="5" t="n">
        <v>0</v>
      </c>
      <c r="M700" s="5" t="n">
        <v>1</v>
      </c>
      <c r="N700" s="5" t="n">
        <v>0</v>
      </c>
      <c r="O700" s="5" t="n">
        <v>0</v>
      </c>
      <c r="P700" s="5" t="n">
        <v>1</v>
      </c>
      <c r="Q700" s="5" t="n">
        <v>0</v>
      </c>
      <c r="R700" s="5" t="n">
        <v>1</v>
      </c>
      <c r="S700" s="5" t="n">
        <v>0</v>
      </c>
      <c r="T700" s="5" t="n">
        <v>0</v>
      </c>
      <c r="U700" s="5" t="inlineStr">
        <is>
          <t>training</t>
        </is>
      </c>
    </row>
    <row r="701">
      <c r="A701" s="5" t="n">
        <v>697</v>
      </c>
      <c r="B701" s="5" t="n">
        <v>0</v>
      </c>
      <c r="C701" s="6" t="n">
        <v>-0.7357010147163632</v>
      </c>
      <c r="D701" s="6" t="n">
        <v>-0.75146314197506</v>
      </c>
      <c r="E701" s="6" t="n">
        <v>-0.5688035553649698</v>
      </c>
      <c r="F701" s="6" t="n">
        <v>0.9185437189662378</v>
      </c>
      <c r="G701" s="5" t="n">
        <v>0</v>
      </c>
      <c r="H701" s="5" t="n">
        <v>1</v>
      </c>
      <c r="I701" s="5" t="n">
        <v>0</v>
      </c>
      <c r="J701" s="5" t="n">
        <v>0</v>
      </c>
      <c r="K701" s="5" t="n">
        <v>0</v>
      </c>
      <c r="L701" s="5" t="n">
        <v>0</v>
      </c>
      <c r="M701" s="5" t="n">
        <v>0</v>
      </c>
      <c r="N701" s="5" t="n">
        <v>0</v>
      </c>
      <c r="O701" s="5" t="n">
        <v>0</v>
      </c>
      <c r="P701" s="5" t="n">
        <v>0</v>
      </c>
      <c r="Q701" s="5" t="n">
        <v>0</v>
      </c>
      <c r="R701" s="5" t="n">
        <v>0</v>
      </c>
      <c r="S701" s="5" t="n">
        <v>1</v>
      </c>
      <c r="T701" s="5" t="n">
        <v>0</v>
      </c>
      <c r="U701" s="5" t="inlineStr">
        <is>
          <t>training</t>
        </is>
      </c>
    </row>
    <row r="702">
      <c r="A702" s="5" t="n">
        <v>698</v>
      </c>
      <c r="B702" s="5" t="n">
        <v>0</v>
      </c>
      <c r="C702" s="6" t="n">
        <v>-0.7357010147163632</v>
      </c>
      <c r="D702" s="6" t="n">
        <v>-0.8133941572696648</v>
      </c>
      <c r="E702" s="6" t="n">
        <v>0.2139536309170988</v>
      </c>
      <c r="F702" s="6" t="n">
        <v>-1.786844513613144</v>
      </c>
      <c r="G702" s="5" t="n">
        <v>0</v>
      </c>
      <c r="H702" s="5" t="n">
        <v>0</v>
      </c>
      <c r="I702" s="5" t="n">
        <v>0</v>
      </c>
      <c r="J702" s="5" t="n">
        <v>1</v>
      </c>
      <c r="K702" s="5" t="n">
        <v>0</v>
      </c>
      <c r="L702" s="5" t="n">
        <v>0</v>
      </c>
      <c r="M702" s="5" t="n">
        <v>0</v>
      </c>
      <c r="N702" s="5" t="n">
        <v>0</v>
      </c>
      <c r="O702" s="5" t="n">
        <v>0</v>
      </c>
      <c r="P702" s="5" t="n">
        <v>0</v>
      </c>
      <c r="Q702" s="5" t="n">
        <v>0</v>
      </c>
      <c r="R702" s="5" t="n">
        <v>1</v>
      </c>
      <c r="S702" s="5" t="n">
        <v>0</v>
      </c>
      <c r="T702" s="5" t="n">
        <v>0</v>
      </c>
      <c r="U702" s="5" t="inlineStr">
        <is>
          <t>training</t>
        </is>
      </c>
    </row>
    <row r="703">
      <c r="A703" s="5" t="n">
        <v>699</v>
      </c>
      <c r="B703" s="5" t="n">
        <v>0</v>
      </c>
      <c r="C703" s="6" t="n">
        <v>-0.2301473069597001</v>
      </c>
      <c r="D703" s="6" t="n">
        <v>-0.5075879009561928</v>
      </c>
      <c r="E703" s="6" t="n">
        <v>-1.003668658855008</v>
      </c>
      <c r="F703" s="6" t="n">
        <v>0.9185437189662378</v>
      </c>
      <c r="G703" s="5" t="n">
        <v>0</v>
      </c>
      <c r="H703" s="5" t="n">
        <v>0</v>
      </c>
      <c r="I703" s="5" t="n">
        <v>0</v>
      </c>
      <c r="J703" s="5" t="n">
        <v>1</v>
      </c>
      <c r="K703" s="5" t="n">
        <v>0</v>
      </c>
      <c r="L703" s="5" t="n">
        <v>0</v>
      </c>
      <c r="M703" s="5" t="n">
        <v>0</v>
      </c>
      <c r="N703" s="5" t="n">
        <v>0</v>
      </c>
      <c r="O703" s="5" t="n">
        <v>0</v>
      </c>
      <c r="P703" s="5" t="n">
        <v>0</v>
      </c>
      <c r="Q703" s="5" t="n">
        <v>0</v>
      </c>
      <c r="R703" s="5" t="n">
        <v>0</v>
      </c>
      <c r="S703" s="5" t="n">
        <v>1</v>
      </c>
      <c r="T703" s="5" t="n">
        <v>0</v>
      </c>
      <c r="U703" s="5" t="inlineStr">
        <is>
          <t>training</t>
        </is>
      </c>
    </row>
    <row r="704">
      <c r="A704" s="5" t="n">
        <v>700</v>
      </c>
      <c r="B704" s="5" t="n">
        <v>0</v>
      </c>
      <c r="C704" s="6" t="n">
        <v>-0.4829241608380317</v>
      </c>
      <c r="D704" s="6" t="n">
        <v>-0.4708491630695628</v>
      </c>
      <c r="E704" s="6" t="n">
        <v>0.3878996723131141</v>
      </c>
      <c r="F704" s="6" t="n">
        <v>0.9185437189662378</v>
      </c>
      <c r="G704" s="5" t="n">
        <v>0</v>
      </c>
      <c r="H704" s="5" t="n">
        <v>0</v>
      </c>
      <c r="I704" s="5" t="n">
        <v>1</v>
      </c>
      <c r="J704" s="5" t="n">
        <v>0</v>
      </c>
      <c r="K704" s="5" t="n">
        <v>0</v>
      </c>
      <c r="L704" s="5" t="n">
        <v>0</v>
      </c>
      <c r="M704" s="5" t="n">
        <v>0</v>
      </c>
      <c r="N704" s="5" t="n">
        <v>0</v>
      </c>
      <c r="O704" s="5" t="n">
        <v>0</v>
      </c>
      <c r="P704" s="5" t="n">
        <v>1</v>
      </c>
      <c r="Q704" s="5" t="n">
        <v>0</v>
      </c>
      <c r="R704" s="5" t="n">
        <v>0</v>
      </c>
      <c r="S704" s="5" t="n">
        <v>0</v>
      </c>
      <c r="T704" s="5" t="n">
        <v>0</v>
      </c>
      <c r="U704" s="5" t="inlineStr">
        <is>
          <t>testing</t>
        </is>
      </c>
    </row>
    <row r="705">
      <c r="A705" s="5" t="n">
        <v>701</v>
      </c>
      <c r="B705" s="5" t="n">
        <v>1</v>
      </c>
      <c r="C705" s="6" t="n">
        <v>-0.7357010147163632</v>
      </c>
      <c r="D705" s="6" t="n">
        <v>-0.7444652871395114</v>
      </c>
      <c r="E705" s="6" t="n">
        <v>-0.5688035553649698</v>
      </c>
      <c r="F705" s="6" t="n">
        <v>0.9185437189662378</v>
      </c>
      <c r="G705" s="5" t="n">
        <v>0</v>
      </c>
      <c r="H705" s="5" t="n">
        <v>0</v>
      </c>
      <c r="I705" s="5" t="n">
        <v>0</v>
      </c>
      <c r="J705" s="5" t="n">
        <v>0</v>
      </c>
      <c r="K705" s="5" t="n">
        <v>0</v>
      </c>
      <c r="L705" s="5" t="n">
        <v>0</v>
      </c>
      <c r="M705" s="5" t="n">
        <v>1</v>
      </c>
      <c r="N705" s="5" t="n">
        <v>0</v>
      </c>
      <c r="O705" s="5" t="n">
        <v>0</v>
      </c>
      <c r="P705" s="5" t="n">
        <v>1</v>
      </c>
      <c r="Q705" s="5" t="n">
        <v>0</v>
      </c>
      <c r="R705" s="5" t="n">
        <v>0</v>
      </c>
      <c r="S705" s="5" t="n">
        <v>0</v>
      </c>
      <c r="T705" s="5" t="n">
        <v>1</v>
      </c>
      <c r="U705" s="5" t="inlineStr">
        <is>
          <t>training</t>
        </is>
      </c>
    </row>
    <row r="706">
      <c r="A706" s="5" t="n">
        <v>702</v>
      </c>
      <c r="B706" s="5" t="n">
        <v>1</v>
      </c>
      <c r="C706" s="6" t="n">
        <v>2.297621231823615</v>
      </c>
      <c r="D706" s="6" t="n">
        <v>1.077776112037333</v>
      </c>
      <c r="E706" s="6" t="n">
        <v>0.9097377965011599</v>
      </c>
      <c r="F706" s="6" t="n">
        <v>0.9185437189662378</v>
      </c>
      <c r="G706" s="5" t="n">
        <v>1</v>
      </c>
      <c r="H706" s="5" t="n">
        <v>0</v>
      </c>
      <c r="I706" s="5" t="n">
        <v>0</v>
      </c>
      <c r="J706" s="5" t="n">
        <v>1</v>
      </c>
      <c r="K706" s="5" t="n">
        <v>0</v>
      </c>
      <c r="L706" s="5" t="n">
        <v>0</v>
      </c>
      <c r="M706" s="5" t="n">
        <v>0</v>
      </c>
      <c r="N706" s="5" t="n">
        <v>0</v>
      </c>
      <c r="O706" s="5" t="n">
        <v>0</v>
      </c>
      <c r="P706" s="5" t="n">
        <v>0</v>
      </c>
      <c r="Q706" s="5" t="n">
        <v>1</v>
      </c>
      <c r="R706" s="5" t="n">
        <v>1</v>
      </c>
      <c r="S706" s="5" t="n">
        <v>0</v>
      </c>
      <c r="T706" s="5" t="n">
        <v>0</v>
      </c>
      <c r="U706" s="5" t="inlineStr">
        <is>
          <t>training</t>
        </is>
      </c>
    </row>
    <row r="707">
      <c r="A707" s="5" t="n">
        <v>703</v>
      </c>
      <c r="B707" s="5" t="n">
        <v>0</v>
      </c>
      <c r="C707" s="6" t="n">
        <v>0.275406400796963</v>
      </c>
      <c r="D707" s="6" t="n">
        <v>-0.6555925307280448</v>
      </c>
      <c r="E707" s="6" t="n">
        <v>0.9967108171991675</v>
      </c>
      <c r="F707" s="6" t="n">
        <v>0.9185437189662378</v>
      </c>
      <c r="G707" s="5" t="n">
        <v>0</v>
      </c>
      <c r="H707" s="5" t="n">
        <v>0</v>
      </c>
      <c r="I707" s="5" t="n">
        <v>1</v>
      </c>
      <c r="J707" s="5" t="n">
        <v>0</v>
      </c>
      <c r="K707" s="5" t="n">
        <v>0</v>
      </c>
      <c r="L707" s="5" t="n">
        <v>0</v>
      </c>
      <c r="M707" s="5" t="n">
        <v>1</v>
      </c>
      <c r="N707" s="5" t="n">
        <v>0</v>
      </c>
      <c r="O707" s="5" t="n">
        <v>0</v>
      </c>
      <c r="P707" s="5" t="n">
        <v>0</v>
      </c>
      <c r="Q707" s="5" t="n">
        <v>1</v>
      </c>
      <c r="R707" s="5" t="n">
        <v>0</v>
      </c>
      <c r="S707" s="5" t="n">
        <v>1</v>
      </c>
      <c r="T707" s="5" t="n">
        <v>0</v>
      </c>
      <c r="U707" s="5" t="inlineStr">
        <is>
          <t>training</t>
        </is>
      </c>
    </row>
    <row r="708">
      <c r="A708" s="5" t="n">
        <v>704</v>
      </c>
      <c r="B708" s="5" t="n">
        <v>0</v>
      </c>
      <c r="C708" s="6" t="n">
        <v>0.7809601085536261</v>
      </c>
      <c r="D708" s="6" t="n">
        <v>-0.2616133034866609</v>
      </c>
      <c r="E708" s="6" t="n">
        <v>0.4748726930111218</v>
      </c>
      <c r="F708" s="6" t="n">
        <v>0.9185437189662378</v>
      </c>
      <c r="G708" s="5" t="n">
        <v>0</v>
      </c>
      <c r="H708" s="5" t="n">
        <v>1</v>
      </c>
      <c r="I708" s="5" t="n">
        <v>0</v>
      </c>
      <c r="J708" s="5" t="n">
        <v>0</v>
      </c>
      <c r="K708" s="5" t="n">
        <v>1</v>
      </c>
      <c r="L708" s="5" t="n">
        <v>0</v>
      </c>
      <c r="M708" s="5" t="n">
        <v>1</v>
      </c>
      <c r="N708" s="5" t="n">
        <v>0</v>
      </c>
      <c r="O708" s="5" t="n">
        <v>0</v>
      </c>
      <c r="P708" s="5" t="n">
        <v>0</v>
      </c>
      <c r="Q708" s="5" t="n">
        <v>0</v>
      </c>
      <c r="R708" s="5" t="n">
        <v>0</v>
      </c>
      <c r="S708" s="5" t="n">
        <v>0</v>
      </c>
      <c r="T708" s="5" t="n">
        <v>0</v>
      </c>
      <c r="U708" s="5" t="inlineStr">
        <is>
          <t>training</t>
        </is>
      </c>
    </row>
    <row r="709">
      <c r="A709" s="5" t="n">
        <v>705</v>
      </c>
      <c r="B709" s="5" t="n">
        <v>0</v>
      </c>
      <c r="C709" s="6" t="n">
        <v>0.5281832546752946</v>
      </c>
      <c r="D709" s="6" t="n">
        <v>-0.2528659849422252</v>
      </c>
      <c r="E709" s="6" t="n">
        <v>-0.307884493270947</v>
      </c>
      <c r="F709" s="6" t="n">
        <v>0.9185437189662378</v>
      </c>
      <c r="G709" s="5" t="n">
        <v>0</v>
      </c>
      <c r="H709" s="5" t="n">
        <v>1</v>
      </c>
      <c r="I709" s="5" t="n">
        <v>0</v>
      </c>
      <c r="J709" s="5" t="n">
        <v>0</v>
      </c>
      <c r="K709" s="5" t="n">
        <v>0</v>
      </c>
      <c r="L709" s="5" t="n">
        <v>0</v>
      </c>
      <c r="M709" s="5" t="n">
        <v>0</v>
      </c>
      <c r="N709" s="5" t="n">
        <v>0</v>
      </c>
      <c r="O709" s="5" t="n">
        <v>0</v>
      </c>
      <c r="P709" s="5" t="n">
        <v>0</v>
      </c>
      <c r="Q709" s="5" t="n">
        <v>0</v>
      </c>
      <c r="R709" s="5" t="n">
        <v>0</v>
      </c>
      <c r="S709" s="5" t="n">
        <v>0</v>
      </c>
      <c r="T709" s="5" t="n">
        <v>0</v>
      </c>
      <c r="U709" s="5" t="inlineStr">
        <is>
          <t>training</t>
        </is>
      </c>
    </row>
    <row r="710">
      <c r="A710" s="5" t="n">
        <v>706</v>
      </c>
      <c r="B710" s="5" t="n">
        <v>0</v>
      </c>
      <c r="C710" s="6" t="n">
        <v>-0.4829241608380317</v>
      </c>
      <c r="D710" s="6" t="n">
        <v>0.7254341210674633</v>
      </c>
      <c r="E710" s="6" t="n">
        <v>-0.04696543117692405</v>
      </c>
      <c r="F710" s="6" t="n">
        <v>-1.786844513613144</v>
      </c>
      <c r="G710" s="5" t="n">
        <v>0</v>
      </c>
      <c r="H710" s="5" t="n">
        <v>0</v>
      </c>
      <c r="I710" s="5" t="n">
        <v>0</v>
      </c>
      <c r="J710" s="5" t="n">
        <v>0</v>
      </c>
      <c r="K710" s="5" t="n">
        <v>0</v>
      </c>
      <c r="L710" s="5" t="n">
        <v>0</v>
      </c>
      <c r="M710" s="5" t="n">
        <v>1</v>
      </c>
      <c r="N710" s="5" t="n">
        <v>0</v>
      </c>
      <c r="O710" s="5" t="n">
        <v>0</v>
      </c>
      <c r="P710" s="5" t="n">
        <v>0</v>
      </c>
      <c r="Q710" s="5" t="n">
        <v>1</v>
      </c>
      <c r="R710" s="5" t="n">
        <v>1</v>
      </c>
      <c r="S710" s="5" t="n">
        <v>0</v>
      </c>
      <c r="T710" s="5" t="n">
        <v>0</v>
      </c>
      <c r="U710" s="5" t="inlineStr">
        <is>
          <t>training</t>
        </is>
      </c>
    </row>
    <row r="711">
      <c r="A711" s="5" t="n">
        <v>707</v>
      </c>
      <c r="B711" s="5" t="n">
        <v>1</v>
      </c>
      <c r="C711" s="6" t="n">
        <v>2.297621231823615</v>
      </c>
      <c r="D711" s="6" t="n">
        <v>1.157901549904364</v>
      </c>
      <c r="E711" s="6" t="n">
        <v>-1.003668658855008</v>
      </c>
      <c r="F711" s="6" t="n">
        <v>0.01674764143977723</v>
      </c>
      <c r="G711" s="5" t="n">
        <v>0</v>
      </c>
      <c r="H711" s="5" t="n">
        <v>1</v>
      </c>
      <c r="I711" s="5" t="n">
        <v>0</v>
      </c>
      <c r="J711" s="5" t="n">
        <v>0</v>
      </c>
      <c r="K711" s="5" t="n">
        <v>0</v>
      </c>
      <c r="L711" s="5" t="n">
        <v>0</v>
      </c>
      <c r="M711" s="5" t="n">
        <v>1</v>
      </c>
      <c r="N711" s="5" t="n">
        <v>0</v>
      </c>
      <c r="O711" s="5" t="n">
        <v>0</v>
      </c>
      <c r="P711" s="5" t="n">
        <v>0</v>
      </c>
      <c r="Q711" s="5" t="n">
        <v>0</v>
      </c>
      <c r="R711" s="5" t="n">
        <v>1</v>
      </c>
      <c r="S711" s="5" t="n">
        <v>0</v>
      </c>
      <c r="T711" s="5" t="n">
        <v>0</v>
      </c>
      <c r="U711" s="5" t="inlineStr">
        <is>
          <t>testing</t>
        </is>
      </c>
    </row>
    <row r="712">
      <c r="A712" s="5" t="n">
        <v>708</v>
      </c>
      <c r="B712" s="5" t="n">
        <v>1</v>
      </c>
      <c r="C712" s="6" t="n">
        <v>-0.7357010147163632</v>
      </c>
      <c r="D712" s="6" t="n">
        <v>-0.09856328581837948</v>
      </c>
      <c r="E712" s="6" t="n">
        <v>-0.9166956381570004</v>
      </c>
      <c r="F712" s="6" t="n">
        <v>0.9185437189662378</v>
      </c>
      <c r="G712" s="5" t="n">
        <v>0</v>
      </c>
      <c r="H712" s="5" t="n">
        <v>1</v>
      </c>
      <c r="I712" s="5" t="n">
        <v>0</v>
      </c>
      <c r="J712" s="5" t="n">
        <v>0</v>
      </c>
      <c r="K712" s="5" t="n">
        <v>0</v>
      </c>
      <c r="L712" s="5" t="n">
        <v>1</v>
      </c>
      <c r="M712" s="5" t="n">
        <v>0</v>
      </c>
      <c r="N712" s="5" t="n">
        <v>0</v>
      </c>
      <c r="O712" s="5" t="n">
        <v>0</v>
      </c>
      <c r="P712" s="5" t="n">
        <v>1</v>
      </c>
      <c r="Q712" s="5" t="n">
        <v>0</v>
      </c>
      <c r="R712" s="5" t="n">
        <v>0</v>
      </c>
      <c r="S712" s="5" t="n">
        <v>0</v>
      </c>
      <c r="T712" s="5" t="n">
        <v>1</v>
      </c>
      <c r="U712" s="5" t="inlineStr">
        <is>
          <t>training</t>
        </is>
      </c>
    </row>
    <row r="713">
      <c r="A713" s="5" t="n">
        <v>709</v>
      </c>
      <c r="B713" s="5" t="n">
        <v>0</v>
      </c>
      <c r="C713" s="6" t="n">
        <v>-0.9884778685946948</v>
      </c>
      <c r="D713" s="6" t="n">
        <v>-0.7154241895719849</v>
      </c>
      <c r="E713" s="6" t="n">
        <v>-0.9166956381570004</v>
      </c>
      <c r="F713" s="6" t="n">
        <v>0.9185437189662378</v>
      </c>
      <c r="G713" s="5" t="n">
        <v>0</v>
      </c>
      <c r="H713" s="5" t="n">
        <v>1</v>
      </c>
      <c r="I713" s="5" t="n">
        <v>0</v>
      </c>
      <c r="J713" s="5" t="n">
        <v>0</v>
      </c>
      <c r="K713" s="5" t="n">
        <v>0</v>
      </c>
      <c r="L713" s="5" t="n">
        <v>0</v>
      </c>
      <c r="M713" s="5" t="n">
        <v>0</v>
      </c>
      <c r="N713" s="5" t="n">
        <v>0</v>
      </c>
      <c r="O713" s="5" t="n">
        <v>0</v>
      </c>
      <c r="P713" s="5" t="n">
        <v>0</v>
      </c>
      <c r="Q713" s="5" t="n">
        <v>0</v>
      </c>
      <c r="R713" s="5" t="n">
        <v>0</v>
      </c>
      <c r="S713" s="5" t="n">
        <v>1</v>
      </c>
      <c r="T713" s="5" t="n">
        <v>0</v>
      </c>
      <c r="U713" s="5" t="inlineStr">
        <is>
          <t>training</t>
        </is>
      </c>
    </row>
    <row r="714">
      <c r="A714" s="5" t="n">
        <v>710</v>
      </c>
      <c r="B714" s="5" t="n">
        <v>0</v>
      </c>
      <c r="C714" s="6" t="n">
        <v>-0.9884778685946948</v>
      </c>
      <c r="D714" s="6" t="n">
        <v>-0.3963220090709706</v>
      </c>
      <c r="E714" s="6" t="n">
        <v>0.1269806102190912</v>
      </c>
      <c r="F714" s="6" t="n">
        <v>-0.8850484360866833</v>
      </c>
      <c r="G714" s="5" t="n">
        <v>0</v>
      </c>
      <c r="H714" s="5" t="n">
        <v>1</v>
      </c>
      <c r="I714" s="5" t="n">
        <v>0</v>
      </c>
      <c r="J714" s="5" t="n">
        <v>0</v>
      </c>
      <c r="K714" s="5" t="n">
        <v>0</v>
      </c>
      <c r="L714" s="5" t="n">
        <v>0</v>
      </c>
      <c r="M714" s="5" t="n">
        <v>0</v>
      </c>
      <c r="N714" s="5" t="n">
        <v>0</v>
      </c>
      <c r="O714" s="5" t="n">
        <v>0</v>
      </c>
      <c r="P714" s="5" t="n">
        <v>0</v>
      </c>
      <c r="Q714" s="5" t="n">
        <v>0</v>
      </c>
      <c r="R714" s="5" t="n">
        <v>0</v>
      </c>
      <c r="S714" s="5" t="n">
        <v>1</v>
      </c>
      <c r="T714" s="5" t="n">
        <v>0</v>
      </c>
      <c r="U714" s="5" t="inlineStr">
        <is>
          <t>testing</t>
        </is>
      </c>
    </row>
    <row r="715">
      <c r="A715" s="5" t="n">
        <v>711</v>
      </c>
      <c r="B715" s="5" t="n">
        <v>0</v>
      </c>
      <c r="C715" s="6" t="n">
        <v>-0.2301473069597001</v>
      </c>
      <c r="D715" s="6" t="n">
        <v>-0.9173123015775608</v>
      </c>
      <c r="E715" s="6" t="n">
        <v>-0.307884493270947</v>
      </c>
      <c r="F715" s="6" t="n">
        <v>0.9185437189662378</v>
      </c>
      <c r="G715" s="5" t="n">
        <v>0</v>
      </c>
      <c r="H715" s="5" t="n">
        <v>0</v>
      </c>
      <c r="I715" s="5" t="n">
        <v>0</v>
      </c>
      <c r="J715" s="5" t="n">
        <v>1</v>
      </c>
      <c r="K715" s="5" t="n">
        <v>0</v>
      </c>
      <c r="L715" s="5" t="n">
        <v>0</v>
      </c>
      <c r="M715" s="5" t="n">
        <v>1</v>
      </c>
      <c r="N715" s="5" t="n">
        <v>0</v>
      </c>
      <c r="O715" s="5" t="n">
        <v>0</v>
      </c>
      <c r="P715" s="5" t="n">
        <v>0</v>
      </c>
      <c r="Q715" s="5" t="n">
        <v>0</v>
      </c>
      <c r="R715" s="5" t="n">
        <v>0</v>
      </c>
      <c r="S715" s="5" t="n">
        <v>1</v>
      </c>
      <c r="T715" s="5" t="n">
        <v>0</v>
      </c>
      <c r="U715" s="5" t="inlineStr">
        <is>
          <t>training</t>
        </is>
      </c>
    </row>
    <row r="716">
      <c r="A716" s="5" t="n">
        <v>712</v>
      </c>
      <c r="B716" s="5" t="n">
        <v>1</v>
      </c>
      <c r="C716" s="6" t="n">
        <v>-1.241254722473026</v>
      </c>
      <c r="D716" s="6" t="n">
        <v>-0.7182233315062043</v>
      </c>
      <c r="E716" s="6" t="n">
        <v>-0.04696543117692405</v>
      </c>
      <c r="F716" s="6" t="n">
        <v>0.9185437189662378</v>
      </c>
      <c r="G716" s="5" t="n">
        <v>1</v>
      </c>
      <c r="H716" s="5" t="n">
        <v>0</v>
      </c>
      <c r="I716" s="5" t="n">
        <v>0</v>
      </c>
      <c r="J716" s="5" t="n">
        <v>0</v>
      </c>
      <c r="K716" s="5" t="n">
        <v>0</v>
      </c>
      <c r="L716" s="5" t="n">
        <v>1</v>
      </c>
      <c r="M716" s="5" t="n">
        <v>0</v>
      </c>
      <c r="N716" s="5" t="n">
        <v>0</v>
      </c>
      <c r="O716" s="5" t="n">
        <v>0</v>
      </c>
      <c r="P716" s="5" t="n">
        <v>0</v>
      </c>
      <c r="Q716" s="5" t="n">
        <v>1</v>
      </c>
      <c r="R716" s="5" t="n">
        <v>0</v>
      </c>
      <c r="S716" s="5" t="n">
        <v>0</v>
      </c>
      <c r="T716" s="5" t="n">
        <v>0</v>
      </c>
      <c r="U716" s="5" t="inlineStr">
        <is>
          <t>training</t>
        </is>
      </c>
    </row>
    <row r="717">
      <c r="A717" s="5" t="n">
        <v>713</v>
      </c>
      <c r="B717" s="5" t="n">
        <v>0</v>
      </c>
      <c r="C717" s="6" t="n">
        <v>0.02262954691863145</v>
      </c>
      <c r="D717" s="6" t="n">
        <v>-0.2710604075146514</v>
      </c>
      <c r="E717" s="6" t="n">
        <v>0.9097377965011599</v>
      </c>
      <c r="F717" s="6" t="n">
        <v>0.9185437189662378</v>
      </c>
      <c r="G717" s="5" t="n">
        <v>0</v>
      </c>
      <c r="H717" s="5" t="n">
        <v>0</v>
      </c>
      <c r="I717" s="5" t="n">
        <v>0</v>
      </c>
      <c r="J717" s="5" t="n">
        <v>0</v>
      </c>
      <c r="K717" s="5" t="n">
        <v>0</v>
      </c>
      <c r="L717" s="5" t="n">
        <v>0</v>
      </c>
      <c r="M717" s="5" t="n">
        <v>0</v>
      </c>
      <c r="N717" s="5" t="n">
        <v>0</v>
      </c>
      <c r="O717" s="5" t="n">
        <v>1</v>
      </c>
      <c r="P717" s="5" t="n">
        <v>0</v>
      </c>
      <c r="Q717" s="5" t="n">
        <v>0</v>
      </c>
      <c r="R717" s="5" t="n">
        <v>1</v>
      </c>
      <c r="S717" s="5" t="n">
        <v>0</v>
      </c>
      <c r="T717" s="5" t="n">
        <v>0</v>
      </c>
      <c r="U717" s="5" t="inlineStr">
        <is>
          <t>training</t>
        </is>
      </c>
    </row>
    <row r="718">
      <c r="A718" s="5" t="n">
        <v>714</v>
      </c>
      <c r="B718" s="5" t="n">
        <v>0</v>
      </c>
      <c r="C718" s="6" t="n">
        <v>-0.9884778685946948</v>
      </c>
      <c r="D718" s="6" t="n">
        <v>-0.73921689601285</v>
      </c>
      <c r="E718" s="6" t="n">
        <v>-0.9166956381570004</v>
      </c>
      <c r="F718" s="6" t="n">
        <v>0.9185437189662378</v>
      </c>
      <c r="G718" s="5" t="n">
        <v>1</v>
      </c>
      <c r="H718" s="5" t="n">
        <v>0</v>
      </c>
      <c r="I718" s="5" t="n">
        <v>0</v>
      </c>
      <c r="J718" s="5" t="n">
        <v>1</v>
      </c>
      <c r="K718" s="5" t="n">
        <v>0</v>
      </c>
      <c r="L718" s="5" t="n">
        <v>0</v>
      </c>
      <c r="M718" s="5" t="n">
        <v>0</v>
      </c>
      <c r="N718" s="5" t="n">
        <v>0</v>
      </c>
      <c r="O718" s="5" t="n">
        <v>0</v>
      </c>
      <c r="P718" s="5" t="n">
        <v>0</v>
      </c>
      <c r="Q718" s="5" t="n">
        <v>0</v>
      </c>
      <c r="R718" s="5" t="n">
        <v>0</v>
      </c>
      <c r="S718" s="5" t="n">
        <v>1</v>
      </c>
      <c r="T718" s="5" t="n">
        <v>0</v>
      </c>
      <c r="U718" s="5" t="inlineStr">
        <is>
          <t>training</t>
        </is>
      </c>
    </row>
    <row r="719">
      <c r="A719" s="5" t="n">
        <v>715</v>
      </c>
      <c r="B719" s="5" t="n">
        <v>1</v>
      </c>
      <c r="C719" s="6" t="n">
        <v>3.308728647336942</v>
      </c>
      <c r="D719" s="6" t="n">
        <v>3.770550652756419</v>
      </c>
      <c r="E719" s="6" t="n">
        <v>-0.7427495967609852</v>
      </c>
      <c r="F719" s="6" t="n">
        <v>0.9185437189662378</v>
      </c>
      <c r="G719" s="5" t="n">
        <v>0</v>
      </c>
      <c r="H719" s="5" t="n">
        <v>1</v>
      </c>
      <c r="I719" s="5" t="n">
        <v>0</v>
      </c>
      <c r="J719" s="5" t="n">
        <v>0</v>
      </c>
      <c r="K719" s="5" t="n">
        <v>0</v>
      </c>
      <c r="L719" s="5" t="n">
        <v>0</v>
      </c>
      <c r="M719" s="5" t="n">
        <v>0</v>
      </c>
      <c r="N719" s="5" t="n">
        <v>0</v>
      </c>
      <c r="O719" s="5" t="n">
        <v>0</v>
      </c>
      <c r="P719" s="5" t="n">
        <v>0</v>
      </c>
      <c r="Q719" s="5" t="n">
        <v>0</v>
      </c>
      <c r="R719" s="5" t="n">
        <v>1</v>
      </c>
      <c r="S719" s="5" t="n">
        <v>0</v>
      </c>
      <c r="T719" s="5" t="n">
        <v>0</v>
      </c>
      <c r="U719" s="5" t="inlineStr">
        <is>
          <t>testing</t>
        </is>
      </c>
    </row>
    <row r="720">
      <c r="A720" s="5" t="n">
        <v>716</v>
      </c>
      <c r="B720" s="5" t="n">
        <v>0</v>
      </c>
      <c r="C720" s="6" t="n">
        <v>0.7809601085536261</v>
      </c>
      <c r="D720" s="6" t="n">
        <v>1.52039043038578</v>
      </c>
      <c r="E720" s="6" t="n">
        <v>2.38827914836729</v>
      </c>
      <c r="F720" s="6" t="n">
        <v>-1.786844513613144</v>
      </c>
      <c r="G720" s="5" t="n">
        <v>0</v>
      </c>
      <c r="H720" s="5" t="n">
        <v>0</v>
      </c>
      <c r="I720" s="5" t="n">
        <v>0</v>
      </c>
      <c r="J720" s="5" t="n">
        <v>1</v>
      </c>
      <c r="K720" s="5" t="n">
        <v>0</v>
      </c>
      <c r="L720" s="5" t="n">
        <v>0</v>
      </c>
      <c r="M720" s="5" t="n">
        <v>0</v>
      </c>
      <c r="N720" s="5" t="n">
        <v>0</v>
      </c>
      <c r="O720" s="5" t="n">
        <v>1</v>
      </c>
      <c r="P720" s="5" t="n">
        <v>0</v>
      </c>
      <c r="Q720" s="5" t="n">
        <v>0</v>
      </c>
      <c r="R720" s="5" t="n">
        <v>1</v>
      </c>
      <c r="S720" s="5" t="n">
        <v>0</v>
      </c>
      <c r="T720" s="5" t="n">
        <v>0</v>
      </c>
      <c r="U720" s="5" t="inlineStr">
        <is>
          <t>training</t>
        </is>
      </c>
    </row>
    <row r="721">
      <c r="A721" s="5" t="n">
        <v>717</v>
      </c>
      <c r="B721" s="5" t="n">
        <v>0</v>
      </c>
      <c r="C721" s="6" t="n">
        <v>0.7809601085536261</v>
      </c>
      <c r="D721" s="6" t="n">
        <v>-0.06077486970641726</v>
      </c>
      <c r="E721" s="6" t="n">
        <v>0.3878996723131141</v>
      </c>
      <c r="F721" s="6" t="n">
        <v>0.01674764143977723</v>
      </c>
      <c r="G721" s="5" t="n">
        <v>0</v>
      </c>
      <c r="H721" s="5" t="n">
        <v>0</v>
      </c>
      <c r="I721" s="5" t="n">
        <v>0</v>
      </c>
      <c r="J721" s="5" t="n">
        <v>1</v>
      </c>
      <c r="K721" s="5" t="n">
        <v>0</v>
      </c>
      <c r="L721" s="5" t="n">
        <v>0</v>
      </c>
      <c r="M721" s="5" t="n">
        <v>0</v>
      </c>
      <c r="N721" s="5" t="n">
        <v>0</v>
      </c>
      <c r="O721" s="5" t="n">
        <v>1</v>
      </c>
      <c r="P721" s="5" t="n">
        <v>0</v>
      </c>
      <c r="Q721" s="5" t="n">
        <v>0</v>
      </c>
      <c r="R721" s="5" t="n">
        <v>0</v>
      </c>
      <c r="S721" s="5" t="n">
        <v>1</v>
      </c>
      <c r="T721" s="5" t="n">
        <v>0</v>
      </c>
      <c r="U721" s="5" t="inlineStr">
        <is>
          <t>testing</t>
        </is>
      </c>
    </row>
    <row r="722">
      <c r="A722" s="5" t="n">
        <v>718</v>
      </c>
      <c r="B722" s="5" t="n">
        <v>0</v>
      </c>
      <c r="C722" s="6" t="n">
        <v>-0.2301473069597001</v>
      </c>
      <c r="D722" s="6" t="n">
        <v>-0.6108062597805339</v>
      </c>
      <c r="E722" s="6" t="n">
        <v>-0.307884493270947</v>
      </c>
      <c r="F722" s="6" t="n">
        <v>0.9185437189662378</v>
      </c>
      <c r="G722" s="5" t="n">
        <v>0</v>
      </c>
      <c r="H722" s="5" t="n">
        <v>0</v>
      </c>
      <c r="I722" s="5" t="n">
        <v>0</v>
      </c>
      <c r="J722" s="5" t="n">
        <v>0</v>
      </c>
      <c r="K722" s="5" t="n">
        <v>0</v>
      </c>
      <c r="L722" s="5" t="n">
        <v>0</v>
      </c>
      <c r="M722" s="5" t="n">
        <v>0</v>
      </c>
      <c r="N722" s="5" t="n">
        <v>0</v>
      </c>
      <c r="O722" s="5" t="n">
        <v>0</v>
      </c>
      <c r="P722" s="5" t="n">
        <v>0</v>
      </c>
      <c r="Q722" s="5" t="n">
        <v>1</v>
      </c>
      <c r="R722" s="5" t="n">
        <v>0</v>
      </c>
      <c r="S722" s="5" t="n">
        <v>1</v>
      </c>
      <c r="T722" s="5" t="n">
        <v>0</v>
      </c>
      <c r="U722" s="5" t="inlineStr">
        <is>
          <t>training</t>
        </is>
      </c>
    </row>
    <row r="723">
      <c r="A723" s="5" t="n">
        <v>719</v>
      </c>
      <c r="B723" s="5" t="n">
        <v>0</v>
      </c>
      <c r="C723" s="6" t="n">
        <v>0.275406400796963</v>
      </c>
      <c r="D723" s="6" t="n">
        <v>-0.03593248504021988</v>
      </c>
      <c r="E723" s="6" t="n">
        <v>-0.3948575139689546</v>
      </c>
      <c r="F723" s="6" t="n">
        <v>0.01674764143977723</v>
      </c>
      <c r="G723" s="5" t="n">
        <v>0</v>
      </c>
      <c r="H723" s="5" t="n">
        <v>0</v>
      </c>
      <c r="I723" s="5" t="n">
        <v>1</v>
      </c>
      <c r="J723" s="5" t="n">
        <v>1</v>
      </c>
      <c r="K723" s="5" t="n">
        <v>0</v>
      </c>
      <c r="L723" s="5" t="n">
        <v>0</v>
      </c>
      <c r="M723" s="5" t="n">
        <v>0</v>
      </c>
      <c r="N723" s="5" t="n">
        <v>0</v>
      </c>
      <c r="O723" s="5" t="n">
        <v>1</v>
      </c>
      <c r="P723" s="5" t="n">
        <v>0</v>
      </c>
      <c r="Q723" s="5" t="n">
        <v>0</v>
      </c>
      <c r="R723" s="5" t="n">
        <v>0</v>
      </c>
      <c r="S723" s="5" t="n">
        <v>1</v>
      </c>
      <c r="T723" s="5" t="n">
        <v>0</v>
      </c>
      <c r="U723" s="5" t="inlineStr">
        <is>
          <t>training</t>
        </is>
      </c>
    </row>
    <row r="724">
      <c r="A724" s="5" t="n">
        <v>720</v>
      </c>
      <c r="B724" s="5" t="n">
        <v>0</v>
      </c>
      <c r="C724" s="6" t="n">
        <v>-0.06162940437414574</v>
      </c>
      <c r="D724" s="6" t="n">
        <v>1.013745740292064</v>
      </c>
      <c r="E724" s="6" t="n">
        <v>-0.3948575139689546</v>
      </c>
      <c r="F724" s="6" t="n">
        <v>0.01674764143977723</v>
      </c>
      <c r="G724" s="5" t="n">
        <v>0</v>
      </c>
      <c r="H724" s="5" t="n">
        <v>1</v>
      </c>
      <c r="I724" s="5" t="n">
        <v>0</v>
      </c>
      <c r="J724" s="5" t="n">
        <v>0</v>
      </c>
      <c r="K724" s="5" t="n">
        <v>0</v>
      </c>
      <c r="L724" s="5" t="n">
        <v>1</v>
      </c>
      <c r="M724" s="5" t="n">
        <v>1</v>
      </c>
      <c r="N724" s="5" t="n">
        <v>0</v>
      </c>
      <c r="O724" s="5" t="n">
        <v>0</v>
      </c>
      <c r="P724" s="5" t="n">
        <v>0</v>
      </c>
      <c r="Q724" s="5" t="n">
        <v>0</v>
      </c>
      <c r="R724" s="5" t="n">
        <v>1</v>
      </c>
      <c r="S724" s="5" t="n">
        <v>0</v>
      </c>
      <c r="T724" s="5" t="n">
        <v>0</v>
      </c>
      <c r="U724" s="5" t="inlineStr">
        <is>
          <t>training</t>
        </is>
      </c>
    </row>
    <row r="725">
      <c r="A725" s="5" t="n">
        <v>721</v>
      </c>
      <c r="B725" s="5" t="n">
        <v>1</v>
      </c>
      <c r="C725" s="6" t="n">
        <v>-0.9884778685946948</v>
      </c>
      <c r="D725" s="6" t="n">
        <v>-0.6695882403991419</v>
      </c>
      <c r="E725" s="6" t="n">
        <v>-0.1339384518749317</v>
      </c>
      <c r="F725" s="6" t="n">
        <v>0.9185437189662378</v>
      </c>
      <c r="G725" s="5" t="n">
        <v>0</v>
      </c>
      <c r="H725" s="5" t="n">
        <v>0</v>
      </c>
      <c r="I725" s="5" t="n">
        <v>1</v>
      </c>
      <c r="J725" s="5" t="n">
        <v>0</v>
      </c>
      <c r="K725" s="5" t="n">
        <v>0</v>
      </c>
      <c r="L725" s="5" t="n">
        <v>1</v>
      </c>
      <c r="M725" s="5" t="n">
        <v>0</v>
      </c>
      <c r="N725" s="5" t="n">
        <v>0</v>
      </c>
      <c r="O725" s="5" t="n">
        <v>0</v>
      </c>
      <c r="P725" s="5" t="n">
        <v>0</v>
      </c>
      <c r="Q725" s="5" t="n">
        <v>0</v>
      </c>
      <c r="R725" s="5" t="n">
        <v>0</v>
      </c>
      <c r="S725" s="5" t="n">
        <v>1</v>
      </c>
      <c r="T725" s="5" t="n">
        <v>0</v>
      </c>
      <c r="U725" s="5" t="inlineStr">
        <is>
          <t>training</t>
        </is>
      </c>
    </row>
    <row r="726">
      <c r="A726" s="5" t="n">
        <v>722</v>
      </c>
      <c r="B726" s="5" t="n">
        <v>1</v>
      </c>
      <c r="C726" s="6" t="n">
        <v>-1.241254722473026</v>
      </c>
      <c r="D726" s="6" t="n">
        <v>-0.9858912789659368</v>
      </c>
      <c r="E726" s="6" t="n">
        <v>-1.003668658855008</v>
      </c>
      <c r="F726" s="6" t="n">
        <v>0.9185437189662378</v>
      </c>
      <c r="G726" s="5" t="n">
        <v>0</v>
      </c>
      <c r="H726" s="5" t="n">
        <v>1</v>
      </c>
      <c r="I726" s="5" t="n">
        <v>0</v>
      </c>
      <c r="J726" s="5" t="n">
        <v>0</v>
      </c>
      <c r="K726" s="5" t="n">
        <v>0</v>
      </c>
      <c r="L726" s="5" t="n">
        <v>1</v>
      </c>
      <c r="M726" s="5" t="n">
        <v>0</v>
      </c>
      <c r="N726" s="5" t="n">
        <v>1</v>
      </c>
      <c r="O726" s="5" t="n">
        <v>0</v>
      </c>
      <c r="P726" s="5" t="n">
        <v>1</v>
      </c>
      <c r="Q726" s="5" t="n">
        <v>0</v>
      </c>
      <c r="R726" s="5" t="n">
        <v>0</v>
      </c>
      <c r="S726" s="5" t="n">
        <v>0</v>
      </c>
      <c r="T726" s="5" t="n">
        <v>0</v>
      </c>
      <c r="U726" s="5" t="inlineStr">
        <is>
          <t>testing</t>
        </is>
      </c>
    </row>
    <row r="727">
      <c r="A727" s="5" t="n">
        <v>723</v>
      </c>
      <c r="B727" s="5" t="n">
        <v>1</v>
      </c>
      <c r="C727" s="6" t="n">
        <v>-0.7357010147163632</v>
      </c>
      <c r="D727" s="6" t="n">
        <v>-0.7077265492528815</v>
      </c>
      <c r="E727" s="6" t="n">
        <v>-1.003668658855008</v>
      </c>
      <c r="F727" s="6" t="n">
        <v>0.9185437189662378</v>
      </c>
      <c r="G727" s="5" t="n">
        <v>1</v>
      </c>
      <c r="H727" s="5" t="n">
        <v>0</v>
      </c>
      <c r="I727" s="5" t="n">
        <v>0</v>
      </c>
      <c r="J727" s="5" t="n">
        <v>0</v>
      </c>
      <c r="K727" s="5" t="n">
        <v>0</v>
      </c>
      <c r="L727" s="5" t="n">
        <v>0</v>
      </c>
      <c r="M727" s="5" t="n">
        <v>0</v>
      </c>
      <c r="N727" s="5" t="n">
        <v>0</v>
      </c>
      <c r="O727" s="5" t="n">
        <v>0</v>
      </c>
      <c r="P727" s="5" t="n">
        <v>0</v>
      </c>
      <c r="Q727" s="5" t="n">
        <v>0</v>
      </c>
      <c r="R727" s="5" t="n">
        <v>1</v>
      </c>
      <c r="S727" s="5" t="n">
        <v>0</v>
      </c>
      <c r="T727" s="5" t="n">
        <v>0</v>
      </c>
      <c r="U727" s="5" t="inlineStr">
        <is>
          <t>training</t>
        </is>
      </c>
    </row>
    <row r="728">
      <c r="A728" s="5" t="n">
        <v>724</v>
      </c>
      <c r="B728" s="5" t="n">
        <v>0</v>
      </c>
      <c r="C728" s="6" t="n">
        <v>-0.9884778685946948</v>
      </c>
      <c r="D728" s="6" t="n">
        <v>-0.8609795701513949</v>
      </c>
      <c r="E728" s="6" t="n">
        <v>2.649198210461313</v>
      </c>
      <c r="F728" s="6" t="n">
        <v>0.9185437189662378</v>
      </c>
      <c r="G728" s="5" t="n">
        <v>0</v>
      </c>
      <c r="H728" s="5" t="n">
        <v>1</v>
      </c>
      <c r="I728" s="5" t="n">
        <v>0</v>
      </c>
      <c r="J728" s="5" t="n">
        <v>0</v>
      </c>
      <c r="K728" s="5" t="n">
        <v>0</v>
      </c>
      <c r="L728" s="5" t="n">
        <v>0</v>
      </c>
      <c r="M728" s="5" t="n">
        <v>1</v>
      </c>
      <c r="N728" s="5" t="n">
        <v>0</v>
      </c>
      <c r="O728" s="5" t="n">
        <v>0</v>
      </c>
      <c r="P728" s="5" t="n">
        <v>0</v>
      </c>
      <c r="Q728" s="5" t="n">
        <v>0</v>
      </c>
      <c r="R728" s="5" t="n">
        <v>0</v>
      </c>
      <c r="S728" s="5" t="n">
        <v>1</v>
      </c>
      <c r="T728" s="5" t="n">
        <v>0</v>
      </c>
      <c r="U728" s="5" t="inlineStr">
        <is>
          <t>training</t>
        </is>
      </c>
    </row>
    <row r="729">
      <c r="A729" s="5" t="n">
        <v>725</v>
      </c>
      <c r="B729" s="5" t="n">
        <v>1</v>
      </c>
      <c r="C729" s="6" t="n">
        <v>0.5281832546752946</v>
      </c>
      <c r="D729" s="6" t="n">
        <v>-0.2381704897875732</v>
      </c>
      <c r="E729" s="6" t="n">
        <v>-1.264587720949031</v>
      </c>
      <c r="F729" s="6" t="n">
        <v>0.01674764143977723</v>
      </c>
      <c r="G729" s="5" t="n">
        <v>0</v>
      </c>
      <c r="H729" s="5" t="n">
        <v>0</v>
      </c>
      <c r="I729" s="5" t="n">
        <v>0</v>
      </c>
      <c r="J729" s="5" t="n">
        <v>0</v>
      </c>
      <c r="K729" s="5" t="n">
        <v>0</v>
      </c>
      <c r="L729" s="5" t="n">
        <v>0</v>
      </c>
      <c r="M729" s="5" t="n">
        <v>0</v>
      </c>
      <c r="N729" s="5" t="n">
        <v>0</v>
      </c>
      <c r="O729" s="5" t="n">
        <v>0</v>
      </c>
      <c r="P729" s="5" t="n">
        <v>1</v>
      </c>
      <c r="Q729" s="5" t="n">
        <v>0</v>
      </c>
      <c r="R729" s="5" t="n">
        <v>1</v>
      </c>
      <c r="S729" s="5" t="n">
        <v>0</v>
      </c>
      <c r="T729" s="5" t="n">
        <v>0</v>
      </c>
      <c r="U729" s="5" t="inlineStr">
        <is>
          <t>training</t>
        </is>
      </c>
    </row>
    <row r="730">
      <c r="A730" s="5" t="n">
        <v>726</v>
      </c>
      <c r="B730" s="5" t="n">
        <v>0</v>
      </c>
      <c r="C730" s="6" t="n">
        <v>-1.241254722473026</v>
      </c>
      <c r="D730" s="6" t="n">
        <v>-1.049921650711206</v>
      </c>
      <c r="E730" s="6" t="n">
        <v>0.4748726930111218</v>
      </c>
      <c r="F730" s="6" t="n">
        <v>-0.8850484360866833</v>
      </c>
      <c r="G730" s="5" t="n">
        <v>0</v>
      </c>
      <c r="H730" s="5" t="n">
        <v>0</v>
      </c>
      <c r="I730" s="5" t="n">
        <v>0</v>
      </c>
      <c r="J730" s="5" t="n">
        <v>1</v>
      </c>
      <c r="K730" s="5" t="n">
        <v>0</v>
      </c>
      <c r="L730" s="5" t="n">
        <v>0</v>
      </c>
      <c r="M730" s="5" t="n">
        <v>0</v>
      </c>
      <c r="N730" s="5" t="n">
        <v>1</v>
      </c>
      <c r="O730" s="5" t="n">
        <v>0</v>
      </c>
      <c r="P730" s="5" t="n">
        <v>0</v>
      </c>
      <c r="Q730" s="5" t="n">
        <v>0</v>
      </c>
      <c r="R730" s="5" t="n">
        <v>1</v>
      </c>
      <c r="S730" s="5" t="n">
        <v>0</v>
      </c>
      <c r="T730" s="5" t="n">
        <v>0</v>
      </c>
      <c r="U730" s="5" t="inlineStr">
        <is>
          <t>training</t>
        </is>
      </c>
    </row>
    <row r="731">
      <c r="A731" s="5" t="n">
        <v>727</v>
      </c>
      <c r="B731" s="5" t="n">
        <v>0</v>
      </c>
      <c r="C731" s="6" t="n">
        <v>-0.4829241608380317</v>
      </c>
      <c r="D731" s="6" t="n">
        <v>-0.6769359879764679</v>
      </c>
      <c r="E731" s="6" t="n">
        <v>0.9967108171991675</v>
      </c>
      <c r="F731" s="6" t="n">
        <v>-0.8850484360866833</v>
      </c>
      <c r="G731" s="5" t="n">
        <v>0</v>
      </c>
      <c r="H731" s="5" t="n">
        <v>0</v>
      </c>
      <c r="I731" s="5" t="n">
        <v>0</v>
      </c>
      <c r="J731" s="5" t="n">
        <v>1</v>
      </c>
      <c r="K731" s="5" t="n">
        <v>0</v>
      </c>
      <c r="L731" s="5" t="n">
        <v>0</v>
      </c>
      <c r="M731" s="5" t="n">
        <v>1</v>
      </c>
      <c r="N731" s="5" t="n">
        <v>0</v>
      </c>
      <c r="O731" s="5" t="n">
        <v>0</v>
      </c>
      <c r="P731" s="5" t="n">
        <v>0</v>
      </c>
      <c r="Q731" s="5" t="n">
        <v>0</v>
      </c>
      <c r="R731" s="5" t="n">
        <v>0</v>
      </c>
      <c r="S731" s="5" t="n">
        <v>1</v>
      </c>
      <c r="T731" s="5" t="n">
        <v>0</v>
      </c>
      <c r="U731" s="5" t="inlineStr">
        <is>
          <t>training</t>
        </is>
      </c>
    </row>
    <row r="732">
      <c r="A732" s="5" t="n">
        <v>728</v>
      </c>
      <c r="B732" s="5" t="n">
        <v>1</v>
      </c>
      <c r="C732" s="6" t="n">
        <v>-0.2301473069597001</v>
      </c>
      <c r="D732" s="6" t="n">
        <v>-0.4788966961304437</v>
      </c>
      <c r="E732" s="6" t="n">
        <v>-0.9166956381570004</v>
      </c>
      <c r="F732" s="6" t="n">
        <v>0.9185437189662378</v>
      </c>
      <c r="G732" s="5" t="n">
        <v>1</v>
      </c>
      <c r="H732" s="5" t="n">
        <v>0</v>
      </c>
      <c r="I732" s="5" t="n">
        <v>0</v>
      </c>
      <c r="J732" s="5" t="n">
        <v>0</v>
      </c>
      <c r="K732" s="5" t="n">
        <v>0</v>
      </c>
      <c r="L732" s="5" t="n">
        <v>0</v>
      </c>
      <c r="M732" s="5" t="n">
        <v>0</v>
      </c>
      <c r="N732" s="5" t="n">
        <v>0</v>
      </c>
      <c r="O732" s="5" t="n">
        <v>0</v>
      </c>
      <c r="P732" s="5" t="n">
        <v>1</v>
      </c>
      <c r="Q732" s="5" t="n">
        <v>0</v>
      </c>
      <c r="R732" s="5" t="n">
        <v>0</v>
      </c>
      <c r="S732" s="5" t="n">
        <v>1</v>
      </c>
      <c r="T732" s="5" t="n">
        <v>0</v>
      </c>
      <c r="U732" s="5" t="inlineStr">
        <is>
          <t>training</t>
        </is>
      </c>
    </row>
    <row r="733">
      <c r="A733" s="5" t="n">
        <v>729</v>
      </c>
      <c r="B733" s="5" t="n">
        <v>1</v>
      </c>
      <c r="C733" s="6" t="n">
        <v>2.297621231823615</v>
      </c>
      <c r="D733" s="6" t="n">
        <v>1.107516995088415</v>
      </c>
      <c r="E733" s="6" t="n">
        <v>2.040387065575259</v>
      </c>
      <c r="F733" s="6" t="n">
        <v>0.9185437189662378</v>
      </c>
      <c r="G733" s="5" t="n">
        <v>0</v>
      </c>
      <c r="H733" s="5" t="n">
        <v>1</v>
      </c>
      <c r="I733" s="5" t="n">
        <v>0</v>
      </c>
      <c r="J733" s="5" t="n">
        <v>0</v>
      </c>
      <c r="K733" s="5" t="n">
        <v>0</v>
      </c>
      <c r="L733" s="5" t="n">
        <v>1</v>
      </c>
      <c r="M733" s="5" t="n">
        <v>0</v>
      </c>
      <c r="N733" s="5" t="n">
        <v>0</v>
      </c>
      <c r="O733" s="5" t="n">
        <v>0</v>
      </c>
      <c r="P733" s="5" t="n">
        <v>1</v>
      </c>
      <c r="Q733" s="5" t="n">
        <v>0</v>
      </c>
      <c r="R733" s="5" t="n">
        <v>0</v>
      </c>
      <c r="S733" s="5" t="n">
        <v>0</v>
      </c>
      <c r="T733" s="5" t="n">
        <v>0</v>
      </c>
      <c r="U733" s="5" t="inlineStr">
        <is>
          <t>testing</t>
        </is>
      </c>
    </row>
    <row r="734">
      <c r="A734" s="5" t="n">
        <v>730</v>
      </c>
      <c r="B734" s="5" t="n">
        <v>0</v>
      </c>
      <c r="C734" s="6" t="n">
        <v>0.275406400796963</v>
      </c>
      <c r="D734" s="6" t="n">
        <v>-0.6912815903893424</v>
      </c>
      <c r="E734" s="6" t="n">
        <v>0.04000758952108359</v>
      </c>
      <c r="F734" s="6" t="n">
        <v>-0.8850484360866833</v>
      </c>
      <c r="G734" s="5" t="n">
        <v>0</v>
      </c>
      <c r="H734" s="5" t="n">
        <v>0</v>
      </c>
      <c r="I734" s="5" t="n">
        <v>1</v>
      </c>
      <c r="J734" s="5" t="n">
        <v>1</v>
      </c>
      <c r="K734" s="5" t="n">
        <v>0</v>
      </c>
      <c r="L734" s="5" t="n">
        <v>0</v>
      </c>
      <c r="M734" s="5" t="n">
        <v>0</v>
      </c>
      <c r="N734" s="5" t="n">
        <v>1</v>
      </c>
      <c r="O734" s="5" t="n">
        <v>0</v>
      </c>
      <c r="P734" s="5" t="n">
        <v>0</v>
      </c>
      <c r="Q734" s="5" t="n">
        <v>0</v>
      </c>
      <c r="R734" s="5" t="n">
        <v>0</v>
      </c>
      <c r="S734" s="5" t="n">
        <v>0</v>
      </c>
      <c r="T734" s="5" t="n">
        <v>0</v>
      </c>
      <c r="U734" s="5" t="inlineStr">
        <is>
          <t>training</t>
        </is>
      </c>
    </row>
    <row r="735">
      <c r="A735" s="5" t="n">
        <v>731</v>
      </c>
      <c r="B735" s="5" t="n">
        <v>0</v>
      </c>
      <c r="C735" s="6" t="n">
        <v>0.275406400796963</v>
      </c>
      <c r="D735" s="6" t="n">
        <v>1.102968389445308</v>
      </c>
      <c r="E735" s="6" t="n">
        <v>-0.2209114725729393</v>
      </c>
      <c r="F735" s="6" t="n">
        <v>-1.786844513613144</v>
      </c>
      <c r="G735" s="5" t="n">
        <v>0</v>
      </c>
      <c r="H735" s="5" t="n">
        <v>1</v>
      </c>
      <c r="I735" s="5" t="n">
        <v>0</v>
      </c>
      <c r="J735" s="5" t="n">
        <v>0</v>
      </c>
      <c r="K735" s="5" t="n">
        <v>1</v>
      </c>
      <c r="L735" s="5" t="n">
        <v>0</v>
      </c>
      <c r="M735" s="5" t="n">
        <v>0</v>
      </c>
      <c r="N735" s="5" t="n">
        <v>0</v>
      </c>
      <c r="O735" s="5" t="n">
        <v>0</v>
      </c>
      <c r="P735" s="5" t="n">
        <v>0</v>
      </c>
      <c r="Q735" s="5" t="n">
        <v>0</v>
      </c>
      <c r="R735" s="5" t="n">
        <v>0</v>
      </c>
      <c r="S735" s="5" t="n">
        <v>1</v>
      </c>
      <c r="T735" s="5" t="n">
        <v>0</v>
      </c>
      <c r="U735" s="5" t="inlineStr">
        <is>
          <t>training</t>
        </is>
      </c>
    </row>
    <row r="736">
      <c r="A736" s="5" t="n">
        <v>732</v>
      </c>
      <c r="B736" s="5" t="n">
        <v>1</v>
      </c>
      <c r="C736" s="6" t="n">
        <v>0.275406400796963</v>
      </c>
      <c r="D736" s="6" t="n">
        <v>-0.4421579582438137</v>
      </c>
      <c r="E736" s="6" t="n">
        <v>-1.264587720949031</v>
      </c>
      <c r="F736" s="6" t="n">
        <v>-0.8850484360866833</v>
      </c>
      <c r="G736" s="5" t="n">
        <v>1</v>
      </c>
      <c r="H736" s="5" t="n">
        <v>0</v>
      </c>
      <c r="I736" s="5" t="n">
        <v>0</v>
      </c>
      <c r="J736" s="5" t="n">
        <v>0</v>
      </c>
      <c r="K736" s="5" t="n">
        <v>0</v>
      </c>
      <c r="L736" s="5" t="n">
        <v>0</v>
      </c>
      <c r="M736" s="5" t="n">
        <v>0</v>
      </c>
      <c r="N736" s="5" t="n">
        <v>0</v>
      </c>
      <c r="O736" s="5" t="n">
        <v>0</v>
      </c>
      <c r="P736" s="5" t="n">
        <v>1</v>
      </c>
      <c r="Q736" s="5" t="n">
        <v>0</v>
      </c>
      <c r="R736" s="5" t="n">
        <v>0</v>
      </c>
      <c r="S736" s="5" t="n">
        <v>1</v>
      </c>
      <c r="T736" s="5" t="n">
        <v>0</v>
      </c>
      <c r="U736" s="5" t="inlineStr">
        <is>
          <t>testing</t>
        </is>
      </c>
    </row>
    <row r="737">
      <c r="A737" s="5" t="n">
        <v>733</v>
      </c>
      <c r="B737" s="5" t="n">
        <v>0</v>
      </c>
      <c r="C737" s="6" t="n">
        <v>-1.072736819887472</v>
      </c>
      <c r="D737" s="6" t="n">
        <v>-0.8714763524047178</v>
      </c>
      <c r="E737" s="6" t="n">
        <v>0.7357917551051447</v>
      </c>
      <c r="F737" s="6" t="n">
        <v>0.9185437189662378</v>
      </c>
      <c r="G737" s="5" t="n">
        <v>0</v>
      </c>
      <c r="H737" s="5" t="n">
        <v>1</v>
      </c>
      <c r="I737" s="5" t="n">
        <v>0</v>
      </c>
      <c r="J737" s="5" t="n">
        <v>0</v>
      </c>
      <c r="K737" s="5" t="n">
        <v>0</v>
      </c>
      <c r="L737" s="5" t="n">
        <v>0</v>
      </c>
      <c r="M737" s="5" t="n">
        <v>0</v>
      </c>
      <c r="N737" s="5" t="n">
        <v>0</v>
      </c>
      <c r="O737" s="5" t="n">
        <v>0</v>
      </c>
      <c r="P737" s="5" t="n">
        <v>0</v>
      </c>
      <c r="Q737" s="5" t="n">
        <v>0</v>
      </c>
      <c r="R737" s="5" t="n">
        <v>0</v>
      </c>
      <c r="S737" s="5" t="n">
        <v>1</v>
      </c>
      <c r="T737" s="5" t="n">
        <v>0</v>
      </c>
      <c r="U737" s="5" t="inlineStr">
        <is>
          <t>training</t>
        </is>
      </c>
    </row>
    <row r="738">
      <c r="A738" s="5" t="n">
        <v>734</v>
      </c>
      <c r="B738" s="5" t="n">
        <v>0</v>
      </c>
      <c r="C738" s="6" t="n">
        <v>0.275406400796963</v>
      </c>
      <c r="D738" s="6" t="n">
        <v>-0.2266240293089181</v>
      </c>
      <c r="E738" s="6" t="n">
        <v>-0.6557765760629775</v>
      </c>
      <c r="F738" s="6" t="n">
        <v>-0.8850484360866833</v>
      </c>
      <c r="G738" s="5" t="n">
        <v>0</v>
      </c>
      <c r="H738" s="5" t="n">
        <v>0</v>
      </c>
      <c r="I738" s="5" t="n">
        <v>0</v>
      </c>
      <c r="J738" s="5" t="n">
        <v>0</v>
      </c>
      <c r="K738" s="5" t="n">
        <v>0</v>
      </c>
      <c r="L738" s="5" t="n">
        <v>0</v>
      </c>
      <c r="M738" s="5" t="n">
        <v>0</v>
      </c>
      <c r="N738" s="5" t="n">
        <v>1</v>
      </c>
      <c r="O738" s="5" t="n">
        <v>0</v>
      </c>
      <c r="P738" s="5" t="n">
        <v>1</v>
      </c>
      <c r="Q738" s="5" t="n">
        <v>0</v>
      </c>
      <c r="R738" s="5" t="n">
        <v>1</v>
      </c>
      <c r="S738" s="5" t="n">
        <v>0</v>
      </c>
      <c r="T738" s="5" t="n">
        <v>0</v>
      </c>
      <c r="U738" s="5" t="inlineStr">
        <is>
          <t>testing</t>
        </is>
      </c>
    </row>
    <row r="739">
      <c r="A739" s="5" t="n">
        <v>735</v>
      </c>
      <c r="B739" s="5" t="n">
        <v>0</v>
      </c>
      <c r="C739" s="6" t="n">
        <v>-1.409772625058581</v>
      </c>
      <c r="D739" s="6" t="n">
        <v>0.04524263105214341</v>
      </c>
      <c r="E739" s="6" t="n">
        <v>0.1269806102190912</v>
      </c>
      <c r="F739" s="6" t="n">
        <v>-1.786844513613144</v>
      </c>
      <c r="G739" s="5" t="n">
        <v>0</v>
      </c>
      <c r="H739" s="5" t="n">
        <v>0</v>
      </c>
      <c r="I739" s="5" t="n">
        <v>0</v>
      </c>
      <c r="J739" s="5" t="n">
        <v>1</v>
      </c>
      <c r="K739" s="5" t="n">
        <v>0</v>
      </c>
      <c r="L739" s="5" t="n">
        <v>0</v>
      </c>
      <c r="M739" s="5" t="n">
        <v>0</v>
      </c>
      <c r="N739" s="5" t="n">
        <v>0</v>
      </c>
      <c r="O739" s="5" t="n">
        <v>0</v>
      </c>
      <c r="P739" s="5" t="n">
        <v>0</v>
      </c>
      <c r="Q739" s="5" t="n">
        <v>0</v>
      </c>
      <c r="R739" s="5" t="n">
        <v>1</v>
      </c>
      <c r="S739" s="5" t="n">
        <v>0</v>
      </c>
      <c r="T739" s="5" t="n">
        <v>0</v>
      </c>
      <c r="U739" s="5" t="inlineStr">
        <is>
          <t>testing</t>
        </is>
      </c>
    </row>
    <row r="740">
      <c r="A740" s="5" t="n">
        <v>736</v>
      </c>
      <c r="B740" s="5" t="n">
        <v>0</v>
      </c>
      <c r="C740" s="6" t="n">
        <v>1.286513816310289</v>
      </c>
      <c r="D740" s="6" t="n">
        <v>0.2586772035363745</v>
      </c>
      <c r="E740" s="6" t="n">
        <v>-0.5688035553649698</v>
      </c>
      <c r="F740" s="6" t="n">
        <v>0.01674764143977723</v>
      </c>
      <c r="G740" s="5" t="n">
        <v>0</v>
      </c>
      <c r="H740" s="5" t="n">
        <v>1</v>
      </c>
      <c r="I740" s="5" t="n">
        <v>0</v>
      </c>
      <c r="J740" s="5" t="n">
        <v>0</v>
      </c>
      <c r="K740" s="5" t="n">
        <v>0</v>
      </c>
      <c r="L740" s="5" t="n">
        <v>1</v>
      </c>
      <c r="M740" s="5" t="n">
        <v>0</v>
      </c>
      <c r="N740" s="5" t="n">
        <v>0</v>
      </c>
      <c r="O740" s="5" t="n">
        <v>1</v>
      </c>
      <c r="P740" s="5" t="n">
        <v>0</v>
      </c>
      <c r="Q740" s="5" t="n">
        <v>0</v>
      </c>
      <c r="R740" s="5" t="n">
        <v>0</v>
      </c>
      <c r="S740" s="5" t="n">
        <v>0</v>
      </c>
      <c r="T740" s="5" t="n">
        <v>0</v>
      </c>
      <c r="U740" s="5" t="inlineStr">
        <is>
          <t>training</t>
        </is>
      </c>
    </row>
    <row r="741">
      <c r="A741" s="5" t="n">
        <v>737</v>
      </c>
      <c r="B741" s="5" t="n">
        <v>1</v>
      </c>
      <c r="C741" s="6" t="n">
        <v>0.275406400796963</v>
      </c>
      <c r="D741" s="6" t="n">
        <v>2.907365258791504</v>
      </c>
      <c r="E741" s="6" t="n">
        <v>-1.090641679553016</v>
      </c>
      <c r="F741" s="6" t="n">
        <v>-1.786844513613144</v>
      </c>
      <c r="G741" s="5" t="n">
        <v>0</v>
      </c>
      <c r="H741" s="5" t="n">
        <v>1</v>
      </c>
      <c r="I741" s="5" t="n">
        <v>0</v>
      </c>
      <c r="J741" s="5" t="n">
        <v>0</v>
      </c>
      <c r="K741" s="5" t="n">
        <v>0</v>
      </c>
      <c r="L741" s="5" t="n">
        <v>0</v>
      </c>
      <c r="M741" s="5" t="n">
        <v>0</v>
      </c>
      <c r="N741" s="5" t="n">
        <v>0</v>
      </c>
      <c r="O741" s="5" t="n">
        <v>0</v>
      </c>
      <c r="P741" s="5" t="n">
        <v>1</v>
      </c>
      <c r="Q741" s="5" t="n">
        <v>0</v>
      </c>
      <c r="R741" s="5" t="n">
        <v>1</v>
      </c>
      <c r="S741" s="5" t="n">
        <v>0</v>
      </c>
      <c r="T741" s="5" t="n">
        <v>0</v>
      </c>
      <c r="U741" s="5" t="inlineStr">
        <is>
          <t>testing</t>
        </is>
      </c>
    </row>
    <row r="742">
      <c r="A742" s="5" t="n">
        <v>738</v>
      </c>
      <c r="B742" s="5" t="n">
        <v>0</v>
      </c>
      <c r="C742" s="6" t="n">
        <v>-0.2301473069597001</v>
      </c>
      <c r="D742" s="6" t="n">
        <v>0.3951353728295713</v>
      </c>
      <c r="E742" s="6" t="n">
        <v>-0.04696543117692405</v>
      </c>
      <c r="F742" s="6" t="n">
        <v>0.01674764143977723</v>
      </c>
      <c r="G742" s="5" t="n">
        <v>1</v>
      </c>
      <c r="H742" s="5" t="n">
        <v>0</v>
      </c>
      <c r="I742" s="5" t="n">
        <v>0</v>
      </c>
      <c r="J742" s="5" t="n">
        <v>0</v>
      </c>
      <c r="K742" s="5" t="n">
        <v>0</v>
      </c>
      <c r="L742" s="5" t="n">
        <v>0</v>
      </c>
      <c r="M742" s="5" t="n">
        <v>1</v>
      </c>
      <c r="N742" s="5" t="n">
        <v>0</v>
      </c>
      <c r="O742" s="5" t="n">
        <v>0</v>
      </c>
      <c r="P742" s="5" t="n">
        <v>0</v>
      </c>
      <c r="Q742" s="5" t="n">
        <v>0</v>
      </c>
      <c r="R742" s="5" t="n">
        <v>1</v>
      </c>
      <c r="S742" s="5" t="n">
        <v>0</v>
      </c>
      <c r="T742" s="5" t="n">
        <v>0</v>
      </c>
      <c r="U742" s="5" t="inlineStr">
        <is>
          <t>testing</t>
        </is>
      </c>
    </row>
    <row r="743">
      <c r="A743" s="5" t="n">
        <v>739</v>
      </c>
      <c r="B743" s="5" t="n">
        <v>0</v>
      </c>
      <c r="C743" s="6" t="n">
        <v>-1.241254722473026</v>
      </c>
      <c r="D743" s="6" t="n">
        <v>1.228229991001627</v>
      </c>
      <c r="E743" s="6" t="n">
        <v>0.8227647758031523</v>
      </c>
      <c r="F743" s="6" t="n">
        <v>-1.786844513613144</v>
      </c>
      <c r="G743" s="5" t="n">
        <v>0</v>
      </c>
      <c r="H743" s="5" t="n">
        <v>0</v>
      </c>
      <c r="I743" s="5" t="n">
        <v>0</v>
      </c>
      <c r="J743" s="5" t="n">
        <v>1</v>
      </c>
      <c r="K743" s="5" t="n">
        <v>0</v>
      </c>
      <c r="L743" s="5" t="n">
        <v>0</v>
      </c>
      <c r="M743" s="5" t="n">
        <v>0</v>
      </c>
      <c r="N743" s="5" t="n">
        <v>0</v>
      </c>
      <c r="O743" s="5" t="n">
        <v>0</v>
      </c>
      <c r="P743" s="5" t="n">
        <v>0</v>
      </c>
      <c r="Q743" s="5" t="n">
        <v>0</v>
      </c>
      <c r="R743" s="5" t="n">
        <v>1</v>
      </c>
      <c r="S743" s="5" t="n">
        <v>0</v>
      </c>
      <c r="T743" s="5" t="n">
        <v>0</v>
      </c>
      <c r="U743" s="5" t="inlineStr">
        <is>
          <t>training</t>
        </is>
      </c>
    </row>
    <row r="744">
      <c r="A744" s="5" t="n">
        <v>740</v>
      </c>
      <c r="B744" s="5" t="n">
        <v>1</v>
      </c>
      <c r="C744" s="6" t="n">
        <v>0.7809601085536261</v>
      </c>
      <c r="D744" s="6" t="n">
        <v>0.3601460986518286</v>
      </c>
      <c r="E744" s="6" t="n">
        <v>-0.8297226174589928</v>
      </c>
      <c r="F744" s="6" t="n">
        <v>0.9185437189662378</v>
      </c>
      <c r="G744" s="5" t="n">
        <v>0</v>
      </c>
      <c r="H744" s="5" t="n">
        <v>1</v>
      </c>
      <c r="I744" s="5" t="n">
        <v>0</v>
      </c>
      <c r="J744" s="5" t="n">
        <v>0</v>
      </c>
      <c r="K744" s="5" t="n">
        <v>0</v>
      </c>
      <c r="L744" s="5" t="n">
        <v>1</v>
      </c>
      <c r="M744" s="5" t="n">
        <v>1</v>
      </c>
      <c r="N744" s="5" t="n">
        <v>0</v>
      </c>
      <c r="O744" s="5" t="n">
        <v>0</v>
      </c>
      <c r="P744" s="5" t="n">
        <v>1</v>
      </c>
      <c r="Q744" s="5" t="n">
        <v>0</v>
      </c>
      <c r="R744" s="5" t="n">
        <v>0</v>
      </c>
      <c r="S744" s="5" t="n">
        <v>0</v>
      </c>
      <c r="T744" s="5" t="n">
        <v>0</v>
      </c>
      <c r="U744" s="5" t="inlineStr">
        <is>
          <t>training</t>
        </is>
      </c>
    </row>
    <row r="745">
      <c r="A745" s="5" t="n">
        <v>741</v>
      </c>
      <c r="B745" s="5" t="n">
        <v>0</v>
      </c>
      <c r="C745" s="6" t="n">
        <v>0.275406400796963</v>
      </c>
      <c r="D745" s="6" t="n">
        <v>-0.3238942115230431</v>
      </c>
      <c r="E745" s="6" t="n">
        <v>-0.307884493270947</v>
      </c>
      <c r="F745" s="6" t="n">
        <v>-0.8850484360866833</v>
      </c>
      <c r="G745" s="5" t="n">
        <v>1</v>
      </c>
      <c r="H745" s="5" t="n">
        <v>0</v>
      </c>
      <c r="I745" s="5" t="n">
        <v>0</v>
      </c>
      <c r="J745" s="5" t="n">
        <v>0</v>
      </c>
      <c r="K745" s="5" t="n">
        <v>0</v>
      </c>
      <c r="L745" s="5" t="n">
        <v>1</v>
      </c>
      <c r="M745" s="5" t="n">
        <v>1</v>
      </c>
      <c r="N745" s="5" t="n">
        <v>0</v>
      </c>
      <c r="O745" s="5" t="n">
        <v>0</v>
      </c>
      <c r="P745" s="5" t="n">
        <v>0</v>
      </c>
      <c r="Q745" s="5" t="n">
        <v>0</v>
      </c>
      <c r="R745" s="5" t="n">
        <v>1</v>
      </c>
      <c r="S745" s="5" t="n">
        <v>0</v>
      </c>
      <c r="T745" s="5" t="n">
        <v>0</v>
      </c>
      <c r="U745" s="5" t="inlineStr">
        <is>
          <t>training</t>
        </is>
      </c>
    </row>
    <row r="746">
      <c r="A746" s="5" t="n">
        <v>742</v>
      </c>
      <c r="B746" s="5" t="n">
        <v>0</v>
      </c>
      <c r="C746" s="6" t="n">
        <v>-0.9042189173019176</v>
      </c>
      <c r="D746" s="6" t="n">
        <v>-0.7707072427728185</v>
      </c>
      <c r="E746" s="6" t="n">
        <v>-1.090641679553016</v>
      </c>
      <c r="F746" s="6" t="n">
        <v>0.9185437189662378</v>
      </c>
      <c r="G746" s="5" t="n">
        <v>0</v>
      </c>
      <c r="H746" s="5" t="n">
        <v>1</v>
      </c>
      <c r="I746" s="5" t="n">
        <v>0</v>
      </c>
      <c r="J746" s="5" t="n">
        <v>0</v>
      </c>
      <c r="K746" s="5" t="n">
        <v>0</v>
      </c>
      <c r="L746" s="5" t="n">
        <v>1</v>
      </c>
      <c r="M746" s="5" t="n">
        <v>0</v>
      </c>
      <c r="N746" s="5" t="n">
        <v>0</v>
      </c>
      <c r="O746" s="5" t="n">
        <v>0</v>
      </c>
      <c r="P746" s="5" t="n">
        <v>0</v>
      </c>
      <c r="Q746" s="5" t="n">
        <v>0</v>
      </c>
      <c r="R746" s="5" t="n">
        <v>0</v>
      </c>
      <c r="S746" s="5" t="n">
        <v>1</v>
      </c>
      <c r="T746" s="5" t="n">
        <v>0</v>
      </c>
      <c r="U746" s="5" t="inlineStr">
        <is>
          <t>testing</t>
        </is>
      </c>
    </row>
    <row r="747">
      <c r="A747" s="5" t="n">
        <v>743</v>
      </c>
      <c r="B747" s="5" t="n">
        <v>0</v>
      </c>
      <c r="C747" s="6" t="n">
        <v>0.02262954691863145</v>
      </c>
      <c r="D747" s="6" t="n">
        <v>-0.03173377213889074</v>
      </c>
      <c r="E747" s="6" t="n">
        <v>0.4748726930111218</v>
      </c>
      <c r="F747" s="6" t="n">
        <v>0.9185437189662378</v>
      </c>
      <c r="G747" s="5" t="n">
        <v>0</v>
      </c>
      <c r="H747" s="5" t="n">
        <v>0</v>
      </c>
      <c r="I747" s="5" t="n">
        <v>0</v>
      </c>
      <c r="J747" s="5" t="n">
        <v>0</v>
      </c>
      <c r="K747" s="5" t="n">
        <v>0</v>
      </c>
      <c r="L747" s="5" t="n">
        <v>0</v>
      </c>
      <c r="M747" s="5" t="n">
        <v>0</v>
      </c>
      <c r="N747" s="5" t="n">
        <v>0</v>
      </c>
      <c r="O747" s="5" t="n">
        <v>1</v>
      </c>
      <c r="P747" s="5" t="n">
        <v>0</v>
      </c>
      <c r="Q747" s="5" t="n">
        <v>0</v>
      </c>
      <c r="R747" s="5" t="n">
        <v>0</v>
      </c>
      <c r="S747" s="5" t="n">
        <v>1</v>
      </c>
      <c r="T747" s="5" t="n">
        <v>0</v>
      </c>
      <c r="U747" s="5" t="inlineStr">
        <is>
          <t>testing</t>
        </is>
      </c>
    </row>
    <row r="748">
      <c r="A748" s="5" t="n">
        <v>744</v>
      </c>
      <c r="B748" s="5" t="n">
        <v>0</v>
      </c>
      <c r="C748" s="6" t="n">
        <v>0.275406400796963</v>
      </c>
      <c r="D748" s="6" t="n">
        <v>-0.2686111583222094</v>
      </c>
      <c r="E748" s="6" t="n">
        <v>-1.177614700251023</v>
      </c>
      <c r="F748" s="6" t="n">
        <v>0.9185437189662378</v>
      </c>
      <c r="G748" s="5" t="n">
        <v>1</v>
      </c>
      <c r="H748" s="5" t="n">
        <v>0</v>
      </c>
      <c r="I748" s="5" t="n">
        <v>0</v>
      </c>
      <c r="J748" s="5" t="n">
        <v>0</v>
      </c>
      <c r="K748" s="5" t="n">
        <v>0</v>
      </c>
      <c r="L748" s="5" t="n">
        <v>1</v>
      </c>
      <c r="M748" s="5" t="n">
        <v>1</v>
      </c>
      <c r="N748" s="5" t="n">
        <v>0</v>
      </c>
      <c r="O748" s="5" t="n">
        <v>0</v>
      </c>
      <c r="P748" s="5" t="n">
        <v>0</v>
      </c>
      <c r="Q748" s="5" t="n">
        <v>0</v>
      </c>
      <c r="R748" s="5" t="n">
        <v>0</v>
      </c>
      <c r="S748" s="5" t="n">
        <v>0</v>
      </c>
      <c r="T748" s="5" t="n">
        <v>1</v>
      </c>
      <c r="U748" s="5" t="inlineStr">
        <is>
          <t>training</t>
        </is>
      </c>
    </row>
    <row r="749">
      <c r="A749" s="5" t="n">
        <v>745</v>
      </c>
      <c r="B749" s="5" t="n">
        <v>0</v>
      </c>
      <c r="C749" s="6" t="n">
        <v>1.539290670188621</v>
      </c>
      <c r="D749" s="6" t="n">
        <v>3.823734349506588</v>
      </c>
      <c r="E749" s="6" t="n">
        <v>-0.4818305346669622</v>
      </c>
      <c r="F749" s="6" t="n">
        <v>0.9185437189662378</v>
      </c>
      <c r="G749" s="5" t="n">
        <v>1</v>
      </c>
      <c r="H749" s="5" t="n">
        <v>0</v>
      </c>
      <c r="I749" s="5" t="n">
        <v>0</v>
      </c>
      <c r="J749" s="5" t="n">
        <v>1</v>
      </c>
      <c r="K749" s="5" t="n">
        <v>0</v>
      </c>
      <c r="L749" s="5" t="n">
        <v>0</v>
      </c>
      <c r="M749" s="5" t="n">
        <v>0</v>
      </c>
      <c r="N749" s="5" t="n">
        <v>0</v>
      </c>
      <c r="O749" s="5" t="n">
        <v>1</v>
      </c>
      <c r="P749" s="5" t="n">
        <v>0</v>
      </c>
      <c r="Q749" s="5" t="n">
        <v>0</v>
      </c>
      <c r="R749" s="5" t="n">
        <v>0</v>
      </c>
      <c r="S749" s="5" t="n">
        <v>0</v>
      </c>
      <c r="T749" s="5" t="n">
        <v>1</v>
      </c>
      <c r="U749" s="5" t="inlineStr">
        <is>
          <t>training</t>
        </is>
      </c>
    </row>
    <row r="750">
      <c r="A750" s="5" t="n">
        <v>746</v>
      </c>
      <c r="B750" s="5" t="n">
        <v>0</v>
      </c>
      <c r="C750" s="6" t="n">
        <v>-0.651442063423586</v>
      </c>
      <c r="D750" s="6" t="n">
        <v>-0.5086375791815251</v>
      </c>
      <c r="E750" s="6" t="n">
        <v>-0.6557765760629775</v>
      </c>
      <c r="F750" s="6" t="n">
        <v>0.01674764143977723</v>
      </c>
      <c r="G750" s="5" t="n">
        <v>1</v>
      </c>
      <c r="H750" s="5" t="n">
        <v>0</v>
      </c>
      <c r="I750" s="5" t="n">
        <v>0</v>
      </c>
      <c r="J750" s="5" t="n">
        <v>1</v>
      </c>
      <c r="K750" s="5" t="n">
        <v>0</v>
      </c>
      <c r="L750" s="5" t="n">
        <v>0</v>
      </c>
      <c r="M750" s="5" t="n">
        <v>0</v>
      </c>
      <c r="N750" s="5" t="n">
        <v>0</v>
      </c>
      <c r="O750" s="5" t="n">
        <v>0</v>
      </c>
      <c r="P750" s="5" t="n">
        <v>0</v>
      </c>
      <c r="Q750" s="5" t="n">
        <v>0</v>
      </c>
      <c r="R750" s="5" t="n">
        <v>0</v>
      </c>
      <c r="S750" s="5" t="n">
        <v>0</v>
      </c>
      <c r="T750" s="5" t="n">
        <v>0</v>
      </c>
      <c r="U750" s="5" t="inlineStr">
        <is>
          <t>training</t>
        </is>
      </c>
    </row>
    <row r="751">
      <c r="A751" s="5" t="n">
        <v>747</v>
      </c>
      <c r="B751" s="5" t="n">
        <v>0</v>
      </c>
      <c r="C751" s="6" t="n">
        <v>-0.4829241608380317</v>
      </c>
      <c r="D751" s="6" t="n">
        <v>-0.2588141615524415</v>
      </c>
      <c r="E751" s="6" t="n">
        <v>-1.090641679553016</v>
      </c>
      <c r="F751" s="6" t="n">
        <v>-1.786844513613144</v>
      </c>
      <c r="G751" s="5" t="n">
        <v>1</v>
      </c>
      <c r="H751" s="5" t="n">
        <v>0</v>
      </c>
      <c r="I751" s="5" t="n">
        <v>0</v>
      </c>
      <c r="J751" s="5" t="n">
        <v>0</v>
      </c>
      <c r="K751" s="5" t="n">
        <v>0</v>
      </c>
      <c r="L751" s="5" t="n">
        <v>0</v>
      </c>
      <c r="M751" s="5" t="n">
        <v>0</v>
      </c>
      <c r="N751" s="5" t="n">
        <v>0</v>
      </c>
      <c r="O751" s="5" t="n">
        <v>0</v>
      </c>
      <c r="P751" s="5" t="n">
        <v>1</v>
      </c>
      <c r="Q751" s="5" t="n">
        <v>0</v>
      </c>
      <c r="R751" s="5" t="n">
        <v>1</v>
      </c>
      <c r="S751" s="5" t="n">
        <v>0</v>
      </c>
      <c r="T751" s="5" t="n">
        <v>0</v>
      </c>
      <c r="U751" s="5" t="inlineStr">
        <is>
          <t>training</t>
        </is>
      </c>
    </row>
    <row r="752">
      <c r="A752" s="5" t="n">
        <v>748</v>
      </c>
      <c r="B752" s="5" t="n">
        <v>1</v>
      </c>
      <c r="C752" s="6" t="n">
        <v>-0.7357010147163632</v>
      </c>
      <c r="D752" s="6" t="n">
        <v>-0.6916314831311199</v>
      </c>
      <c r="E752" s="6" t="n">
        <v>0.1269806102190912</v>
      </c>
      <c r="F752" s="6" t="n">
        <v>0.01674764143977723</v>
      </c>
      <c r="G752" s="5" t="n">
        <v>1</v>
      </c>
      <c r="H752" s="5" t="n">
        <v>0</v>
      </c>
      <c r="I752" s="5" t="n">
        <v>0</v>
      </c>
      <c r="J752" s="5" t="n">
        <v>0</v>
      </c>
      <c r="K752" s="5" t="n">
        <v>0</v>
      </c>
      <c r="L752" s="5" t="n">
        <v>0</v>
      </c>
      <c r="M752" s="5" t="n">
        <v>0</v>
      </c>
      <c r="N752" s="5" t="n">
        <v>0</v>
      </c>
      <c r="O752" s="5" t="n">
        <v>0</v>
      </c>
      <c r="P752" s="5" t="n">
        <v>0</v>
      </c>
      <c r="Q752" s="5" t="n">
        <v>0</v>
      </c>
      <c r="R752" s="5" t="n">
        <v>1</v>
      </c>
      <c r="S752" s="5" t="n">
        <v>0</v>
      </c>
      <c r="T752" s="5" t="n">
        <v>0</v>
      </c>
      <c r="U752" s="5" t="inlineStr">
        <is>
          <t>training</t>
        </is>
      </c>
    </row>
    <row r="753">
      <c r="A753" s="5" t="n">
        <v>749</v>
      </c>
      <c r="B753" s="5" t="n">
        <v>0</v>
      </c>
      <c r="C753" s="6" t="n">
        <v>0.02262954691863145</v>
      </c>
      <c r="D753" s="6" t="n">
        <v>0.6988422726923789</v>
      </c>
      <c r="E753" s="6" t="n">
        <v>-0.8297226174589928</v>
      </c>
      <c r="F753" s="6" t="n">
        <v>-1.786844513613144</v>
      </c>
      <c r="G753" s="5" t="n">
        <v>0</v>
      </c>
      <c r="H753" s="5" t="n">
        <v>0</v>
      </c>
      <c r="I753" s="5" t="n">
        <v>0</v>
      </c>
      <c r="J753" s="5" t="n">
        <v>0</v>
      </c>
      <c r="K753" s="5" t="n">
        <v>0</v>
      </c>
      <c r="L753" s="5" t="n">
        <v>0</v>
      </c>
      <c r="M753" s="5" t="n">
        <v>0</v>
      </c>
      <c r="N753" s="5" t="n">
        <v>0</v>
      </c>
      <c r="O753" s="5" t="n">
        <v>1</v>
      </c>
      <c r="P753" s="5" t="n">
        <v>0</v>
      </c>
      <c r="Q753" s="5" t="n">
        <v>0</v>
      </c>
      <c r="R753" s="5" t="n">
        <v>1</v>
      </c>
      <c r="S753" s="5" t="n">
        <v>0</v>
      </c>
      <c r="T753" s="5" t="n">
        <v>0</v>
      </c>
      <c r="U753" s="5" t="inlineStr">
        <is>
          <t>testing</t>
        </is>
      </c>
    </row>
    <row r="754">
      <c r="A754" s="5" t="n">
        <v>750</v>
      </c>
      <c r="B754" s="5" t="n">
        <v>0</v>
      </c>
      <c r="C754" s="6" t="n">
        <v>-0.4829241608380317</v>
      </c>
      <c r="D754" s="6" t="n">
        <v>-0.0775697213117338</v>
      </c>
      <c r="E754" s="6" t="n">
        <v>-0.2209114725729393</v>
      </c>
      <c r="F754" s="6" t="n">
        <v>-0.8850484360866833</v>
      </c>
      <c r="G754" s="5" t="n">
        <v>0</v>
      </c>
      <c r="H754" s="5" t="n">
        <v>0</v>
      </c>
      <c r="I754" s="5" t="n">
        <v>0</v>
      </c>
      <c r="J754" s="5" t="n">
        <v>0</v>
      </c>
      <c r="K754" s="5" t="n">
        <v>0</v>
      </c>
      <c r="L754" s="5" t="n">
        <v>0</v>
      </c>
      <c r="M754" s="5" t="n">
        <v>0</v>
      </c>
      <c r="N754" s="5" t="n">
        <v>0</v>
      </c>
      <c r="O754" s="5" t="n">
        <v>0</v>
      </c>
      <c r="P754" s="5" t="n">
        <v>0</v>
      </c>
      <c r="Q754" s="5" t="n">
        <v>0</v>
      </c>
      <c r="R754" s="5" t="n">
        <v>1</v>
      </c>
      <c r="S754" s="5" t="n">
        <v>0</v>
      </c>
      <c r="T754" s="5" t="n">
        <v>0</v>
      </c>
      <c r="U754" s="5" t="inlineStr">
        <is>
          <t>training</t>
        </is>
      </c>
    </row>
    <row r="755">
      <c r="A755" s="5" t="n">
        <v>751</v>
      </c>
      <c r="B755" s="5" t="n">
        <v>0</v>
      </c>
      <c r="C755" s="6" t="n">
        <v>-1.241254722473026</v>
      </c>
      <c r="D755" s="6" t="n">
        <v>-0.9876407426748239</v>
      </c>
      <c r="E755" s="6" t="n">
        <v>1.170656858595183</v>
      </c>
      <c r="F755" s="6" t="n">
        <v>-0.8850484360866833</v>
      </c>
      <c r="G755" s="5" t="n">
        <v>1</v>
      </c>
      <c r="H755" s="5" t="n">
        <v>0</v>
      </c>
      <c r="I755" s="5" t="n">
        <v>0</v>
      </c>
      <c r="J755" s="5" t="n">
        <v>0</v>
      </c>
      <c r="K755" s="5" t="n">
        <v>0</v>
      </c>
      <c r="L755" s="5" t="n">
        <v>0</v>
      </c>
      <c r="M755" s="5" t="n">
        <v>0</v>
      </c>
      <c r="N755" s="5" t="n">
        <v>0</v>
      </c>
      <c r="O755" s="5" t="n">
        <v>0</v>
      </c>
      <c r="P755" s="5" t="n">
        <v>0</v>
      </c>
      <c r="Q755" s="5" t="n">
        <v>0</v>
      </c>
      <c r="R755" s="5" t="n">
        <v>0</v>
      </c>
      <c r="S755" s="5" t="n">
        <v>0</v>
      </c>
      <c r="T755" s="5" t="n">
        <v>1</v>
      </c>
      <c r="U755" s="5" t="inlineStr">
        <is>
          <t>testing</t>
        </is>
      </c>
    </row>
    <row r="756">
      <c r="A756" s="5" t="n">
        <v>752</v>
      </c>
      <c r="B756" s="5" t="n">
        <v>1</v>
      </c>
      <c r="C756" s="6" t="n">
        <v>-0.2301473069597001</v>
      </c>
      <c r="D756" s="6" t="n">
        <v>-0.7958995201807934</v>
      </c>
      <c r="E756" s="6" t="n">
        <v>-1.090641679553016</v>
      </c>
      <c r="F756" s="6" t="n">
        <v>-1.786844513613144</v>
      </c>
      <c r="G756" s="5" t="n">
        <v>1</v>
      </c>
      <c r="H756" s="5" t="n">
        <v>0</v>
      </c>
      <c r="I756" s="5" t="n">
        <v>0</v>
      </c>
      <c r="J756" s="5" t="n">
        <v>0</v>
      </c>
      <c r="K756" s="5" t="n">
        <v>0</v>
      </c>
      <c r="L756" s="5" t="n">
        <v>0</v>
      </c>
      <c r="M756" s="5" t="n">
        <v>0</v>
      </c>
      <c r="N756" s="5" t="n">
        <v>0</v>
      </c>
      <c r="O756" s="5" t="n">
        <v>0</v>
      </c>
      <c r="P756" s="5" t="n">
        <v>0</v>
      </c>
      <c r="Q756" s="5" t="n">
        <v>0</v>
      </c>
      <c r="R756" s="5" t="n">
        <v>1</v>
      </c>
      <c r="S756" s="5" t="n">
        <v>0</v>
      </c>
      <c r="T756" s="5" t="n">
        <v>0</v>
      </c>
      <c r="U756" s="5" t="inlineStr">
        <is>
          <t>testing</t>
        </is>
      </c>
    </row>
    <row r="757">
      <c r="A757" s="5" t="n">
        <v>753</v>
      </c>
      <c r="B757" s="5" t="n">
        <v>0</v>
      </c>
      <c r="C757" s="6" t="n">
        <v>-0.7357010147163632</v>
      </c>
      <c r="D757" s="6" t="n">
        <v>-0.8431350403207462</v>
      </c>
      <c r="E757" s="6" t="n">
        <v>-1.090641679553016</v>
      </c>
      <c r="F757" s="6" t="n">
        <v>-0.8850484360866833</v>
      </c>
      <c r="G757" s="5" t="n">
        <v>0</v>
      </c>
      <c r="H757" s="5" t="n">
        <v>1</v>
      </c>
      <c r="I757" s="5" t="n">
        <v>0</v>
      </c>
      <c r="J757" s="5" t="n">
        <v>0</v>
      </c>
      <c r="K757" s="5" t="n">
        <v>0</v>
      </c>
      <c r="L757" s="5" t="n">
        <v>0</v>
      </c>
      <c r="M757" s="5" t="n">
        <v>1</v>
      </c>
      <c r="N757" s="5" t="n">
        <v>0</v>
      </c>
      <c r="O757" s="5" t="n">
        <v>0</v>
      </c>
      <c r="P757" s="5" t="n">
        <v>1</v>
      </c>
      <c r="Q757" s="5" t="n">
        <v>0</v>
      </c>
      <c r="R757" s="5" t="n">
        <v>0</v>
      </c>
      <c r="S757" s="5" t="n">
        <v>0</v>
      </c>
      <c r="T757" s="5" t="n">
        <v>0</v>
      </c>
      <c r="U757" s="5" t="inlineStr">
        <is>
          <t>training</t>
        </is>
      </c>
    </row>
    <row r="758">
      <c r="A758" s="5" t="n">
        <v>754</v>
      </c>
      <c r="B758" s="5" t="n">
        <v>0</v>
      </c>
      <c r="C758" s="6" t="n">
        <v>0.7809601085536261</v>
      </c>
      <c r="D758" s="6" t="n">
        <v>0.8818361766419737</v>
      </c>
      <c r="E758" s="6" t="n">
        <v>-0.9166956381570004</v>
      </c>
      <c r="F758" s="6" t="n">
        <v>0.9185437189662378</v>
      </c>
      <c r="G758" s="5" t="n">
        <v>0</v>
      </c>
      <c r="H758" s="5" t="n">
        <v>0</v>
      </c>
      <c r="I758" s="5" t="n">
        <v>0</v>
      </c>
      <c r="J758" s="5" t="n">
        <v>1</v>
      </c>
      <c r="K758" s="5" t="n">
        <v>0</v>
      </c>
      <c r="L758" s="5" t="n">
        <v>0</v>
      </c>
      <c r="M758" s="5" t="n">
        <v>0</v>
      </c>
      <c r="N758" s="5" t="n">
        <v>0</v>
      </c>
      <c r="O758" s="5" t="n">
        <v>0</v>
      </c>
      <c r="P758" s="5" t="n">
        <v>0</v>
      </c>
      <c r="Q758" s="5" t="n">
        <v>0</v>
      </c>
      <c r="R758" s="5" t="n">
        <v>0</v>
      </c>
      <c r="S758" s="5" t="n">
        <v>1</v>
      </c>
      <c r="T758" s="5" t="n">
        <v>0</v>
      </c>
      <c r="U758" s="5" t="inlineStr">
        <is>
          <t>testing</t>
        </is>
      </c>
    </row>
    <row r="759">
      <c r="A759" s="5" t="n">
        <v>755</v>
      </c>
      <c r="B759" s="5" t="n">
        <v>1</v>
      </c>
      <c r="C759" s="6" t="n">
        <v>-0.7357010147163632</v>
      </c>
      <c r="D759" s="6" t="n">
        <v>-0.5933116226916626</v>
      </c>
      <c r="E759" s="6" t="n">
        <v>1.692494982783229</v>
      </c>
      <c r="F759" s="6" t="n">
        <v>0.9185437189662378</v>
      </c>
      <c r="G759" s="5" t="n">
        <v>0</v>
      </c>
      <c r="H759" s="5" t="n">
        <v>0</v>
      </c>
      <c r="I759" s="5" t="n">
        <v>0</v>
      </c>
      <c r="J759" s="5" t="n">
        <v>0</v>
      </c>
      <c r="K759" s="5" t="n">
        <v>1</v>
      </c>
      <c r="L759" s="5" t="n">
        <v>0</v>
      </c>
      <c r="M759" s="5" t="n">
        <v>0</v>
      </c>
      <c r="N759" s="5" t="n">
        <v>1</v>
      </c>
      <c r="O759" s="5" t="n">
        <v>0</v>
      </c>
      <c r="P759" s="5" t="n">
        <v>0</v>
      </c>
      <c r="Q759" s="5" t="n">
        <v>1</v>
      </c>
      <c r="R759" s="5" t="n">
        <v>0</v>
      </c>
      <c r="S759" s="5" t="n">
        <v>0</v>
      </c>
      <c r="T759" s="5" t="n">
        <v>0</v>
      </c>
      <c r="U759" s="5" t="inlineStr">
        <is>
          <t>training</t>
        </is>
      </c>
    </row>
    <row r="760">
      <c r="A760" s="5" t="n">
        <v>756</v>
      </c>
      <c r="B760" s="5" t="n">
        <v>1</v>
      </c>
      <c r="C760" s="6" t="n">
        <v>0.275406400796963</v>
      </c>
      <c r="D760" s="6" t="n">
        <v>-0.6877826629715681</v>
      </c>
      <c r="E760" s="6" t="n">
        <v>-0.307884493270947</v>
      </c>
      <c r="F760" s="6" t="n">
        <v>0.9185437189662378</v>
      </c>
      <c r="G760" s="5" t="n">
        <v>1</v>
      </c>
      <c r="H760" s="5" t="n">
        <v>0</v>
      </c>
      <c r="I760" s="5" t="n">
        <v>0</v>
      </c>
      <c r="J760" s="5" t="n">
        <v>0</v>
      </c>
      <c r="K760" s="5" t="n">
        <v>0</v>
      </c>
      <c r="L760" s="5" t="n">
        <v>0</v>
      </c>
      <c r="M760" s="5" t="n">
        <v>0</v>
      </c>
      <c r="N760" s="5" t="n">
        <v>0</v>
      </c>
      <c r="O760" s="5" t="n">
        <v>1</v>
      </c>
      <c r="P760" s="5" t="n">
        <v>1</v>
      </c>
      <c r="Q760" s="5" t="n">
        <v>0</v>
      </c>
      <c r="R760" s="5" t="n">
        <v>1</v>
      </c>
      <c r="S760" s="5" t="n">
        <v>0</v>
      </c>
      <c r="T760" s="5" t="n">
        <v>0</v>
      </c>
      <c r="U760" s="5" t="inlineStr">
        <is>
          <t>training</t>
        </is>
      </c>
    </row>
    <row r="761">
      <c r="A761" s="5" t="n">
        <v>757</v>
      </c>
      <c r="B761" s="5" t="n">
        <v>0</v>
      </c>
      <c r="C761" s="6" t="n">
        <v>-1.241254722473026</v>
      </c>
      <c r="D761" s="6" t="n">
        <v>-0.6828841645866841</v>
      </c>
      <c r="E761" s="6" t="n">
        <v>3.344982376045374</v>
      </c>
      <c r="F761" s="6" t="n">
        <v>-1.786844513613144</v>
      </c>
      <c r="G761" s="5" t="n">
        <v>0</v>
      </c>
      <c r="H761" s="5" t="n">
        <v>0</v>
      </c>
      <c r="I761" s="5" t="n">
        <v>1</v>
      </c>
      <c r="J761" s="5" t="n">
        <v>1</v>
      </c>
      <c r="K761" s="5" t="n">
        <v>0</v>
      </c>
      <c r="L761" s="5" t="n">
        <v>0</v>
      </c>
      <c r="M761" s="5" t="n">
        <v>0</v>
      </c>
      <c r="N761" s="5" t="n">
        <v>0</v>
      </c>
      <c r="O761" s="5" t="n">
        <v>0</v>
      </c>
      <c r="P761" s="5" t="n">
        <v>0</v>
      </c>
      <c r="Q761" s="5" t="n">
        <v>0</v>
      </c>
      <c r="R761" s="5" t="n">
        <v>1</v>
      </c>
      <c r="S761" s="5" t="n">
        <v>0</v>
      </c>
      <c r="T761" s="5" t="n">
        <v>0</v>
      </c>
      <c r="U761" s="5" t="inlineStr">
        <is>
          <t>training</t>
        </is>
      </c>
    </row>
    <row r="762">
      <c r="A762" s="5" t="n">
        <v>758</v>
      </c>
      <c r="B762" s="5" t="n">
        <v>1</v>
      </c>
      <c r="C762" s="6" t="n">
        <v>-0.4829241608380317</v>
      </c>
      <c r="D762" s="6" t="n">
        <v>-0.6926811613564521</v>
      </c>
      <c r="E762" s="6" t="n">
        <v>0.3009266516151065</v>
      </c>
      <c r="F762" s="6" t="n">
        <v>0.01674764143977723</v>
      </c>
      <c r="G762" s="5" t="n">
        <v>0</v>
      </c>
      <c r="H762" s="5" t="n">
        <v>0</v>
      </c>
      <c r="I762" s="5" t="n">
        <v>1</v>
      </c>
      <c r="J762" s="5" t="n">
        <v>1</v>
      </c>
      <c r="K762" s="5" t="n">
        <v>0</v>
      </c>
      <c r="L762" s="5" t="n">
        <v>0</v>
      </c>
      <c r="M762" s="5" t="n">
        <v>0</v>
      </c>
      <c r="N762" s="5" t="n">
        <v>0</v>
      </c>
      <c r="O762" s="5" t="n">
        <v>1</v>
      </c>
      <c r="P762" s="5" t="n">
        <v>0</v>
      </c>
      <c r="Q762" s="5" t="n">
        <v>1</v>
      </c>
      <c r="R762" s="5" t="n">
        <v>0</v>
      </c>
      <c r="S762" s="5" t="n">
        <v>1</v>
      </c>
      <c r="T762" s="5" t="n">
        <v>0</v>
      </c>
      <c r="U762" s="5" t="inlineStr">
        <is>
          <t>training</t>
        </is>
      </c>
    </row>
    <row r="763">
      <c r="A763" s="5" t="n">
        <v>759</v>
      </c>
      <c r="B763" s="5" t="n">
        <v>0</v>
      </c>
      <c r="C763" s="6" t="n">
        <v>0.275406400796963</v>
      </c>
      <c r="D763" s="6" t="n">
        <v>-0.6499942468596059</v>
      </c>
      <c r="E763" s="6" t="n">
        <v>-0.3948575139689546</v>
      </c>
      <c r="F763" s="6" t="n">
        <v>-0.8850484360866833</v>
      </c>
      <c r="G763" s="5" t="n">
        <v>0</v>
      </c>
      <c r="H763" s="5" t="n">
        <v>0</v>
      </c>
      <c r="I763" s="5" t="n">
        <v>0</v>
      </c>
      <c r="J763" s="5" t="n">
        <v>0</v>
      </c>
      <c r="K763" s="5" t="n">
        <v>0</v>
      </c>
      <c r="L763" s="5" t="n">
        <v>0</v>
      </c>
      <c r="M763" s="5" t="n">
        <v>0</v>
      </c>
      <c r="N763" s="5" t="n">
        <v>0</v>
      </c>
      <c r="O763" s="5" t="n">
        <v>0</v>
      </c>
      <c r="P763" s="5" t="n">
        <v>0</v>
      </c>
      <c r="Q763" s="5" t="n">
        <v>0</v>
      </c>
      <c r="R763" s="5" t="n">
        <v>1</v>
      </c>
      <c r="S763" s="5" t="n">
        <v>0</v>
      </c>
      <c r="T763" s="5" t="n">
        <v>0</v>
      </c>
      <c r="U763" s="5" t="inlineStr">
        <is>
          <t>training</t>
        </is>
      </c>
    </row>
    <row r="764">
      <c r="A764" s="5" t="n">
        <v>760</v>
      </c>
      <c r="B764" s="5" t="n">
        <v>1</v>
      </c>
      <c r="C764" s="6" t="n">
        <v>-0.7357010147163632</v>
      </c>
      <c r="D764" s="6" t="n">
        <v>-0.8956189515873604</v>
      </c>
      <c r="E764" s="6" t="n">
        <v>-0.04696543117692405</v>
      </c>
      <c r="F764" s="6" t="n">
        <v>0.9185437189662378</v>
      </c>
      <c r="G764" s="5" t="n">
        <v>1</v>
      </c>
      <c r="H764" s="5" t="n">
        <v>0</v>
      </c>
      <c r="I764" s="5" t="n">
        <v>0</v>
      </c>
      <c r="J764" s="5" t="n">
        <v>1</v>
      </c>
      <c r="K764" s="5" t="n">
        <v>0</v>
      </c>
      <c r="L764" s="5" t="n">
        <v>0</v>
      </c>
      <c r="M764" s="5" t="n">
        <v>0</v>
      </c>
      <c r="N764" s="5" t="n">
        <v>0</v>
      </c>
      <c r="O764" s="5" t="n">
        <v>0</v>
      </c>
      <c r="P764" s="5" t="n">
        <v>0</v>
      </c>
      <c r="Q764" s="5" t="n">
        <v>0</v>
      </c>
      <c r="R764" s="5" t="n">
        <v>1</v>
      </c>
      <c r="S764" s="5" t="n">
        <v>0</v>
      </c>
      <c r="T764" s="5" t="n">
        <v>0</v>
      </c>
      <c r="U764" s="5" t="inlineStr">
        <is>
          <t>testing</t>
        </is>
      </c>
    </row>
    <row r="765">
      <c r="A765" s="5" t="n">
        <v>761</v>
      </c>
      <c r="B765" s="5" t="n">
        <v>0</v>
      </c>
      <c r="C765" s="6" t="n">
        <v>-0.4829241608380317</v>
      </c>
      <c r="D765" s="6" t="n">
        <v>0.6278140461115609</v>
      </c>
      <c r="E765" s="6" t="n">
        <v>2.040387065575259</v>
      </c>
      <c r="F765" s="6" t="n">
        <v>-1.786844513613144</v>
      </c>
      <c r="G765" s="5" t="n">
        <v>0</v>
      </c>
      <c r="H765" s="5" t="n">
        <v>0</v>
      </c>
      <c r="I765" s="5" t="n">
        <v>0</v>
      </c>
      <c r="J765" s="5" t="n">
        <v>1</v>
      </c>
      <c r="K765" s="5" t="n">
        <v>0</v>
      </c>
      <c r="L765" s="5" t="n">
        <v>0</v>
      </c>
      <c r="M765" s="5" t="n">
        <v>0</v>
      </c>
      <c r="N765" s="5" t="n">
        <v>0</v>
      </c>
      <c r="O765" s="5" t="n">
        <v>1</v>
      </c>
      <c r="P765" s="5" t="n">
        <v>0</v>
      </c>
      <c r="Q765" s="5" t="n">
        <v>0</v>
      </c>
      <c r="R765" s="5" t="n">
        <v>1</v>
      </c>
      <c r="S765" s="5" t="n">
        <v>0</v>
      </c>
      <c r="T765" s="5" t="n">
        <v>0</v>
      </c>
      <c r="U765" s="5" t="inlineStr">
        <is>
          <t>testing</t>
        </is>
      </c>
    </row>
    <row r="766">
      <c r="A766" s="5" t="n">
        <v>762</v>
      </c>
      <c r="B766" s="5" t="n">
        <v>1</v>
      </c>
      <c r="C766" s="6" t="n">
        <v>-0.2301473069597001</v>
      </c>
      <c r="D766" s="6" t="n">
        <v>-0.3942226526203061</v>
      </c>
      <c r="E766" s="6" t="n">
        <v>-1.003668658855008</v>
      </c>
      <c r="F766" s="6" t="n">
        <v>0.9185437189662378</v>
      </c>
      <c r="G766" s="5" t="n">
        <v>1</v>
      </c>
      <c r="H766" s="5" t="n">
        <v>0</v>
      </c>
      <c r="I766" s="5" t="n">
        <v>0</v>
      </c>
      <c r="J766" s="5" t="n">
        <v>1</v>
      </c>
      <c r="K766" s="5" t="n">
        <v>0</v>
      </c>
      <c r="L766" s="5" t="n">
        <v>0</v>
      </c>
      <c r="M766" s="5" t="n">
        <v>0</v>
      </c>
      <c r="N766" s="5" t="n">
        <v>0</v>
      </c>
      <c r="O766" s="5" t="n">
        <v>0</v>
      </c>
      <c r="P766" s="5" t="n">
        <v>1</v>
      </c>
      <c r="Q766" s="5" t="n">
        <v>0</v>
      </c>
      <c r="R766" s="5" t="n">
        <v>0</v>
      </c>
      <c r="S766" s="5" t="n">
        <v>0</v>
      </c>
      <c r="T766" s="5" t="n">
        <v>1</v>
      </c>
      <c r="U766" s="5" t="inlineStr">
        <is>
          <t>testing</t>
        </is>
      </c>
    </row>
    <row r="767">
      <c r="A767" s="5" t="n">
        <v>763</v>
      </c>
      <c r="B767" s="5" t="n">
        <v>0</v>
      </c>
      <c r="C767" s="6" t="n">
        <v>-0.7357010147163632</v>
      </c>
      <c r="D767" s="6" t="n">
        <v>-0.3627323058603376</v>
      </c>
      <c r="E767" s="6" t="n">
        <v>-1.003668658855008</v>
      </c>
      <c r="F767" s="6" t="n">
        <v>0.9185437189662378</v>
      </c>
      <c r="G767" s="5" t="n">
        <v>1</v>
      </c>
      <c r="H767" s="5" t="n">
        <v>0</v>
      </c>
      <c r="I767" s="5" t="n">
        <v>0</v>
      </c>
      <c r="J767" s="5" t="n">
        <v>0</v>
      </c>
      <c r="K767" s="5" t="n">
        <v>0</v>
      </c>
      <c r="L767" s="5" t="n">
        <v>0</v>
      </c>
      <c r="M767" s="5" t="n">
        <v>0</v>
      </c>
      <c r="N767" s="5" t="n">
        <v>0</v>
      </c>
      <c r="O767" s="5" t="n">
        <v>0</v>
      </c>
      <c r="P767" s="5" t="n">
        <v>0</v>
      </c>
      <c r="Q767" s="5" t="n">
        <v>0</v>
      </c>
      <c r="R767" s="5" t="n">
        <v>0</v>
      </c>
      <c r="S767" s="5" t="n">
        <v>1</v>
      </c>
      <c r="T767" s="5" t="n">
        <v>0</v>
      </c>
      <c r="U767" s="5" t="inlineStr">
        <is>
          <t>training</t>
        </is>
      </c>
    </row>
    <row r="768">
      <c r="A768" s="5" t="n">
        <v>764</v>
      </c>
      <c r="B768" s="5" t="n">
        <v>1</v>
      </c>
      <c r="C768" s="6" t="n">
        <v>0.02262954691863145</v>
      </c>
      <c r="D768" s="6" t="n">
        <v>3.299245129582224</v>
      </c>
      <c r="E768" s="6" t="n">
        <v>-0.4818305346669622</v>
      </c>
      <c r="F768" s="6" t="n">
        <v>0.9185437189662378</v>
      </c>
      <c r="G768" s="5" t="n">
        <v>0</v>
      </c>
      <c r="H768" s="5" t="n">
        <v>0</v>
      </c>
      <c r="I768" s="5" t="n">
        <v>0</v>
      </c>
      <c r="J768" s="5" t="n">
        <v>1</v>
      </c>
      <c r="K768" s="5" t="n">
        <v>0</v>
      </c>
      <c r="L768" s="5" t="n">
        <v>0</v>
      </c>
      <c r="M768" s="5" t="n">
        <v>0</v>
      </c>
      <c r="N768" s="5" t="n">
        <v>0</v>
      </c>
      <c r="O768" s="5" t="n">
        <v>1</v>
      </c>
      <c r="P768" s="5" t="n">
        <v>0</v>
      </c>
      <c r="Q768" s="5" t="n">
        <v>1</v>
      </c>
      <c r="R768" s="5" t="n">
        <v>1</v>
      </c>
      <c r="S768" s="5" t="n">
        <v>0</v>
      </c>
      <c r="T768" s="5" t="n">
        <v>0</v>
      </c>
      <c r="U768" s="5" t="inlineStr">
        <is>
          <t>training</t>
        </is>
      </c>
    </row>
    <row r="769">
      <c r="A769" s="5" t="n">
        <v>765</v>
      </c>
      <c r="B769" s="5" t="n">
        <v>0</v>
      </c>
      <c r="C769" s="6" t="n">
        <v>0.275406400796963</v>
      </c>
      <c r="D769" s="6" t="n">
        <v>-0.275609013157758</v>
      </c>
      <c r="E769" s="6" t="n">
        <v>-0.7427495967609852</v>
      </c>
      <c r="F769" s="6" t="n">
        <v>0.9185437189662378</v>
      </c>
      <c r="G769" s="5" t="n">
        <v>0</v>
      </c>
      <c r="H769" s="5" t="n">
        <v>0</v>
      </c>
      <c r="I769" s="5" t="n">
        <v>0</v>
      </c>
      <c r="J769" s="5" t="n">
        <v>1</v>
      </c>
      <c r="K769" s="5" t="n">
        <v>0</v>
      </c>
      <c r="L769" s="5" t="n">
        <v>0</v>
      </c>
      <c r="M769" s="5" t="n">
        <v>1</v>
      </c>
      <c r="N769" s="5" t="n">
        <v>0</v>
      </c>
      <c r="O769" s="5" t="n">
        <v>0</v>
      </c>
      <c r="P769" s="5" t="n">
        <v>0</v>
      </c>
      <c r="Q769" s="5" t="n">
        <v>0</v>
      </c>
      <c r="R769" s="5" t="n">
        <v>1</v>
      </c>
      <c r="S769" s="5" t="n">
        <v>0</v>
      </c>
      <c r="T769" s="5" t="n">
        <v>0</v>
      </c>
      <c r="U769" s="5" t="inlineStr">
        <is>
          <t>training</t>
        </is>
      </c>
    </row>
    <row r="770">
      <c r="A770" s="5" t="n">
        <v>766</v>
      </c>
      <c r="B770" s="5" t="n">
        <v>0</v>
      </c>
      <c r="C770" s="6" t="n">
        <v>-0.7357010147163632</v>
      </c>
      <c r="D770" s="6" t="n">
        <v>-0.7332687194026337</v>
      </c>
      <c r="E770" s="6" t="n">
        <v>0.3878996723131141</v>
      </c>
      <c r="F770" s="6" t="n">
        <v>0.01674764143977723</v>
      </c>
      <c r="G770" s="5" t="n">
        <v>0</v>
      </c>
      <c r="H770" s="5" t="n">
        <v>1</v>
      </c>
      <c r="I770" s="5" t="n">
        <v>0</v>
      </c>
      <c r="J770" s="5" t="n">
        <v>0</v>
      </c>
      <c r="K770" s="5" t="n">
        <v>0</v>
      </c>
      <c r="L770" s="5" t="n">
        <v>0</v>
      </c>
      <c r="M770" s="5" t="n">
        <v>0</v>
      </c>
      <c r="N770" s="5" t="n">
        <v>0</v>
      </c>
      <c r="O770" s="5" t="n">
        <v>0</v>
      </c>
      <c r="P770" s="5" t="n">
        <v>0</v>
      </c>
      <c r="Q770" s="5" t="n">
        <v>0</v>
      </c>
      <c r="R770" s="5" t="n">
        <v>0</v>
      </c>
      <c r="S770" s="5" t="n">
        <v>1</v>
      </c>
      <c r="T770" s="5" t="n">
        <v>0</v>
      </c>
      <c r="U770" s="5" t="inlineStr">
        <is>
          <t>training</t>
        </is>
      </c>
    </row>
    <row r="771">
      <c r="A771" s="5" t="n">
        <v>767</v>
      </c>
      <c r="B771" s="5" t="n">
        <v>1</v>
      </c>
      <c r="C771" s="6" t="n">
        <v>0.7809601085536261</v>
      </c>
      <c r="D771" s="6" t="n">
        <v>-0.04992819471131699</v>
      </c>
      <c r="E771" s="6" t="n">
        <v>-0.3948575139689546</v>
      </c>
      <c r="F771" s="6" t="n">
        <v>-0.8850484360866833</v>
      </c>
      <c r="G771" s="5" t="n">
        <v>1</v>
      </c>
      <c r="H771" s="5" t="n">
        <v>0</v>
      </c>
      <c r="I771" s="5" t="n">
        <v>0</v>
      </c>
      <c r="J771" s="5" t="n">
        <v>0</v>
      </c>
      <c r="K771" s="5" t="n">
        <v>0</v>
      </c>
      <c r="L771" s="5" t="n">
        <v>0</v>
      </c>
      <c r="M771" s="5" t="n">
        <v>0</v>
      </c>
      <c r="N771" s="5" t="n">
        <v>0</v>
      </c>
      <c r="O771" s="5" t="n">
        <v>0</v>
      </c>
      <c r="P771" s="5" t="n">
        <v>0</v>
      </c>
      <c r="Q771" s="5" t="n">
        <v>0</v>
      </c>
      <c r="R771" s="5" t="n">
        <v>0</v>
      </c>
      <c r="S771" s="5" t="n">
        <v>0</v>
      </c>
      <c r="T771" s="5" t="n">
        <v>1</v>
      </c>
      <c r="U771" s="5" t="inlineStr">
        <is>
          <t>training</t>
        </is>
      </c>
    </row>
    <row r="772">
      <c r="A772" s="5" t="n">
        <v>768</v>
      </c>
      <c r="B772" s="5" t="n">
        <v>0</v>
      </c>
      <c r="C772" s="6" t="n">
        <v>-0.9042189173019176</v>
      </c>
      <c r="D772" s="6" t="n">
        <v>-0.1223559922592446</v>
      </c>
      <c r="E772" s="6" t="n">
        <v>-0.3948575139689546</v>
      </c>
      <c r="F772" s="6" t="n">
        <v>-1.786844513613144</v>
      </c>
      <c r="G772" s="5" t="n">
        <v>0</v>
      </c>
      <c r="H772" s="5" t="n">
        <v>0</v>
      </c>
      <c r="I772" s="5" t="n">
        <v>0</v>
      </c>
      <c r="J772" s="5" t="n">
        <v>0</v>
      </c>
      <c r="K772" s="5" t="n">
        <v>0</v>
      </c>
      <c r="L772" s="5" t="n">
        <v>0</v>
      </c>
      <c r="M772" s="5" t="n">
        <v>0</v>
      </c>
      <c r="N772" s="5" t="n">
        <v>0</v>
      </c>
      <c r="O772" s="5" t="n">
        <v>1</v>
      </c>
      <c r="P772" s="5" t="n">
        <v>1</v>
      </c>
      <c r="Q772" s="5" t="n">
        <v>0</v>
      </c>
      <c r="R772" s="5" t="n">
        <v>1</v>
      </c>
      <c r="S772" s="5" t="n">
        <v>0</v>
      </c>
      <c r="T772" s="5" t="n">
        <v>0</v>
      </c>
      <c r="U772" s="5" t="inlineStr">
        <is>
          <t>training</t>
        </is>
      </c>
    </row>
    <row r="773">
      <c r="A773" s="5" t="n">
        <v>769</v>
      </c>
      <c r="B773" s="5" t="n">
        <v>0</v>
      </c>
      <c r="C773" s="6" t="n">
        <v>-0.7357010147163632</v>
      </c>
      <c r="D773" s="6" t="n">
        <v>0.1281672108533938</v>
      </c>
      <c r="E773" s="6" t="n">
        <v>-0.6557765760629775</v>
      </c>
      <c r="F773" s="6" t="n">
        <v>-1.786844513613144</v>
      </c>
      <c r="G773" s="5" t="n">
        <v>0</v>
      </c>
      <c r="H773" s="5" t="n">
        <v>1</v>
      </c>
      <c r="I773" s="5" t="n">
        <v>0</v>
      </c>
      <c r="J773" s="5" t="n">
        <v>1</v>
      </c>
      <c r="K773" s="5" t="n">
        <v>0</v>
      </c>
      <c r="L773" s="5" t="n">
        <v>0</v>
      </c>
      <c r="M773" s="5" t="n">
        <v>0</v>
      </c>
      <c r="N773" s="5" t="n">
        <v>0</v>
      </c>
      <c r="O773" s="5" t="n">
        <v>0</v>
      </c>
      <c r="P773" s="5" t="n">
        <v>1</v>
      </c>
      <c r="Q773" s="5" t="n">
        <v>0</v>
      </c>
      <c r="R773" s="5" t="n">
        <v>0</v>
      </c>
      <c r="S773" s="5" t="n">
        <v>0</v>
      </c>
      <c r="T773" s="5" t="n">
        <v>1</v>
      </c>
      <c r="U773" s="5" t="inlineStr">
        <is>
          <t>testing</t>
        </is>
      </c>
    </row>
    <row r="774">
      <c r="A774" s="5" t="n">
        <v>770</v>
      </c>
      <c r="B774" s="5" t="n">
        <v>0</v>
      </c>
      <c r="C774" s="6" t="n">
        <v>-0.7357010147163632</v>
      </c>
      <c r="D774" s="6" t="n">
        <v>-0.5583223485139198</v>
      </c>
      <c r="E774" s="6" t="n">
        <v>2.38827914836729</v>
      </c>
      <c r="F774" s="6" t="n">
        <v>-0.8850484360866833</v>
      </c>
      <c r="G774" s="5" t="n">
        <v>0</v>
      </c>
      <c r="H774" s="5" t="n">
        <v>0</v>
      </c>
      <c r="I774" s="5" t="n">
        <v>0</v>
      </c>
      <c r="J774" s="5" t="n">
        <v>1</v>
      </c>
      <c r="K774" s="5" t="n">
        <v>0</v>
      </c>
      <c r="L774" s="5" t="n">
        <v>0</v>
      </c>
      <c r="M774" s="5" t="n">
        <v>0</v>
      </c>
      <c r="N774" s="5" t="n">
        <v>0</v>
      </c>
      <c r="O774" s="5" t="n">
        <v>0</v>
      </c>
      <c r="P774" s="5" t="n">
        <v>0</v>
      </c>
      <c r="Q774" s="5" t="n">
        <v>0</v>
      </c>
      <c r="R774" s="5" t="n">
        <v>0</v>
      </c>
      <c r="S774" s="5" t="n">
        <v>1</v>
      </c>
      <c r="T774" s="5" t="n">
        <v>0</v>
      </c>
      <c r="U774" s="5" t="inlineStr">
        <is>
          <t>training</t>
        </is>
      </c>
    </row>
    <row r="775">
      <c r="A775" s="5" t="n">
        <v>771</v>
      </c>
      <c r="B775" s="5" t="n">
        <v>0</v>
      </c>
      <c r="C775" s="6" t="n">
        <v>0.275406400796963</v>
      </c>
      <c r="D775" s="6" t="n">
        <v>-0.1534964462774357</v>
      </c>
      <c r="E775" s="6" t="n">
        <v>-0.8297226174589928</v>
      </c>
      <c r="F775" s="6" t="n">
        <v>-0.8850484360866833</v>
      </c>
      <c r="G775" s="5" t="n">
        <v>1</v>
      </c>
      <c r="H775" s="5" t="n">
        <v>0</v>
      </c>
      <c r="I775" s="5" t="n">
        <v>0</v>
      </c>
      <c r="J775" s="5" t="n">
        <v>0</v>
      </c>
      <c r="K775" s="5" t="n">
        <v>0</v>
      </c>
      <c r="L775" s="5" t="n">
        <v>0</v>
      </c>
      <c r="M775" s="5" t="n">
        <v>0</v>
      </c>
      <c r="N775" s="5" t="n">
        <v>0</v>
      </c>
      <c r="O775" s="5" t="n">
        <v>1</v>
      </c>
      <c r="P775" s="5" t="n">
        <v>1</v>
      </c>
      <c r="Q775" s="5" t="n">
        <v>0</v>
      </c>
      <c r="R775" s="5" t="n">
        <v>1</v>
      </c>
      <c r="S775" s="5" t="n">
        <v>0</v>
      </c>
      <c r="T775" s="5" t="n">
        <v>0</v>
      </c>
      <c r="U775" s="5" t="inlineStr">
        <is>
          <t>training</t>
        </is>
      </c>
    </row>
    <row r="776">
      <c r="A776" s="5" t="n">
        <v>772</v>
      </c>
      <c r="B776" s="5" t="n">
        <v>1</v>
      </c>
      <c r="C776" s="6" t="n">
        <v>1.286513816310289</v>
      </c>
      <c r="D776" s="6" t="n">
        <v>1.684490126279393</v>
      </c>
      <c r="E776" s="6" t="n">
        <v>-0.9166956381570004</v>
      </c>
      <c r="F776" s="6" t="n">
        <v>0.01674764143977723</v>
      </c>
      <c r="G776" s="5" t="n">
        <v>1</v>
      </c>
      <c r="H776" s="5" t="n">
        <v>0</v>
      </c>
      <c r="I776" s="5" t="n">
        <v>0</v>
      </c>
      <c r="J776" s="5" t="n">
        <v>1</v>
      </c>
      <c r="K776" s="5" t="n">
        <v>0</v>
      </c>
      <c r="L776" s="5" t="n">
        <v>0</v>
      </c>
      <c r="M776" s="5" t="n">
        <v>0</v>
      </c>
      <c r="N776" s="5" t="n">
        <v>0</v>
      </c>
      <c r="O776" s="5" t="n">
        <v>0</v>
      </c>
      <c r="P776" s="5" t="n">
        <v>0</v>
      </c>
      <c r="Q776" s="5" t="n">
        <v>0</v>
      </c>
      <c r="R776" s="5" t="n">
        <v>0</v>
      </c>
      <c r="S776" s="5" t="n">
        <v>0</v>
      </c>
      <c r="T776" s="5" t="n">
        <v>0</v>
      </c>
      <c r="U776" s="5" t="inlineStr">
        <is>
          <t>testing</t>
        </is>
      </c>
    </row>
    <row r="777">
      <c r="A777" s="5" t="n">
        <v>773</v>
      </c>
      <c r="B777" s="5" t="n">
        <v>0</v>
      </c>
      <c r="C777" s="6" t="n">
        <v>0.02262954691863145</v>
      </c>
      <c r="D777" s="6" t="n">
        <v>0.008503893165513476</v>
      </c>
      <c r="E777" s="6" t="n">
        <v>0.04000758952108359</v>
      </c>
      <c r="F777" s="6" t="n">
        <v>-1.786844513613144</v>
      </c>
      <c r="G777" s="5" t="n">
        <v>0</v>
      </c>
      <c r="H777" s="5" t="n">
        <v>0</v>
      </c>
      <c r="I777" s="5" t="n">
        <v>0</v>
      </c>
      <c r="J777" s="5" t="n">
        <v>1</v>
      </c>
      <c r="K777" s="5" t="n">
        <v>0</v>
      </c>
      <c r="L777" s="5" t="n">
        <v>0</v>
      </c>
      <c r="M777" s="5" t="n">
        <v>0</v>
      </c>
      <c r="N777" s="5" t="n">
        <v>0</v>
      </c>
      <c r="O777" s="5" t="n">
        <v>0</v>
      </c>
      <c r="P777" s="5" t="n">
        <v>0</v>
      </c>
      <c r="Q777" s="5" t="n">
        <v>0</v>
      </c>
      <c r="R777" s="5" t="n">
        <v>1</v>
      </c>
      <c r="S777" s="5" t="n">
        <v>0</v>
      </c>
      <c r="T777" s="5" t="n">
        <v>0</v>
      </c>
      <c r="U777" s="5" t="inlineStr">
        <is>
          <t>testing</t>
        </is>
      </c>
    </row>
    <row r="778">
      <c r="A778" s="5" t="n">
        <v>774</v>
      </c>
      <c r="B778" s="5" t="n">
        <v>0</v>
      </c>
      <c r="C778" s="6" t="n">
        <v>0.275406400796963</v>
      </c>
      <c r="D778" s="6" t="n">
        <v>-0.3595832711843407</v>
      </c>
      <c r="E778" s="6" t="n">
        <v>1.431575920689206</v>
      </c>
      <c r="F778" s="6" t="n">
        <v>0.9185437189662378</v>
      </c>
      <c r="G778" s="5" t="n">
        <v>0</v>
      </c>
      <c r="H778" s="5" t="n">
        <v>0</v>
      </c>
      <c r="I778" s="5" t="n">
        <v>0</v>
      </c>
      <c r="J778" s="5" t="n">
        <v>1</v>
      </c>
      <c r="K778" s="5" t="n">
        <v>0</v>
      </c>
      <c r="L778" s="5" t="n">
        <v>0</v>
      </c>
      <c r="M778" s="5" t="n">
        <v>1</v>
      </c>
      <c r="N778" s="5" t="n">
        <v>0</v>
      </c>
      <c r="O778" s="5" t="n">
        <v>0</v>
      </c>
      <c r="P778" s="5" t="n">
        <v>0</v>
      </c>
      <c r="Q778" s="5" t="n">
        <v>0</v>
      </c>
      <c r="R778" s="5" t="n">
        <v>0</v>
      </c>
      <c r="S778" s="5" t="n">
        <v>1</v>
      </c>
      <c r="T778" s="5" t="n">
        <v>0</v>
      </c>
      <c r="U778" s="5" t="inlineStr">
        <is>
          <t>training</t>
        </is>
      </c>
    </row>
    <row r="779">
      <c r="A779" s="5" t="n">
        <v>775</v>
      </c>
      <c r="B779" s="5" t="n">
        <v>0</v>
      </c>
      <c r="C779" s="6" t="n">
        <v>-0.7357010147163632</v>
      </c>
      <c r="D779" s="6" t="n">
        <v>-0.6195535783249697</v>
      </c>
      <c r="E779" s="6" t="n">
        <v>2.649198210461313</v>
      </c>
      <c r="F779" s="6" t="n">
        <v>-0.8850484360866833</v>
      </c>
      <c r="G779" s="5" t="n">
        <v>0</v>
      </c>
      <c r="H779" s="5" t="n">
        <v>0</v>
      </c>
      <c r="I779" s="5" t="n">
        <v>1</v>
      </c>
      <c r="J779" s="5" t="n">
        <v>1</v>
      </c>
      <c r="K779" s="5" t="n">
        <v>0</v>
      </c>
      <c r="L779" s="5" t="n">
        <v>0</v>
      </c>
      <c r="M779" s="5" t="n">
        <v>1</v>
      </c>
      <c r="N779" s="5" t="n">
        <v>0</v>
      </c>
      <c r="O779" s="5" t="n">
        <v>0</v>
      </c>
      <c r="P779" s="5" t="n">
        <v>0</v>
      </c>
      <c r="Q779" s="5" t="n">
        <v>1</v>
      </c>
      <c r="R779" s="5" t="n">
        <v>1</v>
      </c>
      <c r="S779" s="5" t="n">
        <v>0</v>
      </c>
      <c r="T779" s="5" t="n">
        <v>0</v>
      </c>
      <c r="U779" s="5" t="inlineStr">
        <is>
          <t>training</t>
        </is>
      </c>
    </row>
    <row r="780">
      <c r="A780" s="5" t="n">
        <v>776</v>
      </c>
      <c r="B780" s="5" t="n">
        <v>1</v>
      </c>
      <c r="C780" s="6" t="n">
        <v>0.275406400796963</v>
      </c>
      <c r="D780" s="6" t="n">
        <v>-0.6576918871787093</v>
      </c>
      <c r="E780" s="6" t="n">
        <v>-0.9166956381570004</v>
      </c>
      <c r="F780" s="6" t="n">
        <v>0.9185437189662378</v>
      </c>
      <c r="G780" s="5" t="n">
        <v>1</v>
      </c>
      <c r="H780" s="5" t="n">
        <v>0</v>
      </c>
      <c r="I780" s="5" t="n">
        <v>0</v>
      </c>
      <c r="J780" s="5" t="n">
        <v>0</v>
      </c>
      <c r="K780" s="5" t="n">
        <v>0</v>
      </c>
      <c r="L780" s="5" t="n">
        <v>0</v>
      </c>
      <c r="M780" s="5" t="n">
        <v>0</v>
      </c>
      <c r="N780" s="5" t="n">
        <v>0</v>
      </c>
      <c r="O780" s="5" t="n">
        <v>1</v>
      </c>
      <c r="P780" s="5" t="n">
        <v>1</v>
      </c>
      <c r="Q780" s="5" t="n">
        <v>0</v>
      </c>
      <c r="R780" s="5" t="n">
        <v>1</v>
      </c>
      <c r="S780" s="5" t="n">
        <v>0</v>
      </c>
      <c r="T780" s="5" t="n">
        <v>0</v>
      </c>
      <c r="U780" s="5" t="inlineStr">
        <is>
          <t>training</t>
        </is>
      </c>
    </row>
    <row r="781">
      <c r="A781" s="5" t="n">
        <v>777</v>
      </c>
      <c r="B781" s="5" t="n">
        <v>0</v>
      </c>
      <c r="C781" s="6" t="n">
        <v>1.286513816310289</v>
      </c>
      <c r="D781" s="6" t="n">
        <v>0.09947600602764474</v>
      </c>
      <c r="E781" s="6" t="n">
        <v>0.1269806102190912</v>
      </c>
      <c r="F781" s="6" t="n">
        <v>0.9185437189662378</v>
      </c>
      <c r="G781" s="5" t="n">
        <v>0</v>
      </c>
      <c r="H781" s="5" t="n">
        <v>0</v>
      </c>
      <c r="I781" s="5" t="n">
        <v>0</v>
      </c>
      <c r="J781" s="5" t="n">
        <v>1</v>
      </c>
      <c r="K781" s="5" t="n">
        <v>0</v>
      </c>
      <c r="L781" s="5" t="n">
        <v>0</v>
      </c>
      <c r="M781" s="5" t="n">
        <v>0</v>
      </c>
      <c r="N781" s="5" t="n">
        <v>0</v>
      </c>
      <c r="O781" s="5" t="n">
        <v>0</v>
      </c>
      <c r="P781" s="5" t="n">
        <v>0</v>
      </c>
      <c r="Q781" s="5" t="n">
        <v>0</v>
      </c>
      <c r="R781" s="5" t="n">
        <v>1</v>
      </c>
      <c r="S781" s="5" t="n">
        <v>0</v>
      </c>
      <c r="T781" s="5" t="n">
        <v>0</v>
      </c>
      <c r="U781" s="5" t="inlineStr">
        <is>
          <t>testing</t>
        </is>
      </c>
    </row>
    <row r="782">
      <c r="A782" s="5" t="n">
        <v>778</v>
      </c>
      <c r="B782" s="5" t="n">
        <v>0</v>
      </c>
      <c r="C782" s="6" t="n">
        <v>-0.2301473069597001</v>
      </c>
      <c r="D782" s="6" t="n">
        <v>0.09037879474143161</v>
      </c>
      <c r="E782" s="6" t="n">
        <v>-0.9166956381570004</v>
      </c>
      <c r="F782" s="6" t="n">
        <v>0.9185437189662378</v>
      </c>
      <c r="G782" s="5" t="n">
        <v>1</v>
      </c>
      <c r="H782" s="5" t="n">
        <v>0</v>
      </c>
      <c r="I782" s="5" t="n">
        <v>0</v>
      </c>
      <c r="J782" s="5" t="n">
        <v>0</v>
      </c>
      <c r="K782" s="5" t="n">
        <v>0</v>
      </c>
      <c r="L782" s="5" t="n">
        <v>0</v>
      </c>
      <c r="M782" s="5" t="n">
        <v>0</v>
      </c>
      <c r="N782" s="5" t="n">
        <v>0</v>
      </c>
      <c r="O782" s="5" t="n">
        <v>0</v>
      </c>
      <c r="P782" s="5" t="n">
        <v>0</v>
      </c>
      <c r="Q782" s="5" t="n">
        <v>0</v>
      </c>
      <c r="R782" s="5" t="n">
        <v>0</v>
      </c>
      <c r="S782" s="5" t="n">
        <v>1</v>
      </c>
      <c r="T782" s="5" t="n">
        <v>0</v>
      </c>
      <c r="U782" s="5" t="inlineStr">
        <is>
          <t>training</t>
        </is>
      </c>
    </row>
    <row r="783">
      <c r="A783" s="5" t="n">
        <v>779</v>
      </c>
      <c r="B783" s="5" t="n">
        <v>0</v>
      </c>
      <c r="C783" s="6" t="n">
        <v>1.286513816310289</v>
      </c>
      <c r="D783" s="6" t="n">
        <v>0.860842612135328</v>
      </c>
      <c r="E783" s="6" t="n">
        <v>0.2139536309170988</v>
      </c>
      <c r="F783" s="6" t="n">
        <v>0.9185437189662378</v>
      </c>
      <c r="G783" s="5" t="n">
        <v>0</v>
      </c>
      <c r="H783" s="5" t="n">
        <v>0</v>
      </c>
      <c r="I783" s="5" t="n">
        <v>0</v>
      </c>
      <c r="J783" s="5" t="n">
        <v>1</v>
      </c>
      <c r="K783" s="5" t="n">
        <v>0</v>
      </c>
      <c r="L783" s="5" t="n">
        <v>0</v>
      </c>
      <c r="M783" s="5" t="n">
        <v>0</v>
      </c>
      <c r="N783" s="5" t="n">
        <v>1</v>
      </c>
      <c r="O783" s="5" t="n">
        <v>0</v>
      </c>
      <c r="P783" s="5" t="n">
        <v>0</v>
      </c>
      <c r="Q783" s="5" t="n">
        <v>0</v>
      </c>
      <c r="R783" s="5" t="n">
        <v>1</v>
      </c>
      <c r="S783" s="5" t="n">
        <v>0</v>
      </c>
      <c r="T783" s="5" t="n">
        <v>0</v>
      </c>
      <c r="U783" s="5" t="inlineStr">
        <is>
          <t>training</t>
        </is>
      </c>
    </row>
    <row r="784">
      <c r="A784" s="5" t="n">
        <v>780</v>
      </c>
      <c r="B784" s="5" t="n">
        <v>0</v>
      </c>
      <c r="C784" s="6" t="n">
        <v>-0.2301473069597001</v>
      </c>
      <c r="D784" s="6" t="n">
        <v>0.217389860006638</v>
      </c>
      <c r="E784" s="6" t="n">
        <v>2.73617123115932</v>
      </c>
      <c r="F784" s="6" t="n">
        <v>-0.8850484360866833</v>
      </c>
      <c r="G784" s="5" t="n">
        <v>0</v>
      </c>
      <c r="H784" s="5" t="n">
        <v>1</v>
      </c>
      <c r="I784" s="5" t="n">
        <v>0</v>
      </c>
      <c r="J784" s="5" t="n">
        <v>0</v>
      </c>
      <c r="K784" s="5" t="n">
        <v>0</v>
      </c>
      <c r="L784" s="5" t="n">
        <v>0</v>
      </c>
      <c r="M784" s="5" t="n">
        <v>0</v>
      </c>
      <c r="N784" s="5" t="n">
        <v>0</v>
      </c>
      <c r="O784" s="5" t="n">
        <v>0</v>
      </c>
      <c r="P784" s="5" t="n">
        <v>0</v>
      </c>
      <c r="Q784" s="5" t="n">
        <v>0</v>
      </c>
      <c r="R784" s="5" t="n">
        <v>0</v>
      </c>
      <c r="S784" s="5" t="n">
        <v>0</v>
      </c>
      <c r="T784" s="5" t="n">
        <v>0</v>
      </c>
      <c r="U784" s="5" t="inlineStr">
        <is>
          <t>testing</t>
        </is>
      </c>
    </row>
    <row r="785">
      <c r="A785" s="5" t="n">
        <v>781</v>
      </c>
      <c r="B785" s="5" t="n">
        <v>1</v>
      </c>
      <c r="C785" s="6" t="n">
        <v>1.539290670188621</v>
      </c>
      <c r="D785" s="6" t="n">
        <v>0.588626059032489</v>
      </c>
      <c r="E785" s="6" t="n">
        <v>-0.9166956381570004</v>
      </c>
      <c r="F785" s="6" t="n">
        <v>-0.8850484360866833</v>
      </c>
      <c r="G785" s="5" t="n">
        <v>0</v>
      </c>
      <c r="H785" s="5" t="n">
        <v>1</v>
      </c>
      <c r="I785" s="5" t="n">
        <v>0</v>
      </c>
      <c r="J785" s="5" t="n">
        <v>1</v>
      </c>
      <c r="K785" s="5" t="n">
        <v>0</v>
      </c>
      <c r="L785" s="5" t="n">
        <v>0</v>
      </c>
      <c r="M785" s="5" t="n">
        <v>0</v>
      </c>
      <c r="N785" s="5" t="n">
        <v>0</v>
      </c>
      <c r="O785" s="5" t="n">
        <v>0</v>
      </c>
      <c r="P785" s="5" t="n">
        <v>0</v>
      </c>
      <c r="Q785" s="5" t="n">
        <v>0</v>
      </c>
      <c r="R785" s="5" t="n">
        <v>0</v>
      </c>
      <c r="S785" s="5" t="n">
        <v>1</v>
      </c>
      <c r="T785" s="5" t="n">
        <v>0</v>
      </c>
      <c r="U785" s="5" t="inlineStr">
        <is>
          <t>training</t>
        </is>
      </c>
    </row>
    <row r="786">
      <c r="A786" s="5" t="n">
        <v>782</v>
      </c>
      <c r="B786" s="5" t="n">
        <v>0</v>
      </c>
      <c r="C786" s="6" t="n">
        <v>0.275406400796963</v>
      </c>
      <c r="D786" s="6" t="n">
        <v>-0.4586029171073528</v>
      </c>
      <c r="E786" s="6" t="n">
        <v>2.127360086273267</v>
      </c>
      <c r="F786" s="6" t="n">
        <v>0.9185437189662378</v>
      </c>
      <c r="G786" s="5" t="n">
        <v>0</v>
      </c>
      <c r="H786" s="5" t="n">
        <v>0</v>
      </c>
      <c r="I786" s="5" t="n">
        <v>0</v>
      </c>
      <c r="J786" s="5" t="n">
        <v>1</v>
      </c>
      <c r="K786" s="5" t="n">
        <v>0</v>
      </c>
      <c r="L786" s="5" t="n">
        <v>0</v>
      </c>
      <c r="M786" s="5" t="n">
        <v>0</v>
      </c>
      <c r="N786" s="5" t="n">
        <v>1</v>
      </c>
      <c r="O786" s="5" t="n">
        <v>0</v>
      </c>
      <c r="P786" s="5" t="n">
        <v>0</v>
      </c>
      <c r="Q786" s="5" t="n">
        <v>0</v>
      </c>
      <c r="R786" s="5" t="n">
        <v>1</v>
      </c>
      <c r="S786" s="5" t="n">
        <v>0</v>
      </c>
      <c r="T786" s="5" t="n">
        <v>0</v>
      </c>
      <c r="U786" s="5" t="inlineStr">
        <is>
          <t>testing</t>
        </is>
      </c>
    </row>
    <row r="787">
      <c r="A787" s="5" t="n">
        <v>783</v>
      </c>
      <c r="B787" s="5" t="n">
        <v>0</v>
      </c>
      <c r="C787" s="6" t="n">
        <v>-0.7357010147163632</v>
      </c>
      <c r="D787" s="6" t="n">
        <v>-0.6440460702493896</v>
      </c>
      <c r="E787" s="6" t="n">
        <v>-0.3948575139689546</v>
      </c>
      <c r="F787" s="6" t="n">
        <v>-0.8850484360866833</v>
      </c>
      <c r="G787" s="5" t="n">
        <v>0</v>
      </c>
      <c r="H787" s="5" t="n">
        <v>1</v>
      </c>
      <c r="I787" s="5" t="n">
        <v>0</v>
      </c>
      <c r="J787" s="5" t="n">
        <v>0</v>
      </c>
      <c r="K787" s="5" t="n">
        <v>0</v>
      </c>
      <c r="L787" s="5" t="n">
        <v>1</v>
      </c>
      <c r="M787" s="5" t="n">
        <v>0</v>
      </c>
      <c r="N787" s="5" t="n">
        <v>0</v>
      </c>
      <c r="O787" s="5" t="n">
        <v>0</v>
      </c>
      <c r="P787" s="5" t="n">
        <v>0</v>
      </c>
      <c r="Q787" s="5" t="n">
        <v>0</v>
      </c>
      <c r="R787" s="5" t="n">
        <v>0</v>
      </c>
      <c r="S787" s="5" t="n">
        <v>0</v>
      </c>
      <c r="T787" s="5" t="n">
        <v>0</v>
      </c>
      <c r="U787" s="5" t="inlineStr">
        <is>
          <t>training</t>
        </is>
      </c>
    </row>
    <row r="788">
      <c r="A788" s="5" t="n">
        <v>784</v>
      </c>
      <c r="B788" s="5" t="n">
        <v>1</v>
      </c>
      <c r="C788" s="6" t="n">
        <v>-0.7357010147163632</v>
      </c>
      <c r="D788" s="6" t="n">
        <v>-0.8448845040296333</v>
      </c>
      <c r="E788" s="6" t="n">
        <v>-1.090641679553016</v>
      </c>
      <c r="F788" s="6" t="n">
        <v>0.9185437189662378</v>
      </c>
      <c r="G788" s="5" t="n">
        <v>0</v>
      </c>
      <c r="H788" s="5" t="n">
        <v>1</v>
      </c>
      <c r="I788" s="5" t="n">
        <v>0</v>
      </c>
      <c r="J788" s="5" t="n">
        <v>0</v>
      </c>
      <c r="K788" s="5" t="n">
        <v>0</v>
      </c>
      <c r="L788" s="5" t="n">
        <v>0</v>
      </c>
      <c r="M788" s="5" t="n">
        <v>1</v>
      </c>
      <c r="N788" s="5" t="n">
        <v>0</v>
      </c>
      <c r="O788" s="5" t="n">
        <v>0</v>
      </c>
      <c r="P788" s="5" t="n">
        <v>0</v>
      </c>
      <c r="Q788" s="5" t="n">
        <v>0</v>
      </c>
      <c r="R788" s="5" t="n">
        <v>1</v>
      </c>
      <c r="S788" s="5" t="n">
        <v>0</v>
      </c>
      <c r="T788" s="5" t="n">
        <v>0</v>
      </c>
      <c r="U788" s="5" t="inlineStr">
        <is>
          <t>training</t>
        </is>
      </c>
    </row>
    <row r="789">
      <c r="A789" s="5" t="n">
        <v>785</v>
      </c>
      <c r="B789" s="5" t="n">
        <v>0</v>
      </c>
      <c r="C789" s="6" t="n">
        <v>-0.06162940437414574</v>
      </c>
      <c r="D789" s="6" t="n">
        <v>1.125711417660841</v>
      </c>
      <c r="E789" s="6" t="n">
        <v>2.127360086273267</v>
      </c>
      <c r="F789" s="6" t="n">
        <v>-1.786844513613144</v>
      </c>
      <c r="G789" s="5" t="n">
        <v>0</v>
      </c>
      <c r="H789" s="5" t="n">
        <v>1</v>
      </c>
      <c r="I789" s="5" t="n">
        <v>0</v>
      </c>
      <c r="J789" s="5" t="n">
        <v>0</v>
      </c>
      <c r="K789" s="5" t="n">
        <v>0</v>
      </c>
      <c r="L789" s="5" t="n">
        <v>0</v>
      </c>
      <c r="M789" s="5" t="n">
        <v>0</v>
      </c>
      <c r="N789" s="5" t="n">
        <v>0</v>
      </c>
      <c r="O789" s="5" t="n">
        <v>1</v>
      </c>
      <c r="P789" s="5" t="n">
        <v>0</v>
      </c>
      <c r="Q789" s="5" t="n">
        <v>0</v>
      </c>
      <c r="R789" s="5" t="n">
        <v>1</v>
      </c>
      <c r="S789" s="5" t="n">
        <v>0</v>
      </c>
      <c r="T789" s="5" t="n">
        <v>0</v>
      </c>
      <c r="U789" s="5" t="inlineStr">
        <is>
          <t>testing</t>
        </is>
      </c>
    </row>
    <row r="790">
      <c r="A790" s="5" t="n">
        <v>786</v>
      </c>
      <c r="B790" s="5" t="n">
        <v>0</v>
      </c>
      <c r="C790" s="6" t="n">
        <v>-0.2301473069597001</v>
      </c>
      <c r="D790" s="6" t="n">
        <v>-0.4582530243655754</v>
      </c>
      <c r="E790" s="6" t="n">
        <v>-0.04696543117692405</v>
      </c>
      <c r="F790" s="6" t="n">
        <v>0.9185437189662378</v>
      </c>
      <c r="G790" s="5" t="n">
        <v>0</v>
      </c>
      <c r="H790" s="5" t="n">
        <v>1</v>
      </c>
      <c r="I790" s="5" t="n">
        <v>0</v>
      </c>
      <c r="J790" s="5" t="n">
        <v>0</v>
      </c>
      <c r="K790" s="5" t="n">
        <v>0</v>
      </c>
      <c r="L790" s="5" t="n">
        <v>0</v>
      </c>
      <c r="M790" s="5" t="n">
        <v>0</v>
      </c>
      <c r="N790" s="5" t="n">
        <v>1</v>
      </c>
      <c r="O790" s="5" t="n">
        <v>0</v>
      </c>
      <c r="P790" s="5" t="n">
        <v>0</v>
      </c>
      <c r="Q790" s="5" t="n">
        <v>0</v>
      </c>
      <c r="R790" s="5" t="n">
        <v>0</v>
      </c>
      <c r="S790" s="5" t="n">
        <v>0</v>
      </c>
      <c r="T790" s="5" t="n">
        <v>0</v>
      </c>
      <c r="U790" s="5" t="inlineStr">
        <is>
          <t>training</t>
        </is>
      </c>
    </row>
    <row r="791">
      <c r="A791" s="5" t="n">
        <v>787</v>
      </c>
      <c r="B791" s="5" t="n">
        <v>0</v>
      </c>
      <c r="C791" s="6" t="n">
        <v>0.1068884982114086</v>
      </c>
      <c r="D791" s="6" t="n">
        <v>-0.2014317519009433</v>
      </c>
      <c r="E791" s="6" t="n">
        <v>0.3878996723131141</v>
      </c>
      <c r="F791" s="6" t="n">
        <v>0.01674764143977723</v>
      </c>
      <c r="G791" s="5" t="n">
        <v>0</v>
      </c>
      <c r="H791" s="5" t="n">
        <v>0</v>
      </c>
      <c r="I791" s="5" t="n">
        <v>0</v>
      </c>
      <c r="J791" s="5" t="n">
        <v>0</v>
      </c>
      <c r="K791" s="5" t="n">
        <v>0</v>
      </c>
      <c r="L791" s="5" t="n">
        <v>0</v>
      </c>
      <c r="M791" s="5" t="n">
        <v>1</v>
      </c>
      <c r="N791" s="5" t="n">
        <v>0</v>
      </c>
      <c r="O791" s="5" t="n">
        <v>0</v>
      </c>
      <c r="P791" s="5" t="n">
        <v>0</v>
      </c>
      <c r="Q791" s="5" t="n">
        <v>0</v>
      </c>
      <c r="R791" s="5" t="n">
        <v>0</v>
      </c>
      <c r="S791" s="5" t="n">
        <v>1</v>
      </c>
      <c r="T791" s="5" t="n">
        <v>0</v>
      </c>
      <c r="U791" s="5" t="inlineStr">
        <is>
          <t>training</t>
        </is>
      </c>
    </row>
    <row r="792">
      <c r="A792" s="5" t="n">
        <v>788</v>
      </c>
      <c r="B792" s="5" t="n">
        <v>0</v>
      </c>
      <c r="C792" s="6" t="n">
        <v>2.297621231823615</v>
      </c>
      <c r="D792" s="6" t="n">
        <v>-0.1748399035258588</v>
      </c>
      <c r="E792" s="6" t="n">
        <v>0.2139536309170988</v>
      </c>
      <c r="F792" s="6" t="n">
        <v>0.9185437189662378</v>
      </c>
      <c r="G792" s="5" t="n">
        <v>0</v>
      </c>
      <c r="H792" s="5" t="n">
        <v>0</v>
      </c>
      <c r="I792" s="5" t="n">
        <v>0</v>
      </c>
      <c r="J792" s="5" t="n">
        <v>1</v>
      </c>
      <c r="K792" s="5" t="n">
        <v>0</v>
      </c>
      <c r="L792" s="5" t="n">
        <v>0</v>
      </c>
      <c r="M792" s="5" t="n">
        <v>0</v>
      </c>
      <c r="N792" s="5" t="n">
        <v>0</v>
      </c>
      <c r="O792" s="5" t="n">
        <v>1</v>
      </c>
      <c r="P792" s="5" t="n">
        <v>0</v>
      </c>
      <c r="Q792" s="5" t="n">
        <v>0</v>
      </c>
      <c r="R792" s="5" t="n">
        <v>1</v>
      </c>
      <c r="S792" s="5" t="n">
        <v>0</v>
      </c>
      <c r="T792" s="5" t="n">
        <v>0</v>
      </c>
      <c r="U792" s="5" t="inlineStr">
        <is>
          <t>training</t>
        </is>
      </c>
    </row>
    <row r="793">
      <c r="A793" s="5" t="n">
        <v>789</v>
      </c>
      <c r="B793" s="5" t="n">
        <v>1</v>
      </c>
      <c r="C793" s="6" t="n">
        <v>2.297621231823615</v>
      </c>
      <c r="D793" s="6" t="n">
        <v>1.040337588667148</v>
      </c>
      <c r="E793" s="6" t="n">
        <v>1.257629879293191</v>
      </c>
      <c r="F793" s="6" t="n">
        <v>0.9185437189662378</v>
      </c>
      <c r="G793" s="5" t="n">
        <v>0</v>
      </c>
      <c r="H793" s="5" t="n">
        <v>1</v>
      </c>
      <c r="I793" s="5" t="n">
        <v>0</v>
      </c>
      <c r="J793" s="5" t="n">
        <v>0</v>
      </c>
      <c r="K793" s="5" t="n">
        <v>1</v>
      </c>
      <c r="L793" s="5" t="n">
        <v>0</v>
      </c>
      <c r="M793" s="5" t="n">
        <v>0</v>
      </c>
      <c r="N793" s="5" t="n">
        <v>0</v>
      </c>
      <c r="O793" s="5" t="n">
        <v>0</v>
      </c>
      <c r="P793" s="5" t="n">
        <v>0</v>
      </c>
      <c r="Q793" s="5" t="n">
        <v>1</v>
      </c>
      <c r="R793" s="5" t="n">
        <v>0</v>
      </c>
      <c r="S793" s="5" t="n">
        <v>0</v>
      </c>
      <c r="T793" s="5" t="n">
        <v>0</v>
      </c>
      <c r="U793" s="5" t="inlineStr">
        <is>
          <t>training</t>
        </is>
      </c>
    </row>
    <row r="794">
      <c r="A794" s="5" t="n">
        <v>790</v>
      </c>
      <c r="B794" s="5" t="n">
        <v>1</v>
      </c>
      <c r="C794" s="6" t="n">
        <v>1.623549621481398</v>
      </c>
      <c r="D794" s="6" t="n">
        <v>0.9612618290254498</v>
      </c>
      <c r="E794" s="6" t="n">
        <v>-0.7427495967609852</v>
      </c>
      <c r="F794" s="6" t="n">
        <v>0.9185437189662378</v>
      </c>
      <c r="G794" s="5" t="n">
        <v>1</v>
      </c>
      <c r="H794" s="5" t="n">
        <v>0</v>
      </c>
      <c r="I794" s="5" t="n">
        <v>0</v>
      </c>
      <c r="J794" s="5" t="n">
        <v>1</v>
      </c>
      <c r="K794" s="5" t="n">
        <v>0</v>
      </c>
      <c r="L794" s="5" t="n">
        <v>0</v>
      </c>
      <c r="M794" s="5" t="n">
        <v>0</v>
      </c>
      <c r="N794" s="5" t="n">
        <v>0</v>
      </c>
      <c r="O794" s="5" t="n">
        <v>0</v>
      </c>
      <c r="P794" s="5" t="n">
        <v>0</v>
      </c>
      <c r="Q794" s="5" t="n">
        <v>0</v>
      </c>
      <c r="R794" s="5" t="n">
        <v>0</v>
      </c>
      <c r="S794" s="5" t="n">
        <v>0</v>
      </c>
      <c r="T794" s="5" t="n">
        <v>0</v>
      </c>
      <c r="U794" s="5" t="inlineStr">
        <is>
          <t>testing</t>
        </is>
      </c>
    </row>
    <row r="795">
      <c r="A795" s="5" t="n">
        <v>791</v>
      </c>
      <c r="B795" s="5" t="n">
        <v>1</v>
      </c>
      <c r="C795" s="6" t="n">
        <v>0.02262954691863145</v>
      </c>
      <c r="D795" s="6" t="n">
        <v>-0.7217222589239787</v>
      </c>
      <c r="E795" s="6" t="n">
        <v>0.3009266516151065</v>
      </c>
      <c r="F795" s="6" t="n">
        <v>-0.8850484360866833</v>
      </c>
      <c r="G795" s="5" t="n">
        <v>0</v>
      </c>
      <c r="H795" s="5" t="n">
        <v>1</v>
      </c>
      <c r="I795" s="5" t="n">
        <v>0</v>
      </c>
      <c r="J795" s="5" t="n">
        <v>0</v>
      </c>
      <c r="K795" s="5" t="n">
        <v>0</v>
      </c>
      <c r="L795" s="5" t="n">
        <v>0</v>
      </c>
      <c r="M795" s="5" t="n">
        <v>0</v>
      </c>
      <c r="N795" s="5" t="n">
        <v>0</v>
      </c>
      <c r="O795" s="5" t="n">
        <v>0</v>
      </c>
      <c r="P795" s="5" t="n">
        <v>0</v>
      </c>
      <c r="Q795" s="5" t="n">
        <v>0</v>
      </c>
      <c r="R795" s="5" t="n">
        <v>0</v>
      </c>
      <c r="S795" s="5" t="n">
        <v>0</v>
      </c>
      <c r="T795" s="5" t="n">
        <v>0</v>
      </c>
      <c r="U795" s="5" t="inlineStr">
        <is>
          <t>training</t>
        </is>
      </c>
    </row>
    <row r="796">
      <c r="A796" s="5" t="n">
        <v>792</v>
      </c>
      <c r="B796" s="5" t="n">
        <v>0</v>
      </c>
      <c r="C796" s="6" t="n">
        <v>0.275406400796963</v>
      </c>
      <c r="D796" s="6" t="n">
        <v>1.07147804268534</v>
      </c>
      <c r="E796" s="6" t="n">
        <v>0.4748726930111218</v>
      </c>
      <c r="F796" s="6" t="n">
        <v>0.01674764143977723</v>
      </c>
      <c r="G796" s="5" t="n">
        <v>0</v>
      </c>
      <c r="H796" s="5" t="n">
        <v>0</v>
      </c>
      <c r="I796" s="5" t="n">
        <v>0</v>
      </c>
      <c r="J796" s="5" t="n">
        <v>0</v>
      </c>
      <c r="K796" s="5" t="n">
        <v>0</v>
      </c>
      <c r="L796" s="5" t="n">
        <v>0</v>
      </c>
      <c r="M796" s="5" t="n">
        <v>0</v>
      </c>
      <c r="N796" s="5" t="n">
        <v>0</v>
      </c>
      <c r="O796" s="5" t="n">
        <v>1</v>
      </c>
      <c r="P796" s="5" t="n">
        <v>0</v>
      </c>
      <c r="Q796" s="5" t="n">
        <v>0</v>
      </c>
      <c r="R796" s="5" t="n">
        <v>1</v>
      </c>
      <c r="S796" s="5" t="n">
        <v>0</v>
      </c>
      <c r="T796" s="5" t="n">
        <v>0</v>
      </c>
      <c r="U796" s="5" t="inlineStr">
        <is>
          <t>testing</t>
        </is>
      </c>
    </row>
    <row r="797">
      <c r="A797" s="5" t="n">
        <v>793</v>
      </c>
      <c r="B797" s="5" t="n">
        <v>0</v>
      </c>
      <c r="C797" s="6" t="n">
        <v>-1.241254722473026</v>
      </c>
      <c r="D797" s="6" t="n">
        <v>-0.7101757984453235</v>
      </c>
      <c r="E797" s="6" t="n">
        <v>-0.7427495967609852</v>
      </c>
      <c r="F797" s="6" t="n">
        <v>-1.786844513613144</v>
      </c>
      <c r="G797" s="5" t="n">
        <v>0</v>
      </c>
      <c r="H797" s="5" t="n">
        <v>0</v>
      </c>
      <c r="I797" s="5" t="n">
        <v>0</v>
      </c>
      <c r="J797" s="5" t="n">
        <v>1</v>
      </c>
      <c r="K797" s="5" t="n">
        <v>0</v>
      </c>
      <c r="L797" s="5" t="n">
        <v>0</v>
      </c>
      <c r="M797" s="5" t="n">
        <v>0</v>
      </c>
      <c r="N797" s="5" t="n">
        <v>0</v>
      </c>
      <c r="O797" s="5" t="n">
        <v>1</v>
      </c>
      <c r="P797" s="5" t="n">
        <v>0</v>
      </c>
      <c r="Q797" s="5" t="n">
        <v>0</v>
      </c>
      <c r="R797" s="5" t="n">
        <v>0</v>
      </c>
      <c r="S797" s="5" t="n">
        <v>0</v>
      </c>
      <c r="T797" s="5" t="n">
        <v>1</v>
      </c>
      <c r="U797" s="5" t="inlineStr">
        <is>
          <t>training</t>
        </is>
      </c>
    </row>
    <row r="798">
      <c r="A798" s="5" t="n">
        <v>794</v>
      </c>
      <c r="B798" s="5" t="n">
        <v>0</v>
      </c>
      <c r="C798" s="6" t="n">
        <v>0.275406400796963</v>
      </c>
      <c r="D798" s="6" t="n">
        <v>-0.1255050269352414</v>
      </c>
      <c r="E798" s="6" t="n">
        <v>1.344602899991198</v>
      </c>
      <c r="F798" s="6" t="n">
        <v>0.01674764143977723</v>
      </c>
      <c r="G798" s="5" t="n">
        <v>0</v>
      </c>
      <c r="H798" s="5" t="n">
        <v>0</v>
      </c>
      <c r="I798" s="5" t="n">
        <v>1</v>
      </c>
      <c r="J798" s="5" t="n">
        <v>0</v>
      </c>
      <c r="K798" s="5" t="n">
        <v>0</v>
      </c>
      <c r="L798" s="5" t="n">
        <v>0</v>
      </c>
      <c r="M798" s="5" t="n">
        <v>0</v>
      </c>
      <c r="N798" s="5" t="n">
        <v>0</v>
      </c>
      <c r="O798" s="5" t="n">
        <v>0</v>
      </c>
      <c r="P798" s="5" t="n">
        <v>0</v>
      </c>
      <c r="Q798" s="5" t="n">
        <v>1</v>
      </c>
      <c r="R798" s="5" t="n">
        <v>0</v>
      </c>
      <c r="S798" s="5" t="n">
        <v>0</v>
      </c>
      <c r="T798" s="5" t="n">
        <v>1</v>
      </c>
      <c r="U798" s="5" t="inlineStr">
        <is>
          <t>training</t>
        </is>
      </c>
    </row>
    <row r="799">
      <c r="A799" s="5" t="n">
        <v>795</v>
      </c>
      <c r="B799" s="5" t="n">
        <v>0</v>
      </c>
      <c r="C799" s="6" t="n">
        <v>0.275406400796963</v>
      </c>
      <c r="D799" s="6" t="n">
        <v>-0.06602326083307868</v>
      </c>
      <c r="E799" s="6" t="n">
        <v>-0.307884493270947</v>
      </c>
      <c r="F799" s="6" t="n">
        <v>0.9185437189662378</v>
      </c>
      <c r="G799" s="5" t="n">
        <v>0</v>
      </c>
      <c r="H799" s="5" t="n">
        <v>0</v>
      </c>
      <c r="I799" s="5" t="n">
        <v>0</v>
      </c>
      <c r="J799" s="5" t="n">
        <v>0</v>
      </c>
      <c r="K799" s="5" t="n">
        <v>0</v>
      </c>
      <c r="L799" s="5" t="n">
        <v>0</v>
      </c>
      <c r="M799" s="5" t="n">
        <v>1</v>
      </c>
      <c r="N799" s="5" t="n">
        <v>0</v>
      </c>
      <c r="O799" s="5" t="n">
        <v>0</v>
      </c>
      <c r="P799" s="5" t="n">
        <v>1</v>
      </c>
      <c r="Q799" s="5" t="n">
        <v>0</v>
      </c>
      <c r="R799" s="5" t="n">
        <v>0</v>
      </c>
      <c r="S799" s="5" t="n">
        <v>0</v>
      </c>
      <c r="T799" s="5" t="n">
        <v>1</v>
      </c>
      <c r="U799" s="5" t="inlineStr">
        <is>
          <t>training</t>
        </is>
      </c>
    </row>
    <row r="800">
      <c r="A800" s="5" t="n">
        <v>796</v>
      </c>
      <c r="B800" s="5" t="n">
        <v>0</v>
      </c>
      <c r="C800" s="6" t="n">
        <v>-0.9884778685946948</v>
      </c>
      <c r="D800" s="6" t="n">
        <v>-0.3322916373257013</v>
      </c>
      <c r="E800" s="6" t="n">
        <v>-1.177614700251023</v>
      </c>
      <c r="F800" s="6" t="n">
        <v>-0.8850484360866833</v>
      </c>
      <c r="G800" s="5" t="n">
        <v>0</v>
      </c>
      <c r="H800" s="5" t="n">
        <v>0</v>
      </c>
      <c r="I800" s="5" t="n">
        <v>0</v>
      </c>
      <c r="J800" s="5" t="n">
        <v>0</v>
      </c>
      <c r="K800" s="5" t="n">
        <v>0</v>
      </c>
      <c r="L800" s="5" t="n">
        <v>0</v>
      </c>
      <c r="M800" s="5" t="n">
        <v>1</v>
      </c>
      <c r="N800" s="5" t="n">
        <v>0</v>
      </c>
      <c r="O800" s="5" t="n">
        <v>0</v>
      </c>
      <c r="P800" s="5" t="n">
        <v>1</v>
      </c>
      <c r="Q800" s="5" t="n">
        <v>0</v>
      </c>
      <c r="R800" s="5" t="n">
        <v>0</v>
      </c>
      <c r="S800" s="5" t="n">
        <v>0</v>
      </c>
      <c r="T800" s="5" t="n">
        <v>1</v>
      </c>
      <c r="U800" s="5" t="inlineStr">
        <is>
          <t>training</t>
        </is>
      </c>
    </row>
    <row r="801">
      <c r="A801" s="5" t="n">
        <v>797</v>
      </c>
      <c r="B801" s="5" t="n">
        <v>1</v>
      </c>
      <c r="C801" s="6" t="n">
        <v>-0.2301473069597001</v>
      </c>
      <c r="D801" s="6" t="n">
        <v>1.490649547334698</v>
      </c>
      <c r="E801" s="6" t="n">
        <v>1.344602899991198</v>
      </c>
      <c r="F801" s="6" t="n">
        <v>-1.786844513613144</v>
      </c>
      <c r="G801" s="5" t="n">
        <v>1</v>
      </c>
      <c r="H801" s="5" t="n">
        <v>0</v>
      </c>
      <c r="I801" s="5" t="n">
        <v>0</v>
      </c>
      <c r="J801" s="5" t="n">
        <v>0</v>
      </c>
      <c r="K801" s="5" t="n">
        <v>0</v>
      </c>
      <c r="L801" s="5" t="n">
        <v>0</v>
      </c>
      <c r="M801" s="5" t="n">
        <v>0</v>
      </c>
      <c r="N801" s="5" t="n">
        <v>0</v>
      </c>
      <c r="O801" s="5" t="n">
        <v>1</v>
      </c>
      <c r="P801" s="5" t="n">
        <v>0</v>
      </c>
      <c r="Q801" s="5" t="n">
        <v>1</v>
      </c>
      <c r="R801" s="5" t="n">
        <v>1</v>
      </c>
      <c r="S801" s="5" t="n">
        <v>0</v>
      </c>
      <c r="T801" s="5" t="n">
        <v>0</v>
      </c>
      <c r="U801" s="5" t="inlineStr">
        <is>
          <t>training</t>
        </is>
      </c>
    </row>
    <row r="802">
      <c r="A802" s="5" t="n">
        <v>798</v>
      </c>
      <c r="B802" s="5" t="n">
        <v>0</v>
      </c>
      <c r="C802" s="6" t="n">
        <v>-0.7357010147163632</v>
      </c>
      <c r="D802" s="6" t="n">
        <v>-0.6972297669995587</v>
      </c>
      <c r="E802" s="6" t="n">
        <v>-1.177614700251023</v>
      </c>
      <c r="F802" s="6" t="n">
        <v>-0.8850484360866833</v>
      </c>
      <c r="G802" s="5" t="n">
        <v>0</v>
      </c>
      <c r="H802" s="5" t="n">
        <v>0</v>
      </c>
      <c r="I802" s="5" t="n">
        <v>0</v>
      </c>
      <c r="J802" s="5" t="n">
        <v>1</v>
      </c>
      <c r="K802" s="5" t="n">
        <v>0</v>
      </c>
      <c r="L802" s="5" t="n">
        <v>0</v>
      </c>
      <c r="M802" s="5" t="n">
        <v>0</v>
      </c>
      <c r="N802" s="5" t="n">
        <v>0</v>
      </c>
      <c r="O802" s="5" t="n">
        <v>0</v>
      </c>
      <c r="P802" s="5" t="n">
        <v>1</v>
      </c>
      <c r="Q802" s="5" t="n">
        <v>0</v>
      </c>
      <c r="R802" s="5" t="n">
        <v>0</v>
      </c>
      <c r="S802" s="5" t="n">
        <v>0</v>
      </c>
      <c r="T802" s="5" t="n">
        <v>1</v>
      </c>
      <c r="U802" s="5" t="inlineStr">
        <is>
          <t>testing</t>
        </is>
      </c>
    </row>
    <row r="803">
      <c r="A803" s="5" t="n">
        <v>799</v>
      </c>
      <c r="B803" s="5" t="n">
        <v>0</v>
      </c>
      <c r="C803" s="6" t="n">
        <v>0.275406400796963</v>
      </c>
      <c r="D803" s="6" t="n">
        <v>-0.8865217403011472</v>
      </c>
      <c r="E803" s="6" t="n">
        <v>1.605521962085221</v>
      </c>
      <c r="F803" s="6" t="n">
        <v>0.9185437189662378</v>
      </c>
      <c r="G803" s="5" t="n">
        <v>0</v>
      </c>
      <c r="H803" s="5" t="n">
        <v>0</v>
      </c>
      <c r="I803" s="5" t="n">
        <v>0</v>
      </c>
      <c r="J803" s="5" t="n">
        <v>0</v>
      </c>
      <c r="K803" s="5" t="n">
        <v>1</v>
      </c>
      <c r="L803" s="5" t="n">
        <v>0</v>
      </c>
      <c r="M803" s="5" t="n">
        <v>0</v>
      </c>
      <c r="N803" s="5" t="n">
        <v>0</v>
      </c>
      <c r="O803" s="5" t="n">
        <v>1</v>
      </c>
      <c r="P803" s="5" t="n">
        <v>0</v>
      </c>
      <c r="Q803" s="5" t="n">
        <v>0</v>
      </c>
      <c r="R803" s="5" t="n">
        <v>1</v>
      </c>
      <c r="S803" s="5" t="n">
        <v>0</v>
      </c>
      <c r="T803" s="5" t="n">
        <v>0</v>
      </c>
      <c r="U803" s="5" t="inlineStr">
        <is>
          <t>training</t>
        </is>
      </c>
    </row>
    <row r="804">
      <c r="A804" s="5" t="n">
        <v>800</v>
      </c>
      <c r="B804" s="5" t="n">
        <v>0</v>
      </c>
      <c r="C804" s="6" t="n">
        <v>-0.9884778685946948</v>
      </c>
      <c r="D804" s="6" t="n">
        <v>-0.5954109791423272</v>
      </c>
      <c r="E804" s="6" t="n">
        <v>-0.04696543117692405</v>
      </c>
      <c r="F804" s="6" t="n">
        <v>0.9185437189662378</v>
      </c>
      <c r="G804" s="5" t="n">
        <v>0</v>
      </c>
      <c r="H804" s="5" t="n">
        <v>1</v>
      </c>
      <c r="I804" s="5" t="n">
        <v>0</v>
      </c>
      <c r="J804" s="5" t="n">
        <v>0</v>
      </c>
      <c r="K804" s="5" t="n">
        <v>0</v>
      </c>
      <c r="L804" s="5" t="n">
        <v>0</v>
      </c>
      <c r="M804" s="5" t="n">
        <v>0</v>
      </c>
      <c r="N804" s="5" t="n">
        <v>0</v>
      </c>
      <c r="O804" s="5" t="n">
        <v>1</v>
      </c>
      <c r="P804" s="5" t="n">
        <v>0</v>
      </c>
      <c r="Q804" s="5" t="n">
        <v>0</v>
      </c>
      <c r="R804" s="5" t="n">
        <v>1</v>
      </c>
      <c r="S804" s="5" t="n">
        <v>0</v>
      </c>
      <c r="T804" s="5" t="n">
        <v>0</v>
      </c>
      <c r="U804" s="5" t="inlineStr">
        <is>
          <t>training</t>
        </is>
      </c>
    </row>
    <row r="805">
      <c r="A805" s="5" t="n">
        <v>801</v>
      </c>
      <c r="B805" s="5" t="n">
        <v>0</v>
      </c>
      <c r="C805" s="6" t="n">
        <v>0.275406400796963</v>
      </c>
      <c r="D805" s="6" t="n">
        <v>-0.5786161275370106</v>
      </c>
      <c r="E805" s="6" t="n">
        <v>1.605521962085221</v>
      </c>
      <c r="F805" s="6" t="n">
        <v>0.9185437189662378</v>
      </c>
      <c r="G805" s="5" t="n">
        <v>0</v>
      </c>
      <c r="H805" s="5" t="n">
        <v>0</v>
      </c>
      <c r="I805" s="5" t="n">
        <v>0</v>
      </c>
      <c r="J805" s="5" t="n">
        <v>1</v>
      </c>
      <c r="K805" s="5" t="n">
        <v>0</v>
      </c>
      <c r="L805" s="5" t="n">
        <v>0</v>
      </c>
      <c r="M805" s="5" t="n">
        <v>0</v>
      </c>
      <c r="N805" s="5" t="n">
        <v>0</v>
      </c>
      <c r="O805" s="5" t="n">
        <v>0</v>
      </c>
      <c r="P805" s="5" t="n">
        <v>0</v>
      </c>
      <c r="Q805" s="5" t="n">
        <v>1</v>
      </c>
      <c r="R805" s="5" t="n">
        <v>0</v>
      </c>
      <c r="S805" s="5" t="n">
        <v>0</v>
      </c>
      <c r="T805" s="5" t="n">
        <v>0</v>
      </c>
      <c r="U805" s="5" t="inlineStr">
        <is>
          <t>training</t>
        </is>
      </c>
    </row>
    <row r="806">
      <c r="A806" s="5" t="n">
        <v>802</v>
      </c>
      <c r="B806" s="5" t="n">
        <v>0</v>
      </c>
      <c r="C806" s="6" t="n">
        <v>-0.2301473069597001</v>
      </c>
      <c r="D806" s="6" t="n">
        <v>-0.5093373646650798</v>
      </c>
      <c r="E806" s="6" t="n">
        <v>1.083683837897175</v>
      </c>
      <c r="F806" s="6" t="n">
        <v>0.01674764143977723</v>
      </c>
      <c r="G806" s="5" t="n">
        <v>0</v>
      </c>
      <c r="H806" s="5" t="n">
        <v>1</v>
      </c>
      <c r="I806" s="5" t="n">
        <v>0</v>
      </c>
      <c r="J806" s="5" t="n">
        <v>1</v>
      </c>
      <c r="K806" s="5" t="n">
        <v>0</v>
      </c>
      <c r="L806" s="5" t="n">
        <v>0</v>
      </c>
      <c r="M806" s="5" t="n">
        <v>0</v>
      </c>
      <c r="N806" s="5" t="n">
        <v>0</v>
      </c>
      <c r="O806" s="5" t="n">
        <v>0</v>
      </c>
      <c r="P806" s="5" t="n">
        <v>1</v>
      </c>
      <c r="Q806" s="5" t="n">
        <v>0</v>
      </c>
      <c r="R806" s="5" t="n">
        <v>0</v>
      </c>
      <c r="S806" s="5" t="n">
        <v>1</v>
      </c>
      <c r="T806" s="5" t="n">
        <v>0</v>
      </c>
      <c r="U806" s="5" t="inlineStr">
        <is>
          <t>testing</t>
        </is>
      </c>
    </row>
    <row r="807">
      <c r="A807" s="5" t="n">
        <v>803</v>
      </c>
      <c r="B807" s="5" t="n">
        <v>0</v>
      </c>
      <c r="C807" s="6" t="n">
        <v>-0.06162940437414574</v>
      </c>
      <c r="D807" s="6" t="n">
        <v>0.3573469567176091</v>
      </c>
      <c r="E807" s="6" t="n">
        <v>-1.003668658855008</v>
      </c>
      <c r="F807" s="6" t="n">
        <v>-1.786844513613144</v>
      </c>
      <c r="G807" s="5" t="n">
        <v>1</v>
      </c>
      <c r="H807" s="5" t="n">
        <v>0</v>
      </c>
      <c r="I807" s="5" t="n">
        <v>0</v>
      </c>
      <c r="J807" s="5" t="n">
        <v>1</v>
      </c>
      <c r="K807" s="5" t="n">
        <v>0</v>
      </c>
      <c r="L807" s="5" t="n">
        <v>0</v>
      </c>
      <c r="M807" s="5" t="n">
        <v>0</v>
      </c>
      <c r="N807" s="5" t="n">
        <v>0</v>
      </c>
      <c r="O807" s="5" t="n">
        <v>0</v>
      </c>
      <c r="P807" s="5" t="n">
        <v>0</v>
      </c>
      <c r="Q807" s="5" t="n">
        <v>0</v>
      </c>
      <c r="R807" s="5" t="n">
        <v>0</v>
      </c>
      <c r="S807" s="5" t="n">
        <v>0</v>
      </c>
      <c r="T807" s="5" t="n">
        <v>1</v>
      </c>
      <c r="U807" s="5" t="inlineStr">
        <is>
          <t>training</t>
        </is>
      </c>
    </row>
    <row r="808">
      <c r="A808" s="5" t="n">
        <v>804</v>
      </c>
      <c r="B808" s="5" t="n">
        <v>0</v>
      </c>
      <c r="C808" s="6" t="n">
        <v>-0.7357010147163632</v>
      </c>
      <c r="D808" s="6" t="n">
        <v>-0.7958995201807934</v>
      </c>
      <c r="E808" s="6" t="n">
        <v>-0.04696543117692405</v>
      </c>
      <c r="F808" s="6" t="n">
        <v>0.9185437189662378</v>
      </c>
      <c r="G808" s="5" t="n">
        <v>0</v>
      </c>
      <c r="H808" s="5" t="n">
        <v>0</v>
      </c>
      <c r="I808" s="5" t="n">
        <v>0</v>
      </c>
      <c r="J808" s="5" t="n">
        <v>1</v>
      </c>
      <c r="K808" s="5" t="n">
        <v>0</v>
      </c>
      <c r="L808" s="5" t="n">
        <v>0</v>
      </c>
      <c r="M808" s="5" t="n">
        <v>0</v>
      </c>
      <c r="N808" s="5" t="n">
        <v>0</v>
      </c>
      <c r="O808" s="5" t="n">
        <v>1</v>
      </c>
      <c r="P808" s="5" t="n">
        <v>0</v>
      </c>
      <c r="Q808" s="5" t="n">
        <v>0</v>
      </c>
      <c r="R808" s="5" t="n">
        <v>0</v>
      </c>
      <c r="S808" s="5" t="n">
        <v>1</v>
      </c>
      <c r="T808" s="5" t="n">
        <v>0</v>
      </c>
      <c r="U808" s="5" t="inlineStr">
        <is>
          <t>training</t>
        </is>
      </c>
    </row>
    <row r="809">
      <c r="A809" s="5" t="n">
        <v>805</v>
      </c>
      <c r="B809" s="5" t="n">
        <v>0</v>
      </c>
      <c r="C809" s="6" t="n">
        <v>-0.7357010147163632</v>
      </c>
      <c r="D809" s="6" t="n">
        <v>1.477003730405379</v>
      </c>
      <c r="E809" s="6" t="n">
        <v>-1.003668658855008</v>
      </c>
      <c r="F809" s="6" t="n">
        <v>-1.786844513613144</v>
      </c>
      <c r="G809" s="5" t="n">
        <v>0</v>
      </c>
      <c r="H809" s="5" t="n">
        <v>1</v>
      </c>
      <c r="I809" s="5" t="n">
        <v>0</v>
      </c>
      <c r="J809" s="5" t="n">
        <v>0</v>
      </c>
      <c r="K809" s="5" t="n">
        <v>0</v>
      </c>
      <c r="L809" s="5" t="n">
        <v>0</v>
      </c>
      <c r="M809" s="5" t="n">
        <v>0</v>
      </c>
      <c r="N809" s="5" t="n">
        <v>0</v>
      </c>
      <c r="O809" s="5" t="n">
        <v>1</v>
      </c>
      <c r="P809" s="5" t="n">
        <v>1</v>
      </c>
      <c r="Q809" s="5" t="n">
        <v>0</v>
      </c>
      <c r="R809" s="5" t="n">
        <v>1</v>
      </c>
      <c r="S809" s="5" t="n">
        <v>0</v>
      </c>
      <c r="T809" s="5" t="n">
        <v>0</v>
      </c>
      <c r="U809" s="5" t="inlineStr">
        <is>
          <t>training</t>
        </is>
      </c>
    </row>
    <row r="810">
      <c r="A810" s="5" t="n">
        <v>806</v>
      </c>
      <c r="B810" s="5" t="n">
        <v>1</v>
      </c>
      <c r="C810" s="6" t="n">
        <v>1.286513816310289</v>
      </c>
      <c r="D810" s="6" t="n">
        <v>2.106460772862972</v>
      </c>
      <c r="E810" s="6" t="n">
        <v>-1.003668658855008</v>
      </c>
      <c r="F810" s="6" t="n">
        <v>-0.8850484360866833</v>
      </c>
      <c r="G810" s="5" t="n">
        <v>1</v>
      </c>
      <c r="H810" s="5" t="n">
        <v>0</v>
      </c>
      <c r="I810" s="5" t="n">
        <v>0</v>
      </c>
      <c r="J810" s="5" t="n">
        <v>0</v>
      </c>
      <c r="K810" s="5" t="n">
        <v>0</v>
      </c>
      <c r="L810" s="5" t="n">
        <v>0</v>
      </c>
      <c r="M810" s="5" t="n">
        <v>0</v>
      </c>
      <c r="N810" s="5" t="n">
        <v>0</v>
      </c>
      <c r="O810" s="5" t="n">
        <v>0</v>
      </c>
      <c r="P810" s="5" t="n">
        <v>0</v>
      </c>
      <c r="Q810" s="5" t="n">
        <v>0</v>
      </c>
      <c r="R810" s="5" t="n">
        <v>1</v>
      </c>
      <c r="S810" s="5" t="n">
        <v>0</v>
      </c>
      <c r="T810" s="5" t="n">
        <v>0</v>
      </c>
      <c r="U810" s="5" t="inlineStr">
        <is>
          <t>training</t>
        </is>
      </c>
    </row>
    <row r="811">
      <c r="A811" s="5" t="n">
        <v>807</v>
      </c>
      <c r="B811" s="5" t="n">
        <v>0</v>
      </c>
      <c r="C811" s="6" t="n">
        <v>-1.241254722473026</v>
      </c>
      <c r="D811" s="6" t="n">
        <v>-0.9309581185068806</v>
      </c>
      <c r="E811" s="6" t="n">
        <v>-0.8297226174589928</v>
      </c>
      <c r="F811" s="6" t="n">
        <v>0.01674764143977723</v>
      </c>
      <c r="G811" s="5" t="n">
        <v>0</v>
      </c>
      <c r="H811" s="5" t="n">
        <v>1</v>
      </c>
      <c r="I811" s="5" t="n">
        <v>0</v>
      </c>
      <c r="J811" s="5" t="n">
        <v>0</v>
      </c>
      <c r="K811" s="5" t="n">
        <v>0</v>
      </c>
      <c r="L811" s="5" t="n">
        <v>0</v>
      </c>
      <c r="M811" s="5" t="n">
        <v>0</v>
      </c>
      <c r="N811" s="5" t="n">
        <v>0</v>
      </c>
      <c r="O811" s="5" t="n">
        <v>0</v>
      </c>
      <c r="P811" s="5" t="n">
        <v>0</v>
      </c>
      <c r="Q811" s="5" t="n">
        <v>0</v>
      </c>
      <c r="R811" s="5" t="n">
        <v>0</v>
      </c>
      <c r="S811" s="5" t="n">
        <v>1</v>
      </c>
      <c r="T811" s="5" t="n">
        <v>0</v>
      </c>
      <c r="U811" s="5" t="inlineStr">
        <is>
          <t>training</t>
        </is>
      </c>
    </row>
    <row r="812">
      <c r="A812" s="5" t="n">
        <v>808</v>
      </c>
      <c r="B812" s="5" t="n">
        <v>0</v>
      </c>
      <c r="C812" s="6" t="n">
        <v>-0.7357010147163632</v>
      </c>
      <c r="D812" s="6" t="n">
        <v>-0.8119945863025551</v>
      </c>
      <c r="E812" s="6" t="n">
        <v>2.562225189763305</v>
      </c>
      <c r="F812" s="6" t="n">
        <v>0.9185437189662378</v>
      </c>
      <c r="G812" s="5" t="n">
        <v>0</v>
      </c>
      <c r="H812" s="5" t="n">
        <v>0</v>
      </c>
      <c r="I812" s="5" t="n">
        <v>0</v>
      </c>
      <c r="J812" s="5" t="n">
        <v>1</v>
      </c>
      <c r="K812" s="5" t="n">
        <v>0</v>
      </c>
      <c r="L812" s="5" t="n">
        <v>0</v>
      </c>
      <c r="M812" s="5" t="n">
        <v>0</v>
      </c>
      <c r="N812" s="5" t="n">
        <v>0</v>
      </c>
      <c r="O812" s="5" t="n">
        <v>1</v>
      </c>
      <c r="P812" s="5" t="n">
        <v>0</v>
      </c>
      <c r="Q812" s="5" t="n">
        <v>0</v>
      </c>
      <c r="R812" s="5" t="n">
        <v>0</v>
      </c>
      <c r="S812" s="5" t="n">
        <v>1</v>
      </c>
      <c r="T812" s="5" t="n">
        <v>0</v>
      </c>
      <c r="U812" s="5" t="inlineStr">
        <is>
          <t>testing</t>
        </is>
      </c>
    </row>
    <row r="813">
      <c r="A813" s="5" t="n">
        <v>809</v>
      </c>
      <c r="B813" s="5" t="n">
        <v>0</v>
      </c>
      <c r="C813" s="6" t="n">
        <v>1.792067524066952</v>
      </c>
      <c r="D813" s="6" t="n">
        <v>2.110659485764301</v>
      </c>
      <c r="E813" s="6" t="n">
        <v>1.692494982783229</v>
      </c>
      <c r="F813" s="6" t="n">
        <v>-1.786844513613144</v>
      </c>
      <c r="G813" s="5" t="n">
        <v>0</v>
      </c>
      <c r="H813" s="5" t="n">
        <v>1</v>
      </c>
      <c r="I813" s="5" t="n">
        <v>0</v>
      </c>
      <c r="J813" s="5" t="n">
        <v>0</v>
      </c>
      <c r="K813" s="5" t="n">
        <v>0</v>
      </c>
      <c r="L813" s="5" t="n">
        <v>1</v>
      </c>
      <c r="M813" s="5" t="n">
        <v>0</v>
      </c>
      <c r="N813" s="5" t="n">
        <v>0</v>
      </c>
      <c r="O813" s="5" t="n">
        <v>0</v>
      </c>
      <c r="P813" s="5" t="n">
        <v>0</v>
      </c>
      <c r="Q813" s="5" t="n">
        <v>1</v>
      </c>
      <c r="R813" s="5" t="n">
        <v>1</v>
      </c>
      <c r="S813" s="5" t="n">
        <v>0</v>
      </c>
      <c r="T813" s="5" t="n">
        <v>0</v>
      </c>
      <c r="U813" s="5" t="inlineStr">
        <is>
          <t>testing</t>
        </is>
      </c>
    </row>
    <row r="814">
      <c r="A814" s="5" t="n">
        <v>810</v>
      </c>
      <c r="B814" s="5" t="n">
        <v>1</v>
      </c>
      <c r="C814" s="6" t="n">
        <v>-0.4829241608380317</v>
      </c>
      <c r="D814" s="6" t="n">
        <v>-0.5152855412752961</v>
      </c>
      <c r="E814" s="6" t="n">
        <v>-0.8297226174589928</v>
      </c>
      <c r="F814" s="6" t="n">
        <v>-0.8850484360866833</v>
      </c>
      <c r="G814" s="5" t="n">
        <v>0</v>
      </c>
      <c r="H814" s="5" t="n">
        <v>1</v>
      </c>
      <c r="I814" s="5" t="n">
        <v>0</v>
      </c>
      <c r="J814" s="5" t="n">
        <v>0</v>
      </c>
      <c r="K814" s="5" t="n">
        <v>0</v>
      </c>
      <c r="L814" s="5" t="n">
        <v>1</v>
      </c>
      <c r="M814" s="5" t="n">
        <v>0</v>
      </c>
      <c r="N814" s="5" t="n">
        <v>0</v>
      </c>
      <c r="O814" s="5" t="n">
        <v>0</v>
      </c>
      <c r="P814" s="5" t="n">
        <v>1</v>
      </c>
      <c r="Q814" s="5" t="n">
        <v>0</v>
      </c>
      <c r="R814" s="5" t="n">
        <v>1</v>
      </c>
      <c r="S814" s="5" t="n">
        <v>0</v>
      </c>
      <c r="T814" s="5" t="n">
        <v>0</v>
      </c>
      <c r="U814" s="5" t="inlineStr">
        <is>
          <t>training</t>
        </is>
      </c>
    </row>
    <row r="815">
      <c r="A815" s="5" t="n">
        <v>811</v>
      </c>
      <c r="B815" s="5" t="n">
        <v>0</v>
      </c>
      <c r="C815" s="6" t="n">
        <v>-1.072736819887472</v>
      </c>
      <c r="D815" s="6" t="n">
        <v>-0.8200421193634359</v>
      </c>
      <c r="E815" s="6" t="n">
        <v>-0.8297226174589928</v>
      </c>
      <c r="F815" s="6" t="n">
        <v>0.01674764143977723</v>
      </c>
      <c r="G815" s="5" t="n">
        <v>0</v>
      </c>
      <c r="H815" s="5" t="n">
        <v>1</v>
      </c>
      <c r="I815" s="5" t="n">
        <v>0</v>
      </c>
      <c r="J815" s="5" t="n">
        <v>0</v>
      </c>
      <c r="K815" s="5" t="n">
        <v>0</v>
      </c>
      <c r="L815" s="5" t="n">
        <v>0</v>
      </c>
      <c r="M815" s="5" t="n">
        <v>0</v>
      </c>
      <c r="N815" s="5" t="n">
        <v>0</v>
      </c>
      <c r="O815" s="5" t="n">
        <v>0</v>
      </c>
      <c r="P815" s="5" t="n">
        <v>0</v>
      </c>
      <c r="Q815" s="5" t="n">
        <v>0</v>
      </c>
      <c r="R815" s="5" t="n">
        <v>0</v>
      </c>
      <c r="S815" s="5" t="n">
        <v>0</v>
      </c>
      <c r="T815" s="5" t="n">
        <v>0</v>
      </c>
      <c r="U815" s="5" t="inlineStr">
        <is>
          <t>testing</t>
        </is>
      </c>
    </row>
    <row r="816">
      <c r="A816" s="5" t="n">
        <v>812</v>
      </c>
      <c r="B816" s="5" t="n">
        <v>0</v>
      </c>
      <c r="C816" s="6" t="n">
        <v>-1.241254722473026</v>
      </c>
      <c r="D816" s="6" t="n">
        <v>-0.9680467491352879</v>
      </c>
      <c r="E816" s="6" t="n">
        <v>-0.6557765760629775</v>
      </c>
      <c r="F816" s="6" t="n">
        <v>0.01674764143977723</v>
      </c>
      <c r="G816" s="5" t="n">
        <v>0</v>
      </c>
      <c r="H816" s="5" t="n">
        <v>1</v>
      </c>
      <c r="I816" s="5" t="n">
        <v>0</v>
      </c>
      <c r="J816" s="5" t="n">
        <v>0</v>
      </c>
      <c r="K816" s="5" t="n">
        <v>0</v>
      </c>
      <c r="L816" s="5" t="n">
        <v>0</v>
      </c>
      <c r="M816" s="5" t="n">
        <v>0</v>
      </c>
      <c r="N816" s="5" t="n">
        <v>0</v>
      </c>
      <c r="O816" s="5" t="n">
        <v>0</v>
      </c>
      <c r="P816" s="5" t="n">
        <v>0</v>
      </c>
      <c r="Q816" s="5" t="n">
        <v>0</v>
      </c>
      <c r="R816" s="5" t="n">
        <v>0</v>
      </c>
      <c r="S816" s="5" t="n">
        <v>1</v>
      </c>
      <c r="T816" s="5" t="n">
        <v>0</v>
      </c>
      <c r="U816" s="5" t="inlineStr">
        <is>
          <t>training</t>
        </is>
      </c>
    </row>
    <row r="817">
      <c r="A817" s="5" t="n">
        <v>813</v>
      </c>
      <c r="B817" s="5" t="n">
        <v>1</v>
      </c>
      <c r="C817" s="6" t="n">
        <v>1.286513816310289</v>
      </c>
      <c r="D817" s="6" t="n">
        <v>2.231722374419291</v>
      </c>
      <c r="E817" s="6" t="n">
        <v>-1.003668658855008</v>
      </c>
      <c r="F817" s="6" t="n">
        <v>0.9185437189662378</v>
      </c>
      <c r="G817" s="5" t="n">
        <v>1</v>
      </c>
      <c r="H817" s="5" t="n">
        <v>0</v>
      </c>
      <c r="I817" s="5" t="n">
        <v>0</v>
      </c>
      <c r="J817" s="5" t="n">
        <v>1</v>
      </c>
      <c r="K817" s="5" t="n">
        <v>0</v>
      </c>
      <c r="L817" s="5" t="n">
        <v>0</v>
      </c>
      <c r="M817" s="5" t="n">
        <v>0</v>
      </c>
      <c r="N817" s="5" t="n">
        <v>0</v>
      </c>
      <c r="O817" s="5" t="n">
        <v>0</v>
      </c>
      <c r="P817" s="5" t="n">
        <v>0</v>
      </c>
      <c r="Q817" s="5" t="n">
        <v>0</v>
      </c>
      <c r="R817" s="5" t="n">
        <v>1</v>
      </c>
      <c r="S817" s="5" t="n">
        <v>0</v>
      </c>
      <c r="T817" s="5" t="n">
        <v>0</v>
      </c>
      <c r="U817" s="5" t="inlineStr">
        <is>
          <t>training</t>
        </is>
      </c>
    </row>
    <row r="818">
      <c r="A818" s="5" t="n">
        <v>814</v>
      </c>
      <c r="B818" s="5" t="n">
        <v>1</v>
      </c>
      <c r="C818" s="6" t="n">
        <v>2.297621231823615</v>
      </c>
      <c r="D818" s="6" t="n">
        <v>-0.06987208099263038</v>
      </c>
      <c r="E818" s="6" t="n">
        <v>1.605521962085221</v>
      </c>
      <c r="F818" s="6" t="n">
        <v>0.01674764143977723</v>
      </c>
      <c r="G818" s="5" t="n">
        <v>1</v>
      </c>
      <c r="H818" s="5" t="n">
        <v>0</v>
      </c>
      <c r="I818" s="5" t="n">
        <v>0</v>
      </c>
      <c r="J818" s="5" t="n">
        <v>0</v>
      </c>
      <c r="K818" s="5" t="n">
        <v>0</v>
      </c>
      <c r="L818" s="5" t="n">
        <v>0</v>
      </c>
      <c r="M818" s="5" t="n">
        <v>0</v>
      </c>
      <c r="N818" s="5" t="n">
        <v>0</v>
      </c>
      <c r="O818" s="5" t="n">
        <v>0</v>
      </c>
      <c r="P818" s="5" t="n">
        <v>0</v>
      </c>
      <c r="Q818" s="5" t="n">
        <v>0</v>
      </c>
      <c r="R818" s="5" t="n">
        <v>0</v>
      </c>
      <c r="S818" s="5" t="n">
        <v>0</v>
      </c>
      <c r="T818" s="5" t="n">
        <v>0</v>
      </c>
      <c r="U818" s="5" t="inlineStr">
        <is>
          <t>training</t>
        </is>
      </c>
    </row>
    <row r="819">
      <c r="A819" s="5" t="n">
        <v>815</v>
      </c>
      <c r="B819" s="5" t="n">
        <v>1</v>
      </c>
      <c r="C819" s="6" t="n">
        <v>2.297621231823615</v>
      </c>
      <c r="D819" s="6" t="n">
        <v>0.2380335317715062</v>
      </c>
      <c r="E819" s="6" t="n">
        <v>0.9097377965011599</v>
      </c>
      <c r="F819" s="6" t="n">
        <v>0.9185437189662378</v>
      </c>
      <c r="G819" s="5" t="n">
        <v>1</v>
      </c>
      <c r="H819" s="5" t="n">
        <v>0</v>
      </c>
      <c r="I819" s="5" t="n">
        <v>0</v>
      </c>
      <c r="J819" s="5" t="n">
        <v>0</v>
      </c>
      <c r="K819" s="5" t="n">
        <v>0</v>
      </c>
      <c r="L819" s="5" t="n">
        <v>0</v>
      </c>
      <c r="M819" s="5" t="n">
        <v>0</v>
      </c>
      <c r="N819" s="5" t="n">
        <v>0</v>
      </c>
      <c r="O819" s="5" t="n">
        <v>0</v>
      </c>
      <c r="P819" s="5" t="n">
        <v>0</v>
      </c>
      <c r="Q819" s="5" t="n">
        <v>1</v>
      </c>
      <c r="R819" s="5" t="n">
        <v>1</v>
      </c>
      <c r="S819" s="5" t="n">
        <v>0</v>
      </c>
      <c r="T819" s="5" t="n">
        <v>0</v>
      </c>
      <c r="U819" s="5" t="inlineStr">
        <is>
          <t>testing</t>
        </is>
      </c>
    </row>
    <row r="820">
      <c r="A820" s="5" t="n">
        <v>816</v>
      </c>
      <c r="B820" s="5" t="n">
        <v>0</v>
      </c>
      <c r="C820" s="6" t="n">
        <v>1.286513816310289</v>
      </c>
      <c r="D820" s="6" t="n">
        <v>1.463008020734282</v>
      </c>
      <c r="E820" s="6" t="n">
        <v>1.605521962085221</v>
      </c>
      <c r="F820" s="6" t="n">
        <v>-0.8850484360866833</v>
      </c>
      <c r="G820" s="5" t="n">
        <v>0</v>
      </c>
      <c r="H820" s="5" t="n">
        <v>1</v>
      </c>
      <c r="I820" s="5" t="n">
        <v>0</v>
      </c>
      <c r="J820" s="5" t="n">
        <v>0</v>
      </c>
      <c r="K820" s="5" t="n">
        <v>1</v>
      </c>
      <c r="L820" s="5" t="n">
        <v>0</v>
      </c>
      <c r="M820" s="5" t="n">
        <v>0</v>
      </c>
      <c r="N820" s="5" t="n">
        <v>0</v>
      </c>
      <c r="O820" s="5" t="n">
        <v>0</v>
      </c>
      <c r="P820" s="5" t="n">
        <v>1</v>
      </c>
      <c r="Q820" s="5" t="n">
        <v>0</v>
      </c>
      <c r="R820" s="5" t="n">
        <v>1</v>
      </c>
      <c r="S820" s="5" t="n">
        <v>0</v>
      </c>
      <c r="T820" s="5" t="n">
        <v>0</v>
      </c>
      <c r="U820" s="5" t="inlineStr">
        <is>
          <t>training</t>
        </is>
      </c>
    </row>
    <row r="821">
      <c r="A821" s="5" t="n">
        <v>817</v>
      </c>
      <c r="B821" s="5" t="n">
        <v>0</v>
      </c>
      <c r="C821" s="6" t="n">
        <v>-1.241254722473026</v>
      </c>
      <c r="D821" s="6" t="n">
        <v>-0.6692383476573645</v>
      </c>
      <c r="E821" s="6" t="n">
        <v>2.301306127669282</v>
      </c>
      <c r="F821" s="6" t="n">
        <v>-1.786844513613144</v>
      </c>
      <c r="G821" s="5" t="n">
        <v>0</v>
      </c>
      <c r="H821" s="5" t="n">
        <v>0</v>
      </c>
      <c r="I821" s="5" t="n">
        <v>0</v>
      </c>
      <c r="J821" s="5" t="n">
        <v>0</v>
      </c>
      <c r="K821" s="5" t="n">
        <v>0</v>
      </c>
      <c r="L821" s="5" t="n">
        <v>0</v>
      </c>
      <c r="M821" s="5" t="n">
        <v>1</v>
      </c>
      <c r="N821" s="5" t="n">
        <v>0</v>
      </c>
      <c r="O821" s="5" t="n">
        <v>0</v>
      </c>
      <c r="P821" s="5" t="n">
        <v>0</v>
      </c>
      <c r="Q821" s="5" t="n">
        <v>0</v>
      </c>
      <c r="R821" s="5" t="n">
        <v>0</v>
      </c>
      <c r="S821" s="5" t="n">
        <v>0</v>
      </c>
      <c r="T821" s="5" t="n">
        <v>0</v>
      </c>
      <c r="U821" s="5" t="inlineStr">
        <is>
          <t>training</t>
        </is>
      </c>
    </row>
    <row r="822">
      <c r="A822" s="5" t="n">
        <v>818</v>
      </c>
      <c r="B822" s="5" t="n">
        <v>0</v>
      </c>
      <c r="C822" s="6" t="n">
        <v>-1.241254722473026</v>
      </c>
      <c r="D822" s="6" t="n">
        <v>-0.59366151543344</v>
      </c>
      <c r="E822" s="6" t="n">
        <v>-1.003668658855008</v>
      </c>
      <c r="F822" s="6" t="n">
        <v>-1.786844513613144</v>
      </c>
      <c r="G822" s="5" t="n">
        <v>0</v>
      </c>
      <c r="H822" s="5" t="n">
        <v>0</v>
      </c>
      <c r="I822" s="5" t="n">
        <v>0</v>
      </c>
      <c r="J822" s="5" t="n">
        <v>1</v>
      </c>
      <c r="K822" s="5" t="n">
        <v>0</v>
      </c>
      <c r="L822" s="5" t="n">
        <v>0</v>
      </c>
      <c r="M822" s="5" t="n">
        <v>0</v>
      </c>
      <c r="N822" s="5" t="n">
        <v>0</v>
      </c>
      <c r="O822" s="5" t="n">
        <v>0</v>
      </c>
      <c r="P822" s="5" t="n">
        <v>1</v>
      </c>
      <c r="Q822" s="5" t="n">
        <v>0</v>
      </c>
      <c r="R822" s="5" t="n">
        <v>0</v>
      </c>
      <c r="S822" s="5" t="n">
        <v>1</v>
      </c>
      <c r="T822" s="5" t="n">
        <v>0</v>
      </c>
      <c r="U822" s="5" t="inlineStr">
        <is>
          <t>training</t>
        </is>
      </c>
    </row>
    <row r="823">
      <c r="A823" s="5" t="n">
        <v>819</v>
      </c>
      <c r="B823" s="5" t="n">
        <v>0</v>
      </c>
      <c r="C823" s="6" t="n">
        <v>1.286513816310289</v>
      </c>
      <c r="D823" s="6" t="n">
        <v>4.410854370209112</v>
      </c>
      <c r="E823" s="6" t="n">
        <v>0.648818734407137</v>
      </c>
      <c r="F823" s="6" t="n">
        <v>-0.8850484360866833</v>
      </c>
      <c r="G823" s="5" t="n">
        <v>1</v>
      </c>
      <c r="H823" s="5" t="n">
        <v>0</v>
      </c>
      <c r="I823" s="5" t="n">
        <v>0</v>
      </c>
      <c r="J823" s="5" t="n">
        <v>0</v>
      </c>
      <c r="K823" s="5" t="n">
        <v>0</v>
      </c>
      <c r="L823" s="5" t="n">
        <v>0</v>
      </c>
      <c r="M823" s="5" t="n">
        <v>0</v>
      </c>
      <c r="N823" s="5" t="n">
        <v>0</v>
      </c>
      <c r="O823" s="5" t="n">
        <v>0</v>
      </c>
      <c r="P823" s="5" t="n">
        <v>0</v>
      </c>
      <c r="Q823" s="5" t="n">
        <v>0</v>
      </c>
      <c r="R823" s="5" t="n">
        <v>0</v>
      </c>
      <c r="S823" s="5" t="n">
        <v>0</v>
      </c>
      <c r="T823" s="5" t="n">
        <v>0</v>
      </c>
      <c r="U823" s="5" t="inlineStr">
        <is>
          <t>training</t>
        </is>
      </c>
    </row>
    <row r="824">
      <c r="A824" s="5" t="n">
        <v>820</v>
      </c>
      <c r="B824" s="5" t="n">
        <v>1</v>
      </c>
      <c r="C824" s="6" t="n">
        <v>-0.2301473069597001</v>
      </c>
      <c r="D824" s="6" t="n">
        <v>-0.6667890984649225</v>
      </c>
      <c r="E824" s="6" t="n">
        <v>-0.8297226174589928</v>
      </c>
      <c r="F824" s="6" t="n">
        <v>0.9185437189662378</v>
      </c>
      <c r="G824" s="5" t="n">
        <v>1</v>
      </c>
      <c r="H824" s="5" t="n">
        <v>0</v>
      </c>
      <c r="I824" s="5" t="n">
        <v>0</v>
      </c>
      <c r="J824" s="5" t="n">
        <v>0</v>
      </c>
      <c r="K824" s="5" t="n">
        <v>0</v>
      </c>
      <c r="L824" s="5" t="n">
        <v>0</v>
      </c>
      <c r="M824" s="5" t="n">
        <v>0</v>
      </c>
      <c r="N824" s="5" t="n">
        <v>0</v>
      </c>
      <c r="O824" s="5" t="n">
        <v>0</v>
      </c>
      <c r="P824" s="5" t="n">
        <v>0</v>
      </c>
      <c r="Q824" s="5" t="n">
        <v>0</v>
      </c>
      <c r="R824" s="5" t="n">
        <v>0</v>
      </c>
      <c r="S824" s="5" t="n">
        <v>1</v>
      </c>
      <c r="T824" s="5" t="n">
        <v>0</v>
      </c>
      <c r="U824" s="5" t="inlineStr">
        <is>
          <t>testing</t>
        </is>
      </c>
    </row>
    <row r="825">
      <c r="A825" s="5" t="n">
        <v>821</v>
      </c>
      <c r="B825" s="5" t="n">
        <v>0</v>
      </c>
      <c r="C825" s="6" t="n">
        <v>-0.7357010147163632</v>
      </c>
      <c r="D825" s="6" t="n">
        <v>-0.7521629274586149</v>
      </c>
      <c r="E825" s="6" t="n">
        <v>-0.7427495967609852</v>
      </c>
      <c r="F825" s="6" t="n">
        <v>0.01674764143977723</v>
      </c>
      <c r="G825" s="5" t="n">
        <v>0</v>
      </c>
      <c r="H825" s="5" t="n">
        <v>0</v>
      </c>
      <c r="I825" s="5" t="n">
        <v>0</v>
      </c>
      <c r="J825" s="5" t="n">
        <v>0</v>
      </c>
      <c r="K825" s="5" t="n">
        <v>0</v>
      </c>
      <c r="L825" s="5" t="n">
        <v>0</v>
      </c>
      <c r="M825" s="5" t="n">
        <v>0</v>
      </c>
      <c r="N825" s="5" t="n">
        <v>0</v>
      </c>
      <c r="O825" s="5" t="n">
        <v>0</v>
      </c>
      <c r="P825" s="5" t="n">
        <v>0</v>
      </c>
      <c r="Q825" s="5" t="n">
        <v>0</v>
      </c>
      <c r="R825" s="5" t="n">
        <v>1</v>
      </c>
      <c r="S825" s="5" t="n">
        <v>0</v>
      </c>
      <c r="T825" s="5" t="n">
        <v>0</v>
      </c>
      <c r="U825" s="5" t="inlineStr">
        <is>
          <t>training</t>
        </is>
      </c>
    </row>
    <row r="826">
      <c r="A826" s="5" t="n">
        <v>822</v>
      </c>
      <c r="B826" s="5" t="n">
        <v>0</v>
      </c>
      <c r="C826" s="6" t="n">
        <v>-0.7357010147163632</v>
      </c>
      <c r="D826" s="6" t="n">
        <v>-0.08211832695484036</v>
      </c>
      <c r="E826" s="6" t="n">
        <v>-1.003668658855008</v>
      </c>
      <c r="F826" s="6" t="n">
        <v>0.01674764143977723</v>
      </c>
      <c r="G826" s="5" t="n">
        <v>0</v>
      </c>
      <c r="H826" s="5" t="n">
        <v>0</v>
      </c>
      <c r="I826" s="5" t="n">
        <v>1</v>
      </c>
      <c r="J826" s="5" t="n">
        <v>0</v>
      </c>
      <c r="K826" s="5" t="n">
        <v>0</v>
      </c>
      <c r="L826" s="5" t="n">
        <v>0</v>
      </c>
      <c r="M826" s="5" t="n">
        <v>0</v>
      </c>
      <c r="N826" s="5" t="n">
        <v>0</v>
      </c>
      <c r="O826" s="5" t="n">
        <v>0</v>
      </c>
      <c r="P826" s="5" t="n">
        <v>0</v>
      </c>
      <c r="Q826" s="5" t="n">
        <v>0</v>
      </c>
      <c r="R826" s="5" t="n">
        <v>0</v>
      </c>
      <c r="S826" s="5" t="n">
        <v>1</v>
      </c>
      <c r="T826" s="5" t="n">
        <v>0</v>
      </c>
      <c r="U826" s="5" t="inlineStr">
        <is>
          <t>training</t>
        </is>
      </c>
    </row>
    <row r="827">
      <c r="A827" s="5" t="n">
        <v>823</v>
      </c>
      <c r="B827" s="5" t="n">
        <v>1</v>
      </c>
      <c r="C827" s="6" t="n">
        <v>1.286513816310289</v>
      </c>
      <c r="D827" s="6" t="n">
        <v>-0.1884857204551784</v>
      </c>
      <c r="E827" s="6" t="n">
        <v>0.4748726930111218</v>
      </c>
      <c r="F827" s="6" t="n">
        <v>-0.8850484360866833</v>
      </c>
      <c r="G827" s="5" t="n">
        <v>1</v>
      </c>
      <c r="H827" s="5" t="n">
        <v>0</v>
      </c>
      <c r="I827" s="5" t="n">
        <v>0</v>
      </c>
      <c r="J827" s="5" t="n">
        <v>0</v>
      </c>
      <c r="K827" s="5" t="n">
        <v>0</v>
      </c>
      <c r="L827" s="5" t="n">
        <v>0</v>
      </c>
      <c r="M827" s="5" t="n">
        <v>0</v>
      </c>
      <c r="N827" s="5" t="n">
        <v>0</v>
      </c>
      <c r="O827" s="5" t="n">
        <v>0</v>
      </c>
      <c r="P827" s="5" t="n">
        <v>0</v>
      </c>
      <c r="Q827" s="5" t="n">
        <v>0</v>
      </c>
      <c r="R827" s="5" t="n">
        <v>0</v>
      </c>
      <c r="S827" s="5" t="n">
        <v>0</v>
      </c>
      <c r="T827" s="5" t="n">
        <v>1</v>
      </c>
      <c r="U827" s="5" t="inlineStr">
        <is>
          <t>testing</t>
        </is>
      </c>
    </row>
    <row r="828">
      <c r="A828" s="5" t="n">
        <v>824</v>
      </c>
      <c r="B828" s="5" t="n">
        <v>0</v>
      </c>
      <c r="C828" s="6" t="n">
        <v>-1.072736819887472</v>
      </c>
      <c r="D828" s="6" t="n">
        <v>-0.8816232419162632</v>
      </c>
      <c r="E828" s="6" t="n">
        <v>0.9967108171991675</v>
      </c>
      <c r="F828" s="6" t="n">
        <v>0.9185437189662378</v>
      </c>
      <c r="G828" s="5" t="n">
        <v>1</v>
      </c>
      <c r="H828" s="5" t="n">
        <v>0</v>
      </c>
      <c r="I828" s="5" t="n">
        <v>0</v>
      </c>
      <c r="J828" s="5" t="n">
        <v>1</v>
      </c>
      <c r="K828" s="5" t="n">
        <v>0</v>
      </c>
      <c r="L828" s="5" t="n">
        <v>0</v>
      </c>
      <c r="M828" s="5" t="n">
        <v>0</v>
      </c>
      <c r="N828" s="5" t="n">
        <v>0</v>
      </c>
      <c r="O828" s="5" t="n">
        <v>0</v>
      </c>
      <c r="P828" s="5" t="n">
        <v>0</v>
      </c>
      <c r="Q828" s="5" t="n">
        <v>0</v>
      </c>
      <c r="R828" s="5" t="n">
        <v>1</v>
      </c>
      <c r="S828" s="5" t="n">
        <v>0</v>
      </c>
      <c r="T828" s="5" t="n">
        <v>0</v>
      </c>
      <c r="U828" s="5" t="inlineStr">
        <is>
          <t>training</t>
        </is>
      </c>
    </row>
    <row r="829">
      <c r="A829" s="5" t="n">
        <v>825</v>
      </c>
      <c r="B829" s="5" t="n">
        <v>0</v>
      </c>
      <c r="C829" s="6" t="n">
        <v>-0.2301473069597001</v>
      </c>
      <c r="D829" s="6" t="n">
        <v>0.1851997277631146</v>
      </c>
      <c r="E829" s="6" t="n">
        <v>-0.04696543117692405</v>
      </c>
      <c r="F829" s="6" t="n">
        <v>0.01674764143977723</v>
      </c>
      <c r="G829" s="5" t="n">
        <v>0</v>
      </c>
      <c r="H829" s="5" t="n">
        <v>0</v>
      </c>
      <c r="I829" s="5" t="n">
        <v>0</v>
      </c>
      <c r="J829" s="5" t="n">
        <v>1</v>
      </c>
      <c r="K829" s="5" t="n">
        <v>0</v>
      </c>
      <c r="L829" s="5" t="n">
        <v>0</v>
      </c>
      <c r="M829" s="5" t="n">
        <v>0</v>
      </c>
      <c r="N829" s="5" t="n">
        <v>0</v>
      </c>
      <c r="O829" s="5" t="n">
        <v>0</v>
      </c>
      <c r="P829" s="5" t="n">
        <v>0</v>
      </c>
      <c r="Q829" s="5" t="n">
        <v>0</v>
      </c>
      <c r="R829" s="5" t="n">
        <v>0</v>
      </c>
      <c r="S829" s="5" t="n">
        <v>0</v>
      </c>
      <c r="T829" s="5" t="n">
        <v>1</v>
      </c>
      <c r="U829" s="5" t="inlineStr">
        <is>
          <t>testing</t>
        </is>
      </c>
    </row>
    <row r="830">
      <c r="A830" s="5" t="n">
        <v>826</v>
      </c>
      <c r="B830" s="5" t="n">
        <v>0</v>
      </c>
      <c r="C830" s="6" t="n">
        <v>0.02262954691863145</v>
      </c>
      <c r="D830" s="6" t="n">
        <v>-0.5768666638281235</v>
      </c>
      <c r="E830" s="6" t="n">
        <v>-0.4818305346669622</v>
      </c>
      <c r="F830" s="6" t="n">
        <v>0.9185437189662378</v>
      </c>
      <c r="G830" s="5" t="n">
        <v>1</v>
      </c>
      <c r="H830" s="5" t="n">
        <v>0</v>
      </c>
      <c r="I830" s="5" t="n">
        <v>0</v>
      </c>
      <c r="J830" s="5" t="n">
        <v>1</v>
      </c>
      <c r="K830" s="5" t="n">
        <v>0</v>
      </c>
      <c r="L830" s="5" t="n">
        <v>0</v>
      </c>
      <c r="M830" s="5" t="n">
        <v>0</v>
      </c>
      <c r="N830" s="5" t="n">
        <v>0</v>
      </c>
      <c r="O830" s="5" t="n">
        <v>0</v>
      </c>
      <c r="P830" s="5" t="n">
        <v>0</v>
      </c>
      <c r="Q830" s="5" t="n">
        <v>0</v>
      </c>
      <c r="R830" s="5" t="n">
        <v>1</v>
      </c>
      <c r="S830" s="5" t="n">
        <v>0</v>
      </c>
      <c r="T830" s="5" t="n">
        <v>0</v>
      </c>
      <c r="U830" s="5" t="inlineStr">
        <is>
          <t>training</t>
        </is>
      </c>
    </row>
    <row r="831">
      <c r="A831" s="5" t="n">
        <v>827</v>
      </c>
      <c r="B831" s="5" t="n">
        <v>1</v>
      </c>
      <c r="C831" s="6" t="n">
        <v>-0.2301473069597001</v>
      </c>
      <c r="D831" s="6" t="n">
        <v>0.2502797777337162</v>
      </c>
      <c r="E831" s="6" t="n">
        <v>-0.2209114725729393</v>
      </c>
      <c r="F831" s="6" t="n">
        <v>-1.786844513613144</v>
      </c>
      <c r="G831" s="5" t="n">
        <v>1</v>
      </c>
      <c r="H831" s="5" t="n">
        <v>0</v>
      </c>
      <c r="I831" s="5" t="n">
        <v>0</v>
      </c>
      <c r="J831" s="5" t="n">
        <v>1</v>
      </c>
      <c r="K831" s="5" t="n">
        <v>0</v>
      </c>
      <c r="L831" s="5" t="n">
        <v>0</v>
      </c>
      <c r="M831" s="5" t="n">
        <v>0</v>
      </c>
      <c r="N831" s="5" t="n">
        <v>0</v>
      </c>
      <c r="O831" s="5" t="n">
        <v>0</v>
      </c>
      <c r="P831" s="5" t="n">
        <v>1</v>
      </c>
      <c r="Q831" s="5" t="n">
        <v>0</v>
      </c>
      <c r="R831" s="5" t="n">
        <v>1</v>
      </c>
      <c r="S831" s="5" t="n">
        <v>0</v>
      </c>
      <c r="T831" s="5" t="n">
        <v>0</v>
      </c>
      <c r="U831" s="5" t="inlineStr">
        <is>
          <t>testing</t>
        </is>
      </c>
    </row>
    <row r="832">
      <c r="A832" s="5" t="n">
        <v>828</v>
      </c>
      <c r="B832" s="5" t="n">
        <v>1</v>
      </c>
      <c r="C832" s="6" t="n">
        <v>-0.2301473069597001</v>
      </c>
      <c r="D832" s="6" t="n">
        <v>0.3199084333474244</v>
      </c>
      <c r="E832" s="6" t="n">
        <v>0.04000758952108359</v>
      </c>
      <c r="F832" s="6" t="n">
        <v>-0.8850484360866833</v>
      </c>
      <c r="G832" s="5" t="n">
        <v>0</v>
      </c>
      <c r="H832" s="5" t="n">
        <v>0</v>
      </c>
      <c r="I832" s="5" t="n">
        <v>0</v>
      </c>
      <c r="J832" s="5" t="n">
        <v>0</v>
      </c>
      <c r="K832" s="5" t="n">
        <v>0</v>
      </c>
      <c r="L832" s="5" t="n">
        <v>1</v>
      </c>
      <c r="M832" s="5" t="n">
        <v>0</v>
      </c>
      <c r="N832" s="5" t="n">
        <v>0</v>
      </c>
      <c r="O832" s="5" t="n">
        <v>0</v>
      </c>
      <c r="P832" s="5" t="n">
        <v>0</v>
      </c>
      <c r="Q832" s="5" t="n">
        <v>0</v>
      </c>
      <c r="R832" s="5" t="n">
        <v>0</v>
      </c>
      <c r="S832" s="5" t="n">
        <v>0</v>
      </c>
      <c r="T832" s="5" t="n">
        <v>0</v>
      </c>
      <c r="U832" s="5" t="inlineStr">
        <is>
          <t>training</t>
        </is>
      </c>
    </row>
    <row r="833">
      <c r="A833" s="5" t="n">
        <v>829</v>
      </c>
      <c r="B833" s="5" t="n">
        <v>1</v>
      </c>
      <c r="C833" s="6" t="n">
        <v>1.286513816310289</v>
      </c>
      <c r="D833" s="6" t="n">
        <v>1.778961166559299</v>
      </c>
      <c r="E833" s="6" t="n">
        <v>0.9967108171991675</v>
      </c>
      <c r="F833" s="6" t="n">
        <v>0.01674764143977723</v>
      </c>
      <c r="G833" s="5" t="n">
        <v>1</v>
      </c>
      <c r="H833" s="5" t="n">
        <v>0</v>
      </c>
      <c r="I833" s="5" t="n">
        <v>0</v>
      </c>
      <c r="J833" s="5" t="n">
        <v>0</v>
      </c>
      <c r="K833" s="5" t="n">
        <v>0</v>
      </c>
      <c r="L833" s="5" t="n">
        <v>0</v>
      </c>
      <c r="M833" s="5" t="n">
        <v>0</v>
      </c>
      <c r="N833" s="5" t="n">
        <v>0</v>
      </c>
      <c r="O833" s="5" t="n">
        <v>1</v>
      </c>
      <c r="P833" s="5" t="n">
        <v>0</v>
      </c>
      <c r="Q833" s="5" t="n">
        <v>1</v>
      </c>
      <c r="R833" s="5" t="n">
        <v>1</v>
      </c>
      <c r="S833" s="5" t="n">
        <v>0</v>
      </c>
      <c r="T833" s="5" t="n">
        <v>0</v>
      </c>
      <c r="U833" s="5" t="inlineStr">
        <is>
          <t>testing</t>
        </is>
      </c>
    </row>
    <row r="834">
      <c r="A834" s="5" t="n">
        <v>830</v>
      </c>
      <c r="B834" s="5" t="n">
        <v>0</v>
      </c>
      <c r="C834" s="6" t="n">
        <v>2.297621231823615</v>
      </c>
      <c r="D834" s="6" t="n">
        <v>1.200238571659433</v>
      </c>
      <c r="E834" s="6" t="n">
        <v>0.2139536309170988</v>
      </c>
      <c r="F834" s="6" t="n">
        <v>0.9185437189662378</v>
      </c>
      <c r="G834" s="5" t="n">
        <v>0</v>
      </c>
      <c r="H834" s="5" t="n">
        <v>1</v>
      </c>
      <c r="I834" s="5" t="n">
        <v>0</v>
      </c>
      <c r="J834" s="5" t="n">
        <v>0</v>
      </c>
      <c r="K834" s="5" t="n">
        <v>1</v>
      </c>
      <c r="L834" s="5" t="n">
        <v>0</v>
      </c>
      <c r="M834" s="5" t="n">
        <v>0</v>
      </c>
      <c r="N834" s="5" t="n">
        <v>0</v>
      </c>
      <c r="O834" s="5" t="n">
        <v>1</v>
      </c>
      <c r="P834" s="5" t="n">
        <v>0</v>
      </c>
      <c r="Q834" s="5" t="n">
        <v>1</v>
      </c>
      <c r="R834" s="5" t="n">
        <v>0</v>
      </c>
      <c r="S834" s="5" t="n">
        <v>0</v>
      </c>
      <c r="T834" s="5" t="n">
        <v>0</v>
      </c>
      <c r="U834" s="5" t="inlineStr">
        <is>
          <t>training</t>
        </is>
      </c>
    </row>
    <row r="835">
      <c r="A835" s="5" t="n">
        <v>831</v>
      </c>
      <c r="B835" s="5" t="n">
        <v>0</v>
      </c>
      <c r="C835" s="6" t="n">
        <v>0.275406400796963</v>
      </c>
      <c r="D835" s="6" t="n">
        <v>-0.3063995744341717</v>
      </c>
      <c r="E835" s="6" t="n">
        <v>0.7357917551051447</v>
      </c>
      <c r="F835" s="6" t="n">
        <v>0.9185437189662378</v>
      </c>
      <c r="G835" s="5" t="n">
        <v>0</v>
      </c>
      <c r="H835" s="5" t="n">
        <v>0</v>
      </c>
      <c r="I835" s="5" t="n">
        <v>0</v>
      </c>
      <c r="J835" s="5" t="n">
        <v>0</v>
      </c>
      <c r="K835" s="5" t="n">
        <v>1</v>
      </c>
      <c r="L835" s="5" t="n">
        <v>0</v>
      </c>
      <c r="M835" s="5" t="n">
        <v>1</v>
      </c>
      <c r="N835" s="5" t="n">
        <v>0</v>
      </c>
      <c r="O835" s="5" t="n">
        <v>0</v>
      </c>
      <c r="P835" s="5" t="n">
        <v>0</v>
      </c>
      <c r="Q835" s="5" t="n">
        <v>0</v>
      </c>
      <c r="R835" s="5" t="n">
        <v>0</v>
      </c>
      <c r="S835" s="5" t="n">
        <v>0</v>
      </c>
      <c r="T835" s="5" t="n">
        <v>0</v>
      </c>
      <c r="U835" s="5" t="inlineStr">
        <is>
          <t>testing</t>
        </is>
      </c>
    </row>
    <row r="836">
      <c r="A836" s="5" t="n">
        <v>832</v>
      </c>
      <c r="B836" s="5" t="n">
        <v>1</v>
      </c>
      <c r="C836" s="6" t="n">
        <v>-0.2301473069597001</v>
      </c>
      <c r="D836" s="6" t="n">
        <v>-0.7119252621542107</v>
      </c>
      <c r="E836" s="6" t="n">
        <v>-1.090641679553016</v>
      </c>
      <c r="F836" s="6" t="n">
        <v>0.9185437189662378</v>
      </c>
      <c r="G836" s="5" t="n">
        <v>1</v>
      </c>
      <c r="H836" s="5" t="n">
        <v>0</v>
      </c>
      <c r="I836" s="5" t="n">
        <v>0</v>
      </c>
      <c r="J836" s="5" t="n">
        <v>0</v>
      </c>
      <c r="K836" s="5" t="n">
        <v>0</v>
      </c>
      <c r="L836" s="5" t="n">
        <v>0</v>
      </c>
      <c r="M836" s="5" t="n">
        <v>0</v>
      </c>
      <c r="N836" s="5" t="n">
        <v>0</v>
      </c>
      <c r="O836" s="5" t="n">
        <v>0</v>
      </c>
      <c r="P836" s="5" t="n">
        <v>1</v>
      </c>
      <c r="Q836" s="5" t="n">
        <v>0</v>
      </c>
      <c r="R836" s="5" t="n">
        <v>1</v>
      </c>
      <c r="S836" s="5" t="n">
        <v>0</v>
      </c>
      <c r="T836" s="5" t="n">
        <v>0</v>
      </c>
      <c r="U836" s="5" t="inlineStr">
        <is>
          <t>training</t>
        </is>
      </c>
    </row>
    <row r="837">
      <c r="A837" s="5" t="n">
        <v>833</v>
      </c>
      <c r="B837" s="5" t="n">
        <v>1</v>
      </c>
      <c r="C837" s="6" t="n">
        <v>2.044844377945284</v>
      </c>
      <c r="D837" s="6" t="n">
        <v>2.996937800686526</v>
      </c>
      <c r="E837" s="6" t="n">
        <v>-0.5688035553649698</v>
      </c>
      <c r="F837" s="6" t="n">
        <v>-0.8850484360866833</v>
      </c>
      <c r="G837" s="5" t="n">
        <v>1</v>
      </c>
      <c r="H837" s="5" t="n">
        <v>0</v>
      </c>
      <c r="I837" s="5" t="n">
        <v>0</v>
      </c>
      <c r="J837" s="5" t="n">
        <v>0</v>
      </c>
      <c r="K837" s="5" t="n">
        <v>0</v>
      </c>
      <c r="L837" s="5" t="n">
        <v>1</v>
      </c>
      <c r="M837" s="5" t="n">
        <v>0</v>
      </c>
      <c r="N837" s="5" t="n">
        <v>0</v>
      </c>
      <c r="O837" s="5" t="n">
        <v>0</v>
      </c>
      <c r="P837" s="5" t="n">
        <v>1</v>
      </c>
      <c r="Q837" s="5" t="n">
        <v>0</v>
      </c>
      <c r="R837" s="5" t="n">
        <v>0</v>
      </c>
      <c r="S837" s="5" t="n">
        <v>0</v>
      </c>
      <c r="T837" s="5" t="n">
        <v>0</v>
      </c>
      <c r="U837" s="5" t="inlineStr">
        <is>
          <t>training</t>
        </is>
      </c>
    </row>
    <row r="838">
      <c r="A838" s="5" t="n">
        <v>834</v>
      </c>
      <c r="B838" s="5" t="n">
        <v>0</v>
      </c>
      <c r="C838" s="6" t="n">
        <v>0.275406400796963</v>
      </c>
      <c r="D838" s="6" t="n">
        <v>0.6414598630408807</v>
      </c>
      <c r="E838" s="6" t="n">
        <v>0.5618457137091294</v>
      </c>
      <c r="F838" s="6" t="n">
        <v>-0.8850484360866833</v>
      </c>
      <c r="G838" s="5" t="n">
        <v>0</v>
      </c>
      <c r="H838" s="5" t="n">
        <v>1</v>
      </c>
      <c r="I838" s="5" t="n">
        <v>0</v>
      </c>
      <c r="J838" s="5" t="n">
        <v>0</v>
      </c>
      <c r="K838" s="5" t="n">
        <v>0</v>
      </c>
      <c r="L838" s="5" t="n">
        <v>0</v>
      </c>
      <c r="M838" s="5" t="n">
        <v>0</v>
      </c>
      <c r="N838" s="5" t="n">
        <v>0</v>
      </c>
      <c r="O838" s="5" t="n">
        <v>1</v>
      </c>
      <c r="P838" s="5" t="n">
        <v>0</v>
      </c>
      <c r="Q838" s="5" t="n">
        <v>0</v>
      </c>
      <c r="R838" s="5" t="n">
        <v>0</v>
      </c>
      <c r="S838" s="5" t="n">
        <v>1</v>
      </c>
      <c r="T838" s="5" t="n">
        <v>0</v>
      </c>
      <c r="U838" s="5" t="inlineStr">
        <is>
          <t>testing</t>
        </is>
      </c>
    </row>
    <row r="839">
      <c r="A839" s="5" t="n">
        <v>835</v>
      </c>
      <c r="B839" s="5" t="n">
        <v>1</v>
      </c>
      <c r="C839" s="6" t="n">
        <v>-0.4829241608380317</v>
      </c>
      <c r="D839" s="6" t="n">
        <v>-0.3231944260394882</v>
      </c>
      <c r="E839" s="6" t="n">
        <v>-0.9166956381570004</v>
      </c>
      <c r="F839" s="6" t="n">
        <v>-0.8850484360866833</v>
      </c>
      <c r="G839" s="5" t="n">
        <v>0</v>
      </c>
      <c r="H839" s="5" t="n">
        <v>0</v>
      </c>
      <c r="I839" s="5" t="n">
        <v>1</v>
      </c>
      <c r="J839" s="5" t="n">
        <v>0</v>
      </c>
      <c r="K839" s="5" t="n">
        <v>0</v>
      </c>
      <c r="L839" s="5" t="n">
        <v>0</v>
      </c>
      <c r="M839" s="5" t="n">
        <v>0</v>
      </c>
      <c r="N839" s="5" t="n">
        <v>0</v>
      </c>
      <c r="O839" s="5" t="n">
        <v>0</v>
      </c>
      <c r="P839" s="5" t="n">
        <v>0</v>
      </c>
      <c r="Q839" s="5" t="n">
        <v>0</v>
      </c>
      <c r="R839" s="5" t="n">
        <v>0</v>
      </c>
      <c r="S839" s="5" t="n">
        <v>1</v>
      </c>
      <c r="T839" s="5" t="n">
        <v>0</v>
      </c>
      <c r="U839" s="5" t="inlineStr">
        <is>
          <t>training</t>
        </is>
      </c>
    </row>
    <row r="840">
      <c r="A840" s="5" t="n">
        <v>836</v>
      </c>
      <c r="B840" s="5" t="n">
        <v>1</v>
      </c>
      <c r="C840" s="6" t="n">
        <v>-0.7357010147163632</v>
      </c>
      <c r="D840" s="6" t="n">
        <v>-0.758810889552386</v>
      </c>
      <c r="E840" s="6" t="n">
        <v>1.083683837897175</v>
      </c>
      <c r="F840" s="6" t="n">
        <v>0.9185437189662378</v>
      </c>
      <c r="G840" s="5" t="n">
        <v>1</v>
      </c>
      <c r="H840" s="5" t="n">
        <v>0</v>
      </c>
      <c r="I840" s="5" t="n">
        <v>0</v>
      </c>
      <c r="J840" s="5" t="n">
        <v>0</v>
      </c>
      <c r="K840" s="5" t="n">
        <v>0</v>
      </c>
      <c r="L840" s="5" t="n">
        <v>1</v>
      </c>
      <c r="M840" s="5" t="n">
        <v>0</v>
      </c>
      <c r="N840" s="5" t="n">
        <v>0</v>
      </c>
      <c r="O840" s="5" t="n">
        <v>0</v>
      </c>
      <c r="P840" s="5" t="n">
        <v>0</v>
      </c>
      <c r="Q840" s="5" t="n">
        <v>0</v>
      </c>
      <c r="R840" s="5" t="n">
        <v>1</v>
      </c>
      <c r="S840" s="5" t="n">
        <v>0</v>
      </c>
      <c r="T840" s="5" t="n">
        <v>0</v>
      </c>
      <c r="U840" s="5" t="inlineStr">
        <is>
          <t>training</t>
        </is>
      </c>
    </row>
    <row r="841">
      <c r="A841" s="5" t="n">
        <v>837</v>
      </c>
      <c r="B841" s="5" t="n">
        <v>0</v>
      </c>
      <c r="C841" s="6" t="n">
        <v>-0.7357010147163632</v>
      </c>
      <c r="D841" s="6" t="n">
        <v>-0.8273898669407619</v>
      </c>
      <c r="E841" s="6" t="n">
        <v>-1.264587720949031</v>
      </c>
      <c r="F841" s="6" t="n">
        <v>0.9185437189662378</v>
      </c>
      <c r="G841" s="5" t="n">
        <v>0</v>
      </c>
      <c r="H841" s="5" t="n">
        <v>0</v>
      </c>
      <c r="I841" s="5" t="n">
        <v>0</v>
      </c>
      <c r="J841" s="5" t="n">
        <v>0</v>
      </c>
      <c r="K841" s="5" t="n">
        <v>0</v>
      </c>
      <c r="L841" s="5" t="n">
        <v>0</v>
      </c>
      <c r="M841" s="5" t="n">
        <v>0</v>
      </c>
      <c r="N841" s="5" t="n">
        <v>0</v>
      </c>
      <c r="O841" s="5" t="n">
        <v>1</v>
      </c>
      <c r="P841" s="5" t="n">
        <v>0</v>
      </c>
      <c r="Q841" s="5" t="n">
        <v>0</v>
      </c>
      <c r="R841" s="5" t="n">
        <v>0</v>
      </c>
      <c r="S841" s="5" t="n">
        <v>1</v>
      </c>
      <c r="T841" s="5" t="n">
        <v>0</v>
      </c>
      <c r="U841" s="5" t="inlineStr">
        <is>
          <t>training</t>
        </is>
      </c>
    </row>
    <row r="842">
      <c r="A842" s="5" t="n">
        <v>838</v>
      </c>
      <c r="B842" s="5" t="n">
        <v>0</v>
      </c>
      <c r="C842" s="6" t="n">
        <v>-1.409772625058581</v>
      </c>
      <c r="D842" s="6" t="n">
        <v>-0.9271092983473288</v>
      </c>
      <c r="E842" s="6" t="n">
        <v>-1.090641679553016</v>
      </c>
      <c r="F842" s="6" t="n">
        <v>-1.786844513613144</v>
      </c>
      <c r="G842" s="5" t="n">
        <v>0</v>
      </c>
      <c r="H842" s="5" t="n">
        <v>0</v>
      </c>
      <c r="I842" s="5" t="n">
        <v>0</v>
      </c>
      <c r="J842" s="5" t="n">
        <v>0</v>
      </c>
      <c r="K842" s="5" t="n">
        <v>0</v>
      </c>
      <c r="L842" s="5" t="n">
        <v>0</v>
      </c>
      <c r="M842" s="5" t="n">
        <v>0</v>
      </c>
      <c r="N842" s="5" t="n">
        <v>0</v>
      </c>
      <c r="O842" s="5" t="n">
        <v>0</v>
      </c>
      <c r="P842" s="5" t="n">
        <v>1</v>
      </c>
      <c r="Q842" s="5" t="n">
        <v>0</v>
      </c>
      <c r="R842" s="5" t="n">
        <v>0</v>
      </c>
      <c r="S842" s="5" t="n">
        <v>0</v>
      </c>
      <c r="T842" s="5" t="n">
        <v>1</v>
      </c>
      <c r="U842" s="5" t="inlineStr">
        <is>
          <t>training</t>
        </is>
      </c>
    </row>
    <row r="843">
      <c r="A843" s="5" t="n">
        <v>839</v>
      </c>
      <c r="B843" s="5" t="n">
        <v>0</v>
      </c>
      <c r="C843" s="6" t="n">
        <v>0.275406400796963</v>
      </c>
      <c r="D843" s="6" t="n">
        <v>-0.1027619987197086</v>
      </c>
      <c r="E843" s="6" t="n">
        <v>2.38827914836729</v>
      </c>
      <c r="F843" s="6" t="n">
        <v>0.9185437189662378</v>
      </c>
      <c r="G843" s="5" t="n">
        <v>1</v>
      </c>
      <c r="H843" s="5" t="n">
        <v>0</v>
      </c>
      <c r="I843" s="5" t="n">
        <v>0</v>
      </c>
      <c r="J843" s="5" t="n">
        <v>1</v>
      </c>
      <c r="K843" s="5" t="n">
        <v>0</v>
      </c>
      <c r="L843" s="5" t="n">
        <v>0</v>
      </c>
      <c r="M843" s="5" t="n">
        <v>0</v>
      </c>
      <c r="N843" s="5" t="n">
        <v>0</v>
      </c>
      <c r="O843" s="5" t="n">
        <v>0</v>
      </c>
      <c r="P843" s="5" t="n">
        <v>0</v>
      </c>
      <c r="Q843" s="5" t="n">
        <v>0</v>
      </c>
      <c r="R843" s="5" t="n">
        <v>1</v>
      </c>
      <c r="S843" s="5" t="n">
        <v>0</v>
      </c>
      <c r="T843" s="5" t="n">
        <v>0</v>
      </c>
      <c r="U843" s="5" t="inlineStr">
        <is>
          <t>training</t>
        </is>
      </c>
    </row>
    <row r="844">
      <c r="A844" s="5" t="n">
        <v>840</v>
      </c>
      <c r="B844" s="5" t="n">
        <v>0</v>
      </c>
      <c r="C844" s="6" t="n">
        <v>0.275406400796963</v>
      </c>
      <c r="D844" s="6" t="n">
        <v>-0.2238248873746987</v>
      </c>
      <c r="E844" s="6" t="n">
        <v>0.9097377965011599</v>
      </c>
      <c r="F844" s="6" t="n">
        <v>0.9185437189662378</v>
      </c>
      <c r="G844" s="5" t="n">
        <v>0</v>
      </c>
      <c r="H844" s="5" t="n">
        <v>0</v>
      </c>
      <c r="I844" s="5" t="n">
        <v>0</v>
      </c>
      <c r="J844" s="5" t="n">
        <v>1</v>
      </c>
      <c r="K844" s="5" t="n">
        <v>0</v>
      </c>
      <c r="L844" s="5" t="n">
        <v>0</v>
      </c>
      <c r="M844" s="5" t="n">
        <v>0</v>
      </c>
      <c r="N844" s="5" t="n">
        <v>0</v>
      </c>
      <c r="O844" s="5" t="n">
        <v>0</v>
      </c>
      <c r="P844" s="5" t="n">
        <v>0</v>
      </c>
      <c r="Q844" s="5" t="n">
        <v>0</v>
      </c>
      <c r="R844" s="5" t="n">
        <v>0</v>
      </c>
      <c r="S844" s="5" t="n">
        <v>1</v>
      </c>
      <c r="T844" s="5" t="n">
        <v>0</v>
      </c>
      <c r="U844" s="5" t="inlineStr">
        <is>
          <t>training</t>
        </is>
      </c>
    </row>
    <row r="845">
      <c r="A845" s="5" t="n">
        <v>841</v>
      </c>
      <c r="B845" s="5" t="n">
        <v>1</v>
      </c>
      <c r="C845" s="6" t="n">
        <v>1.286513816310289</v>
      </c>
      <c r="D845" s="6" t="n">
        <v>0.6746996735097363</v>
      </c>
      <c r="E845" s="6" t="n">
        <v>-0.5688035553649698</v>
      </c>
      <c r="F845" s="6" t="n">
        <v>0.9185437189662378</v>
      </c>
      <c r="G845" s="5" t="n">
        <v>1</v>
      </c>
      <c r="H845" s="5" t="n">
        <v>0</v>
      </c>
      <c r="I845" s="5" t="n">
        <v>0</v>
      </c>
      <c r="J845" s="5" t="n">
        <v>0</v>
      </c>
      <c r="K845" s="5" t="n">
        <v>0</v>
      </c>
      <c r="L845" s="5" t="n">
        <v>0</v>
      </c>
      <c r="M845" s="5" t="n">
        <v>0</v>
      </c>
      <c r="N845" s="5" t="n">
        <v>0</v>
      </c>
      <c r="O845" s="5" t="n">
        <v>0</v>
      </c>
      <c r="P845" s="5" t="n">
        <v>0</v>
      </c>
      <c r="Q845" s="5" t="n">
        <v>0</v>
      </c>
      <c r="R845" s="5" t="n">
        <v>0</v>
      </c>
      <c r="S845" s="5" t="n">
        <v>0</v>
      </c>
      <c r="T845" s="5" t="n">
        <v>1</v>
      </c>
      <c r="U845" s="5" t="inlineStr">
        <is>
          <t>training</t>
        </is>
      </c>
    </row>
    <row r="846">
      <c r="A846" s="5" t="n">
        <v>842</v>
      </c>
      <c r="B846" s="5" t="n">
        <v>0</v>
      </c>
      <c r="C846" s="6" t="n">
        <v>0.02262954691863145</v>
      </c>
      <c r="D846" s="6" t="n">
        <v>-0.0901658600157212</v>
      </c>
      <c r="E846" s="6" t="n">
        <v>-0.6557765760629775</v>
      </c>
      <c r="F846" s="6" t="n">
        <v>0.01674764143977723</v>
      </c>
      <c r="G846" s="5" t="n">
        <v>0</v>
      </c>
      <c r="H846" s="5" t="n">
        <v>0</v>
      </c>
      <c r="I846" s="5" t="n">
        <v>0</v>
      </c>
      <c r="J846" s="5" t="n">
        <v>0</v>
      </c>
      <c r="K846" s="5" t="n">
        <v>1</v>
      </c>
      <c r="L846" s="5" t="n">
        <v>0</v>
      </c>
      <c r="M846" s="5" t="n">
        <v>0</v>
      </c>
      <c r="N846" s="5" t="n">
        <v>0</v>
      </c>
      <c r="O846" s="5" t="n">
        <v>0</v>
      </c>
      <c r="P846" s="5" t="n">
        <v>0</v>
      </c>
      <c r="Q846" s="5" t="n">
        <v>0</v>
      </c>
      <c r="R846" s="5" t="n">
        <v>1</v>
      </c>
      <c r="S846" s="5" t="n">
        <v>0</v>
      </c>
      <c r="T846" s="5" t="n">
        <v>0</v>
      </c>
      <c r="U846" s="5" t="inlineStr">
        <is>
          <t>training</t>
        </is>
      </c>
    </row>
    <row r="847">
      <c r="A847" s="5" t="n">
        <v>843</v>
      </c>
      <c r="B847" s="5" t="n">
        <v>1</v>
      </c>
      <c r="C847" s="6" t="n">
        <v>-0.2301473069597001</v>
      </c>
      <c r="D847" s="6" t="n">
        <v>-0.4575532388820205</v>
      </c>
      <c r="E847" s="6" t="n">
        <v>-1.090641679553016</v>
      </c>
      <c r="F847" s="6" t="n">
        <v>0.9185437189662378</v>
      </c>
      <c r="G847" s="5" t="n">
        <v>0</v>
      </c>
      <c r="H847" s="5" t="n">
        <v>0</v>
      </c>
      <c r="I847" s="5" t="n">
        <v>0</v>
      </c>
      <c r="J847" s="5" t="n">
        <v>0</v>
      </c>
      <c r="K847" s="5" t="n">
        <v>0</v>
      </c>
      <c r="L847" s="5" t="n">
        <v>0</v>
      </c>
      <c r="M847" s="5" t="n">
        <v>0</v>
      </c>
      <c r="N847" s="5" t="n">
        <v>0</v>
      </c>
      <c r="O847" s="5" t="n">
        <v>0</v>
      </c>
      <c r="P847" s="5" t="n">
        <v>0</v>
      </c>
      <c r="Q847" s="5" t="n">
        <v>0</v>
      </c>
      <c r="R847" s="5" t="n">
        <v>0</v>
      </c>
      <c r="S847" s="5" t="n">
        <v>0</v>
      </c>
      <c r="T847" s="5" t="n">
        <v>0</v>
      </c>
      <c r="U847" s="5" t="inlineStr">
        <is>
          <t>training</t>
        </is>
      </c>
    </row>
    <row r="848">
      <c r="A848" s="5" t="n">
        <v>844</v>
      </c>
      <c r="B848" s="5" t="n">
        <v>0</v>
      </c>
      <c r="C848" s="6" t="n">
        <v>0.275406400796963</v>
      </c>
      <c r="D848" s="6" t="n">
        <v>-0.5919120517245529</v>
      </c>
      <c r="E848" s="6" t="n">
        <v>1.257629879293191</v>
      </c>
      <c r="F848" s="6" t="n">
        <v>0.9185437189662378</v>
      </c>
      <c r="G848" s="5" t="n">
        <v>0</v>
      </c>
      <c r="H848" s="5" t="n">
        <v>0</v>
      </c>
      <c r="I848" s="5" t="n">
        <v>0</v>
      </c>
      <c r="J848" s="5" t="n">
        <v>0</v>
      </c>
      <c r="K848" s="5" t="n">
        <v>0</v>
      </c>
      <c r="L848" s="5" t="n">
        <v>1</v>
      </c>
      <c r="M848" s="5" t="n">
        <v>0</v>
      </c>
      <c r="N848" s="5" t="n">
        <v>0</v>
      </c>
      <c r="O848" s="5" t="n">
        <v>0</v>
      </c>
      <c r="P848" s="5" t="n">
        <v>0</v>
      </c>
      <c r="Q848" s="5" t="n">
        <v>0</v>
      </c>
      <c r="R848" s="5" t="n">
        <v>0</v>
      </c>
      <c r="S848" s="5" t="n">
        <v>0</v>
      </c>
      <c r="T848" s="5" t="n">
        <v>0</v>
      </c>
      <c r="U848" s="5" t="inlineStr">
        <is>
          <t>testing</t>
        </is>
      </c>
    </row>
    <row r="849">
      <c r="A849" s="5" t="n">
        <v>845</v>
      </c>
      <c r="B849" s="5" t="n">
        <v>0</v>
      </c>
      <c r="C849" s="6" t="n">
        <v>-0.2301473069597001</v>
      </c>
      <c r="D849" s="6" t="n">
        <v>0.05993812620679538</v>
      </c>
      <c r="E849" s="6" t="n">
        <v>0.9967108171991675</v>
      </c>
      <c r="F849" s="6" t="n">
        <v>0.9185437189662378</v>
      </c>
      <c r="G849" s="5" t="n">
        <v>0</v>
      </c>
      <c r="H849" s="5" t="n">
        <v>0</v>
      </c>
      <c r="I849" s="5" t="n">
        <v>0</v>
      </c>
      <c r="J849" s="5" t="n">
        <v>0</v>
      </c>
      <c r="K849" s="5" t="n">
        <v>0</v>
      </c>
      <c r="L849" s="5" t="n">
        <v>0</v>
      </c>
      <c r="M849" s="5" t="n">
        <v>0</v>
      </c>
      <c r="N849" s="5" t="n">
        <v>0</v>
      </c>
      <c r="O849" s="5" t="n">
        <v>0</v>
      </c>
      <c r="P849" s="5" t="n">
        <v>0</v>
      </c>
      <c r="Q849" s="5" t="n">
        <v>0</v>
      </c>
      <c r="R849" s="5" t="n">
        <v>0</v>
      </c>
      <c r="S849" s="5" t="n">
        <v>0</v>
      </c>
      <c r="T849" s="5" t="n">
        <v>1</v>
      </c>
      <c r="U849" s="5" t="inlineStr">
        <is>
          <t>training</t>
        </is>
      </c>
    </row>
    <row r="850">
      <c r="A850" s="5" t="n">
        <v>846</v>
      </c>
      <c r="B850" s="5" t="n">
        <v>0</v>
      </c>
      <c r="C850" s="6" t="n">
        <v>0.02262954691863145</v>
      </c>
      <c r="D850" s="6" t="n">
        <v>0.2537787051514905</v>
      </c>
      <c r="E850" s="6" t="n">
        <v>-0.04696543117692405</v>
      </c>
      <c r="F850" s="6" t="n">
        <v>-0.8850484360866833</v>
      </c>
      <c r="G850" s="5" t="n">
        <v>0</v>
      </c>
      <c r="H850" s="5" t="n">
        <v>1</v>
      </c>
      <c r="I850" s="5" t="n">
        <v>0</v>
      </c>
      <c r="J850" s="5" t="n">
        <v>0</v>
      </c>
      <c r="K850" s="5" t="n">
        <v>0</v>
      </c>
      <c r="L850" s="5" t="n">
        <v>0</v>
      </c>
      <c r="M850" s="5" t="n">
        <v>0</v>
      </c>
      <c r="N850" s="5" t="n">
        <v>0</v>
      </c>
      <c r="O850" s="5" t="n">
        <v>1</v>
      </c>
      <c r="P850" s="5" t="n">
        <v>0</v>
      </c>
      <c r="Q850" s="5" t="n">
        <v>0</v>
      </c>
      <c r="R850" s="5" t="n">
        <v>0</v>
      </c>
      <c r="S850" s="5" t="n">
        <v>0</v>
      </c>
      <c r="T850" s="5" t="n">
        <v>1</v>
      </c>
      <c r="U850" s="5" t="inlineStr">
        <is>
          <t>training</t>
        </is>
      </c>
    </row>
    <row r="851">
      <c r="A851" s="5" t="n">
        <v>847</v>
      </c>
      <c r="B851" s="5" t="n">
        <v>1</v>
      </c>
      <c r="C851" s="6" t="n">
        <v>-0.2301473069597001</v>
      </c>
      <c r="D851" s="6" t="n">
        <v>1.228229991001627</v>
      </c>
      <c r="E851" s="6" t="n">
        <v>2.823144251857328</v>
      </c>
      <c r="F851" s="6" t="n">
        <v>-0.8850484360866833</v>
      </c>
      <c r="G851" s="5" t="n">
        <v>0</v>
      </c>
      <c r="H851" s="5" t="n">
        <v>0</v>
      </c>
      <c r="I851" s="5" t="n">
        <v>0</v>
      </c>
      <c r="J851" s="5" t="n">
        <v>0</v>
      </c>
      <c r="K851" s="5" t="n">
        <v>0</v>
      </c>
      <c r="L851" s="5" t="n">
        <v>0</v>
      </c>
      <c r="M851" s="5" t="n">
        <v>0</v>
      </c>
      <c r="N851" s="5" t="n">
        <v>0</v>
      </c>
      <c r="O851" s="5" t="n">
        <v>1</v>
      </c>
      <c r="P851" s="5" t="n">
        <v>1</v>
      </c>
      <c r="Q851" s="5" t="n">
        <v>0</v>
      </c>
      <c r="R851" s="5" t="n">
        <v>1</v>
      </c>
      <c r="S851" s="5" t="n">
        <v>0</v>
      </c>
      <c r="T851" s="5" t="n">
        <v>0</v>
      </c>
      <c r="U851" s="5" t="inlineStr">
        <is>
          <t>training</t>
        </is>
      </c>
    </row>
    <row r="852">
      <c r="A852" s="5" t="n">
        <v>848</v>
      </c>
      <c r="B852" s="5" t="n">
        <v>0</v>
      </c>
      <c r="C852" s="6" t="n">
        <v>0.275406400796963</v>
      </c>
      <c r="D852" s="6" t="n">
        <v>-0.7003788016755556</v>
      </c>
      <c r="E852" s="6" t="n">
        <v>-0.6557765760629775</v>
      </c>
      <c r="F852" s="6" t="n">
        <v>0.9185437189662378</v>
      </c>
      <c r="G852" s="5" t="n">
        <v>0</v>
      </c>
      <c r="H852" s="5" t="n">
        <v>0</v>
      </c>
      <c r="I852" s="5" t="n">
        <v>0</v>
      </c>
      <c r="J852" s="5" t="n">
        <v>0</v>
      </c>
      <c r="K852" s="5" t="n">
        <v>0</v>
      </c>
      <c r="L852" s="5" t="n">
        <v>0</v>
      </c>
      <c r="M852" s="5" t="n">
        <v>0</v>
      </c>
      <c r="N852" s="5" t="n">
        <v>0</v>
      </c>
      <c r="O852" s="5" t="n">
        <v>0</v>
      </c>
      <c r="P852" s="5" t="n">
        <v>0</v>
      </c>
      <c r="Q852" s="5" t="n">
        <v>0</v>
      </c>
      <c r="R852" s="5" t="n">
        <v>1</v>
      </c>
      <c r="S852" s="5" t="n">
        <v>0</v>
      </c>
      <c r="T852" s="5" t="n">
        <v>0</v>
      </c>
      <c r="U852" s="5" t="inlineStr">
        <is>
          <t>training</t>
        </is>
      </c>
    </row>
    <row r="853">
      <c r="A853" s="5" t="n">
        <v>849</v>
      </c>
      <c r="B853" s="5" t="n">
        <v>0</v>
      </c>
      <c r="C853" s="6" t="n">
        <v>-0.9884778685946948</v>
      </c>
      <c r="D853" s="6" t="n">
        <v>-0.6601411363711513</v>
      </c>
      <c r="E853" s="6" t="n">
        <v>2.040387065575259</v>
      </c>
      <c r="F853" s="6" t="n">
        <v>0.01674764143977723</v>
      </c>
      <c r="G853" s="5" t="n">
        <v>1</v>
      </c>
      <c r="H853" s="5" t="n">
        <v>0</v>
      </c>
      <c r="I853" s="5" t="n">
        <v>0</v>
      </c>
      <c r="J853" s="5" t="n">
        <v>0</v>
      </c>
      <c r="K853" s="5" t="n">
        <v>0</v>
      </c>
      <c r="L853" s="5" t="n">
        <v>0</v>
      </c>
      <c r="M853" s="5" t="n">
        <v>0</v>
      </c>
      <c r="N853" s="5" t="n">
        <v>0</v>
      </c>
      <c r="O853" s="5" t="n">
        <v>0</v>
      </c>
      <c r="P853" s="5" t="n">
        <v>0</v>
      </c>
      <c r="Q853" s="5" t="n">
        <v>0</v>
      </c>
      <c r="R853" s="5" t="n">
        <v>0</v>
      </c>
      <c r="S853" s="5" t="n">
        <v>1</v>
      </c>
      <c r="T853" s="5" t="n">
        <v>0</v>
      </c>
      <c r="U853" s="5" t="inlineStr">
        <is>
          <t>training</t>
        </is>
      </c>
    </row>
    <row r="854">
      <c r="A854" s="5" t="n">
        <v>850</v>
      </c>
      <c r="B854" s="5" t="n">
        <v>1</v>
      </c>
      <c r="C854" s="6" t="n">
        <v>-0.7357010147163632</v>
      </c>
      <c r="D854" s="6" t="n">
        <v>-0.8893208822353666</v>
      </c>
      <c r="E854" s="6" t="n">
        <v>1.866441024179244</v>
      </c>
      <c r="F854" s="6" t="n">
        <v>0.9185437189662378</v>
      </c>
      <c r="G854" s="5" t="n">
        <v>1</v>
      </c>
      <c r="H854" s="5" t="n">
        <v>0</v>
      </c>
      <c r="I854" s="5" t="n">
        <v>0</v>
      </c>
      <c r="J854" s="5" t="n">
        <v>0</v>
      </c>
      <c r="K854" s="5" t="n">
        <v>0</v>
      </c>
      <c r="L854" s="5" t="n">
        <v>0</v>
      </c>
      <c r="M854" s="5" t="n">
        <v>0</v>
      </c>
      <c r="N854" s="5" t="n">
        <v>0</v>
      </c>
      <c r="O854" s="5" t="n">
        <v>0</v>
      </c>
      <c r="P854" s="5" t="n">
        <v>0</v>
      </c>
      <c r="Q854" s="5" t="n">
        <v>0</v>
      </c>
      <c r="R854" s="5" t="n">
        <v>0</v>
      </c>
      <c r="S854" s="5" t="n">
        <v>1</v>
      </c>
      <c r="T854" s="5" t="n">
        <v>0</v>
      </c>
      <c r="U854" s="5" t="inlineStr">
        <is>
          <t>training</t>
        </is>
      </c>
    </row>
    <row r="855">
      <c r="A855" s="5" t="n">
        <v>851</v>
      </c>
      <c r="B855" s="5" t="n">
        <v>1</v>
      </c>
      <c r="C855" s="6" t="n">
        <v>-0.06162940437414574</v>
      </c>
      <c r="D855" s="6" t="n">
        <v>-0.3553845582830116</v>
      </c>
      <c r="E855" s="6" t="n">
        <v>-0.2209114725729393</v>
      </c>
      <c r="F855" s="6" t="n">
        <v>0.9185437189662378</v>
      </c>
      <c r="G855" s="5" t="n">
        <v>1</v>
      </c>
      <c r="H855" s="5" t="n">
        <v>0</v>
      </c>
      <c r="I855" s="5" t="n">
        <v>0</v>
      </c>
      <c r="J855" s="5" t="n">
        <v>1</v>
      </c>
      <c r="K855" s="5" t="n">
        <v>0</v>
      </c>
      <c r="L855" s="5" t="n">
        <v>0</v>
      </c>
      <c r="M855" s="5" t="n">
        <v>0</v>
      </c>
      <c r="N855" s="5" t="n">
        <v>0</v>
      </c>
      <c r="O855" s="5" t="n">
        <v>0</v>
      </c>
      <c r="P855" s="5" t="n">
        <v>1</v>
      </c>
      <c r="Q855" s="5" t="n">
        <v>0</v>
      </c>
      <c r="R855" s="5" t="n">
        <v>1</v>
      </c>
      <c r="S855" s="5" t="n">
        <v>0</v>
      </c>
      <c r="T855" s="5" t="n">
        <v>0</v>
      </c>
      <c r="U855" s="5" t="inlineStr">
        <is>
          <t>training</t>
        </is>
      </c>
    </row>
    <row r="856">
      <c r="A856" s="5" t="n">
        <v>852</v>
      </c>
      <c r="B856" s="5" t="n">
        <v>0</v>
      </c>
      <c r="C856" s="6" t="n">
        <v>0.275406400796963</v>
      </c>
      <c r="D856" s="6" t="n">
        <v>0.2768716261088007</v>
      </c>
      <c r="E856" s="6" t="n">
        <v>0.648818734407137</v>
      </c>
      <c r="F856" s="6" t="n">
        <v>0.01674764143977723</v>
      </c>
      <c r="G856" s="5" t="n">
        <v>0</v>
      </c>
      <c r="H856" s="5" t="n">
        <v>0</v>
      </c>
      <c r="I856" s="5" t="n">
        <v>0</v>
      </c>
      <c r="J856" s="5" t="n">
        <v>1</v>
      </c>
      <c r="K856" s="5" t="n">
        <v>0</v>
      </c>
      <c r="L856" s="5" t="n">
        <v>0</v>
      </c>
      <c r="M856" s="5" t="n">
        <v>0</v>
      </c>
      <c r="N856" s="5" t="n">
        <v>0</v>
      </c>
      <c r="O856" s="5" t="n">
        <v>1</v>
      </c>
      <c r="P856" s="5" t="n">
        <v>0</v>
      </c>
      <c r="Q856" s="5" t="n">
        <v>0</v>
      </c>
      <c r="R856" s="5" t="n">
        <v>1</v>
      </c>
      <c r="S856" s="5" t="n">
        <v>0</v>
      </c>
      <c r="T856" s="5" t="n">
        <v>0</v>
      </c>
      <c r="U856" s="5" t="inlineStr">
        <is>
          <t>training</t>
        </is>
      </c>
    </row>
    <row r="857">
      <c r="A857" s="5" t="n">
        <v>853</v>
      </c>
      <c r="B857" s="5" t="n">
        <v>0</v>
      </c>
      <c r="C857" s="6" t="n">
        <v>-0.4829241608380317</v>
      </c>
      <c r="D857" s="6" t="n">
        <v>-0.6227026130009665</v>
      </c>
      <c r="E857" s="6" t="n">
        <v>-0.04696543117692405</v>
      </c>
      <c r="F857" s="6" t="n">
        <v>0.9185437189662378</v>
      </c>
      <c r="G857" s="5" t="n">
        <v>0</v>
      </c>
      <c r="H857" s="5" t="n">
        <v>0</v>
      </c>
      <c r="I857" s="5" t="n">
        <v>0</v>
      </c>
      <c r="J857" s="5" t="n">
        <v>1</v>
      </c>
      <c r="K857" s="5" t="n">
        <v>0</v>
      </c>
      <c r="L857" s="5" t="n">
        <v>0</v>
      </c>
      <c r="M857" s="5" t="n">
        <v>0</v>
      </c>
      <c r="N857" s="5" t="n">
        <v>0</v>
      </c>
      <c r="O857" s="5" t="n">
        <v>0</v>
      </c>
      <c r="P857" s="5" t="n">
        <v>0</v>
      </c>
      <c r="Q857" s="5" t="n">
        <v>1</v>
      </c>
      <c r="R857" s="5" t="n">
        <v>0</v>
      </c>
      <c r="S857" s="5" t="n">
        <v>1</v>
      </c>
      <c r="T857" s="5" t="n">
        <v>0</v>
      </c>
      <c r="U857" s="5" t="inlineStr">
        <is>
          <t>testing</t>
        </is>
      </c>
    </row>
    <row r="858">
      <c r="A858" s="5" t="n">
        <v>854</v>
      </c>
      <c r="B858" s="5" t="n">
        <v>1</v>
      </c>
      <c r="C858" s="6" t="n">
        <v>-0.2301473069597001</v>
      </c>
      <c r="D858" s="6" t="n">
        <v>-0.6328495025125119</v>
      </c>
      <c r="E858" s="6" t="n">
        <v>-0.307884493270947</v>
      </c>
      <c r="F858" s="6" t="n">
        <v>0.9185437189662378</v>
      </c>
      <c r="G858" s="5" t="n">
        <v>1</v>
      </c>
      <c r="H858" s="5" t="n">
        <v>0</v>
      </c>
      <c r="I858" s="5" t="n">
        <v>0</v>
      </c>
      <c r="J858" s="5" t="n">
        <v>0</v>
      </c>
      <c r="K858" s="5" t="n">
        <v>0</v>
      </c>
      <c r="L858" s="5" t="n">
        <v>1</v>
      </c>
      <c r="M858" s="5" t="n">
        <v>0</v>
      </c>
      <c r="N858" s="5" t="n">
        <v>0</v>
      </c>
      <c r="O858" s="5" t="n">
        <v>0</v>
      </c>
      <c r="P858" s="5" t="n">
        <v>0</v>
      </c>
      <c r="Q858" s="5" t="n">
        <v>1</v>
      </c>
      <c r="R858" s="5" t="n">
        <v>1</v>
      </c>
      <c r="S858" s="5" t="n">
        <v>0</v>
      </c>
      <c r="T858" s="5" t="n">
        <v>0</v>
      </c>
      <c r="U858" s="5" t="inlineStr">
        <is>
          <t>training</t>
        </is>
      </c>
    </row>
    <row r="859">
      <c r="A859" s="5" t="n">
        <v>855</v>
      </c>
      <c r="B859" s="5" t="n">
        <v>0</v>
      </c>
      <c r="C859" s="6" t="n">
        <v>1.286513816310289</v>
      </c>
      <c r="D859" s="6" t="n">
        <v>2.667688730673966</v>
      </c>
      <c r="E859" s="6" t="n">
        <v>0.8227647758031523</v>
      </c>
      <c r="F859" s="6" t="n">
        <v>-0.8850484360866833</v>
      </c>
      <c r="G859" s="5" t="n">
        <v>0</v>
      </c>
      <c r="H859" s="5" t="n">
        <v>0</v>
      </c>
      <c r="I859" s="5" t="n">
        <v>0</v>
      </c>
      <c r="J859" s="5" t="n">
        <v>0</v>
      </c>
      <c r="K859" s="5" t="n">
        <v>1</v>
      </c>
      <c r="L859" s="5" t="n">
        <v>0</v>
      </c>
      <c r="M859" s="5" t="n">
        <v>0</v>
      </c>
      <c r="N859" s="5" t="n">
        <v>0</v>
      </c>
      <c r="O859" s="5" t="n">
        <v>0</v>
      </c>
      <c r="P859" s="5" t="n">
        <v>0</v>
      </c>
      <c r="Q859" s="5" t="n">
        <v>0</v>
      </c>
      <c r="R859" s="5" t="n">
        <v>1</v>
      </c>
      <c r="S859" s="5" t="n">
        <v>0</v>
      </c>
      <c r="T859" s="5" t="n">
        <v>0</v>
      </c>
      <c r="U859" s="5" t="inlineStr">
        <is>
          <t>training</t>
        </is>
      </c>
    </row>
    <row r="860">
      <c r="A860" s="5" t="n">
        <v>856</v>
      </c>
      <c r="B860" s="5" t="n">
        <v>0</v>
      </c>
      <c r="C860" s="6" t="n">
        <v>0.275406400796963</v>
      </c>
      <c r="D860" s="6" t="n">
        <v>-0.6216529347756342</v>
      </c>
      <c r="E860" s="6" t="n">
        <v>-0.2209114725729393</v>
      </c>
      <c r="F860" s="6" t="n">
        <v>0.9185437189662378</v>
      </c>
      <c r="G860" s="5" t="n">
        <v>0</v>
      </c>
      <c r="H860" s="5" t="n">
        <v>0</v>
      </c>
      <c r="I860" s="5" t="n">
        <v>0</v>
      </c>
      <c r="J860" s="5" t="n">
        <v>0</v>
      </c>
      <c r="K860" s="5" t="n">
        <v>0</v>
      </c>
      <c r="L860" s="5" t="n">
        <v>0</v>
      </c>
      <c r="M860" s="5" t="n">
        <v>1</v>
      </c>
      <c r="N860" s="5" t="n">
        <v>0</v>
      </c>
      <c r="O860" s="5" t="n">
        <v>0</v>
      </c>
      <c r="P860" s="5" t="n">
        <v>0</v>
      </c>
      <c r="Q860" s="5" t="n">
        <v>0</v>
      </c>
      <c r="R860" s="5" t="n">
        <v>1</v>
      </c>
      <c r="S860" s="5" t="n">
        <v>0</v>
      </c>
      <c r="T860" s="5" t="n">
        <v>0</v>
      </c>
      <c r="U860" s="5" t="inlineStr">
        <is>
          <t>testing</t>
        </is>
      </c>
    </row>
    <row r="861">
      <c r="A861" s="5" t="n">
        <v>857</v>
      </c>
      <c r="B861" s="5" t="n">
        <v>0</v>
      </c>
      <c r="C861" s="6" t="n">
        <v>-0.9042189173019176</v>
      </c>
      <c r="D861" s="6" t="n">
        <v>-0.8245907250065425</v>
      </c>
      <c r="E861" s="6" t="n">
        <v>0.3878996723131141</v>
      </c>
      <c r="F861" s="6" t="n">
        <v>0.9185437189662378</v>
      </c>
      <c r="G861" s="5" t="n">
        <v>0</v>
      </c>
      <c r="H861" s="5" t="n">
        <v>0</v>
      </c>
      <c r="I861" s="5" t="n">
        <v>0</v>
      </c>
      <c r="J861" s="5" t="n">
        <v>0</v>
      </c>
      <c r="K861" s="5" t="n">
        <v>0</v>
      </c>
      <c r="L861" s="5" t="n">
        <v>0</v>
      </c>
      <c r="M861" s="5" t="n">
        <v>0</v>
      </c>
      <c r="N861" s="5" t="n">
        <v>0</v>
      </c>
      <c r="O861" s="5" t="n">
        <v>1</v>
      </c>
      <c r="P861" s="5" t="n">
        <v>0</v>
      </c>
      <c r="Q861" s="5" t="n">
        <v>0</v>
      </c>
      <c r="R861" s="5" t="n">
        <v>0</v>
      </c>
      <c r="S861" s="5" t="n">
        <v>0</v>
      </c>
      <c r="T861" s="5" t="n">
        <v>0</v>
      </c>
      <c r="U861" s="5" t="inlineStr">
        <is>
          <t>training</t>
        </is>
      </c>
    </row>
    <row r="862">
      <c r="A862" s="5" t="n">
        <v>858</v>
      </c>
      <c r="B862" s="5" t="n">
        <v>0</v>
      </c>
      <c r="C862" s="6" t="n">
        <v>-0.4829241608380317</v>
      </c>
      <c r="D862" s="6" t="n">
        <v>0.03229659960637857</v>
      </c>
      <c r="E862" s="6" t="n">
        <v>-0.6557765760629775</v>
      </c>
      <c r="F862" s="6" t="n">
        <v>0.9185437189662378</v>
      </c>
      <c r="G862" s="5" t="n">
        <v>0</v>
      </c>
      <c r="H862" s="5" t="n">
        <v>0</v>
      </c>
      <c r="I862" s="5" t="n">
        <v>0</v>
      </c>
      <c r="J862" s="5" t="n">
        <v>1</v>
      </c>
      <c r="K862" s="5" t="n">
        <v>0</v>
      </c>
      <c r="L862" s="5" t="n">
        <v>0</v>
      </c>
      <c r="M862" s="5" t="n">
        <v>0</v>
      </c>
      <c r="N862" s="5" t="n">
        <v>0</v>
      </c>
      <c r="O862" s="5" t="n">
        <v>0</v>
      </c>
      <c r="P862" s="5" t="n">
        <v>0</v>
      </c>
      <c r="Q862" s="5" t="n">
        <v>1</v>
      </c>
      <c r="R862" s="5" t="n">
        <v>0</v>
      </c>
      <c r="S862" s="5" t="n">
        <v>0</v>
      </c>
      <c r="T862" s="5" t="n">
        <v>1</v>
      </c>
      <c r="U862" s="5" t="inlineStr">
        <is>
          <t>training</t>
        </is>
      </c>
    </row>
    <row r="863">
      <c r="A863" s="5" t="n">
        <v>859</v>
      </c>
      <c r="B863" s="5" t="n">
        <v>1</v>
      </c>
      <c r="C863" s="6" t="n">
        <v>-0.4829241608380317</v>
      </c>
      <c r="D863" s="6" t="n">
        <v>0.2478305285412742</v>
      </c>
      <c r="E863" s="6" t="n">
        <v>-0.5688035553649698</v>
      </c>
      <c r="F863" s="6" t="n">
        <v>0.01674764143977723</v>
      </c>
      <c r="G863" s="5" t="n">
        <v>1</v>
      </c>
      <c r="H863" s="5" t="n">
        <v>0</v>
      </c>
      <c r="I863" s="5" t="n">
        <v>0</v>
      </c>
      <c r="J863" s="5" t="n">
        <v>0</v>
      </c>
      <c r="K863" s="5" t="n">
        <v>0</v>
      </c>
      <c r="L863" s="5" t="n">
        <v>0</v>
      </c>
      <c r="M863" s="5" t="n">
        <v>0</v>
      </c>
      <c r="N863" s="5" t="n">
        <v>0</v>
      </c>
      <c r="O863" s="5" t="n">
        <v>0</v>
      </c>
      <c r="P863" s="5" t="n">
        <v>0</v>
      </c>
      <c r="Q863" s="5" t="n">
        <v>0</v>
      </c>
      <c r="R863" s="5" t="n">
        <v>1</v>
      </c>
      <c r="S863" s="5" t="n">
        <v>0</v>
      </c>
      <c r="T863" s="5" t="n">
        <v>0</v>
      </c>
      <c r="U863" s="5" t="inlineStr">
        <is>
          <t>training</t>
        </is>
      </c>
    </row>
    <row r="864">
      <c r="A864" s="5" t="n">
        <v>860</v>
      </c>
      <c r="B864" s="5" t="n">
        <v>0</v>
      </c>
      <c r="C864" s="6" t="n">
        <v>-0.9884778685946948</v>
      </c>
      <c r="D864" s="6" t="n">
        <v>0.1141715011822967</v>
      </c>
      <c r="E864" s="6" t="n">
        <v>-0.8297226174589928</v>
      </c>
      <c r="F864" s="6" t="n">
        <v>-1.786844513613144</v>
      </c>
      <c r="G864" s="5" t="n">
        <v>0</v>
      </c>
      <c r="H864" s="5" t="n">
        <v>0</v>
      </c>
      <c r="I864" s="5" t="n">
        <v>0</v>
      </c>
      <c r="J864" s="5" t="n">
        <v>0</v>
      </c>
      <c r="K864" s="5" t="n">
        <v>0</v>
      </c>
      <c r="L864" s="5" t="n">
        <v>0</v>
      </c>
      <c r="M864" s="5" t="n">
        <v>1</v>
      </c>
      <c r="N864" s="5" t="n">
        <v>0</v>
      </c>
      <c r="O864" s="5" t="n">
        <v>0</v>
      </c>
      <c r="P864" s="5" t="n">
        <v>1</v>
      </c>
      <c r="Q864" s="5" t="n">
        <v>0</v>
      </c>
      <c r="R864" s="5" t="n">
        <v>1</v>
      </c>
      <c r="S864" s="5" t="n">
        <v>0</v>
      </c>
      <c r="T864" s="5" t="n">
        <v>0</v>
      </c>
      <c r="U864" s="5" t="inlineStr">
        <is>
          <t>testing</t>
        </is>
      </c>
    </row>
    <row r="865">
      <c r="A865" s="5" t="n">
        <v>861</v>
      </c>
      <c r="B865" s="5" t="n">
        <v>0</v>
      </c>
      <c r="C865" s="6" t="n">
        <v>0.275406400796963</v>
      </c>
      <c r="D865" s="6" t="n">
        <v>0.8933826371206287</v>
      </c>
      <c r="E865" s="6" t="n">
        <v>-0.7427495967609852</v>
      </c>
      <c r="F865" s="6" t="n">
        <v>0.9185437189662378</v>
      </c>
      <c r="G865" s="5" t="n">
        <v>0</v>
      </c>
      <c r="H865" s="5" t="n">
        <v>0</v>
      </c>
      <c r="I865" s="5" t="n">
        <v>0</v>
      </c>
      <c r="J865" s="5" t="n">
        <v>1</v>
      </c>
      <c r="K865" s="5" t="n">
        <v>0</v>
      </c>
      <c r="L865" s="5" t="n">
        <v>0</v>
      </c>
      <c r="M865" s="5" t="n">
        <v>0</v>
      </c>
      <c r="N865" s="5" t="n">
        <v>1</v>
      </c>
      <c r="O865" s="5" t="n">
        <v>0</v>
      </c>
      <c r="P865" s="5" t="n">
        <v>0</v>
      </c>
      <c r="Q865" s="5" t="n">
        <v>0</v>
      </c>
      <c r="R865" s="5" t="n">
        <v>1</v>
      </c>
      <c r="S865" s="5" t="n">
        <v>0</v>
      </c>
      <c r="T865" s="5" t="n">
        <v>0</v>
      </c>
      <c r="U865" s="5" t="inlineStr">
        <is>
          <t>training</t>
        </is>
      </c>
    </row>
    <row r="866">
      <c r="A866" s="5" t="n">
        <v>862</v>
      </c>
      <c r="B866" s="5" t="n">
        <v>1</v>
      </c>
      <c r="C866" s="6" t="n">
        <v>-0.2301473069597001</v>
      </c>
      <c r="D866" s="6" t="n">
        <v>-0.3784774792403218</v>
      </c>
      <c r="E866" s="6" t="n">
        <v>-0.6557765760629775</v>
      </c>
      <c r="F866" s="6" t="n">
        <v>0.9185437189662378</v>
      </c>
      <c r="G866" s="5" t="n">
        <v>0</v>
      </c>
      <c r="H866" s="5" t="n">
        <v>0</v>
      </c>
      <c r="I866" s="5" t="n">
        <v>0</v>
      </c>
      <c r="J866" s="5" t="n">
        <v>0</v>
      </c>
      <c r="K866" s="5" t="n">
        <v>1</v>
      </c>
      <c r="L866" s="5" t="n">
        <v>0</v>
      </c>
      <c r="M866" s="5" t="n">
        <v>0</v>
      </c>
      <c r="N866" s="5" t="n">
        <v>0</v>
      </c>
      <c r="O866" s="5" t="n">
        <v>0</v>
      </c>
      <c r="P866" s="5" t="n">
        <v>0</v>
      </c>
      <c r="Q866" s="5" t="n">
        <v>0</v>
      </c>
      <c r="R866" s="5" t="n">
        <v>0</v>
      </c>
      <c r="S866" s="5" t="n">
        <v>0</v>
      </c>
      <c r="T866" s="5" t="n">
        <v>0</v>
      </c>
      <c r="U866" s="5" t="inlineStr">
        <is>
          <t>training</t>
        </is>
      </c>
    </row>
    <row r="867">
      <c r="A867" s="5" t="n">
        <v>863</v>
      </c>
      <c r="B867" s="5" t="n">
        <v>1</v>
      </c>
      <c r="C867" s="6" t="n">
        <v>0.275406400796963</v>
      </c>
      <c r="D867" s="6" t="n">
        <v>-0.2840064389604163</v>
      </c>
      <c r="E867" s="6" t="n">
        <v>-0.04696543117692405</v>
      </c>
      <c r="F867" s="6" t="n">
        <v>0.9185437189662378</v>
      </c>
      <c r="G867" s="5" t="n">
        <v>1</v>
      </c>
      <c r="H867" s="5" t="n">
        <v>0</v>
      </c>
      <c r="I867" s="5" t="n">
        <v>0</v>
      </c>
      <c r="J867" s="5" t="n">
        <v>0</v>
      </c>
      <c r="K867" s="5" t="n">
        <v>0</v>
      </c>
      <c r="L867" s="5" t="n">
        <v>0</v>
      </c>
      <c r="M867" s="5" t="n">
        <v>0</v>
      </c>
      <c r="N867" s="5" t="n">
        <v>0</v>
      </c>
      <c r="O867" s="5" t="n">
        <v>0</v>
      </c>
      <c r="P867" s="5" t="n">
        <v>0</v>
      </c>
      <c r="Q867" s="5" t="n">
        <v>0</v>
      </c>
      <c r="R867" s="5" t="n">
        <v>0</v>
      </c>
      <c r="S867" s="5" t="n">
        <v>1</v>
      </c>
      <c r="T867" s="5" t="n">
        <v>0</v>
      </c>
      <c r="U867" s="5" t="inlineStr">
        <is>
          <t>training</t>
        </is>
      </c>
    </row>
    <row r="868">
      <c r="A868" s="5" t="n">
        <v>864</v>
      </c>
      <c r="B868" s="5" t="n">
        <v>0</v>
      </c>
      <c r="C868" s="6" t="n">
        <v>0.5281832546752946</v>
      </c>
      <c r="D868" s="6" t="n">
        <v>0.4462197131290758</v>
      </c>
      <c r="E868" s="6" t="n">
        <v>-0.307884493270947</v>
      </c>
      <c r="F868" s="6" t="n">
        <v>0.9185437189662378</v>
      </c>
      <c r="G868" s="5" t="n">
        <v>0</v>
      </c>
      <c r="H868" s="5" t="n">
        <v>0</v>
      </c>
      <c r="I868" s="5" t="n">
        <v>0</v>
      </c>
      <c r="J868" s="5" t="n">
        <v>1</v>
      </c>
      <c r="K868" s="5" t="n">
        <v>0</v>
      </c>
      <c r="L868" s="5" t="n">
        <v>0</v>
      </c>
      <c r="M868" s="5" t="n">
        <v>0</v>
      </c>
      <c r="N868" s="5" t="n">
        <v>1</v>
      </c>
      <c r="O868" s="5" t="n">
        <v>0</v>
      </c>
      <c r="P868" s="5" t="n">
        <v>0</v>
      </c>
      <c r="Q868" s="5" t="n">
        <v>0</v>
      </c>
      <c r="R868" s="5" t="n">
        <v>0</v>
      </c>
      <c r="S868" s="5" t="n">
        <v>0</v>
      </c>
      <c r="T868" s="5" t="n">
        <v>1</v>
      </c>
      <c r="U868" s="5" t="inlineStr">
        <is>
          <t>testing</t>
        </is>
      </c>
    </row>
    <row r="869">
      <c r="A869" s="5" t="n">
        <v>865</v>
      </c>
      <c r="B869" s="5" t="n">
        <v>1</v>
      </c>
      <c r="C869" s="6" t="n">
        <v>-0.9042189173019176</v>
      </c>
      <c r="D869" s="6" t="n">
        <v>-0.3641318768274473</v>
      </c>
      <c r="E869" s="6" t="n">
        <v>-0.9166956381570004</v>
      </c>
      <c r="F869" s="6" t="n">
        <v>-0.8850484360866833</v>
      </c>
      <c r="G869" s="5" t="n">
        <v>0</v>
      </c>
      <c r="H869" s="5" t="n">
        <v>0</v>
      </c>
      <c r="I869" s="5" t="n">
        <v>0</v>
      </c>
      <c r="J869" s="5" t="n">
        <v>0</v>
      </c>
      <c r="K869" s="5" t="n">
        <v>0</v>
      </c>
      <c r="L869" s="5" t="n">
        <v>0</v>
      </c>
      <c r="M869" s="5" t="n">
        <v>0</v>
      </c>
      <c r="N869" s="5" t="n">
        <v>0</v>
      </c>
      <c r="O869" s="5" t="n">
        <v>0</v>
      </c>
      <c r="P869" s="5" t="n">
        <v>1</v>
      </c>
      <c r="Q869" s="5" t="n">
        <v>0</v>
      </c>
      <c r="R869" s="5" t="n">
        <v>0</v>
      </c>
      <c r="S869" s="5" t="n">
        <v>0</v>
      </c>
      <c r="T869" s="5" t="n">
        <v>1</v>
      </c>
      <c r="U869" s="5" t="inlineStr">
        <is>
          <t>training</t>
        </is>
      </c>
    </row>
    <row r="870">
      <c r="A870" s="5" t="n">
        <v>866</v>
      </c>
      <c r="B870" s="5" t="n">
        <v>0</v>
      </c>
      <c r="C870" s="6" t="n">
        <v>-0.4829241608380317</v>
      </c>
      <c r="D870" s="6" t="n">
        <v>-0.3602830566678956</v>
      </c>
      <c r="E870" s="6" t="n">
        <v>-1.351560741647039</v>
      </c>
      <c r="F870" s="6" t="n">
        <v>-0.8850484360866833</v>
      </c>
      <c r="G870" s="5" t="n">
        <v>0</v>
      </c>
      <c r="H870" s="5" t="n">
        <v>0</v>
      </c>
      <c r="I870" s="5" t="n">
        <v>0</v>
      </c>
      <c r="J870" s="5" t="n">
        <v>0</v>
      </c>
      <c r="K870" s="5" t="n">
        <v>0</v>
      </c>
      <c r="L870" s="5" t="n">
        <v>0</v>
      </c>
      <c r="M870" s="5" t="n">
        <v>1</v>
      </c>
      <c r="N870" s="5" t="n">
        <v>0</v>
      </c>
      <c r="O870" s="5" t="n">
        <v>0</v>
      </c>
      <c r="P870" s="5" t="n">
        <v>1</v>
      </c>
      <c r="Q870" s="5" t="n">
        <v>0</v>
      </c>
      <c r="R870" s="5" t="n">
        <v>0</v>
      </c>
      <c r="S870" s="5" t="n">
        <v>0</v>
      </c>
      <c r="T870" s="5" t="n">
        <v>1</v>
      </c>
      <c r="U870" s="5" t="inlineStr">
        <is>
          <t>training</t>
        </is>
      </c>
    </row>
    <row r="871">
      <c r="A871" s="5" t="n">
        <v>867</v>
      </c>
      <c r="B871" s="5" t="n">
        <v>0</v>
      </c>
      <c r="C871" s="6" t="n">
        <v>-0.2301473069597001</v>
      </c>
      <c r="D871" s="6" t="n">
        <v>-0.3015010760492877</v>
      </c>
      <c r="E871" s="6" t="n">
        <v>-0.7427495967609852</v>
      </c>
      <c r="F871" s="6" t="n">
        <v>0.9185437189662378</v>
      </c>
      <c r="G871" s="5" t="n">
        <v>1</v>
      </c>
      <c r="H871" s="5" t="n">
        <v>0</v>
      </c>
      <c r="I871" s="5" t="n">
        <v>0</v>
      </c>
      <c r="J871" s="5" t="n">
        <v>0</v>
      </c>
      <c r="K871" s="5" t="n">
        <v>0</v>
      </c>
      <c r="L871" s="5" t="n">
        <v>0</v>
      </c>
      <c r="M871" s="5" t="n">
        <v>0</v>
      </c>
      <c r="N871" s="5" t="n">
        <v>0</v>
      </c>
      <c r="O871" s="5" t="n">
        <v>0</v>
      </c>
      <c r="P871" s="5" t="n">
        <v>0</v>
      </c>
      <c r="Q871" s="5" t="n">
        <v>0</v>
      </c>
      <c r="R871" s="5" t="n">
        <v>0</v>
      </c>
      <c r="S871" s="5" t="n">
        <v>1</v>
      </c>
      <c r="T871" s="5" t="n">
        <v>0</v>
      </c>
      <c r="U871" s="5" t="inlineStr">
        <is>
          <t>training</t>
        </is>
      </c>
    </row>
    <row r="872">
      <c r="A872" s="5" t="n">
        <v>868</v>
      </c>
      <c r="B872" s="5" t="n">
        <v>0</v>
      </c>
      <c r="C872" s="6" t="n">
        <v>-0.7357010147163632</v>
      </c>
      <c r="D872" s="6" t="n">
        <v>0.02809788670504944</v>
      </c>
      <c r="E872" s="6" t="n">
        <v>0.5618457137091294</v>
      </c>
      <c r="F872" s="6" t="n">
        <v>-0.8850484360866833</v>
      </c>
      <c r="G872" s="5" t="n">
        <v>0</v>
      </c>
      <c r="H872" s="5" t="n">
        <v>0</v>
      </c>
      <c r="I872" s="5" t="n">
        <v>0</v>
      </c>
      <c r="J872" s="5" t="n">
        <v>1</v>
      </c>
      <c r="K872" s="5" t="n">
        <v>0</v>
      </c>
      <c r="L872" s="5" t="n">
        <v>0</v>
      </c>
      <c r="M872" s="5" t="n">
        <v>0</v>
      </c>
      <c r="N872" s="5" t="n">
        <v>0</v>
      </c>
      <c r="O872" s="5" t="n">
        <v>0</v>
      </c>
      <c r="P872" s="5" t="n">
        <v>0</v>
      </c>
      <c r="Q872" s="5" t="n">
        <v>0</v>
      </c>
      <c r="R872" s="5" t="n">
        <v>0</v>
      </c>
      <c r="S872" s="5" t="n">
        <v>0</v>
      </c>
      <c r="T872" s="5" t="n">
        <v>1</v>
      </c>
      <c r="U872" s="5" t="inlineStr">
        <is>
          <t>training</t>
        </is>
      </c>
    </row>
    <row r="873">
      <c r="A873" s="5" t="n">
        <v>869</v>
      </c>
      <c r="B873" s="5" t="n">
        <v>0</v>
      </c>
      <c r="C873" s="6" t="n">
        <v>1.286513816310289</v>
      </c>
      <c r="D873" s="6" t="n">
        <v>1.454960487673401</v>
      </c>
      <c r="E873" s="6" t="n">
        <v>0.1269806102190912</v>
      </c>
      <c r="F873" s="6" t="n">
        <v>0.01674764143977723</v>
      </c>
      <c r="G873" s="5" t="n">
        <v>0</v>
      </c>
      <c r="H873" s="5" t="n">
        <v>0</v>
      </c>
      <c r="I873" s="5" t="n">
        <v>0</v>
      </c>
      <c r="J873" s="5" t="n">
        <v>0</v>
      </c>
      <c r="K873" s="5" t="n">
        <v>0</v>
      </c>
      <c r="L873" s="5" t="n">
        <v>0</v>
      </c>
      <c r="M873" s="5" t="n">
        <v>0</v>
      </c>
      <c r="N873" s="5" t="n">
        <v>0</v>
      </c>
      <c r="O873" s="5" t="n">
        <v>1</v>
      </c>
      <c r="P873" s="5" t="n">
        <v>0</v>
      </c>
      <c r="Q873" s="5" t="n">
        <v>0</v>
      </c>
      <c r="R873" s="5" t="n">
        <v>0</v>
      </c>
      <c r="S873" s="5" t="n">
        <v>0</v>
      </c>
      <c r="T873" s="5" t="n">
        <v>0</v>
      </c>
      <c r="U873" s="5" t="inlineStr">
        <is>
          <t>testing</t>
        </is>
      </c>
    </row>
    <row r="874">
      <c r="A874" s="5" t="n">
        <v>870</v>
      </c>
      <c r="B874" s="5" t="n">
        <v>0</v>
      </c>
      <c r="C874" s="6" t="n">
        <v>-0.7357010147163632</v>
      </c>
      <c r="D874" s="6" t="n">
        <v>-0.90926476851668</v>
      </c>
      <c r="E874" s="6" t="n">
        <v>-1.003668658855008</v>
      </c>
      <c r="F874" s="6" t="n">
        <v>0.9185437189662378</v>
      </c>
      <c r="G874" s="5" t="n">
        <v>1</v>
      </c>
      <c r="H874" s="5" t="n">
        <v>0</v>
      </c>
      <c r="I874" s="5" t="n">
        <v>0</v>
      </c>
      <c r="J874" s="5" t="n">
        <v>0</v>
      </c>
      <c r="K874" s="5" t="n">
        <v>0</v>
      </c>
      <c r="L874" s="5" t="n">
        <v>0</v>
      </c>
      <c r="M874" s="5" t="n">
        <v>0</v>
      </c>
      <c r="N874" s="5" t="n">
        <v>0</v>
      </c>
      <c r="O874" s="5" t="n">
        <v>0</v>
      </c>
      <c r="P874" s="5" t="n">
        <v>1</v>
      </c>
      <c r="Q874" s="5" t="n">
        <v>0</v>
      </c>
      <c r="R874" s="5" t="n">
        <v>0</v>
      </c>
      <c r="S874" s="5" t="n">
        <v>0</v>
      </c>
      <c r="T874" s="5" t="n">
        <v>1</v>
      </c>
      <c r="U874" s="5" t="inlineStr">
        <is>
          <t>training</t>
        </is>
      </c>
    </row>
    <row r="875">
      <c r="A875" s="5" t="n">
        <v>871</v>
      </c>
      <c r="B875" s="5" t="n">
        <v>0</v>
      </c>
      <c r="C875" s="6" t="n">
        <v>1.286513816310289</v>
      </c>
      <c r="D875" s="6" t="n">
        <v>1.549081635211529</v>
      </c>
      <c r="E875" s="6" t="n">
        <v>0.3878996723131141</v>
      </c>
      <c r="F875" s="6" t="n">
        <v>-0.8850484360866833</v>
      </c>
      <c r="G875" s="5" t="n">
        <v>0</v>
      </c>
      <c r="H875" s="5" t="n">
        <v>0</v>
      </c>
      <c r="I875" s="5" t="n">
        <v>0</v>
      </c>
      <c r="J875" s="5" t="n">
        <v>0</v>
      </c>
      <c r="K875" s="5" t="n">
        <v>1</v>
      </c>
      <c r="L875" s="5" t="n">
        <v>0</v>
      </c>
      <c r="M875" s="5" t="n">
        <v>1</v>
      </c>
      <c r="N875" s="5" t="n">
        <v>0</v>
      </c>
      <c r="O875" s="5" t="n">
        <v>0</v>
      </c>
      <c r="P875" s="5" t="n">
        <v>0</v>
      </c>
      <c r="Q875" s="5" t="n">
        <v>0</v>
      </c>
      <c r="R875" s="5" t="n">
        <v>0</v>
      </c>
      <c r="S875" s="5" t="n">
        <v>0</v>
      </c>
      <c r="T875" s="5" t="n">
        <v>1</v>
      </c>
      <c r="U875" s="5" t="inlineStr">
        <is>
          <t>training</t>
        </is>
      </c>
    </row>
    <row r="876">
      <c r="A876" s="5" t="n">
        <v>872</v>
      </c>
      <c r="B876" s="5" t="n">
        <v>0</v>
      </c>
      <c r="C876" s="6" t="n">
        <v>-1.241254722473026</v>
      </c>
      <c r="D876" s="6" t="n">
        <v>-0.6674888839484773</v>
      </c>
      <c r="E876" s="6" t="n">
        <v>0.9097377965011599</v>
      </c>
      <c r="F876" s="6" t="n">
        <v>-1.786844513613144</v>
      </c>
      <c r="G876" s="5" t="n">
        <v>0</v>
      </c>
      <c r="H876" s="5" t="n">
        <v>0</v>
      </c>
      <c r="I876" s="5" t="n">
        <v>1</v>
      </c>
      <c r="J876" s="5" t="n">
        <v>1</v>
      </c>
      <c r="K876" s="5" t="n">
        <v>0</v>
      </c>
      <c r="L876" s="5" t="n">
        <v>0</v>
      </c>
      <c r="M876" s="5" t="n">
        <v>0</v>
      </c>
      <c r="N876" s="5" t="n">
        <v>0</v>
      </c>
      <c r="O876" s="5" t="n">
        <v>0</v>
      </c>
      <c r="P876" s="5" t="n">
        <v>0</v>
      </c>
      <c r="Q876" s="5" t="n">
        <v>0</v>
      </c>
      <c r="R876" s="5" t="n">
        <v>1</v>
      </c>
      <c r="S876" s="5" t="n">
        <v>0</v>
      </c>
      <c r="T876" s="5" t="n">
        <v>0</v>
      </c>
      <c r="U876" s="5" t="inlineStr">
        <is>
          <t>training</t>
        </is>
      </c>
    </row>
    <row r="877">
      <c r="A877" s="5" t="n">
        <v>873</v>
      </c>
      <c r="B877" s="5" t="n">
        <v>0</v>
      </c>
      <c r="C877" s="6" t="n">
        <v>0.275406400796963</v>
      </c>
      <c r="D877" s="6" t="n">
        <v>-0.6538430670191576</v>
      </c>
      <c r="E877" s="6" t="n">
        <v>-0.8297226174589928</v>
      </c>
      <c r="F877" s="6" t="n">
        <v>0.9185437189662378</v>
      </c>
      <c r="G877" s="5" t="n">
        <v>1</v>
      </c>
      <c r="H877" s="5" t="n">
        <v>0</v>
      </c>
      <c r="I877" s="5" t="n">
        <v>0</v>
      </c>
      <c r="J877" s="5" t="n">
        <v>1</v>
      </c>
      <c r="K877" s="5" t="n">
        <v>0</v>
      </c>
      <c r="L877" s="5" t="n">
        <v>0</v>
      </c>
      <c r="M877" s="5" t="n">
        <v>1</v>
      </c>
      <c r="N877" s="5" t="n">
        <v>0</v>
      </c>
      <c r="O877" s="5" t="n">
        <v>0</v>
      </c>
      <c r="P877" s="5" t="n">
        <v>0</v>
      </c>
      <c r="Q877" s="5" t="n">
        <v>0</v>
      </c>
      <c r="R877" s="5" t="n">
        <v>0</v>
      </c>
      <c r="S877" s="5" t="n">
        <v>0</v>
      </c>
      <c r="T877" s="5" t="n">
        <v>0</v>
      </c>
      <c r="U877" s="5" t="inlineStr">
        <is>
          <t>training</t>
        </is>
      </c>
    </row>
    <row r="878">
      <c r="A878" s="5" t="n">
        <v>874</v>
      </c>
      <c r="B878" s="5" t="n">
        <v>0</v>
      </c>
      <c r="C878" s="6" t="n">
        <v>-0.4829241608380317</v>
      </c>
      <c r="D878" s="6" t="n">
        <v>-0.831588579842091</v>
      </c>
      <c r="E878" s="6" t="n">
        <v>-1.003668658855008</v>
      </c>
      <c r="F878" s="6" t="n">
        <v>0.9185437189662378</v>
      </c>
      <c r="G878" s="5" t="n">
        <v>0</v>
      </c>
      <c r="H878" s="5" t="n">
        <v>0</v>
      </c>
      <c r="I878" s="5" t="n">
        <v>0</v>
      </c>
      <c r="J878" s="5" t="n">
        <v>0</v>
      </c>
      <c r="K878" s="5" t="n">
        <v>0</v>
      </c>
      <c r="L878" s="5" t="n">
        <v>0</v>
      </c>
      <c r="M878" s="5" t="n">
        <v>0</v>
      </c>
      <c r="N878" s="5" t="n">
        <v>0</v>
      </c>
      <c r="O878" s="5" t="n">
        <v>1</v>
      </c>
      <c r="P878" s="5" t="n">
        <v>0</v>
      </c>
      <c r="Q878" s="5" t="n">
        <v>0</v>
      </c>
      <c r="R878" s="5" t="n">
        <v>0</v>
      </c>
      <c r="S878" s="5" t="n">
        <v>0</v>
      </c>
      <c r="T878" s="5" t="n">
        <v>0</v>
      </c>
      <c r="U878" s="5" t="inlineStr">
        <is>
          <t>training</t>
        </is>
      </c>
    </row>
    <row r="879">
      <c r="A879" s="5" t="n">
        <v>875</v>
      </c>
      <c r="B879" s="5" t="n">
        <v>0</v>
      </c>
      <c r="C879" s="6" t="n">
        <v>-0.7357010147163632</v>
      </c>
      <c r="D879" s="6" t="n">
        <v>0.1187201068254033</v>
      </c>
      <c r="E879" s="6" t="n">
        <v>-0.5688035553649698</v>
      </c>
      <c r="F879" s="6" t="n">
        <v>-0.8850484360866833</v>
      </c>
      <c r="G879" s="5" t="n">
        <v>1</v>
      </c>
      <c r="H879" s="5" t="n">
        <v>0</v>
      </c>
      <c r="I879" s="5" t="n">
        <v>0</v>
      </c>
      <c r="J879" s="5" t="n">
        <v>0</v>
      </c>
      <c r="K879" s="5" t="n">
        <v>0</v>
      </c>
      <c r="L879" s="5" t="n">
        <v>0</v>
      </c>
      <c r="M879" s="5" t="n">
        <v>0</v>
      </c>
      <c r="N879" s="5" t="n">
        <v>0</v>
      </c>
      <c r="O879" s="5" t="n">
        <v>0</v>
      </c>
      <c r="P879" s="5" t="n">
        <v>0</v>
      </c>
      <c r="Q879" s="5" t="n">
        <v>0</v>
      </c>
      <c r="R879" s="5" t="n">
        <v>0</v>
      </c>
      <c r="S879" s="5" t="n">
        <v>0</v>
      </c>
      <c r="T879" s="5" t="n">
        <v>1</v>
      </c>
      <c r="U879" s="5" t="inlineStr">
        <is>
          <t>testing</t>
        </is>
      </c>
    </row>
    <row r="880">
      <c r="A880" s="5" t="n">
        <v>876</v>
      </c>
      <c r="B880" s="5" t="n">
        <v>0</v>
      </c>
      <c r="C880" s="6" t="n">
        <v>-0.8199599660091405</v>
      </c>
      <c r="D880" s="6" t="n">
        <v>-0.6748366315258033</v>
      </c>
      <c r="E880" s="6" t="n">
        <v>0.3878996723131141</v>
      </c>
      <c r="F880" s="6" t="n">
        <v>0.9185437189662378</v>
      </c>
      <c r="G880" s="5" t="n">
        <v>0</v>
      </c>
      <c r="H880" s="5" t="n">
        <v>1</v>
      </c>
      <c r="I880" s="5" t="n">
        <v>0</v>
      </c>
      <c r="J880" s="5" t="n">
        <v>1</v>
      </c>
      <c r="K880" s="5" t="n">
        <v>0</v>
      </c>
      <c r="L880" s="5" t="n">
        <v>0</v>
      </c>
      <c r="M880" s="5" t="n">
        <v>0</v>
      </c>
      <c r="N880" s="5" t="n">
        <v>1</v>
      </c>
      <c r="O880" s="5" t="n">
        <v>0</v>
      </c>
      <c r="P880" s="5" t="n">
        <v>0</v>
      </c>
      <c r="Q880" s="5" t="n">
        <v>0</v>
      </c>
      <c r="R880" s="5" t="n">
        <v>1</v>
      </c>
      <c r="S880" s="5" t="n">
        <v>0</v>
      </c>
      <c r="T880" s="5" t="n">
        <v>0</v>
      </c>
      <c r="U880" s="5" t="inlineStr">
        <is>
          <t>training</t>
        </is>
      </c>
    </row>
    <row r="881">
      <c r="A881" s="5" t="n">
        <v>877</v>
      </c>
      <c r="B881" s="5" t="n">
        <v>0</v>
      </c>
      <c r="C881" s="6" t="n">
        <v>-0.2301473069597001</v>
      </c>
      <c r="D881" s="6" t="n">
        <v>-0.4586029171073528</v>
      </c>
      <c r="E881" s="6" t="n">
        <v>0.04000758952108359</v>
      </c>
      <c r="F881" s="6" t="n">
        <v>0.01674764143977723</v>
      </c>
      <c r="G881" s="5" t="n">
        <v>1</v>
      </c>
      <c r="H881" s="5" t="n">
        <v>0</v>
      </c>
      <c r="I881" s="5" t="n">
        <v>0</v>
      </c>
      <c r="J881" s="5" t="n">
        <v>0</v>
      </c>
      <c r="K881" s="5" t="n">
        <v>0</v>
      </c>
      <c r="L881" s="5" t="n">
        <v>1</v>
      </c>
      <c r="M881" s="5" t="n">
        <v>0</v>
      </c>
      <c r="N881" s="5" t="n">
        <v>0</v>
      </c>
      <c r="O881" s="5" t="n">
        <v>0</v>
      </c>
      <c r="P881" s="5" t="n">
        <v>0</v>
      </c>
      <c r="Q881" s="5" t="n">
        <v>1</v>
      </c>
      <c r="R881" s="5" t="n">
        <v>0</v>
      </c>
      <c r="S881" s="5" t="n">
        <v>1</v>
      </c>
      <c r="T881" s="5" t="n">
        <v>0</v>
      </c>
      <c r="U881" s="5" t="inlineStr">
        <is>
          <t>training</t>
        </is>
      </c>
    </row>
    <row r="882">
      <c r="A882" s="5" t="n">
        <v>878</v>
      </c>
      <c r="B882" s="5" t="n">
        <v>0</v>
      </c>
      <c r="C882" s="6" t="n">
        <v>1.286513816310289</v>
      </c>
      <c r="D882" s="6" t="n">
        <v>0.1204695705342904</v>
      </c>
      <c r="E882" s="6" t="n">
        <v>-0.6557765760629775</v>
      </c>
      <c r="F882" s="6" t="n">
        <v>0.9185437189662378</v>
      </c>
      <c r="G882" s="5" t="n">
        <v>0</v>
      </c>
      <c r="H882" s="5" t="n">
        <v>0</v>
      </c>
      <c r="I882" s="5" t="n">
        <v>0</v>
      </c>
      <c r="J882" s="5" t="n">
        <v>0</v>
      </c>
      <c r="K882" s="5" t="n">
        <v>0</v>
      </c>
      <c r="L882" s="5" t="n">
        <v>0</v>
      </c>
      <c r="M882" s="5" t="n">
        <v>0</v>
      </c>
      <c r="N882" s="5" t="n">
        <v>0</v>
      </c>
      <c r="O882" s="5" t="n">
        <v>0</v>
      </c>
      <c r="P882" s="5" t="n">
        <v>0</v>
      </c>
      <c r="Q882" s="5" t="n">
        <v>0</v>
      </c>
      <c r="R882" s="5" t="n">
        <v>0</v>
      </c>
      <c r="S882" s="5" t="n">
        <v>1</v>
      </c>
      <c r="T882" s="5" t="n">
        <v>0</v>
      </c>
      <c r="U882" s="5" t="inlineStr">
        <is>
          <t>training</t>
        </is>
      </c>
    </row>
    <row r="883">
      <c r="A883" s="5" t="n">
        <v>879</v>
      </c>
      <c r="B883" s="5" t="n">
        <v>1</v>
      </c>
      <c r="C883" s="6" t="n">
        <v>-0.9884778685946948</v>
      </c>
      <c r="D883" s="6" t="n">
        <v>-0.6398473573480605</v>
      </c>
      <c r="E883" s="6" t="n">
        <v>-0.7427495967609852</v>
      </c>
      <c r="F883" s="6" t="n">
        <v>0.01674764143977723</v>
      </c>
      <c r="G883" s="5" t="n">
        <v>1</v>
      </c>
      <c r="H883" s="5" t="n">
        <v>0</v>
      </c>
      <c r="I883" s="5" t="n">
        <v>0</v>
      </c>
      <c r="J883" s="5" t="n">
        <v>0</v>
      </c>
      <c r="K883" s="5" t="n">
        <v>0</v>
      </c>
      <c r="L883" s="5" t="n">
        <v>0</v>
      </c>
      <c r="M883" s="5" t="n">
        <v>0</v>
      </c>
      <c r="N883" s="5" t="n">
        <v>0</v>
      </c>
      <c r="O883" s="5" t="n">
        <v>0</v>
      </c>
      <c r="P883" s="5" t="n">
        <v>0</v>
      </c>
      <c r="Q883" s="5" t="n">
        <v>1</v>
      </c>
      <c r="R883" s="5" t="n">
        <v>1</v>
      </c>
      <c r="S883" s="5" t="n">
        <v>0</v>
      </c>
      <c r="T883" s="5" t="n">
        <v>0</v>
      </c>
      <c r="U883" s="5" t="inlineStr">
        <is>
          <t>training</t>
        </is>
      </c>
    </row>
    <row r="884">
      <c r="A884" s="5" t="n">
        <v>880</v>
      </c>
      <c r="B884" s="5" t="n">
        <v>0</v>
      </c>
      <c r="C884" s="6" t="n">
        <v>0.7809601085536261</v>
      </c>
      <c r="D884" s="6" t="n">
        <v>1.221582028907856</v>
      </c>
      <c r="E884" s="6" t="n">
        <v>0.04000758952108359</v>
      </c>
      <c r="F884" s="6" t="n">
        <v>-0.8850484360866833</v>
      </c>
      <c r="G884" s="5" t="n">
        <v>0</v>
      </c>
      <c r="H884" s="5" t="n">
        <v>0</v>
      </c>
      <c r="I884" s="5" t="n">
        <v>0</v>
      </c>
      <c r="J884" s="5" t="n">
        <v>1</v>
      </c>
      <c r="K884" s="5" t="n">
        <v>0</v>
      </c>
      <c r="L884" s="5" t="n">
        <v>0</v>
      </c>
      <c r="M884" s="5" t="n">
        <v>0</v>
      </c>
      <c r="N884" s="5" t="n">
        <v>0</v>
      </c>
      <c r="O884" s="5" t="n">
        <v>1</v>
      </c>
      <c r="P884" s="5" t="n">
        <v>0</v>
      </c>
      <c r="Q884" s="5" t="n">
        <v>0</v>
      </c>
      <c r="R884" s="5" t="n">
        <v>0</v>
      </c>
      <c r="S884" s="5" t="n">
        <v>1</v>
      </c>
      <c r="T884" s="5" t="n">
        <v>0</v>
      </c>
      <c r="U884" s="5" t="inlineStr">
        <is>
          <t>training</t>
        </is>
      </c>
    </row>
    <row r="885">
      <c r="A885" s="5" t="n">
        <v>881</v>
      </c>
      <c r="B885" s="5" t="n">
        <v>0</v>
      </c>
      <c r="C885" s="6" t="n">
        <v>0.275406400796963</v>
      </c>
      <c r="D885" s="6" t="n">
        <v>1.596667048093259</v>
      </c>
      <c r="E885" s="6" t="n">
        <v>0.2139536309170988</v>
      </c>
      <c r="F885" s="6" t="n">
        <v>0.01674764143977723</v>
      </c>
      <c r="G885" s="5" t="n">
        <v>0</v>
      </c>
      <c r="H885" s="5" t="n">
        <v>0</v>
      </c>
      <c r="I885" s="5" t="n">
        <v>0</v>
      </c>
      <c r="J885" s="5" t="n">
        <v>0</v>
      </c>
      <c r="K885" s="5" t="n">
        <v>0</v>
      </c>
      <c r="L885" s="5" t="n">
        <v>0</v>
      </c>
      <c r="M885" s="5" t="n">
        <v>0</v>
      </c>
      <c r="N885" s="5" t="n">
        <v>0</v>
      </c>
      <c r="O885" s="5" t="n">
        <v>0</v>
      </c>
      <c r="P885" s="5" t="n">
        <v>0</v>
      </c>
      <c r="Q885" s="5" t="n">
        <v>0</v>
      </c>
      <c r="R885" s="5" t="n">
        <v>1</v>
      </c>
      <c r="S885" s="5" t="n">
        <v>0</v>
      </c>
      <c r="T885" s="5" t="n">
        <v>0</v>
      </c>
      <c r="U885" s="5" t="inlineStr">
        <is>
          <t>training</t>
        </is>
      </c>
    </row>
    <row r="886">
      <c r="A886" s="5" t="n">
        <v>882</v>
      </c>
      <c r="B886" s="5" t="n">
        <v>0</v>
      </c>
      <c r="C886" s="6" t="n">
        <v>0.275406400796963</v>
      </c>
      <c r="D886" s="6" t="n">
        <v>2.108560129313636</v>
      </c>
      <c r="E886" s="6" t="n">
        <v>1.083683837897175</v>
      </c>
      <c r="F886" s="6" t="n">
        <v>-0.8850484360866833</v>
      </c>
      <c r="G886" s="5" t="n">
        <v>0</v>
      </c>
      <c r="H886" s="5" t="n">
        <v>0</v>
      </c>
      <c r="I886" s="5" t="n">
        <v>0</v>
      </c>
      <c r="J886" s="5" t="n">
        <v>0</v>
      </c>
      <c r="K886" s="5" t="n">
        <v>0</v>
      </c>
      <c r="L886" s="5" t="n">
        <v>0</v>
      </c>
      <c r="M886" s="5" t="n">
        <v>0</v>
      </c>
      <c r="N886" s="5" t="n">
        <v>0</v>
      </c>
      <c r="O886" s="5" t="n">
        <v>1</v>
      </c>
      <c r="P886" s="5" t="n">
        <v>0</v>
      </c>
      <c r="Q886" s="5" t="n">
        <v>1</v>
      </c>
      <c r="R886" s="5" t="n">
        <v>1</v>
      </c>
      <c r="S886" s="5" t="n">
        <v>0</v>
      </c>
      <c r="T886" s="5" t="n">
        <v>0</v>
      </c>
      <c r="U886" s="5" t="inlineStr">
        <is>
          <t>training</t>
        </is>
      </c>
    </row>
    <row r="887">
      <c r="A887" s="5" t="n">
        <v>883</v>
      </c>
      <c r="B887" s="5" t="n">
        <v>0</v>
      </c>
      <c r="C887" s="6" t="n">
        <v>0.7809601085536261</v>
      </c>
      <c r="D887" s="6" t="n">
        <v>-0.3742787663389927</v>
      </c>
      <c r="E887" s="6" t="n">
        <v>0.04000758952108359</v>
      </c>
      <c r="F887" s="6" t="n">
        <v>0.9185437189662378</v>
      </c>
      <c r="G887" s="5" t="n">
        <v>0</v>
      </c>
      <c r="H887" s="5" t="n">
        <v>1</v>
      </c>
      <c r="I887" s="5" t="n">
        <v>0</v>
      </c>
      <c r="J887" s="5" t="n">
        <v>1</v>
      </c>
      <c r="K887" s="5" t="n">
        <v>0</v>
      </c>
      <c r="L887" s="5" t="n">
        <v>0</v>
      </c>
      <c r="M887" s="5" t="n">
        <v>0</v>
      </c>
      <c r="N887" s="5" t="n">
        <v>0</v>
      </c>
      <c r="O887" s="5" t="n">
        <v>1</v>
      </c>
      <c r="P887" s="5" t="n">
        <v>0</v>
      </c>
      <c r="Q887" s="5" t="n">
        <v>0</v>
      </c>
      <c r="R887" s="5" t="n">
        <v>1</v>
      </c>
      <c r="S887" s="5" t="n">
        <v>0</v>
      </c>
      <c r="T887" s="5" t="n">
        <v>0</v>
      </c>
      <c r="U887" s="5" t="inlineStr">
        <is>
          <t>testing</t>
        </is>
      </c>
    </row>
    <row r="888">
      <c r="A888" s="5" t="n">
        <v>884</v>
      </c>
      <c r="B888" s="5" t="n">
        <v>0</v>
      </c>
      <c r="C888" s="6" t="n">
        <v>-0.2301473069597001</v>
      </c>
      <c r="D888" s="6" t="n">
        <v>-0.7532126056839472</v>
      </c>
      <c r="E888" s="6" t="n">
        <v>2.562225189763305</v>
      </c>
      <c r="F888" s="6" t="n">
        <v>0.9185437189662378</v>
      </c>
      <c r="G888" s="5" t="n">
        <v>0</v>
      </c>
      <c r="H888" s="5" t="n">
        <v>0</v>
      </c>
      <c r="I888" s="5" t="n">
        <v>0</v>
      </c>
      <c r="J888" s="5" t="n">
        <v>1</v>
      </c>
      <c r="K888" s="5" t="n">
        <v>0</v>
      </c>
      <c r="L888" s="5" t="n">
        <v>0</v>
      </c>
      <c r="M888" s="5" t="n">
        <v>0</v>
      </c>
      <c r="N888" s="5" t="n">
        <v>0</v>
      </c>
      <c r="O888" s="5" t="n">
        <v>0</v>
      </c>
      <c r="P888" s="5" t="n">
        <v>0</v>
      </c>
      <c r="Q888" s="5" t="n">
        <v>0</v>
      </c>
      <c r="R888" s="5" t="n">
        <v>0</v>
      </c>
      <c r="S888" s="5" t="n">
        <v>1</v>
      </c>
      <c r="T888" s="5" t="n">
        <v>0</v>
      </c>
      <c r="U888" s="5" t="inlineStr">
        <is>
          <t>testing</t>
        </is>
      </c>
    </row>
    <row r="889">
      <c r="A889" s="5" t="n">
        <v>885</v>
      </c>
      <c r="B889" s="5" t="n">
        <v>1</v>
      </c>
      <c r="C889" s="6" t="n">
        <v>0.275406400796963</v>
      </c>
      <c r="D889" s="6" t="n">
        <v>0.2821200172354622</v>
      </c>
      <c r="E889" s="6" t="n">
        <v>0.648818734407137</v>
      </c>
      <c r="F889" s="6" t="n">
        <v>0.01674764143977723</v>
      </c>
      <c r="G889" s="5" t="n">
        <v>0</v>
      </c>
      <c r="H889" s="5" t="n">
        <v>1</v>
      </c>
      <c r="I889" s="5" t="n">
        <v>0</v>
      </c>
      <c r="J889" s="5" t="n">
        <v>0</v>
      </c>
      <c r="K889" s="5" t="n">
        <v>0</v>
      </c>
      <c r="L889" s="5" t="n">
        <v>0</v>
      </c>
      <c r="M889" s="5" t="n">
        <v>0</v>
      </c>
      <c r="N889" s="5" t="n">
        <v>0</v>
      </c>
      <c r="O889" s="5" t="n">
        <v>0</v>
      </c>
      <c r="P889" s="5" t="n">
        <v>0</v>
      </c>
      <c r="Q889" s="5" t="n">
        <v>0</v>
      </c>
      <c r="R889" s="5" t="n">
        <v>0</v>
      </c>
      <c r="S889" s="5" t="n">
        <v>0</v>
      </c>
      <c r="T889" s="5" t="n">
        <v>1</v>
      </c>
      <c r="U889" s="5" t="inlineStr">
        <is>
          <t>training</t>
        </is>
      </c>
    </row>
    <row r="890">
      <c r="A890" s="5" t="n">
        <v>886</v>
      </c>
      <c r="B890" s="5" t="n">
        <v>1</v>
      </c>
      <c r="C890" s="6" t="n">
        <v>-0.7357010147163632</v>
      </c>
      <c r="D890" s="6" t="n">
        <v>-0.8592301064425079</v>
      </c>
      <c r="E890" s="6" t="n">
        <v>1.518548941387213</v>
      </c>
      <c r="F890" s="6" t="n">
        <v>0.9185437189662378</v>
      </c>
      <c r="G890" s="5" t="n">
        <v>1</v>
      </c>
      <c r="H890" s="5" t="n">
        <v>0</v>
      </c>
      <c r="I890" s="5" t="n">
        <v>0</v>
      </c>
      <c r="J890" s="5" t="n">
        <v>0</v>
      </c>
      <c r="K890" s="5" t="n">
        <v>0</v>
      </c>
      <c r="L890" s="5" t="n">
        <v>0</v>
      </c>
      <c r="M890" s="5" t="n">
        <v>0</v>
      </c>
      <c r="N890" s="5" t="n">
        <v>0</v>
      </c>
      <c r="O890" s="5" t="n">
        <v>0</v>
      </c>
      <c r="P890" s="5" t="n">
        <v>0</v>
      </c>
      <c r="Q890" s="5" t="n">
        <v>0</v>
      </c>
      <c r="R890" s="5" t="n">
        <v>0</v>
      </c>
      <c r="S890" s="5" t="n">
        <v>0</v>
      </c>
      <c r="T890" s="5" t="n">
        <v>0</v>
      </c>
      <c r="U890" s="5" t="inlineStr">
        <is>
          <t>testing</t>
        </is>
      </c>
    </row>
    <row r="891">
      <c r="A891" s="5" t="n">
        <v>887</v>
      </c>
      <c r="B891" s="5" t="n">
        <v>0</v>
      </c>
      <c r="C891" s="6" t="n">
        <v>0.275406400796963</v>
      </c>
      <c r="D891" s="6" t="n">
        <v>-0.1489478406343291</v>
      </c>
      <c r="E891" s="6" t="n">
        <v>-0.1339384518749317</v>
      </c>
      <c r="F891" s="6" t="n">
        <v>0.9185437189662378</v>
      </c>
      <c r="G891" s="5" t="n">
        <v>0</v>
      </c>
      <c r="H891" s="5" t="n">
        <v>1</v>
      </c>
      <c r="I891" s="5" t="n">
        <v>0</v>
      </c>
      <c r="J891" s="5" t="n">
        <v>1</v>
      </c>
      <c r="K891" s="5" t="n">
        <v>0</v>
      </c>
      <c r="L891" s="5" t="n">
        <v>0</v>
      </c>
      <c r="M891" s="5" t="n">
        <v>0</v>
      </c>
      <c r="N891" s="5" t="n">
        <v>0</v>
      </c>
      <c r="O891" s="5" t="n">
        <v>1</v>
      </c>
      <c r="P891" s="5" t="n">
        <v>0</v>
      </c>
      <c r="Q891" s="5" t="n">
        <v>0</v>
      </c>
      <c r="R891" s="5" t="n">
        <v>0</v>
      </c>
      <c r="S891" s="5" t="n">
        <v>0</v>
      </c>
      <c r="T891" s="5" t="n">
        <v>0</v>
      </c>
      <c r="U891" s="5" t="inlineStr">
        <is>
          <t>training</t>
        </is>
      </c>
    </row>
    <row r="892">
      <c r="A892" s="5" t="n">
        <v>888</v>
      </c>
      <c r="B892" s="5" t="n">
        <v>1</v>
      </c>
      <c r="C892" s="6" t="n">
        <v>2.297621231823615</v>
      </c>
      <c r="D892" s="6" t="n">
        <v>4.346124212980288</v>
      </c>
      <c r="E892" s="6" t="n">
        <v>-1.090641679553016</v>
      </c>
      <c r="F892" s="6" t="n">
        <v>-0.8850484360866833</v>
      </c>
      <c r="G892" s="5" t="n">
        <v>0</v>
      </c>
      <c r="H892" s="5" t="n">
        <v>1</v>
      </c>
      <c r="I892" s="5" t="n">
        <v>0</v>
      </c>
      <c r="J892" s="5" t="n">
        <v>0</v>
      </c>
      <c r="K892" s="5" t="n">
        <v>0</v>
      </c>
      <c r="L892" s="5" t="n">
        <v>0</v>
      </c>
      <c r="M892" s="5" t="n">
        <v>0</v>
      </c>
      <c r="N892" s="5" t="n">
        <v>0</v>
      </c>
      <c r="O892" s="5" t="n">
        <v>0</v>
      </c>
      <c r="P892" s="5" t="n">
        <v>0</v>
      </c>
      <c r="Q892" s="5" t="n">
        <v>0</v>
      </c>
      <c r="R892" s="5" t="n">
        <v>0</v>
      </c>
      <c r="S892" s="5" t="n">
        <v>0</v>
      </c>
      <c r="T892" s="5" t="n">
        <v>0</v>
      </c>
      <c r="U892" s="5" t="inlineStr">
        <is>
          <t>training</t>
        </is>
      </c>
    </row>
    <row r="893">
      <c r="A893" s="5" t="n">
        <v>889</v>
      </c>
      <c r="B893" s="5" t="n">
        <v>0</v>
      </c>
      <c r="C893" s="6" t="n">
        <v>1.286513816310289</v>
      </c>
      <c r="D893" s="6" t="n">
        <v>1.176795757960345</v>
      </c>
      <c r="E893" s="6" t="n">
        <v>-0.1339384518749317</v>
      </c>
      <c r="F893" s="6" t="n">
        <v>0.9185437189662378</v>
      </c>
      <c r="G893" s="5" t="n">
        <v>0</v>
      </c>
      <c r="H893" s="5" t="n">
        <v>0</v>
      </c>
      <c r="I893" s="5" t="n">
        <v>0</v>
      </c>
      <c r="J893" s="5" t="n">
        <v>1</v>
      </c>
      <c r="K893" s="5" t="n">
        <v>0</v>
      </c>
      <c r="L893" s="5" t="n">
        <v>0</v>
      </c>
      <c r="M893" s="5" t="n">
        <v>0</v>
      </c>
      <c r="N893" s="5" t="n">
        <v>0</v>
      </c>
      <c r="O893" s="5" t="n">
        <v>0</v>
      </c>
      <c r="P893" s="5" t="n">
        <v>0</v>
      </c>
      <c r="Q893" s="5" t="n">
        <v>0</v>
      </c>
      <c r="R893" s="5" t="n">
        <v>1</v>
      </c>
      <c r="S893" s="5" t="n">
        <v>0</v>
      </c>
      <c r="T893" s="5" t="n">
        <v>0</v>
      </c>
      <c r="U893" s="5" t="inlineStr">
        <is>
          <t>training</t>
        </is>
      </c>
    </row>
    <row r="894">
      <c r="A894" s="5" t="n">
        <v>890</v>
      </c>
      <c r="B894" s="5" t="n">
        <v>0</v>
      </c>
      <c r="C894" s="6" t="n">
        <v>0.6124422059680718</v>
      </c>
      <c r="D894" s="6" t="n">
        <v>1.600165975511033</v>
      </c>
      <c r="E894" s="6" t="n">
        <v>0.3878996723131141</v>
      </c>
      <c r="F894" s="6" t="n">
        <v>0.01674764143977723</v>
      </c>
      <c r="G894" s="5" t="n">
        <v>0</v>
      </c>
      <c r="H894" s="5" t="n">
        <v>0</v>
      </c>
      <c r="I894" s="5" t="n">
        <v>0</v>
      </c>
      <c r="J894" s="5" t="n">
        <v>0</v>
      </c>
      <c r="K894" s="5" t="n">
        <v>0</v>
      </c>
      <c r="L894" s="5" t="n">
        <v>1</v>
      </c>
      <c r="M894" s="5" t="n">
        <v>0</v>
      </c>
      <c r="N894" s="5" t="n">
        <v>0</v>
      </c>
      <c r="O894" s="5" t="n">
        <v>1</v>
      </c>
      <c r="P894" s="5" t="n">
        <v>1</v>
      </c>
      <c r="Q894" s="5" t="n">
        <v>0</v>
      </c>
      <c r="R894" s="5" t="n">
        <v>1</v>
      </c>
      <c r="S894" s="5" t="n">
        <v>0</v>
      </c>
      <c r="T894" s="5" t="n">
        <v>0</v>
      </c>
      <c r="U894" s="5" t="inlineStr">
        <is>
          <t>training</t>
        </is>
      </c>
    </row>
    <row r="895">
      <c r="A895" s="5" t="n">
        <v>891</v>
      </c>
      <c r="B895" s="5" t="n">
        <v>0</v>
      </c>
      <c r="C895" s="6" t="n">
        <v>0.5281832546752946</v>
      </c>
      <c r="D895" s="6" t="n">
        <v>-0.282956760735084</v>
      </c>
      <c r="E895" s="6" t="n">
        <v>0.648818734407137</v>
      </c>
      <c r="F895" s="6" t="n">
        <v>0.9185437189662378</v>
      </c>
      <c r="G895" s="5" t="n">
        <v>1</v>
      </c>
      <c r="H895" s="5" t="n">
        <v>0</v>
      </c>
      <c r="I895" s="5" t="n">
        <v>0</v>
      </c>
      <c r="J895" s="5" t="n">
        <v>1</v>
      </c>
      <c r="K895" s="5" t="n">
        <v>0</v>
      </c>
      <c r="L895" s="5" t="n">
        <v>0</v>
      </c>
      <c r="M895" s="5" t="n">
        <v>0</v>
      </c>
      <c r="N895" s="5" t="n">
        <v>0</v>
      </c>
      <c r="O895" s="5" t="n">
        <v>0</v>
      </c>
      <c r="P895" s="5" t="n">
        <v>0</v>
      </c>
      <c r="Q895" s="5" t="n">
        <v>0</v>
      </c>
      <c r="R895" s="5" t="n">
        <v>0</v>
      </c>
      <c r="S895" s="5" t="n">
        <v>0</v>
      </c>
      <c r="T895" s="5" t="n">
        <v>0</v>
      </c>
      <c r="U895" s="5" t="inlineStr">
        <is>
          <t>training</t>
        </is>
      </c>
    </row>
    <row r="896">
      <c r="A896" s="5" t="n">
        <v>892</v>
      </c>
      <c r="B896" s="5" t="n">
        <v>0</v>
      </c>
      <c r="C896" s="6" t="n">
        <v>-0.4829241608380317</v>
      </c>
      <c r="D896" s="6" t="n">
        <v>-0.4974410114446473</v>
      </c>
      <c r="E896" s="6" t="n">
        <v>0.9097377965011599</v>
      </c>
      <c r="F896" s="6" t="n">
        <v>0.9185437189662378</v>
      </c>
      <c r="G896" s="5" t="n">
        <v>0</v>
      </c>
      <c r="H896" s="5" t="n">
        <v>0</v>
      </c>
      <c r="I896" s="5" t="n">
        <v>0</v>
      </c>
      <c r="J896" s="5" t="n">
        <v>1</v>
      </c>
      <c r="K896" s="5" t="n">
        <v>0</v>
      </c>
      <c r="L896" s="5" t="n">
        <v>0</v>
      </c>
      <c r="M896" s="5" t="n">
        <v>0</v>
      </c>
      <c r="N896" s="5" t="n">
        <v>0</v>
      </c>
      <c r="O896" s="5" t="n">
        <v>0</v>
      </c>
      <c r="P896" s="5" t="n">
        <v>0</v>
      </c>
      <c r="Q896" s="5" t="n">
        <v>0</v>
      </c>
      <c r="R896" s="5" t="n">
        <v>0</v>
      </c>
      <c r="S896" s="5" t="n">
        <v>1</v>
      </c>
      <c r="T896" s="5" t="n">
        <v>0</v>
      </c>
      <c r="U896" s="5" t="inlineStr">
        <is>
          <t>training</t>
        </is>
      </c>
    </row>
    <row r="897">
      <c r="A897" s="5" t="n">
        <v>893</v>
      </c>
      <c r="B897" s="5" t="n">
        <v>0</v>
      </c>
      <c r="C897" s="6" t="n">
        <v>-0.7357010147163632</v>
      </c>
      <c r="D897" s="6" t="n">
        <v>-0.377777693756767</v>
      </c>
      <c r="E897" s="6" t="n">
        <v>0.2139536309170988</v>
      </c>
      <c r="F897" s="6" t="n">
        <v>0.9185437189662378</v>
      </c>
      <c r="G897" s="5" t="n">
        <v>1</v>
      </c>
      <c r="H897" s="5" t="n">
        <v>0</v>
      </c>
      <c r="I897" s="5" t="n">
        <v>0</v>
      </c>
      <c r="J897" s="5" t="n">
        <v>1</v>
      </c>
      <c r="K897" s="5" t="n">
        <v>0</v>
      </c>
      <c r="L897" s="5" t="n">
        <v>0</v>
      </c>
      <c r="M897" s="5" t="n">
        <v>0</v>
      </c>
      <c r="N897" s="5" t="n">
        <v>0</v>
      </c>
      <c r="O897" s="5" t="n">
        <v>0</v>
      </c>
      <c r="P897" s="5" t="n">
        <v>0</v>
      </c>
      <c r="Q897" s="5" t="n">
        <v>0</v>
      </c>
      <c r="R897" s="5" t="n">
        <v>1</v>
      </c>
      <c r="S897" s="5" t="n">
        <v>0</v>
      </c>
      <c r="T897" s="5" t="n">
        <v>0</v>
      </c>
      <c r="U897" s="5" t="inlineStr">
        <is>
          <t>training</t>
        </is>
      </c>
    </row>
    <row r="898">
      <c r="A898" s="5" t="n">
        <v>894</v>
      </c>
      <c r="B898" s="5" t="n">
        <v>0</v>
      </c>
      <c r="C898" s="6" t="n">
        <v>1.286513816310289</v>
      </c>
      <c r="D898" s="6" t="n">
        <v>0.8919830661535191</v>
      </c>
      <c r="E898" s="6" t="n">
        <v>-0.1339384518749317</v>
      </c>
      <c r="F898" s="6" t="n">
        <v>0.01674764143977723</v>
      </c>
      <c r="G898" s="5" t="n">
        <v>0</v>
      </c>
      <c r="H898" s="5" t="n">
        <v>1</v>
      </c>
      <c r="I898" s="5" t="n">
        <v>0</v>
      </c>
      <c r="J898" s="5" t="n">
        <v>1</v>
      </c>
      <c r="K898" s="5" t="n">
        <v>0</v>
      </c>
      <c r="L898" s="5" t="n">
        <v>0</v>
      </c>
      <c r="M898" s="5" t="n">
        <v>0</v>
      </c>
      <c r="N898" s="5" t="n">
        <v>0</v>
      </c>
      <c r="O898" s="5" t="n">
        <v>0</v>
      </c>
      <c r="P898" s="5" t="n">
        <v>0</v>
      </c>
      <c r="Q898" s="5" t="n">
        <v>0</v>
      </c>
      <c r="R898" s="5" t="n">
        <v>1</v>
      </c>
      <c r="S898" s="5" t="n">
        <v>0</v>
      </c>
      <c r="T898" s="5" t="n">
        <v>0</v>
      </c>
      <c r="U898" s="5" t="inlineStr">
        <is>
          <t>testing</t>
        </is>
      </c>
    </row>
    <row r="899">
      <c r="A899" s="5" t="n">
        <v>895</v>
      </c>
      <c r="B899" s="5" t="n">
        <v>0</v>
      </c>
      <c r="C899" s="6" t="n">
        <v>-0.2301473069597001</v>
      </c>
      <c r="D899" s="6" t="n">
        <v>-0.7283702210177497</v>
      </c>
      <c r="E899" s="6" t="n">
        <v>-0.5688035553649698</v>
      </c>
      <c r="F899" s="6" t="n">
        <v>0.9185437189662378</v>
      </c>
      <c r="G899" s="5" t="n">
        <v>0</v>
      </c>
      <c r="H899" s="5" t="n">
        <v>0</v>
      </c>
      <c r="I899" s="5" t="n">
        <v>0</v>
      </c>
      <c r="J899" s="5" t="n">
        <v>1</v>
      </c>
      <c r="K899" s="5" t="n">
        <v>0</v>
      </c>
      <c r="L899" s="5" t="n">
        <v>0</v>
      </c>
      <c r="M899" s="5" t="n">
        <v>0</v>
      </c>
      <c r="N899" s="5" t="n">
        <v>0</v>
      </c>
      <c r="O899" s="5" t="n">
        <v>1</v>
      </c>
      <c r="P899" s="5" t="n">
        <v>0</v>
      </c>
      <c r="Q899" s="5" t="n">
        <v>0</v>
      </c>
      <c r="R899" s="5" t="n">
        <v>0</v>
      </c>
      <c r="S899" s="5" t="n">
        <v>1</v>
      </c>
      <c r="T899" s="5" t="n">
        <v>0</v>
      </c>
      <c r="U899" s="5" t="inlineStr">
        <is>
          <t>training</t>
        </is>
      </c>
    </row>
    <row r="900">
      <c r="A900" s="5" t="n">
        <v>896</v>
      </c>
      <c r="B900" s="5" t="n">
        <v>0</v>
      </c>
      <c r="C900" s="6" t="n">
        <v>1.286513816310289</v>
      </c>
      <c r="D900" s="6" t="n">
        <v>1.993095524527085</v>
      </c>
      <c r="E900" s="6" t="n">
        <v>-0.3948575139689546</v>
      </c>
      <c r="F900" s="6" t="n">
        <v>0.01674764143977723</v>
      </c>
      <c r="G900" s="5" t="n">
        <v>0</v>
      </c>
      <c r="H900" s="5" t="n">
        <v>0</v>
      </c>
      <c r="I900" s="5" t="n">
        <v>0</v>
      </c>
      <c r="J900" s="5" t="n">
        <v>0</v>
      </c>
      <c r="K900" s="5" t="n">
        <v>1</v>
      </c>
      <c r="L900" s="5" t="n">
        <v>0</v>
      </c>
      <c r="M900" s="5" t="n">
        <v>0</v>
      </c>
      <c r="N900" s="5" t="n">
        <v>0</v>
      </c>
      <c r="O900" s="5" t="n">
        <v>1</v>
      </c>
      <c r="P900" s="5" t="n">
        <v>0</v>
      </c>
      <c r="Q900" s="5" t="n">
        <v>0</v>
      </c>
      <c r="R900" s="5" t="n">
        <v>1</v>
      </c>
      <c r="S900" s="5" t="n">
        <v>0</v>
      </c>
      <c r="T900" s="5" t="n">
        <v>0</v>
      </c>
      <c r="U900" s="5" t="inlineStr">
        <is>
          <t>testing</t>
        </is>
      </c>
    </row>
    <row r="901">
      <c r="A901" s="5" t="n">
        <v>897</v>
      </c>
      <c r="B901" s="5" t="n">
        <v>0</v>
      </c>
      <c r="C901" s="6" t="n">
        <v>0.02262954691863145</v>
      </c>
      <c r="D901" s="6" t="n">
        <v>-0.2255743510835858</v>
      </c>
      <c r="E901" s="6" t="n">
        <v>-0.6557765760629775</v>
      </c>
      <c r="F901" s="6" t="n">
        <v>0.9185437189662378</v>
      </c>
      <c r="G901" s="5" t="n">
        <v>1</v>
      </c>
      <c r="H901" s="5" t="n">
        <v>0</v>
      </c>
      <c r="I901" s="5" t="n">
        <v>0</v>
      </c>
      <c r="J901" s="5" t="n">
        <v>0</v>
      </c>
      <c r="K901" s="5" t="n">
        <v>0</v>
      </c>
      <c r="L901" s="5" t="n">
        <v>0</v>
      </c>
      <c r="M901" s="5" t="n">
        <v>0</v>
      </c>
      <c r="N901" s="5" t="n">
        <v>0</v>
      </c>
      <c r="O901" s="5" t="n">
        <v>0</v>
      </c>
      <c r="P901" s="5" t="n">
        <v>1</v>
      </c>
      <c r="Q901" s="5" t="n">
        <v>0</v>
      </c>
      <c r="R901" s="5" t="n">
        <v>0</v>
      </c>
      <c r="S901" s="5" t="n">
        <v>1</v>
      </c>
      <c r="T901" s="5" t="n">
        <v>0</v>
      </c>
      <c r="U901" s="5" t="inlineStr">
        <is>
          <t>testing</t>
        </is>
      </c>
    </row>
    <row r="902">
      <c r="A902" s="5" t="n">
        <v>898</v>
      </c>
      <c r="B902" s="5" t="n">
        <v>0</v>
      </c>
      <c r="C902" s="6" t="n">
        <v>-0.7357010147163632</v>
      </c>
      <c r="D902" s="6" t="n">
        <v>-0.5803655912458977</v>
      </c>
      <c r="E902" s="6" t="n">
        <v>-0.04696543117692405</v>
      </c>
      <c r="F902" s="6" t="n">
        <v>0.01674764143977723</v>
      </c>
      <c r="G902" s="5" t="n">
        <v>0</v>
      </c>
      <c r="H902" s="5" t="n">
        <v>0</v>
      </c>
      <c r="I902" s="5" t="n">
        <v>0</v>
      </c>
      <c r="J902" s="5" t="n">
        <v>1</v>
      </c>
      <c r="K902" s="5" t="n">
        <v>0</v>
      </c>
      <c r="L902" s="5" t="n">
        <v>0</v>
      </c>
      <c r="M902" s="5" t="n">
        <v>0</v>
      </c>
      <c r="N902" s="5" t="n">
        <v>1</v>
      </c>
      <c r="O902" s="5" t="n">
        <v>0</v>
      </c>
      <c r="P902" s="5" t="n">
        <v>0</v>
      </c>
      <c r="Q902" s="5" t="n">
        <v>0</v>
      </c>
      <c r="R902" s="5" t="n">
        <v>0</v>
      </c>
      <c r="S902" s="5" t="n">
        <v>0</v>
      </c>
      <c r="T902" s="5" t="n">
        <v>1</v>
      </c>
      <c r="U902" s="5" t="inlineStr">
        <is>
          <t>training</t>
        </is>
      </c>
    </row>
    <row r="903">
      <c r="A903" s="5" t="n">
        <v>899</v>
      </c>
      <c r="B903" s="5" t="n">
        <v>0</v>
      </c>
      <c r="C903" s="6" t="n">
        <v>-0.4829241608380317</v>
      </c>
      <c r="D903" s="6" t="n">
        <v>-0.3725293026301055</v>
      </c>
      <c r="E903" s="6" t="n">
        <v>-0.2209114725729393</v>
      </c>
      <c r="F903" s="6" t="n">
        <v>-1.786844513613144</v>
      </c>
      <c r="G903" s="5" t="n">
        <v>0</v>
      </c>
      <c r="H903" s="5" t="n">
        <v>0</v>
      </c>
      <c r="I903" s="5" t="n">
        <v>0</v>
      </c>
      <c r="J903" s="5" t="n">
        <v>0</v>
      </c>
      <c r="K903" s="5" t="n">
        <v>0</v>
      </c>
      <c r="L903" s="5" t="n">
        <v>0</v>
      </c>
      <c r="M903" s="5" t="n">
        <v>0</v>
      </c>
      <c r="N903" s="5" t="n">
        <v>0</v>
      </c>
      <c r="O903" s="5" t="n">
        <v>1</v>
      </c>
      <c r="P903" s="5" t="n">
        <v>1</v>
      </c>
      <c r="Q903" s="5" t="n">
        <v>0</v>
      </c>
      <c r="R903" s="5" t="n">
        <v>0</v>
      </c>
      <c r="S903" s="5" t="n">
        <v>0</v>
      </c>
      <c r="T903" s="5" t="n">
        <v>1</v>
      </c>
      <c r="U903" s="5" t="inlineStr">
        <is>
          <t>testing</t>
        </is>
      </c>
    </row>
    <row r="904">
      <c r="A904" s="5" t="n">
        <v>900</v>
      </c>
      <c r="B904" s="5" t="n">
        <v>1</v>
      </c>
      <c r="C904" s="6" t="n">
        <v>-0.2301473069597001</v>
      </c>
      <c r="D904" s="6" t="n">
        <v>0.3157097204460952</v>
      </c>
      <c r="E904" s="6" t="n">
        <v>0.5618457137091294</v>
      </c>
      <c r="F904" s="6" t="n">
        <v>-0.8850484360866833</v>
      </c>
      <c r="G904" s="5" t="n">
        <v>1</v>
      </c>
      <c r="H904" s="5" t="n">
        <v>0</v>
      </c>
      <c r="I904" s="5" t="n">
        <v>0</v>
      </c>
      <c r="J904" s="5" t="n">
        <v>0</v>
      </c>
      <c r="K904" s="5" t="n">
        <v>0</v>
      </c>
      <c r="L904" s="5" t="n">
        <v>0</v>
      </c>
      <c r="M904" s="5" t="n">
        <v>0</v>
      </c>
      <c r="N904" s="5" t="n">
        <v>0</v>
      </c>
      <c r="O904" s="5" t="n">
        <v>0</v>
      </c>
      <c r="P904" s="5" t="n">
        <v>0</v>
      </c>
      <c r="Q904" s="5" t="n">
        <v>0</v>
      </c>
      <c r="R904" s="5" t="n">
        <v>0</v>
      </c>
      <c r="S904" s="5" t="n">
        <v>0</v>
      </c>
      <c r="T904" s="5" t="n">
        <v>1</v>
      </c>
      <c r="U904" s="5" t="inlineStr">
        <is>
          <t>training</t>
        </is>
      </c>
    </row>
    <row r="905">
      <c r="A905" s="5" t="n">
        <v>901</v>
      </c>
      <c r="B905" s="5" t="n">
        <v>1</v>
      </c>
      <c r="C905" s="6" t="n">
        <v>-0.3986652095452545</v>
      </c>
      <c r="D905" s="6" t="n">
        <v>-0.2189263889898147</v>
      </c>
      <c r="E905" s="6" t="n">
        <v>0.648818734407137</v>
      </c>
      <c r="F905" s="6" t="n">
        <v>-0.8850484360866833</v>
      </c>
      <c r="G905" s="5" t="n">
        <v>1</v>
      </c>
      <c r="H905" s="5" t="n">
        <v>0</v>
      </c>
      <c r="I905" s="5" t="n">
        <v>0</v>
      </c>
      <c r="J905" s="5" t="n">
        <v>1</v>
      </c>
      <c r="K905" s="5" t="n">
        <v>0</v>
      </c>
      <c r="L905" s="5" t="n">
        <v>0</v>
      </c>
      <c r="M905" s="5" t="n">
        <v>0</v>
      </c>
      <c r="N905" s="5" t="n">
        <v>0</v>
      </c>
      <c r="O905" s="5" t="n">
        <v>0</v>
      </c>
      <c r="P905" s="5" t="n">
        <v>1</v>
      </c>
      <c r="Q905" s="5" t="n">
        <v>0</v>
      </c>
      <c r="R905" s="5" t="n">
        <v>1</v>
      </c>
      <c r="S905" s="5" t="n">
        <v>0</v>
      </c>
      <c r="T905" s="5" t="n">
        <v>0</v>
      </c>
      <c r="U905" s="5" t="inlineStr">
        <is>
          <t>training</t>
        </is>
      </c>
    </row>
    <row r="906">
      <c r="A906" s="5" t="n">
        <v>902</v>
      </c>
      <c r="B906" s="5" t="n">
        <v>0</v>
      </c>
      <c r="C906" s="6" t="n">
        <v>-0.06162940437414574</v>
      </c>
      <c r="D906" s="6" t="n">
        <v>0.08198136893877335</v>
      </c>
      <c r="E906" s="6" t="n">
        <v>0.7357917551051447</v>
      </c>
      <c r="F906" s="6" t="n">
        <v>-0.8850484360866833</v>
      </c>
      <c r="G906" s="5" t="n">
        <v>0</v>
      </c>
      <c r="H906" s="5" t="n">
        <v>0</v>
      </c>
      <c r="I906" s="5" t="n">
        <v>0</v>
      </c>
      <c r="J906" s="5" t="n">
        <v>1</v>
      </c>
      <c r="K906" s="5" t="n">
        <v>0</v>
      </c>
      <c r="L906" s="5" t="n">
        <v>0</v>
      </c>
      <c r="M906" s="5" t="n">
        <v>0</v>
      </c>
      <c r="N906" s="5" t="n">
        <v>0</v>
      </c>
      <c r="O906" s="5" t="n">
        <v>1</v>
      </c>
      <c r="P906" s="5" t="n">
        <v>0</v>
      </c>
      <c r="Q906" s="5" t="n">
        <v>0</v>
      </c>
      <c r="R906" s="5" t="n">
        <v>1</v>
      </c>
      <c r="S906" s="5" t="n">
        <v>0</v>
      </c>
      <c r="T906" s="5" t="n">
        <v>0</v>
      </c>
      <c r="U906" s="5" t="inlineStr">
        <is>
          <t>testing</t>
        </is>
      </c>
    </row>
    <row r="907">
      <c r="A907" s="5" t="n">
        <v>903</v>
      </c>
      <c r="B907" s="5" t="n">
        <v>0</v>
      </c>
      <c r="C907" s="6" t="n">
        <v>1.286513816310289</v>
      </c>
      <c r="D907" s="6" t="n">
        <v>2.52843141944655</v>
      </c>
      <c r="E907" s="6" t="n">
        <v>0.5618457137091294</v>
      </c>
      <c r="F907" s="6" t="n">
        <v>-0.8850484360866833</v>
      </c>
      <c r="G907" s="5" t="n">
        <v>0</v>
      </c>
      <c r="H907" s="5" t="n">
        <v>0</v>
      </c>
      <c r="I907" s="5" t="n">
        <v>0</v>
      </c>
      <c r="J907" s="5" t="n">
        <v>1</v>
      </c>
      <c r="K907" s="5" t="n">
        <v>0</v>
      </c>
      <c r="L907" s="5" t="n">
        <v>0</v>
      </c>
      <c r="M907" s="5" t="n">
        <v>0</v>
      </c>
      <c r="N907" s="5" t="n">
        <v>0</v>
      </c>
      <c r="O907" s="5" t="n">
        <v>1</v>
      </c>
      <c r="P907" s="5" t="n">
        <v>0</v>
      </c>
      <c r="Q907" s="5" t="n">
        <v>1</v>
      </c>
      <c r="R907" s="5" t="n">
        <v>1</v>
      </c>
      <c r="S907" s="5" t="n">
        <v>0</v>
      </c>
      <c r="T907" s="5" t="n">
        <v>0</v>
      </c>
      <c r="U907" s="5" t="inlineStr">
        <is>
          <t>training</t>
        </is>
      </c>
    </row>
    <row r="908">
      <c r="A908" s="5" t="n">
        <v>904</v>
      </c>
      <c r="B908" s="5" t="n">
        <v>0</v>
      </c>
      <c r="C908" s="6" t="n">
        <v>-0.4829241608380317</v>
      </c>
      <c r="D908" s="6" t="n">
        <v>-0.6524434960520479</v>
      </c>
      <c r="E908" s="6" t="n">
        <v>0.3878996723131141</v>
      </c>
      <c r="F908" s="6" t="n">
        <v>0.9185437189662378</v>
      </c>
      <c r="G908" s="5" t="n">
        <v>0</v>
      </c>
      <c r="H908" s="5" t="n">
        <v>0</v>
      </c>
      <c r="I908" s="5" t="n">
        <v>0</v>
      </c>
      <c r="J908" s="5" t="n">
        <v>0</v>
      </c>
      <c r="K908" s="5" t="n">
        <v>0</v>
      </c>
      <c r="L908" s="5" t="n">
        <v>0</v>
      </c>
      <c r="M908" s="5" t="n">
        <v>0</v>
      </c>
      <c r="N908" s="5" t="n">
        <v>0</v>
      </c>
      <c r="O908" s="5" t="n">
        <v>1</v>
      </c>
      <c r="P908" s="5" t="n">
        <v>1</v>
      </c>
      <c r="Q908" s="5" t="n">
        <v>0</v>
      </c>
      <c r="R908" s="5" t="n">
        <v>0</v>
      </c>
      <c r="S908" s="5" t="n">
        <v>1</v>
      </c>
      <c r="T908" s="5" t="n">
        <v>0</v>
      </c>
      <c r="U908" s="5" t="inlineStr">
        <is>
          <t>testing</t>
        </is>
      </c>
    </row>
    <row r="909">
      <c r="A909" s="5" t="n">
        <v>905</v>
      </c>
      <c r="B909" s="5" t="n">
        <v>0</v>
      </c>
      <c r="C909" s="6" t="n">
        <v>0.275406400796963</v>
      </c>
      <c r="D909" s="6" t="n">
        <v>-0.6902319121640101</v>
      </c>
      <c r="E909" s="6" t="n">
        <v>0.04000758952108359</v>
      </c>
      <c r="F909" s="6" t="n">
        <v>0.9185437189662378</v>
      </c>
      <c r="G909" s="5" t="n">
        <v>0</v>
      </c>
      <c r="H909" s="5" t="n">
        <v>0</v>
      </c>
      <c r="I909" s="5" t="n">
        <v>0</v>
      </c>
      <c r="J909" s="5" t="n">
        <v>0</v>
      </c>
      <c r="K909" s="5" t="n">
        <v>0</v>
      </c>
      <c r="L909" s="5" t="n">
        <v>0</v>
      </c>
      <c r="M909" s="5" t="n">
        <v>0</v>
      </c>
      <c r="N909" s="5" t="n">
        <v>0</v>
      </c>
      <c r="O909" s="5" t="n">
        <v>0</v>
      </c>
      <c r="P909" s="5" t="n">
        <v>0</v>
      </c>
      <c r="Q909" s="5" t="n">
        <v>0</v>
      </c>
      <c r="R909" s="5" t="n">
        <v>0</v>
      </c>
      <c r="S909" s="5" t="n">
        <v>1</v>
      </c>
      <c r="T909" s="5" t="n">
        <v>0</v>
      </c>
      <c r="U909" s="5" t="inlineStr">
        <is>
          <t>training</t>
        </is>
      </c>
    </row>
    <row r="910">
      <c r="A910" s="5" t="n">
        <v>906</v>
      </c>
      <c r="B910" s="5" t="n">
        <v>0</v>
      </c>
      <c r="C910" s="6" t="n">
        <v>-0.7357010147163632</v>
      </c>
      <c r="D910" s="6" t="n">
        <v>-0.7500635710079503</v>
      </c>
      <c r="E910" s="6" t="n">
        <v>-1.351560741647039</v>
      </c>
      <c r="F910" s="6" t="n">
        <v>-0.8850484360866833</v>
      </c>
      <c r="G910" s="5" t="n">
        <v>1</v>
      </c>
      <c r="H910" s="5" t="n">
        <v>0</v>
      </c>
      <c r="I910" s="5" t="n">
        <v>0</v>
      </c>
      <c r="J910" s="5" t="n">
        <v>0</v>
      </c>
      <c r="K910" s="5" t="n">
        <v>0</v>
      </c>
      <c r="L910" s="5" t="n">
        <v>0</v>
      </c>
      <c r="M910" s="5" t="n">
        <v>0</v>
      </c>
      <c r="N910" s="5" t="n">
        <v>0</v>
      </c>
      <c r="O910" s="5" t="n">
        <v>0</v>
      </c>
      <c r="P910" s="5" t="n">
        <v>1</v>
      </c>
      <c r="Q910" s="5" t="n">
        <v>0</v>
      </c>
      <c r="R910" s="5" t="n">
        <v>0</v>
      </c>
      <c r="S910" s="5" t="n">
        <v>1</v>
      </c>
      <c r="T910" s="5" t="n">
        <v>0</v>
      </c>
      <c r="U910" s="5" t="inlineStr">
        <is>
          <t>testing</t>
        </is>
      </c>
    </row>
    <row r="911">
      <c r="A911" s="5" t="n">
        <v>907</v>
      </c>
      <c r="B911" s="5" t="n">
        <v>0</v>
      </c>
      <c r="C911" s="6" t="n">
        <v>0.02262954691863145</v>
      </c>
      <c r="D911" s="6" t="n">
        <v>0.1792515511528983</v>
      </c>
      <c r="E911" s="6" t="n">
        <v>-1.003668658855008</v>
      </c>
      <c r="F911" s="6" t="n">
        <v>-0.8850484360866833</v>
      </c>
      <c r="G911" s="5" t="n">
        <v>1</v>
      </c>
      <c r="H911" s="5" t="n">
        <v>0</v>
      </c>
      <c r="I911" s="5" t="n">
        <v>0</v>
      </c>
      <c r="J911" s="5" t="n">
        <v>0</v>
      </c>
      <c r="K911" s="5" t="n">
        <v>0</v>
      </c>
      <c r="L911" s="5" t="n">
        <v>0</v>
      </c>
      <c r="M911" s="5" t="n">
        <v>0</v>
      </c>
      <c r="N911" s="5" t="n">
        <v>0</v>
      </c>
      <c r="O911" s="5" t="n">
        <v>1</v>
      </c>
      <c r="P911" s="5" t="n">
        <v>0</v>
      </c>
      <c r="Q911" s="5" t="n">
        <v>0</v>
      </c>
      <c r="R911" s="5" t="n">
        <v>1</v>
      </c>
      <c r="S911" s="5" t="n">
        <v>0</v>
      </c>
      <c r="T911" s="5" t="n">
        <v>0</v>
      </c>
      <c r="U911" s="5" t="inlineStr">
        <is>
          <t>training</t>
        </is>
      </c>
    </row>
    <row r="912">
      <c r="A912" s="5" t="n">
        <v>908</v>
      </c>
      <c r="B912" s="5" t="n">
        <v>0</v>
      </c>
      <c r="C912" s="6" t="n">
        <v>1.286513816310289</v>
      </c>
      <c r="D912" s="6" t="n">
        <v>0.1610571285804721</v>
      </c>
      <c r="E912" s="6" t="n">
        <v>-0.7427495967609852</v>
      </c>
      <c r="F912" s="6" t="n">
        <v>-0.8850484360866833</v>
      </c>
      <c r="G912" s="5" t="n">
        <v>0</v>
      </c>
      <c r="H912" s="5" t="n">
        <v>1</v>
      </c>
      <c r="I912" s="5" t="n">
        <v>0</v>
      </c>
      <c r="J912" s="5" t="n">
        <v>0</v>
      </c>
      <c r="K912" s="5" t="n">
        <v>0</v>
      </c>
      <c r="L912" s="5" t="n">
        <v>0</v>
      </c>
      <c r="M912" s="5" t="n">
        <v>0</v>
      </c>
      <c r="N912" s="5" t="n">
        <v>0</v>
      </c>
      <c r="O912" s="5" t="n">
        <v>1</v>
      </c>
      <c r="P912" s="5" t="n">
        <v>0</v>
      </c>
      <c r="Q912" s="5" t="n">
        <v>0</v>
      </c>
      <c r="R912" s="5" t="n">
        <v>0</v>
      </c>
      <c r="S912" s="5" t="n">
        <v>0</v>
      </c>
      <c r="T912" s="5" t="n">
        <v>0</v>
      </c>
      <c r="U912" s="5" t="inlineStr">
        <is>
          <t>testing</t>
        </is>
      </c>
    </row>
    <row r="913">
      <c r="A913" s="5" t="n">
        <v>909</v>
      </c>
      <c r="B913" s="5" t="n">
        <v>0</v>
      </c>
      <c r="C913" s="6" t="n">
        <v>-0.4829241608380317</v>
      </c>
      <c r="D913" s="6" t="n">
        <v>0.120119677792513</v>
      </c>
      <c r="E913" s="6" t="n">
        <v>0.9097377965011599</v>
      </c>
      <c r="F913" s="6" t="n">
        <v>-1.786844513613144</v>
      </c>
      <c r="G913" s="5" t="n">
        <v>0</v>
      </c>
      <c r="H913" s="5" t="n">
        <v>0</v>
      </c>
      <c r="I913" s="5" t="n">
        <v>0</v>
      </c>
      <c r="J913" s="5" t="n">
        <v>0</v>
      </c>
      <c r="K913" s="5" t="n">
        <v>1</v>
      </c>
      <c r="L913" s="5" t="n">
        <v>0</v>
      </c>
      <c r="M913" s="5" t="n">
        <v>0</v>
      </c>
      <c r="N913" s="5" t="n">
        <v>0</v>
      </c>
      <c r="O913" s="5" t="n">
        <v>0</v>
      </c>
      <c r="P913" s="5" t="n">
        <v>0</v>
      </c>
      <c r="Q913" s="5" t="n">
        <v>0</v>
      </c>
      <c r="R913" s="5" t="n">
        <v>1</v>
      </c>
      <c r="S913" s="5" t="n">
        <v>0</v>
      </c>
      <c r="T913" s="5" t="n">
        <v>0</v>
      </c>
      <c r="U913" s="5" t="inlineStr">
        <is>
          <t>training</t>
        </is>
      </c>
    </row>
    <row r="914">
      <c r="A914" s="5" t="n">
        <v>910</v>
      </c>
      <c r="B914" s="5" t="n">
        <v>0</v>
      </c>
      <c r="C914" s="6" t="n">
        <v>-0.9884778685946948</v>
      </c>
      <c r="D914" s="6" t="n">
        <v>-0.01948752617668076</v>
      </c>
      <c r="E914" s="6" t="n">
        <v>-0.2209114725729393</v>
      </c>
      <c r="F914" s="6" t="n">
        <v>-1.786844513613144</v>
      </c>
      <c r="G914" s="5" t="n">
        <v>0</v>
      </c>
      <c r="H914" s="5" t="n">
        <v>1</v>
      </c>
      <c r="I914" s="5" t="n">
        <v>0</v>
      </c>
      <c r="J914" s="5" t="n">
        <v>0</v>
      </c>
      <c r="K914" s="5" t="n">
        <v>0</v>
      </c>
      <c r="L914" s="5" t="n">
        <v>0</v>
      </c>
      <c r="M914" s="5" t="n">
        <v>0</v>
      </c>
      <c r="N914" s="5" t="n">
        <v>0</v>
      </c>
      <c r="O914" s="5" t="n">
        <v>1</v>
      </c>
      <c r="P914" s="5" t="n">
        <v>0</v>
      </c>
      <c r="Q914" s="5" t="n">
        <v>0</v>
      </c>
      <c r="R914" s="5" t="n">
        <v>1</v>
      </c>
      <c r="S914" s="5" t="n">
        <v>0</v>
      </c>
      <c r="T914" s="5" t="n">
        <v>0</v>
      </c>
      <c r="U914" s="5" t="inlineStr">
        <is>
          <t>testing</t>
        </is>
      </c>
    </row>
    <row r="915">
      <c r="A915" s="5" t="n">
        <v>911</v>
      </c>
      <c r="B915" s="5" t="n">
        <v>0</v>
      </c>
      <c r="C915" s="6" t="n">
        <v>1.286513816310289</v>
      </c>
      <c r="D915" s="6" t="n">
        <v>0.421027435721101</v>
      </c>
      <c r="E915" s="6" t="n">
        <v>-0.1339384518749317</v>
      </c>
      <c r="F915" s="6" t="n">
        <v>0.9185437189662378</v>
      </c>
      <c r="G915" s="5" t="n">
        <v>0</v>
      </c>
      <c r="H915" s="5" t="n">
        <v>0</v>
      </c>
      <c r="I915" s="5" t="n">
        <v>0</v>
      </c>
      <c r="J915" s="5" t="n">
        <v>0</v>
      </c>
      <c r="K915" s="5" t="n">
        <v>1</v>
      </c>
      <c r="L915" s="5" t="n">
        <v>0</v>
      </c>
      <c r="M915" s="5" t="n">
        <v>0</v>
      </c>
      <c r="N915" s="5" t="n">
        <v>0</v>
      </c>
      <c r="O915" s="5" t="n">
        <v>0</v>
      </c>
      <c r="P915" s="5" t="n">
        <v>0</v>
      </c>
      <c r="Q915" s="5" t="n">
        <v>0</v>
      </c>
      <c r="R915" s="5" t="n">
        <v>0</v>
      </c>
      <c r="S915" s="5" t="n">
        <v>1</v>
      </c>
      <c r="T915" s="5" t="n">
        <v>0</v>
      </c>
      <c r="U915" s="5" t="inlineStr">
        <is>
          <t>training</t>
        </is>
      </c>
    </row>
    <row r="916">
      <c r="A916" s="5" t="n">
        <v>912</v>
      </c>
      <c r="B916" s="5" t="n">
        <v>1</v>
      </c>
      <c r="C916" s="6" t="n">
        <v>0.275406400796963</v>
      </c>
      <c r="D916" s="6" t="n">
        <v>0.5196971889023357</v>
      </c>
      <c r="E916" s="6" t="n">
        <v>-0.9166956381570004</v>
      </c>
      <c r="F916" s="6" t="n">
        <v>-0.8850484360866833</v>
      </c>
      <c r="G916" s="5" t="n">
        <v>0</v>
      </c>
      <c r="H916" s="5" t="n">
        <v>1</v>
      </c>
      <c r="I916" s="5" t="n">
        <v>0</v>
      </c>
      <c r="J916" s="5" t="n">
        <v>1</v>
      </c>
      <c r="K916" s="5" t="n">
        <v>0</v>
      </c>
      <c r="L916" s="5" t="n">
        <v>0</v>
      </c>
      <c r="M916" s="5" t="n">
        <v>0</v>
      </c>
      <c r="N916" s="5" t="n">
        <v>0</v>
      </c>
      <c r="O916" s="5" t="n">
        <v>0</v>
      </c>
      <c r="P916" s="5" t="n">
        <v>0</v>
      </c>
      <c r="Q916" s="5" t="n">
        <v>0</v>
      </c>
      <c r="R916" s="5" t="n">
        <v>0</v>
      </c>
      <c r="S916" s="5" t="n">
        <v>0</v>
      </c>
      <c r="T916" s="5" t="n">
        <v>1</v>
      </c>
      <c r="U916" s="5" t="inlineStr">
        <is>
          <t>testing</t>
        </is>
      </c>
    </row>
    <row r="917">
      <c r="A917" s="5" t="n">
        <v>913</v>
      </c>
      <c r="B917" s="5" t="n">
        <v>0</v>
      </c>
      <c r="C917" s="6" t="n">
        <v>0.7809601085536261</v>
      </c>
      <c r="D917" s="6" t="n">
        <v>-0.09086564549927606</v>
      </c>
      <c r="E917" s="6" t="n">
        <v>-0.9166956381570004</v>
      </c>
      <c r="F917" s="6" t="n">
        <v>-0.8850484360866833</v>
      </c>
      <c r="G917" s="5" t="n">
        <v>0</v>
      </c>
      <c r="H917" s="5" t="n">
        <v>1</v>
      </c>
      <c r="I917" s="5" t="n">
        <v>0</v>
      </c>
      <c r="J917" s="5" t="n">
        <v>0</v>
      </c>
      <c r="K917" s="5" t="n">
        <v>0</v>
      </c>
      <c r="L917" s="5" t="n">
        <v>0</v>
      </c>
      <c r="M917" s="5" t="n">
        <v>0</v>
      </c>
      <c r="N917" s="5" t="n">
        <v>0</v>
      </c>
      <c r="O917" s="5" t="n">
        <v>1</v>
      </c>
      <c r="P917" s="5" t="n">
        <v>0</v>
      </c>
      <c r="Q917" s="5" t="n">
        <v>0</v>
      </c>
      <c r="R917" s="5" t="n">
        <v>0</v>
      </c>
      <c r="S917" s="5" t="n">
        <v>1</v>
      </c>
      <c r="T917" s="5" t="n">
        <v>0</v>
      </c>
      <c r="U917" s="5" t="inlineStr">
        <is>
          <t>training</t>
        </is>
      </c>
    </row>
    <row r="918">
      <c r="A918" s="5" t="n">
        <v>914</v>
      </c>
      <c r="B918" s="5" t="n">
        <v>0</v>
      </c>
      <c r="C918" s="6" t="n">
        <v>-0.8199599660091405</v>
      </c>
      <c r="D918" s="6" t="n">
        <v>-0.3879245832683124</v>
      </c>
      <c r="E918" s="6" t="n">
        <v>-0.6557765760629775</v>
      </c>
      <c r="F918" s="6" t="n">
        <v>-1.786844513613144</v>
      </c>
      <c r="G918" s="5" t="n">
        <v>0</v>
      </c>
      <c r="H918" s="5" t="n">
        <v>0</v>
      </c>
      <c r="I918" s="5" t="n">
        <v>0</v>
      </c>
      <c r="J918" s="5" t="n">
        <v>0</v>
      </c>
      <c r="K918" s="5" t="n">
        <v>0</v>
      </c>
      <c r="L918" s="5" t="n">
        <v>0</v>
      </c>
      <c r="M918" s="5" t="n">
        <v>0</v>
      </c>
      <c r="N918" s="5" t="n">
        <v>1</v>
      </c>
      <c r="O918" s="5" t="n">
        <v>0</v>
      </c>
      <c r="P918" s="5" t="n">
        <v>0</v>
      </c>
      <c r="Q918" s="5" t="n">
        <v>0</v>
      </c>
      <c r="R918" s="5" t="n">
        <v>0</v>
      </c>
      <c r="S918" s="5" t="n">
        <v>0</v>
      </c>
      <c r="T918" s="5" t="n">
        <v>0</v>
      </c>
      <c r="U918" s="5" t="inlineStr">
        <is>
          <t>training</t>
        </is>
      </c>
    </row>
    <row r="919">
      <c r="A919" s="5" t="n">
        <v>915</v>
      </c>
      <c r="B919" s="5" t="n">
        <v>1</v>
      </c>
      <c r="C919" s="6" t="n">
        <v>0.275406400796963</v>
      </c>
      <c r="D919" s="6" t="n">
        <v>-0.03138387939711331</v>
      </c>
      <c r="E919" s="6" t="n">
        <v>-0.3948575139689546</v>
      </c>
      <c r="F919" s="6" t="n">
        <v>0.9185437189662378</v>
      </c>
      <c r="G919" s="5" t="n">
        <v>1</v>
      </c>
      <c r="H919" s="5" t="n">
        <v>0</v>
      </c>
      <c r="I919" s="5" t="n">
        <v>0</v>
      </c>
      <c r="J919" s="5" t="n">
        <v>0</v>
      </c>
      <c r="K919" s="5" t="n">
        <v>0</v>
      </c>
      <c r="L919" s="5" t="n">
        <v>1</v>
      </c>
      <c r="M919" s="5" t="n">
        <v>0</v>
      </c>
      <c r="N919" s="5" t="n">
        <v>0</v>
      </c>
      <c r="O919" s="5" t="n">
        <v>0</v>
      </c>
      <c r="P919" s="5" t="n">
        <v>1</v>
      </c>
      <c r="Q919" s="5" t="n">
        <v>0</v>
      </c>
      <c r="R919" s="5" t="n">
        <v>0</v>
      </c>
      <c r="S919" s="5" t="n">
        <v>0</v>
      </c>
      <c r="T919" s="5" t="n">
        <v>0</v>
      </c>
      <c r="U919" s="5" t="inlineStr">
        <is>
          <t>training</t>
        </is>
      </c>
    </row>
    <row r="920">
      <c r="A920" s="5" t="n">
        <v>916</v>
      </c>
      <c r="B920" s="5" t="n">
        <v>1</v>
      </c>
      <c r="C920" s="6" t="n">
        <v>2.297621231823615</v>
      </c>
      <c r="D920" s="6" t="n">
        <v>5.30902903835177</v>
      </c>
      <c r="E920" s="6" t="n">
        <v>-0.307884493270947</v>
      </c>
      <c r="F920" s="6" t="n">
        <v>-1.786844513613144</v>
      </c>
      <c r="G920" s="5" t="n">
        <v>0</v>
      </c>
      <c r="H920" s="5" t="n">
        <v>1</v>
      </c>
      <c r="I920" s="5" t="n">
        <v>0</v>
      </c>
      <c r="J920" s="5" t="n">
        <v>0</v>
      </c>
      <c r="K920" s="5" t="n">
        <v>0</v>
      </c>
      <c r="L920" s="5" t="n">
        <v>1</v>
      </c>
      <c r="M920" s="5" t="n">
        <v>0</v>
      </c>
      <c r="N920" s="5" t="n">
        <v>0</v>
      </c>
      <c r="O920" s="5" t="n">
        <v>0</v>
      </c>
      <c r="P920" s="5" t="n">
        <v>0</v>
      </c>
      <c r="Q920" s="5" t="n">
        <v>0</v>
      </c>
      <c r="R920" s="5" t="n">
        <v>0</v>
      </c>
      <c r="S920" s="5" t="n">
        <v>0</v>
      </c>
      <c r="T920" s="5" t="n">
        <v>0</v>
      </c>
      <c r="U920" s="5" t="inlineStr">
        <is>
          <t>testing</t>
        </is>
      </c>
    </row>
    <row r="921">
      <c r="A921" s="5" t="n">
        <v>917</v>
      </c>
      <c r="B921" s="5" t="n">
        <v>0</v>
      </c>
      <c r="C921" s="6" t="n">
        <v>-0.9042189173019176</v>
      </c>
      <c r="D921" s="6" t="n">
        <v>-0.1409003075734483</v>
      </c>
      <c r="E921" s="6" t="n">
        <v>-0.307884493270947</v>
      </c>
      <c r="F921" s="6" t="n">
        <v>-1.786844513613144</v>
      </c>
      <c r="G921" s="5" t="n">
        <v>0</v>
      </c>
      <c r="H921" s="5" t="n">
        <v>0</v>
      </c>
      <c r="I921" s="5" t="n">
        <v>0</v>
      </c>
      <c r="J921" s="5" t="n">
        <v>0</v>
      </c>
      <c r="K921" s="5" t="n">
        <v>0</v>
      </c>
      <c r="L921" s="5" t="n">
        <v>0</v>
      </c>
      <c r="M921" s="5" t="n">
        <v>1</v>
      </c>
      <c r="N921" s="5" t="n">
        <v>0</v>
      </c>
      <c r="O921" s="5" t="n">
        <v>0</v>
      </c>
      <c r="P921" s="5" t="n">
        <v>0</v>
      </c>
      <c r="Q921" s="5" t="n">
        <v>0</v>
      </c>
      <c r="R921" s="5" t="n">
        <v>1</v>
      </c>
      <c r="S921" s="5" t="n">
        <v>0</v>
      </c>
      <c r="T921" s="5" t="n">
        <v>0</v>
      </c>
      <c r="U921" s="5" t="inlineStr">
        <is>
          <t>testing</t>
        </is>
      </c>
    </row>
    <row r="922">
      <c r="A922" s="5" t="n">
        <v>918</v>
      </c>
      <c r="B922" s="5" t="n">
        <v>1</v>
      </c>
      <c r="C922" s="6" t="n">
        <v>-1.241254722473026</v>
      </c>
      <c r="D922" s="6" t="n">
        <v>4.074607445361003</v>
      </c>
      <c r="E922" s="6" t="n">
        <v>2.823144251857328</v>
      </c>
      <c r="F922" s="6" t="n">
        <v>-1.786844513613144</v>
      </c>
      <c r="G922" s="5" t="n">
        <v>1</v>
      </c>
      <c r="H922" s="5" t="n">
        <v>0</v>
      </c>
      <c r="I922" s="5" t="n">
        <v>0</v>
      </c>
      <c r="J922" s="5" t="n">
        <v>0</v>
      </c>
      <c r="K922" s="5" t="n">
        <v>0</v>
      </c>
      <c r="L922" s="5" t="n">
        <v>0</v>
      </c>
      <c r="M922" s="5" t="n">
        <v>0</v>
      </c>
      <c r="N922" s="5" t="n">
        <v>0</v>
      </c>
      <c r="O922" s="5" t="n">
        <v>0</v>
      </c>
      <c r="P922" s="5" t="n">
        <v>0</v>
      </c>
      <c r="Q922" s="5" t="n">
        <v>0</v>
      </c>
      <c r="R922" s="5" t="n">
        <v>1</v>
      </c>
      <c r="S922" s="5" t="n">
        <v>0</v>
      </c>
      <c r="T922" s="5" t="n">
        <v>0</v>
      </c>
      <c r="U922" s="5" t="inlineStr">
        <is>
          <t>training</t>
        </is>
      </c>
    </row>
    <row r="923">
      <c r="A923" s="5" t="n">
        <v>919</v>
      </c>
      <c r="B923" s="5" t="n">
        <v>1</v>
      </c>
      <c r="C923" s="6" t="n">
        <v>0.275406400796963</v>
      </c>
      <c r="D923" s="6" t="n">
        <v>-0.3119978583026105</v>
      </c>
      <c r="E923" s="6" t="n">
        <v>-0.2209114725729393</v>
      </c>
      <c r="F923" s="6" t="n">
        <v>-1.786844513613144</v>
      </c>
      <c r="G923" s="5" t="n">
        <v>1</v>
      </c>
      <c r="H923" s="5" t="n">
        <v>0</v>
      </c>
      <c r="I923" s="5" t="n">
        <v>0</v>
      </c>
      <c r="J923" s="5" t="n">
        <v>0</v>
      </c>
      <c r="K923" s="5" t="n">
        <v>0</v>
      </c>
      <c r="L923" s="5" t="n">
        <v>0</v>
      </c>
      <c r="M923" s="5" t="n">
        <v>1</v>
      </c>
      <c r="N923" s="5" t="n">
        <v>0</v>
      </c>
      <c r="O923" s="5" t="n">
        <v>0</v>
      </c>
      <c r="P923" s="5" t="n">
        <v>0</v>
      </c>
      <c r="Q923" s="5" t="n">
        <v>0</v>
      </c>
      <c r="R923" s="5" t="n">
        <v>0</v>
      </c>
      <c r="S923" s="5" t="n">
        <v>0</v>
      </c>
      <c r="T923" s="5" t="n">
        <v>1</v>
      </c>
      <c r="U923" s="5" t="inlineStr">
        <is>
          <t>training</t>
        </is>
      </c>
    </row>
    <row r="924">
      <c r="A924" s="5" t="n">
        <v>920</v>
      </c>
      <c r="B924" s="5" t="n">
        <v>1</v>
      </c>
      <c r="C924" s="6" t="n">
        <v>0.275406400796963</v>
      </c>
      <c r="D924" s="6" t="n">
        <v>0.03299638508993343</v>
      </c>
      <c r="E924" s="6" t="n">
        <v>0.3009266516151065</v>
      </c>
      <c r="F924" s="6" t="n">
        <v>0.9185437189662378</v>
      </c>
      <c r="G924" s="5" t="n">
        <v>1</v>
      </c>
      <c r="H924" s="5" t="n">
        <v>0</v>
      </c>
      <c r="I924" s="5" t="n">
        <v>0</v>
      </c>
      <c r="J924" s="5" t="n">
        <v>0</v>
      </c>
      <c r="K924" s="5" t="n">
        <v>0</v>
      </c>
      <c r="L924" s="5" t="n">
        <v>0</v>
      </c>
      <c r="M924" s="5" t="n">
        <v>0</v>
      </c>
      <c r="N924" s="5" t="n">
        <v>0</v>
      </c>
      <c r="O924" s="5" t="n">
        <v>0</v>
      </c>
      <c r="P924" s="5" t="n">
        <v>1</v>
      </c>
      <c r="Q924" s="5" t="n">
        <v>0</v>
      </c>
      <c r="R924" s="5" t="n">
        <v>0</v>
      </c>
      <c r="S924" s="5" t="n">
        <v>0</v>
      </c>
      <c r="T924" s="5" t="n">
        <v>1</v>
      </c>
      <c r="U924" s="5" t="inlineStr">
        <is>
          <t>training</t>
        </is>
      </c>
    </row>
    <row r="925">
      <c r="A925" s="5" t="n">
        <v>921</v>
      </c>
      <c r="B925" s="5" t="n">
        <v>0</v>
      </c>
      <c r="C925" s="6" t="n">
        <v>-0.2301473069597001</v>
      </c>
      <c r="D925" s="6" t="n">
        <v>-0.5016397243459765</v>
      </c>
      <c r="E925" s="6" t="n">
        <v>-0.6557765760629775</v>
      </c>
      <c r="F925" s="6" t="n">
        <v>0.9185437189662378</v>
      </c>
      <c r="G925" s="5" t="n">
        <v>0</v>
      </c>
      <c r="H925" s="5" t="n">
        <v>0</v>
      </c>
      <c r="I925" s="5" t="n">
        <v>0</v>
      </c>
      <c r="J925" s="5" t="n">
        <v>1</v>
      </c>
      <c r="K925" s="5" t="n">
        <v>0</v>
      </c>
      <c r="L925" s="5" t="n">
        <v>0</v>
      </c>
      <c r="M925" s="5" t="n">
        <v>0</v>
      </c>
      <c r="N925" s="5" t="n">
        <v>0</v>
      </c>
      <c r="O925" s="5" t="n">
        <v>0</v>
      </c>
      <c r="P925" s="5" t="n">
        <v>0</v>
      </c>
      <c r="Q925" s="5" t="n">
        <v>0</v>
      </c>
      <c r="R925" s="5" t="n">
        <v>0</v>
      </c>
      <c r="S925" s="5" t="n">
        <v>0</v>
      </c>
      <c r="T925" s="5" t="n">
        <v>1</v>
      </c>
      <c r="U925" s="5" t="inlineStr">
        <is>
          <t>testing</t>
        </is>
      </c>
    </row>
    <row r="926">
      <c r="A926" s="5" t="n">
        <v>922</v>
      </c>
      <c r="B926" s="5" t="n">
        <v>0</v>
      </c>
      <c r="C926" s="6" t="n">
        <v>2.297621231823615</v>
      </c>
      <c r="D926" s="6" t="n">
        <v>3.323387728764866</v>
      </c>
      <c r="E926" s="6" t="n">
        <v>0.1269806102190912</v>
      </c>
      <c r="F926" s="6" t="n">
        <v>0.9185437189662378</v>
      </c>
      <c r="G926" s="5" t="n">
        <v>0</v>
      </c>
      <c r="H926" s="5" t="n">
        <v>0</v>
      </c>
      <c r="I926" s="5" t="n">
        <v>0</v>
      </c>
      <c r="J926" s="5" t="n">
        <v>0</v>
      </c>
      <c r="K926" s="5" t="n">
        <v>1</v>
      </c>
      <c r="L926" s="5" t="n">
        <v>0</v>
      </c>
      <c r="M926" s="5" t="n">
        <v>1</v>
      </c>
      <c r="N926" s="5" t="n">
        <v>0</v>
      </c>
      <c r="O926" s="5" t="n">
        <v>0</v>
      </c>
      <c r="P926" s="5" t="n">
        <v>0</v>
      </c>
      <c r="Q926" s="5" t="n">
        <v>0</v>
      </c>
      <c r="R926" s="5" t="n">
        <v>0</v>
      </c>
      <c r="S926" s="5" t="n">
        <v>1</v>
      </c>
      <c r="T926" s="5" t="n">
        <v>0</v>
      </c>
      <c r="U926" s="5" t="inlineStr">
        <is>
          <t>training</t>
        </is>
      </c>
    </row>
    <row r="927">
      <c r="A927" s="5" t="n">
        <v>923</v>
      </c>
      <c r="B927" s="5" t="n">
        <v>1</v>
      </c>
      <c r="C927" s="6" t="n">
        <v>-0.9884778685946948</v>
      </c>
      <c r="D927" s="6" t="n">
        <v>-0.6594413508875965</v>
      </c>
      <c r="E927" s="6" t="n">
        <v>-1.177614700251023</v>
      </c>
      <c r="F927" s="6" t="n">
        <v>0.01674764143977723</v>
      </c>
      <c r="G927" s="5" t="n">
        <v>1</v>
      </c>
      <c r="H927" s="5" t="n">
        <v>0</v>
      </c>
      <c r="I927" s="5" t="n">
        <v>0</v>
      </c>
      <c r="J927" s="5" t="n">
        <v>0</v>
      </c>
      <c r="K927" s="5" t="n">
        <v>0</v>
      </c>
      <c r="L927" s="5" t="n">
        <v>0</v>
      </c>
      <c r="M927" s="5" t="n">
        <v>0</v>
      </c>
      <c r="N927" s="5" t="n">
        <v>0</v>
      </c>
      <c r="O927" s="5" t="n">
        <v>0</v>
      </c>
      <c r="P927" s="5" t="n">
        <v>1</v>
      </c>
      <c r="Q927" s="5" t="n">
        <v>0</v>
      </c>
      <c r="R927" s="5" t="n">
        <v>0</v>
      </c>
      <c r="S927" s="5" t="n">
        <v>1</v>
      </c>
      <c r="T927" s="5" t="n">
        <v>0</v>
      </c>
      <c r="U927" s="5" t="inlineStr">
        <is>
          <t>training</t>
        </is>
      </c>
    </row>
    <row r="928">
      <c r="A928" s="5" t="n">
        <v>924</v>
      </c>
      <c r="B928" s="5" t="n">
        <v>0</v>
      </c>
      <c r="C928" s="6" t="n">
        <v>-0.7357010147163632</v>
      </c>
      <c r="D928" s="6" t="n">
        <v>-0.4369095671171523</v>
      </c>
      <c r="E928" s="6" t="n">
        <v>-0.4818305346669622</v>
      </c>
      <c r="F928" s="6" t="n">
        <v>0.01674764143977723</v>
      </c>
      <c r="G928" s="5" t="n">
        <v>0</v>
      </c>
      <c r="H928" s="5" t="n">
        <v>1</v>
      </c>
      <c r="I928" s="5" t="n">
        <v>0</v>
      </c>
      <c r="J928" s="5" t="n">
        <v>0</v>
      </c>
      <c r="K928" s="5" t="n">
        <v>0</v>
      </c>
      <c r="L928" s="5" t="n">
        <v>0</v>
      </c>
      <c r="M928" s="5" t="n">
        <v>0</v>
      </c>
      <c r="N928" s="5" t="n">
        <v>0</v>
      </c>
      <c r="O928" s="5" t="n">
        <v>0</v>
      </c>
      <c r="P928" s="5" t="n">
        <v>1</v>
      </c>
      <c r="Q928" s="5" t="n">
        <v>0</v>
      </c>
      <c r="R928" s="5" t="n">
        <v>1</v>
      </c>
      <c r="S928" s="5" t="n">
        <v>0</v>
      </c>
      <c r="T928" s="5" t="n">
        <v>0</v>
      </c>
      <c r="U928" s="5" t="inlineStr">
        <is>
          <t>training</t>
        </is>
      </c>
    </row>
    <row r="929">
      <c r="A929" s="5" t="n">
        <v>925</v>
      </c>
      <c r="B929" s="5" t="n">
        <v>1</v>
      </c>
      <c r="C929" s="6" t="n">
        <v>0.275406400796963</v>
      </c>
      <c r="D929" s="6" t="n">
        <v>1.267068085338922</v>
      </c>
      <c r="E929" s="6" t="n">
        <v>1.692494982783229</v>
      </c>
      <c r="F929" s="6" t="n">
        <v>-0.8850484360866833</v>
      </c>
      <c r="G929" s="5" t="n">
        <v>1</v>
      </c>
      <c r="H929" s="5" t="n">
        <v>0</v>
      </c>
      <c r="I929" s="5" t="n">
        <v>0</v>
      </c>
      <c r="J929" s="5" t="n">
        <v>0</v>
      </c>
      <c r="K929" s="5" t="n">
        <v>0</v>
      </c>
      <c r="L929" s="5" t="n">
        <v>1</v>
      </c>
      <c r="M929" s="5" t="n">
        <v>0</v>
      </c>
      <c r="N929" s="5" t="n">
        <v>0</v>
      </c>
      <c r="O929" s="5" t="n">
        <v>0</v>
      </c>
      <c r="P929" s="5" t="n">
        <v>0</v>
      </c>
      <c r="Q929" s="5" t="n">
        <v>0</v>
      </c>
      <c r="R929" s="5" t="n">
        <v>0</v>
      </c>
      <c r="S929" s="5" t="n">
        <v>0</v>
      </c>
      <c r="T929" s="5" t="n">
        <v>1</v>
      </c>
      <c r="U929" s="5" t="inlineStr">
        <is>
          <t>training</t>
        </is>
      </c>
    </row>
    <row r="930">
      <c r="A930" s="5" t="n">
        <v>926</v>
      </c>
      <c r="B930" s="5" t="n">
        <v>1</v>
      </c>
      <c r="C930" s="6" t="n">
        <v>-0.7357010147163632</v>
      </c>
      <c r="D930" s="6" t="n">
        <v>-0.8935195951366958</v>
      </c>
      <c r="E930" s="6" t="n">
        <v>0.9097377965011599</v>
      </c>
      <c r="F930" s="6" t="n">
        <v>0.9185437189662378</v>
      </c>
      <c r="G930" s="5" t="n">
        <v>1</v>
      </c>
      <c r="H930" s="5" t="n">
        <v>0</v>
      </c>
      <c r="I930" s="5" t="n">
        <v>0</v>
      </c>
      <c r="J930" s="5" t="n">
        <v>0</v>
      </c>
      <c r="K930" s="5" t="n">
        <v>0</v>
      </c>
      <c r="L930" s="5" t="n">
        <v>1</v>
      </c>
      <c r="M930" s="5" t="n">
        <v>0</v>
      </c>
      <c r="N930" s="5" t="n">
        <v>0</v>
      </c>
      <c r="O930" s="5" t="n">
        <v>0</v>
      </c>
      <c r="P930" s="5" t="n">
        <v>0</v>
      </c>
      <c r="Q930" s="5" t="n">
        <v>0</v>
      </c>
      <c r="R930" s="5" t="n">
        <v>1</v>
      </c>
      <c r="S930" s="5" t="n">
        <v>0</v>
      </c>
      <c r="T930" s="5" t="n">
        <v>0</v>
      </c>
      <c r="U930" s="5" t="inlineStr">
        <is>
          <t>training</t>
        </is>
      </c>
    </row>
    <row r="931">
      <c r="A931" s="5" t="n">
        <v>927</v>
      </c>
      <c r="B931" s="5" t="n">
        <v>0</v>
      </c>
      <c r="C931" s="6" t="n">
        <v>-0.2301473069597001</v>
      </c>
      <c r="D931" s="6" t="n">
        <v>-0.7703573500310411</v>
      </c>
      <c r="E931" s="6" t="n">
        <v>-1.264587720949031</v>
      </c>
      <c r="F931" s="6" t="n">
        <v>0.9185437189662378</v>
      </c>
      <c r="G931" s="5" t="n">
        <v>1</v>
      </c>
      <c r="H931" s="5" t="n">
        <v>0</v>
      </c>
      <c r="I931" s="5" t="n">
        <v>0</v>
      </c>
      <c r="J931" s="5" t="n">
        <v>1</v>
      </c>
      <c r="K931" s="5" t="n">
        <v>0</v>
      </c>
      <c r="L931" s="5" t="n">
        <v>0</v>
      </c>
      <c r="M931" s="5" t="n">
        <v>0</v>
      </c>
      <c r="N931" s="5" t="n">
        <v>0</v>
      </c>
      <c r="O931" s="5" t="n">
        <v>0</v>
      </c>
      <c r="P931" s="5" t="n">
        <v>1</v>
      </c>
      <c r="Q931" s="5" t="n">
        <v>0</v>
      </c>
      <c r="R931" s="5" t="n">
        <v>0</v>
      </c>
      <c r="S931" s="5" t="n">
        <v>0</v>
      </c>
      <c r="T931" s="5" t="n">
        <v>1</v>
      </c>
      <c r="U931" s="5" t="inlineStr">
        <is>
          <t>training</t>
        </is>
      </c>
    </row>
    <row r="932">
      <c r="A932" s="5" t="n">
        <v>928</v>
      </c>
      <c r="B932" s="5" t="n">
        <v>1</v>
      </c>
      <c r="C932" s="6" t="n">
        <v>2.297621231823615</v>
      </c>
      <c r="D932" s="6" t="n">
        <v>2.465450725926613</v>
      </c>
      <c r="E932" s="6" t="n">
        <v>0.3009266516151065</v>
      </c>
      <c r="F932" s="6" t="n">
        <v>0.9185437189662378</v>
      </c>
      <c r="G932" s="5" t="n">
        <v>1</v>
      </c>
      <c r="H932" s="5" t="n">
        <v>0</v>
      </c>
      <c r="I932" s="5" t="n">
        <v>0</v>
      </c>
      <c r="J932" s="5" t="n">
        <v>0</v>
      </c>
      <c r="K932" s="5" t="n">
        <v>0</v>
      </c>
      <c r="L932" s="5" t="n">
        <v>0</v>
      </c>
      <c r="M932" s="5" t="n">
        <v>0</v>
      </c>
      <c r="N932" s="5" t="n">
        <v>0</v>
      </c>
      <c r="O932" s="5" t="n">
        <v>0</v>
      </c>
      <c r="P932" s="5" t="n">
        <v>0</v>
      </c>
      <c r="Q932" s="5" t="n">
        <v>1</v>
      </c>
      <c r="R932" s="5" t="n">
        <v>1</v>
      </c>
      <c r="S932" s="5" t="n">
        <v>0</v>
      </c>
      <c r="T932" s="5" t="n">
        <v>0</v>
      </c>
      <c r="U932" s="5" t="inlineStr">
        <is>
          <t>testing</t>
        </is>
      </c>
    </row>
    <row r="933">
      <c r="A933" s="5" t="n">
        <v>929</v>
      </c>
      <c r="B933" s="5" t="n">
        <v>0</v>
      </c>
      <c r="C933" s="6" t="n">
        <v>0.7809601085536261</v>
      </c>
      <c r="D933" s="6" t="n">
        <v>-0.4841450872571051</v>
      </c>
      <c r="E933" s="6" t="n">
        <v>1.953414044877252</v>
      </c>
      <c r="F933" s="6" t="n">
        <v>0.9185437189662378</v>
      </c>
      <c r="G933" s="5" t="n">
        <v>0</v>
      </c>
      <c r="H933" s="5" t="n">
        <v>0</v>
      </c>
      <c r="I933" s="5" t="n">
        <v>0</v>
      </c>
      <c r="J933" s="5" t="n">
        <v>0</v>
      </c>
      <c r="K933" s="5" t="n">
        <v>0</v>
      </c>
      <c r="L933" s="5" t="n">
        <v>0</v>
      </c>
      <c r="M933" s="5" t="n">
        <v>0</v>
      </c>
      <c r="N933" s="5" t="n">
        <v>0</v>
      </c>
      <c r="O933" s="5" t="n">
        <v>1</v>
      </c>
      <c r="P933" s="5" t="n">
        <v>0</v>
      </c>
      <c r="Q933" s="5" t="n">
        <v>0</v>
      </c>
      <c r="R933" s="5" t="n">
        <v>0</v>
      </c>
      <c r="S933" s="5" t="n">
        <v>1</v>
      </c>
      <c r="T933" s="5" t="n">
        <v>0</v>
      </c>
      <c r="U933" s="5" t="inlineStr">
        <is>
          <t>training</t>
        </is>
      </c>
    </row>
    <row r="934">
      <c r="A934" s="5" t="n">
        <v>930</v>
      </c>
      <c r="B934" s="5" t="n">
        <v>0</v>
      </c>
      <c r="C934" s="6" t="n">
        <v>-0.7357010147163632</v>
      </c>
      <c r="D934" s="6" t="n">
        <v>-0.6671389912066998</v>
      </c>
      <c r="E934" s="6" t="n">
        <v>0.648818734407137</v>
      </c>
      <c r="F934" s="6" t="n">
        <v>0.9185437189662378</v>
      </c>
      <c r="G934" s="5" t="n">
        <v>1</v>
      </c>
      <c r="H934" s="5" t="n">
        <v>0</v>
      </c>
      <c r="I934" s="5" t="n">
        <v>0</v>
      </c>
      <c r="J934" s="5" t="n">
        <v>0</v>
      </c>
      <c r="K934" s="5" t="n">
        <v>1</v>
      </c>
      <c r="L934" s="5" t="n">
        <v>0</v>
      </c>
      <c r="M934" s="5" t="n">
        <v>0</v>
      </c>
      <c r="N934" s="5" t="n">
        <v>0</v>
      </c>
      <c r="O934" s="5" t="n">
        <v>0</v>
      </c>
      <c r="P934" s="5" t="n">
        <v>0</v>
      </c>
      <c r="Q934" s="5" t="n">
        <v>0</v>
      </c>
      <c r="R934" s="5" t="n">
        <v>1</v>
      </c>
      <c r="S934" s="5" t="n">
        <v>0</v>
      </c>
      <c r="T934" s="5" t="n">
        <v>0</v>
      </c>
      <c r="U934" s="5" t="inlineStr">
        <is>
          <t>training</t>
        </is>
      </c>
    </row>
    <row r="935">
      <c r="A935" s="5" t="n">
        <v>931</v>
      </c>
      <c r="B935" s="5" t="n">
        <v>0</v>
      </c>
      <c r="C935" s="6" t="n">
        <v>0.275406400796963</v>
      </c>
      <c r="D935" s="6" t="n">
        <v>-0.5261322162703964</v>
      </c>
      <c r="E935" s="6" t="n">
        <v>-1.003668658855008</v>
      </c>
      <c r="F935" s="6" t="n">
        <v>0.9185437189662378</v>
      </c>
      <c r="G935" s="5" t="n">
        <v>1</v>
      </c>
      <c r="H935" s="5" t="n">
        <v>0</v>
      </c>
      <c r="I935" s="5" t="n">
        <v>0</v>
      </c>
      <c r="J935" s="5" t="n">
        <v>0</v>
      </c>
      <c r="K935" s="5" t="n">
        <v>0</v>
      </c>
      <c r="L935" s="5" t="n">
        <v>0</v>
      </c>
      <c r="M935" s="5" t="n">
        <v>0</v>
      </c>
      <c r="N935" s="5" t="n">
        <v>0</v>
      </c>
      <c r="O935" s="5" t="n">
        <v>0</v>
      </c>
      <c r="P935" s="5" t="n">
        <v>0</v>
      </c>
      <c r="Q935" s="5" t="n">
        <v>0</v>
      </c>
      <c r="R935" s="5" t="n">
        <v>0</v>
      </c>
      <c r="S935" s="5" t="n">
        <v>0</v>
      </c>
      <c r="T935" s="5" t="n">
        <v>1</v>
      </c>
      <c r="U935" s="5" t="inlineStr">
        <is>
          <t>training</t>
        </is>
      </c>
    </row>
    <row r="936">
      <c r="A936" s="5" t="n">
        <v>932</v>
      </c>
      <c r="B936" s="5" t="n">
        <v>1</v>
      </c>
      <c r="C936" s="6" t="n">
        <v>-0.9884778685946948</v>
      </c>
      <c r="D936" s="6" t="n">
        <v>-0.5530739573872584</v>
      </c>
      <c r="E936" s="6" t="n">
        <v>-1.177614700251023</v>
      </c>
      <c r="F936" s="6" t="n">
        <v>0.9185437189662378</v>
      </c>
      <c r="G936" s="5" t="n">
        <v>0</v>
      </c>
      <c r="H936" s="5" t="n">
        <v>1</v>
      </c>
      <c r="I936" s="5" t="n">
        <v>0</v>
      </c>
      <c r="J936" s="5" t="n">
        <v>0</v>
      </c>
      <c r="K936" s="5" t="n">
        <v>0</v>
      </c>
      <c r="L936" s="5" t="n">
        <v>0</v>
      </c>
      <c r="M936" s="5" t="n">
        <v>0</v>
      </c>
      <c r="N936" s="5" t="n">
        <v>0</v>
      </c>
      <c r="O936" s="5" t="n">
        <v>0</v>
      </c>
      <c r="P936" s="5" t="n">
        <v>0</v>
      </c>
      <c r="Q936" s="5" t="n">
        <v>0</v>
      </c>
      <c r="R936" s="5" t="n">
        <v>0</v>
      </c>
      <c r="S936" s="5" t="n">
        <v>1</v>
      </c>
      <c r="T936" s="5" t="n">
        <v>0</v>
      </c>
      <c r="U936" s="5" t="inlineStr">
        <is>
          <t>training</t>
        </is>
      </c>
    </row>
    <row r="937">
      <c r="A937" s="5" t="n">
        <v>933</v>
      </c>
      <c r="B937" s="5" t="n">
        <v>0</v>
      </c>
      <c r="C937" s="6" t="n">
        <v>-0.9884778685946948</v>
      </c>
      <c r="D937" s="6" t="n">
        <v>-0.7091261202199912</v>
      </c>
      <c r="E937" s="6" t="n">
        <v>-0.4818305346669622</v>
      </c>
      <c r="F937" s="6" t="n">
        <v>0.01674764143977723</v>
      </c>
      <c r="G937" s="5" t="n">
        <v>0</v>
      </c>
      <c r="H937" s="5" t="n">
        <v>0</v>
      </c>
      <c r="I937" s="5" t="n">
        <v>0</v>
      </c>
      <c r="J937" s="5" t="n">
        <v>1</v>
      </c>
      <c r="K937" s="5" t="n">
        <v>0</v>
      </c>
      <c r="L937" s="5" t="n">
        <v>0</v>
      </c>
      <c r="M937" s="5" t="n">
        <v>0</v>
      </c>
      <c r="N937" s="5" t="n">
        <v>0</v>
      </c>
      <c r="O937" s="5" t="n">
        <v>0</v>
      </c>
      <c r="P937" s="5" t="n">
        <v>0</v>
      </c>
      <c r="Q937" s="5" t="n">
        <v>0</v>
      </c>
      <c r="R937" s="5" t="n">
        <v>1</v>
      </c>
      <c r="S937" s="5" t="n">
        <v>0</v>
      </c>
      <c r="T937" s="5" t="n">
        <v>0</v>
      </c>
      <c r="U937" s="5" t="inlineStr">
        <is>
          <t>training</t>
        </is>
      </c>
    </row>
    <row r="938">
      <c r="A938" s="5" t="n">
        <v>934</v>
      </c>
      <c r="B938" s="5" t="n">
        <v>0</v>
      </c>
      <c r="C938" s="6" t="n">
        <v>-0.7357010147163632</v>
      </c>
      <c r="D938" s="6" t="n">
        <v>-0.9547508249477457</v>
      </c>
      <c r="E938" s="6" t="n">
        <v>0.5618457137091294</v>
      </c>
      <c r="F938" s="6" t="n">
        <v>0.9185437189662378</v>
      </c>
      <c r="G938" s="5" t="n">
        <v>0</v>
      </c>
      <c r="H938" s="5" t="n">
        <v>0</v>
      </c>
      <c r="I938" s="5" t="n">
        <v>0</v>
      </c>
      <c r="J938" s="5" t="n">
        <v>1</v>
      </c>
      <c r="K938" s="5" t="n">
        <v>0</v>
      </c>
      <c r="L938" s="5" t="n">
        <v>0</v>
      </c>
      <c r="M938" s="5" t="n">
        <v>1</v>
      </c>
      <c r="N938" s="5" t="n">
        <v>0</v>
      </c>
      <c r="O938" s="5" t="n">
        <v>0</v>
      </c>
      <c r="P938" s="5" t="n">
        <v>0</v>
      </c>
      <c r="Q938" s="5" t="n">
        <v>0</v>
      </c>
      <c r="R938" s="5" t="n">
        <v>0</v>
      </c>
      <c r="S938" s="5" t="n">
        <v>1</v>
      </c>
      <c r="T938" s="5" t="n">
        <v>0</v>
      </c>
      <c r="U938" s="5" t="inlineStr">
        <is>
          <t>training</t>
        </is>
      </c>
    </row>
    <row r="939">
      <c r="A939" s="5" t="n">
        <v>935</v>
      </c>
      <c r="B939" s="5" t="n">
        <v>0</v>
      </c>
      <c r="C939" s="6" t="n">
        <v>-0.7357010147163632</v>
      </c>
      <c r="D939" s="6" t="n">
        <v>-0.613255508972976</v>
      </c>
      <c r="E939" s="6" t="n">
        <v>-1.090641679553016</v>
      </c>
      <c r="F939" s="6" t="n">
        <v>0.9185437189662378</v>
      </c>
      <c r="G939" s="5" t="n">
        <v>1</v>
      </c>
      <c r="H939" s="5" t="n">
        <v>0</v>
      </c>
      <c r="I939" s="5" t="n">
        <v>0</v>
      </c>
      <c r="J939" s="5" t="n">
        <v>0</v>
      </c>
      <c r="K939" s="5" t="n">
        <v>0</v>
      </c>
      <c r="L939" s="5" t="n">
        <v>0</v>
      </c>
      <c r="M939" s="5" t="n">
        <v>0</v>
      </c>
      <c r="N939" s="5" t="n">
        <v>0</v>
      </c>
      <c r="O939" s="5" t="n">
        <v>0</v>
      </c>
      <c r="P939" s="5" t="n">
        <v>0</v>
      </c>
      <c r="Q939" s="5" t="n">
        <v>0</v>
      </c>
      <c r="R939" s="5" t="n">
        <v>0</v>
      </c>
      <c r="S939" s="5" t="n">
        <v>1</v>
      </c>
      <c r="T939" s="5" t="n">
        <v>0</v>
      </c>
      <c r="U939" s="5" t="inlineStr">
        <is>
          <t>training</t>
        </is>
      </c>
    </row>
    <row r="940">
      <c r="A940" s="5" t="n">
        <v>936</v>
      </c>
      <c r="B940" s="5" t="n">
        <v>1</v>
      </c>
      <c r="C940" s="6" t="n">
        <v>0.7809601085536261</v>
      </c>
      <c r="D940" s="6" t="n">
        <v>-0.4659506646846788</v>
      </c>
      <c r="E940" s="6" t="n">
        <v>-0.4818305346669622</v>
      </c>
      <c r="F940" s="6" t="n">
        <v>0.9185437189662378</v>
      </c>
      <c r="G940" s="5" t="n">
        <v>0</v>
      </c>
      <c r="H940" s="5" t="n">
        <v>1</v>
      </c>
      <c r="I940" s="5" t="n">
        <v>0</v>
      </c>
      <c r="J940" s="5" t="n">
        <v>0</v>
      </c>
      <c r="K940" s="5" t="n">
        <v>1</v>
      </c>
      <c r="L940" s="5" t="n">
        <v>0</v>
      </c>
      <c r="M940" s="5" t="n">
        <v>1</v>
      </c>
      <c r="N940" s="5" t="n">
        <v>0</v>
      </c>
      <c r="O940" s="5" t="n">
        <v>0</v>
      </c>
      <c r="P940" s="5" t="n">
        <v>0</v>
      </c>
      <c r="Q940" s="5" t="n">
        <v>0</v>
      </c>
      <c r="R940" s="5" t="n">
        <v>0</v>
      </c>
      <c r="S940" s="5" t="n">
        <v>1</v>
      </c>
      <c r="T940" s="5" t="n">
        <v>0</v>
      </c>
      <c r="U940" s="5" t="inlineStr">
        <is>
          <t>training</t>
        </is>
      </c>
    </row>
    <row r="941">
      <c r="A941" s="5" t="n">
        <v>937</v>
      </c>
      <c r="B941" s="5" t="n">
        <v>1</v>
      </c>
      <c r="C941" s="6" t="n">
        <v>-0.9884778685946948</v>
      </c>
      <c r="D941" s="6" t="n">
        <v>-0.8767247435313792</v>
      </c>
      <c r="E941" s="6" t="n">
        <v>-0.6557765760629775</v>
      </c>
      <c r="F941" s="6" t="n">
        <v>0.01674764143977723</v>
      </c>
      <c r="G941" s="5" t="n">
        <v>0</v>
      </c>
      <c r="H941" s="5" t="n">
        <v>0</v>
      </c>
      <c r="I941" s="5" t="n">
        <v>1</v>
      </c>
      <c r="J941" s="5" t="n">
        <v>0</v>
      </c>
      <c r="K941" s="5" t="n">
        <v>0</v>
      </c>
      <c r="L941" s="5" t="n">
        <v>0</v>
      </c>
      <c r="M941" s="5" t="n">
        <v>0</v>
      </c>
      <c r="N941" s="5" t="n">
        <v>0</v>
      </c>
      <c r="O941" s="5" t="n">
        <v>0</v>
      </c>
      <c r="P941" s="5" t="n">
        <v>0</v>
      </c>
      <c r="Q941" s="5" t="n">
        <v>0</v>
      </c>
      <c r="R941" s="5" t="n">
        <v>0</v>
      </c>
      <c r="S941" s="5" t="n">
        <v>1</v>
      </c>
      <c r="T941" s="5" t="n">
        <v>0</v>
      </c>
      <c r="U941" s="5" t="inlineStr">
        <is>
          <t>training</t>
        </is>
      </c>
    </row>
    <row r="942">
      <c r="A942" s="5" t="n">
        <v>938</v>
      </c>
      <c r="B942" s="5" t="n">
        <v>0</v>
      </c>
      <c r="C942" s="6" t="n">
        <v>-1.241254722473026</v>
      </c>
      <c r="D942" s="6" t="n">
        <v>-0.4155661098687292</v>
      </c>
      <c r="E942" s="6" t="n">
        <v>-0.4818305346669622</v>
      </c>
      <c r="F942" s="6" t="n">
        <v>0.9185437189662378</v>
      </c>
      <c r="G942" s="5" t="n">
        <v>0</v>
      </c>
      <c r="H942" s="5" t="n">
        <v>1</v>
      </c>
      <c r="I942" s="5" t="n">
        <v>0</v>
      </c>
      <c r="J942" s="5" t="n">
        <v>0</v>
      </c>
      <c r="K942" s="5" t="n">
        <v>0</v>
      </c>
      <c r="L942" s="5" t="n">
        <v>0</v>
      </c>
      <c r="M942" s="5" t="n">
        <v>0</v>
      </c>
      <c r="N942" s="5" t="n">
        <v>0</v>
      </c>
      <c r="O942" s="5" t="n">
        <v>0</v>
      </c>
      <c r="P942" s="5" t="n">
        <v>1</v>
      </c>
      <c r="Q942" s="5" t="n">
        <v>0</v>
      </c>
      <c r="R942" s="5" t="n">
        <v>0</v>
      </c>
      <c r="S942" s="5" t="n">
        <v>1</v>
      </c>
      <c r="T942" s="5" t="n">
        <v>0</v>
      </c>
      <c r="U942" s="5" t="inlineStr">
        <is>
          <t>training</t>
        </is>
      </c>
    </row>
    <row r="943">
      <c r="A943" s="5" t="n">
        <v>939</v>
      </c>
      <c r="B943" s="5" t="n">
        <v>1</v>
      </c>
      <c r="C943" s="6" t="n">
        <v>3.308728647336942</v>
      </c>
      <c r="D943" s="6" t="n">
        <v>1.062730724140904</v>
      </c>
      <c r="E943" s="6" t="n">
        <v>0.5618457137091294</v>
      </c>
      <c r="F943" s="6" t="n">
        <v>0.9185437189662378</v>
      </c>
      <c r="G943" s="5" t="n">
        <v>0</v>
      </c>
      <c r="H943" s="5" t="n">
        <v>1</v>
      </c>
      <c r="I943" s="5" t="n">
        <v>0</v>
      </c>
      <c r="J943" s="5" t="n">
        <v>0</v>
      </c>
      <c r="K943" s="5" t="n">
        <v>0</v>
      </c>
      <c r="L943" s="5" t="n">
        <v>0</v>
      </c>
      <c r="M943" s="5" t="n">
        <v>0</v>
      </c>
      <c r="N943" s="5" t="n">
        <v>0</v>
      </c>
      <c r="O943" s="5" t="n">
        <v>0</v>
      </c>
      <c r="P943" s="5" t="n">
        <v>0</v>
      </c>
      <c r="Q943" s="5" t="n">
        <v>1</v>
      </c>
      <c r="R943" s="5" t="n">
        <v>0</v>
      </c>
      <c r="S943" s="5" t="n">
        <v>0</v>
      </c>
      <c r="T943" s="5" t="n">
        <v>0</v>
      </c>
      <c r="U943" s="5" t="inlineStr">
        <is>
          <t>testing</t>
        </is>
      </c>
    </row>
    <row r="944">
      <c r="A944" s="5" t="n">
        <v>940</v>
      </c>
      <c r="B944" s="5" t="n">
        <v>0</v>
      </c>
      <c r="C944" s="6" t="n">
        <v>0.275406400796963</v>
      </c>
      <c r="D944" s="6" t="n">
        <v>1.256571303085599</v>
      </c>
      <c r="E944" s="6" t="n">
        <v>0.9097377965011599</v>
      </c>
      <c r="F944" s="6" t="n">
        <v>-0.8850484360866833</v>
      </c>
      <c r="G944" s="5" t="n">
        <v>0</v>
      </c>
      <c r="H944" s="5" t="n">
        <v>0</v>
      </c>
      <c r="I944" s="5" t="n">
        <v>0</v>
      </c>
      <c r="J944" s="5" t="n">
        <v>1</v>
      </c>
      <c r="K944" s="5" t="n">
        <v>0</v>
      </c>
      <c r="L944" s="5" t="n">
        <v>0</v>
      </c>
      <c r="M944" s="5" t="n">
        <v>0</v>
      </c>
      <c r="N944" s="5" t="n">
        <v>0</v>
      </c>
      <c r="O944" s="5" t="n">
        <v>1</v>
      </c>
      <c r="P944" s="5" t="n">
        <v>0</v>
      </c>
      <c r="Q944" s="5" t="n">
        <v>0</v>
      </c>
      <c r="R944" s="5" t="n">
        <v>1</v>
      </c>
      <c r="S944" s="5" t="n">
        <v>0</v>
      </c>
      <c r="T944" s="5" t="n">
        <v>0</v>
      </c>
      <c r="U944" s="5" t="inlineStr">
        <is>
          <t>training</t>
        </is>
      </c>
    </row>
    <row r="945">
      <c r="A945" s="5" t="n">
        <v>941</v>
      </c>
      <c r="B945" s="5" t="n">
        <v>0</v>
      </c>
      <c r="C945" s="6" t="n">
        <v>-0.7357010147163632</v>
      </c>
      <c r="D945" s="6" t="n">
        <v>0.09667686409342532</v>
      </c>
      <c r="E945" s="6" t="n">
        <v>0.8227647758031523</v>
      </c>
      <c r="F945" s="6" t="n">
        <v>-0.8850484360866833</v>
      </c>
      <c r="G945" s="5" t="n">
        <v>0</v>
      </c>
      <c r="H945" s="5" t="n">
        <v>0</v>
      </c>
      <c r="I945" s="5" t="n">
        <v>0</v>
      </c>
      <c r="J945" s="5" t="n">
        <v>0</v>
      </c>
      <c r="K945" s="5" t="n">
        <v>0</v>
      </c>
      <c r="L945" s="5" t="n">
        <v>0</v>
      </c>
      <c r="M945" s="5" t="n">
        <v>0</v>
      </c>
      <c r="N945" s="5" t="n">
        <v>0</v>
      </c>
      <c r="O945" s="5" t="n">
        <v>1</v>
      </c>
      <c r="P945" s="5" t="n">
        <v>0</v>
      </c>
      <c r="Q945" s="5" t="n">
        <v>0</v>
      </c>
      <c r="R945" s="5" t="n">
        <v>1</v>
      </c>
      <c r="S945" s="5" t="n">
        <v>0</v>
      </c>
      <c r="T945" s="5" t="n">
        <v>0</v>
      </c>
      <c r="U945" s="5" t="inlineStr">
        <is>
          <t>testing</t>
        </is>
      </c>
    </row>
    <row r="946">
      <c r="A946" s="5" t="n">
        <v>942</v>
      </c>
      <c r="B946" s="5" t="n">
        <v>0</v>
      </c>
      <c r="C946" s="6" t="n">
        <v>-0.9042189173019176</v>
      </c>
      <c r="D946" s="6" t="n">
        <v>-0.5964606573676594</v>
      </c>
      <c r="E946" s="6" t="n">
        <v>-0.3948575139689546</v>
      </c>
      <c r="F946" s="6" t="n">
        <v>0.01674764143977723</v>
      </c>
      <c r="G946" s="5" t="n">
        <v>0</v>
      </c>
      <c r="H946" s="5" t="n">
        <v>0</v>
      </c>
      <c r="I946" s="5" t="n">
        <v>0</v>
      </c>
      <c r="J946" s="5" t="n">
        <v>0</v>
      </c>
      <c r="K946" s="5" t="n">
        <v>0</v>
      </c>
      <c r="L946" s="5" t="n">
        <v>0</v>
      </c>
      <c r="M946" s="5" t="n">
        <v>0</v>
      </c>
      <c r="N946" s="5" t="n">
        <v>0</v>
      </c>
      <c r="O946" s="5" t="n">
        <v>0</v>
      </c>
      <c r="P946" s="5" t="n">
        <v>0</v>
      </c>
      <c r="Q946" s="5" t="n">
        <v>0</v>
      </c>
      <c r="R946" s="5" t="n">
        <v>1</v>
      </c>
      <c r="S946" s="5" t="n">
        <v>0</v>
      </c>
      <c r="T946" s="5" t="n">
        <v>0</v>
      </c>
      <c r="U946" s="5" t="inlineStr">
        <is>
          <t>testing</t>
        </is>
      </c>
    </row>
    <row r="947">
      <c r="A947" s="5" t="n">
        <v>943</v>
      </c>
      <c r="B947" s="5" t="n">
        <v>0</v>
      </c>
      <c r="C947" s="6" t="n">
        <v>0.275406400796963</v>
      </c>
      <c r="D947" s="6" t="n">
        <v>-0.8123444790443325</v>
      </c>
      <c r="E947" s="6" t="n">
        <v>-0.3948575139689546</v>
      </c>
      <c r="F947" s="6" t="n">
        <v>0.9185437189662378</v>
      </c>
      <c r="G947" s="5" t="n">
        <v>0</v>
      </c>
      <c r="H947" s="5" t="n">
        <v>0</v>
      </c>
      <c r="I947" s="5" t="n">
        <v>0</v>
      </c>
      <c r="J947" s="5" t="n">
        <v>0</v>
      </c>
      <c r="K947" s="5" t="n">
        <v>0</v>
      </c>
      <c r="L947" s="5" t="n">
        <v>0</v>
      </c>
      <c r="M947" s="5" t="n">
        <v>0</v>
      </c>
      <c r="N947" s="5" t="n">
        <v>0</v>
      </c>
      <c r="O947" s="5" t="n">
        <v>1</v>
      </c>
      <c r="P947" s="5" t="n">
        <v>0</v>
      </c>
      <c r="Q947" s="5" t="n">
        <v>0</v>
      </c>
      <c r="R947" s="5" t="n">
        <v>0</v>
      </c>
      <c r="S947" s="5" t="n">
        <v>0</v>
      </c>
      <c r="T947" s="5" t="n">
        <v>1</v>
      </c>
      <c r="U947" s="5" t="inlineStr">
        <is>
          <t>training</t>
        </is>
      </c>
    </row>
    <row r="948">
      <c r="A948" s="5" t="n">
        <v>944</v>
      </c>
      <c r="B948" s="5" t="n">
        <v>0</v>
      </c>
      <c r="C948" s="6" t="n">
        <v>-1.409772625058581</v>
      </c>
      <c r="D948" s="6" t="n">
        <v>-0.6283008968694054</v>
      </c>
      <c r="E948" s="6" t="n">
        <v>0.5618457137091294</v>
      </c>
      <c r="F948" s="6" t="n">
        <v>-0.8850484360866833</v>
      </c>
      <c r="G948" s="5" t="n">
        <v>0</v>
      </c>
      <c r="H948" s="5" t="n">
        <v>0</v>
      </c>
      <c r="I948" s="5" t="n">
        <v>0</v>
      </c>
      <c r="J948" s="5" t="n">
        <v>1</v>
      </c>
      <c r="K948" s="5" t="n">
        <v>0</v>
      </c>
      <c r="L948" s="5" t="n">
        <v>0</v>
      </c>
      <c r="M948" s="5" t="n">
        <v>0</v>
      </c>
      <c r="N948" s="5" t="n">
        <v>0</v>
      </c>
      <c r="O948" s="5" t="n">
        <v>0</v>
      </c>
      <c r="P948" s="5" t="n">
        <v>0</v>
      </c>
      <c r="Q948" s="5" t="n">
        <v>0</v>
      </c>
      <c r="R948" s="5" t="n">
        <v>1</v>
      </c>
      <c r="S948" s="5" t="n">
        <v>0</v>
      </c>
      <c r="T948" s="5" t="n">
        <v>0</v>
      </c>
      <c r="U948" s="5" t="inlineStr">
        <is>
          <t>training</t>
        </is>
      </c>
    </row>
    <row r="949">
      <c r="A949" s="5" t="n">
        <v>945</v>
      </c>
      <c r="B949" s="5" t="n">
        <v>0</v>
      </c>
      <c r="C949" s="6" t="n">
        <v>-0.4829241608380317</v>
      </c>
      <c r="D949" s="6" t="n">
        <v>-0.4918427275762085</v>
      </c>
      <c r="E949" s="6" t="n">
        <v>0.9097377965011599</v>
      </c>
      <c r="F949" s="6" t="n">
        <v>0.9185437189662378</v>
      </c>
      <c r="G949" s="5" t="n">
        <v>1</v>
      </c>
      <c r="H949" s="5" t="n">
        <v>0</v>
      </c>
      <c r="I949" s="5" t="n">
        <v>0</v>
      </c>
      <c r="J949" s="5" t="n">
        <v>0</v>
      </c>
      <c r="K949" s="5" t="n">
        <v>0</v>
      </c>
      <c r="L949" s="5" t="n">
        <v>0</v>
      </c>
      <c r="M949" s="5" t="n">
        <v>0</v>
      </c>
      <c r="N949" s="5" t="n">
        <v>0</v>
      </c>
      <c r="O949" s="5" t="n">
        <v>0</v>
      </c>
      <c r="P949" s="5" t="n">
        <v>1</v>
      </c>
      <c r="Q949" s="5" t="n">
        <v>0</v>
      </c>
      <c r="R949" s="5" t="n">
        <v>0</v>
      </c>
      <c r="S949" s="5" t="n">
        <v>0</v>
      </c>
      <c r="T949" s="5" t="n">
        <v>1</v>
      </c>
      <c r="U949" s="5" t="inlineStr">
        <is>
          <t>training</t>
        </is>
      </c>
    </row>
    <row r="950">
      <c r="A950" s="5" t="n">
        <v>946</v>
      </c>
      <c r="B950" s="5" t="n">
        <v>0</v>
      </c>
      <c r="C950" s="6" t="n">
        <v>2.297621231823615</v>
      </c>
      <c r="D950" s="6" t="n">
        <v>1.78700869962018</v>
      </c>
      <c r="E950" s="6" t="n">
        <v>-0.4818305346669622</v>
      </c>
      <c r="F950" s="6" t="n">
        <v>-1.786844513613144</v>
      </c>
      <c r="G950" s="5" t="n">
        <v>0</v>
      </c>
      <c r="H950" s="5" t="n">
        <v>1</v>
      </c>
      <c r="I950" s="5" t="n">
        <v>0</v>
      </c>
      <c r="J950" s="5" t="n">
        <v>0</v>
      </c>
      <c r="K950" s="5" t="n">
        <v>0</v>
      </c>
      <c r="L950" s="5" t="n">
        <v>1</v>
      </c>
      <c r="M950" s="5" t="n">
        <v>1</v>
      </c>
      <c r="N950" s="5" t="n">
        <v>0</v>
      </c>
      <c r="O950" s="5" t="n">
        <v>0</v>
      </c>
      <c r="P950" s="5" t="n">
        <v>0</v>
      </c>
      <c r="Q950" s="5" t="n">
        <v>0</v>
      </c>
      <c r="R950" s="5" t="n">
        <v>1</v>
      </c>
      <c r="S950" s="5" t="n">
        <v>0</v>
      </c>
      <c r="T950" s="5" t="n">
        <v>0</v>
      </c>
      <c r="U950" s="5" t="inlineStr">
        <is>
          <t>training</t>
        </is>
      </c>
    </row>
    <row r="951">
      <c r="A951" s="5" t="n">
        <v>947</v>
      </c>
      <c r="B951" s="5" t="n">
        <v>1</v>
      </c>
      <c r="C951" s="6" t="n">
        <v>0.275406400796963</v>
      </c>
      <c r="D951" s="6" t="n">
        <v>0.03439595605704315</v>
      </c>
      <c r="E951" s="6" t="n">
        <v>-0.4818305346669622</v>
      </c>
      <c r="F951" s="6" t="n">
        <v>0.9185437189662378</v>
      </c>
      <c r="G951" s="5" t="n">
        <v>1</v>
      </c>
      <c r="H951" s="5" t="n">
        <v>0</v>
      </c>
      <c r="I951" s="5" t="n">
        <v>0</v>
      </c>
      <c r="J951" s="5" t="n">
        <v>0</v>
      </c>
      <c r="K951" s="5" t="n">
        <v>0</v>
      </c>
      <c r="L951" s="5" t="n">
        <v>1</v>
      </c>
      <c r="M951" s="5" t="n">
        <v>1</v>
      </c>
      <c r="N951" s="5" t="n">
        <v>0</v>
      </c>
      <c r="O951" s="5" t="n">
        <v>0</v>
      </c>
      <c r="P951" s="5" t="n">
        <v>0</v>
      </c>
      <c r="Q951" s="5" t="n">
        <v>1</v>
      </c>
      <c r="R951" s="5" t="n">
        <v>0</v>
      </c>
      <c r="S951" s="5" t="n">
        <v>0</v>
      </c>
      <c r="T951" s="5" t="n">
        <v>1</v>
      </c>
      <c r="U951" s="5" t="inlineStr">
        <is>
          <t>training</t>
        </is>
      </c>
    </row>
    <row r="952">
      <c r="A952" s="5" t="n">
        <v>948</v>
      </c>
      <c r="B952" s="5" t="n">
        <v>0</v>
      </c>
      <c r="C952" s="6" t="n">
        <v>-0.7357010147163632</v>
      </c>
      <c r="D952" s="6" t="n">
        <v>-0.1370514874138966</v>
      </c>
      <c r="E952" s="6" t="n">
        <v>0.2139536309170988</v>
      </c>
      <c r="F952" s="6" t="n">
        <v>0.9185437189662378</v>
      </c>
      <c r="G952" s="5" t="n">
        <v>0</v>
      </c>
      <c r="H952" s="5" t="n">
        <v>0</v>
      </c>
      <c r="I952" s="5" t="n">
        <v>0</v>
      </c>
      <c r="J952" s="5" t="n">
        <v>0</v>
      </c>
      <c r="K952" s="5" t="n">
        <v>0</v>
      </c>
      <c r="L952" s="5" t="n">
        <v>0</v>
      </c>
      <c r="M952" s="5" t="n">
        <v>0</v>
      </c>
      <c r="N952" s="5" t="n">
        <v>0</v>
      </c>
      <c r="O952" s="5" t="n">
        <v>1</v>
      </c>
      <c r="P952" s="5" t="n">
        <v>0</v>
      </c>
      <c r="Q952" s="5" t="n">
        <v>0</v>
      </c>
      <c r="R952" s="5" t="n">
        <v>1</v>
      </c>
      <c r="S952" s="5" t="n">
        <v>0</v>
      </c>
      <c r="T952" s="5" t="n">
        <v>0</v>
      </c>
      <c r="U952" s="5" t="inlineStr">
        <is>
          <t>training</t>
        </is>
      </c>
    </row>
    <row r="953">
      <c r="A953" s="5" t="n">
        <v>949</v>
      </c>
      <c r="B953" s="5" t="n">
        <v>1</v>
      </c>
      <c r="C953" s="6" t="n">
        <v>-0.2301473069597001</v>
      </c>
      <c r="D953" s="6" t="n">
        <v>-0.601009263010766</v>
      </c>
      <c r="E953" s="6" t="n">
        <v>0.648818734407137</v>
      </c>
      <c r="F953" s="6" t="n">
        <v>0.9185437189662378</v>
      </c>
      <c r="G953" s="5" t="n">
        <v>0</v>
      </c>
      <c r="H953" s="5" t="n">
        <v>0</v>
      </c>
      <c r="I953" s="5" t="n">
        <v>0</v>
      </c>
      <c r="J953" s="5" t="n">
        <v>0</v>
      </c>
      <c r="K953" s="5" t="n">
        <v>0</v>
      </c>
      <c r="L953" s="5" t="n">
        <v>0</v>
      </c>
      <c r="M953" s="5" t="n">
        <v>0</v>
      </c>
      <c r="N953" s="5" t="n">
        <v>0</v>
      </c>
      <c r="O953" s="5" t="n">
        <v>0</v>
      </c>
      <c r="P953" s="5" t="n">
        <v>0</v>
      </c>
      <c r="Q953" s="5" t="n">
        <v>0</v>
      </c>
      <c r="R953" s="5" t="n">
        <v>0</v>
      </c>
      <c r="S953" s="5" t="n">
        <v>0</v>
      </c>
      <c r="T953" s="5" t="n">
        <v>1</v>
      </c>
      <c r="U953" s="5" t="inlineStr">
        <is>
          <t>testing</t>
        </is>
      </c>
    </row>
    <row r="954">
      <c r="A954" s="5" t="n">
        <v>950</v>
      </c>
      <c r="B954" s="5" t="n">
        <v>1</v>
      </c>
      <c r="C954" s="6" t="n">
        <v>0.275406400796963</v>
      </c>
      <c r="D954" s="6" t="n">
        <v>0.1295667818205035</v>
      </c>
      <c r="E954" s="6" t="n">
        <v>-0.3948575139689546</v>
      </c>
      <c r="F954" s="6" t="n">
        <v>-0.8850484360866833</v>
      </c>
      <c r="G954" s="5" t="n">
        <v>0</v>
      </c>
      <c r="H954" s="5" t="n">
        <v>0</v>
      </c>
      <c r="I954" s="5" t="n">
        <v>0</v>
      </c>
      <c r="J954" s="5" t="n">
        <v>0</v>
      </c>
      <c r="K954" s="5" t="n">
        <v>0</v>
      </c>
      <c r="L954" s="5" t="n">
        <v>0</v>
      </c>
      <c r="M954" s="5" t="n">
        <v>1</v>
      </c>
      <c r="N954" s="5" t="n">
        <v>0</v>
      </c>
      <c r="O954" s="5" t="n">
        <v>0</v>
      </c>
      <c r="P954" s="5" t="n">
        <v>0</v>
      </c>
      <c r="Q954" s="5" t="n">
        <v>0</v>
      </c>
      <c r="R954" s="5" t="n">
        <v>0</v>
      </c>
      <c r="S954" s="5" t="n">
        <v>1</v>
      </c>
      <c r="T954" s="5" t="n">
        <v>0</v>
      </c>
      <c r="U954" s="5" t="inlineStr">
        <is>
          <t>training</t>
        </is>
      </c>
    </row>
    <row r="955">
      <c r="A955" s="5" t="n">
        <v>951</v>
      </c>
      <c r="B955" s="5" t="n">
        <v>0</v>
      </c>
      <c r="C955" s="6" t="n">
        <v>-0.2301473069597001</v>
      </c>
      <c r="D955" s="6" t="n">
        <v>0.1187201068254033</v>
      </c>
      <c r="E955" s="6" t="n">
        <v>0.3878996723131141</v>
      </c>
      <c r="F955" s="6" t="n">
        <v>0.01674764143977723</v>
      </c>
      <c r="G955" s="5" t="n">
        <v>0</v>
      </c>
      <c r="H955" s="5" t="n">
        <v>1</v>
      </c>
      <c r="I955" s="5" t="n">
        <v>0</v>
      </c>
      <c r="J955" s="5" t="n">
        <v>1</v>
      </c>
      <c r="K955" s="5" t="n">
        <v>0</v>
      </c>
      <c r="L955" s="5" t="n">
        <v>0</v>
      </c>
      <c r="M955" s="5" t="n">
        <v>0</v>
      </c>
      <c r="N955" s="5" t="n">
        <v>0</v>
      </c>
      <c r="O955" s="5" t="n">
        <v>0</v>
      </c>
      <c r="P955" s="5" t="n">
        <v>0</v>
      </c>
      <c r="Q955" s="5" t="n">
        <v>0</v>
      </c>
      <c r="R955" s="5" t="n">
        <v>0</v>
      </c>
      <c r="S955" s="5" t="n">
        <v>0</v>
      </c>
      <c r="T955" s="5" t="n">
        <v>0</v>
      </c>
      <c r="U955" s="5" t="inlineStr">
        <is>
          <t>training</t>
        </is>
      </c>
    </row>
    <row r="956">
      <c r="A956" s="5" t="n">
        <v>952</v>
      </c>
      <c r="B956" s="5" t="n">
        <v>1</v>
      </c>
      <c r="C956" s="6" t="n">
        <v>1.286513816310289</v>
      </c>
      <c r="D956" s="6" t="n">
        <v>-0.3868749050429801</v>
      </c>
      <c r="E956" s="6" t="n">
        <v>-1.003668658855008</v>
      </c>
      <c r="F956" s="6" t="n">
        <v>-0.8850484360866833</v>
      </c>
      <c r="G956" s="5" t="n">
        <v>1</v>
      </c>
      <c r="H956" s="5" t="n">
        <v>0</v>
      </c>
      <c r="I956" s="5" t="n">
        <v>0</v>
      </c>
      <c r="J956" s="5" t="n">
        <v>0</v>
      </c>
      <c r="K956" s="5" t="n">
        <v>1</v>
      </c>
      <c r="L956" s="5" t="n">
        <v>0</v>
      </c>
      <c r="M956" s="5" t="n">
        <v>0</v>
      </c>
      <c r="N956" s="5" t="n">
        <v>0</v>
      </c>
      <c r="O956" s="5" t="n">
        <v>0</v>
      </c>
      <c r="P956" s="5" t="n">
        <v>0</v>
      </c>
      <c r="Q956" s="5" t="n">
        <v>0</v>
      </c>
      <c r="R956" s="5" t="n">
        <v>0</v>
      </c>
      <c r="S956" s="5" t="n">
        <v>0</v>
      </c>
      <c r="T956" s="5" t="n">
        <v>0</v>
      </c>
      <c r="U956" s="5" t="inlineStr">
        <is>
          <t>training</t>
        </is>
      </c>
    </row>
    <row r="957">
      <c r="A957" s="5" t="n">
        <v>953</v>
      </c>
      <c r="B957" s="5" t="n">
        <v>1</v>
      </c>
      <c r="C957" s="6" t="n">
        <v>0.275406400796963</v>
      </c>
      <c r="D957" s="6" t="n">
        <v>0.3017140107749981</v>
      </c>
      <c r="E957" s="6" t="n">
        <v>-0.6557765760629775</v>
      </c>
      <c r="F957" s="6" t="n">
        <v>0.01674764143977723</v>
      </c>
      <c r="G957" s="5" t="n">
        <v>0</v>
      </c>
      <c r="H957" s="5" t="n">
        <v>1</v>
      </c>
      <c r="I957" s="5" t="n">
        <v>0</v>
      </c>
      <c r="J957" s="5" t="n">
        <v>0</v>
      </c>
      <c r="K957" s="5" t="n">
        <v>0</v>
      </c>
      <c r="L957" s="5" t="n">
        <v>0</v>
      </c>
      <c r="M957" s="5" t="n">
        <v>1</v>
      </c>
      <c r="N957" s="5" t="n">
        <v>0</v>
      </c>
      <c r="O957" s="5" t="n">
        <v>0</v>
      </c>
      <c r="P957" s="5" t="n">
        <v>1</v>
      </c>
      <c r="Q957" s="5" t="n">
        <v>0</v>
      </c>
      <c r="R957" s="5" t="n">
        <v>1</v>
      </c>
      <c r="S957" s="5" t="n">
        <v>0</v>
      </c>
      <c r="T957" s="5" t="n">
        <v>0</v>
      </c>
      <c r="U957" s="5" t="inlineStr">
        <is>
          <t>training</t>
        </is>
      </c>
    </row>
    <row r="958">
      <c r="A958" s="5" t="n">
        <v>954</v>
      </c>
      <c r="B958" s="5" t="n">
        <v>1</v>
      </c>
      <c r="C958" s="6" t="n">
        <v>1.286513816310289</v>
      </c>
      <c r="D958" s="6" t="n">
        <v>2.702328112109931</v>
      </c>
      <c r="E958" s="6" t="n">
        <v>-0.8297226174589928</v>
      </c>
      <c r="F958" s="6" t="n">
        <v>0.9185437189662378</v>
      </c>
      <c r="G958" s="5" t="n">
        <v>0</v>
      </c>
      <c r="H958" s="5" t="n">
        <v>0</v>
      </c>
      <c r="I958" s="5" t="n">
        <v>0</v>
      </c>
      <c r="J958" s="5" t="n">
        <v>0</v>
      </c>
      <c r="K958" s="5" t="n">
        <v>0</v>
      </c>
      <c r="L958" s="5" t="n">
        <v>0</v>
      </c>
      <c r="M958" s="5" t="n">
        <v>0</v>
      </c>
      <c r="N958" s="5" t="n">
        <v>0</v>
      </c>
      <c r="O958" s="5" t="n">
        <v>0</v>
      </c>
      <c r="P958" s="5" t="n">
        <v>0</v>
      </c>
      <c r="Q958" s="5" t="n">
        <v>0</v>
      </c>
      <c r="R958" s="5" t="n">
        <v>0</v>
      </c>
      <c r="S958" s="5" t="n">
        <v>0</v>
      </c>
      <c r="T958" s="5" t="n">
        <v>1</v>
      </c>
      <c r="U958" s="5" t="inlineStr">
        <is>
          <t>testing</t>
        </is>
      </c>
    </row>
    <row r="959">
      <c r="A959" s="5" t="n">
        <v>955</v>
      </c>
      <c r="B959" s="5" t="n">
        <v>0</v>
      </c>
      <c r="C959" s="6" t="n">
        <v>-0.7357010147163632</v>
      </c>
      <c r="D959" s="6" t="n">
        <v>-0.4750478759708919</v>
      </c>
      <c r="E959" s="6" t="n">
        <v>-0.5688035553649698</v>
      </c>
      <c r="F959" s="6" t="n">
        <v>0.9185437189662378</v>
      </c>
      <c r="G959" s="5" t="n">
        <v>1</v>
      </c>
      <c r="H959" s="5" t="n">
        <v>0</v>
      </c>
      <c r="I959" s="5" t="n">
        <v>0</v>
      </c>
      <c r="J959" s="5" t="n">
        <v>0</v>
      </c>
      <c r="K959" s="5" t="n">
        <v>0</v>
      </c>
      <c r="L959" s="5" t="n">
        <v>0</v>
      </c>
      <c r="M959" s="5" t="n">
        <v>0</v>
      </c>
      <c r="N959" s="5" t="n">
        <v>0</v>
      </c>
      <c r="O959" s="5" t="n">
        <v>0</v>
      </c>
      <c r="P959" s="5" t="n">
        <v>0</v>
      </c>
      <c r="Q959" s="5" t="n">
        <v>0</v>
      </c>
      <c r="R959" s="5" t="n">
        <v>1</v>
      </c>
      <c r="S959" s="5" t="n">
        <v>0</v>
      </c>
      <c r="T959" s="5" t="n">
        <v>0</v>
      </c>
      <c r="U959" s="5" t="inlineStr">
        <is>
          <t>testing</t>
        </is>
      </c>
    </row>
    <row r="960">
      <c r="A960" s="5" t="n">
        <v>956</v>
      </c>
      <c r="B960" s="5" t="n">
        <v>0</v>
      </c>
      <c r="C960" s="6" t="n">
        <v>0.275406400796963</v>
      </c>
      <c r="D960" s="6" t="n">
        <v>-0.7066768710275493</v>
      </c>
      <c r="E960" s="6" t="n">
        <v>1.866441024179244</v>
      </c>
      <c r="F960" s="6" t="n">
        <v>0.9185437189662378</v>
      </c>
      <c r="G960" s="5" t="n">
        <v>1</v>
      </c>
      <c r="H960" s="5" t="n">
        <v>0</v>
      </c>
      <c r="I960" s="5" t="n">
        <v>0</v>
      </c>
      <c r="J960" s="5" t="n">
        <v>1</v>
      </c>
      <c r="K960" s="5" t="n">
        <v>0</v>
      </c>
      <c r="L960" s="5" t="n">
        <v>0</v>
      </c>
      <c r="M960" s="5" t="n">
        <v>0</v>
      </c>
      <c r="N960" s="5" t="n">
        <v>1</v>
      </c>
      <c r="O960" s="5" t="n">
        <v>0</v>
      </c>
      <c r="P960" s="5" t="n">
        <v>1</v>
      </c>
      <c r="Q960" s="5" t="n">
        <v>0</v>
      </c>
      <c r="R960" s="5" t="n">
        <v>0</v>
      </c>
      <c r="S960" s="5" t="n">
        <v>1</v>
      </c>
      <c r="T960" s="5" t="n">
        <v>0</v>
      </c>
      <c r="U960" s="5" t="inlineStr">
        <is>
          <t>training</t>
        </is>
      </c>
    </row>
    <row r="961">
      <c r="A961" s="5" t="n">
        <v>957</v>
      </c>
      <c r="B961" s="5" t="n">
        <v>0</v>
      </c>
      <c r="C961" s="6" t="n">
        <v>0.7809601085536261</v>
      </c>
      <c r="D961" s="6" t="n">
        <v>0.1418130277827135</v>
      </c>
      <c r="E961" s="6" t="n">
        <v>1.170656858595183</v>
      </c>
      <c r="F961" s="6" t="n">
        <v>0.9185437189662378</v>
      </c>
      <c r="G961" s="5" t="n">
        <v>0</v>
      </c>
      <c r="H961" s="5" t="n">
        <v>0</v>
      </c>
      <c r="I961" s="5" t="n">
        <v>1</v>
      </c>
      <c r="J961" s="5" t="n">
        <v>1</v>
      </c>
      <c r="K961" s="5" t="n">
        <v>0</v>
      </c>
      <c r="L961" s="5" t="n">
        <v>0</v>
      </c>
      <c r="M961" s="5" t="n">
        <v>0</v>
      </c>
      <c r="N961" s="5" t="n">
        <v>0</v>
      </c>
      <c r="O961" s="5" t="n">
        <v>1</v>
      </c>
      <c r="P961" s="5" t="n">
        <v>0</v>
      </c>
      <c r="Q961" s="5" t="n">
        <v>0</v>
      </c>
      <c r="R961" s="5" t="n">
        <v>0</v>
      </c>
      <c r="S961" s="5" t="n">
        <v>1</v>
      </c>
      <c r="T961" s="5" t="n">
        <v>0</v>
      </c>
      <c r="U961" s="5" t="inlineStr">
        <is>
          <t>training</t>
        </is>
      </c>
    </row>
    <row r="962">
      <c r="A962" s="5" t="n">
        <v>958</v>
      </c>
      <c r="B962" s="5" t="n">
        <v>0</v>
      </c>
      <c r="C962" s="6" t="n">
        <v>-0.9884778685946948</v>
      </c>
      <c r="D962" s="6" t="n">
        <v>-0.7336186121444112</v>
      </c>
      <c r="E962" s="6" t="n">
        <v>0.1269806102190912</v>
      </c>
      <c r="F962" s="6" t="n">
        <v>-0.8850484360866833</v>
      </c>
      <c r="G962" s="5" t="n">
        <v>0</v>
      </c>
      <c r="H962" s="5" t="n">
        <v>1</v>
      </c>
      <c r="I962" s="5" t="n">
        <v>0</v>
      </c>
      <c r="J962" s="5" t="n">
        <v>1</v>
      </c>
      <c r="K962" s="5" t="n">
        <v>0</v>
      </c>
      <c r="L962" s="5" t="n">
        <v>0</v>
      </c>
      <c r="M962" s="5" t="n">
        <v>0</v>
      </c>
      <c r="N962" s="5" t="n">
        <v>0</v>
      </c>
      <c r="O962" s="5" t="n">
        <v>0</v>
      </c>
      <c r="P962" s="5" t="n">
        <v>0</v>
      </c>
      <c r="Q962" s="5" t="n">
        <v>0</v>
      </c>
      <c r="R962" s="5" t="n">
        <v>0</v>
      </c>
      <c r="S962" s="5" t="n">
        <v>1</v>
      </c>
      <c r="T962" s="5" t="n">
        <v>0</v>
      </c>
      <c r="U962" s="5" t="inlineStr">
        <is>
          <t>training</t>
        </is>
      </c>
    </row>
    <row r="963">
      <c r="A963" s="5" t="n">
        <v>959</v>
      </c>
      <c r="B963" s="5" t="n">
        <v>1</v>
      </c>
      <c r="C963" s="6" t="n">
        <v>0.6124422059680718</v>
      </c>
      <c r="D963" s="6" t="n">
        <v>0.2642754874048133</v>
      </c>
      <c r="E963" s="6" t="n">
        <v>0.8227647758031523</v>
      </c>
      <c r="F963" s="6" t="n">
        <v>0.01674764143977723</v>
      </c>
      <c r="G963" s="5" t="n">
        <v>1</v>
      </c>
      <c r="H963" s="5" t="n">
        <v>0</v>
      </c>
      <c r="I963" s="5" t="n">
        <v>0</v>
      </c>
      <c r="J963" s="5" t="n">
        <v>0</v>
      </c>
      <c r="K963" s="5" t="n">
        <v>0</v>
      </c>
      <c r="L963" s="5" t="n">
        <v>0</v>
      </c>
      <c r="M963" s="5" t="n">
        <v>0</v>
      </c>
      <c r="N963" s="5" t="n">
        <v>0</v>
      </c>
      <c r="O963" s="5" t="n">
        <v>0</v>
      </c>
      <c r="P963" s="5" t="n">
        <v>0</v>
      </c>
      <c r="Q963" s="5" t="n">
        <v>0</v>
      </c>
      <c r="R963" s="5" t="n">
        <v>1</v>
      </c>
      <c r="S963" s="5" t="n">
        <v>0</v>
      </c>
      <c r="T963" s="5" t="n">
        <v>0</v>
      </c>
      <c r="U963" s="5" t="inlineStr">
        <is>
          <t>training</t>
        </is>
      </c>
    </row>
    <row r="964">
      <c r="A964" s="5" t="n">
        <v>960</v>
      </c>
      <c r="B964" s="5" t="n">
        <v>0</v>
      </c>
      <c r="C964" s="6" t="n">
        <v>0.275406400796963</v>
      </c>
      <c r="D964" s="6" t="n">
        <v>-0.06357401164063668</v>
      </c>
      <c r="E964" s="6" t="n">
        <v>-0.4818305346669622</v>
      </c>
      <c r="F964" s="6" t="n">
        <v>0.9185437189662378</v>
      </c>
      <c r="G964" s="5" t="n">
        <v>0</v>
      </c>
      <c r="H964" s="5" t="n">
        <v>1</v>
      </c>
      <c r="I964" s="5" t="n">
        <v>0</v>
      </c>
      <c r="J964" s="5" t="n">
        <v>0</v>
      </c>
      <c r="K964" s="5" t="n">
        <v>0</v>
      </c>
      <c r="L964" s="5" t="n">
        <v>0</v>
      </c>
      <c r="M964" s="5" t="n">
        <v>1</v>
      </c>
      <c r="N964" s="5" t="n">
        <v>0</v>
      </c>
      <c r="O964" s="5" t="n">
        <v>0</v>
      </c>
      <c r="P964" s="5" t="n">
        <v>0</v>
      </c>
      <c r="Q964" s="5" t="n">
        <v>1</v>
      </c>
      <c r="R964" s="5" t="n">
        <v>0</v>
      </c>
      <c r="S964" s="5" t="n">
        <v>0</v>
      </c>
      <c r="T964" s="5" t="n">
        <v>1</v>
      </c>
      <c r="U964" s="5" t="inlineStr">
        <is>
          <t>training</t>
        </is>
      </c>
    </row>
    <row r="965">
      <c r="A965" s="5" t="n">
        <v>961</v>
      </c>
      <c r="B965" s="5" t="n">
        <v>0</v>
      </c>
      <c r="C965" s="6" t="n">
        <v>-1.241254722473026</v>
      </c>
      <c r="D965" s="6" t="n">
        <v>-0.5285814654628385</v>
      </c>
      <c r="E965" s="6" t="n">
        <v>-0.4818305346669622</v>
      </c>
      <c r="F965" s="6" t="n">
        <v>-0.8850484360866833</v>
      </c>
      <c r="G965" s="5" t="n">
        <v>0</v>
      </c>
      <c r="H965" s="5" t="n">
        <v>0</v>
      </c>
      <c r="I965" s="5" t="n">
        <v>0</v>
      </c>
      <c r="J965" s="5" t="n">
        <v>1</v>
      </c>
      <c r="K965" s="5" t="n">
        <v>0</v>
      </c>
      <c r="L965" s="5" t="n">
        <v>0</v>
      </c>
      <c r="M965" s="5" t="n">
        <v>0</v>
      </c>
      <c r="N965" s="5" t="n">
        <v>0</v>
      </c>
      <c r="O965" s="5" t="n">
        <v>0</v>
      </c>
      <c r="P965" s="5" t="n">
        <v>1</v>
      </c>
      <c r="Q965" s="5" t="n">
        <v>0</v>
      </c>
      <c r="R965" s="5" t="n">
        <v>0</v>
      </c>
      <c r="S965" s="5" t="n">
        <v>1</v>
      </c>
      <c r="T965" s="5" t="n">
        <v>0</v>
      </c>
      <c r="U965" s="5" t="inlineStr">
        <is>
          <t>training</t>
        </is>
      </c>
    </row>
    <row r="966">
      <c r="A966" s="5" t="n">
        <v>962</v>
      </c>
      <c r="B966" s="5" t="n">
        <v>0</v>
      </c>
      <c r="C966" s="6" t="n">
        <v>0.02262954691863145</v>
      </c>
      <c r="D966" s="6" t="n">
        <v>-0.3140972147532751</v>
      </c>
      <c r="E966" s="6" t="n">
        <v>0.9967108171991675</v>
      </c>
      <c r="F966" s="6" t="n">
        <v>-1.786844513613144</v>
      </c>
      <c r="G966" s="5" t="n">
        <v>0</v>
      </c>
      <c r="H966" s="5" t="n">
        <v>1</v>
      </c>
      <c r="I966" s="5" t="n">
        <v>0</v>
      </c>
      <c r="J966" s="5" t="n">
        <v>0</v>
      </c>
      <c r="K966" s="5" t="n">
        <v>1</v>
      </c>
      <c r="L966" s="5" t="n">
        <v>0</v>
      </c>
      <c r="M966" s="5" t="n">
        <v>0</v>
      </c>
      <c r="N966" s="5" t="n">
        <v>0</v>
      </c>
      <c r="O966" s="5" t="n">
        <v>0</v>
      </c>
      <c r="P966" s="5" t="n">
        <v>0</v>
      </c>
      <c r="Q966" s="5" t="n">
        <v>0</v>
      </c>
      <c r="R966" s="5" t="n">
        <v>1</v>
      </c>
      <c r="S966" s="5" t="n">
        <v>0</v>
      </c>
      <c r="T966" s="5" t="n">
        <v>0</v>
      </c>
      <c r="U966" s="5" t="inlineStr">
        <is>
          <t>training</t>
        </is>
      </c>
    </row>
    <row r="967">
      <c r="A967" s="5" t="n">
        <v>963</v>
      </c>
      <c r="B967" s="5" t="n">
        <v>0</v>
      </c>
      <c r="C967" s="6" t="n">
        <v>-0.4829241608380317</v>
      </c>
      <c r="D967" s="6" t="n">
        <v>0.1068237536049707</v>
      </c>
      <c r="E967" s="6" t="n">
        <v>-0.5688035553649698</v>
      </c>
      <c r="F967" s="6" t="n">
        <v>0.01674764143977723</v>
      </c>
      <c r="G967" s="5" t="n">
        <v>0</v>
      </c>
      <c r="H967" s="5" t="n">
        <v>0</v>
      </c>
      <c r="I967" s="5" t="n">
        <v>0</v>
      </c>
      <c r="J967" s="5" t="n">
        <v>0</v>
      </c>
      <c r="K967" s="5" t="n">
        <v>0</v>
      </c>
      <c r="L967" s="5" t="n">
        <v>0</v>
      </c>
      <c r="M967" s="5" t="n">
        <v>0</v>
      </c>
      <c r="N967" s="5" t="n">
        <v>0</v>
      </c>
      <c r="O967" s="5" t="n">
        <v>1</v>
      </c>
      <c r="P967" s="5" t="n">
        <v>0</v>
      </c>
      <c r="Q967" s="5" t="n">
        <v>0</v>
      </c>
      <c r="R967" s="5" t="n">
        <v>1</v>
      </c>
      <c r="S967" s="5" t="n">
        <v>0</v>
      </c>
      <c r="T967" s="5" t="n">
        <v>0</v>
      </c>
      <c r="U967" s="5" t="inlineStr">
        <is>
          <t>training</t>
        </is>
      </c>
    </row>
    <row r="968">
      <c r="A968" s="5" t="n">
        <v>964</v>
      </c>
      <c r="B968" s="5" t="n">
        <v>1</v>
      </c>
      <c r="C968" s="6" t="n">
        <v>0.275406400796963</v>
      </c>
      <c r="D968" s="6" t="n">
        <v>-0.2987019341150682</v>
      </c>
      <c r="E968" s="6" t="n">
        <v>-0.04696543117692405</v>
      </c>
      <c r="F968" s="6" t="n">
        <v>0.01674764143977723</v>
      </c>
      <c r="G968" s="5" t="n">
        <v>0</v>
      </c>
      <c r="H968" s="5" t="n">
        <v>0</v>
      </c>
      <c r="I968" s="5" t="n">
        <v>0</v>
      </c>
      <c r="J968" s="5" t="n">
        <v>0</v>
      </c>
      <c r="K968" s="5" t="n">
        <v>0</v>
      </c>
      <c r="L968" s="5" t="n">
        <v>0</v>
      </c>
      <c r="M968" s="5" t="n">
        <v>1</v>
      </c>
      <c r="N968" s="5" t="n">
        <v>0</v>
      </c>
      <c r="O968" s="5" t="n">
        <v>0</v>
      </c>
      <c r="P968" s="5" t="n">
        <v>0</v>
      </c>
      <c r="Q968" s="5" t="n">
        <v>0</v>
      </c>
      <c r="R968" s="5" t="n">
        <v>0</v>
      </c>
      <c r="S968" s="5" t="n">
        <v>1</v>
      </c>
      <c r="T968" s="5" t="n">
        <v>0</v>
      </c>
      <c r="U968" s="5" t="inlineStr">
        <is>
          <t>training</t>
        </is>
      </c>
    </row>
    <row r="969">
      <c r="A969" s="5" t="n">
        <v>965</v>
      </c>
      <c r="B969" s="5" t="n">
        <v>0</v>
      </c>
      <c r="C969" s="6" t="n">
        <v>-1.241254722473026</v>
      </c>
      <c r="D969" s="6" t="n">
        <v>-0.9785435313886107</v>
      </c>
      <c r="E969" s="6" t="n">
        <v>-1.177614700251023</v>
      </c>
      <c r="F969" s="6" t="n">
        <v>0.01674764143977723</v>
      </c>
      <c r="G969" s="5" t="n">
        <v>0</v>
      </c>
      <c r="H969" s="5" t="n">
        <v>1</v>
      </c>
      <c r="I969" s="5" t="n">
        <v>0</v>
      </c>
      <c r="J969" s="5" t="n">
        <v>0</v>
      </c>
      <c r="K969" s="5" t="n">
        <v>0</v>
      </c>
      <c r="L969" s="5" t="n">
        <v>0</v>
      </c>
      <c r="M969" s="5" t="n">
        <v>0</v>
      </c>
      <c r="N969" s="5" t="n">
        <v>0</v>
      </c>
      <c r="O969" s="5" t="n">
        <v>0</v>
      </c>
      <c r="P969" s="5" t="n">
        <v>0</v>
      </c>
      <c r="Q969" s="5" t="n">
        <v>0</v>
      </c>
      <c r="R969" s="5" t="n">
        <v>0</v>
      </c>
      <c r="S969" s="5" t="n">
        <v>0</v>
      </c>
      <c r="T969" s="5" t="n">
        <v>0</v>
      </c>
      <c r="U969" s="5" t="inlineStr">
        <is>
          <t>testing</t>
        </is>
      </c>
    </row>
    <row r="970">
      <c r="A970" s="5" t="n">
        <v>966</v>
      </c>
      <c r="B970" s="5" t="n">
        <v>0</v>
      </c>
      <c r="C970" s="6" t="n">
        <v>0.7809601085536261</v>
      </c>
      <c r="D970" s="6" t="n">
        <v>-0.5373287840072741</v>
      </c>
      <c r="E970" s="6" t="n">
        <v>-0.8297226174589928</v>
      </c>
      <c r="F970" s="6" t="n">
        <v>0.9185437189662378</v>
      </c>
      <c r="G970" s="5" t="n">
        <v>0</v>
      </c>
      <c r="H970" s="5" t="n">
        <v>1</v>
      </c>
      <c r="I970" s="5" t="n">
        <v>0</v>
      </c>
      <c r="J970" s="5" t="n">
        <v>0</v>
      </c>
      <c r="K970" s="5" t="n">
        <v>0</v>
      </c>
      <c r="L970" s="5" t="n">
        <v>0</v>
      </c>
      <c r="M970" s="5" t="n">
        <v>0</v>
      </c>
      <c r="N970" s="5" t="n">
        <v>0</v>
      </c>
      <c r="O970" s="5" t="n">
        <v>1</v>
      </c>
      <c r="P970" s="5" t="n">
        <v>0</v>
      </c>
      <c r="Q970" s="5" t="n">
        <v>0</v>
      </c>
      <c r="R970" s="5" t="n">
        <v>0</v>
      </c>
      <c r="S970" s="5" t="n">
        <v>1</v>
      </c>
      <c r="T970" s="5" t="n">
        <v>0</v>
      </c>
      <c r="U970" s="5" t="inlineStr">
        <is>
          <t>testing</t>
        </is>
      </c>
    </row>
    <row r="971">
      <c r="A971" s="5" t="n">
        <v>967</v>
      </c>
      <c r="B971" s="5" t="n">
        <v>1</v>
      </c>
      <c r="C971" s="6" t="n">
        <v>0.5281832546752946</v>
      </c>
      <c r="D971" s="6" t="n">
        <v>-0.2556651268764446</v>
      </c>
      <c r="E971" s="6" t="n">
        <v>-1.090641679553016</v>
      </c>
      <c r="F971" s="6" t="n">
        <v>0.9185437189662378</v>
      </c>
      <c r="G971" s="5" t="n">
        <v>0</v>
      </c>
      <c r="H971" s="5" t="n">
        <v>1</v>
      </c>
      <c r="I971" s="5" t="n">
        <v>0</v>
      </c>
      <c r="J971" s="5" t="n">
        <v>1</v>
      </c>
      <c r="K971" s="5" t="n">
        <v>0</v>
      </c>
      <c r="L971" s="5" t="n">
        <v>0</v>
      </c>
      <c r="M971" s="5" t="n">
        <v>1</v>
      </c>
      <c r="N971" s="5" t="n">
        <v>0</v>
      </c>
      <c r="O971" s="5" t="n">
        <v>0</v>
      </c>
      <c r="P971" s="5" t="n">
        <v>0</v>
      </c>
      <c r="Q971" s="5" t="n">
        <v>0</v>
      </c>
      <c r="R971" s="5" t="n">
        <v>0</v>
      </c>
      <c r="S971" s="5" t="n">
        <v>1</v>
      </c>
      <c r="T971" s="5" t="n">
        <v>0</v>
      </c>
      <c r="U971" s="5" t="inlineStr">
        <is>
          <t>training</t>
        </is>
      </c>
    </row>
    <row r="972">
      <c r="A972" s="5" t="n">
        <v>968</v>
      </c>
      <c r="B972" s="5" t="n">
        <v>0</v>
      </c>
      <c r="C972" s="6" t="n">
        <v>-0.4829241608380317</v>
      </c>
      <c r="D972" s="6" t="n">
        <v>0.1110224665062999</v>
      </c>
      <c r="E972" s="6" t="n">
        <v>1.605521962085221</v>
      </c>
      <c r="F972" s="6" t="n">
        <v>0.9185437189662378</v>
      </c>
      <c r="G972" s="5" t="n">
        <v>0</v>
      </c>
      <c r="H972" s="5" t="n">
        <v>0</v>
      </c>
      <c r="I972" s="5" t="n">
        <v>0</v>
      </c>
      <c r="J972" s="5" t="n">
        <v>0</v>
      </c>
      <c r="K972" s="5" t="n">
        <v>0</v>
      </c>
      <c r="L972" s="5" t="n">
        <v>0</v>
      </c>
      <c r="M972" s="5" t="n">
        <v>0</v>
      </c>
      <c r="N972" s="5" t="n">
        <v>0</v>
      </c>
      <c r="O972" s="5" t="n">
        <v>0</v>
      </c>
      <c r="P972" s="5" t="n">
        <v>1</v>
      </c>
      <c r="Q972" s="5" t="n">
        <v>0</v>
      </c>
      <c r="R972" s="5" t="n">
        <v>0</v>
      </c>
      <c r="S972" s="5" t="n">
        <v>1</v>
      </c>
      <c r="T972" s="5" t="n">
        <v>0</v>
      </c>
      <c r="U972" s="5" t="inlineStr">
        <is>
          <t>testing</t>
        </is>
      </c>
    </row>
    <row r="973">
      <c r="A973" s="5" t="n">
        <v>969</v>
      </c>
      <c r="B973" s="5" t="n">
        <v>0</v>
      </c>
      <c r="C973" s="6" t="n">
        <v>1.792067524066952</v>
      </c>
      <c r="D973" s="6" t="n">
        <v>1.369936551421486</v>
      </c>
      <c r="E973" s="6" t="n">
        <v>-0.5688035553649698</v>
      </c>
      <c r="F973" s="6" t="n">
        <v>-0.8850484360866833</v>
      </c>
      <c r="G973" s="5" t="n">
        <v>0</v>
      </c>
      <c r="H973" s="5" t="n">
        <v>0</v>
      </c>
      <c r="I973" s="5" t="n">
        <v>0</v>
      </c>
      <c r="J973" s="5" t="n">
        <v>0</v>
      </c>
      <c r="K973" s="5" t="n">
        <v>0</v>
      </c>
      <c r="L973" s="5" t="n">
        <v>0</v>
      </c>
      <c r="M973" s="5" t="n">
        <v>0</v>
      </c>
      <c r="N973" s="5" t="n">
        <v>0</v>
      </c>
      <c r="O973" s="5" t="n">
        <v>1</v>
      </c>
      <c r="P973" s="5" t="n">
        <v>1</v>
      </c>
      <c r="Q973" s="5" t="n">
        <v>0</v>
      </c>
      <c r="R973" s="5" t="n">
        <v>0</v>
      </c>
      <c r="S973" s="5" t="n">
        <v>1</v>
      </c>
      <c r="T973" s="5" t="n">
        <v>0</v>
      </c>
      <c r="U973" s="5" t="inlineStr">
        <is>
          <t>training</t>
        </is>
      </c>
    </row>
    <row r="974">
      <c r="A974" s="5" t="n">
        <v>970</v>
      </c>
      <c r="B974" s="5" t="n">
        <v>0</v>
      </c>
      <c r="C974" s="6" t="n">
        <v>-0.8199599660091405</v>
      </c>
      <c r="D974" s="6" t="n">
        <v>0.2408326737057256</v>
      </c>
      <c r="E974" s="6" t="n">
        <v>0.3878996723131141</v>
      </c>
      <c r="F974" s="6" t="n">
        <v>-1.786844513613144</v>
      </c>
      <c r="G974" s="5" t="n">
        <v>1</v>
      </c>
      <c r="H974" s="5" t="n">
        <v>0</v>
      </c>
      <c r="I974" s="5" t="n">
        <v>0</v>
      </c>
      <c r="J974" s="5" t="n">
        <v>1</v>
      </c>
      <c r="K974" s="5" t="n">
        <v>0</v>
      </c>
      <c r="L974" s="5" t="n">
        <v>0</v>
      </c>
      <c r="M974" s="5" t="n">
        <v>0</v>
      </c>
      <c r="N974" s="5" t="n">
        <v>0</v>
      </c>
      <c r="O974" s="5" t="n">
        <v>0</v>
      </c>
      <c r="P974" s="5" t="n">
        <v>0</v>
      </c>
      <c r="Q974" s="5" t="n">
        <v>0</v>
      </c>
      <c r="R974" s="5" t="n">
        <v>1</v>
      </c>
      <c r="S974" s="5" t="n">
        <v>0</v>
      </c>
      <c r="T974" s="5" t="n">
        <v>0</v>
      </c>
      <c r="U974" s="5" t="inlineStr">
        <is>
          <t>training</t>
        </is>
      </c>
    </row>
    <row r="975">
      <c r="A975" s="5" t="n">
        <v>971</v>
      </c>
      <c r="B975" s="5" t="n">
        <v>0</v>
      </c>
      <c r="C975" s="6" t="n">
        <v>-0.4829241608380317</v>
      </c>
      <c r="D975" s="6" t="n">
        <v>-0.6076572251045371</v>
      </c>
      <c r="E975" s="6" t="n">
        <v>-1.177614700251023</v>
      </c>
      <c r="F975" s="6" t="n">
        <v>0.9185437189662378</v>
      </c>
      <c r="G975" s="5" t="n">
        <v>0</v>
      </c>
      <c r="H975" s="5" t="n">
        <v>1</v>
      </c>
      <c r="I975" s="5" t="n">
        <v>0</v>
      </c>
      <c r="J975" s="5" t="n">
        <v>0</v>
      </c>
      <c r="K975" s="5" t="n">
        <v>0</v>
      </c>
      <c r="L975" s="5" t="n">
        <v>0</v>
      </c>
      <c r="M975" s="5" t="n">
        <v>1</v>
      </c>
      <c r="N975" s="5" t="n">
        <v>0</v>
      </c>
      <c r="O975" s="5" t="n">
        <v>0</v>
      </c>
      <c r="P975" s="5" t="n">
        <v>0</v>
      </c>
      <c r="Q975" s="5" t="n">
        <v>0</v>
      </c>
      <c r="R975" s="5" t="n">
        <v>0</v>
      </c>
      <c r="S975" s="5" t="n">
        <v>0</v>
      </c>
      <c r="T975" s="5" t="n">
        <v>0</v>
      </c>
      <c r="U975" s="5" t="inlineStr">
        <is>
          <t>training</t>
        </is>
      </c>
    </row>
    <row r="976">
      <c r="A976" s="5" t="n">
        <v>972</v>
      </c>
      <c r="B976" s="5" t="n">
        <v>0</v>
      </c>
      <c r="C976" s="6" t="n">
        <v>0.275406400796963</v>
      </c>
      <c r="D976" s="6" t="n">
        <v>1.449362203804962</v>
      </c>
      <c r="E976" s="6" t="n">
        <v>0.648818734407137</v>
      </c>
      <c r="F976" s="6" t="n">
        <v>-1.786844513613144</v>
      </c>
      <c r="G976" s="5" t="n">
        <v>0</v>
      </c>
      <c r="H976" s="5" t="n">
        <v>0</v>
      </c>
      <c r="I976" s="5" t="n">
        <v>0</v>
      </c>
      <c r="J976" s="5" t="n">
        <v>0</v>
      </c>
      <c r="K976" s="5" t="n">
        <v>0</v>
      </c>
      <c r="L976" s="5" t="n">
        <v>0</v>
      </c>
      <c r="M976" s="5" t="n">
        <v>0</v>
      </c>
      <c r="N976" s="5" t="n">
        <v>0</v>
      </c>
      <c r="O976" s="5" t="n">
        <v>0</v>
      </c>
      <c r="P976" s="5" t="n">
        <v>0</v>
      </c>
      <c r="Q976" s="5" t="n">
        <v>0</v>
      </c>
      <c r="R976" s="5" t="n">
        <v>1</v>
      </c>
      <c r="S976" s="5" t="n">
        <v>0</v>
      </c>
      <c r="T976" s="5" t="n">
        <v>0</v>
      </c>
      <c r="U976" s="5" t="inlineStr">
        <is>
          <t>training</t>
        </is>
      </c>
    </row>
    <row r="977">
      <c r="A977" s="5" t="n">
        <v>973</v>
      </c>
      <c r="B977" s="5" t="n">
        <v>1</v>
      </c>
      <c r="C977" s="6" t="n">
        <v>0.275406400796963</v>
      </c>
      <c r="D977" s="6" t="n">
        <v>-0.7199727952150915</v>
      </c>
      <c r="E977" s="6" t="n">
        <v>-0.5688035553649698</v>
      </c>
      <c r="F977" s="6" t="n">
        <v>-1.786844513613144</v>
      </c>
      <c r="G977" s="5" t="n">
        <v>1</v>
      </c>
      <c r="H977" s="5" t="n">
        <v>0</v>
      </c>
      <c r="I977" s="5" t="n">
        <v>0</v>
      </c>
      <c r="J977" s="5" t="n">
        <v>0</v>
      </c>
      <c r="K977" s="5" t="n">
        <v>0</v>
      </c>
      <c r="L977" s="5" t="n">
        <v>1</v>
      </c>
      <c r="M977" s="5" t="n">
        <v>0</v>
      </c>
      <c r="N977" s="5" t="n">
        <v>0</v>
      </c>
      <c r="O977" s="5" t="n">
        <v>0</v>
      </c>
      <c r="P977" s="5" t="n">
        <v>1</v>
      </c>
      <c r="Q977" s="5" t="n">
        <v>0</v>
      </c>
      <c r="R977" s="5" t="n">
        <v>1</v>
      </c>
      <c r="S977" s="5" t="n">
        <v>0</v>
      </c>
      <c r="T977" s="5" t="n">
        <v>0</v>
      </c>
      <c r="U977" s="5" t="inlineStr">
        <is>
          <t>training</t>
        </is>
      </c>
    </row>
    <row r="978">
      <c r="A978" s="5" t="n">
        <v>974</v>
      </c>
      <c r="B978" s="5" t="n">
        <v>1</v>
      </c>
      <c r="C978" s="6" t="n">
        <v>3.308728647336942</v>
      </c>
      <c r="D978" s="6" t="n">
        <v>1.415772500594329</v>
      </c>
      <c r="E978" s="6" t="n">
        <v>0.04000758952108359</v>
      </c>
      <c r="F978" s="6" t="n">
        <v>0.9185437189662378</v>
      </c>
      <c r="G978" s="5" t="n">
        <v>1</v>
      </c>
      <c r="H978" s="5" t="n">
        <v>0</v>
      </c>
      <c r="I978" s="5" t="n">
        <v>0</v>
      </c>
      <c r="J978" s="5" t="n">
        <v>0</v>
      </c>
      <c r="K978" s="5" t="n">
        <v>0</v>
      </c>
      <c r="L978" s="5" t="n">
        <v>0</v>
      </c>
      <c r="M978" s="5" t="n">
        <v>0</v>
      </c>
      <c r="N978" s="5" t="n">
        <v>0</v>
      </c>
      <c r="O978" s="5" t="n">
        <v>0</v>
      </c>
      <c r="P978" s="5" t="n">
        <v>1</v>
      </c>
      <c r="Q978" s="5" t="n">
        <v>0</v>
      </c>
      <c r="R978" s="5" t="n">
        <v>0</v>
      </c>
      <c r="S978" s="5" t="n">
        <v>0</v>
      </c>
      <c r="T978" s="5" t="n">
        <v>0</v>
      </c>
      <c r="U978" s="5" t="inlineStr">
        <is>
          <t>testing</t>
        </is>
      </c>
    </row>
    <row r="979">
      <c r="A979" s="5" t="n">
        <v>975</v>
      </c>
      <c r="B979" s="5" t="n">
        <v>0</v>
      </c>
      <c r="C979" s="6" t="n">
        <v>0.7809601085536261</v>
      </c>
      <c r="D979" s="6" t="n">
        <v>-0.1468484841836645</v>
      </c>
      <c r="E979" s="6" t="n">
        <v>-0.2209114725729393</v>
      </c>
      <c r="F979" s="6" t="n">
        <v>0.9185437189662378</v>
      </c>
      <c r="G979" s="5" t="n">
        <v>0</v>
      </c>
      <c r="H979" s="5" t="n">
        <v>0</v>
      </c>
      <c r="I979" s="5" t="n">
        <v>0</v>
      </c>
      <c r="J979" s="5" t="n">
        <v>1</v>
      </c>
      <c r="K979" s="5" t="n">
        <v>0</v>
      </c>
      <c r="L979" s="5" t="n">
        <v>0</v>
      </c>
      <c r="M979" s="5" t="n">
        <v>0</v>
      </c>
      <c r="N979" s="5" t="n">
        <v>0</v>
      </c>
      <c r="O979" s="5" t="n">
        <v>0</v>
      </c>
      <c r="P979" s="5" t="n">
        <v>0</v>
      </c>
      <c r="Q979" s="5" t="n">
        <v>0</v>
      </c>
      <c r="R979" s="5" t="n">
        <v>0</v>
      </c>
      <c r="S979" s="5" t="n">
        <v>1</v>
      </c>
      <c r="T979" s="5" t="n">
        <v>0</v>
      </c>
      <c r="U979" s="5" t="inlineStr">
        <is>
          <t>training</t>
        </is>
      </c>
    </row>
    <row r="980">
      <c r="A980" s="5" t="n">
        <v>976</v>
      </c>
      <c r="B980" s="5" t="n">
        <v>0</v>
      </c>
      <c r="C980" s="6" t="n">
        <v>0.275406400796963</v>
      </c>
      <c r="D980" s="6" t="n">
        <v>-0.6972297669995587</v>
      </c>
      <c r="E980" s="6" t="n">
        <v>1.866441024179244</v>
      </c>
      <c r="F980" s="6" t="n">
        <v>0.01674764143977723</v>
      </c>
      <c r="G980" s="5" t="n">
        <v>0</v>
      </c>
      <c r="H980" s="5" t="n">
        <v>0</v>
      </c>
      <c r="I980" s="5" t="n">
        <v>1</v>
      </c>
      <c r="J980" s="5" t="n">
        <v>0</v>
      </c>
      <c r="K980" s="5" t="n">
        <v>0</v>
      </c>
      <c r="L980" s="5" t="n">
        <v>0</v>
      </c>
      <c r="M980" s="5" t="n">
        <v>1</v>
      </c>
      <c r="N980" s="5" t="n">
        <v>0</v>
      </c>
      <c r="O980" s="5" t="n">
        <v>0</v>
      </c>
      <c r="P980" s="5" t="n">
        <v>0</v>
      </c>
      <c r="Q980" s="5" t="n">
        <v>0</v>
      </c>
      <c r="R980" s="5" t="n">
        <v>0</v>
      </c>
      <c r="S980" s="5" t="n">
        <v>1</v>
      </c>
      <c r="T980" s="5" t="n">
        <v>0</v>
      </c>
      <c r="U980" s="5" t="inlineStr">
        <is>
          <t>training</t>
        </is>
      </c>
    </row>
    <row r="981">
      <c r="A981" s="5" t="n">
        <v>977</v>
      </c>
      <c r="B981" s="5" t="n">
        <v>0</v>
      </c>
      <c r="C981" s="6" t="n">
        <v>-1.241254722473026</v>
      </c>
      <c r="D981" s="6" t="n">
        <v>-0.8739256015971598</v>
      </c>
      <c r="E981" s="6" t="n">
        <v>2.475252169065298</v>
      </c>
      <c r="F981" s="6" t="n">
        <v>-0.8850484360866833</v>
      </c>
      <c r="G981" s="5" t="n">
        <v>0</v>
      </c>
      <c r="H981" s="5" t="n">
        <v>1</v>
      </c>
      <c r="I981" s="5" t="n">
        <v>0</v>
      </c>
      <c r="J981" s="5" t="n">
        <v>0</v>
      </c>
      <c r="K981" s="5" t="n">
        <v>0</v>
      </c>
      <c r="L981" s="5" t="n">
        <v>0</v>
      </c>
      <c r="M981" s="5" t="n">
        <v>0</v>
      </c>
      <c r="N981" s="5" t="n">
        <v>0</v>
      </c>
      <c r="O981" s="5" t="n">
        <v>0</v>
      </c>
      <c r="P981" s="5" t="n">
        <v>0</v>
      </c>
      <c r="Q981" s="5" t="n">
        <v>0</v>
      </c>
      <c r="R981" s="5" t="n">
        <v>0</v>
      </c>
      <c r="S981" s="5" t="n">
        <v>1</v>
      </c>
      <c r="T981" s="5" t="n">
        <v>0</v>
      </c>
      <c r="U981" s="5" t="inlineStr">
        <is>
          <t>testing</t>
        </is>
      </c>
    </row>
    <row r="982">
      <c r="A982" s="5" t="n">
        <v>978</v>
      </c>
      <c r="B982" s="5" t="n">
        <v>0</v>
      </c>
      <c r="C982" s="6" t="n">
        <v>-0.2301473069597001</v>
      </c>
      <c r="D982" s="6" t="n">
        <v>-0.2882051518617454</v>
      </c>
      <c r="E982" s="6" t="n">
        <v>0.5618457137091294</v>
      </c>
      <c r="F982" s="6" t="n">
        <v>0.9185437189662378</v>
      </c>
      <c r="G982" s="5" t="n">
        <v>0</v>
      </c>
      <c r="H982" s="5" t="n">
        <v>1</v>
      </c>
      <c r="I982" s="5" t="n">
        <v>0</v>
      </c>
      <c r="J982" s="5" t="n">
        <v>0</v>
      </c>
      <c r="K982" s="5" t="n">
        <v>1</v>
      </c>
      <c r="L982" s="5" t="n">
        <v>0</v>
      </c>
      <c r="M982" s="5" t="n">
        <v>0</v>
      </c>
      <c r="N982" s="5" t="n">
        <v>0</v>
      </c>
      <c r="O982" s="5" t="n">
        <v>1</v>
      </c>
      <c r="P982" s="5" t="n">
        <v>0</v>
      </c>
      <c r="Q982" s="5" t="n">
        <v>0</v>
      </c>
      <c r="R982" s="5" t="n">
        <v>0</v>
      </c>
      <c r="S982" s="5" t="n">
        <v>0</v>
      </c>
      <c r="T982" s="5" t="n">
        <v>0</v>
      </c>
      <c r="U982" s="5" t="inlineStr">
        <is>
          <t>testing</t>
        </is>
      </c>
    </row>
    <row r="983">
      <c r="A983" s="5" t="n">
        <v>979</v>
      </c>
      <c r="B983" s="5" t="n">
        <v>1</v>
      </c>
      <c r="C983" s="6" t="n">
        <v>0.275406400796963</v>
      </c>
      <c r="D983" s="6" t="n">
        <v>-0.2493670575244509</v>
      </c>
      <c r="E983" s="6" t="n">
        <v>0.9967108171991675</v>
      </c>
      <c r="F983" s="6" t="n">
        <v>0.9185437189662378</v>
      </c>
      <c r="G983" s="5" t="n">
        <v>0</v>
      </c>
      <c r="H983" s="5" t="n">
        <v>0</v>
      </c>
      <c r="I983" s="5" t="n">
        <v>0</v>
      </c>
      <c r="J983" s="5" t="n">
        <v>0</v>
      </c>
      <c r="K983" s="5" t="n">
        <v>1</v>
      </c>
      <c r="L983" s="5" t="n">
        <v>0</v>
      </c>
      <c r="M983" s="5" t="n">
        <v>0</v>
      </c>
      <c r="N983" s="5" t="n">
        <v>0</v>
      </c>
      <c r="O983" s="5" t="n">
        <v>0</v>
      </c>
      <c r="P983" s="5" t="n">
        <v>0</v>
      </c>
      <c r="Q983" s="5" t="n">
        <v>0</v>
      </c>
      <c r="R983" s="5" t="n">
        <v>1</v>
      </c>
      <c r="S983" s="5" t="n">
        <v>0</v>
      </c>
      <c r="T983" s="5" t="n">
        <v>0</v>
      </c>
      <c r="U983" s="5" t="inlineStr">
        <is>
          <t>training</t>
        </is>
      </c>
    </row>
    <row r="984">
      <c r="A984" s="5" t="n">
        <v>980</v>
      </c>
      <c r="B984" s="5" t="n">
        <v>1</v>
      </c>
      <c r="C984" s="6" t="n">
        <v>-0.4829241608380317</v>
      </c>
      <c r="D984" s="6" t="n">
        <v>-0.6951304105488941</v>
      </c>
      <c r="E984" s="6" t="n">
        <v>-0.9166956381570004</v>
      </c>
      <c r="F984" s="6" t="n">
        <v>-0.8850484360866833</v>
      </c>
      <c r="G984" s="5" t="n">
        <v>0</v>
      </c>
      <c r="H984" s="5" t="n">
        <v>1</v>
      </c>
      <c r="I984" s="5" t="n">
        <v>0</v>
      </c>
      <c r="J984" s="5" t="n">
        <v>0</v>
      </c>
      <c r="K984" s="5" t="n">
        <v>0</v>
      </c>
      <c r="L984" s="5" t="n">
        <v>1</v>
      </c>
      <c r="M984" s="5" t="n">
        <v>1</v>
      </c>
      <c r="N984" s="5" t="n">
        <v>0</v>
      </c>
      <c r="O984" s="5" t="n">
        <v>0</v>
      </c>
      <c r="P984" s="5" t="n">
        <v>1</v>
      </c>
      <c r="Q984" s="5" t="n">
        <v>0</v>
      </c>
      <c r="R984" s="5" t="n">
        <v>1</v>
      </c>
      <c r="S984" s="5" t="n">
        <v>0</v>
      </c>
      <c r="T984" s="5" t="n">
        <v>0</v>
      </c>
      <c r="U984" s="5" t="inlineStr">
        <is>
          <t>training</t>
        </is>
      </c>
    </row>
    <row r="985">
      <c r="A985" s="5" t="n">
        <v>981</v>
      </c>
      <c r="B985" s="5" t="n">
        <v>1</v>
      </c>
      <c r="C985" s="6" t="n">
        <v>0.7809601085536261</v>
      </c>
      <c r="D985" s="6" t="n">
        <v>1.796805696389948</v>
      </c>
      <c r="E985" s="6" t="n">
        <v>1.170656858595183</v>
      </c>
      <c r="F985" s="6" t="n">
        <v>-0.8850484360866833</v>
      </c>
      <c r="G985" s="5" t="n">
        <v>0</v>
      </c>
      <c r="H985" s="5" t="n">
        <v>1</v>
      </c>
      <c r="I985" s="5" t="n">
        <v>0</v>
      </c>
      <c r="J985" s="5" t="n">
        <v>1</v>
      </c>
      <c r="K985" s="5" t="n">
        <v>0</v>
      </c>
      <c r="L985" s="5" t="n">
        <v>0</v>
      </c>
      <c r="M985" s="5" t="n">
        <v>0</v>
      </c>
      <c r="N985" s="5" t="n">
        <v>0</v>
      </c>
      <c r="O985" s="5" t="n">
        <v>0</v>
      </c>
      <c r="P985" s="5" t="n">
        <v>0</v>
      </c>
      <c r="Q985" s="5" t="n">
        <v>0</v>
      </c>
      <c r="R985" s="5" t="n">
        <v>0</v>
      </c>
      <c r="S985" s="5" t="n">
        <v>0</v>
      </c>
      <c r="T985" s="5" t="n">
        <v>1</v>
      </c>
      <c r="U985" s="5" t="inlineStr">
        <is>
          <t>training</t>
        </is>
      </c>
    </row>
    <row r="986">
      <c r="A986" s="5" t="n">
        <v>982</v>
      </c>
      <c r="B986" s="5" t="n">
        <v>1</v>
      </c>
      <c r="C986" s="6" t="n">
        <v>2.297621231823615</v>
      </c>
      <c r="D986" s="6" t="n">
        <v>0.5574856050142979</v>
      </c>
      <c r="E986" s="6" t="n">
        <v>-0.2209114725729393</v>
      </c>
      <c r="F986" s="6" t="n">
        <v>0.01674764143977723</v>
      </c>
      <c r="G986" s="5" t="n">
        <v>0</v>
      </c>
      <c r="H986" s="5" t="n">
        <v>0</v>
      </c>
      <c r="I986" s="5" t="n">
        <v>0</v>
      </c>
      <c r="J986" s="5" t="n">
        <v>0</v>
      </c>
      <c r="K986" s="5" t="n">
        <v>0</v>
      </c>
      <c r="L986" s="5" t="n">
        <v>0</v>
      </c>
      <c r="M986" s="5" t="n">
        <v>0</v>
      </c>
      <c r="N986" s="5" t="n">
        <v>0</v>
      </c>
      <c r="O986" s="5" t="n">
        <v>0</v>
      </c>
      <c r="P986" s="5" t="n">
        <v>1</v>
      </c>
      <c r="Q986" s="5" t="n">
        <v>0</v>
      </c>
      <c r="R986" s="5" t="n">
        <v>0</v>
      </c>
      <c r="S986" s="5" t="n">
        <v>0</v>
      </c>
      <c r="T986" s="5" t="n">
        <v>0</v>
      </c>
      <c r="U986" s="5" t="inlineStr">
        <is>
          <t>training</t>
        </is>
      </c>
    </row>
    <row r="987">
      <c r="A987" s="5" t="n">
        <v>983</v>
      </c>
      <c r="B987" s="5" t="n">
        <v>0</v>
      </c>
      <c r="C987" s="6" t="n">
        <v>0.02262954691863145</v>
      </c>
      <c r="D987" s="6" t="n">
        <v>-0.1146583519401412</v>
      </c>
      <c r="E987" s="6" t="n">
        <v>-0.6557765760629775</v>
      </c>
      <c r="F987" s="6" t="n">
        <v>-1.786844513613144</v>
      </c>
      <c r="G987" s="5" t="n">
        <v>0</v>
      </c>
      <c r="H987" s="5" t="n">
        <v>0</v>
      </c>
      <c r="I987" s="5" t="n">
        <v>1</v>
      </c>
      <c r="J987" s="5" t="n">
        <v>0</v>
      </c>
      <c r="K987" s="5" t="n">
        <v>0</v>
      </c>
      <c r="L987" s="5" t="n">
        <v>0</v>
      </c>
      <c r="M987" s="5" t="n">
        <v>1</v>
      </c>
      <c r="N987" s="5" t="n">
        <v>0</v>
      </c>
      <c r="O987" s="5" t="n">
        <v>0</v>
      </c>
      <c r="P987" s="5" t="n">
        <v>0</v>
      </c>
      <c r="Q987" s="5" t="n">
        <v>0</v>
      </c>
      <c r="R987" s="5" t="n">
        <v>1</v>
      </c>
      <c r="S987" s="5" t="n">
        <v>0</v>
      </c>
      <c r="T987" s="5" t="n">
        <v>0</v>
      </c>
      <c r="U987" s="5" t="inlineStr">
        <is>
          <t>training</t>
        </is>
      </c>
    </row>
    <row r="988">
      <c r="A988" s="5" t="n">
        <v>984</v>
      </c>
      <c r="B988" s="5" t="n">
        <v>1</v>
      </c>
      <c r="C988" s="6" t="n">
        <v>1.286513816310289</v>
      </c>
      <c r="D988" s="6" t="n">
        <v>1.741872535930892</v>
      </c>
      <c r="E988" s="6" t="n">
        <v>-0.8297226174589928</v>
      </c>
      <c r="F988" s="6" t="n">
        <v>-0.8850484360866833</v>
      </c>
      <c r="G988" s="5" t="n">
        <v>1</v>
      </c>
      <c r="H988" s="5" t="n">
        <v>0</v>
      </c>
      <c r="I988" s="5" t="n">
        <v>0</v>
      </c>
      <c r="J988" s="5" t="n">
        <v>0</v>
      </c>
      <c r="K988" s="5" t="n">
        <v>0</v>
      </c>
      <c r="L988" s="5" t="n">
        <v>0</v>
      </c>
      <c r="M988" s="5" t="n">
        <v>0</v>
      </c>
      <c r="N988" s="5" t="n">
        <v>0</v>
      </c>
      <c r="O988" s="5" t="n">
        <v>0</v>
      </c>
      <c r="P988" s="5" t="n">
        <v>0</v>
      </c>
      <c r="Q988" s="5" t="n">
        <v>0</v>
      </c>
      <c r="R988" s="5" t="n">
        <v>1</v>
      </c>
      <c r="S988" s="5" t="n">
        <v>0</v>
      </c>
      <c r="T988" s="5" t="n">
        <v>0</v>
      </c>
      <c r="U988" s="5" t="inlineStr">
        <is>
          <t>training</t>
        </is>
      </c>
    </row>
    <row r="989">
      <c r="A989" s="5" t="n">
        <v>985</v>
      </c>
      <c r="B989" s="5" t="n">
        <v>0</v>
      </c>
      <c r="C989" s="6" t="n">
        <v>0.275406400796963</v>
      </c>
      <c r="D989" s="6" t="n">
        <v>-0.4278123558309392</v>
      </c>
      <c r="E989" s="6" t="n">
        <v>-0.4818305346669622</v>
      </c>
      <c r="F989" s="6" t="n">
        <v>-0.8850484360866833</v>
      </c>
      <c r="G989" s="5" t="n">
        <v>0</v>
      </c>
      <c r="H989" s="5" t="n">
        <v>0</v>
      </c>
      <c r="I989" s="5" t="n">
        <v>0</v>
      </c>
      <c r="J989" s="5" t="n">
        <v>1</v>
      </c>
      <c r="K989" s="5" t="n">
        <v>0</v>
      </c>
      <c r="L989" s="5" t="n">
        <v>0</v>
      </c>
      <c r="M989" s="5" t="n">
        <v>0</v>
      </c>
      <c r="N989" s="5" t="n">
        <v>0</v>
      </c>
      <c r="O989" s="5" t="n">
        <v>0</v>
      </c>
      <c r="P989" s="5" t="n">
        <v>0</v>
      </c>
      <c r="Q989" s="5" t="n">
        <v>0</v>
      </c>
      <c r="R989" s="5" t="n">
        <v>0</v>
      </c>
      <c r="S989" s="5" t="n">
        <v>0</v>
      </c>
      <c r="T989" s="5" t="n">
        <v>1</v>
      </c>
      <c r="U989" s="5" t="inlineStr">
        <is>
          <t>testing</t>
        </is>
      </c>
    </row>
    <row r="990">
      <c r="A990" s="5" t="n">
        <v>986</v>
      </c>
      <c r="B990" s="5" t="n">
        <v>0</v>
      </c>
      <c r="C990" s="6" t="n">
        <v>-0.4829241608380317</v>
      </c>
      <c r="D990" s="6" t="n">
        <v>-0.6359985371885089</v>
      </c>
      <c r="E990" s="6" t="n">
        <v>-0.9166956381570004</v>
      </c>
      <c r="F990" s="6" t="n">
        <v>0.9185437189662378</v>
      </c>
      <c r="G990" s="5" t="n">
        <v>1</v>
      </c>
      <c r="H990" s="5" t="n">
        <v>0</v>
      </c>
      <c r="I990" s="5" t="n">
        <v>0</v>
      </c>
      <c r="J990" s="5" t="n">
        <v>1</v>
      </c>
      <c r="K990" s="5" t="n">
        <v>0</v>
      </c>
      <c r="L990" s="5" t="n">
        <v>0</v>
      </c>
      <c r="M990" s="5" t="n">
        <v>0</v>
      </c>
      <c r="N990" s="5" t="n">
        <v>0</v>
      </c>
      <c r="O990" s="5" t="n">
        <v>0</v>
      </c>
      <c r="P990" s="5" t="n">
        <v>1</v>
      </c>
      <c r="Q990" s="5" t="n">
        <v>0</v>
      </c>
      <c r="R990" s="5" t="n">
        <v>0</v>
      </c>
      <c r="S990" s="5" t="n">
        <v>0</v>
      </c>
      <c r="T990" s="5" t="n">
        <v>1</v>
      </c>
      <c r="U990" s="5" t="inlineStr">
        <is>
          <t>testing</t>
        </is>
      </c>
    </row>
    <row r="991">
      <c r="A991" s="5" t="n">
        <v>987</v>
      </c>
      <c r="B991" s="5" t="n">
        <v>0</v>
      </c>
      <c r="C991" s="6" t="n">
        <v>1.792067524066952</v>
      </c>
      <c r="D991" s="6" t="n">
        <v>1.063080616882681</v>
      </c>
      <c r="E991" s="6" t="n">
        <v>-0.2209114725729393</v>
      </c>
      <c r="F991" s="6" t="n">
        <v>-0.8850484360866833</v>
      </c>
      <c r="G991" s="5" t="n">
        <v>0</v>
      </c>
      <c r="H991" s="5" t="n">
        <v>0</v>
      </c>
      <c r="I991" s="5" t="n">
        <v>1</v>
      </c>
      <c r="J991" s="5" t="n">
        <v>0</v>
      </c>
      <c r="K991" s="5" t="n">
        <v>0</v>
      </c>
      <c r="L991" s="5" t="n">
        <v>1</v>
      </c>
      <c r="M991" s="5" t="n">
        <v>0</v>
      </c>
      <c r="N991" s="5" t="n">
        <v>0</v>
      </c>
      <c r="O991" s="5" t="n">
        <v>0</v>
      </c>
      <c r="P991" s="5" t="n">
        <v>0</v>
      </c>
      <c r="Q991" s="5" t="n">
        <v>0</v>
      </c>
      <c r="R991" s="5" t="n">
        <v>0</v>
      </c>
      <c r="S991" s="5" t="n">
        <v>0</v>
      </c>
      <c r="T991" s="5" t="n">
        <v>0</v>
      </c>
      <c r="U991" s="5" t="inlineStr">
        <is>
          <t>testing</t>
        </is>
      </c>
    </row>
    <row r="992">
      <c r="A992" s="5" t="n">
        <v>988</v>
      </c>
      <c r="B992" s="5" t="n">
        <v>0</v>
      </c>
      <c r="C992" s="6" t="n">
        <v>-0.651442063423586</v>
      </c>
      <c r="D992" s="6" t="n">
        <v>-0.6443959629911671</v>
      </c>
      <c r="E992" s="6" t="n">
        <v>2.475252169065298</v>
      </c>
      <c r="F992" s="6" t="n">
        <v>-0.8850484360866833</v>
      </c>
      <c r="G992" s="5" t="n">
        <v>0</v>
      </c>
      <c r="H992" s="5" t="n">
        <v>0</v>
      </c>
      <c r="I992" s="5" t="n">
        <v>0</v>
      </c>
      <c r="J992" s="5" t="n">
        <v>0</v>
      </c>
      <c r="K992" s="5" t="n">
        <v>0</v>
      </c>
      <c r="L992" s="5" t="n">
        <v>0</v>
      </c>
      <c r="M992" s="5" t="n">
        <v>1</v>
      </c>
      <c r="N992" s="5" t="n">
        <v>0</v>
      </c>
      <c r="O992" s="5" t="n">
        <v>0</v>
      </c>
      <c r="P992" s="5" t="n">
        <v>0</v>
      </c>
      <c r="Q992" s="5" t="n">
        <v>0</v>
      </c>
      <c r="R992" s="5" t="n">
        <v>0</v>
      </c>
      <c r="S992" s="5" t="n">
        <v>1</v>
      </c>
      <c r="T992" s="5" t="n">
        <v>0</v>
      </c>
      <c r="U992" s="5" t="inlineStr">
        <is>
          <t>training</t>
        </is>
      </c>
    </row>
    <row r="993">
      <c r="A993" s="5" t="n">
        <v>989</v>
      </c>
      <c r="B993" s="5" t="n">
        <v>0</v>
      </c>
      <c r="C993" s="6" t="n">
        <v>0.275406400796963</v>
      </c>
      <c r="D993" s="6" t="n">
        <v>1.164549511998136</v>
      </c>
      <c r="E993" s="6" t="n">
        <v>-0.5688035553649698</v>
      </c>
      <c r="F993" s="6" t="n">
        <v>0.9185437189662378</v>
      </c>
      <c r="G993" s="5" t="n">
        <v>1</v>
      </c>
      <c r="H993" s="5" t="n">
        <v>0</v>
      </c>
      <c r="I993" s="5" t="n">
        <v>0</v>
      </c>
      <c r="J993" s="5" t="n">
        <v>0</v>
      </c>
      <c r="K993" s="5" t="n">
        <v>0</v>
      </c>
      <c r="L993" s="5" t="n">
        <v>0</v>
      </c>
      <c r="M993" s="5" t="n">
        <v>0</v>
      </c>
      <c r="N993" s="5" t="n">
        <v>0</v>
      </c>
      <c r="O993" s="5" t="n">
        <v>0</v>
      </c>
      <c r="P993" s="5" t="n">
        <v>0</v>
      </c>
      <c r="Q993" s="5" t="n">
        <v>1</v>
      </c>
      <c r="R993" s="5" t="n">
        <v>1</v>
      </c>
      <c r="S993" s="5" t="n">
        <v>0</v>
      </c>
      <c r="T993" s="5" t="n">
        <v>0</v>
      </c>
      <c r="U993" s="5" t="inlineStr">
        <is>
          <t>testing</t>
        </is>
      </c>
    </row>
    <row r="994">
      <c r="A994" s="5" t="n">
        <v>990</v>
      </c>
      <c r="B994" s="5" t="n">
        <v>0</v>
      </c>
      <c r="C994" s="6" t="n">
        <v>0.275406400796963</v>
      </c>
      <c r="D994" s="6" t="n">
        <v>-0.5275317872375062</v>
      </c>
      <c r="E994" s="6" t="n">
        <v>1.083683837897175</v>
      </c>
      <c r="F994" s="6" t="n">
        <v>0.9185437189662378</v>
      </c>
      <c r="G994" s="5" t="n">
        <v>0</v>
      </c>
      <c r="H994" s="5" t="n">
        <v>1</v>
      </c>
      <c r="I994" s="5" t="n">
        <v>0</v>
      </c>
      <c r="J994" s="5" t="n">
        <v>1</v>
      </c>
      <c r="K994" s="5" t="n">
        <v>0</v>
      </c>
      <c r="L994" s="5" t="n">
        <v>0</v>
      </c>
      <c r="M994" s="5" t="n">
        <v>0</v>
      </c>
      <c r="N994" s="5" t="n">
        <v>0</v>
      </c>
      <c r="O994" s="5" t="n">
        <v>0</v>
      </c>
      <c r="P994" s="5" t="n">
        <v>0</v>
      </c>
      <c r="Q994" s="5" t="n">
        <v>0</v>
      </c>
      <c r="R994" s="5" t="n">
        <v>0</v>
      </c>
      <c r="S994" s="5" t="n">
        <v>1</v>
      </c>
      <c r="T994" s="5" t="n">
        <v>0</v>
      </c>
      <c r="U994" s="5" t="inlineStr">
        <is>
          <t>training</t>
        </is>
      </c>
    </row>
    <row r="995">
      <c r="A995" s="5" t="n">
        <v>991</v>
      </c>
      <c r="B995" s="5" t="n">
        <v>0</v>
      </c>
      <c r="C995" s="6" t="n">
        <v>-0.7357010147163632</v>
      </c>
      <c r="D995" s="6" t="n">
        <v>0.1099727882809676</v>
      </c>
      <c r="E995" s="6" t="n">
        <v>0.1269806102190912</v>
      </c>
      <c r="F995" s="6" t="n">
        <v>-0.8850484360866833</v>
      </c>
      <c r="G995" s="5" t="n">
        <v>0</v>
      </c>
      <c r="H995" s="5" t="n">
        <v>0</v>
      </c>
      <c r="I995" s="5" t="n">
        <v>0</v>
      </c>
      <c r="J995" s="5" t="n">
        <v>1</v>
      </c>
      <c r="K995" s="5" t="n">
        <v>0</v>
      </c>
      <c r="L995" s="5" t="n">
        <v>0</v>
      </c>
      <c r="M995" s="5" t="n">
        <v>0</v>
      </c>
      <c r="N995" s="5" t="n">
        <v>0</v>
      </c>
      <c r="O995" s="5" t="n">
        <v>1</v>
      </c>
      <c r="P995" s="5" t="n">
        <v>0</v>
      </c>
      <c r="Q995" s="5" t="n">
        <v>0</v>
      </c>
      <c r="R995" s="5" t="n">
        <v>0</v>
      </c>
      <c r="S995" s="5" t="n">
        <v>0</v>
      </c>
      <c r="T995" s="5" t="n">
        <v>0</v>
      </c>
      <c r="U995" s="5" t="inlineStr">
        <is>
          <t>training</t>
        </is>
      </c>
    </row>
    <row r="996">
      <c r="A996" s="5" t="n">
        <v>992</v>
      </c>
      <c r="B996" s="5" t="n">
        <v>0</v>
      </c>
      <c r="C996" s="6" t="n">
        <v>-0.4829241608380317</v>
      </c>
      <c r="D996" s="6" t="n">
        <v>-0.5884131243067786</v>
      </c>
      <c r="E996" s="6" t="n">
        <v>-0.1339384518749317</v>
      </c>
      <c r="F996" s="6" t="n">
        <v>0.9185437189662378</v>
      </c>
      <c r="G996" s="5" t="n">
        <v>0</v>
      </c>
      <c r="H996" s="5" t="n">
        <v>0</v>
      </c>
      <c r="I996" s="5" t="n">
        <v>0</v>
      </c>
      <c r="J996" s="5" t="n">
        <v>0</v>
      </c>
      <c r="K996" s="5" t="n">
        <v>0</v>
      </c>
      <c r="L996" s="5" t="n">
        <v>1</v>
      </c>
      <c r="M996" s="5" t="n">
        <v>1</v>
      </c>
      <c r="N996" s="5" t="n">
        <v>0</v>
      </c>
      <c r="O996" s="5" t="n">
        <v>0</v>
      </c>
      <c r="P996" s="5" t="n">
        <v>0</v>
      </c>
      <c r="Q996" s="5" t="n">
        <v>0</v>
      </c>
      <c r="R996" s="5" t="n">
        <v>0</v>
      </c>
      <c r="S996" s="5" t="n">
        <v>1</v>
      </c>
      <c r="T996" s="5" t="n">
        <v>0</v>
      </c>
      <c r="U996" s="5" t="inlineStr">
        <is>
          <t>training</t>
        </is>
      </c>
    </row>
    <row r="997">
      <c r="A997" s="5" t="n">
        <v>993</v>
      </c>
      <c r="B997" s="5" t="n">
        <v>0</v>
      </c>
      <c r="C997" s="6" t="n">
        <v>-0.2301473069597001</v>
      </c>
      <c r="D997" s="6" t="n">
        <v>-0.4600024880744625</v>
      </c>
      <c r="E997" s="6" t="n">
        <v>-1.090641679553016</v>
      </c>
      <c r="F997" s="6" t="n">
        <v>-0.8850484360866833</v>
      </c>
      <c r="G997" s="5" t="n">
        <v>1</v>
      </c>
      <c r="H997" s="5" t="n">
        <v>0</v>
      </c>
      <c r="I997" s="5" t="n">
        <v>0</v>
      </c>
      <c r="J997" s="5" t="n">
        <v>0</v>
      </c>
      <c r="K997" s="5" t="n">
        <v>0</v>
      </c>
      <c r="L997" s="5" t="n">
        <v>0</v>
      </c>
      <c r="M997" s="5" t="n">
        <v>0</v>
      </c>
      <c r="N997" s="5" t="n">
        <v>0</v>
      </c>
      <c r="O997" s="5" t="n">
        <v>1</v>
      </c>
      <c r="P997" s="5" t="n">
        <v>1</v>
      </c>
      <c r="Q997" s="5" t="n">
        <v>0</v>
      </c>
      <c r="R997" s="5" t="n">
        <v>0</v>
      </c>
      <c r="S997" s="5" t="n">
        <v>1</v>
      </c>
      <c r="T997" s="5" t="n">
        <v>0</v>
      </c>
      <c r="U997" s="5" t="inlineStr">
        <is>
          <t>testing</t>
        </is>
      </c>
    </row>
    <row r="998">
      <c r="A998" s="5" t="n">
        <v>994</v>
      </c>
      <c r="B998" s="5" t="n">
        <v>0</v>
      </c>
      <c r="C998" s="6" t="n">
        <v>1.286513816310289</v>
      </c>
      <c r="D998" s="6" t="n">
        <v>0.2478305285412742</v>
      </c>
      <c r="E998" s="6" t="n">
        <v>-0.4818305346669622</v>
      </c>
      <c r="F998" s="6" t="n">
        <v>0.9185437189662378</v>
      </c>
      <c r="G998" s="5" t="n">
        <v>1</v>
      </c>
      <c r="H998" s="5" t="n">
        <v>0</v>
      </c>
      <c r="I998" s="5" t="n">
        <v>0</v>
      </c>
      <c r="J998" s="5" t="n">
        <v>0</v>
      </c>
      <c r="K998" s="5" t="n">
        <v>0</v>
      </c>
      <c r="L998" s="5" t="n">
        <v>0</v>
      </c>
      <c r="M998" s="5" t="n">
        <v>0</v>
      </c>
      <c r="N998" s="5" t="n">
        <v>0</v>
      </c>
      <c r="O998" s="5" t="n">
        <v>0</v>
      </c>
      <c r="P998" s="5" t="n">
        <v>0</v>
      </c>
      <c r="Q998" s="5" t="n">
        <v>0</v>
      </c>
      <c r="R998" s="5" t="n">
        <v>0</v>
      </c>
      <c r="S998" s="5" t="n">
        <v>0</v>
      </c>
      <c r="T998" s="5" t="n">
        <v>1</v>
      </c>
      <c r="U998" s="5" t="inlineStr">
        <is>
          <t>training</t>
        </is>
      </c>
    </row>
    <row r="999">
      <c r="A999" s="5" t="n">
        <v>995</v>
      </c>
      <c r="B999" s="5" t="n">
        <v>0</v>
      </c>
      <c r="C999" s="6" t="n">
        <v>-0.7357010147163632</v>
      </c>
      <c r="D999" s="6" t="n">
        <v>-0.3011511833075103</v>
      </c>
      <c r="E999" s="6" t="n">
        <v>1.257629879293191</v>
      </c>
      <c r="F999" s="6" t="n">
        <v>0.9185437189662378</v>
      </c>
      <c r="G999" s="5" t="n">
        <v>0</v>
      </c>
      <c r="H999" s="5" t="n">
        <v>0</v>
      </c>
      <c r="I999" s="5" t="n">
        <v>0</v>
      </c>
      <c r="J999" s="5" t="n">
        <v>0</v>
      </c>
      <c r="K999" s="5" t="n">
        <v>0</v>
      </c>
      <c r="L999" s="5" t="n">
        <v>0</v>
      </c>
      <c r="M999" s="5" t="n">
        <v>0</v>
      </c>
      <c r="N999" s="5" t="n">
        <v>0</v>
      </c>
      <c r="O999" s="5" t="n">
        <v>1</v>
      </c>
      <c r="P999" s="5" t="n">
        <v>0</v>
      </c>
      <c r="Q999" s="5" t="n">
        <v>0</v>
      </c>
      <c r="R999" s="5" t="n">
        <v>1</v>
      </c>
      <c r="S999" s="5" t="n">
        <v>0</v>
      </c>
      <c r="T999" s="5" t="n">
        <v>0</v>
      </c>
      <c r="U999" s="5" t="inlineStr">
        <is>
          <t>training</t>
        </is>
      </c>
    </row>
    <row r="1000">
      <c r="A1000" s="5" t="n">
        <v>996</v>
      </c>
      <c r="B1000" s="5" t="n">
        <v>0</v>
      </c>
      <c r="C1000" s="6" t="n">
        <v>-0.7357010147163632</v>
      </c>
      <c r="D1000" s="6" t="n">
        <v>-0.5299810364299481</v>
      </c>
      <c r="E1000" s="6" t="n">
        <v>-0.3948575139689546</v>
      </c>
      <c r="F1000" s="6" t="n">
        <v>0.01674764143977723</v>
      </c>
      <c r="G1000" s="5" t="n">
        <v>0</v>
      </c>
      <c r="H1000" s="5" t="n">
        <v>0</v>
      </c>
      <c r="I1000" s="5" t="n">
        <v>0</v>
      </c>
      <c r="J1000" s="5" t="n">
        <v>0</v>
      </c>
      <c r="K1000" s="5" t="n">
        <v>0</v>
      </c>
      <c r="L1000" s="5" t="n">
        <v>0</v>
      </c>
      <c r="M1000" s="5" t="n">
        <v>0</v>
      </c>
      <c r="N1000" s="5" t="n">
        <v>0</v>
      </c>
      <c r="O1000" s="5" t="n">
        <v>0</v>
      </c>
      <c r="P1000" s="5" t="n">
        <v>0</v>
      </c>
      <c r="Q1000" s="5" t="n">
        <v>0</v>
      </c>
      <c r="R1000" s="5" t="n">
        <v>0</v>
      </c>
      <c r="S1000" s="5" t="n">
        <v>0</v>
      </c>
      <c r="T1000" s="5" t="n">
        <v>1</v>
      </c>
      <c r="U1000" s="5" t="inlineStr">
        <is>
          <t>training</t>
        </is>
      </c>
    </row>
    <row r="1001">
      <c r="A1001" s="5" t="n">
        <v>997</v>
      </c>
      <c r="B1001" s="5" t="n">
        <v>0</v>
      </c>
      <c r="C1001" s="6" t="n">
        <v>0.7809601085536261</v>
      </c>
      <c r="D1001" s="6" t="n">
        <v>0.2121414688799765</v>
      </c>
      <c r="E1001" s="6" t="n">
        <v>0.3878996723131141</v>
      </c>
      <c r="F1001" s="6" t="n">
        <v>0.9185437189662378</v>
      </c>
      <c r="G1001" s="5" t="n">
        <v>1</v>
      </c>
      <c r="H1001" s="5" t="n">
        <v>0</v>
      </c>
      <c r="I1001" s="5" t="n">
        <v>0</v>
      </c>
      <c r="J1001" s="5" t="n">
        <v>0</v>
      </c>
      <c r="K1001" s="5" t="n">
        <v>0</v>
      </c>
      <c r="L1001" s="5" t="n">
        <v>0</v>
      </c>
      <c r="M1001" s="5" t="n">
        <v>0</v>
      </c>
      <c r="N1001" s="5" t="n">
        <v>0</v>
      </c>
      <c r="O1001" s="5" t="n">
        <v>0</v>
      </c>
      <c r="P1001" s="5" t="n">
        <v>0</v>
      </c>
      <c r="Q1001" s="5" t="n">
        <v>0</v>
      </c>
      <c r="R1001" s="5" t="n">
        <v>1</v>
      </c>
      <c r="S1001" s="5" t="n">
        <v>0</v>
      </c>
      <c r="T1001" s="5" t="n">
        <v>0</v>
      </c>
      <c r="U1001" s="5" t="inlineStr">
        <is>
          <t>training</t>
        </is>
      </c>
    </row>
    <row r="1002">
      <c r="A1002" s="5" t="n">
        <v>998</v>
      </c>
      <c r="B1002" s="5" t="n">
        <v>0</v>
      </c>
      <c r="C1002" s="6" t="n">
        <v>-0.7357010147163632</v>
      </c>
      <c r="D1002" s="6" t="n">
        <v>-0.8560810717665109</v>
      </c>
      <c r="E1002" s="6" t="n">
        <v>0.2139536309170988</v>
      </c>
      <c r="F1002" s="6" t="n">
        <v>0.9185437189662378</v>
      </c>
      <c r="G1002" s="5" t="n">
        <v>0</v>
      </c>
      <c r="H1002" s="5" t="n">
        <v>0</v>
      </c>
      <c r="I1002" s="5" t="n">
        <v>0</v>
      </c>
      <c r="J1002" s="5" t="n">
        <v>0</v>
      </c>
      <c r="K1002" s="5" t="n">
        <v>0</v>
      </c>
      <c r="L1002" s="5" t="n">
        <v>0</v>
      </c>
      <c r="M1002" s="5" t="n">
        <v>0</v>
      </c>
      <c r="N1002" s="5" t="n">
        <v>0</v>
      </c>
      <c r="O1002" s="5" t="n">
        <v>0</v>
      </c>
      <c r="P1002" s="5" t="n">
        <v>0</v>
      </c>
      <c r="Q1002" s="5" t="n">
        <v>0</v>
      </c>
      <c r="R1002" s="5" t="n">
        <v>0</v>
      </c>
      <c r="S1002" s="5" t="n">
        <v>1</v>
      </c>
      <c r="T1002" s="5" t="n">
        <v>0</v>
      </c>
      <c r="U1002" s="5" t="inlineStr">
        <is>
          <t>testing</t>
        </is>
      </c>
    </row>
    <row r="1003">
      <c r="A1003" s="5" t="n">
        <v>999</v>
      </c>
      <c r="B1003" s="5" t="n">
        <v>1</v>
      </c>
      <c r="C1003" s="6" t="n">
        <v>2.044844377945284</v>
      </c>
      <c r="D1003" s="6" t="n">
        <v>-0.4918427275762085</v>
      </c>
      <c r="E1003" s="6" t="n">
        <v>-1.090641679553016</v>
      </c>
      <c r="F1003" s="6" t="n">
        <v>0.9185437189662378</v>
      </c>
      <c r="G1003" s="5" t="n">
        <v>1</v>
      </c>
      <c r="H1003" s="5" t="n">
        <v>0</v>
      </c>
      <c r="I1003" s="5" t="n">
        <v>0</v>
      </c>
      <c r="J1003" s="5" t="n">
        <v>0</v>
      </c>
      <c r="K1003" s="5" t="n">
        <v>0</v>
      </c>
      <c r="L1003" s="5" t="n">
        <v>0</v>
      </c>
      <c r="M1003" s="5" t="n">
        <v>0</v>
      </c>
      <c r="N1003" s="5" t="n">
        <v>0</v>
      </c>
      <c r="O1003" s="5" t="n">
        <v>0</v>
      </c>
      <c r="P1003" s="5" t="n">
        <v>0</v>
      </c>
      <c r="Q1003" s="5" t="n">
        <v>1</v>
      </c>
      <c r="R1003" s="5" t="n">
        <v>0</v>
      </c>
      <c r="S1003" s="5" t="n">
        <v>1</v>
      </c>
      <c r="T1003" s="5" t="n">
        <v>0</v>
      </c>
      <c r="U1003" s="5" t="inlineStr">
        <is>
          <t>training</t>
        </is>
      </c>
    </row>
    <row r="1004">
      <c r="A1004" s="5" t="n">
        <v>1000</v>
      </c>
      <c r="B1004" s="5" t="n">
        <v>0</v>
      </c>
      <c r="C1004" s="6" t="n">
        <v>2.044844377945284</v>
      </c>
      <c r="D1004" s="6" t="n">
        <v>0.4637143502179472</v>
      </c>
      <c r="E1004" s="6" t="n">
        <v>-0.7427495967609852</v>
      </c>
      <c r="F1004" s="6" t="n">
        <v>0.01674764143977723</v>
      </c>
      <c r="G1004" s="5" t="n">
        <v>0</v>
      </c>
      <c r="H1004" s="5" t="n">
        <v>1</v>
      </c>
      <c r="I1004" s="5" t="n">
        <v>0</v>
      </c>
      <c r="J1004" s="5" t="n">
        <v>1</v>
      </c>
      <c r="K1004" s="5" t="n">
        <v>0</v>
      </c>
      <c r="L1004" s="5" t="n">
        <v>0</v>
      </c>
      <c r="M1004" s="5" t="n">
        <v>1</v>
      </c>
      <c r="N1004" s="5" t="n">
        <v>0</v>
      </c>
      <c r="O1004" s="5" t="n">
        <v>0</v>
      </c>
      <c r="P1004" s="5" t="n">
        <v>0</v>
      </c>
      <c r="Q1004" s="5" t="n">
        <v>0</v>
      </c>
      <c r="R1004" s="5" t="n">
        <v>1</v>
      </c>
      <c r="S1004" s="5" t="n">
        <v>0</v>
      </c>
      <c r="T1004" s="5" t="n">
        <v>0</v>
      </c>
      <c r="U1004" s="5" t="inlineStr">
        <is>
          <t>training</t>
        </is>
      </c>
    </row>
  </sheetData>
  <mergeCells count="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18" customWidth="1" min="7" max="7"/>
    <col width="13" customWidth="1" min="8" max="8"/>
    <col width="10" customWidth="1" min="9" max="9"/>
    <col width="14" customWidth="1" min="10" max="10"/>
    <col width="13" customWidth="1" min="11" max="11"/>
    <col width="13" customWidth="1" min="12" max="12"/>
    <col width="18" customWidth="1" min="13" max="13"/>
    <col width="16" customWidth="1" min="14" max="14"/>
    <col width="18" customWidth="1" min="15" max="15"/>
    <col width="19" customWidth="1" min="16" max="16"/>
    <col width="18" customWidth="1" min="17" max="17"/>
    <col width="16" customWidth="1" min="18" max="18"/>
    <col width="15" customWidth="1" min="19" max="19"/>
    <col width="19" customWidth="1" min="20" max="20"/>
    <col width="18" customWidth="1" min="21" max="21"/>
    <col width="10" customWidth="1" min="22" max="22"/>
    <col width="14" customWidth="1" min="23" max="23"/>
    <col width="10" customWidth="1" min="24" max="24"/>
    <col width="11" customWidth="1" min="25" max="25"/>
    <col width="10" customWidth="1" min="26" max="26"/>
    <col width="52" customWidth="1" min="28" max="28"/>
    <col width="21" customWidth="1" min="29" max="29"/>
    <col width="27" customWidth="1" min="30" max="30"/>
    <col width="17" customWidth="1" min="31" max="31"/>
    <col width="24" customWidth="1" min="34" max="34"/>
    <col width="10" customWidth="1" min="35" max="35"/>
    <col width="11" customWidth="1" min="36" max="36"/>
    <col width="11" customWidth="1" min="37" max="37"/>
    <col width="10" customWidth="1" min="38" max="38"/>
  </cols>
  <sheetData>
    <row r="1">
      <c r="A1" s="3" t="inlineStr">
        <is>
          <t>Ridge (L2): cobrar por la suma de los cuadrados de los pesos</t>
        </is>
      </c>
    </row>
    <row r="2" ht="65" customHeight="1">
      <c r="A2" s="2" t="inlineStr">
        <is>
          <t>Ridge (L2). La función de costo pasa a ser J = Σ pérdidas + λ/2 · Σ theta², con la suma sobre los 18 pesos (el intercepto queda fuera). El término nuevo crece con el cuadrado de cada peso, así que castiga mucho a los pesos grandes y poco a los chicos: Solver los encoge a todos hacia cero, en proporción, pero ninguno llega exactamente a cero. λ dice cuánto cuesta el tamaño: con λ = 0 estamos en el Excel base; con λ = 300 casi todos los pesos son pequeños y el modelo predice cerca de la tasa base para todos.</t>
        </is>
      </c>
    </row>
    <row r="3" ht="65" customHeight="1">
      <c r="A3" s="2" t="inlineStr">
        <is>
          <t>Los pesos parten desde la solución sin regularizar (columna celeste), la referencia gris es la solución de scikit-learn para λ = 10, y las columnas amarillas son los theta² que suma la penalización. Corre Solver sobre J y compara los pesos con la referencia; después cambia λ y vuelve a correrlo. Mira la columna de pérdida promedio en testing: es lo que debería mejorar si hubiera sobreajuste, y en esta base casi no se mueve, porque con 700 filas y 18 variables el modelo sin regularizar no estaba sobreajustando mucho.</t>
        </is>
      </c>
    </row>
    <row r="4"/>
    <row r="5"/>
    <row r="6"/>
    <row r="7"/>
    <row r="8"/>
    <row r="9"/>
    <row r="10">
      <c r="AB10" s="3" t="inlineStr">
        <is>
          <t>Pesos (theta): parten de la solución sin regularizar del Excel base</t>
        </is>
      </c>
      <c r="AH10" s="3" t="inlineStr">
        <is>
          <t>EVALUACIÓN EN TESTING (con el umbral celeste)</t>
        </is>
      </c>
    </row>
    <row r="11">
      <c r="A11" s="4" t="inlineStr">
        <is>
          <t>id</t>
        </is>
      </c>
      <c r="B11" s="4" t="inlineStr">
        <is>
          <t>conjunto</t>
        </is>
      </c>
      <c r="C11" s="4" t="inlineStr">
        <is>
          <t>y</t>
        </is>
      </c>
      <c r="D11" s="4" t="inlineStr">
        <is>
          <t>duracion</t>
        </is>
      </c>
      <c r="E11" s="4" t="inlineStr">
        <is>
          <t>monto</t>
        </is>
      </c>
      <c r="F11" s="4" t="inlineStr">
        <is>
          <t>edad</t>
        </is>
      </c>
      <c r="G11" s="4" t="inlineStr">
        <is>
          <t>cuota_pct_ingreso</t>
        </is>
      </c>
      <c r="H11" s="4" t="inlineStr">
        <is>
          <t>cta_negativa</t>
        </is>
      </c>
      <c r="I11" s="4" t="inlineStr">
        <is>
          <t>cta_0_200</t>
        </is>
      </c>
      <c r="J11" s="4" t="inlineStr">
        <is>
          <t>cta_sobre_200</t>
        </is>
      </c>
      <c r="K11" s="4" t="inlineStr">
        <is>
          <t>hist_critico</t>
        </is>
      </c>
      <c r="L11" s="4" t="inlineStr">
        <is>
          <t>hist_atrasos</t>
        </is>
      </c>
      <c r="M11" s="4" t="inlineStr">
        <is>
          <t>hist_sin_creditos</t>
        </is>
      </c>
      <c r="N11" s="4" t="inlineStr">
        <is>
          <t>ahorro_100_1000</t>
        </is>
      </c>
      <c r="O11" s="4" t="inlineStr">
        <is>
          <t>ahorro_sobre_1000</t>
        </is>
      </c>
      <c r="P11" s="4" t="inlineStr">
        <is>
          <t>ahorro_desconocido</t>
        </is>
      </c>
      <c r="Q11" s="4" t="inlineStr">
        <is>
          <t>vivienda_arriendo</t>
        </is>
      </c>
      <c r="R11" s="4" t="inlineStr">
        <is>
          <t>vivienda_gratis</t>
        </is>
      </c>
      <c r="S11" s="4" t="inlineStr">
        <is>
          <t>proposito_auto</t>
        </is>
      </c>
      <c r="T11" s="4" t="inlineStr">
        <is>
          <t>proposito_radio_tv</t>
        </is>
      </c>
      <c r="U11" s="4" t="inlineStr">
        <is>
          <t>proposito_muebles</t>
        </is>
      </c>
      <c r="V11" s="4" t="inlineStr">
        <is>
          <t>Z (recta)</t>
        </is>
      </c>
      <c r="W11" s="4" t="inlineStr">
        <is>
          <t>p (logística)</t>
        </is>
      </c>
      <c r="X11" s="4" t="inlineStr">
        <is>
          <t>pérdida</t>
        </is>
      </c>
      <c r="Y11" s="4" t="inlineStr">
        <is>
          <t>predicción</t>
        </is>
      </c>
      <c r="Z11" s="4" t="inlineStr">
        <is>
          <t>acierto</t>
        </is>
      </c>
      <c r="AB11" s="4" t="inlineStr">
        <is>
          <t>variable</t>
        </is>
      </c>
      <c r="AC11" s="4" t="inlineStr">
        <is>
          <t>theta (celeste)</t>
        </is>
      </c>
      <c r="AD11" s="4" t="inlineStr">
        <is>
          <t>referencia scikit-learn, λ = 10</t>
        </is>
      </c>
      <c r="AE11" s="4" t="inlineStr">
        <is>
          <t>theta²</t>
        </is>
      </c>
    </row>
    <row r="12">
      <c r="A12">
        <f>'1 datos preparados'!A5</f>
        <v/>
      </c>
      <c r="B12" s="5">
        <f>'1 datos preparados'!U5</f>
        <v/>
      </c>
      <c r="C12">
        <f>'1 datos preparados'!B5</f>
        <v/>
      </c>
      <c r="D12" s="7">
        <f>'1 datos preparados'!C5</f>
        <v/>
      </c>
      <c r="E12" s="7">
        <f>'1 datos preparados'!D5</f>
        <v/>
      </c>
      <c r="F12" s="7">
        <f>'1 datos preparados'!E5</f>
        <v/>
      </c>
      <c r="G12" s="7">
        <f>'1 datos preparados'!F5</f>
        <v/>
      </c>
      <c r="H12" s="7">
        <f>'1 datos preparados'!G5</f>
        <v/>
      </c>
      <c r="I12" s="7">
        <f>'1 datos preparados'!H5</f>
        <v/>
      </c>
      <c r="J12" s="7">
        <f>'1 datos preparados'!I5</f>
        <v/>
      </c>
      <c r="K12" s="7">
        <f>'1 datos preparados'!J5</f>
        <v/>
      </c>
      <c r="L12" s="7">
        <f>'1 datos preparados'!K5</f>
        <v/>
      </c>
      <c r="M12" s="7">
        <f>'1 datos preparados'!L5</f>
        <v/>
      </c>
      <c r="N12" s="7">
        <f>'1 datos preparados'!M5</f>
        <v/>
      </c>
      <c r="O12" s="7">
        <f>'1 datos preparados'!N5</f>
        <v/>
      </c>
      <c r="P12" s="7">
        <f>'1 datos preparados'!O5</f>
        <v/>
      </c>
      <c r="Q12" s="7">
        <f>'1 datos preparados'!P5</f>
        <v/>
      </c>
      <c r="R12" s="7">
        <f>'1 datos preparados'!Q5</f>
        <v/>
      </c>
      <c r="S12" s="7">
        <f>'1 datos preparados'!R5</f>
        <v/>
      </c>
      <c r="T12" s="7">
        <f>'1 datos preparados'!S5</f>
        <v/>
      </c>
      <c r="U12" s="7">
        <f>'1 datos preparados'!T5</f>
        <v/>
      </c>
      <c r="V12" s="8">
        <f>$AC$12+D12*$AC$13+E12*$AC$14+F12*$AC$15+G12*$AC$16+H12*$AC$17+I12*$AC$18+J12*$AC$19+K12*$AC$20+L12*$AC$21+M12*$AC$22+N12*$AC$23+O12*$AC$24+P12*$AC$25+Q12*$AC$26+R12*$AC$27+S12*$AC$28+T12*$AC$29+U12*$AC$30</f>
        <v/>
      </c>
      <c r="W12" s="8">
        <f>1/(1+EXP(-V12))</f>
        <v/>
      </c>
      <c r="X12" s="9">
        <f>-IF(C12=1,LN(W12),LN(1-W12))</f>
        <v/>
      </c>
      <c r="Y12" s="10">
        <f>IF(W12&gt;$AC$33,1,0)</f>
        <v/>
      </c>
      <c r="Z12">
        <f>IF(Y12=C12,1,0)</f>
        <v/>
      </c>
      <c r="AB12" t="inlineStr">
        <is>
          <t>intercepto</t>
        </is>
      </c>
      <c r="AC12" s="11" t="n">
        <v>-1.341270962110326</v>
      </c>
      <c r="AD12" s="12" t="n">
        <v>-1.128786203267687</v>
      </c>
      <c r="AE12" t="inlineStr">
        <is>
          <t>(no se penaliza)</t>
        </is>
      </c>
    </row>
    <row r="13">
      <c r="A13">
        <f>'1 datos preparados'!A6</f>
        <v/>
      </c>
      <c r="B13" s="5">
        <f>'1 datos preparados'!U6</f>
        <v/>
      </c>
      <c r="C13">
        <f>'1 datos preparados'!B6</f>
        <v/>
      </c>
      <c r="D13" s="7">
        <f>'1 datos preparados'!C6</f>
        <v/>
      </c>
      <c r="E13" s="7">
        <f>'1 datos preparados'!D6</f>
        <v/>
      </c>
      <c r="F13" s="7">
        <f>'1 datos preparados'!E6</f>
        <v/>
      </c>
      <c r="G13" s="7">
        <f>'1 datos preparados'!F6</f>
        <v/>
      </c>
      <c r="H13" s="7">
        <f>'1 datos preparados'!G6</f>
        <v/>
      </c>
      <c r="I13" s="7">
        <f>'1 datos preparados'!H6</f>
        <v/>
      </c>
      <c r="J13" s="7">
        <f>'1 datos preparados'!I6</f>
        <v/>
      </c>
      <c r="K13" s="7">
        <f>'1 datos preparados'!J6</f>
        <v/>
      </c>
      <c r="L13" s="7">
        <f>'1 datos preparados'!K6</f>
        <v/>
      </c>
      <c r="M13" s="7">
        <f>'1 datos preparados'!L6</f>
        <v/>
      </c>
      <c r="N13" s="7">
        <f>'1 datos preparados'!M6</f>
        <v/>
      </c>
      <c r="O13" s="7">
        <f>'1 datos preparados'!N6</f>
        <v/>
      </c>
      <c r="P13" s="7">
        <f>'1 datos preparados'!O6</f>
        <v/>
      </c>
      <c r="Q13" s="7">
        <f>'1 datos preparados'!P6</f>
        <v/>
      </c>
      <c r="R13" s="7">
        <f>'1 datos preparados'!Q6</f>
        <v/>
      </c>
      <c r="S13" s="7">
        <f>'1 datos preparados'!R6</f>
        <v/>
      </c>
      <c r="T13" s="7">
        <f>'1 datos preparados'!S6</f>
        <v/>
      </c>
      <c r="U13" s="7">
        <f>'1 datos preparados'!T6</f>
        <v/>
      </c>
      <c r="V13" s="8">
        <f>$AC$12+D13*$AC$13+E13*$AC$14+F13*$AC$15+G13*$AC$16+H13*$AC$17+I13*$AC$18+J13*$AC$19+K13*$AC$20+L13*$AC$21+M13*$AC$22+N13*$AC$23+O13*$AC$24+P13*$AC$25+Q13*$AC$26+R13*$AC$27+S13*$AC$28+T13*$AC$29+U13*$AC$30</f>
        <v/>
      </c>
      <c r="W13" s="8">
        <f>1/(1+EXP(-V13))</f>
        <v/>
      </c>
      <c r="X13" s="9">
        <f>-IF(C13=1,LN(W13),LN(1-W13))</f>
        <v/>
      </c>
      <c r="Y13" s="10">
        <f>IF(W13&gt;$AC$33,1,0)</f>
        <v/>
      </c>
      <c r="Z13">
        <f>IF(Y13=C13,1,0)</f>
        <v/>
      </c>
      <c r="AB13" t="inlineStr">
        <is>
          <t>duracion</t>
        </is>
      </c>
      <c r="AC13" s="11" t="n">
        <v>0.3247012549391071</v>
      </c>
      <c r="AD13" s="12" t="n">
        <v>0.2893487245227952</v>
      </c>
      <c r="AE13" s="9">
        <f>AC13^2</f>
        <v/>
      </c>
      <c r="AJ13" s="3" t="inlineStr">
        <is>
          <t>predicho 0</t>
        </is>
      </c>
      <c r="AK13" s="3" t="inlineStr">
        <is>
          <t>predicho 1</t>
        </is>
      </c>
      <c r="AL13" s="3" t="inlineStr">
        <is>
          <t>total</t>
        </is>
      </c>
    </row>
    <row r="14">
      <c r="A14">
        <f>'1 datos preparados'!A7</f>
        <v/>
      </c>
      <c r="B14" s="5">
        <f>'1 datos preparados'!U7</f>
        <v/>
      </c>
      <c r="C14">
        <f>'1 datos preparados'!B7</f>
        <v/>
      </c>
      <c r="D14" s="7">
        <f>'1 datos preparados'!C7</f>
        <v/>
      </c>
      <c r="E14" s="7">
        <f>'1 datos preparados'!D7</f>
        <v/>
      </c>
      <c r="F14" s="7">
        <f>'1 datos preparados'!E7</f>
        <v/>
      </c>
      <c r="G14" s="7">
        <f>'1 datos preparados'!F7</f>
        <v/>
      </c>
      <c r="H14" s="7">
        <f>'1 datos preparados'!G7</f>
        <v/>
      </c>
      <c r="I14" s="7">
        <f>'1 datos preparados'!H7</f>
        <v/>
      </c>
      <c r="J14" s="7">
        <f>'1 datos preparados'!I7</f>
        <v/>
      </c>
      <c r="K14" s="7">
        <f>'1 datos preparados'!J7</f>
        <v/>
      </c>
      <c r="L14" s="7">
        <f>'1 datos preparados'!K7</f>
        <v/>
      </c>
      <c r="M14" s="7">
        <f>'1 datos preparados'!L7</f>
        <v/>
      </c>
      <c r="N14" s="7">
        <f>'1 datos preparados'!M7</f>
        <v/>
      </c>
      <c r="O14" s="7">
        <f>'1 datos preparados'!N7</f>
        <v/>
      </c>
      <c r="P14" s="7">
        <f>'1 datos preparados'!O7</f>
        <v/>
      </c>
      <c r="Q14" s="7">
        <f>'1 datos preparados'!P7</f>
        <v/>
      </c>
      <c r="R14" s="7">
        <f>'1 datos preparados'!Q7</f>
        <v/>
      </c>
      <c r="S14" s="7">
        <f>'1 datos preparados'!R7</f>
        <v/>
      </c>
      <c r="T14" s="7">
        <f>'1 datos preparados'!S7</f>
        <v/>
      </c>
      <c r="U14" s="7">
        <f>'1 datos preparados'!T7</f>
        <v/>
      </c>
      <c r="V14" s="8">
        <f>$AC$12+D14*$AC$13+E14*$AC$14+F14*$AC$15+G14*$AC$16+H14*$AC$17+I14*$AC$18+J14*$AC$19+K14*$AC$20+L14*$AC$21+M14*$AC$22+N14*$AC$23+O14*$AC$24+P14*$AC$25+Q14*$AC$26+R14*$AC$27+S14*$AC$28+T14*$AC$29+U14*$AC$30</f>
        <v/>
      </c>
      <c r="W14" s="8">
        <f>1/(1+EXP(-V14))</f>
        <v/>
      </c>
      <c r="X14" s="9">
        <f>-IF(C14=1,LN(W14),LN(1-W14))</f>
        <v/>
      </c>
      <c r="Y14" s="10">
        <f>IF(W14&gt;$AC$33,1,0)</f>
        <v/>
      </c>
      <c r="Z14">
        <f>IF(Y14=C14,1,0)</f>
        <v/>
      </c>
      <c r="AB14" t="inlineStr">
        <is>
          <t>monto</t>
        </is>
      </c>
      <c r="AC14" s="11" t="n">
        <v>0.1163535941884676</v>
      </c>
      <c r="AD14" s="12" t="n">
        <v>0.1017915684909901</v>
      </c>
      <c r="AE14" s="9">
        <f>AC14^2</f>
        <v/>
      </c>
      <c r="AH14" s="3" t="inlineStr">
        <is>
          <t>real 0 (buen pagador)</t>
        </is>
      </c>
      <c r="AI14" t="inlineStr">
        <is>
          <t>TN | FP</t>
        </is>
      </c>
      <c r="AJ14" s="13">
        <f>COUNTIFS($B$12:$B$1011,"testing",$C$12:$C$1011,0,$Y$12:$Y$1011,0)</f>
        <v/>
      </c>
      <c r="AK14" s="13">
        <f>COUNTIFS($B$12:$B$1011,"testing",$C$12:$C$1011,0,$Y$12:$Y$1011,1)</f>
        <v/>
      </c>
      <c r="AL14">
        <f>AJ14+AK14</f>
        <v/>
      </c>
    </row>
    <row r="15">
      <c r="A15">
        <f>'1 datos preparados'!A8</f>
        <v/>
      </c>
      <c r="B15" s="5">
        <f>'1 datos preparados'!U8</f>
        <v/>
      </c>
      <c r="C15">
        <f>'1 datos preparados'!B8</f>
        <v/>
      </c>
      <c r="D15" s="7">
        <f>'1 datos preparados'!C8</f>
        <v/>
      </c>
      <c r="E15" s="7">
        <f>'1 datos preparados'!D8</f>
        <v/>
      </c>
      <c r="F15" s="7">
        <f>'1 datos preparados'!E8</f>
        <v/>
      </c>
      <c r="G15" s="7">
        <f>'1 datos preparados'!F8</f>
        <v/>
      </c>
      <c r="H15" s="7">
        <f>'1 datos preparados'!G8</f>
        <v/>
      </c>
      <c r="I15" s="7">
        <f>'1 datos preparados'!H8</f>
        <v/>
      </c>
      <c r="J15" s="7">
        <f>'1 datos preparados'!I8</f>
        <v/>
      </c>
      <c r="K15" s="7">
        <f>'1 datos preparados'!J8</f>
        <v/>
      </c>
      <c r="L15" s="7">
        <f>'1 datos preparados'!K8</f>
        <v/>
      </c>
      <c r="M15" s="7">
        <f>'1 datos preparados'!L8</f>
        <v/>
      </c>
      <c r="N15" s="7">
        <f>'1 datos preparados'!M8</f>
        <v/>
      </c>
      <c r="O15" s="7">
        <f>'1 datos preparados'!N8</f>
        <v/>
      </c>
      <c r="P15" s="7">
        <f>'1 datos preparados'!O8</f>
        <v/>
      </c>
      <c r="Q15" s="7">
        <f>'1 datos preparados'!P8</f>
        <v/>
      </c>
      <c r="R15" s="7">
        <f>'1 datos preparados'!Q8</f>
        <v/>
      </c>
      <c r="S15" s="7">
        <f>'1 datos preparados'!R8</f>
        <v/>
      </c>
      <c r="T15" s="7">
        <f>'1 datos preparados'!S8</f>
        <v/>
      </c>
      <c r="U15" s="7">
        <f>'1 datos preparados'!T8</f>
        <v/>
      </c>
      <c r="V15" s="8">
        <f>$AC$12+D15*$AC$13+E15*$AC$14+F15*$AC$15+G15*$AC$16+H15*$AC$17+I15*$AC$18+J15*$AC$19+K15*$AC$20+L15*$AC$21+M15*$AC$22+N15*$AC$23+O15*$AC$24+P15*$AC$25+Q15*$AC$26+R15*$AC$27+S15*$AC$28+T15*$AC$29+U15*$AC$30</f>
        <v/>
      </c>
      <c r="W15" s="8">
        <f>1/(1+EXP(-V15))</f>
        <v/>
      </c>
      <c r="X15" s="9">
        <f>-IF(C15=1,LN(W15),LN(1-W15))</f>
        <v/>
      </c>
      <c r="Y15" s="10">
        <f>IF(W15&gt;$AC$33,1,0)</f>
        <v/>
      </c>
      <c r="Z15">
        <f>IF(Y15=C15,1,0)</f>
        <v/>
      </c>
      <c r="AB15" t="inlineStr">
        <is>
          <t>edad</t>
        </is>
      </c>
      <c r="AC15" s="11" t="n">
        <v>-0.09914522482627074</v>
      </c>
      <c r="AD15" s="12" t="n">
        <v>-0.1153217704738348</v>
      </c>
      <c r="AE15" s="9">
        <f>AC15^2</f>
        <v/>
      </c>
      <c r="AH15" s="3" t="inlineStr">
        <is>
          <t>real 1 (mal pagador)</t>
        </is>
      </c>
      <c r="AI15" t="inlineStr">
        <is>
          <t>FN | TP</t>
        </is>
      </c>
      <c r="AJ15" s="13">
        <f>COUNTIFS($B$12:$B$1011,"testing",$C$12:$C$1011,1,$Y$12:$Y$1011,0)</f>
        <v/>
      </c>
      <c r="AK15" s="13">
        <f>COUNTIFS($B$12:$B$1011,"testing",$C$12:$C$1011,1,$Y$12:$Y$1011,1)</f>
        <v/>
      </c>
      <c r="AL15">
        <f>AJ15+AK15</f>
        <v/>
      </c>
    </row>
    <row r="16">
      <c r="A16">
        <f>'1 datos preparados'!A9</f>
        <v/>
      </c>
      <c r="B16" s="5">
        <f>'1 datos preparados'!U9</f>
        <v/>
      </c>
      <c r="C16">
        <f>'1 datos preparados'!B9</f>
        <v/>
      </c>
      <c r="D16" s="7">
        <f>'1 datos preparados'!C9</f>
        <v/>
      </c>
      <c r="E16" s="7">
        <f>'1 datos preparados'!D9</f>
        <v/>
      </c>
      <c r="F16" s="7">
        <f>'1 datos preparados'!E9</f>
        <v/>
      </c>
      <c r="G16" s="7">
        <f>'1 datos preparados'!F9</f>
        <v/>
      </c>
      <c r="H16" s="7">
        <f>'1 datos preparados'!G9</f>
        <v/>
      </c>
      <c r="I16" s="7">
        <f>'1 datos preparados'!H9</f>
        <v/>
      </c>
      <c r="J16" s="7">
        <f>'1 datos preparados'!I9</f>
        <v/>
      </c>
      <c r="K16" s="7">
        <f>'1 datos preparados'!J9</f>
        <v/>
      </c>
      <c r="L16" s="7">
        <f>'1 datos preparados'!K9</f>
        <v/>
      </c>
      <c r="M16" s="7">
        <f>'1 datos preparados'!L9</f>
        <v/>
      </c>
      <c r="N16" s="7">
        <f>'1 datos preparados'!M9</f>
        <v/>
      </c>
      <c r="O16" s="7">
        <f>'1 datos preparados'!N9</f>
        <v/>
      </c>
      <c r="P16" s="7">
        <f>'1 datos preparados'!O9</f>
        <v/>
      </c>
      <c r="Q16" s="7">
        <f>'1 datos preparados'!P9</f>
        <v/>
      </c>
      <c r="R16" s="7">
        <f>'1 datos preparados'!Q9</f>
        <v/>
      </c>
      <c r="S16" s="7">
        <f>'1 datos preparados'!R9</f>
        <v/>
      </c>
      <c r="T16" s="7">
        <f>'1 datos preparados'!S9</f>
        <v/>
      </c>
      <c r="U16" s="7">
        <f>'1 datos preparados'!T9</f>
        <v/>
      </c>
      <c r="V16" s="8">
        <f>$AC$12+D16*$AC$13+E16*$AC$14+F16*$AC$15+G16*$AC$16+H16*$AC$17+I16*$AC$18+J16*$AC$19+K16*$AC$20+L16*$AC$21+M16*$AC$22+N16*$AC$23+O16*$AC$24+P16*$AC$25+Q16*$AC$26+R16*$AC$27+S16*$AC$28+T16*$AC$29+U16*$AC$30</f>
        <v/>
      </c>
      <c r="W16" s="8">
        <f>1/(1+EXP(-V16))</f>
        <v/>
      </c>
      <c r="X16" s="9">
        <f>-IF(C16=1,LN(W16),LN(1-W16))</f>
        <v/>
      </c>
      <c r="Y16" s="10">
        <f>IF(W16&gt;$AC$33,1,0)</f>
        <v/>
      </c>
      <c r="Z16">
        <f>IF(Y16=C16,1,0)</f>
        <v/>
      </c>
      <c r="AB16" t="inlineStr">
        <is>
          <t>cuota_pct_ingreso</t>
        </is>
      </c>
      <c r="AC16" s="11" t="n">
        <v>0.2872157655933926</v>
      </c>
      <c r="AD16" s="12" t="n">
        <v>0.2222288724906683</v>
      </c>
      <c r="AE16" s="9">
        <f>AC16^2</f>
        <v/>
      </c>
      <c r="AH16" s="3" t="inlineStr">
        <is>
          <t>total</t>
        </is>
      </c>
      <c r="AJ16">
        <f>AJ14+AJ15</f>
        <v/>
      </c>
      <c r="AK16">
        <f>AK14+AK15</f>
        <v/>
      </c>
      <c r="AL16">
        <f>AL14+AL15</f>
        <v/>
      </c>
    </row>
    <row r="17">
      <c r="A17">
        <f>'1 datos preparados'!A10</f>
        <v/>
      </c>
      <c r="B17" s="5">
        <f>'1 datos preparados'!U10</f>
        <v/>
      </c>
      <c r="C17">
        <f>'1 datos preparados'!B10</f>
        <v/>
      </c>
      <c r="D17" s="7">
        <f>'1 datos preparados'!C10</f>
        <v/>
      </c>
      <c r="E17" s="7">
        <f>'1 datos preparados'!D10</f>
        <v/>
      </c>
      <c r="F17" s="7">
        <f>'1 datos preparados'!E10</f>
        <v/>
      </c>
      <c r="G17" s="7">
        <f>'1 datos preparados'!F10</f>
        <v/>
      </c>
      <c r="H17" s="7">
        <f>'1 datos preparados'!G10</f>
        <v/>
      </c>
      <c r="I17" s="7">
        <f>'1 datos preparados'!H10</f>
        <v/>
      </c>
      <c r="J17" s="7">
        <f>'1 datos preparados'!I10</f>
        <v/>
      </c>
      <c r="K17" s="7">
        <f>'1 datos preparados'!J10</f>
        <v/>
      </c>
      <c r="L17" s="7">
        <f>'1 datos preparados'!K10</f>
        <v/>
      </c>
      <c r="M17" s="7">
        <f>'1 datos preparados'!L10</f>
        <v/>
      </c>
      <c r="N17" s="7">
        <f>'1 datos preparados'!M10</f>
        <v/>
      </c>
      <c r="O17" s="7">
        <f>'1 datos preparados'!N10</f>
        <v/>
      </c>
      <c r="P17" s="7">
        <f>'1 datos preparados'!O10</f>
        <v/>
      </c>
      <c r="Q17" s="7">
        <f>'1 datos preparados'!P10</f>
        <v/>
      </c>
      <c r="R17" s="7">
        <f>'1 datos preparados'!Q10</f>
        <v/>
      </c>
      <c r="S17" s="7">
        <f>'1 datos preparados'!R10</f>
        <v/>
      </c>
      <c r="T17" s="7">
        <f>'1 datos preparados'!S10</f>
        <v/>
      </c>
      <c r="U17" s="7">
        <f>'1 datos preparados'!T10</f>
        <v/>
      </c>
      <c r="V17" s="8">
        <f>$AC$12+D17*$AC$13+E17*$AC$14+F17*$AC$15+G17*$AC$16+H17*$AC$17+I17*$AC$18+J17*$AC$19+K17*$AC$20+L17*$AC$21+M17*$AC$22+N17*$AC$23+O17*$AC$24+P17*$AC$25+Q17*$AC$26+R17*$AC$27+S17*$AC$28+T17*$AC$29+U17*$AC$30</f>
        <v/>
      </c>
      <c r="W17" s="8">
        <f>1/(1+EXP(-V17))</f>
        <v/>
      </c>
      <c r="X17" s="9">
        <f>-IF(C17=1,LN(W17),LN(1-W17))</f>
        <v/>
      </c>
      <c r="Y17" s="10">
        <f>IF(W17&gt;$AC$33,1,0)</f>
        <v/>
      </c>
      <c r="Z17">
        <f>IF(Y17=C17,1,0)</f>
        <v/>
      </c>
      <c r="AB17" t="inlineStr">
        <is>
          <t>cta_negativa</t>
        </is>
      </c>
      <c r="AC17" s="11" t="n">
        <v>1.546402670396991</v>
      </c>
      <c r="AD17" s="12" t="n">
        <v>0.9201763494787585</v>
      </c>
      <c r="AE17" s="9">
        <f>AC17^2</f>
        <v/>
      </c>
    </row>
    <row r="18">
      <c r="A18">
        <f>'1 datos preparados'!A11</f>
        <v/>
      </c>
      <c r="B18" s="5">
        <f>'1 datos preparados'!U11</f>
        <v/>
      </c>
      <c r="C18">
        <f>'1 datos preparados'!B11</f>
        <v/>
      </c>
      <c r="D18" s="7">
        <f>'1 datos preparados'!C11</f>
        <v/>
      </c>
      <c r="E18" s="7">
        <f>'1 datos preparados'!D11</f>
        <v/>
      </c>
      <c r="F18" s="7">
        <f>'1 datos preparados'!E11</f>
        <v/>
      </c>
      <c r="G18" s="7">
        <f>'1 datos preparados'!F11</f>
        <v/>
      </c>
      <c r="H18" s="7">
        <f>'1 datos preparados'!G11</f>
        <v/>
      </c>
      <c r="I18" s="7">
        <f>'1 datos preparados'!H11</f>
        <v/>
      </c>
      <c r="J18" s="7">
        <f>'1 datos preparados'!I11</f>
        <v/>
      </c>
      <c r="K18" s="7">
        <f>'1 datos preparados'!J11</f>
        <v/>
      </c>
      <c r="L18" s="7">
        <f>'1 datos preparados'!K11</f>
        <v/>
      </c>
      <c r="M18" s="7">
        <f>'1 datos preparados'!L11</f>
        <v/>
      </c>
      <c r="N18" s="7">
        <f>'1 datos preparados'!M11</f>
        <v/>
      </c>
      <c r="O18" s="7">
        <f>'1 datos preparados'!N11</f>
        <v/>
      </c>
      <c r="P18" s="7">
        <f>'1 datos preparados'!O11</f>
        <v/>
      </c>
      <c r="Q18" s="7">
        <f>'1 datos preparados'!P11</f>
        <v/>
      </c>
      <c r="R18" s="7">
        <f>'1 datos preparados'!Q11</f>
        <v/>
      </c>
      <c r="S18" s="7">
        <f>'1 datos preparados'!R11</f>
        <v/>
      </c>
      <c r="T18" s="7">
        <f>'1 datos preparados'!S11</f>
        <v/>
      </c>
      <c r="U18" s="7">
        <f>'1 datos preparados'!T11</f>
        <v/>
      </c>
      <c r="V18" s="8">
        <f>$AC$12+D18*$AC$13+E18*$AC$14+F18*$AC$15+G18*$AC$16+H18*$AC$17+I18*$AC$18+J18*$AC$19+K18*$AC$20+L18*$AC$21+M18*$AC$22+N18*$AC$23+O18*$AC$24+P18*$AC$25+Q18*$AC$26+R18*$AC$27+S18*$AC$28+T18*$AC$29+U18*$AC$30</f>
        <v/>
      </c>
      <c r="W18" s="8">
        <f>1/(1+EXP(-V18))</f>
        <v/>
      </c>
      <c r="X18" s="9">
        <f>-IF(C18=1,LN(W18),LN(1-W18))</f>
        <v/>
      </c>
      <c r="Y18" s="10">
        <f>IF(W18&gt;$AC$33,1,0)</f>
        <v/>
      </c>
      <c r="Z18">
        <f>IF(Y18=C18,1,0)</f>
        <v/>
      </c>
      <c r="AB18" t="inlineStr">
        <is>
          <t>cta_0_200</t>
        </is>
      </c>
      <c r="AC18" s="11" t="n">
        <v>1.294997779791349</v>
      </c>
      <c r="AD18" s="12" t="n">
        <v>0.6915874744714144</v>
      </c>
      <c r="AE18" s="9">
        <f>AC18^2</f>
        <v/>
      </c>
      <c r="AH18" s="4" t="inlineStr"/>
      <c r="AI18" s="4" t="inlineStr">
        <is>
          <t>precision</t>
        </is>
      </c>
      <c r="AJ18" s="4" t="inlineStr">
        <is>
          <t>recall</t>
        </is>
      </c>
      <c r="AK18" s="4" t="inlineStr">
        <is>
          <t>f1-score</t>
        </is>
      </c>
      <c r="AL18" s="4" t="inlineStr">
        <is>
          <t>support</t>
        </is>
      </c>
    </row>
    <row r="19">
      <c r="A19">
        <f>'1 datos preparados'!A12</f>
        <v/>
      </c>
      <c r="B19" s="5">
        <f>'1 datos preparados'!U12</f>
        <v/>
      </c>
      <c r="C19">
        <f>'1 datos preparados'!B12</f>
        <v/>
      </c>
      <c r="D19" s="7">
        <f>'1 datos preparados'!C12</f>
        <v/>
      </c>
      <c r="E19" s="7">
        <f>'1 datos preparados'!D12</f>
        <v/>
      </c>
      <c r="F19" s="7">
        <f>'1 datos preparados'!E12</f>
        <v/>
      </c>
      <c r="G19" s="7">
        <f>'1 datos preparados'!F12</f>
        <v/>
      </c>
      <c r="H19" s="7">
        <f>'1 datos preparados'!G12</f>
        <v/>
      </c>
      <c r="I19" s="7">
        <f>'1 datos preparados'!H12</f>
        <v/>
      </c>
      <c r="J19" s="7">
        <f>'1 datos preparados'!I12</f>
        <v/>
      </c>
      <c r="K19" s="7">
        <f>'1 datos preparados'!J12</f>
        <v/>
      </c>
      <c r="L19" s="7">
        <f>'1 datos preparados'!K12</f>
        <v/>
      </c>
      <c r="M19" s="7">
        <f>'1 datos preparados'!L12</f>
        <v/>
      </c>
      <c r="N19" s="7">
        <f>'1 datos preparados'!M12</f>
        <v/>
      </c>
      <c r="O19" s="7">
        <f>'1 datos preparados'!N12</f>
        <v/>
      </c>
      <c r="P19" s="7">
        <f>'1 datos preparados'!O12</f>
        <v/>
      </c>
      <c r="Q19" s="7">
        <f>'1 datos preparados'!P12</f>
        <v/>
      </c>
      <c r="R19" s="7">
        <f>'1 datos preparados'!Q12</f>
        <v/>
      </c>
      <c r="S19" s="7">
        <f>'1 datos preparados'!R12</f>
        <v/>
      </c>
      <c r="T19" s="7">
        <f>'1 datos preparados'!S12</f>
        <v/>
      </c>
      <c r="U19" s="7">
        <f>'1 datos preparados'!T12</f>
        <v/>
      </c>
      <c r="V19" s="8">
        <f>$AC$12+D19*$AC$13+E19*$AC$14+F19*$AC$15+G19*$AC$16+H19*$AC$17+I19*$AC$18+J19*$AC$19+K19*$AC$20+L19*$AC$21+M19*$AC$22+N19*$AC$23+O19*$AC$24+P19*$AC$25+Q19*$AC$26+R19*$AC$27+S19*$AC$28+T19*$AC$29+U19*$AC$30</f>
        <v/>
      </c>
      <c r="W19" s="8">
        <f>1/(1+EXP(-V19))</f>
        <v/>
      </c>
      <c r="X19" s="9">
        <f>-IF(C19=1,LN(W19),LN(1-W19))</f>
        <v/>
      </c>
      <c r="Y19" s="10">
        <f>IF(W19&gt;$AC$33,1,0)</f>
        <v/>
      </c>
      <c r="Z19">
        <f>IF(Y19=C19,1,0)</f>
        <v/>
      </c>
      <c r="AB19" t="inlineStr">
        <is>
          <t>cta_sobre_200</t>
        </is>
      </c>
      <c r="AC19" s="11" t="n">
        <v>0.6683615861023957</v>
      </c>
      <c r="AD19" s="12" t="n">
        <v>0.08267450875076099</v>
      </c>
      <c r="AE19" s="9">
        <f>AC19^2</f>
        <v/>
      </c>
      <c r="AH19" s="3" t="inlineStr">
        <is>
          <t>clase 0 (paga)</t>
        </is>
      </c>
      <c r="AI19" s="14">
        <f>IF(AJ14+AJ15=0,0,AJ14/(AJ14+AJ15))</f>
        <v/>
      </c>
      <c r="AJ19" s="14">
        <f>IF(AJ14+AK14=0,0,AJ14/(AJ14+AK14))</f>
        <v/>
      </c>
      <c r="AK19" s="14">
        <f>IF(AI19+AJ19=0,0,2*AI19*AJ19/(AI19+AJ19))</f>
        <v/>
      </c>
      <c r="AL19">
        <f>AL14</f>
        <v/>
      </c>
    </row>
    <row r="20">
      <c r="A20">
        <f>'1 datos preparados'!A13</f>
        <v/>
      </c>
      <c r="B20" s="5">
        <f>'1 datos preparados'!U13</f>
        <v/>
      </c>
      <c r="C20">
        <f>'1 datos preparados'!B13</f>
        <v/>
      </c>
      <c r="D20" s="7">
        <f>'1 datos preparados'!C13</f>
        <v/>
      </c>
      <c r="E20" s="7">
        <f>'1 datos preparados'!D13</f>
        <v/>
      </c>
      <c r="F20" s="7">
        <f>'1 datos preparados'!E13</f>
        <v/>
      </c>
      <c r="G20" s="7">
        <f>'1 datos preparados'!F13</f>
        <v/>
      </c>
      <c r="H20" s="7">
        <f>'1 datos preparados'!G13</f>
        <v/>
      </c>
      <c r="I20" s="7">
        <f>'1 datos preparados'!H13</f>
        <v/>
      </c>
      <c r="J20" s="7">
        <f>'1 datos preparados'!I13</f>
        <v/>
      </c>
      <c r="K20" s="7">
        <f>'1 datos preparados'!J13</f>
        <v/>
      </c>
      <c r="L20" s="7">
        <f>'1 datos preparados'!K13</f>
        <v/>
      </c>
      <c r="M20" s="7">
        <f>'1 datos preparados'!L13</f>
        <v/>
      </c>
      <c r="N20" s="7">
        <f>'1 datos preparados'!M13</f>
        <v/>
      </c>
      <c r="O20" s="7">
        <f>'1 datos preparados'!N13</f>
        <v/>
      </c>
      <c r="P20" s="7">
        <f>'1 datos preparados'!O13</f>
        <v/>
      </c>
      <c r="Q20" s="7">
        <f>'1 datos preparados'!P13</f>
        <v/>
      </c>
      <c r="R20" s="7">
        <f>'1 datos preparados'!Q13</f>
        <v/>
      </c>
      <c r="S20" s="7">
        <f>'1 datos preparados'!R13</f>
        <v/>
      </c>
      <c r="T20" s="7">
        <f>'1 datos preparados'!S13</f>
        <v/>
      </c>
      <c r="U20" s="7">
        <f>'1 datos preparados'!T13</f>
        <v/>
      </c>
      <c r="V20" s="8">
        <f>$AC$12+D20*$AC$13+E20*$AC$14+F20*$AC$15+G20*$AC$16+H20*$AC$17+I20*$AC$18+J20*$AC$19+K20*$AC$20+L20*$AC$21+M20*$AC$22+N20*$AC$23+O20*$AC$24+P20*$AC$25+Q20*$AC$26+R20*$AC$27+S20*$AC$28+T20*$AC$29+U20*$AC$30</f>
        <v/>
      </c>
      <c r="W20" s="8">
        <f>1/(1+EXP(-V20))</f>
        <v/>
      </c>
      <c r="X20" s="9">
        <f>-IF(C20=1,LN(W20),LN(1-W20))</f>
        <v/>
      </c>
      <c r="Y20" s="10">
        <f>IF(W20&gt;$AC$33,1,0)</f>
        <v/>
      </c>
      <c r="Z20">
        <f>IF(Y20=C20,1,0)</f>
        <v/>
      </c>
      <c r="AB20" t="inlineStr">
        <is>
          <t>hist_critico</t>
        </is>
      </c>
      <c r="AC20" s="11" t="n">
        <v>-0.6573449373610837</v>
      </c>
      <c r="AD20" s="12" t="n">
        <v>-0.5028570598412625</v>
      </c>
      <c r="AE20" s="9">
        <f>AC20^2</f>
        <v/>
      </c>
      <c r="AH20" s="3" t="inlineStr">
        <is>
          <t>clase 1 (no paga)</t>
        </is>
      </c>
      <c r="AI20" s="14">
        <f>IF(AK15+AK14=0,0,AK15/(AK15+AK14))</f>
        <v/>
      </c>
      <c r="AJ20" s="14">
        <f>IF(AK15+AJ15=0,0,AK15/(AK15+AJ15))</f>
        <v/>
      </c>
      <c r="AK20" s="14">
        <f>IF(AI20+AJ20=0,0,2*AI20*AJ20/(AI20+AJ20))</f>
        <v/>
      </c>
      <c r="AL20">
        <f>AL15</f>
        <v/>
      </c>
    </row>
    <row r="21">
      <c r="A21">
        <f>'1 datos preparados'!A14</f>
        <v/>
      </c>
      <c r="B21" s="5">
        <f>'1 datos preparados'!U14</f>
        <v/>
      </c>
      <c r="C21">
        <f>'1 datos preparados'!B14</f>
        <v/>
      </c>
      <c r="D21" s="7">
        <f>'1 datos preparados'!C14</f>
        <v/>
      </c>
      <c r="E21" s="7">
        <f>'1 datos preparados'!D14</f>
        <v/>
      </c>
      <c r="F21" s="7">
        <f>'1 datos preparados'!E14</f>
        <v/>
      </c>
      <c r="G21" s="7">
        <f>'1 datos preparados'!F14</f>
        <v/>
      </c>
      <c r="H21" s="7">
        <f>'1 datos preparados'!G14</f>
        <v/>
      </c>
      <c r="I21" s="7">
        <f>'1 datos preparados'!H14</f>
        <v/>
      </c>
      <c r="J21" s="7">
        <f>'1 datos preparados'!I14</f>
        <v/>
      </c>
      <c r="K21" s="7">
        <f>'1 datos preparados'!J14</f>
        <v/>
      </c>
      <c r="L21" s="7">
        <f>'1 datos preparados'!K14</f>
        <v/>
      </c>
      <c r="M21" s="7">
        <f>'1 datos preparados'!L14</f>
        <v/>
      </c>
      <c r="N21" s="7">
        <f>'1 datos preparados'!M14</f>
        <v/>
      </c>
      <c r="O21" s="7">
        <f>'1 datos preparados'!N14</f>
        <v/>
      </c>
      <c r="P21" s="7">
        <f>'1 datos preparados'!O14</f>
        <v/>
      </c>
      <c r="Q21" s="7">
        <f>'1 datos preparados'!P14</f>
        <v/>
      </c>
      <c r="R21" s="7">
        <f>'1 datos preparados'!Q14</f>
        <v/>
      </c>
      <c r="S21" s="7">
        <f>'1 datos preparados'!R14</f>
        <v/>
      </c>
      <c r="T21" s="7">
        <f>'1 datos preparados'!S14</f>
        <v/>
      </c>
      <c r="U21" s="7">
        <f>'1 datos preparados'!T14</f>
        <v/>
      </c>
      <c r="V21" s="8">
        <f>$AC$12+D21*$AC$13+E21*$AC$14+F21*$AC$15+G21*$AC$16+H21*$AC$17+I21*$AC$18+J21*$AC$19+K21*$AC$20+L21*$AC$21+M21*$AC$22+N21*$AC$23+O21*$AC$24+P21*$AC$25+Q21*$AC$26+R21*$AC$27+S21*$AC$28+T21*$AC$29+U21*$AC$30</f>
        <v/>
      </c>
      <c r="W21" s="8">
        <f>1/(1+EXP(-V21))</f>
        <v/>
      </c>
      <c r="X21" s="9">
        <f>-IF(C21=1,LN(W21),LN(1-W21))</f>
        <v/>
      </c>
      <c r="Y21" s="10">
        <f>IF(W21&gt;$AC$33,1,0)</f>
        <v/>
      </c>
      <c r="Z21">
        <f>IF(Y21=C21,1,0)</f>
        <v/>
      </c>
      <c r="AB21" t="inlineStr">
        <is>
          <t>hist_atrasos</t>
        </is>
      </c>
      <c r="AC21" s="11" t="n">
        <v>-0.04019551911120235</v>
      </c>
      <c r="AD21" s="12" t="n">
        <v>-0.0329890765506305</v>
      </c>
      <c r="AE21" s="9">
        <f>AC21^2</f>
        <v/>
      </c>
      <c r="AH21" s="3" t="inlineStr">
        <is>
          <t>accuracy</t>
        </is>
      </c>
      <c r="AK21" s="14">
        <f>(AK15+AJ14)/AL16</f>
        <v/>
      </c>
    </row>
    <row r="22">
      <c r="A22">
        <f>'1 datos preparados'!A15</f>
        <v/>
      </c>
      <c r="B22" s="5">
        <f>'1 datos preparados'!U15</f>
        <v/>
      </c>
      <c r="C22">
        <f>'1 datos preparados'!B15</f>
        <v/>
      </c>
      <c r="D22" s="7">
        <f>'1 datos preparados'!C15</f>
        <v/>
      </c>
      <c r="E22" s="7">
        <f>'1 datos preparados'!D15</f>
        <v/>
      </c>
      <c r="F22" s="7">
        <f>'1 datos preparados'!E15</f>
        <v/>
      </c>
      <c r="G22" s="7">
        <f>'1 datos preparados'!F15</f>
        <v/>
      </c>
      <c r="H22" s="7">
        <f>'1 datos preparados'!G15</f>
        <v/>
      </c>
      <c r="I22" s="7">
        <f>'1 datos preparados'!H15</f>
        <v/>
      </c>
      <c r="J22" s="7">
        <f>'1 datos preparados'!I15</f>
        <v/>
      </c>
      <c r="K22" s="7">
        <f>'1 datos preparados'!J15</f>
        <v/>
      </c>
      <c r="L22" s="7">
        <f>'1 datos preparados'!K15</f>
        <v/>
      </c>
      <c r="M22" s="7">
        <f>'1 datos preparados'!L15</f>
        <v/>
      </c>
      <c r="N22" s="7">
        <f>'1 datos preparados'!M15</f>
        <v/>
      </c>
      <c r="O22" s="7">
        <f>'1 datos preparados'!N15</f>
        <v/>
      </c>
      <c r="P22" s="7">
        <f>'1 datos preparados'!O15</f>
        <v/>
      </c>
      <c r="Q22" s="7">
        <f>'1 datos preparados'!P15</f>
        <v/>
      </c>
      <c r="R22" s="7">
        <f>'1 datos preparados'!Q15</f>
        <v/>
      </c>
      <c r="S22" s="7">
        <f>'1 datos preparados'!R15</f>
        <v/>
      </c>
      <c r="T22" s="7">
        <f>'1 datos preparados'!S15</f>
        <v/>
      </c>
      <c r="U22" s="7">
        <f>'1 datos preparados'!T15</f>
        <v/>
      </c>
      <c r="V22" s="8">
        <f>$AC$12+D22*$AC$13+E22*$AC$14+F22*$AC$15+G22*$AC$16+H22*$AC$17+I22*$AC$18+J22*$AC$19+K22*$AC$20+L22*$AC$21+M22*$AC$22+N22*$AC$23+O22*$AC$24+P22*$AC$25+Q22*$AC$26+R22*$AC$27+S22*$AC$28+T22*$AC$29+U22*$AC$30</f>
        <v/>
      </c>
      <c r="W22" s="8">
        <f>1/(1+EXP(-V22))</f>
        <v/>
      </c>
      <c r="X22" s="9">
        <f>-IF(C22=1,LN(W22),LN(1-W22))</f>
        <v/>
      </c>
      <c r="Y22" s="10">
        <f>IF(W22&gt;$AC$33,1,0)</f>
        <v/>
      </c>
      <c r="Z22">
        <f>IF(Y22=C22,1,0)</f>
        <v/>
      </c>
      <c r="AB22" t="inlineStr">
        <is>
          <t>hist_sin_creditos</t>
        </is>
      </c>
      <c r="AC22" s="11" t="n">
        <v>0.6690656278784681</v>
      </c>
      <c r="AD22" s="12" t="n">
        <v>0.4566596296282059</v>
      </c>
      <c r="AE22" s="9">
        <f>AC22^2</f>
        <v/>
      </c>
    </row>
    <row r="23">
      <c r="A23">
        <f>'1 datos preparados'!A16</f>
        <v/>
      </c>
      <c r="B23" s="5">
        <f>'1 datos preparados'!U16</f>
        <v/>
      </c>
      <c r="C23">
        <f>'1 datos preparados'!B16</f>
        <v/>
      </c>
      <c r="D23" s="7">
        <f>'1 datos preparados'!C16</f>
        <v/>
      </c>
      <c r="E23" s="7">
        <f>'1 datos preparados'!D16</f>
        <v/>
      </c>
      <c r="F23" s="7">
        <f>'1 datos preparados'!E16</f>
        <v/>
      </c>
      <c r="G23" s="7">
        <f>'1 datos preparados'!F16</f>
        <v/>
      </c>
      <c r="H23" s="7">
        <f>'1 datos preparados'!G16</f>
        <v/>
      </c>
      <c r="I23" s="7">
        <f>'1 datos preparados'!H16</f>
        <v/>
      </c>
      <c r="J23" s="7">
        <f>'1 datos preparados'!I16</f>
        <v/>
      </c>
      <c r="K23" s="7">
        <f>'1 datos preparados'!J16</f>
        <v/>
      </c>
      <c r="L23" s="7">
        <f>'1 datos preparados'!K16</f>
        <v/>
      </c>
      <c r="M23" s="7">
        <f>'1 datos preparados'!L16</f>
        <v/>
      </c>
      <c r="N23" s="7">
        <f>'1 datos preparados'!M16</f>
        <v/>
      </c>
      <c r="O23" s="7">
        <f>'1 datos preparados'!N16</f>
        <v/>
      </c>
      <c r="P23" s="7">
        <f>'1 datos preparados'!O16</f>
        <v/>
      </c>
      <c r="Q23" s="7">
        <f>'1 datos preparados'!P16</f>
        <v/>
      </c>
      <c r="R23" s="7">
        <f>'1 datos preparados'!Q16</f>
        <v/>
      </c>
      <c r="S23" s="7">
        <f>'1 datos preparados'!R16</f>
        <v/>
      </c>
      <c r="T23" s="7">
        <f>'1 datos preparados'!S16</f>
        <v/>
      </c>
      <c r="U23" s="7">
        <f>'1 datos preparados'!T16</f>
        <v/>
      </c>
      <c r="V23" s="8">
        <f>$AC$12+D23*$AC$13+E23*$AC$14+F23*$AC$15+G23*$AC$16+H23*$AC$17+I23*$AC$18+J23*$AC$19+K23*$AC$20+L23*$AC$21+M23*$AC$22+N23*$AC$23+O23*$AC$24+P23*$AC$25+Q23*$AC$26+R23*$AC$27+S23*$AC$28+T23*$AC$29+U23*$AC$30</f>
        <v/>
      </c>
      <c r="W23" s="8">
        <f>1/(1+EXP(-V23))</f>
        <v/>
      </c>
      <c r="X23" s="9">
        <f>-IF(C23=1,LN(W23),LN(1-W23))</f>
        <v/>
      </c>
      <c r="Y23" s="10">
        <f>IF(W23&gt;$AC$33,1,0)</f>
        <v/>
      </c>
      <c r="Z23">
        <f>IF(Y23=C23,1,0)</f>
        <v/>
      </c>
      <c r="AB23" t="inlineStr">
        <is>
          <t>ahorro_100_1000</t>
        </is>
      </c>
      <c r="AC23" s="11" t="n">
        <v>-0.3895834298458181</v>
      </c>
      <c r="AD23" s="12" t="n">
        <v>-0.1926231413667001</v>
      </c>
      <c r="AE23" s="9">
        <f>AC23^2</f>
        <v/>
      </c>
    </row>
    <row r="24">
      <c r="A24">
        <f>'1 datos preparados'!A17</f>
        <v/>
      </c>
      <c r="B24" s="5">
        <f>'1 datos preparados'!U17</f>
        <v/>
      </c>
      <c r="C24">
        <f>'1 datos preparados'!B17</f>
        <v/>
      </c>
      <c r="D24" s="7">
        <f>'1 datos preparados'!C17</f>
        <v/>
      </c>
      <c r="E24" s="7">
        <f>'1 datos preparados'!D17</f>
        <v/>
      </c>
      <c r="F24" s="7">
        <f>'1 datos preparados'!E17</f>
        <v/>
      </c>
      <c r="G24" s="7">
        <f>'1 datos preparados'!F17</f>
        <v/>
      </c>
      <c r="H24" s="7">
        <f>'1 datos preparados'!G17</f>
        <v/>
      </c>
      <c r="I24" s="7">
        <f>'1 datos preparados'!H17</f>
        <v/>
      </c>
      <c r="J24" s="7">
        <f>'1 datos preparados'!I17</f>
        <v/>
      </c>
      <c r="K24" s="7">
        <f>'1 datos preparados'!J17</f>
        <v/>
      </c>
      <c r="L24" s="7">
        <f>'1 datos preparados'!K17</f>
        <v/>
      </c>
      <c r="M24" s="7">
        <f>'1 datos preparados'!L17</f>
        <v/>
      </c>
      <c r="N24" s="7">
        <f>'1 datos preparados'!M17</f>
        <v/>
      </c>
      <c r="O24" s="7">
        <f>'1 datos preparados'!N17</f>
        <v/>
      </c>
      <c r="P24" s="7">
        <f>'1 datos preparados'!O17</f>
        <v/>
      </c>
      <c r="Q24" s="7">
        <f>'1 datos preparados'!P17</f>
        <v/>
      </c>
      <c r="R24" s="7">
        <f>'1 datos preparados'!Q17</f>
        <v/>
      </c>
      <c r="S24" s="7">
        <f>'1 datos preparados'!R17</f>
        <v/>
      </c>
      <c r="T24" s="7">
        <f>'1 datos preparados'!S17</f>
        <v/>
      </c>
      <c r="U24" s="7">
        <f>'1 datos preparados'!T17</f>
        <v/>
      </c>
      <c r="V24" s="8">
        <f>$AC$12+D24*$AC$13+E24*$AC$14+F24*$AC$15+G24*$AC$16+H24*$AC$17+I24*$AC$18+J24*$AC$19+K24*$AC$20+L24*$AC$21+M24*$AC$22+N24*$AC$23+O24*$AC$24+P24*$AC$25+Q24*$AC$26+R24*$AC$27+S24*$AC$28+T24*$AC$29+U24*$AC$30</f>
        <v/>
      </c>
      <c r="W24" s="8">
        <f>1/(1+EXP(-V24))</f>
        <v/>
      </c>
      <c r="X24" s="9">
        <f>-IF(C24=1,LN(W24),LN(1-W24))</f>
        <v/>
      </c>
      <c r="Y24" s="10">
        <f>IF(W24&gt;$AC$33,1,0)</f>
        <v/>
      </c>
      <c r="Z24">
        <f>IF(Y24=C24,1,0)</f>
        <v/>
      </c>
      <c r="AB24" t="inlineStr">
        <is>
          <t>ahorro_sobre_1000</t>
        </is>
      </c>
      <c r="AC24" s="11" t="n">
        <v>-0.8892238593761824</v>
      </c>
      <c r="AD24" s="12" t="n">
        <v>-0.2544751864521931</v>
      </c>
      <c r="AE24" s="9">
        <f>AC24^2</f>
        <v/>
      </c>
    </row>
    <row r="25">
      <c r="A25">
        <f>'1 datos preparados'!A18</f>
        <v/>
      </c>
      <c r="B25" s="5">
        <f>'1 datos preparados'!U18</f>
        <v/>
      </c>
      <c r="C25">
        <f>'1 datos preparados'!B18</f>
        <v/>
      </c>
      <c r="D25" s="7">
        <f>'1 datos preparados'!C18</f>
        <v/>
      </c>
      <c r="E25" s="7">
        <f>'1 datos preparados'!D18</f>
        <v/>
      </c>
      <c r="F25" s="7">
        <f>'1 datos preparados'!E18</f>
        <v/>
      </c>
      <c r="G25" s="7">
        <f>'1 datos preparados'!F18</f>
        <v/>
      </c>
      <c r="H25" s="7">
        <f>'1 datos preparados'!G18</f>
        <v/>
      </c>
      <c r="I25" s="7">
        <f>'1 datos preparados'!H18</f>
        <v/>
      </c>
      <c r="J25" s="7">
        <f>'1 datos preparados'!I18</f>
        <v/>
      </c>
      <c r="K25" s="7">
        <f>'1 datos preparados'!J18</f>
        <v/>
      </c>
      <c r="L25" s="7">
        <f>'1 datos preparados'!K18</f>
        <v/>
      </c>
      <c r="M25" s="7">
        <f>'1 datos preparados'!L18</f>
        <v/>
      </c>
      <c r="N25" s="7">
        <f>'1 datos preparados'!M18</f>
        <v/>
      </c>
      <c r="O25" s="7">
        <f>'1 datos preparados'!N18</f>
        <v/>
      </c>
      <c r="P25" s="7">
        <f>'1 datos preparados'!O18</f>
        <v/>
      </c>
      <c r="Q25" s="7">
        <f>'1 datos preparados'!P18</f>
        <v/>
      </c>
      <c r="R25" s="7">
        <f>'1 datos preparados'!Q18</f>
        <v/>
      </c>
      <c r="S25" s="7">
        <f>'1 datos preparados'!R18</f>
        <v/>
      </c>
      <c r="T25" s="7">
        <f>'1 datos preparados'!S18</f>
        <v/>
      </c>
      <c r="U25" s="7">
        <f>'1 datos preparados'!T18</f>
        <v/>
      </c>
      <c r="V25" s="8">
        <f>$AC$12+D25*$AC$13+E25*$AC$14+F25*$AC$15+G25*$AC$16+H25*$AC$17+I25*$AC$18+J25*$AC$19+K25*$AC$20+L25*$AC$21+M25*$AC$22+N25*$AC$23+O25*$AC$24+P25*$AC$25+Q25*$AC$26+R25*$AC$27+S25*$AC$28+T25*$AC$29+U25*$AC$30</f>
        <v/>
      </c>
      <c r="W25" s="8">
        <f>1/(1+EXP(-V25))</f>
        <v/>
      </c>
      <c r="X25" s="9">
        <f>-IF(C25=1,LN(W25),LN(1-W25))</f>
        <v/>
      </c>
      <c r="Y25" s="10">
        <f>IF(W25&gt;$AC$33,1,0)</f>
        <v/>
      </c>
      <c r="Z25">
        <f>IF(Y25=C25,1,0)</f>
        <v/>
      </c>
      <c r="AB25" t="inlineStr">
        <is>
          <t>ahorro_desconocido</t>
        </is>
      </c>
      <c r="AC25" s="11" t="n">
        <v>-1.076092926242446</v>
      </c>
      <c r="AD25" s="12" t="n">
        <v>-0.5828104541232723</v>
      </c>
      <c r="AE25" s="9">
        <f>AC25^2</f>
        <v/>
      </c>
    </row>
    <row r="26">
      <c r="A26">
        <f>'1 datos preparados'!A19</f>
        <v/>
      </c>
      <c r="B26" s="5">
        <f>'1 datos preparados'!U19</f>
        <v/>
      </c>
      <c r="C26">
        <f>'1 datos preparados'!B19</f>
        <v/>
      </c>
      <c r="D26" s="7">
        <f>'1 datos preparados'!C19</f>
        <v/>
      </c>
      <c r="E26" s="7">
        <f>'1 datos preparados'!D19</f>
        <v/>
      </c>
      <c r="F26" s="7">
        <f>'1 datos preparados'!E19</f>
        <v/>
      </c>
      <c r="G26" s="7">
        <f>'1 datos preparados'!F19</f>
        <v/>
      </c>
      <c r="H26" s="7">
        <f>'1 datos preparados'!G19</f>
        <v/>
      </c>
      <c r="I26" s="7">
        <f>'1 datos preparados'!H19</f>
        <v/>
      </c>
      <c r="J26" s="7">
        <f>'1 datos preparados'!I19</f>
        <v/>
      </c>
      <c r="K26" s="7">
        <f>'1 datos preparados'!J19</f>
        <v/>
      </c>
      <c r="L26" s="7">
        <f>'1 datos preparados'!K19</f>
        <v/>
      </c>
      <c r="M26" s="7">
        <f>'1 datos preparados'!L19</f>
        <v/>
      </c>
      <c r="N26" s="7">
        <f>'1 datos preparados'!M19</f>
        <v/>
      </c>
      <c r="O26" s="7">
        <f>'1 datos preparados'!N19</f>
        <v/>
      </c>
      <c r="P26" s="7">
        <f>'1 datos preparados'!O19</f>
        <v/>
      </c>
      <c r="Q26" s="7">
        <f>'1 datos preparados'!P19</f>
        <v/>
      </c>
      <c r="R26" s="7">
        <f>'1 datos preparados'!Q19</f>
        <v/>
      </c>
      <c r="S26" s="7">
        <f>'1 datos preparados'!R19</f>
        <v/>
      </c>
      <c r="T26" s="7">
        <f>'1 datos preparados'!S19</f>
        <v/>
      </c>
      <c r="U26" s="7">
        <f>'1 datos preparados'!T19</f>
        <v/>
      </c>
      <c r="V26" s="8">
        <f>$AC$12+D26*$AC$13+E26*$AC$14+F26*$AC$15+G26*$AC$16+H26*$AC$17+I26*$AC$18+J26*$AC$19+K26*$AC$20+L26*$AC$21+M26*$AC$22+N26*$AC$23+O26*$AC$24+P26*$AC$25+Q26*$AC$26+R26*$AC$27+S26*$AC$28+T26*$AC$29+U26*$AC$30</f>
        <v/>
      </c>
      <c r="W26" s="8">
        <f>1/(1+EXP(-V26))</f>
        <v/>
      </c>
      <c r="X26" s="9">
        <f>-IF(C26=1,LN(W26),LN(1-W26))</f>
        <v/>
      </c>
      <c r="Y26" s="10">
        <f>IF(W26&gt;$AC$33,1,0)</f>
        <v/>
      </c>
      <c r="Z26">
        <f>IF(Y26=C26,1,0)</f>
        <v/>
      </c>
      <c r="AB26" t="inlineStr">
        <is>
          <t>vivienda_arriendo</t>
        </is>
      </c>
      <c r="AC26" s="11" t="n">
        <v>0.6538371780658356</v>
      </c>
      <c r="AD26" s="12" t="n">
        <v>0.3838733425437118</v>
      </c>
      <c r="AE26" s="9">
        <f>AC26^2</f>
        <v/>
      </c>
    </row>
    <row r="27">
      <c r="A27">
        <f>'1 datos preparados'!A20</f>
        <v/>
      </c>
      <c r="B27" s="5">
        <f>'1 datos preparados'!U20</f>
        <v/>
      </c>
      <c r="C27">
        <f>'1 datos preparados'!B20</f>
        <v/>
      </c>
      <c r="D27" s="7">
        <f>'1 datos preparados'!C20</f>
        <v/>
      </c>
      <c r="E27" s="7">
        <f>'1 datos preparados'!D20</f>
        <v/>
      </c>
      <c r="F27" s="7">
        <f>'1 datos preparados'!E20</f>
        <v/>
      </c>
      <c r="G27" s="7">
        <f>'1 datos preparados'!F20</f>
        <v/>
      </c>
      <c r="H27" s="7">
        <f>'1 datos preparados'!G20</f>
        <v/>
      </c>
      <c r="I27" s="7">
        <f>'1 datos preparados'!H20</f>
        <v/>
      </c>
      <c r="J27" s="7">
        <f>'1 datos preparados'!I20</f>
        <v/>
      </c>
      <c r="K27" s="7">
        <f>'1 datos preparados'!J20</f>
        <v/>
      </c>
      <c r="L27" s="7">
        <f>'1 datos preparados'!K20</f>
        <v/>
      </c>
      <c r="M27" s="7">
        <f>'1 datos preparados'!L20</f>
        <v/>
      </c>
      <c r="N27" s="7">
        <f>'1 datos preparados'!M20</f>
        <v/>
      </c>
      <c r="O27" s="7">
        <f>'1 datos preparados'!N20</f>
        <v/>
      </c>
      <c r="P27" s="7">
        <f>'1 datos preparados'!O20</f>
        <v/>
      </c>
      <c r="Q27" s="7">
        <f>'1 datos preparados'!P20</f>
        <v/>
      </c>
      <c r="R27" s="7">
        <f>'1 datos preparados'!Q20</f>
        <v/>
      </c>
      <c r="S27" s="7">
        <f>'1 datos preparados'!R20</f>
        <v/>
      </c>
      <c r="T27" s="7">
        <f>'1 datos preparados'!S20</f>
        <v/>
      </c>
      <c r="U27" s="7">
        <f>'1 datos preparados'!T20</f>
        <v/>
      </c>
      <c r="V27" s="8">
        <f>$AC$12+D27*$AC$13+E27*$AC$14+F27*$AC$15+G27*$AC$16+H27*$AC$17+I27*$AC$18+J27*$AC$19+K27*$AC$20+L27*$AC$21+M27*$AC$22+N27*$AC$23+O27*$AC$24+P27*$AC$25+Q27*$AC$26+R27*$AC$27+S27*$AC$28+T27*$AC$29+U27*$AC$30</f>
        <v/>
      </c>
      <c r="W27" s="8">
        <f>1/(1+EXP(-V27))</f>
        <v/>
      </c>
      <c r="X27" s="9">
        <f>-IF(C27=1,LN(W27),LN(1-W27))</f>
        <v/>
      </c>
      <c r="Y27" s="10">
        <f>IF(W27&gt;$AC$33,1,0)</f>
        <v/>
      </c>
      <c r="Z27">
        <f>IF(Y27=C27,1,0)</f>
        <v/>
      </c>
      <c r="AB27" t="inlineStr">
        <is>
          <t>vivienda_gratis</t>
        </is>
      </c>
      <c r="AC27" s="11" t="n">
        <v>0.1953653579159878</v>
      </c>
      <c r="AD27" s="12" t="n">
        <v>0.1582688785829422</v>
      </c>
      <c r="AE27" s="9">
        <f>AC27^2</f>
        <v/>
      </c>
    </row>
    <row r="28">
      <c r="A28">
        <f>'1 datos preparados'!A21</f>
        <v/>
      </c>
      <c r="B28" s="5">
        <f>'1 datos preparados'!U21</f>
        <v/>
      </c>
      <c r="C28">
        <f>'1 datos preparados'!B21</f>
        <v/>
      </c>
      <c r="D28" s="7">
        <f>'1 datos preparados'!C21</f>
        <v/>
      </c>
      <c r="E28" s="7">
        <f>'1 datos preparados'!D21</f>
        <v/>
      </c>
      <c r="F28" s="7">
        <f>'1 datos preparados'!E21</f>
        <v/>
      </c>
      <c r="G28" s="7">
        <f>'1 datos preparados'!F21</f>
        <v/>
      </c>
      <c r="H28" s="7">
        <f>'1 datos preparados'!G21</f>
        <v/>
      </c>
      <c r="I28" s="7">
        <f>'1 datos preparados'!H21</f>
        <v/>
      </c>
      <c r="J28" s="7">
        <f>'1 datos preparados'!I21</f>
        <v/>
      </c>
      <c r="K28" s="7">
        <f>'1 datos preparados'!J21</f>
        <v/>
      </c>
      <c r="L28" s="7">
        <f>'1 datos preparados'!K21</f>
        <v/>
      </c>
      <c r="M28" s="7">
        <f>'1 datos preparados'!L21</f>
        <v/>
      </c>
      <c r="N28" s="7">
        <f>'1 datos preparados'!M21</f>
        <v/>
      </c>
      <c r="O28" s="7">
        <f>'1 datos preparados'!N21</f>
        <v/>
      </c>
      <c r="P28" s="7">
        <f>'1 datos preparados'!O21</f>
        <v/>
      </c>
      <c r="Q28" s="7">
        <f>'1 datos preparados'!P21</f>
        <v/>
      </c>
      <c r="R28" s="7">
        <f>'1 datos preparados'!Q21</f>
        <v/>
      </c>
      <c r="S28" s="7">
        <f>'1 datos preparados'!R21</f>
        <v/>
      </c>
      <c r="T28" s="7">
        <f>'1 datos preparados'!S21</f>
        <v/>
      </c>
      <c r="U28" s="7">
        <f>'1 datos preparados'!T21</f>
        <v/>
      </c>
      <c r="V28" s="8">
        <f>$AC$12+D28*$AC$13+E28*$AC$14+F28*$AC$15+G28*$AC$16+H28*$AC$17+I28*$AC$18+J28*$AC$19+K28*$AC$20+L28*$AC$21+M28*$AC$22+N28*$AC$23+O28*$AC$24+P28*$AC$25+Q28*$AC$26+R28*$AC$27+S28*$AC$28+T28*$AC$29+U28*$AC$30</f>
        <v/>
      </c>
      <c r="W28" s="8">
        <f>1/(1+EXP(-V28))</f>
        <v/>
      </c>
      <c r="X28" s="9">
        <f>-IF(C28=1,LN(W28),LN(1-W28))</f>
        <v/>
      </c>
      <c r="Y28" s="10">
        <f>IF(W28&gt;$AC$33,1,0)</f>
        <v/>
      </c>
      <c r="Z28">
        <f>IF(Y28=C28,1,0)</f>
        <v/>
      </c>
      <c r="AB28" t="inlineStr">
        <is>
          <t>proposito_auto</t>
        </is>
      </c>
      <c r="AC28" s="11" t="n">
        <v>-0.08016547581790479</v>
      </c>
      <c r="AD28" s="12" t="n">
        <v>0.03459562593689872</v>
      </c>
      <c r="AE28" s="9">
        <f>AC28^2</f>
        <v/>
      </c>
    </row>
    <row r="29">
      <c r="A29">
        <f>'1 datos preparados'!A22</f>
        <v/>
      </c>
      <c r="B29" s="5">
        <f>'1 datos preparados'!U22</f>
        <v/>
      </c>
      <c r="C29">
        <f>'1 datos preparados'!B22</f>
        <v/>
      </c>
      <c r="D29" s="7">
        <f>'1 datos preparados'!C22</f>
        <v/>
      </c>
      <c r="E29" s="7">
        <f>'1 datos preparados'!D22</f>
        <v/>
      </c>
      <c r="F29" s="7">
        <f>'1 datos preparados'!E22</f>
        <v/>
      </c>
      <c r="G29" s="7">
        <f>'1 datos preparados'!F22</f>
        <v/>
      </c>
      <c r="H29" s="7">
        <f>'1 datos preparados'!G22</f>
        <v/>
      </c>
      <c r="I29" s="7">
        <f>'1 datos preparados'!H22</f>
        <v/>
      </c>
      <c r="J29" s="7">
        <f>'1 datos preparados'!I22</f>
        <v/>
      </c>
      <c r="K29" s="7">
        <f>'1 datos preparados'!J22</f>
        <v/>
      </c>
      <c r="L29" s="7">
        <f>'1 datos preparados'!K22</f>
        <v/>
      </c>
      <c r="M29" s="7">
        <f>'1 datos preparados'!L22</f>
        <v/>
      </c>
      <c r="N29" s="7">
        <f>'1 datos preparados'!M22</f>
        <v/>
      </c>
      <c r="O29" s="7">
        <f>'1 datos preparados'!N22</f>
        <v/>
      </c>
      <c r="P29" s="7">
        <f>'1 datos preparados'!O22</f>
        <v/>
      </c>
      <c r="Q29" s="7">
        <f>'1 datos preparados'!P22</f>
        <v/>
      </c>
      <c r="R29" s="7">
        <f>'1 datos preparados'!Q22</f>
        <v/>
      </c>
      <c r="S29" s="7">
        <f>'1 datos preparados'!R22</f>
        <v/>
      </c>
      <c r="T29" s="7">
        <f>'1 datos preparados'!S22</f>
        <v/>
      </c>
      <c r="U29" s="7">
        <f>'1 datos preparados'!T22</f>
        <v/>
      </c>
      <c r="V29" s="8">
        <f>$AC$12+D29*$AC$13+E29*$AC$14+F29*$AC$15+G29*$AC$16+H29*$AC$17+I29*$AC$18+J29*$AC$19+K29*$AC$20+L29*$AC$21+M29*$AC$22+N29*$AC$23+O29*$AC$24+P29*$AC$25+Q29*$AC$26+R29*$AC$27+S29*$AC$28+T29*$AC$29+U29*$AC$30</f>
        <v/>
      </c>
      <c r="W29" s="8">
        <f>1/(1+EXP(-V29))</f>
        <v/>
      </c>
      <c r="X29" s="9">
        <f>-IF(C29=1,LN(W29),LN(1-W29))</f>
        <v/>
      </c>
      <c r="Y29" s="10">
        <f>IF(W29&gt;$AC$33,1,0)</f>
        <v/>
      </c>
      <c r="Z29">
        <f>IF(Y29=C29,1,0)</f>
        <v/>
      </c>
      <c r="AB29" t="inlineStr">
        <is>
          <t>proposito_radio_tv</t>
        </is>
      </c>
      <c r="AC29" s="11" t="n">
        <v>-0.5202106472417524</v>
      </c>
      <c r="AD29" s="12" t="n">
        <v>-0.3058125039821383</v>
      </c>
      <c r="AE29" s="9">
        <f>AC29^2</f>
        <v/>
      </c>
    </row>
    <row r="30">
      <c r="A30">
        <f>'1 datos preparados'!A23</f>
        <v/>
      </c>
      <c r="B30" s="5">
        <f>'1 datos preparados'!U23</f>
        <v/>
      </c>
      <c r="C30">
        <f>'1 datos preparados'!B23</f>
        <v/>
      </c>
      <c r="D30" s="7">
        <f>'1 datos preparados'!C23</f>
        <v/>
      </c>
      <c r="E30" s="7">
        <f>'1 datos preparados'!D23</f>
        <v/>
      </c>
      <c r="F30" s="7">
        <f>'1 datos preparados'!E23</f>
        <v/>
      </c>
      <c r="G30" s="7">
        <f>'1 datos preparados'!F23</f>
        <v/>
      </c>
      <c r="H30" s="7">
        <f>'1 datos preparados'!G23</f>
        <v/>
      </c>
      <c r="I30" s="7">
        <f>'1 datos preparados'!H23</f>
        <v/>
      </c>
      <c r="J30" s="7">
        <f>'1 datos preparados'!I23</f>
        <v/>
      </c>
      <c r="K30" s="7">
        <f>'1 datos preparados'!J23</f>
        <v/>
      </c>
      <c r="L30" s="7">
        <f>'1 datos preparados'!K23</f>
        <v/>
      </c>
      <c r="M30" s="7">
        <f>'1 datos preparados'!L23</f>
        <v/>
      </c>
      <c r="N30" s="7">
        <f>'1 datos preparados'!M23</f>
        <v/>
      </c>
      <c r="O30" s="7">
        <f>'1 datos preparados'!N23</f>
        <v/>
      </c>
      <c r="P30" s="7">
        <f>'1 datos preparados'!O23</f>
        <v/>
      </c>
      <c r="Q30" s="7">
        <f>'1 datos preparados'!P23</f>
        <v/>
      </c>
      <c r="R30" s="7">
        <f>'1 datos preparados'!Q23</f>
        <v/>
      </c>
      <c r="S30" s="7">
        <f>'1 datos preparados'!R23</f>
        <v/>
      </c>
      <c r="T30" s="7">
        <f>'1 datos preparados'!S23</f>
        <v/>
      </c>
      <c r="U30" s="7">
        <f>'1 datos preparados'!T23</f>
        <v/>
      </c>
      <c r="V30" s="8">
        <f>$AC$12+D30*$AC$13+E30*$AC$14+F30*$AC$15+G30*$AC$16+H30*$AC$17+I30*$AC$18+J30*$AC$19+K30*$AC$20+L30*$AC$21+M30*$AC$22+N30*$AC$23+O30*$AC$24+P30*$AC$25+Q30*$AC$26+R30*$AC$27+S30*$AC$28+T30*$AC$29+U30*$AC$30</f>
        <v/>
      </c>
      <c r="W30" s="8">
        <f>1/(1+EXP(-V30))</f>
        <v/>
      </c>
      <c r="X30" s="9">
        <f>-IF(C30=1,LN(W30),LN(1-W30))</f>
        <v/>
      </c>
      <c r="Y30" s="10">
        <f>IF(W30&gt;$AC$33,1,0)</f>
        <v/>
      </c>
      <c r="Z30">
        <f>IF(Y30=C30,1,0)</f>
        <v/>
      </c>
      <c r="AB30" t="inlineStr">
        <is>
          <t>proposito_muebles</t>
        </is>
      </c>
      <c r="AC30" s="11" t="n">
        <v>-0.2818027438096851</v>
      </c>
      <c r="AD30" s="12" t="n">
        <v>-0.02543647574694628</v>
      </c>
      <c r="AE30" s="9">
        <f>AC30^2</f>
        <v/>
      </c>
    </row>
    <row r="31">
      <c r="A31">
        <f>'1 datos preparados'!A24</f>
        <v/>
      </c>
      <c r="B31" s="5">
        <f>'1 datos preparados'!U24</f>
        <v/>
      </c>
      <c r="C31">
        <f>'1 datos preparados'!B24</f>
        <v/>
      </c>
      <c r="D31" s="7">
        <f>'1 datos preparados'!C24</f>
        <v/>
      </c>
      <c r="E31" s="7">
        <f>'1 datos preparados'!D24</f>
        <v/>
      </c>
      <c r="F31" s="7">
        <f>'1 datos preparados'!E24</f>
        <v/>
      </c>
      <c r="G31" s="7">
        <f>'1 datos preparados'!F24</f>
        <v/>
      </c>
      <c r="H31" s="7">
        <f>'1 datos preparados'!G24</f>
        <v/>
      </c>
      <c r="I31" s="7">
        <f>'1 datos preparados'!H24</f>
        <v/>
      </c>
      <c r="J31" s="7">
        <f>'1 datos preparados'!I24</f>
        <v/>
      </c>
      <c r="K31" s="7">
        <f>'1 datos preparados'!J24</f>
        <v/>
      </c>
      <c r="L31" s="7">
        <f>'1 datos preparados'!K24</f>
        <v/>
      </c>
      <c r="M31" s="7">
        <f>'1 datos preparados'!L24</f>
        <v/>
      </c>
      <c r="N31" s="7">
        <f>'1 datos preparados'!M24</f>
        <v/>
      </c>
      <c r="O31" s="7">
        <f>'1 datos preparados'!N24</f>
        <v/>
      </c>
      <c r="P31" s="7">
        <f>'1 datos preparados'!O24</f>
        <v/>
      </c>
      <c r="Q31" s="7">
        <f>'1 datos preparados'!P24</f>
        <v/>
      </c>
      <c r="R31" s="7">
        <f>'1 datos preparados'!Q24</f>
        <v/>
      </c>
      <c r="S31" s="7">
        <f>'1 datos preparados'!R24</f>
        <v/>
      </c>
      <c r="T31" s="7">
        <f>'1 datos preparados'!S24</f>
        <v/>
      </c>
      <c r="U31" s="7">
        <f>'1 datos preparados'!T24</f>
        <v/>
      </c>
      <c r="V31" s="8">
        <f>$AC$12+D31*$AC$13+E31*$AC$14+F31*$AC$15+G31*$AC$16+H31*$AC$17+I31*$AC$18+J31*$AC$19+K31*$AC$20+L31*$AC$21+M31*$AC$22+N31*$AC$23+O31*$AC$24+P31*$AC$25+Q31*$AC$26+R31*$AC$27+S31*$AC$28+T31*$AC$29+U31*$AC$30</f>
        <v/>
      </c>
      <c r="W31" s="8">
        <f>1/(1+EXP(-V31))</f>
        <v/>
      </c>
      <c r="X31" s="9">
        <f>-IF(C31=1,LN(W31),LN(1-W31))</f>
        <v/>
      </c>
      <c r="Y31" s="10">
        <f>IF(W31&gt;$AC$33,1,0)</f>
        <v/>
      </c>
      <c r="Z31">
        <f>IF(Y31=C31,1,0)</f>
        <v/>
      </c>
    </row>
    <row r="32">
      <c r="A32">
        <f>'1 datos preparados'!A25</f>
        <v/>
      </c>
      <c r="B32" s="5">
        <f>'1 datos preparados'!U25</f>
        <v/>
      </c>
      <c r="C32">
        <f>'1 datos preparados'!B25</f>
        <v/>
      </c>
      <c r="D32" s="7">
        <f>'1 datos preparados'!C25</f>
        <v/>
      </c>
      <c r="E32" s="7">
        <f>'1 datos preparados'!D25</f>
        <v/>
      </c>
      <c r="F32" s="7">
        <f>'1 datos preparados'!E25</f>
        <v/>
      </c>
      <c r="G32" s="7">
        <f>'1 datos preparados'!F25</f>
        <v/>
      </c>
      <c r="H32" s="7">
        <f>'1 datos preparados'!G25</f>
        <v/>
      </c>
      <c r="I32" s="7">
        <f>'1 datos preparados'!H25</f>
        <v/>
      </c>
      <c r="J32" s="7">
        <f>'1 datos preparados'!I25</f>
        <v/>
      </c>
      <c r="K32" s="7">
        <f>'1 datos preparados'!J25</f>
        <v/>
      </c>
      <c r="L32" s="7">
        <f>'1 datos preparados'!K25</f>
        <v/>
      </c>
      <c r="M32" s="7">
        <f>'1 datos preparados'!L25</f>
        <v/>
      </c>
      <c r="N32" s="7">
        <f>'1 datos preparados'!M25</f>
        <v/>
      </c>
      <c r="O32" s="7">
        <f>'1 datos preparados'!N25</f>
        <v/>
      </c>
      <c r="P32" s="7">
        <f>'1 datos preparados'!O25</f>
        <v/>
      </c>
      <c r="Q32" s="7">
        <f>'1 datos preparados'!P25</f>
        <v/>
      </c>
      <c r="R32" s="7">
        <f>'1 datos preparados'!Q25</f>
        <v/>
      </c>
      <c r="S32" s="7">
        <f>'1 datos preparados'!R25</f>
        <v/>
      </c>
      <c r="T32" s="7">
        <f>'1 datos preparados'!S25</f>
        <v/>
      </c>
      <c r="U32" s="7">
        <f>'1 datos preparados'!T25</f>
        <v/>
      </c>
      <c r="V32" s="8">
        <f>$AC$12+D32*$AC$13+E32*$AC$14+F32*$AC$15+G32*$AC$16+H32*$AC$17+I32*$AC$18+J32*$AC$19+K32*$AC$20+L32*$AC$21+M32*$AC$22+N32*$AC$23+O32*$AC$24+P32*$AC$25+Q32*$AC$26+R32*$AC$27+S32*$AC$28+T32*$AC$29+U32*$AC$30</f>
        <v/>
      </c>
      <c r="W32" s="8">
        <f>1/(1+EXP(-V32))</f>
        <v/>
      </c>
      <c r="X32" s="9">
        <f>-IF(C32=1,LN(W32),LN(1-W32))</f>
        <v/>
      </c>
      <c r="Y32" s="10">
        <f>IF(W32&gt;$AC$33,1,0)</f>
        <v/>
      </c>
      <c r="Z32">
        <f>IF(Y32=C32,1,0)</f>
        <v/>
      </c>
      <c r="AB32" s="3" t="inlineStr">
        <is>
          <t>λ (lambda): cuánto cuesta el tamaño de los pesos</t>
        </is>
      </c>
      <c r="AC32" s="15" t="n">
        <v>10</v>
      </c>
    </row>
    <row r="33">
      <c r="A33">
        <f>'1 datos preparados'!A26</f>
        <v/>
      </c>
      <c r="B33" s="5">
        <f>'1 datos preparados'!U26</f>
        <v/>
      </c>
      <c r="C33">
        <f>'1 datos preparados'!B26</f>
        <v/>
      </c>
      <c r="D33" s="7">
        <f>'1 datos preparados'!C26</f>
        <v/>
      </c>
      <c r="E33" s="7">
        <f>'1 datos preparados'!D26</f>
        <v/>
      </c>
      <c r="F33" s="7">
        <f>'1 datos preparados'!E26</f>
        <v/>
      </c>
      <c r="G33" s="7">
        <f>'1 datos preparados'!F26</f>
        <v/>
      </c>
      <c r="H33" s="7">
        <f>'1 datos preparados'!G26</f>
        <v/>
      </c>
      <c r="I33" s="7">
        <f>'1 datos preparados'!H26</f>
        <v/>
      </c>
      <c r="J33" s="7">
        <f>'1 datos preparados'!I26</f>
        <v/>
      </c>
      <c r="K33" s="7">
        <f>'1 datos preparados'!J26</f>
        <v/>
      </c>
      <c r="L33" s="7">
        <f>'1 datos preparados'!K26</f>
        <v/>
      </c>
      <c r="M33" s="7">
        <f>'1 datos preparados'!L26</f>
        <v/>
      </c>
      <c r="N33" s="7">
        <f>'1 datos preparados'!M26</f>
        <v/>
      </c>
      <c r="O33" s="7">
        <f>'1 datos preparados'!N26</f>
        <v/>
      </c>
      <c r="P33" s="7">
        <f>'1 datos preparados'!O26</f>
        <v/>
      </c>
      <c r="Q33" s="7">
        <f>'1 datos preparados'!P26</f>
        <v/>
      </c>
      <c r="R33" s="7">
        <f>'1 datos preparados'!Q26</f>
        <v/>
      </c>
      <c r="S33" s="7">
        <f>'1 datos preparados'!R26</f>
        <v/>
      </c>
      <c r="T33" s="7">
        <f>'1 datos preparados'!S26</f>
        <v/>
      </c>
      <c r="U33" s="7">
        <f>'1 datos preparados'!T26</f>
        <v/>
      </c>
      <c r="V33" s="8">
        <f>$AC$12+D33*$AC$13+E33*$AC$14+F33*$AC$15+G33*$AC$16+H33*$AC$17+I33*$AC$18+J33*$AC$19+K33*$AC$20+L33*$AC$21+M33*$AC$22+N33*$AC$23+O33*$AC$24+P33*$AC$25+Q33*$AC$26+R33*$AC$27+S33*$AC$28+T33*$AC$29+U33*$AC$30</f>
        <v/>
      </c>
      <c r="W33" s="8">
        <f>1/(1+EXP(-V33))</f>
        <v/>
      </c>
      <c r="X33" s="9">
        <f>-IF(C33=1,LN(W33),LN(1-W33))</f>
        <v/>
      </c>
      <c r="Y33" s="10">
        <f>IF(W33&gt;$AC$33,1,0)</f>
        <v/>
      </c>
      <c r="Z33">
        <f>IF(Y33=C33,1,0)</f>
        <v/>
      </c>
      <c r="AB33" s="3" t="inlineStr">
        <is>
          <t>umbral</t>
        </is>
      </c>
      <c r="AC33" s="16" t="n">
        <v>0.5</v>
      </c>
    </row>
    <row r="34">
      <c r="A34">
        <f>'1 datos preparados'!A27</f>
        <v/>
      </c>
      <c r="B34" s="5">
        <f>'1 datos preparados'!U27</f>
        <v/>
      </c>
      <c r="C34">
        <f>'1 datos preparados'!B27</f>
        <v/>
      </c>
      <c r="D34" s="7">
        <f>'1 datos preparados'!C27</f>
        <v/>
      </c>
      <c r="E34" s="7">
        <f>'1 datos preparados'!D27</f>
        <v/>
      </c>
      <c r="F34" s="7">
        <f>'1 datos preparados'!E27</f>
        <v/>
      </c>
      <c r="G34" s="7">
        <f>'1 datos preparados'!F27</f>
        <v/>
      </c>
      <c r="H34" s="7">
        <f>'1 datos preparados'!G27</f>
        <v/>
      </c>
      <c r="I34" s="7">
        <f>'1 datos preparados'!H27</f>
        <v/>
      </c>
      <c r="J34" s="7">
        <f>'1 datos preparados'!I27</f>
        <v/>
      </c>
      <c r="K34" s="7">
        <f>'1 datos preparados'!J27</f>
        <v/>
      </c>
      <c r="L34" s="7">
        <f>'1 datos preparados'!K27</f>
        <v/>
      </c>
      <c r="M34" s="7">
        <f>'1 datos preparados'!L27</f>
        <v/>
      </c>
      <c r="N34" s="7">
        <f>'1 datos preparados'!M27</f>
        <v/>
      </c>
      <c r="O34" s="7">
        <f>'1 datos preparados'!N27</f>
        <v/>
      </c>
      <c r="P34" s="7">
        <f>'1 datos preparados'!O27</f>
        <v/>
      </c>
      <c r="Q34" s="7">
        <f>'1 datos preparados'!P27</f>
        <v/>
      </c>
      <c r="R34" s="7">
        <f>'1 datos preparados'!Q27</f>
        <v/>
      </c>
      <c r="S34" s="7">
        <f>'1 datos preparados'!R27</f>
        <v/>
      </c>
      <c r="T34" s="7">
        <f>'1 datos preparados'!S27</f>
        <v/>
      </c>
      <c r="U34" s="7">
        <f>'1 datos preparados'!T27</f>
        <v/>
      </c>
      <c r="V34" s="8">
        <f>$AC$12+D34*$AC$13+E34*$AC$14+F34*$AC$15+G34*$AC$16+H34*$AC$17+I34*$AC$18+J34*$AC$19+K34*$AC$20+L34*$AC$21+M34*$AC$22+N34*$AC$23+O34*$AC$24+P34*$AC$25+Q34*$AC$26+R34*$AC$27+S34*$AC$28+T34*$AC$29+U34*$AC$30</f>
        <v/>
      </c>
      <c r="W34" s="8">
        <f>1/(1+EXP(-V34))</f>
        <v/>
      </c>
      <c r="X34" s="9">
        <f>-IF(C34=1,LN(W34),LN(1-W34))</f>
        <v/>
      </c>
      <c r="Y34" s="10">
        <f>IF(W34&gt;$AC$33,1,0)</f>
        <v/>
      </c>
      <c r="Z34">
        <f>IF(Y34=C34,1,0)</f>
        <v/>
      </c>
    </row>
    <row r="35">
      <c r="A35">
        <f>'1 datos preparados'!A28</f>
        <v/>
      </c>
      <c r="B35" s="5">
        <f>'1 datos preparados'!U28</f>
        <v/>
      </c>
      <c r="C35">
        <f>'1 datos preparados'!B28</f>
        <v/>
      </c>
      <c r="D35" s="7">
        <f>'1 datos preparados'!C28</f>
        <v/>
      </c>
      <c r="E35" s="7">
        <f>'1 datos preparados'!D28</f>
        <v/>
      </c>
      <c r="F35" s="7">
        <f>'1 datos preparados'!E28</f>
        <v/>
      </c>
      <c r="G35" s="7">
        <f>'1 datos preparados'!F28</f>
        <v/>
      </c>
      <c r="H35" s="7">
        <f>'1 datos preparados'!G28</f>
        <v/>
      </c>
      <c r="I35" s="7">
        <f>'1 datos preparados'!H28</f>
        <v/>
      </c>
      <c r="J35" s="7">
        <f>'1 datos preparados'!I28</f>
        <v/>
      </c>
      <c r="K35" s="7">
        <f>'1 datos preparados'!J28</f>
        <v/>
      </c>
      <c r="L35" s="7">
        <f>'1 datos preparados'!K28</f>
        <v/>
      </c>
      <c r="M35" s="7">
        <f>'1 datos preparados'!L28</f>
        <v/>
      </c>
      <c r="N35" s="7">
        <f>'1 datos preparados'!M28</f>
        <v/>
      </c>
      <c r="O35" s="7">
        <f>'1 datos preparados'!N28</f>
        <v/>
      </c>
      <c r="P35" s="7">
        <f>'1 datos preparados'!O28</f>
        <v/>
      </c>
      <c r="Q35" s="7">
        <f>'1 datos preparados'!P28</f>
        <v/>
      </c>
      <c r="R35" s="7">
        <f>'1 datos preparados'!Q28</f>
        <v/>
      </c>
      <c r="S35" s="7">
        <f>'1 datos preparados'!R28</f>
        <v/>
      </c>
      <c r="T35" s="7">
        <f>'1 datos preparados'!S28</f>
        <v/>
      </c>
      <c r="U35" s="7">
        <f>'1 datos preparados'!T28</f>
        <v/>
      </c>
      <c r="V35" s="8">
        <f>$AC$12+D35*$AC$13+E35*$AC$14+F35*$AC$15+G35*$AC$16+H35*$AC$17+I35*$AC$18+J35*$AC$19+K35*$AC$20+L35*$AC$21+M35*$AC$22+N35*$AC$23+O35*$AC$24+P35*$AC$25+Q35*$AC$26+R35*$AC$27+S35*$AC$28+T35*$AC$29+U35*$AC$30</f>
        <v/>
      </c>
      <c r="W35" s="8">
        <f>1/(1+EXP(-V35))</f>
        <v/>
      </c>
      <c r="X35" s="9">
        <f>-IF(C35=1,LN(W35),LN(1-W35))</f>
        <v/>
      </c>
      <c r="Y35" s="10">
        <f>IF(W35&gt;$AC$33,1,0)</f>
        <v/>
      </c>
      <c r="Z35">
        <f>IF(Y35=C35,1,0)</f>
        <v/>
      </c>
      <c r="AB35" s="3" t="inlineStr">
        <is>
          <t>RESULTADOS</t>
        </is>
      </c>
    </row>
    <row r="36">
      <c r="A36">
        <f>'1 datos preparados'!A29</f>
        <v/>
      </c>
      <c r="B36" s="5">
        <f>'1 datos preparados'!U29</f>
        <v/>
      </c>
      <c r="C36">
        <f>'1 datos preparados'!B29</f>
        <v/>
      </c>
      <c r="D36" s="7">
        <f>'1 datos preparados'!C29</f>
        <v/>
      </c>
      <c r="E36" s="7">
        <f>'1 datos preparados'!D29</f>
        <v/>
      </c>
      <c r="F36" s="7">
        <f>'1 datos preparados'!E29</f>
        <v/>
      </c>
      <c r="G36" s="7">
        <f>'1 datos preparados'!F29</f>
        <v/>
      </c>
      <c r="H36" s="7">
        <f>'1 datos preparados'!G29</f>
        <v/>
      </c>
      <c r="I36" s="7">
        <f>'1 datos preparados'!H29</f>
        <v/>
      </c>
      <c r="J36" s="7">
        <f>'1 datos preparados'!I29</f>
        <v/>
      </c>
      <c r="K36" s="7">
        <f>'1 datos preparados'!J29</f>
        <v/>
      </c>
      <c r="L36" s="7">
        <f>'1 datos preparados'!K29</f>
        <v/>
      </c>
      <c r="M36" s="7">
        <f>'1 datos preparados'!L29</f>
        <v/>
      </c>
      <c r="N36" s="7">
        <f>'1 datos preparados'!M29</f>
        <v/>
      </c>
      <c r="O36" s="7">
        <f>'1 datos preparados'!N29</f>
        <v/>
      </c>
      <c r="P36" s="7">
        <f>'1 datos preparados'!O29</f>
        <v/>
      </c>
      <c r="Q36" s="7">
        <f>'1 datos preparados'!P29</f>
        <v/>
      </c>
      <c r="R36" s="7">
        <f>'1 datos preparados'!Q29</f>
        <v/>
      </c>
      <c r="S36" s="7">
        <f>'1 datos preparados'!R29</f>
        <v/>
      </c>
      <c r="T36" s="7">
        <f>'1 datos preparados'!S29</f>
        <v/>
      </c>
      <c r="U36" s="7">
        <f>'1 datos preparados'!T29</f>
        <v/>
      </c>
      <c r="V36" s="8">
        <f>$AC$12+D36*$AC$13+E36*$AC$14+F36*$AC$15+G36*$AC$16+H36*$AC$17+I36*$AC$18+J36*$AC$19+K36*$AC$20+L36*$AC$21+M36*$AC$22+N36*$AC$23+O36*$AC$24+P36*$AC$25+Q36*$AC$26+R36*$AC$27+S36*$AC$28+T36*$AC$29+U36*$AC$30</f>
        <v/>
      </c>
      <c r="W36" s="8">
        <f>1/(1+EXP(-V36))</f>
        <v/>
      </c>
      <c r="X36" s="9">
        <f>-IF(C36=1,LN(W36),LN(1-W36))</f>
        <v/>
      </c>
      <c r="Y36" s="10">
        <f>IF(W36&gt;$AC$33,1,0)</f>
        <v/>
      </c>
      <c r="Z36">
        <f>IF(Y36=C36,1,0)</f>
        <v/>
      </c>
      <c r="AB36" t="inlineStr">
        <is>
          <t>suma de pérdidas en training</t>
        </is>
      </c>
      <c r="AC36" s="17">
        <f>SUMPRODUCT(($B$12:$B$1011="training")*$X$12:$X$1011)</f>
        <v/>
      </c>
    </row>
    <row r="37">
      <c r="A37">
        <f>'1 datos preparados'!A30</f>
        <v/>
      </c>
      <c r="B37" s="5">
        <f>'1 datos preparados'!U30</f>
        <v/>
      </c>
      <c r="C37">
        <f>'1 datos preparados'!B30</f>
        <v/>
      </c>
      <c r="D37" s="7">
        <f>'1 datos preparados'!C30</f>
        <v/>
      </c>
      <c r="E37" s="7">
        <f>'1 datos preparados'!D30</f>
        <v/>
      </c>
      <c r="F37" s="7">
        <f>'1 datos preparados'!E30</f>
        <v/>
      </c>
      <c r="G37" s="7">
        <f>'1 datos preparados'!F30</f>
        <v/>
      </c>
      <c r="H37" s="7">
        <f>'1 datos preparados'!G30</f>
        <v/>
      </c>
      <c r="I37" s="7">
        <f>'1 datos preparados'!H30</f>
        <v/>
      </c>
      <c r="J37" s="7">
        <f>'1 datos preparados'!I30</f>
        <v/>
      </c>
      <c r="K37" s="7">
        <f>'1 datos preparados'!J30</f>
        <v/>
      </c>
      <c r="L37" s="7">
        <f>'1 datos preparados'!K30</f>
        <v/>
      </c>
      <c r="M37" s="7">
        <f>'1 datos preparados'!L30</f>
        <v/>
      </c>
      <c r="N37" s="7">
        <f>'1 datos preparados'!M30</f>
        <v/>
      </c>
      <c r="O37" s="7">
        <f>'1 datos preparados'!N30</f>
        <v/>
      </c>
      <c r="P37" s="7">
        <f>'1 datos preparados'!O30</f>
        <v/>
      </c>
      <c r="Q37" s="7">
        <f>'1 datos preparados'!P30</f>
        <v/>
      </c>
      <c r="R37" s="7">
        <f>'1 datos preparados'!Q30</f>
        <v/>
      </c>
      <c r="S37" s="7">
        <f>'1 datos preparados'!R30</f>
        <v/>
      </c>
      <c r="T37" s="7">
        <f>'1 datos preparados'!S30</f>
        <v/>
      </c>
      <c r="U37" s="7">
        <f>'1 datos preparados'!T30</f>
        <v/>
      </c>
      <c r="V37" s="8">
        <f>$AC$12+D37*$AC$13+E37*$AC$14+F37*$AC$15+G37*$AC$16+H37*$AC$17+I37*$AC$18+J37*$AC$19+K37*$AC$20+L37*$AC$21+M37*$AC$22+N37*$AC$23+O37*$AC$24+P37*$AC$25+Q37*$AC$26+R37*$AC$27+S37*$AC$28+T37*$AC$29+U37*$AC$30</f>
        <v/>
      </c>
      <c r="W37" s="8">
        <f>1/(1+EXP(-V37))</f>
        <v/>
      </c>
      <c r="X37" s="9">
        <f>-IF(C37=1,LN(W37),LN(1-W37))</f>
        <v/>
      </c>
      <c r="Y37" s="10">
        <f>IF(W37&gt;$AC$33,1,0)</f>
        <v/>
      </c>
      <c r="Z37">
        <f>IF(Y37=C37,1,0)</f>
        <v/>
      </c>
      <c r="AB37" t="inlineStr">
        <is>
          <t>penalización L2 = λ/2 · Σ theta²</t>
        </is>
      </c>
      <c r="AC37" s="18">
        <f>$AC$32/2*SUM($AE$13:$AE$30)</f>
        <v/>
      </c>
    </row>
    <row r="38">
      <c r="A38">
        <f>'1 datos preparados'!A31</f>
        <v/>
      </c>
      <c r="B38" s="5">
        <f>'1 datos preparados'!U31</f>
        <v/>
      </c>
      <c r="C38">
        <f>'1 datos preparados'!B31</f>
        <v/>
      </c>
      <c r="D38" s="7">
        <f>'1 datos preparados'!C31</f>
        <v/>
      </c>
      <c r="E38" s="7">
        <f>'1 datos preparados'!D31</f>
        <v/>
      </c>
      <c r="F38" s="7">
        <f>'1 datos preparados'!E31</f>
        <v/>
      </c>
      <c r="G38" s="7">
        <f>'1 datos preparados'!F31</f>
        <v/>
      </c>
      <c r="H38" s="7">
        <f>'1 datos preparados'!G31</f>
        <v/>
      </c>
      <c r="I38" s="7">
        <f>'1 datos preparados'!H31</f>
        <v/>
      </c>
      <c r="J38" s="7">
        <f>'1 datos preparados'!I31</f>
        <v/>
      </c>
      <c r="K38" s="7">
        <f>'1 datos preparados'!J31</f>
        <v/>
      </c>
      <c r="L38" s="7">
        <f>'1 datos preparados'!K31</f>
        <v/>
      </c>
      <c r="M38" s="7">
        <f>'1 datos preparados'!L31</f>
        <v/>
      </c>
      <c r="N38" s="7">
        <f>'1 datos preparados'!M31</f>
        <v/>
      </c>
      <c r="O38" s="7">
        <f>'1 datos preparados'!N31</f>
        <v/>
      </c>
      <c r="P38" s="7">
        <f>'1 datos preparados'!O31</f>
        <v/>
      </c>
      <c r="Q38" s="7">
        <f>'1 datos preparados'!P31</f>
        <v/>
      </c>
      <c r="R38" s="7">
        <f>'1 datos preparados'!Q31</f>
        <v/>
      </c>
      <c r="S38" s="7">
        <f>'1 datos preparados'!R31</f>
        <v/>
      </c>
      <c r="T38" s="7">
        <f>'1 datos preparados'!S31</f>
        <v/>
      </c>
      <c r="U38" s="7">
        <f>'1 datos preparados'!T31</f>
        <v/>
      </c>
      <c r="V38" s="8">
        <f>$AC$12+D38*$AC$13+E38*$AC$14+F38*$AC$15+G38*$AC$16+H38*$AC$17+I38*$AC$18+J38*$AC$19+K38*$AC$20+L38*$AC$21+M38*$AC$22+N38*$AC$23+O38*$AC$24+P38*$AC$25+Q38*$AC$26+R38*$AC$27+S38*$AC$28+T38*$AC$29+U38*$AC$30</f>
        <v/>
      </c>
      <c r="W38" s="8">
        <f>1/(1+EXP(-V38))</f>
        <v/>
      </c>
      <c r="X38" s="9">
        <f>-IF(C38=1,LN(W38),LN(1-W38))</f>
        <v/>
      </c>
      <c r="Y38" s="10">
        <f>IF(W38&gt;$AC$33,1,0)</f>
        <v/>
      </c>
      <c r="Z38">
        <f>IF(Y38=C38,1,0)</f>
        <v/>
      </c>
      <c r="AB38" t="inlineStr">
        <is>
          <t>J = suma de pérdidas + penalización (OBJETIVO DE SOLVER)</t>
        </is>
      </c>
      <c r="AC38" s="17">
        <f>AC36+AC37</f>
        <v/>
      </c>
    </row>
    <row r="39">
      <c r="A39">
        <f>'1 datos preparados'!A32</f>
        <v/>
      </c>
      <c r="B39" s="5">
        <f>'1 datos preparados'!U32</f>
        <v/>
      </c>
      <c r="C39">
        <f>'1 datos preparados'!B32</f>
        <v/>
      </c>
      <c r="D39" s="7">
        <f>'1 datos preparados'!C32</f>
        <v/>
      </c>
      <c r="E39" s="7">
        <f>'1 datos preparados'!D32</f>
        <v/>
      </c>
      <c r="F39" s="7">
        <f>'1 datos preparados'!E32</f>
        <v/>
      </c>
      <c r="G39" s="7">
        <f>'1 datos preparados'!F32</f>
        <v/>
      </c>
      <c r="H39" s="7">
        <f>'1 datos preparados'!G32</f>
        <v/>
      </c>
      <c r="I39" s="7">
        <f>'1 datos preparados'!H32</f>
        <v/>
      </c>
      <c r="J39" s="7">
        <f>'1 datos preparados'!I32</f>
        <v/>
      </c>
      <c r="K39" s="7">
        <f>'1 datos preparados'!J32</f>
        <v/>
      </c>
      <c r="L39" s="7">
        <f>'1 datos preparados'!K32</f>
        <v/>
      </c>
      <c r="M39" s="7">
        <f>'1 datos preparados'!L32</f>
        <v/>
      </c>
      <c r="N39" s="7">
        <f>'1 datos preparados'!M32</f>
        <v/>
      </c>
      <c r="O39" s="7">
        <f>'1 datos preparados'!N32</f>
        <v/>
      </c>
      <c r="P39" s="7">
        <f>'1 datos preparados'!O32</f>
        <v/>
      </c>
      <c r="Q39" s="7">
        <f>'1 datos preparados'!P32</f>
        <v/>
      </c>
      <c r="R39" s="7">
        <f>'1 datos preparados'!Q32</f>
        <v/>
      </c>
      <c r="S39" s="7">
        <f>'1 datos preparados'!R32</f>
        <v/>
      </c>
      <c r="T39" s="7">
        <f>'1 datos preparados'!S32</f>
        <v/>
      </c>
      <c r="U39" s="7">
        <f>'1 datos preparados'!T32</f>
        <v/>
      </c>
      <c r="V39" s="8">
        <f>$AC$12+D39*$AC$13+E39*$AC$14+F39*$AC$15+G39*$AC$16+H39*$AC$17+I39*$AC$18+J39*$AC$19+K39*$AC$20+L39*$AC$21+M39*$AC$22+N39*$AC$23+O39*$AC$24+P39*$AC$25+Q39*$AC$26+R39*$AC$27+S39*$AC$28+T39*$AC$29+U39*$AC$30</f>
        <v/>
      </c>
      <c r="W39" s="8">
        <f>1/(1+EXP(-V39))</f>
        <v/>
      </c>
      <c r="X39" s="9">
        <f>-IF(C39=1,LN(W39),LN(1-W39))</f>
        <v/>
      </c>
      <c r="Y39" s="10">
        <f>IF(W39&gt;$AC$33,1,0)</f>
        <v/>
      </c>
      <c r="Z39">
        <f>IF(Y39=C39,1,0)</f>
        <v/>
      </c>
      <c r="AB39" t="inlineStr">
        <is>
          <t>pérdida promedio training</t>
        </is>
      </c>
      <c r="AC39" s="19">
        <f>AC36/COUNTIF($B$12:$B$1011,"training")</f>
        <v/>
      </c>
    </row>
    <row r="40">
      <c r="A40">
        <f>'1 datos preparados'!A33</f>
        <v/>
      </c>
      <c r="B40" s="5">
        <f>'1 datos preparados'!U33</f>
        <v/>
      </c>
      <c r="C40">
        <f>'1 datos preparados'!B33</f>
        <v/>
      </c>
      <c r="D40" s="7">
        <f>'1 datos preparados'!C33</f>
        <v/>
      </c>
      <c r="E40" s="7">
        <f>'1 datos preparados'!D33</f>
        <v/>
      </c>
      <c r="F40" s="7">
        <f>'1 datos preparados'!E33</f>
        <v/>
      </c>
      <c r="G40" s="7">
        <f>'1 datos preparados'!F33</f>
        <v/>
      </c>
      <c r="H40" s="7">
        <f>'1 datos preparados'!G33</f>
        <v/>
      </c>
      <c r="I40" s="7">
        <f>'1 datos preparados'!H33</f>
        <v/>
      </c>
      <c r="J40" s="7">
        <f>'1 datos preparados'!I33</f>
        <v/>
      </c>
      <c r="K40" s="7">
        <f>'1 datos preparados'!J33</f>
        <v/>
      </c>
      <c r="L40" s="7">
        <f>'1 datos preparados'!K33</f>
        <v/>
      </c>
      <c r="M40" s="7">
        <f>'1 datos preparados'!L33</f>
        <v/>
      </c>
      <c r="N40" s="7">
        <f>'1 datos preparados'!M33</f>
        <v/>
      </c>
      <c r="O40" s="7">
        <f>'1 datos preparados'!N33</f>
        <v/>
      </c>
      <c r="P40" s="7">
        <f>'1 datos preparados'!O33</f>
        <v/>
      </c>
      <c r="Q40" s="7">
        <f>'1 datos preparados'!P33</f>
        <v/>
      </c>
      <c r="R40" s="7">
        <f>'1 datos preparados'!Q33</f>
        <v/>
      </c>
      <c r="S40" s="7">
        <f>'1 datos preparados'!R33</f>
        <v/>
      </c>
      <c r="T40" s="7">
        <f>'1 datos preparados'!S33</f>
        <v/>
      </c>
      <c r="U40" s="7">
        <f>'1 datos preparados'!T33</f>
        <v/>
      </c>
      <c r="V40" s="8">
        <f>$AC$12+D40*$AC$13+E40*$AC$14+F40*$AC$15+G40*$AC$16+H40*$AC$17+I40*$AC$18+J40*$AC$19+K40*$AC$20+L40*$AC$21+M40*$AC$22+N40*$AC$23+O40*$AC$24+P40*$AC$25+Q40*$AC$26+R40*$AC$27+S40*$AC$28+T40*$AC$29+U40*$AC$30</f>
        <v/>
      </c>
      <c r="W40" s="8">
        <f>1/(1+EXP(-V40))</f>
        <v/>
      </c>
      <c r="X40" s="9">
        <f>-IF(C40=1,LN(W40),LN(1-W40))</f>
        <v/>
      </c>
      <c r="Y40" s="10">
        <f>IF(W40&gt;$AC$33,1,0)</f>
        <v/>
      </c>
      <c r="Z40">
        <f>IF(Y40=C40,1,0)</f>
        <v/>
      </c>
      <c r="AB40" t="inlineStr">
        <is>
          <t>pérdida promedio testing</t>
        </is>
      </c>
      <c r="AC40" s="19">
        <f>SUMPRODUCT(($B$12:$B$1011="testing")*$X$12:$X$1011)/COUNTIF($B$12:$B$1011,"testing")</f>
        <v/>
      </c>
    </row>
    <row r="41">
      <c r="A41">
        <f>'1 datos preparados'!A34</f>
        <v/>
      </c>
      <c r="B41" s="5">
        <f>'1 datos preparados'!U34</f>
        <v/>
      </c>
      <c r="C41">
        <f>'1 datos preparados'!B34</f>
        <v/>
      </c>
      <c r="D41" s="7">
        <f>'1 datos preparados'!C34</f>
        <v/>
      </c>
      <c r="E41" s="7">
        <f>'1 datos preparados'!D34</f>
        <v/>
      </c>
      <c r="F41" s="7">
        <f>'1 datos preparados'!E34</f>
        <v/>
      </c>
      <c r="G41" s="7">
        <f>'1 datos preparados'!F34</f>
        <v/>
      </c>
      <c r="H41" s="7">
        <f>'1 datos preparados'!G34</f>
        <v/>
      </c>
      <c r="I41" s="7">
        <f>'1 datos preparados'!H34</f>
        <v/>
      </c>
      <c r="J41" s="7">
        <f>'1 datos preparados'!I34</f>
        <v/>
      </c>
      <c r="K41" s="7">
        <f>'1 datos preparados'!J34</f>
        <v/>
      </c>
      <c r="L41" s="7">
        <f>'1 datos preparados'!K34</f>
        <v/>
      </c>
      <c r="M41" s="7">
        <f>'1 datos preparados'!L34</f>
        <v/>
      </c>
      <c r="N41" s="7">
        <f>'1 datos preparados'!M34</f>
        <v/>
      </c>
      <c r="O41" s="7">
        <f>'1 datos preparados'!N34</f>
        <v/>
      </c>
      <c r="P41" s="7">
        <f>'1 datos preparados'!O34</f>
        <v/>
      </c>
      <c r="Q41" s="7">
        <f>'1 datos preparados'!P34</f>
        <v/>
      </c>
      <c r="R41" s="7">
        <f>'1 datos preparados'!Q34</f>
        <v/>
      </c>
      <c r="S41" s="7">
        <f>'1 datos preparados'!R34</f>
        <v/>
      </c>
      <c r="T41" s="7">
        <f>'1 datos preparados'!S34</f>
        <v/>
      </c>
      <c r="U41" s="7">
        <f>'1 datos preparados'!T34</f>
        <v/>
      </c>
      <c r="V41" s="8">
        <f>$AC$12+D41*$AC$13+E41*$AC$14+F41*$AC$15+G41*$AC$16+H41*$AC$17+I41*$AC$18+J41*$AC$19+K41*$AC$20+L41*$AC$21+M41*$AC$22+N41*$AC$23+O41*$AC$24+P41*$AC$25+Q41*$AC$26+R41*$AC$27+S41*$AC$28+T41*$AC$29+U41*$AC$30</f>
        <v/>
      </c>
      <c r="W41" s="8">
        <f>1/(1+EXP(-V41))</f>
        <v/>
      </c>
      <c r="X41" s="9">
        <f>-IF(C41=1,LN(W41),LN(1-W41))</f>
        <v/>
      </c>
      <c r="Y41" s="10">
        <f>IF(W41&gt;$AC$33,1,0)</f>
        <v/>
      </c>
      <c r="Z41">
        <f>IF(Y41=C41,1,0)</f>
        <v/>
      </c>
      <c r="AB41" t="inlineStr">
        <is>
          <t>acierto testing</t>
        </is>
      </c>
      <c r="AC41" s="20">
        <f>SUMPRODUCT(($B$12:$B$1011="testing")*$Z$12:$Z$1011)/COUNTIF($B$12:$B$1011,"testing")</f>
        <v/>
      </c>
    </row>
    <row r="42">
      <c r="A42">
        <f>'1 datos preparados'!A35</f>
        <v/>
      </c>
      <c r="B42" s="5">
        <f>'1 datos preparados'!U35</f>
        <v/>
      </c>
      <c r="C42">
        <f>'1 datos preparados'!B35</f>
        <v/>
      </c>
      <c r="D42" s="7">
        <f>'1 datos preparados'!C35</f>
        <v/>
      </c>
      <c r="E42" s="7">
        <f>'1 datos preparados'!D35</f>
        <v/>
      </c>
      <c r="F42" s="7">
        <f>'1 datos preparados'!E35</f>
        <v/>
      </c>
      <c r="G42" s="7">
        <f>'1 datos preparados'!F35</f>
        <v/>
      </c>
      <c r="H42" s="7">
        <f>'1 datos preparados'!G35</f>
        <v/>
      </c>
      <c r="I42" s="7">
        <f>'1 datos preparados'!H35</f>
        <v/>
      </c>
      <c r="J42" s="7">
        <f>'1 datos preparados'!I35</f>
        <v/>
      </c>
      <c r="K42" s="7">
        <f>'1 datos preparados'!J35</f>
        <v/>
      </c>
      <c r="L42" s="7">
        <f>'1 datos preparados'!K35</f>
        <v/>
      </c>
      <c r="M42" s="7">
        <f>'1 datos preparados'!L35</f>
        <v/>
      </c>
      <c r="N42" s="7">
        <f>'1 datos preparados'!M35</f>
        <v/>
      </c>
      <c r="O42" s="7">
        <f>'1 datos preparados'!N35</f>
        <v/>
      </c>
      <c r="P42" s="7">
        <f>'1 datos preparados'!O35</f>
        <v/>
      </c>
      <c r="Q42" s="7">
        <f>'1 datos preparados'!P35</f>
        <v/>
      </c>
      <c r="R42" s="7">
        <f>'1 datos preparados'!Q35</f>
        <v/>
      </c>
      <c r="S42" s="7">
        <f>'1 datos preparados'!R35</f>
        <v/>
      </c>
      <c r="T42" s="7">
        <f>'1 datos preparados'!S35</f>
        <v/>
      </c>
      <c r="U42" s="7">
        <f>'1 datos preparados'!T35</f>
        <v/>
      </c>
      <c r="V42" s="8">
        <f>$AC$12+D42*$AC$13+E42*$AC$14+F42*$AC$15+G42*$AC$16+H42*$AC$17+I42*$AC$18+J42*$AC$19+K42*$AC$20+L42*$AC$21+M42*$AC$22+N42*$AC$23+O42*$AC$24+P42*$AC$25+Q42*$AC$26+R42*$AC$27+S42*$AC$28+T42*$AC$29+U42*$AC$30</f>
        <v/>
      </c>
      <c r="W42" s="8">
        <f>1/(1+EXP(-V42))</f>
        <v/>
      </c>
      <c r="X42" s="9">
        <f>-IF(C42=1,LN(W42),LN(1-W42))</f>
        <v/>
      </c>
      <c r="Y42" s="10">
        <f>IF(W42&gt;$AC$33,1,0)</f>
        <v/>
      </c>
      <c r="Z42">
        <f>IF(Y42=C42,1,0)</f>
        <v/>
      </c>
      <c r="AB42" t="inlineStr">
        <is>
          <t>pesos (sin intercepto) con |theta| &lt; 0,01</t>
        </is>
      </c>
      <c r="AC42" s="21">
        <f>COUNTIF(AC13:AC30,"&lt;0.01")-COUNTIF(AC13:AC30,"&lt;-0.01")</f>
        <v/>
      </c>
    </row>
    <row r="43">
      <c r="A43">
        <f>'1 datos preparados'!A36</f>
        <v/>
      </c>
      <c r="B43" s="5">
        <f>'1 datos preparados'!U36</f>
        <v/>
      </c>
      <c r="C43">
        <f>'1 datos preparados'!B36</f>
        <v/>
      </c>
      <c r="D43" s="7">
        <f>'1 datos preparados'!C36</f>
        <v/>
      </c>
      <c r="E43" s="7">
        <f>'1 datos preparados'!D36</f>
        <v/>
      </c>
      <c r="F43" s="7">
        <f>'1 datos preparados'!E36</f>
        <v/>
      </c>
      <c r="G43" s="7">
        <f>'1 datos preparados'!F36</f>
        <v/>
      </c>
      <c r="H43" s="7">
        <f>'1 datos preparados'!G36</f>
        <v/>
      </c>
      <c r="I43" s="7">
        <f>'1 datos preparados'!H36</f>
        <v/>
      </c>
      <c r="J43" s="7">
        <f>'1 datos preparados'!I36</f>
        <v/>
      </c>
      <c r="K43" s="7">
        <f>'1 datos preparados'!J36</f>
        <v/>
      </c>
      <c r="L43" s="7">
        <f>'1 datos preparados'!K36</f>
        <v/>
      </c>
      <c r="M43" s="7">
        <f>'1 datos preparados'!L36</f>
        <v/>
      </c>
      <c r="N43" s="7">
        <f>'1 datos preparados'!M36</f>
        <v/>
      </c>
      <c r="O43" s="7">
        <f>'1 datos preparados'!N36</f>
        <v/>
      </c>
      <c r="P43" s="7">
        <f>'1 datos preparados'!O36</f>
        <v/>
      </c>
      <c r="Q43" s="7">
        <f>'1 datos preparados'!P36</f>
        <v/>
      </c>
      <c r="R43" s="7">
        <f>'1 datos preparados'!Q36</f>
        <v/>
      </c>
      <c r="S43" s="7">
        <f>'1 datos preparados'!R36</f>
        <v/>
      </c>
      <c r="T43" s="7">
        <f>'1 datos preparados'!S36</f>
        <v/>
      </c>
      <c r="U43" s="7">
        <f>'1 datos preparados'!T36</f>
        <v/>
      </c>
      <c r="V43" s="8">
        <f>$AC$12+D43*$AC$13+E43*$AC$14+F43*$AC$15+G43*$AC$16+H43*$AC$17+I43*$AC$18+J43*$AC$19+K43*$AC$20+L43*$AC$21+M43*$AC$22+N43*$AC$23+O43*$AC$24+P43*$AC$25+Q43*$AC$26+R43*$AC$27+S43*$AC$28+T43*$AC$29+U43*$AC$30</f>
        <v/>
      </c>
      <c r="W43" s="8">
        <f>1/(1+EXP(-V43))</f>
        <v/>
      </c>
      <c r="X43" s="9">
        <f>-IF(C43=1,LN(W43),LN(1-W43))</f>
        <v/>
      </c>
      <c r="Y43" s="10">
        <f>IF(W43&gt;$AC$33,1,0)</f>
        <v/>
      </c>
      <c r="Z43">
        <f>IF(Y43=C43,1,0)</f>
        <v/>
      </c>
      <c r="AB43" t="inlineStr">
        <is>
          <t>referencia scikit-learn (λ = 10): J</t>
        </is>
      </c>
      <c r="AC43" s="22" t="n">
        <v>372.5271165697004</v>
      </c>
    </row>
    <row r="44">
      <c r="A44">
        <f>'1 datos preparados'!A37</f>
        <v/>
      </c>
      <c r="B44" s="5">
        <f>'1 datos preparados'!U37</f>
        <v/>
      </c>
      <c r="C44">
        <f>'1 datos preparados'!B37</f>
        <v/>
      </c>
      <c r="D44" s="7">
        <f>'1 datos preparados'!C37</f>
        <v/>
      </c>
      <c r="E44" s="7">
        <f>'1 datos preparados'!D37</f>
        <v/>
      </c>
      <c r="F44" s="7">
        <f>'1 datos preparados'!E37</f>
        <v/>
      </c>
      <c r="G44" s="7">
        <f>'1 datos preparados'!F37</f>
        <v/>
      </c>
      <c r="H44" s="7">
        <f>'1 datos preparados'!G37</f>
        <v/>
      </c>
      <c r="I44" s="7">
        <f>'1 datos preparados'!H37</f>
        <v/>
      </c>
      <c r="J44" s="7">
        <f>'1 datos preparados'!I37</f>
        <v/>
      </c>
      <c r="K44" s="7">
        <f>'1 datos preparados'!J37</f>
        <v/>
      </c>
      <c r="L44" s="7">
        <f>'1 datos preparados'!K37</f>
        <v/>
      </c>
      <c r="M44" s="7">
        <f>'1 datos preparados'!L37</f>
        <v/>
      </c>
      <c r="N44" s="7">
        <f>'1 datos preparados'!M37</f>
        <v/>
      </c>
      <c r="O44" s="7">
        <f>'1 datos preparados'!N37</f>
        <v/>
      </c>
      <c r="P44" s="7">
        <f>'1 datos preparados'!O37</f>
        <v/>
      </c>
      <c r="Q44" s="7">
        <f>'1 datos preparados'!P37</f>
        <v/>
      </c>
      <c r="R44" s="7">
        <f>'1 datos preparados'!Q37</f>
        <v/>
      </c>
      <c r="S44" s="7">
        <f>'1 datos preparados'!R37</f>
        <v/>
      </c>
      <c r="T44" s="7">
        <f>'1 datos preparados'!S37</f>
        <v/>
      </c>
      <c r="U44" s="7">
        <f>'1 datos preparados'!T37</f>
        <v/>
      </c>
      <c r="V44" s="8">
        <f>$AC$12+D44*$AC$13+E44*$AC$14+F44*$AC$15+G44*$AC$16+H44*$AC$17+I44*$AC$18+J44*$AC$19+K44*$AC$20+L44*$AC$21+M44*$AC$22+N44*$AC$23+O44*$AC$24+P44*$AC$25+Q44*$AC$26+R44*$AC$27+S44*$AC$28+T44*$AC$29+U44*$AC$30</f>
        <v/>
      </c>
      <c r="W44" s="8">
        <f>1/(1+EXP(-V44))</f>
        <v/>
      </c>
      <c r="X44" s="9">
        <f>-IF(C44=1,LN(W44),LN(1-W44))</f>
        <v/>
      </c>
      <c r="Y44" s="10">
        <f>IF(W44&gt;$AC$33,1,0)</f>
        <v/>
      </c>
      <c r="Z44">
        <f>IF(Y44=C44,1,0)</f>
        <v/>
      </c>
      <c r="AB44" t="inlineStr">
        <is>
          <t>referencia scikit-learn (λ = 10): pérdida promedio testing</t>
        </is>
      </c>
      <c r="AC44" s="12" t="n">
        <v>0.4847933105992291</v>
      </c>
    </row>
    <row r="45">
      <c r="A45">
        <f>'1 datos preparados'!A38</f>
        <v/>
      </c>
      <c r="B45" s="5">
        <f>'1 datos preparados'!U38</f>
        <v/>
      </c>
      <c r="C45">
        <f>'1 datos preparados'!B38</f>
        <v/>
      </c>
      <c r="D45" s="7">
        <f>'1 datos preparados'!C38</f>
        <v/>
      </c>
      <c r="E45" s="7">
        <f>'1 datos preparados'!D38</f>
        <v/>
      </c>
      <c r="F45" s="7">
        <f>'1 datos preparados'!E38</f>
        <v/>
      </c>
      <c r="G45" s="7">
        <f>'1 datos preparados'!F38</f>
        <v/>
      </c>
      <c r="H45" s="7">
        <f>'1 datos preparados'!G38</f>
        <v/>
      </c>
      <c r="I45" s="7">
        <f>'1 datos preparados'!H38</f>
        <v/>
      </c>
      <c r="J45" s="7">
        <f>'1 datos preparados'!I38</f>
        <v/>
      </c>
      <c r="K45" s="7">
        <f>'1 datos preparados'!J38</f>
        <v/>
      </c>
      <c r="L45" s="7">
        <f>'1 datos preparados'!K38</f>
        <v/>
      </c>
      <c r="M45" s="7">
        <f>'1 datos preparados'!L38</f>
        <v/>
      </c>
      <c r="N45" s="7">
        <f>'1 datos preparados'!M38</f>
        <v/>
      </c>
      <c r="O45" s="7">
        <f>'1 datos preparados'!N38</f>
        <v/>
      </c>
      <c r="P45" s="7">
        <f>'1 datos preparados'!O38</f>
        <v/>
      </c>
      <c r="Q45" s="7">
        <f>'1 datos preparados'!P38</f>
        <v/>
      </c>
      <c r="R45" s="7">
        <f>'1 datos preparados'!Q38</f>
        <v/>
      </c>
      <c r="S45" s="7">
        <f>'1 datos preparados'!R38</f>
        <v/>
      </c>
      <c r="T45" s="7">
        <f>'1 datos preparados'!S38</f>
        <v/>
      </c>
      <c r="U45" s="7">
        <f>'1 datos preparados'!T38</f>
        <v/>
      </c>
      <c r="V45" s="8">
        <f>$AC$12+D45*$AC$13+E45*$AC$14+F45*$AC$15+G45*$AC$16+H45*$AC$17+I45*$AC$18+J45*$AC$19+K45*$AC$20+L45*$AC$21+M45*$AC$22+N45*$AC$23+O45*$AC$24+P45*$AC$25+Q45*$AC$26+R45*$AC$27+S45*$AC$28+T45*$AC$29+U45*$AC$30</f>
        <v/>
      </c>
      <c r="W45" s="8">
        <f>1/(1+EXP(-V45))</f>
        <v/>
      </c>
      <c r="X45" s="9">
        <f>-IF(C45=1,LN(W45),LN(1-W45))</f>
        <v/>
      </c>
      <c r="Y45" s="10">
        <f>IF(W45&gt;$AC$33,1,0)</f>
        <v/>
      </c>
      <c r="Z45">
        <f>IF(Y45=C45,1,0)</f>
        <v/>
      </c>
      <c r="AB45" t="inlineStr">
        <is>
          <t>referencia scikit-learn (λ = 10): pesos en cero</t>
        </is>
      </c>
      <c r="AC45" s="23" t="n">
        <v>0</v>
      </c>
    </row>
    <row r="46">
      <c r="A46">
        <f>'1 datos preparados'!A39</f>
        <v/>
      </c>
      <c r="B46" s="5">
        <f>'1 datos preparados'!U39</f>
        <v/>
      </c>
      <c r="C46">
        <f>'1 datos preparados'!B39</f>
        <v/>
      </c>
      <c r="D46" s="7">
        <f>'1 datos preparados'!C39</f>
        <v/>
      </c>
      <c r="E46" s="7">
        <f>'1 datos preparados'!D39</f>
        <v/>
      </c>
      <c r="F46" s="7">
        <f>'1 datos preparados'!E39</f>
        <v/>
      </c>
      <c r="G46" s="7">
        <f>'1 datos preparados'!F39</f>
        <v/>
      </c>
      <c r="H46" s="7">
        <f>'1 datos preparados'!G39</f>
        <v/>
      </c>
      <c r="I46" s="7">
        <f>'1 datos preparados'!H39</f>
        <v/>
      </c>
      <c r="J46" s="7">
        <f>'1 datos preparados'!I39</f>
        <v/>
      </c>
      <c r="K46" s="7">
        <f>'1 datos preparados'!J39</f>
        <v/>
      </c>
      <c r="L46" s="7">
        <f>'1 datos preparados'!K39</f>
        <v/>
      </c>
      <c r="M46" s="7">
        <f>'1 datos preparados'!L39</f>
        <v/>
      </c>
      <c r="N46" s="7">
        <f>'1 datos preparados'!M39</f>
        <v/>
      </c>
      <c r="O46" s="7">
        <f>'1 datos preparados'!N39</f>
        <v/>
      </c>
      <c r="P46" s="7">
        <f>'1 datos preparados'!O39</f>
        <v/>
      </c>
      <c r="Q46" s="7">
        <f>'1 datos preparados'!P39</f>
        <v/>
      </c>
      <c r="R46" s="7">
        <f>'1 datos preparados'!Q39</f>
        <v/>
      </c>
      <c r="S46" s="7">
        <f>'1 datos preparados'!R39</f>
        <v/>
      </c>
      <c r="T46" s="7">
        <f>'1 datos preparados'!S39</f>
        <v/>
      </c>
      <c r="U46" s="7">
        <f>'1 datos preparados'!T39</f>
        <v/>
      </c>
      <c r="V46" s="8">
        <f>$AC$12+D46*$AC$13+E46*$AC$14+F46*$AC$15+G46*$AC$16+H46*$AC$17+I46*$AC$18+J46*$AC$19+K46*$AC$20+L46*$AC$21+M46*$AC$22+N46*$AC$23+O46*$AC$24+P46*$AC$25+Q46*$AC$26+R46*$AC$27+S46*$AC$28+T46*$AC$29+U46*$AC$30</f>
        <v/>
      </c>
      <c r="W46" s="8">
        <f>1/(1+EXP(-V46))</f>
        <v/>
      </c>
      <c r="X46" s="9">
        <f>-IF(C46=1,LN(W46),LN(1-W46))</f>
        <v/>
      </c>
      <c r="Y46" s="10">
        <f>IF(W46&gt;$AC$33,1,0)</f>
        <v/>
      </c>
      <c r="Z46">
        <f>IF(Y46=C46,1,0)</f>
        <v/>
      </c>
      <c r="AB46" t="inlineStr">
        <is>
          <t>referencia sin regularizar (Excel base): pérdida promedio testing</t>
        </is>
      </c>
      <c r="AC46" s="12" t="n">
        <v>0.4690599152735907</v>
      </c>
    </row>
    <row r="47">
      <c r="A47">
        <f>'1 datos preparados'!A40</f>
        <v/>
      </c>
      <c r="B47" s="5">
        <f>'1 datos preparados'!U40</f>
        <v/>
      </c>
      <c r="C47">
        <f>'1 datos preparados'!B40</f>
        <v/>
      </c>
      <c r="D47" s="7">
        <f>'1 datos preparados'!C40</f>
        <v/>
      </c>
      <c r="E47" s="7">
        <f>'1 datos preparados'!D40</f>
        <v/>
      </c>
      <c r="F47" s="7">
        <f>'1 datos preparados'!E40</f>
        <v/>
      </c>
      <c r="G47" s="7">
        <f>'1 datos preparados'!F40</f>
        <v/>
      </c>
      <c r="H47" s="7">
        <f>'1 datos preparados'!G40</f>
        <v/>
      </c>
      <c r="I47" s="7">
        <f>'1 datos preparados'!H40</f>
        <v/>
      </c>
      <c r="J47" s="7">
        <f>'1 datos preparados'!I40</f>
        <v/>
      </c>
      <c r="K47" s="7">
        <f>'1 datos preparados'!J40</f>
        <v/>
      </c>
      <c r="L47" s="7">
        <f>'1 datos preparados'!K40</f>
        <v/>
      </c>
      <c r="M47" s="7">
        <f>'1 datos preparados'!L40</f>
        <v/>
      </c>
      <c r="N47" s="7">
        <f>'1 datos preparados'!M40</f>
        <v/>
      </c>
      <c r="O47" s="7">
        <f>'1 datos preparados'!N40</f>
        <v/>
      </c>
      <c r="P47" s="7">
        <f>'1 datos preparados'!O40</f>
        <v/>
      </c>
      <c r="Q47" s="7">
        <f>'1 datos preparados'!P40</f>
        <v/>
      </c>
      <c r="R47" s="7">
        <f>'1 datos preparados'!Q40</f>
        <v/>
      </c>
      <c r="S47" s="7">
        <f>'1 datos preparados'!R40</f>
        <v/>
      </c>
      <c r="T47" s="7">
        <f>'1 datos preparados'!S40</f>
        <v/>
      </c>
      <c r="U47" s="7">
        <f>'1 datos preparados'!T40</f>
        <v/>
      </c>
      <c r="V47" s="8">
        <f>$AC$12+D47*$AC$13+E47*$AC$14+F47*$AC$15+G47*$AC$16+H47*$AC$17+I47*$AC$18+J47*$AC$19+K47*$AC$20+L47*$AC$21+M47*$AC$22+N47*$AC$23+O47*$AC$24+P47*$AC$25+Q47*$AC$26+R47*$AC$27+S47*$AC$28+T47*$AC$29+U47*$AC$30</f>
        <v/>
      </c>
      <c r="W47" s="8">
        <f>1/(1+EXP(-V47))</f>
        <v/>
      </c>
      <c r="X47" s="9">
        <f>-IF(C47=1,LN(W47),LN(1-W47))</f>
        <v/>
      </c>
      <c r="Y47" s="10">
        <f>IF(W47&gt;$AC$33,1,0)</f>
        <v/>
      </c>
      <c r="Z47">
        <f>IF(Y47=C47,1,0)</f>
        <v/>
      </c>
    </row>
    <row r="48" ht="48" customHeight="1">
      <c r="A48">
        <f>'1 datos preparados'!A41</f>
        <v/>
      </c>
      <c r="B48" s="5">
        <f>'1 datos preparados'!U41</f>
        <v/>
      </c>
      <c r="C48">
        <f>'1 datos preparados'!B41</f>
        <v/>
      </c>
      <c r="D48" s="7">
        <f>'1 datos preparados'!C41</f>
        <v/>
      </c>
      <c r="E48" s="7">
        <f>'1 datos preparados'!D41</f>
        <v/>
      </c>
      <c r="F48" s="7">
        <f>'1 datos preparados'!E41</f>
        <v/>
      </c>
      <c r="G48" s="7">
        <f>'1 datos preparados'!F41</f>
        <v/>
      </c>
      <c r="H48" s="7">
        <f>'1 datos preparados'!G41</f>
        <v/>
      </c>
      <c r="I48" s="7">
        <f>'1 datos preparados'!H41</f>
        <v/>
      </c>
      <c r="J48" s="7">
        <f>'1 datos preparados'!I41</f>
        <v/>
      </c>
      <c r="K48" s="7">
        <f>'1 datos preparados'!J41</f>
        <v/>
      </c>
      <c r="L48" s="7">
        <f>'1 datos preparados'!K41</f>
        <v/>
      </c>
      <c r="M48" s="7">
        <f>'1 datos preparados'!L41</f>
        <v/>
      </c>
      <c r="N48" s="7">
        <f>'1 datos preparados'!M41</f>
        <v/>
      </c>
      <c r="O48" s="7">
        <f>'1 datos preparados'!N41</f>
        <v/>
      </c>
      <c r="P48" s="7">
        <f>'1 datos preparados'!O41</f>
        <v/>
      </c>
      <c r="Q48" s="7">
        <f>'1 datos preparados'!P41</f>
        <v/>
      </c>
      <c r="R48" s="7">
        <f>'1 datos preparados'!Q41</f>
        <v/>
      </c>
      <c r="S48" s="7">
        <f>'1 datos preparados'!R41</f>
        <v/>
      </c>
      <c r="T48" s="7">
        <f>'1 datos preparados'!S41</f>
        <v/>
      </c>
      <c r="U48" s="7">
        <f>'1 datos preparados'!T41</f>
        <v/>
      </c>
      <c r="V48" s="8">
        <f>$AC$12+D48*$AC$13+E48*$AC$14+F48*$AC$15+G48*$AC$16+H48*$AC$17+I48*$AC$18+J48*$AC$19+K48*$AC$20+L48*$AC$21+M48*$AC$22+N48*$AC$23+O48*$AC$24+P48*$AC$25+Q48*$AC$26+R48*$AC$27+S48*$AC$28+T48*$AC$29+U48*$AC$30</f>
        <v/>
      </c>
      <c r="W48" s="8">
        <f>1/(1+EXP(-V48))</f>
        <v/>
      </c>
      <c r="X48" s="9">
        <f>-IF(C48=1,LN(W48),LN(1-W48))</f>
        <v/>
      </c>
      <c r="Y48" s="10">
        <f>IF(W48&gt;$AC$33,1,0)</f>
        <v/>
      </c>
      <c r="Z48">
        <f>IF(Y48=C48,1,0)</f>
        <v/>
      </c>
      <c r="AB48" s="2" t="inlineStr">
        <is>
          <t>Solver: minimizar J (celda del objetivo) cambiando las celdas celestes de los pesos, GRG no lineal, derivadas centrales, convergencia 0,000001, sin restricciones y con la casilla 'Convertir variables sin restricciones en no negativas' DESMARCADA. Correr dos veces si se detiene antes.</t>
        </is>
      </c>
    </row>
    <row r="49">
      <c r="A49">
        <f>'1 datos preparados'!A42</f>
        <v/>
      </c>
      <c r="B49" s="5">
        <f>'1 datos preparados'!U42</f>
        <v/>
      </c>
      <c r="C49">
        <f>'1 datos preparados'!B42</f>
        <v/>
      </c>
      <c r="D49" s="7">
        <f>'1 datos preparados'!C42</f>
        <v/>
      </c>
      <c r="E49" s="7">
        <f>'1 datos preparados'!D42</f>
        <v/>
      </c>
      <c r="F49" s="7">
        <f>'1 datos preparados'!E42</f>
        <v/>
      </c>
      <c r="G49" s="7">
        <f>'1 datos preparados'!F42</f>
        <v/>
      </c>
      <c r="H49" s="7">
        <f>'1 datos preparados'!G42</f>
        <v/>
      </c>
      <c r="I49" s="7">
        <f>'1 datos preparados'!H42</f>
        <v/>
      </c>
      <c r="J49" s="7">
        <f>'1 datos preparados'!I42</f>
        <v/>
      </c>
      <c r="K49" s="7">
        <f>'1 datos preparados'!J42</f>
        <v/>
      </c>
      <c r="L49" s="7">
        <f>'1 datos preparados'!K42</f>
        <v/>
      </c>
      <c r="M49" s="7">
        <f>'1 datos preparados'!L42</f>
        <v/>
      </c>
      <c r="N49" s="7">
        <f>'1 datos preparados'!M42</f>
        <v/>
      </c>
      <c r="O49" s="7">
        <f>'1 datos preparados'!N42</f>
        <v/>
      </c>
      <c r="P49" s="7">
        <f>'1 datos preparados'!O42</f>
        <v/>
      </c>
      <c r="Q49" s="7">
        <f>'1 datos preparados'!P42</f>
        <v/>
      </c>
      <c r="R49" s="7">
        <f>'1 datos preparados'!Q42</f>
        <v/>
      </c>
      <c r="S49" s="7">
        <f>'1 datos preparados'!R42</f>
        <v/>
      </c>
      <c r="T49" s="7">
        <f>'1 datos preparados'!S42</f>
        <v/>
      </c>
      <c r="U49" s="7">
        <f>'1 datos preparados'!T42</f>
        <v/>
      </c>
      <c r="V49" s="8">
        <f>$AC$12+D49*$AC$13+E49*$AC$14+F49*$AC$15+G49*$AC$16+H49*$AC$17+I49*$AC$18+J49*$AC$19+K49*$AC$20+L49*$AC$21+M49*$AC$22+N49*$AC$23+O49*$AC$24+P49*$AC$25+Q49*$AC$26+R49*$AC$27+S49*$AC$28+T49*$AC$29+U49*$AC$30</f>
        <v/>
      </c>
      <c r="W49" s="8">
        <f>1/(1+EXP(-V49))</f>
        <v/>
      </c>
      <c r="X49" s="9">
        <f>-IF(C49=1,LN(W49),LN(1-W49))</f>
        <v/>
      </c>
      <c r="Y49" s="10">
        <f>IF(W49&gt;$AC$33,1,0)</f>
        <v/>
      </c>
      <c r="Z49">
        <f>IF(Y49=C49,1,0)</f>
        <v/>
      </c>
    </row>
    <row r="50">
      <c r="A50">
        <f>'1 datos preparados'!A43</f>
        <v/>
      </c>
      <c r="B50" s="5">
        <f>'1 datos preparados'!U43</f>
        <v/>
      </c>
      <c r="C50">
        <f>'1 datos preparados'!B43</f>
        <v/>
      </c>
      <c r="D50" s="7">
        <f>'1 datos preparados'!C43</f>
        <v/>
      </c>
      <c r="E50" s="7">
        <f>'1 datos preparados'!D43</f>
        <v/>
      </c>
      <c r="F50" s="7">
        <f>'1 datos preparados'!E43</f>
        <v/>
      </c>
      <c r="G50" s="7">
        <f>'1 datos preparados'!F43</f>
        <v/>
      </c>
      <c r="H50" s="7">
        <f>'1 datos preparados'!G43</f>
        <v/>
      </c>
      <c r="I50" s="7">
        <f>'1 datos preparados'!H43</f>
        <v/>
      </c>
      <c r="J50" s="7">
        <f>'1 datos preparados'!I43</f>
        <v/>
      </c>
      <c r="K50" s="7">
        <f>'1 datos preparados'!J43</f>
        <v/>
      </c>
      <c r="L50" s="7">
        <f>'1 datos preparados'!K43</f>
        <v/>
      </c>
      <c r="M50" s="7">
        <f>'1 datos preparados'!L43</f>
        <v/>
      </c>
      <c r="N50" s="7">
        <f>'1 datos preparados'!M43</f>
        <v/>
      </c>
      <c r="O50" s="7">
        <f>'1 datos preparados'!N43</f>
        <v/>
      </c>
      <c r="P50" s="7">
        <f>'1 datos preparados'!O43</f>
        <v/>
      </c>
      <c r="Q50" s="7">
        <f>'1 datos preparados'!P43</f>
        <v/>
      </c>
      <c r="R50" s="7">
        <f>'1 datos preparados'!Q43</f>
        <v/>
      </c>
      <c r="S50" s="7">
        <f>'1 datos preparados'!R43</f>
        <v/>
      </c>
      <c r="T50" s="7">
        <f>'1 datos preparados'!S43</f>
        <v/>
      </c>
      <c r="U50" s="7">
        <f>'1 datos preparados'!T43</f>
        <v/>
      </c>
      <c r="V50" s="8">
        <f>$AC$12+D50*$AC$13+E50*$AC$14+F50*$AC$15+G50*$AC$16+H50*$AC$17+I50*$AC$18+J50*$AC$19+K50*$AC$20+L50*$AC$21+M50*$AC$22+N50*$AC$23+O50*$AC$24+P50*$AC$25+Q50*$AC$26+R50*$AC$27+S50*$AC$28+T50*$AC$29+U50*$AC$30</f>
        <v/>
      </c>
      <c r="W50" s="8">
        <f>1/(1+EXP(-V50))</f>
        <v/>
      </c>
      <c r="X50" s="9">
        <f>-IF(C50=1,LN(W50),LN(1-W50))</f>
        <v/>
      </c>
      <c r="Y50" s="10">
        <f>IF(W50&gt;$AC$33,1,0)</f>
        <v/>
      </c>
      <c r="Z50">
        <f>IF(Y50=C50,1,0)</f>
        <v/>
      </c>
    </row>
    <row r="51">
      <c r="A51">
        <f>'1 datos preparados'!A44</f>
        <v/>
      </c>
      <c r="B51" s="5">
        <f>'1 datos preparados'!U44</f>
        <v/>
      </c>
      <c r="C51">
        <f>'1 datos preparados'!B44</f>
        <v/>
      </c>
      <c r="D51" s="7">
        <f>'1 datos preparados'!C44</f>
        <v/>
      </c>
      <c r="E51" s="7">
        <f>'1 datos preparados'!D44</f>
        <v/>
      </c>
      <c r="F51" s="7">
        <f>'1 datos preparados'!E44</f>
        <v/>
      </c>
      <c r="G51" s="7">
        <f>'1 datos preparados'!F44</f>
        <v/>
      </c>
      <c r="H51" s="7">
        <f>'1 datos preparados'!G44</f>
        <v/>
      </c>
      <c r="I51" s="7">
        <f>'1 datos preparados'!H44</f>
        <v/>
      </c>
      <c r="J51" s="7">
        <f>'1 datos preparados'!I44</f>
        <v/>
      </c>
      <c r="K51" s="7">
        <f>'1 datos preparados'!J44</f>
        <v/>
      </c>
      <c r="L51" s="7">
        <f>'1 datos preparados'!K44</f>
        <v/>
      </c>
      <c r="M51" s="7">
        <f>'1 datos preparados'!L44</f>
        <v/>
      </c>
      <c r="N51" s="7">
        <f>'1 datos preparados'!M44</f>
        <v/>
      </c>
      <c r="O51" s="7">
        <f>'1 datos preparados'!N44</f>
        <v/>
      </c>
      <c r="P51" s="7">
        <f>'1 datos preparados'!O44</f>
        <v/>
      </c>
      <c r="Q51" s="7">
        <f>'1 datos preparados'!P44</f>
        <v/>
      </c>
      <c r="R51" s="7">
        <f>'1 datos preparados'!Q44</f>
        <v/>
      </c>
      <c r="S51" s="7">
        <f>'1 datos preparados'!R44</f>
        <v/>
      </c>
      <c r="T51" s="7">
        <f>'1 datos preparados'!S44</f>
        <v/>
      </c>
      <c r="U51" s="7">
        <f>'1 datos preparados'!T44</f>
        <v/>
      </c>
      <c r="V51" s="8">
        <f>$AC$12+D51*$AC$13+E51*$AC$14+F51*$AC$15+G51*$AC$16+H51*$AC$17+I51*$AC$18+J51*$AC$19+K51*$AC$20+L51*$AC$21+M51*$AC$22+N51*$AC$23+O51*$AC$24+P51*$AC$25+Q51*$AC$26+R51*$AC$27+S51*$AC$28+T51*$AC$29+U51*$AC$30</f>
        <v/>
      </c>
      <c r="W51" s="8">
        <f>1/(1+EXP(-V51))</f>
        <v/>
      </c>
      <c r="X51" s="9">
        <f>-IF(C51=1,LN(W51),LN(1-W51))</f>
        <v/>
      </c>
      <c r="Y51" s="10">
        <f>IF(W51&gt;$AC$33,1,0)</f>
        <v/>
      </c>
      <c r="Z51">
        <f>IF(Y51=C51,1,0)</f>
        <v/>
      </c>
    </row>
    <row r="52">
      <c r="A52">
        <f>'1 datos preparados'!A45</f>
        <v/>
      </c>
      <c r="B52" s="5">
        <f>'1 datos preparados'!U45</f>
        <v/>
      </c>
      <c r="C52">
        <f>'1 datos preparados'!B45</f>
        <v/>
      </c>
      <c r="D52" s="7">
        <f>'1 datos preparados'!C45</f>
        <v/>
      </c>
      <c r="E52" s="7">
        <f>'1 datos preparados'!D45</f>
        <v/>
      </c>
      <c r="F52" s="7">
        <f>'1 datos preparados'!E45</f>
        <v/>
      </c>
      <c r="G52" s="7">
        <f>'1 datos preparados'!F45</f>
        <v/>
      </c>
      <c r="H52" s="7">
        <f>'1 datos preparados'!G45</f>
        <v/>
      </c>
      <c r="I52" s="7">
        <f>'1 datos preparados'!H45</f>
        <v/>
      </c>
      <c r="J52" s="7">
        <f>'1 datos preparados'!I45</f>
        <v/>
      </c>
      <c r="K52" s="7">
        <f>'1 datos preparados'!J45</f>
        <v/>
      </c>
      <c r="L52" s="7">
        <f>'1 datos preparados'!K45</f>
        <v/>
      </c>
      <c r="M52" s="7">
        <f>'1 datos preparados'!L45</f>
        <v/>
      </c>
      <c r="N52" s="7">
        <f>'1 datos preparados'!M45</f>
        <v/>
      </c>
      <c r="O52" s="7">
        <f>'1 datos preparados'!N45</f>
        <v/>
      </c>
      <c r="P52" s="7">
        <f>'1 datos preparados'!O45</f>
        <v/>
      </c>
      <c r="Q52" s="7">
        <f>'1 datos preparados'!P45</f>
        <v/>
      </c>
      <c r="R52" s="7">
        <f>'1 datos preparados'!Q45</f>
        <v/>
      </c>
      <c r="S52" s="7">
        <f>'1 datos preparados'!R45</f>
        <v/>
      </c>
      <c r="T52" s="7">
        <f>'1 datos preparados'!S45</f>
        <v/>
      </c>
      <c r="U52" s="7">
        <f>'1 datos preparados'!T45</f>
        <v/>
      </c>
      <c r="V52" s="8">
        <f>$AC$12+D52*$AC$13+E52*$AC$14+F52*$AC$15+G52*$AC$16+H52*$AC$17+I52*$AC$18+J52*$AC$19+K52*$AC$20+L52*$AC$21+M52*$AC$22+N52*$AC$23+O52*$AC$24+P52*$AC$25+Q52*$AC$26+R52*$AC$27+S52*$AC$28+T52*$AC$29+U52*$AC$30</f>
        <v/>
      </c>
      <c r="W52" s="8">
        <f>1/(1+EXP(-V52))</f>
        <v/>
      </c>
      <c r="X52" s="9">
        <f>-IF(C52=1,LN(W52),LN(1-W52))</f>
        <v/>
      </c>
      <c r="Y52" s="10">
        <f>IF(W52&gt;$AC$33,1,0)</f>
        <v/>
      </c>
      <c r="Z52">
        <f>IF(Y52=C52,1,0)</f>
        <v/>
      </c>
    </row>
    <row r="53">
      <c r="A53">
        <f>'1 datos preparados'!A46</f>
        <v/>
      </c>
      <c r="B53" s="5">
        <f>'1 datos preparados'!U46</f>
        <v/>
      </c>
      <c r="C53">
        <f>'1 datos preparados'!B46</f>
        <v/>
      </c>
      <c r="D53" s="7">
        <f>'1 datos preparados'!C46</f>
        <v/>
      </c>
      <c r="E53" s="7">
        <f>'1 datos preparados'!D46</f>
        <v/>
      </c>
      <c r="F53" s="7">
        <f>'1 datos preparados'!E46</f>
        <v/>
      </c>
      <c r="G53" s="7">
        <f>'1 datos preparados'!F46</f>
        <v/>
      </c>
      <c r="H53" s="7">
        <f>'1 datos preparados'!G46</f>
        <v/>
      </c>
      <c r="I53" s="7">
        <f>'1 datos preparados'!H46</f>
        <v/>
      </c>
      <c r="J53" s="7">
        <f>'1 datos preparados'!I46</f>
        <v/>
      </c>
      <c r="K53" s="7">
        <f>'1 datos preparados'!J46</f>
        <v/>
      </c>
      <c r="L53" s="7">
        <f>'1 datos preparados'!K46</f>
        <v/>
      </c>
      <c r="M53" s="7">
        <f>'1 datos preparados'!L46</f>
        <v/>
      </c>
      <c r="N53" s="7">
        <f>'1 datos preparados'!M46</f>
        <v/>
      </c>
      <c r="O53" s="7">
        <f>'1 datos preparados'!N46</f>
        <v/>
      </c>
      <c r="P53" s="7">
        <f>'1 datos preparados'!O46</f>
        <v/>
      </c>
      <c r="Q53" s="7">
        <f>'1 datos preparados'!P46</f>
        <v/>
      </c>
      <c r="R53" s="7">
        <f>'1 datos preparados'!Q46</f>
        <v/>
      </c>
      <c r="S53" s="7">
        <f>'1 datos preparados'!R46</f>
        <v/>
      </c>
      <c r="T53" s="7">
        <f>'1 datos preparados'!S46</f>
        <v/>
      </c>
      <c r="U53" s="7">
        <f>'1 datos preparados'!T46</f>
        <v/>
      </c>
      <c r="V53" s="8">
        <f>$AC$12+D53*$AC$13+E53*$AC$14+F53*$AC$15+G53*$AC$16+H53*$AC$17+I53*$AC$18+J53*$AC$19+K53*$AC$20+L53*$AC$21+M53*$AC$22+N53*$AC$23+O53*$AC$24+P53*$AC$25+Q53*$AC$26+R53*$AC$27+S53*$AC$28+T53*$AC$29+U53*$AC$30</f>
        <v/>
      </c>
      <c r="W53" s="8">
        <f>1/(1+EXP(-V53))</f>
        <v/>
      </c>
      <c r="X53" s="9">
        <f>-IF(C53=1,LN(W53),LN(1-W53))</f>
        <v/>
      </c>
      <c r="Y53" s="10">
        <f>IF(W53&gt;$AC$33,1,0)</f>
        <v/>
      </c>
      <c r="Z53">
        <f>IF(Y53=C53,1,0)</f>
        <v/>
      </c>
    </row>
    <row r="54">
      <c r="A54">
        <f>'1 datos preparados'!A47</f>
        <v/>
      </c>
      <c r="B54" s="5">
        <f>'1 datos preparados'!U47</f>
        <v/>
      </c>
      <c r="C54">
        <f>'1 datos preparados'!B47</f>
        <v/>
      </c>
      <c r="D54" s="7">
        <f>'1 datos preparados'!C47</f>
        <v/>
      </c>
      <c r="E54" s="7">
        <f>'1 datos preparados'!D47</f>
        <v/>
      </c>
      <c r="F54" s="7">
        <f>'1 datos preparados'!E47</f>
        <v/>
      </c>
      <c r="G54" s="7">
        <f>'1 datos preparados'!F47</f>
        <v/>
      </c>
      <c r="H54" s="7">
        <f>'1 datos preparados'!G47</f>
        <v/>
      </c>
      <c r="I54" s="7">
        <f>'1 datos preparados'!H47</f>
        <v/>
      </c>
      <c r="J54" s="7">
        <f>'1 datos preparados'!I47</f>
        <v/>
      </c>
      <c r="K54" s="7">
        <f>'1 datos preparados'!J47</f>
        <v/>
      </c>
      <c r="L54" s="7">
        <f>'1 datos preparados'!K47</f>
        <v/>
      </c>
      <c r="M54" s="7">
        <f>'1 datos preparados'!L47</f>
        <v/>
      </c>
      <c r="N54" s="7">
        <f>'1 datos preparados'!M47</f>
        <v/>
      </c>
      <c r="O54" s="7">
        <f>'1 datos preparados'!N47</f>
        <v/>
      </c>
      <c r="P54" s="7">
        <f>'1 datos preparados'!O47</f>
        <v/>
      </c>
      <c r="Q54" s="7">
        <f>'1 datos preparados'!P47</f>
        <v/>
      </c>
      <c r="R54" s="7">
        <f>'1 datos preparados'!Q47</f>
        <v/>
      </c>
      <c r="S54" s="7">
        <f>'1 datos preparados'!R47</f>
        <v/>
      </c>
      <c r="T54" s="7">
        <f>'1 datos preparados'!S47</f>
        <v/>
      </c>
      <c r="U54" s="7">
        <f>'1 datos preparados'!T47</f>
        <v/>
      </c>
      <c r="V54" s="8">
        <f>$AC$12+D54*$AC$13+E54*$AC$14+F54*$AC$15+G54*$AC$16+H54*$AC$17+I54*$AC$18+J54*$AC$19+K54*$AC$20+L54*$AC$21+M54*$AC$22+N54*$AC$23+O54*$AC$24+P54*$AC$25+Q54*$AC$26+R54*$AC$27+S54*$AC$28+T54*$AC$29+U54*$AC$30</f>
        <v/>
      </c>
      <c r="W54" s="8">
        <f>1/(1+EXP(-V54))</f>
        <v/>
      </c>
      <c r="X54" s="9">
        <f>-IF(C54=1,LN(W54),LN(1-W54))</f>
        <v/>
      </c>
      <c r="Y54" s="10">
        <f>IF(W54&gt;$AC$33,1,0)</f>
        <v/>
      </c>
      <c r="Z54">
        <f>IF(Y54=C54,1,0)</f>
        <v/>
      </c>
    </row>
    <row r="55">
      <c r="A55">
        <f>'1 datos preparados'!A48</f>
        <v/>
      </c>
      <c r="B55" s="5">
        <f>'1 datos preparados'!U48</f>
        <v/>
      </c>
      <c r="C55">
        <f>'1 datos preparados'!B48</f>
        <v/>
      </c>
      <c r="D55" s="7">
        <f>'1 datos preparados'!C48</f>
        <v/>
      </c>
      <c r="E55" s="7">
        <f>'1 datos preparados'!D48</f>
        <v/>
      </c>
      <c r="F55" s="7">
        <f>'1 datos preparados'!E48</f>
        <v/>
      </c>
      <c r="G55" s="7">
        <f>'1 datos preparados'!F48</f>
        <v/>
      </c>
      <c r="H55" s="7">
        <f>'1 datos preparados'!G48</f>
        <v/>
      </c>
      <c r="I55" s="7">
        <f>'1 datos preparados'!H48</f>
        <v/>
      </c>
      <c r="J55" s="7">
        <f>'1 datos preparados'!I48</f>
        <v/>
      </c>
      <c r="K55" s="7">
        <f>'1 datos preparados'!J48</f>
        <v/>
      </c>
      <c r="L55" s="7">
        <f>'1 datos preparados'!K48</f>
        <v/>
      </c>
      <c r="M55" s="7">
        <f>'1 datos preparados'!L48</f>
        <v/>
      </c>
      <c r="N55" s="7">
        <f>'1 datos preparados'!M48</f>
        <v/>
      </c>
      <c r="O55" s="7">
        <f>'1 datos preparados'!N48</f>
        <v/>
      </c>
      <c r="P55" s="7">
        <f>'1 datos preparados'!O48</f>
        <v/>
      </c>
      <c r="Q55" s="7">
        <f>'1 datos preparados'!P48</f>
        <v/>
      </c>
      <c r="R55" s="7">
        <f>'1 datos preparados'!Q48</f>
        <v/>
      </c>
      <c r="S55" s="7">
        <f>'1 datos preparados'!R48</f>
        <v/>
      </c>
      <c r="T55" s="7">
        <f>'1 datos preparados'!S48</f>
        <v/>
      </c>
      <c r="U55" s="7">
        <f>'1 datos preparados'!T48</f>
        <v/>
      </c>
      <c r="V55" s="8">
        <f>$AC$12+D55*$AC$13+E55*$AC$14+F55*$AC$15+G55*$AC$16+H55*$AC$17+I55*$AC$18+J55*$AC$19+K55*$AC$20+L55*$AC$21+M55*$AC$22+N55*$AC$23+O55*$AC$24+P55*$AC$25+Q55*$AC$26+R55*$AC$27+S55*$AC$28+T55*$AC$29+U55*$AC$30</f>
        <v/>
      </c>
      <c r="W55" s="8">
        <f>1/(1+EXP(-V55))</f>
        <v/>
      </c>
      <c r="X55" s="9">
        <f>-IF(C55=1,LN(W55),LN(1-W55))</f>
        <v/>
      </c>
      <c r="Y55" s="10">
        <f>IF(W55&gt;$AC$33,1,0)</f>
        <v/>
      </c>
      <c r="Z55">
        <f>IF(Y55=C55,1,0)</f>
        <v/>
      </c>
    </row>
    <row r="56">
      <c r="A56">
        <f>'1 datos preparados'!A49</f>
        <v/>
      </c>
      <c r="B56" s="5">
        <f>'1 datos preparados'!U49</f>
        <v/>
      </c>
      <c r="C56">
        <f>'1 datos preparados'!B49</f>
        <v/>
      </c>
      <c r="D56" s="7">
        <f>'1 datos preparados'!C49</f>
        <v/>
      </c>
      <c r="E56" s="7">
        <f>'1 datos preparados'!D49</f>
        <v/>
      </c>
      <c r="F56" s="7">
        <f>'1 datos preparados'!E49</f>
        <v/>
      </c>
      <c r="G56" s="7">
        <f>'1 datos preparados'!F49</f>
        <v/>
      </c>
      <c r="H56" s="7">
        <f>'1 datos preparados'!G49</f>
        <v/>
      </c>
      <c r="I56" s="7">
        <f>'1 datos preparados'!H49</f>
        <v/>
      </c>
      <c r="J56" s="7">
        <f>'1 datos preparados'!I49</f>
        <v/>
      </c>
      <c r="K56" s="7">
        <f>'1 datos preparados'!J49</f>
        <v/>
      </c>
      <c r="L56" s="7">
        <f>'1 datos preparados'!K49</f>
        <v/>
      </c>
      <c r="M56" s="7">
        <f>'1 datos preparados'!L49</f>
        <v/>
      </c>
      <c r="N56" s="7">
        <f>'1 datos preparados'!M49</f>
        <v/>
      </c>
      <c r="O56" s="7">
        <f>'1 datos preparados'!N49</f>
        <v/>
      </c>
      <c r="P56" s="7">
        <f>'1 datos preparados'!O49</f>
        <v/>
      </c>
      <c r="Q56" s="7">
        <f>'1 datos preparados'!P49</f>
        <v/>
      </c>
      <c r="R56" s="7">
        <f>'1 datos preparados'!Q49</f>
        <v/>
      </c>
      <c r="S56" s="7">
        <f>'1 datos preparados'!R49</f>
        <v/>
      </c>
      <c r="T56" s="7">
        <f>'1 datos preparados'!S49</f>
        <v/>
      </c>
      <c r="U56" s="7">
        <f>'1 datos preparados'!T49</f>
        <v/>
      </c>
      <c r="V56" s="8">
        <f>$AC$12+D56*$AC$13+E56*$AC$14+F56*$AC$15+G56*$AC$16+H56*$AC$17+I56*$AC$18+J56*$AC$19+K56*$AC$20+L56*$AC$21+M56*$AC$22+N56*$AC$23+O56*$AC$24+P56*$AC$25+Q56*$AC$26+R56*$AC$27+S56*$AC$28+T56*$AC$29+U56*$AC$30</f>
        <v/>
      </c>
      <c r="W56" s="8">
        <f>1/(1+EXP(-V56))</f>
        <v/>
      </c>
      <c r="X56" s="9">
        <f>-IF(C56=1,LN(W56),LN(1-W56))</f>
        <v/>
      </c>
      <c r="Y56" s="10">
        <f>IF(W56&gt;$AC$33,1,0)</f>
        <v/>
      </c>
      <c r="Z56">
        <f>IF(Y56=C56,1,0)</f>
        <v/>
      </c>
    </row>
    <row r="57">
      <c r="A57">
        <f>'1 datos preparados'!A50</f>
        <v/>
      </c>
      <c r="B57" s="5">
        <f>'1 datos preparados'!U50</f>
        <v/>
      </c>
      <c r="C57">
        <f>'1 datos preparados'!B50</f>
        <v/>
      </c>
      <c r="D57" s="7">
        <f>'1 datos preparados'!C50</f>
        <v/>
      </c>
      <c r="E57" s="7">
        <f>'1 datos preparados'!D50</f>
        <v/>
      </c>
      <c r="F57" s="7">
        <f>'1 datos preparados'!E50</f>
        <v/>
      </c>
      <c r="G57" s="7">
        <f>'1 datos preparados'!F50</f>
        <v/>
      </c>
      <c r="H57" s="7">
        <f>'1 datos preparados'!G50</f>
        <v/>
      </c>
      <c r="I57" s="7">
        <f>'1 datos preparados'!H50</f>
        <v/>
      </c>
      <c r="J57" s="7">
        <f>'1 datos preparados'!I50</f>
        <v/>
      </c>
      <c r="K57" s="7">
        <f>'1 datos preparados'!J50</f>
        <v/>
      </c>
      <c r="L57" s="7">
        <f>'1 datos preparados'!K50</f>
        <v/>
      </c>
      <c r="M57" s="7">
        <f>'1 datos preparados'!L50</f>
        <v/>
      </c>
      <c r="N57" s="7">
        <f>'1 datos preparados'!M50</f>
        <v/>
      </c>
      <c r="O57" s="7">
        <f>'1 datos preparados'!N50</f>
        <v/>
      </c>
      <c r="P57" s="7">
        <f>'1 datos preparados'!O50</f>
        <v/>
      </c>
      <c r="Q57" s="7">
        <f>'1 datos preparados'!P50</f>
        <v/>
      </c>
      <c r="R57" s="7">
        <f>'1 datos preparados'!Q50</f>
        <v/>
      </c>
      <c r="S57" s="7">
        <f>'1 datos preparados'!R50</f>
        <v/>
      </c>
      <c r="T57" s="7">
        <f>'1 datos preparados'!S50</f>
        <v/>
      </c>
      <c r="U57" s="7">
        <f>'1 datos preparados'!T50</f>
        <v/>
      </c>
      <c r="V57" s="8">
        <f>$AC$12+D57*$AC$13+E57*$AC$14+F57*$AC$15+G57*$AC$16+H57*$AC$17+I57*$AC$18+J57*$AC$19+K57*$AC$20+L57*$AC$21+M57*$AC$22+N57*$AC$23+O57*$AC$24+P57*$AC$25+Q57*$AC$26+R57*$AC$27+S57*$AC$28+T57*$AC$29+U57*$AC$30</f>
        <v/>
      </c>
      <c r="W57" s="8">
        <f>1/(1+EXP(-V57))</f>
        <v/>
      </c>
      <c r="X57" s="9">
        <f>-IF(C57=1,LN(W57),LN(1-W57))</f>
        <v/>
      </c>
      <c r="Y57" s="10">
        <f>IF(W57&gt;$AC$33,1,0)</f>
        <v/>
      </c>
      <c r="Z57">
        <f>IF(Y57=C57,1,0)</f>
        <v/>
      </c>
    </row>
    <row r="58">
      <c r="A58">
        <f>'1 datos preparados'!A51</f>
        <v/>
      </c>
      <c r="B58" s="5">
        <f>'1 datos preparados'!U51</f>
        <v/>
      </c>
      <c r="C58">
        <f>'1 datos preparados'!B51</f>
        <v/>
      </c>
      <c r="D58" s="7">
        <f>'1 datos preparados'!C51</f>
        <v/>
      </c>
      <c r="E58" s="7">
        <f>'1 datos preparados'!D51</f>
        <v/>
      </c>
      <c r="F58" s="7">
        <f>'1 datos preparados'!E51</f>
        <v/>
      </c>
      <c r="G58" s="7">
        <f>'1 datos preparados'!F51</f>
        <v/>
      </c>
      <c r="H58" s="7">
        <f>'1 datos preparados'!G51</f>
        <v/>
      </c>
      <c r="I58" s="7">
        <f>'1 datos preparados'!H51</f>
        <v/>
      </c>
      <c r="J58" s="7">
        <f>'1 datos preparados'!I51</f>
        <v/>
      </c>
      <c r="K58" s="7">
        <f>'1 datos preparados'!J51</f>
        <v/>
      </c>
      <c r="L58" s="7">
        <f>'1 datos preparados'!K51</f>
        <v/>
      </c>
      <c r="M58" s="7">
        <f>'1 datos preparados'!L51</f>
        <v/>
      </c>
      <c r="N58" s="7">
        <f>'1 datos preparados'!M51</f>
        <v/>
      </c>
      <c r="O58" s="7">
        <f>'1 datos preparados'!N51</f>
        <v/>
      </c>
      <c r="P58" s="7">
        <f>'1 datos preparados'!O51</f>
        <v/>
      </c>
      <c r="Q58" s="7">
        <f>'1 datos preparados'!P51</f>
        <v/>
      </c>
      <c r="R58" s="7">
        <f>'1 datos preparados'!Q51</f>
        <v/>
      </c>
      <c r="S58" s="7">
        <f>'1 datos preparados'!R51</f>
        <v/>
      </c>
      <c r="T58" s="7">
        <f>'1 datos preparados'!S51</f>
        <v/>
      </c>
      <c r="U58" s="7">
        <f>'1 datos preparados'!T51</f>
        <v/>
      </c>
      <c r="V58" s="8">
        <f>$AC$12+D58*$AC$13+E58*$AC$14+F58*$AC$15+G58*$AC$16+H58*$AC$17+I58*$AC$18+J58*$AC$19+K58*$AC$20+L58*$AC$21+M58*$AC$22+N58*$AC$23+O58*$AC$24+P58*$AC$25+Q58*$AC$26+R58*$AC$27+S58*$AC$28+T58*$AC$29+U58*$AC$30</f>
        <v/>
      </c>
      <c r="W58" s="8">
        <f>1/(1+EXP(-V58))</f>
        <v/>
      </c>
      <c r="X58" s="9">
        <f>-IF(C58=1,LN(W58),LN(1-W58))</f>
        <v/>
      </c>
      <c r="Y58" s="10">
        <f>IF(W58&gt;$AC$33,1,0)</f>
        <v/>
      </c>
      <c r="Z58">
        <f>IF(Y58=C58,1,0)</f>
        <v/>
      </c>
    </row>
    <row r="59">
      <c r="A59">
        <f>'1 datos preparados'!A52</f>
        <v/>
      </c>
      <c r="B59" s="5">
        <f>'1 datos preparados'!U52</f>
        <v/>
      </c>
      <c r="C59">
        <f>'1 datos preparados'!B52</f>
        <v/>
      </c>
      <c r="D59" s="7">
        <f>'1 datos preparados'!C52</f>
        <v/>
      </c>
      <c r="E59" s="7">
        <f>'1 datos preparados'!D52</f>
        <v/>
      </c>
      <c r="F59" s="7">
        <f>'1 datos preparados'!E52</f>
        <v/>
      </c>
      <c r="G59" s="7">
        <f>'1 datos preparados'!F52</f>
        <v/>
      </c>
      <c r="H59" s="7">
        <f>'1 datos preparados'!G52</f>
        <v/>
      </c>
      <c r="I59" s="7">
        <f>'1 datos preparados'!H52</f>
        <v/>
      </c>
      <c r="J59" s="7">
        <f>'1 datos preparados'!I52</f>
        <v/>
      </c>
      <c r="K59" s="7">
        <f>'1 datos preparados'!J52</f>
        <v/>
      </c>
      <c r="L59" s="7">
        <f>'1 datos preparados'!K52</f>
        <v/>
      </c>
      <c r="M59" s="7">
        <f>'1 datos preparados'!L52</f>
        <v/>
      </c>
      <c r="N59" s="7">
        <f>'1 datos preparados'!M52</f>
        <v/>
      </c>
      <c r="O59" s="7">
        <f>'1 datos preparados'!N52</f>
        <v/>
      </c>
      <c r="P59" s="7">
        <f>'1 datos preparados'!O52</f>
        <v/>
      </c>
      <c r="Q59" s="7">
        <f>'1 datos preparados'!P52</f>
        <v/>
      </c>
      <c r="R59" s="7">
        <f>'1 datos preparados'!Q52</f>
        <v/>
      </c>
      <c r="S59" s="7">
        <f>'1 datos preparados'!R52</f>
        <v/>
      </c>
      <c r="T59" s="7">
        <f>'1 datos preparados'!S52</f>
        <v/>
      </c>
      <c r="U59" s="7">
        <f>'1 datos preparados'!T52</f>
        <v/>
      </c>
      <c r="V59" s="8">
        <f>$AC$12+D59*$AC$13+E59*$AC$14+F59*$AC$15+G59*$AC$16+H59*$AC$17+I59*$AC$18+J59*$AC$19+K59*$AC$20+L59*$AC$21+M59*$AC$22+N59*$AC$23+O59*$AC$24+P59*$AC$25+Q59*$AC$26+R59*$AC$27+S59*$AC$28+T59*$AC$29+U59*$AC$30</f>
        <v/>
      </c>
      <c r="W59" s="8">
        <f>1/(1+EXP(-V59))</f>
        <v/>
      </c>
      <c r="X59" s="9">
        <f>-IF(C59=1,LN(W59),LN(1-W59))</f>
        <v/>
      </c>
      <c r="Y59" s="10">
        <f>IF(W59&gt;$AC$33,1,0)</f>
        <v/>
      </c>
      <c r="Z59">
        <f>IF(Y59=C59,1,0)</f>
        <v/>
      </c>
    </row>
    <row r="60">
      <c r="A60">
        <f>'1 datos preparados'!A53</f>
        <v/>
      </c>
      <c r="B60" s="5">
        <f>'1 datos preparados'!U53</f>
        <v/>
      </c>
      <c r="C60">
        <f>'1 datos preparados'!B53</f>
        <v/>
      </c>
      <c r="D60" s="7">
        <f>'1 datos preparados'!C53</f>
        <v/>
      </c>
      <c r="E60" s="7">
        <f>'1 datos preparados'!D53</f>
        <v/>
      </c>
      <c r="F60" s="7">
        <f>'1 datos preparados'!E53</f>
        <v/>
      </c>
      <c r="G60" s="7">
        <f>'1 datos preparados'!F53</f>
        <v/>
      </c>
      <c r="H60" s="7">
        <f>'1 datos preparados'!G53</f>
        <v/>
      </c>
      <c r="I60" s="7">
        <f>'1 datos preparados'!H53</f>
        <v/>
      </c>
      <c r="J60" s="7">
        <f>'1 datos preparados'!I53</f>
        <v/>
      </c>
      <c r="K60" s="7">
        <f>'1 datos preparados'!J53</f>
        <v/>
      </c>
      <c r="L60" s="7">
        <f>'1 datos preparados'!K53</f>
        <v/>
      </c>
      <c r="M60" s="7">
        <f>'1 datos preparados'!L53</f>
        <v/>
      </c>
      <c r="N60" s="7">
        <f>'1 datos preparados'!M53</f>
        <v/>
      </c>
      <c r="O60" s="7">
        <f>'1 datos preparados'!N53</f>
        <v/>
      </c>
      <c r="P60" s="7">
        <f>'1 datos preparados'!O53</f>
        <v/>
      </c>
      <c r="Q60" s="7">
        <f>'1 datos preparados'!P53</f>
        <v/>
      </c>
      <c r="R60" s="7">
        <f>'1 datos preparados'!Q53</f>
        <v/>
      </c>
      <c r="S60" s="7">
        <f>'1 datos preparados'!R53</f>
        <v/>
      </c>
      <c r="T60" s="7">
        <f>'1 datos preparados'!S53</f>
        <v/>
      </c>
      <c r="U60" s="7">
        <f>'1 datos preparados'!T53</f>
        <v/>
      </c>
      <c r="V60" s="8">
        <f>$AC$12+D60*$AC$13+E60*$AC$14+F60*$AC$15+G60*$AC$16+H60*$AC$17+I60*$AC$18+J60*$AC$19+K60*$AC$20+L60*$AC$21+M60*$AC$22+N60*$AC$23+O60*$AC$24+P60*$AC$25+Q60*$AC$26+R60*$AC$27+S60*$AC$28+T60*$AC$29+U60*$AC$30</f>
        <v/>
      </c>
      <c r="W60" s="8">
        <f>1/(1+EXP(-V60))</f>
        <v/>
      </c>
      <c r="X60" s="9">
        <f>-IF(C60=1,LN(W60),LN(1-W60))</f>
        <v/>
      </c>
      <c r="Y60" s="10">
        <f>IF(W60&gt;$AC$33,1,0)</f>
        <v/>
      </c>
      <c r="Z60">
        <f>IF(Y60=C60,1,0)</f>
        <v/>
      </c>
    </row>
    <row r="61">
      <c r="A61">
        <f>'1 datos preparados'!A54</f>
        <v/>
      </c>
      <c r="B61" s="5">
        <f>'1 datos preparados'!U54</f>
        <v/>
      </c>
      <c r="C61">
        <f>'1 datos preparados'!B54</f>
        <v/>
      </c>
      <c r="D61" s="7">
        <f>'1 datos preparados'!C54</f>
        <v/>
      </c>
      <c r="E61" s="7">
        <f>'1 datos preparados'!D54</f>
        <v/>
      </c>
      <c r="F61" s="7">
        <f>'1 datos preparados'!E54</f>
        <v/>
      </c>
      <c r="G61" s="7">
        <f>'1 datos preparados'!F54</f>
        <v/>
      </c>
      <c r="H61" s="7">
        <f>'1 datos preparados'!G54</f>
        <v/>
      </c>
      <c r="I61" s="7">
        <f>'1 datos preparados'!H54</f>
        <v/>
      </c>
      <c r="J61" s="7">
        <f>'1 datos preparados'!I54</f>
        <v/>
      </c>
      <c r="K61" s="7">
        <f>'1 datos preparados'!J54</f>
        <v/>
      </c>
      <c r="L61" s="7">
        <f>'1 datos preparados'!K54</f>
        <v/>
      </c>
      <c r="M61" s="7">
        <f>'1 datos preparados'!L54</f>
        <v/>
      </c>
      <c r="N61" s="7">
        <f>'1 datos preparados'!M54</f>
        <v/>
      </c>
      <c r="O61" s="7">
        <f>'1 datos preparados'!N54</f>
        <v/>
      </c>
      <c r="P61" s="7">
        <f>'1 datos preparados'!O54</f>
        <v/>
      </c>
      <c r="Q61" s="7">
        <f>'1 datos preparados'!P54</f>
        <v/>
      </c>
      <c r="R61" s="7">
        <f>'1 datos preparados'!Q54</f>
        <v/>
      </c>
      <c r="S61" s="7">
        <f>'1 datos preparados'!R54</f>
        <v/>
      </c>
      <c r="T61" s="7">
        <f>'1 datos preparados'!S54</f>
        <v/>
      </c>
      <c r="U61" s="7">
        <f>'1 datos preparados'!T54</f>
        <v/>
      </c>
      <c r="V61" s="8">
        <f>$AC$12+D61*$AC$13+E61*$AC$14+F61*$AC$15+G61*$AC$16+H61*$AC$17+I61*$AC$18+J61*$AC$19+K61*$AC$20+L61*$AC$21+M61*$AC$22+N61*$AC$23+O61*$AC$24+P61*$AC$25+Q61*$AC$26+R61*$AC$27+S61*$AC$28+T61*$AC$29+U61*$AC$30</f>
        <v/>
      </c>
      <c r="W61" s="8">
        <f>1/(1+EXP(-V61))</f>
        <v/>
      </c>
      <c r="X61" s="9">
        <f>-IF(C61=1,LN(W61),LN(1-W61))</f>
        <v/>
      </c>
      <c r="Y61" s="10">
        <f>IF(W61&gt;$AC$33,1,0)</f>
        <v/>
      </c>
      <c r="Z61">
        <f>IF(Y61=C61,1,0)</f>
        <v/>
      </c>
    </row>
    <row r="62">
      <c r="A62">
        <f>'1 datos preparados'!A55</f>
        <v/>
      </c>
      <c r="B62" s="5">
        <f>'1 datos preparados'!U55</f>
        <v/>
      </c>
      <c r="C62">
        <f>'1 datos preparados'!B55</f>
        <v/>
      </c>
      <c r="D62" s="7">
        <f>'1 datos preparados'!C55</f>
        <v/>
      </c>
      <c r="E62" s="7">
        <f>'1 datos preparados'!D55</f>
        <v/>
      </c>
      <c r="F62" s="7">
        <f>'1 datos preparados'!E55</f>
        <v/>
      </c>
      <c r="G62" s="7">
        <f>'1 datos preparados'!F55</f>
        <v/>
      </c>
      <c r="H62" s="7">
        <f>'1 datos preparados'!G55</f>
        <v/>
      </c>
      <c r="I62" s="7">
        <f>'1 datos preparados'!H55</f>
        <v/>
      </c>
      <c r="J62" s="7">
        <f>'1 datos preparados'!I55</f>
        <v/>
      </c>
      <c r="K62" s="7">
        <f>'1 datos preparados'!J55</f>
        <v/>
      </c>
      <c r="L62" s="7">
        <f>'1 datos preparados'!K55</f>
        <v/>
      </c>
      <c r="M62" s="7">
        <f>'1 datos preparados'!L55</f>
        <v/>
      </c>
      <c r="N62" s="7">
        <f>'1 datos preparados'!M55</f>
        <v/>
      </c>
      <c r="O62" s="7">
        <f>'1 datos preparados'!N55</f>
        <v/>
      </c>
      <c r="P62" s="7">
        <f>'1 datos preparados'!O55</f>
        <v/>
      </c>
      <c r="Q62" s="7">
        <f>'1 datos preparados'!P55</f>
        <v/>
      </c>
      <c r="R62" s="7">
        <f>'1 datos preparados'!Q55</f>
        <v/>
      </c>
      <c r="S62" s="7">
        <f>'1 datos preparados'!R55</f>
        <v/>
      </c>
      <c r="T62" s="7">
        <f>'1 datos preparados'!S55</f>
        <v/>
      </c>
      <c r="U62" s="7">
        <f>'1 datos preparados'!T55</f>
        <v/>
      </c>
      <c r="V62" s="8">
        <f>$AC$12+D62*$AC$13+E62*$AC$14+F62*$AC$15+G62*$AC$16+H62*$AC$17+I62*$AC$18+J62*$AC$19+K62*$AC$20+L62*$AC$21+M62*$AC$22+N62*$AC$23+O62*$AC$24+P62*$AC$25+Q62*$AC$26+R62*$AC$27+S62*$AC$28+T62*$AC$29+U62*$AC$30</f>
        <v/>
      </c>
      <c r="W62" s="8">
        <f>1/(1+EXP(-V62))</f>
        <v/>
      </c>
      <c r="X62" s="9">
        <f>-IF(C62=1,LN(W62),LN(1-W62))</f>
        <v/>
      </c>
      <c r="Y62" s="10">
        <f>IF(W62&gt;$AC$33,1,0)</f>
        <v/>
      </c>
      <c r="Z62">
        <f>IF(Y62=C62,1,0)</f>
        <v/>
      </c>
    </row>
    <row r="63">
      <c r="A63">
        <f>'1 datos preparados'!A56</f>
        <v/>
      </c>
      <c r="B63" s="5">
        <f>'1 datos preparados'!U56</f>
        <v/>
      </c>
      <c r="C63">
        <f>'1 datos preparados'!B56</f>
        <v/>
      </c>
      <c r="D63" s="7">
        <f>'1 datos preparados'!C56</f>
        <v/>
      </c>
      <c r="E63" s="7">
        <f>'1 datos preparados'!D56</f>
        <v/>
      </c>
      <c r="F63" s="7">
        <f>'1 datos preparados'!E56</f>
        <v/>
      </c>
      <c r="G63" s="7">
        <f>'1 datos preparados'!F56</f>
        <v/>
      </c>
      <c r="H63" s="7">
        <f>'1 datos preparados'!G56</f>
        <v/>
      </c>
      <c r="I63" s="7">
        <f>'1 datos preparados'!H56</f>
        <v/>
      </c>
      <c r="J63" s="7">
        <f>'1 datos preparados'!I56</f>
        <v/>
      </c>
      <c r="K63" s="7">
        <f>'1 datos preparados'!J56</f>
        <v/>
      </c>
      <c r="L63" s="7">
        <f>'1 datos preparados'!K56</f>
        <v/>
      </c>
      <c r="M63" s="7">
        <f>'1 datos preparados'!L56</f>
        <v/>
      </c>
      <c r="N63" s="7">
        <f>'1 datos preparados'!M56</f>
        <v/>
      </c>
      <c r="O63" s="7">
        <f>'1 datos preparados'!N56</f>
        <v/>
      </c>
      <c r="P63" s="7">
        <f>'1 datos preparados'!O56</f>
        <v/>
      </c>
      <c r="Q63" s="7">
        <f>'1 datos preparados'!P56</f>
        <v/>
      </c>
      <c r="R63" s="7">
        <f>'1 datos preparados'!Q56</f>
        <v/>
      </c>
      <c r="S63" s="7">
        <f>'1 datos preparados'!R56</f>
        <v/>
      </c>
      <c r="T63" s="7">
        <f>'1 datos preparados'!S56</f>
        <v/>
      </c>
      <c r="U63" s="7">
        <f>'1 datos preparados'!T56</f>
        <v/>
      </c>
      <c r="V63" s="8">
        <f>$AC$12+D63*$AC$13+E63*$AC$14+F63*$AC$15+G63*$AC$16+H63*$AC$17+I63*$AC$18+J63*$AC$19+K63*$AC$20+L63*$AC$21+M63*$AC$22+N63*$AC$23+O63*$AC$24+P63*$AC$25+Q63*$AC$26+R63*$AC$27+S63*$AC$28+T63*$AC$29+U63*$AC$30</f>
        <v/>
      </c>
      <c r="W63" s="8">
        <f>1/(1+EXP(-V63))</f>
        <v/>
      </c>
      <c r="X63" s="9">
        <f>-IF(C63=1,LN(W63),LN(1-W63))</f>
        <v/>
      </c>
      <c r="Y63" s="10">
        <f>IF(W63&gt;$AC$33,1,0)</f>
        <v/>
      </c>
      <c r="Z63">
        <f>IF(Y63=C63,1,0)</f>
        <v/>
      </c>
    </row>
    <row r="64">
      <c r="A64">
        <f>'1 datos preparados'!A57</f>
        <v/>
      </c>
      <c r="B64" s="5">
        <f>'1 datos preparados'!U57</f>
        <v/>
      </c>
      <c r="C64">
        <f>'1 datos preparados'!B57</f>
        <v/>
      </c>
      <c r="D64" s="7">
        <f>'1 datos preparados'!C57</f>
        <v/>
      </c>
      <c r="E64" s="7">
        <f>'1 datos preparados'!D57</f>
        <v/>
      </c>
      <c r="F64" s="7">
        <f>'1 datos preparados'!E57</f>
        <v/>
      </c>
      <c r="G64" s="7">
        <f>'1 datos preparados'!F57</f>
        <v/>
      </c>
      <c r="H64" s="7">
        <f>'1 datos preparados'!G57</f>
        <v/>
      </c>
      <c r="I64" s="7">
        <f>'1 datos preparados'!H57</f>
        <v/>
      </c>
      <c r="J64" s="7">
        <f>'1 datos preparados'!I57</f>
        <v/>
      </c>
      <c r="K64" s="7">
        <f>'1 datos preparados'!J57</f>
        <v/>
      </c>
      <c r="L64" s="7">
        <f>'1 datos preparados'!K57</f>
        <v/>
      </c>
      <c r="M64" s="7">
        <f>'1 datos preparados'!L57</f>
        <v/>
      </c>
      <c r="N64" s="7">
        <f>'1 datos preparados'!M57</f>
        <v/>
      </c>
      <c r="O64" s="7">
        <f>'1 datos preparados'!N57</f>
        <v/>
      </c>
      <c r="P64" s="7">
        <f>'1 datos preparados'!O57</f>
        <v/>
      </c>
      <c r="Q64" s="7">
        <f>'1 datos preparados'!P57</f>
        <v/>
      </c>
      <c r="R64" s="7">
        <f>'1 datos preparados'!Q57</f>
        <v/>
      </c>
      <c r="S64" s="7">
        <f>'1 datos preparados'!R57</f>
        <v/>
      </c>
      <c r="T64" s="7">
        <f>'1 datos preparados'!S57</f>
        <v/>
      </c>
      <c r="U64" s="7">
        <f>'1 datos preparados'!T57</f>
        <v/>
      </c>
      <c r="V64" s="8">
        <f>$AC$12+D64*$AC$13+E64*$AC$14+F64*$AC$15+G64*$AC$16+H64*$AC$17+I64*$AC$18+J64*$AC$19+K64*$AC$20+L64*$AC$21+M64*$AC$22+N64*$AC$23+O64*$AC$24+P64*$AC$25+Q64*$AC$26+R64*$AC$27+S64*$AC$28+T64*$AC$29+U64*$AC$30</f>
        <v/>
      </c>
      <c r="W64" s="8">
        <f>1/(1+EXP(-V64))</f>
        <v/>
      </c>
      <c r="X64" s="9">
        <f>-IF(C64=1,LN(W64),LN(1-W64))</f>
        <v/>
      </c>
      <c r="Y64" s="10">
        <f>IF(W64&gt;$AC$33,1,0)</f>
        <v/>
      </c>
      <c r="Z64">
        <f>IF(Y64=C64,1,0)</f>
        <v/>
      </c>
    </row>
    <row r="65">
      <c r="A65">
        <f>'1 datos preparados'!A58</f>
        <v/>
      </c>
      <c r="B65" s="5">
        <f>'1 datos preparados'!U58</f>
        <v/>
      </c>
      <c r="C65">
        <f>'1 datos preparados'!B58</f>
        <v/>
      </c>
      <c r="D65" s="7">
        <f>'1 datos preparados'!C58</f>
        <v/>
      </c>
      <c r="E65" s="7">
        <f>'1 datos preparados'!D58</f>
        <v/>
      </c>
      <c r="F65" s="7">
        <f>'1 datos preparados'!E58</f>
        <v/>
      </c>
      <c r="G65" s="7">
        <f>'1 datos preparados'!F58</f>
        <v/>
      </c>
      <c r="H65" s="7">
        <f>'1 datos preparados'!G58</f>
        <v/>
      </c>
      <c r="I65" s="7">
        <f>'1 datos preparados'!H58</f>
        <v/>
      </c>
      <c r="J65" s="7">
        <f>'1 datos preparados'!I58</f>
        <v/>
      </c>
      <c r="K65" s="7">
        <f>'1 datos preparados'!J58</f>
        <v/>
      </c>
      <c r="L65" s="7">
        <f>'1 datos preparados'!K58</f>
        <v/>
      </c>
      <c r="M65" s="7">
        <f>'1 datos preparados'!L58</f>
        <v/>
      </c>
      <c r="N65" s="7">
        <f>'1 datos preparados'!M58</f>
        <v/>
      </c>
      <c r="O65" s="7">
        <f>'1 datos preparados'!N58</f>
        <v/>
      </c>
      <c r="P65" s="7">
        <f>'1 datos preparados'!O58</f>
        <v/>
      </c>
      <c r="Q65" s="7">
        <f>'1 datos preparados'!P58</f>
        <v/>
      </c>
      <c r="R65" s="7">
        <f>'1 datos preparados'!Q58</f>
        <v/>
      </c>
      <c r="S65" s="7">
        <f>'1 datos preparados'!R58</f>
        <v/>
      </c>
      <c r="T65" s="7">
        <f>'1 datos preparados'!S58</f>
        <v/>
      </c>
      <c r="U65" s="7">
        <f>'1 datos preparados'!T58</f>
        <v/>
      </c>
      <c r="V65" s="8">
        <f>$AC$12+D65*$AC$13+E65*$AC$14+F65*$AC$15+G65*$AC$16+H65*$AC$17+I65*$AC$18+J65*$AC$19+K65*$AC$20+L65*$AC$21+M65*$AC$22+N65*$AC$23+O65*$AC$24+P65*$AC$25+Q65*$AC$26+R65*$AC$27+S65*$AC$28+T65*$AC$29+U65*$AC$30</f>
        <v/>
      </c>
      <c r="W65" s="8">
        <f>1/(1+EXP(-V65))</f>
        <v/>
      </c>
      <c r="X65" s="9">
        <f>-IF(C65=1,LN(W65),LN(1-W65))</f>
        <v/>
      </c>
      <c r="Y65" s="10">
        <f>IF(W65&gt;$AC$33,1,0)</f>
        <v/>
      </c>
      <c r="Z65">
        <f>IF(Y65=C65,1,0)</f>
        <v/>
      </c>
    </row>
    <row r="66">
      <c r="A66">
        <f>'1 datos preparados'!A59</f>
        <v/>
      </c>
      <c r="B66" s="5">
        <f>'1 datos preparados'!U59</f>
        <v/>
      </c>
      <c r="C66">
        <f>'1 datos preparados'!B59</f>
        <v/>
      </c>
      <c r="D66" s="7">
        <f>'1 datos preparados'!C59</f>
        <v/>
      </c>
      <c r="E66" s="7">
        <f>'1 datos preparados'!D59</f>
        <v/>
      </c>
      <c r="F66" s="7">
        <f>'1 datos preparados'!E59</f>
        <v/>
      </c>
      <c r="G66" s="7">
        <f>'1 datos preparados'!F59</f>
        <v/>
      </c>
      <c r="H66" s="7">
        <f>'1 datos preparados'!G59</f>
        <v/>
      </c>
      <c r="I66" s="7">
        <f>'1 datos preparados'!H59</f>
        <v/>
      </c>
      <c r="J66" s="7">
        <f>'1 datos preparados'!I59</f>
        <v/>
      </c>
      <c r="K66" s="7">
        <f>'1 datos preparados'!J59</f>
        <v/>
      </c>
      <c r="L66" s="7">
        <f>'1 datos preparados'!K59</f>
        <v/>
      </c>
      <c r="M66" s="7">
        <f>'1 datos preparados'!L59</f>
        <v/>
      </c>
      <c r="N66" s="7">
        <f>'1 datos preparados'!M59</f>
        <v/>
      </c>
      <c r="O66" s="7">
        <f>'1 datos preparados'!N59</f>
        <v/>
      </c>
      <c r="P66" s="7">
        <f>'1 datos preparados'!O59</f>
        <v/>
      </c>
      <c r="Q66" s="7">
        <f>'1 datos preparados'!P59</f>
        <v/>
      </c>
      <c r="R66" s="7">
        <f>'1 datos preparados'!Q59</f>
        <v/>
      </c>
      <c r="S66" s="7">
        <f>'1 datos preparados'!R59</f>
        <v/>
      </c>
      <c r="T66" s="7">
        <f>'1 datos preparados'!S59</f>
        <v/>
      </c>
      <c r="U66" s="7">
        <f>'1 datos preparados'!T59</f>
        <v/>
      </c>
      <c r="V66" s="8">
        <f>$AC$12+D66*$AC$13+E66*$AC$14+F66*$AC$15+G66*$AC$16+H66*$AC$17+I66*$AC$18+J66*$AC$19+K66*$AC$20+L66*$AC$21+M66*$AC$22+N66*$AC$23+O66*$AC$24+P66*$AC$25+Q66*$AC$26+R66*$AC$27+S66*$AC$28+T66*$AC$29+U66*$AC$30</f>
        <v/>
      </c>
      <c r="W66" s="8">
        <f>1/(1+EXP(-V66))</f>
        <v/>
      </c>
      <c r="X66" s="9">
        <f>-IF(C66=1,LN(W66),LN(1-W66))</f>
        <v/>
      </c>
      <c r="Y66" s="10">
        <f>IF(W66&gt;$AC$33,1,0)</f>
        <v/>
      </c>
      <c r="Z66">
        <f>IF(Y66=C66,1,0)</f>
        <v/>
      </c>
    </row>
    <row r="67">
      <c r="A67">
        <f>'1 datos preparados'!A60</f>
        <v/>
      </c>
      <c r="B67" s="5">
        <f>'1 datos preparados'!U60</f>
        <v/>
      </c>
      <c r="C67">
        <f>'1 datos preparados'!B60</f>
        <v/>
      </c>
      <c r="D67" s="7">
        <f>'1 datos preparados'!C60</f>
        <v/>
      </c>
      <c r="E67" s="7">
        <f>'1 datos preparados'!D60</f>
        <v/>
      </c>
      <c r="F67" s="7">
        <f>'1 datos preparados'!E60</f>
        <v/>
      </c>
      <c r="G67" s="7">
        <f>'1 datos preparados'!F60</f>
        <v/>
      </c>
      <c r="H67" s="7">
        <f>'1 datos preparados'!G60</f>
        <v/>
      </c>
      <c r="I67" s="7">
        <f>'1 datos preparados'!H60</f>
        <v/>
      </c>
      <c r="J67" s="7">
        <f>'1 datos preparados'!I60</f>
        <v/>
      </c>
      <c r="K67" s="7">
        <f>'1 datos preparados'!J60</f>
        <v/>
      </c>
      <c r="L67" s="7">
        <f>'1 datos preparados'!K60</f>
        <v/>
      </c>
      <c r="M67" s="7">
        <f>'1 datos preparados'!L60</f>
        <v/>
      </c>
      <c r="N67" s="7">
        <f>'1 datos preparados'!M60</f>
        <v/>
      </c>
      <c r="O67" s="7">
        <f>'1 datos preparados'!N60</f>
        <v/>
      </c>
      <c r="P67" s="7">
        <f>'1 datos preparados'!O60</f>
        <v/>
      </c>
      <c r="Q67" s="7">
        <f>'1 datos preparados'!P60</f>
        <v/>
      </c>
      <c r="R67" s="7">
        <f>'1 datos preparados'!Q60</f>
        <v/>
      </c>
      <c r="S67" s="7">
        <f>'1 datos preparados'!R60</f>
        <v/>
      </c>
      <c r="T67" s="7">
        <f>'1 datos preparados'!S60</f>
        <v/>
      </c>
      <c r="U67" s="7">
        <f>'1 datos preparados'!T60</f>
        <v/>
      </c>
      <c r="V67" s="8">
        <f>$AC$12+D67*$AC$13+E67*$AC$14+F67*$AC$15+G67*$AC$16+H67*$AC$17+I67*$AC$18+J67*$AC$19+K67*$AC$20+L67*$AC$21+M67*$AC$22+N67*$AC$23+O67*$AC$24+P67*$AC$25+Q67*$AC$26+R67*$AC$27+S67*$AC$28+T67*$AC$29+U67*$AC$30</f>
        <v/>
      </c>
      <c r="W67" s="8">
        <f>1/(1+EXP(-V67))</f>
        <v/>
      </c>
      <c r="X67" s="9">
        <f>-IF(C67=1,LN(W67),LN(1-W67))</f>
        <v/>
      </c>
      <c r="Y67" s="10">
        <f>IF(W67&gt;$AC$33,1,0)</f>
        <v/>
      </c>
      <c r="Z67">
        <f>IF(Y67=C67,1,0)</f>
        <v/>
      </c>
    </row>
    <row r="68">
      <c r="A68">
        <f>'1 datos preparados'!A61</f>
        <v/>
      </c>
      <c r="B68" s="5">
        <f>'1 datos preparados'!U61</f>
        <v/>
      </c>
      <c r="C68">
        <f>'1 datos preparados'!B61</f>
        <v/>
      </c>
      <c r="D68" s="7">
        <f>'1 datos preparados'!C61</f>
        <v/>
      </c>
      <c r="E68" s="7">
        <f>'1 datos preparados'!D61</f>
        <v/>
      </c>
      <c r="F68" s="7">
        <f>'1 datos preparados'!E61</f>
        <v/>
      </c>
      <c r="G68" s="7">
        <f>'1 datos preparados'!F61</f>
        <v/>
      </c>
      <c r="H68" s="7">
        <f>'1 datos preparados'!G61</f>
        <v/>
      </c>
      <c r="I68" s="7">
        <f>'1 datos preparados'!H61</f>
        <v/>
      </c>
      <c r="J68" s="7">
        <f>'1 datos preparados'!I61</f>
        <v/>
      </c>
      <c r="K68" s="7">
        <f>'1 datos preparados'!J61</f>
        <v/>
      </c>
      <c r="L68" s="7">
        <f>'1 datos preparados'!K61</f>
        <v/>
      </c>
      <c r="M68" s="7">
        <f>'1 datos preparados'!L61</f>
        <v/>
      </c>
      <c r="N68" s="7">
        <f>'1 datos preparados'!M61</f>
        <v/>
      </c>
      <c r="O68" s="7">
        <f>'1 datos preparados'!N61</f>
        <v/>
      </c>
      <c r="P68" s="7">
        <f>'1 datos preparados'!O61</f>
        <v/>
      </c>
      <c r="Q68" s="7">
        <f>'1 datos preparados'!P61</f>
        <v/>
      </c>
      <c r="R68" s="7">
        <f>'1 datos preparados'!Q61</f>
        <v/>
      </c>
      <c r="S68" s="7">
        <f>'1 datos preparados'!R61</f>
        <v/>
      </c>
      <c r="T68" s="7">
        <f>'1 datos preparados'!S61</f>
        <v/>
      </c>
      <c r="U68" s="7">
        <f>'1 datos preparados'!T61</f>
        <v/>
      </c>
      <c r="V68" s="8">
        <f>$AC$12+D68*$AC$13+E68*$AC$14+F68*$AC$15+G68*$AC$16+H68*$AC$17+I68*$AC$18+J68*$AC$19+K68*$AC$20+L68*$AC$21+M68*$AC$22+N68*$AC$23+O68*$AC$24+P68*$AC$25+Q68*$AC$26+R68*$AC$27+S68*$AC$28+T68*$AC$29+U68*$AC$30</f>
        <v/>
      </c>
      <c r="W68" s="8">
        <f>1/(1+EXP(-V68))</f>
        <v/>
      </c>
      <c r="X68" s="9">
        <f>-IF(C68=1,LN(W68),LN(1-W68))</f>
        <v/>
      </c>
      <c r="Y68" s="10">
        <f>IF(W68&gt;$AC$33,1,0)</f>
        <v/>
      </c>
      <c r="Z68">
        <f>IF(Y68=C68,1,0)</f>
        <v/>
      </c>
    </row>
    <row r="69">
      <c r="A69">
        <f>'1 datos preparados'!A62</f>
        <v/>
      </c>
      <c r="B69" s="5">
        <f>'1 datos preparados'!U62</f>
        <v/>
      </c>
      <c r="C69">
        <f>'1 datos preparados'!B62</f>
        <v/>
      </c>
      <c r="D69" s="7">
        <f>'1 datos preparados'!C62</f>
        <v/>
      </c>
      <c r="E69" s="7">
        <f>'1 datos preparados'!D62</f>
        <v/>
      </c>
      <c r="F69" s="7">
        <f>'1 datos preparados'!E62</f>
        <v/>
      </c>
      <c r="G69" s="7">
        <f>'1 datos preparados'!F62</f>
        <v/>
      </c>
      <c r="H69" s="7">
        <f>'1 datos preparados'!G62</f>
        <v/>
      </c>
      <c r="I69" s="7">
        <f>'1 datos preparados'!H62</f>
        <v/>
      </c>
      <c r="J69" s="7">
        <f>'1 datos preparados'!I62</f>
        <v/>
      </c>
      <c r="K69" s="7">
        <f>'1 datos preparados'!J62</f>
        <v/>
      </c>
      <c r="L69" s="7">
        <f>'1 datos preparados'!K62</f>
        <v/>
      </c>
      <c r="M69" s="7">
        <f>'1 datos preparados'!L62</f>
        <v/>
      </c>
      <c r="N69" s="7">
        <f>'1 datos preparados'!M62</f>
        <v/>
      </c>
      <c r="O69" s="7">
        <f>'1 datos preparados'!N62</f>
        <v/>
      </c>
      <c r="P69" s="7">
        <f>'1 datos preparados'!O62</f>
        <v/>
      </c>
      <c r="Q69" s="7">
        <f>'1 datos preparados'!P62</f>
        <v/>
      </c>
      <c r="R69" s="7">
        <f>'1 datos preparados'!Q62</f>
        <v/>
      </c>
      <c r="S69" s="7">
        <f>'1 datos preparados'!R62</f>
        <v/>
      </c>
      <c r="T69" s="7">
        <f>'1 datos preparados'!S62</f>
        <v/>
      </c>
      <c r="U69" s="7">
        <f>'1 datos preparados'!T62</f>
        <v/>
      </c>
      <c r="V69" s="8">
        <f>$AC$12+D69*$AC$13+E69*$AC$14+F69*$AC$15+G69*$AC$16+H69*$AC$17+I69*$AC$18+J69*$AC$19+K69*$AC$20+L69*$AC$21+M69*$AC$22+N69*$AC$23+O69*$AC$24+P69*$AC$25+Q69*$AC$26+R69*$AC$27+S69*$AC$28+T69*$AC$29+U69*$AC$30</f>
        <v/>
      </c>
      <c r="W69" s="8">
        <f>1/(1+EXP(-V69))</f>
        <v/>
      </c>
      <c r="X69" s="9">
        <f>-IF(C69=1,LN(W69),LN(1-W69))</f>
        <v/>
      </c>
      <c r="Y69" s="10">
        <f>IF(W69&gt;$AC$33,1,0)</f>
        <v/>
      </c>
      <c r="Z69">
        <f>IF(Y69=C69,1,0)</f>
        <v/>
      </c>
    </row>
    <row r="70">
      <c r="A70">
        <f>'1 datos preparados'!A63</f>
        <v/>
      </c>
      <c r="B70" s="5">
        <f>'1 datos preparados'!U63</f>
        <v/>
      </c>
      <c r="C70">
        <f>'1 datos preparados'!B63</f>
        <v/>
      </c>
      <c r="D70" s="7">
        <f>'1 datos preparados'!C63</f>
        <v/>
      </c>
      <c r="E70" s="7">
        <f>'1 datos preparados'!D63</f>
        <v/>
      </c>
      <c r="F70" s="7">
        <f>'1 datos preparados'!E63</f>
        <v/>
      </c>
      <c r="G70" s="7">
        <f>'1 datos preparados'!F63</f>
        <v/>
      </c>
      <c r="H70" s="7">
        <f>'1 datos preparados'!G63</f>
        <v/>
      </c>
      <c r="I70" s="7">
        <f>'1 datos preparados'!H63</f>
        <v/>
      </c>
      <c r="J70" s="7">
        <f>'1 datos preparados'!I63</f>
        <v/>
      </c>
      <c r="K70" s="7">
        <f>'1 datos preparados'!J63</f>
        <v/>
      </c>
      <c r="L70" s="7">
        <f>'1 datos preparados'!K63</f>
        <v/>
      </c>
      <c r="M70" s="7">
        <f>'1 datos preparados'!L63</f>
        <v/>
      </c>
      <c r="N70" s="7">
        <f>'1 datos preparados'!M63</f>
        <v/>
      </c>
      <c r="O70" s="7">
        <f>'1 datos preparados'!N63</f>
        <v/>
      </c>
      <c r="P70" s="7">
        <f>'1 datos preparados'!O63</f>
        <v/>
      </c>
      <c r="Q70" s="7">
        <f>'1 datos preparados'!P63</f>
        <v/>
      </c>
      <c r="R70" s="7">
        <f>'1 datos preparados'!Q63</f>
        <v/>
      </c>
      <c r="S70" s="7">
        <f>'1 datos preparados'!R63</f>
        <v/>
      </c>
      <c r="T70" s="7">
        <f>'1 datos preparados'!S63</f>
        <v/>
      </c>
      <c r="U70" s="7">
        <f>'1 datos preparados'!T63</f>
        <v/>
      </c>
      <c r="V70" s="8">
        <f>$AC$12+D70*$AC$13+E70*$AC$14+F70*$AC$15+G70*$AC$16+H70*$AC$17+I70*$AC$18+J70*$AC$19+K70*$AC$20+L70*$AC$21+M70*$AC$22+N70*$AC$23+O70*$AC$24+P70*$AC$25+Q70*$AC$26+R70*$AC$27+S70*$AC$28+T70*$AC$29+U70*$AC$30</f>
        <v/>
      </c>
      <c r="W70" s="8">
        <f>1/(1+EXP(-V70))</f>
        <v/>
      </c>
      <c r="X70" s="9">
        <f>-IF(C70=1,LN(W70),LN(1-W70))</f>
        <v/>
      </c>
      <c r="Y70" s="10">
        <f>IF(W70&gt;$AC$33,1,0)</f>
        <v/>
      </c>
      <c r="Z70">
        <f>IF(Y70=C70,1,0)</f>
        <v/>
      </c>
    </row>
    <row r="71">
      <c r="A71">
        <f>'1 datos preparados'!A64</f>
        <v/>
      </c>
      <c r="B71" s="5">
        <f>'1 datos preparados'!U64</f>
        <v/>
      </c>
      <c r="C71">
        <f>'1 datos preparados'!B64</f>
        <v/>
      </c>
      <c r="D71" s="7">
        <f>'1 datos preparados'!C64</f>
        <v/>
      </c>
      <c r="E71" s="7">
        <f>'1 datos preparados'!D64</f>
        <v/>
      </c>
      <c r="F71" s="7">
        <f>'1 datos preparados'!E64</f>
        <v/>
      </c>
      <c r="G71" s="7">
        <f>'1 datos preparados'!F64</f>
        <v/>
      </c>
      <c r="H71" s="7">
        <f>'1 datos preparados'!G64</f>
        <v/>
      </c>
      <c r="I71" s="7">
        <f>'1 datos preparados'!H64</f>
        <v/>
      </c>
      <c r="J71" s="7">
        <f>'1 datos preparados'!I64</f>
        <v/>
      </c>
      <c r="K71" s="7">
        <f>'1 datos preparados'!J64</f>
        <v/>
      </c>
      <c r="L71" s="7">
        <f>'1 datos preparados'!K64</f>
        <v/>
      </c>
      <c r="M71" s="7">
        <f>'1 datos preparados'!L64</f>
        <v/>
      </c>
      <c r="N71" s="7">
        <f>'1 datos preparados'!M64</f>
        <v/>
      </c>
      <c r="O71" s="7">
        <f>'1 datos preparados'!N64</f>
        <v/>
      </c>
      <c r="P71" s="7">
        <f>'1 datos preparados'!O64</f>
        <v/>
      </c>
      <c r="Q71" s="7">
        <f>'1 datos preparados'!P64</f>
        <v/>
      </c>
      <c r="R71" s="7">
        <f>'1 datos preparados'!Q64</f>
        <v/>
      </c>
      <c r="S71" s="7">
        <f>'1 datos preparados'!R64</f>
        <v/>
      </c>
      <c r="T71" s="7">
        <f>'1 datos preparados'!S64</f>
        <v/>
      </c>
      <c r="U71" s="7">
        <f>'1 datos preparados'!T64</f>
        <v/>
      </c>
      <c r="V71" s="8">
        <f>$AC$12+D71*$AC$13+E71*$AC$14+F71*$AC$15+G71*$AC$16+H71*$AC$17+I71*$AC$18+J71*$AC$19+K71*$AC$20+L71*$AC$21+M71*$AC$22+N71*$AC$23+O71*$AC$24+P71*$AC$25+Q71*$AC$26+R71*$AC$27+S71*$AC$28+T71*$AC$29+U71*$AC$30</f>
        <v/>
      </c>
      <c r="W71" s="8">
        <f>1/(1+EXP(-V71))</f>
        <v/>
      </c>
      <c r="X71" s="9">
        <f>-IF(C71=1,LN(W71),LN(1-W71))</f>
        <v/>
      </c>
      <c r="Y71" s="10">
        <f>IF(W71&gt;$AC$33,1,0)</f>
        <v/>
      </c>
      <c r="Z71">
        <f>IF(Y71=C71,1,0)</f>
        <v/>
      </c>
    </row>
    <row r="72">
      <c r="A72">
        <f>'1 datos preparados'!A65</f>
        <v/>
      </c>
      <c r="B72" s="5">
        <f>'1 datos preparados'!U65</f>
        <v/>
      </c>
      <c r="C72">
        <f>'1 datos preparados'!B65</f>
        <v/>
      </c>
      <c r="D72" s="7">
        <f>'1 datos preparados'!C65</f>
        <v/>
      </c>
      <c r="E72" s="7">
        <f>'1 datos preparados'!D65</f>
        <v/>
      </c>
      <c r="F72" s="7">
        <f>'1 datos preparados'!E65</f>
        <v/>
      </c>
      <c r="G72" s="7">
        <f>'1 datos preparados'!F65</f>
        <v/>
      </c>
      <c r="H72" s="7">
        <f>'1 datos preparados'!G65</f>
        <v/>
      </c>
      <c r="I72" s="7">
        <f>'1 datos preparados'!H65</f>
        <v/>
      </c>
      <c r="J72" s="7">
        <f>'1 datos preparados'!I65</f>
        <v/>
      </c>
      <c r="K72" s="7">
        <f>'1 datos preparados'!J65</f>
        <v/>
      </c>
      <c r="L72" s="7">
        <f>'1 datos preparados'!K65</f>
        <v/>
      </c>
      <c r="M72" s="7">
        <f>'1 datos preparados'!L65</f>
        <v/>
      </c>
      <c r="N72" s="7">
        <f>'1 datos preparados'!M65</f>
        <v/>
      </c>
      <c r="O72" s="7">
        <f>'1 datos preparados'!N65</f>
        <v/>
      </c>
      <c r="P72" s="7">
        <f>'1 datos preparados'!O65</f>
        <v/>
      </c>
      <c r="Q72" s="7">
        <f>'1 datos preparados'!P65</f>
        <v/>
      </c>
      <c r="R72" s="7">
        <f>'1 datos preparados'!Q65</f>
        <v/>
      </c>
      <c r="S72" s="7">
        <f>'1 datos preparados'!R65</f>
        <v/>
      </c>
      <c r="T72" s="7">
        <f>'1 datos preparados'!S65</f>
        <v/>
      </c>
      <c r="U72" s="7">
        <f>'1 datos preparados'!T65</f>
        <v/>
      </c>
      <c r="V72" s="8">
        <f>$AC$12+D72*$AC$13+E72*$AC$14+F72*$AC$15+G72*$AC$16+H72*$AC$17+I72*$AC$18+J72*$AC$19+K72*$AC$20+L72*$AC$21+M72*$AC$22+N72*$AC$23+O72*$AC$24+P72*$AC$25+Q72*$AC$26+R72*$AC$27+S72*$AC$28+T72*$AC$29+U72*$AC$30</f>
        <v/>
      </c>
      <c r="W72" s="8">
        <f>1/(1+EXP(-V72))</f>
        <v/>
      </c>
      <c r="X72" s="9">
        <f>-IF(C72=1,LN(W72),LN(1-W72))</f>
        <v/>
      </c>
      <c r="Y72" s="10">
        <f>IF(W72&gt;$AC$33,1,0)</f>
        <v/>
      </c>
      <c r="Z72">
        <f>IF(Y72=C72,1,0)</f>
        <v/>
      </c>
    </row>
    <row r="73">
      <c r="A73">
        <f>'1 datos preparados'!A66</f>
        <v/>
      </c>
      <c r="B73" s="5">
        <f>'1 datos preparados'!U66</f>
        <v/>
      </c>
      <c r="C73">
        <f>'1 datos preparados'!B66</f>
        <v/>
      </c>
      <c r="D73" s="7">
        <f>'1 datos preparados'!C66</f>
        <v/>
      </c>
      <c r="E73" s="7">
        <f>'1 datos preparados'!D66</f>
        <v/>
      </c>
      <c r="F73" s="7">
        <f>'1 datos preparados'!E66</f>
        <v/>
      </c>
      <c r="G73" s="7">
        <f>'1 datos preparados'!F66</f>
        <v/>
      </c>
      <c r="H73" s="7">
        <f>'1 datos preparados'!G66</f>
        <v/>
      </c>
      <c r="I73" s="7">
        <f>'1 datos preparados'!H66</f>
        <v/>
      </c>
      <c r="J73" s="7">
        <f>'1 datos preparados'!I66</f>
        <v/>
      </c>
      <c r="K73" s="7">
        <f>'1 datos preparados'!J66</f>
        <v/>
      </c>
      <c r="L73" s="7">
        <f>'1 datos preparados'!K66</f>
        <v/>
      </c>
      <c r="M73" s="7">
        <f>'1 datos preparados'!L66</f>
        <v/>
      </c>
      <c r="N73" s="7">
        <f>'1 datos preparados'!M66</f>
        <v/>
      </c>
      <c r="O73" s="7">
        <f>'1 datos preparados'!N66</f>
        <v/>
      </c>
      <c r="P73" s="7">
        <f>'1 datos preparados'!O66</f>
        <v/>
      </c>
      <c r="Q73" s="7">
        <f>'1 datos preparados'!P66</f>
        <v/>
      </c>
      <c r="R73" s="7">
        <f>'1 datos preparados'!Q66</f>
        <v/>
      </c>
      <c r="S73" s="7">
        <f>'1 datos preparados'!R66</f>
        <v/>
      </c>
      <c r="T73" s="7">
        <f>'1 datos preparados'!S66</f>
        <v/>
      </c>
      <c r="U73" s="7">
        <f>'1 datos preparados'!T66</f>
        <v/>
      </c>
      <c r="V73" s="8">
        <f>$AC$12+D73*$AC$13+E73*$AC$14+F73*$AC$15+G73*$AC$16+H73*$AC$17+I73*$AC$18+J73*$AC$19+K73*$AC$20+L73*$AC$21+M73*$AC$22+N73*$AC$23+O73*$AC$24+P73*$AC$25+Q73*$AC$26+R73*$AC$27+S73*$AC$28+T73*$AC$29+U73*$AC$30</f>
        <v/>
      </c>
      <c r="W73" s="8">
        <f>1/(1+EXP(-V73))</f>
        <v/>
      </c>
      <c r="X73" s="9">
        <f>-IF(C73=1,LN(W73),LN(1-W73))</f>
        <v/>
      </c>
      <c r="Y73" s="10">
        <f>IF(W73&gt;$AC$33,1,0)</f>
        <v/>
      </c>
      <c r="Z73">
        <f>IF(Y73=C73,1,0)</f>
        <v/>
      </c>
    </row>
    <row r="74">
      <c r="A74">
        <f>'1 datos preparados'!A67</f>
        <v/>
      </c>
      <c r="B74" s="5">
        <f>'1 datos preparados'!U67</f>
        <v/>
      </c>
      <c r="C74">
        <f>'1 datos preparados'!B67</f>
        <v/>
      </c>
      <c r="D74" s="7">
        <f>'1 datos preparados'!C67</f>
        <v/>
      </c>
      <c r="E74" s="7">
        <f>'1 datos preparados'!D67</f>
        <v/>
      </c>
      <c r="F74" s="7">
        <f>'1 datos preparados'!E67</f>
        <v/>
      </c>
      <c r="G74" s="7">
        <f>'1 datos preparados'!F67</f>
        <v/>
      </c>
      <c r="H74" s="7">
        <f>'1 datos preparados'!G67</f>
        <v/>
      </c>
      <c r="I74" s="7">
        <f>'1 datos preparados'!H67</f>
        <v/>
      </c>
      <c r="J74" s="7">
        <f>'1 datos preparados'!I67</f>
        <v/>
      </c>
      <c r="K74" s="7">
        <f>'1 datos preparados'!J67</f>
        <v/>
      </c>
      <c r="L74" s="7">
        <f>'1 datos preparados'!K67</f>
        <v/>
      </c>
      <c r="M74" s="7">
        <f>'1 datos preparados'!L67</f>
        <v/>
      </c>
      <c r="N74" s="7">
        <f>'1 datos preparados'!M67</f>
        <v/>
      </c>
      <c r="O74" s="7">
        <f>'1 datos preparados'!N67</f>
        <v/>
      </c>
      <c r="P74" s="7">
        <f>'1 datos preparados'!O67</f>
        <v/>
      </c>
      <c r="Q74" s="7">
        <f>'1 datos preparados'!P67</f>
        <v/>
      </c>
      <c r="R74" s="7">
        <f>'1 datos preparados'!Q67</f>
        <v/>
      </c>
      <c r="S74" s="7">
        <f>'1 datos preparados'!R67</f>
        <v/>
      </c>
      <c r="T74" s="7">
        <f>'1 datos preparados'!S67</f>
        <v/>
      </c>
      <c r="U74" s="7">
        <f>'1 datos preparados'!T67</f>
        <v/>
      </c>
      <c r="V74" s="8">
        <f>$AC$12+D74*$AC$13+E74*$AC$14+F74*$AC$15+G74*$AC$16+H74*$AC$17+I74*$AC$18+J74*$AC$19+K74*$AC$20+L74*$AC$21+M74*$AC$22+N74*$AC$23+O74*$AC$24+P74*$AC$25+Q74*$AC$26+R74*$AC$27+S74*$AC$28+T74*$AC$29+U74*$AC$30</f>
        <v/>
      </c>
      <c r="W74" s="8">
        <f>1/(1+EXP(-V74))</f>
        <v/>
      </c>
      <c r="X74" s="9">
        <f>-IF(C74=1,LN(W74),LN(1-W74))</f>
        <v/>
      </c>
      <c r="Y74" s="10">
        <f>IF(W74&gt;$AC$33,1,0)</f>
        <v/>
      </c>
      <c r="Z74">
        <f>IF(Y74=C74,1,0)</f>
        <v/>
      </c>
    </row>
    <row r="75">
      <c r="A75">
        <f>'1 datos preparados'!A68</f>
        <v/>
      </c>
      <c r="B75" s="5">
        <f>'1 datos preparados'!U68</f>
        <v/>
      </c>
      <c r="C75">
        <f>'1 datos preparados'!B68</f>
        <v/>
      </c>
      <c r="D75" s="7">
        <f>'1 datos preparados'!C68</f>
        <v/>
      </c>
      <c r="E75" s="7">
        <f>'1 datos preparados'!D68</f>
        <v/>
      </c>
      <c r="F75" s="7">
        <f>'1 datos preparados'!E68</f>
        <v/>
      </c>
      <c r="G75" s="7">
        <f>'1 datos preparados'!F68</f>
        <v/>
      </c>
      <c r="H75" s="7">
        <f>'1 datos preparados'!G68</f>
        <v/>
      </c>
      <c r="I75" s="7">
        <f>'1 datos preparados'!H68</f>
        <v/>
      </c>
      <c r="J75" s="7">
        <f>'1 datos preparados'!I68</f>
        <v/>
      </c>
      <c r="K75" s="7">
        <f>'1 datos preparados'!J68</f>
        <v/>
      </c>
      <c r="L75" s="7">
        <f>'1 datos preparados'!K68</f>
        <v/>
      </c>
      <c r="M75" s="7">
        <f>'1 datos preparados'!L68</f>
        <v/>
      </c>
      <c r="N75" s="7">
        <f>'1 datos preparados'!M68</f>
        <v/>
      </c>
      <c r="O75" s="7">
        <f>'1 datos preparados'!N68</f>
        <v/>
      </c>
      <c r="P75" s="7">
        <f>'1 datos preparados'!O68</f>
        <v/>
      </c>
      <c r="Q75" s="7">
        <f>'1 datos preparados'!P68</f>
        <v/>
      </c>
      <c r="R75" s="7">
        <f>'1 datos preparados'!Q68</f>
        <v/>
      </c>
      <c r="S75" s="7">
        <f>'1 datos preparados'!R68</f>
        <v/>
      </c>
      <c r="T75" s="7">
        <f>'1 datos preparados'!S68</f>
        <v/>
      </c>
      <c r="U75" s="7">
        <f>'1 datos preparados'!T68</f>
        <v/>
      </c>
      <c r="V75" s="8">
        <f>$AC$12+D75*$AC$13+E75*$AC$14+F75*$AC$15+G75*$AC$16+H75*$AC$17+I75*$AC$18+J75*$AC$19+K75*$AC$20+L75*$AC$21+M75*$AC$22+N75*$AC$23+O75*$AC$24+P75*$AC$25+Q75*$AC$26+R75*$AC$27+S75*$AC$28+T75*$AC$29+U75*$AC$30</f>
        <v/>
      </c>
      <c r="W75" s="8">
        <f>1/(1+EXP(-V75))</f>
        <v/>
      </c>
      <c r="X75" s="9">
        <f>-IF(C75=1,LN(W75),LN(1-W75))</f>
        <v/>
      </c>
      <c r="Y75" s="10">
        <f>IF(W75&gt;$AC$33,1,0)</f>
        <v/>
      </c>
      <c r="Z75">
        <f>IF(Y75=C75,1,0)</f>
        <v/>
      </c>
    </row>
    <row r="76">
      <c r="A76">
        <f>'1 datos preparados'!A69</f>
        <v/>
      </c>
      <c r="B76" s="5">
        <f>'1 datos preparados'!U69</f>
        <v/>
      </c>
      <c r="C76">
        <f>'1 datos preparados'!B69</f>
        <v/>
      </c>
      <c r="D76" s="7">
        <f>'1 datos preparados'!C69</f>
        <v/>
      </c>
      <c r="E76" s="7">
        <f>'1 datos preparados'!D69</f>
        <v/>
      </c>
      <c r="F76" s="7">
        <f>'1 datos preparados'!E69</f>
        <v/>
      </c>
      <c r="G76" s="7">
        <f>'1 datos preparados'!F69</f>
        <v/>
      </c>
      <c r="H76" s="7">
        <f>'1 datos preparados'!G69</f>
        <v/>
      </c>
      <c r="I76" s="7">
        <f>'1 datos preparados'!H69</f>
        <v/>
      </c>
      <c r="J76" s="7">
        <f>'1 datos preparados'!I69</f>
        <v/>
      </c>
      <c r="K76" s="7">
        <f>'1 datos preparados'!J69</f>
        <v/>
      </c>
      <c r="L76" s="7">
        <f>'1 datos preparados'!K69</f>
        <v/>
      </c>
      <c r="M76" s="7">
        <f>'1 datos preparados'!L69</f>
        <v/>
      </c>
      <c r="N76" s="7">
        <f>'1 datos preparados'!M69</f>
        <v/>
      </c>
      <c r="O76" s="7">
        <f>'1 datos preparados'!N69</f>
        <v/>
      </c>
      <c r="P76" s="7">
        <f>'1 datos preparados'!O69</f>
        <v/>
      </c>
      <c r="Q76" s="7">
        <f>'1 datos preparados'!P69</f>
        <v/>
      </c>
      <c r="R76" s="7">
        <f>'1 datos preparados'!Q69</f>
        <v/>
      </c>
      <c r="S76" s="7">
        <f>'1 datos preparados'!R69</f>
        <v/>
      </c>
      <c r="T76" s="7">
        <f>'1 datos preparados'!S69</f>
        <v/>
      </c>
      <c r="U76" s="7">
        <f>'1 datos preparados'!T69</f>
        <v/>
      </c>
      <c r="V76" s="8">
        <f>$AC$12+D76*$AC$13+E76*$AC$14+F76*$AC$15+G76*$AC$16+H76*$AC$17+I76*$AC$18+J76*$AC$19+K76*$AC$20+L76*$AC$21+M76*$AC$22+N76*$AC$23+O76*$AC$24+P76*$AC$25+Q76*$AC$26+R76*$AC$27+S76*$AC$28+T76*$AC$29+U76*$AC$30</f>
        <v/>
      </c>
      <c r="W76" s="8">
        <f>1/(1+EXP(-V76))</f>
        <v/>
      </c>
      <c r="X76" s="9">
        <f>-IF(C76=1,LN(W76),LN(1-W76))</f>
        <v/>
      </c>
      <c r="Y76" s="10">
        <f>IF(W76&gt;$AC$33,1,0)</f>
        <v/>
      </c>
      <c r="Z76">
        <f>IF(Y76=C76,1,0)</f>
        <v/>
      </c>
    </row>
    <row r="77">
      <c r="A77">
        <f>'1 datos preparados'!A70</f>
        <v/>
      </c>
      <c r="B77" s="5">
        <f>'1 datos preparados'!U70</f>
        <v/>
      </c>
      <c r="C77">
        <f>'1 datos preparados'!B70</f>
        <v/>
      </c>
      <c r="D77" s="7">
        <f>'1 datos preparados'!C70</f>
        <v/>
      </c>
      <c r="E77" s="7">
        <f>'1 datos preparados'!D70</f>
        <v/>
      </c>
      <c r="F77" s="7">
        <f>'1 datos preparados'!E70</f>
        <v/>
      </c>
      <c r="G77" s="7">
        <f>'1 datos preparados'!F70</f>
        <v/>
      </c>
      <c r="H77" s="7">
        <f>'1 datos preparados'!G70</f>
        <v/>
      </c>
      <c r="I77" s="7">
        <f>'1 datos preparados'!H70</f>
        <v/>
      </c>
      <c r="J77" s="7">
        <f>'1 datos preparados'!I70</f>
        <v/>
      </c>
      <c r="K77" s="7">
        <f>'1 datos preparados'!J70</f>
        <v/>
      </c>
      <c r="L77" s="7">
        <f>'1 datos preparados'!K70</f>
        <v/>
      </c>
      <c r="M77" s="7">
        <f>'1 datos preparados'!L70</f>
        <v/>
      </c>
      <c r="N77" s="7">
        <f>'1 datos preparados'!M70</f>
        <v/>
      </c>
      <c r="O77" s="7">
        <f>'1 datos preparados'!N70</f>
        <v/>
      </c>
      <c r="P77" s="7">
        <f>'1 datos preparados'!O70</f>
        <v/>
      </c>
      <c r="Q77" s="7">
        <f>'1 datos preparados'!P70</f>
        <v/>
      </c>
      <c r="R77" s="7">
        <f>'1 datos preparados'!Q70</f>
        <v/>
      </c>
      <c r="S77" s="7">
        <f>'1 datos preparados'!R70</f>
        <v/>
      </c>
      <c r="T77" s="7">
        <f>'1 datos preparados'!S70</f>
        <v/>
      </c>
      <c r="U77" s="7">
        <f>'1 datos preparados'!T70</f>
        <v/>
      </c>
      <c r="V77" s="8">
        <f>$AC$12+D77*$AC$13+E77*$AC$14+F77*$AC$15+G77*$AC$16+H77*$AC$17+I77*$AC$18+J77*$AC$19+K77*$AC$20+L77*$AC$21+M77*$AC$22+N77*$AC$23+O77*$AC$24+P77*$AC$25+Q77*$AC$26+R77*$AC$27+S77*$AC$28+T77*$AC$29+U77*$AC$30</f>
        <v/>
      </c>
      <c r="W77" s="8">
        <f>1/(1+EXP(-V77))</f>
        <v/>
      </c>
      <c r="X77" s="9">
        <f>-IF(C77=1,LN(W77),LN(1-W77))</f>
        <v/>
      </c>
      <c r="Y77" s="10">
        <f>IF(W77&gt;$AC$33,1,0)</f>
        <v/>
      </c>
      <c r="Z77">
        <f>IF(Y77=C77,1,0)</f>
        <v/>
      </c>
    </row>
    <row r="78">
      <c r="A78">
        <f>'1 datos preparados'!A71</f>
        <v/>
      </c>
      <c r="B78" s="5">
        <f>'1 datos preparados'!U71</f>
        <v/>
      </c>
      <c r="C78">
        <f>'1 datos preparados'!B71</f>
        <v/>
      </c>
      <c r="D78" s="7">
        <f>'1 datos preparados'!C71</f>
        <v/>
      </c>
      <c r="E78" s="7">
        <f>'1 datos preparados'!D71</f>
        <v/>
      </c>
      <c r="F78" s="7">
        <f>'1 datos preparados'!E71</f>
        <v/>
      </c>
      <c r="G78" s="7">
        <f>'1 datos preparados'!F71</f>
        <v/>
      </c>
      <c r="H78" s="7">
        <f>'1 datos preparados'!G71</f>
        <v/>
      </c>
      <c r="I78" s="7">
        <f>'1 datos preparados'!H71</f>
        <v/>
      </c>
      <c r="J78" s="7">
        <f>'1 datos preparados'!I71</f>
        <v/>
      </c>
      <c r="K78" s="7">
        <f>'1 datos preparados'!J71</f>
        <v/>
      </c>
      <c r="L78" s="7">
        <f>'1 datos preparados'!K71</f>
        <v/>
      </c>
      <c r="M78" s="7">
        <f>'1 datos preparados'!L71</f>
        <v/>
      </c>
      <c r="N78" s="7">
        <f>'1 datos preparados'!M71</f>
        <v/>
      </c>
      <c r="O78" s="7">
        <f>'1 datos preparados'!N71</f>
        <v/>
      </c>
      <c r="P78" s="7">
        <f>'1 datos preparados'!O71</f>
        <v/>
      </c>
      <c r="Q78" s="7">
        <f>'1 datos preparados'!P71</f>
        <v/>
      </c>
      <c r="R78" s="7">
        <f>'1 datos preparados'!Q71</f>
        <v/>
      </c>
      <c r="S78" s="7">
        <f>'1 datos preparados'!R71</f>
        <v/>
      </c>
      <c r="T78" s="7">
        <f>'1 datos preparados'!S71</f>
        <v/>
      </c>
      <c r="U78" s="7">
        <f>'1 datos preparados'!T71</f>
        <v/>
      </c>
      <c r="V78" s="8">
        <f>$AC$12+D78*$AC$13+E78*$AC$14+F78*$AC$15+G78*$AC$16+H78*$AC$17+I78*$AC$18+J78*$AC$19+K78*$AC$20+L78*$AC$21+M78*$AC$22+N78*$AC$23+O78*$AC$24+P78*$AC$25+Q78*$AC$26+R78*$AC$27+S78*$AC$28+T78*$AC$29+U78*$AC$30</f>
        <v/>
      </c>
      <c r="W78" s="8">
        <f>1/(1+EXP(-V78))</f>
        <v/>
      </c>
      <c r="X78" s="9">
        <f>-IF(C78=1,LN(W78),LN(1-W78))</f>
        <v/>
      </c>
      <c r="Y78" s="10">
        <f>IF(W78&gt;$AC$33,1,0)</f>
        <v/>
      </c>
      <c r="Z78">
        <f>IF(Y78=C78,1,0)</f>
        <v/>
      </c>
    </row>
    <row r="79">
      <c r="A79">
        <f>'1 datos preparados'!A72</f>
        <v/>
      </c>
      <c r="B79" s="5">
        <f>'1 datos preparados'!U72</f>
        <v/>
      </c>
      <c r="C79">
        <f>'1 datos preparados'!B72</f>
        <v/>
      </c>
      <c r="D79" s="7">
        <f>'1 datos preparados'!C72</f>
        <v/>
      </c>
      <c r="E79" s="7">
        <f>'1 datos preparados'!D72</f>
        <v/>
      </c>
      <c r="F79" s="7">
        <f>'1 datos preparados'!E72</f>
        <v/>
      </c>
      <c r="G79" s="7">
        <f>'1 datos preparados'!F72</f>
        <v/>
      </c>
      <c r="H79" s="7">
        <f>'1 datos preparados'!G72</f>
        <v/>
      </c>
      <c r="I79" s="7">
        <f>'1 datos preparados'!H72</f>
        <v/>
      </c>
      <c r="J79" s="7">
        <f>'1 datos preparados'!I72</f>
        <v/>
      </c>
      <c r="K79" s="7">
        <f>'1 datos preparados'!J72</f>
        <v/>
      </c>
      <c r="L79" s="7">
        <f>'1 datos preparados'!K72</f>
        <v/>
      </c>
      <c r="M79" s="7">
        <f>'1 datos preparados'!L72</f>
        <v/>
      </c>
      <c r="N79" s="7">
        <f>'1 datos preparados'!M72</f>
        <v/>
      </c>
      <c r="O79" s="7">
        <f>'1 datos preparados'!N72</f>
        <v/>
      </c>
      <c r="P79" s="7">
        <f>'1 datos preparados'!O72</f>
        <v/>
      </c>
      <c r="Q79" s="7">
        <f>'1 datos preparados'!P72</f>
        <v/>
      </c>
      <c r="R79" s="7">
        <f>'1 datos preparados'!Q72</f>
        <v/>
      </c>
      <c r="S79" s="7">
        <f>'1 datos preparados'!R72</f>
        <v/>
      </c>
      <c r="T79" s="7">
        <f>'1 datos preparados'!S72</f>
        <v/>
      </c>
      <c r="U79" s="7">
        <f>'1 datos preparados'!T72</f>
        <v/>
      </c>
      <c r="V79" s="8">
        <f>$AC$12+D79*$AC$13+E79*$AC$14+F79*$AC$15+G79*$AC$16+H79*$AC$17+I79*$AC$18+J79*$AC$19+K79*$AC$20+L79*$AC$21+M79*$AC$22+N79*$AC$23+O79*$AC$24+P79*$AC$25+Q79*$AC$26+R79*$AC$27+S79*$AC$28+T79*$AC$29+U79*$AC$30</f>
        <v/>
      </c>
      <c r="W79" s="8">
        <f>1/(1+EXP(-V79))</f>
        <v/>
      </c>
      <c r="X79" s="9">
        <f>-IF(C79=1,LN(W79),LN(1-W79))</f>
        <v/>
      </c>
      <c r="Y79" s="10">
        <f>IF(W79&gt;$AC$33,1,0)</f>
        <v/>
      </c>
      <c r="Z79">
        <f>IF(Y79=C79,1,0)</f>
        <v/>
      </c>
    </row>
    <row r="80">
      <c r="A80">
        <f>'1 datos preparados'!A73</f>
        <v/>
      </c>
      <c r="B80" s="5">
        <f>'1 datos preparados'!U73</f>
        <v/>
      </c>
      <c r="C80">
        <f>'1 datos preparados'!B73</f>
        <v/>
      </c>
      <c r="D80" s="7">
        <f>'1 datos preparados'!C73</f>
        <v/>
      </c>
      <c r="E80" s="7">
        <f>'1 datos preparados'!D73</f>
        <v/>
      </c>
      <c r="F80" s="7">
        <f>'1 datos preparados'!E73</f>
        <v/>
      </c>
      <c r="G80" s="7">
        <f>'1 datos preparados'!F73</f>
        <v/>
      </c>
      <c r="H80" s="7">
        <f>'1 datos preparados'!G73</f>
        <v/>
      </c>
      <c r="I80" s="7">
        <f>'1 datos preparados'!H73</f>
        <v/>
      </c>
      <c r="J80" s="7">
        <f>'1 datos preparados'!I73</f>
        <v/>
      </c>
      <c r="K80" s="7">
        <f>'1 datos preparados'!J73</f>
        <v/>
      </c>
      <c r="L80" s="7">
        <f>'1 datos preparados'!K73</f>
        <v/>
      </c>
      <c r="M80" s="7">
        <f>'1 datos preparados'!L73</f>
        <v/>
      </c>
      <c r="N80" s="7">
        <f>'1 datos preparados'!M73</f>
        <v/>
      </c>
      <c r="O80" s="7">
        <f>'1 datos preparados'!N73</f>
        <v/>
      </c>
      <c r="P80" s="7">
        <f>'1 datos preparados'!O73</f>
        <v/>
      </c>
      <c r="Q80" s="7">
        <f>'1 datos preparados'!P73</f>
        <v/>
      </c>
      <c r="R80" s="7">
        <f>'1 datos preparados'!Q73</f>
        <v/>
      </c>
      <c r="S80" s="7">
        <f>'1 datos preparados'!R73</f>
        <v/>
      </c>
      <c r="T80" s="7">
        <f>'1 datos preparados'!S73</f>
        <v/>
      </c>
      <c r="U80" s="7">
        <f>'1 datos preparados'!T73</f>
        <v/>
      </c>
      <c r="V80" s="8">
        <f>$AC$12+D80*$AC$13+E80*$AC$14+F80*$AC$15+G80*$AC$16+H80*$AC$17+I80*$AC$18+J80*$AC$19+K80*$AC$20+L80*$AC$21+M80*$AC$22+N80*$AC$23+O80*$AC$24+P80*$AC$25+Q80*$AC$26+R80*$AC$27+S80*$AC$28+T80*$AC$29+U80*$AC$30</f>
        <v/>
      </c>
      <c r="W80" s="8">
        <f>1/(1+EXP(-V80))</f>
        <v/>
      </c>
      <c r="X80" s="9">
        <f>-IF(C80=1,LN(W80),LN(1-W80))</f>
        <v/>
      </c>
      <c r="Y80" s="10">
        <f>IF(W80&gt;$AC$33,1,0)</f>
        <v/>
      </c>
      <c r="Z80">
        <f>IF(Y80=C80,1,0)</f>
        <v/>
      </c>
    </row>
    <row r="81">
      <c r="A81">
        <f>'1 datos preparados'!A74</f>
        <v/>
      </c>
      <c r="B81" s="5">
        <f>'1 datos preparados'!U74</f>
        <v/>
      </c>
      <c r="C81">
        <f>'1 datos preparados'!B74</f>
        <v/>
      </c>
      <c r="D81" s="7">
        <f>'1 datos preparados'!C74</f>
        <v/>
      </c>
      <c r="E81" s="7">
        <f>'1 datos preparados'!D74</f>
        <v/>
      </c>
      <c r="F81" s="7">
        <f>'1 datos preparados'!E74</f>
        <v/>
      </c>
      <c r="G81" s="7">
        <f>'1 datos preparados'!F74</f>
        <v/>
      </c>
      <c r="H81" s="7">
        <f>'1 datos preparados'!G74</f>
        <v/>
      </c>
      <c r="I81" s="7">
        <f>'1 datos preparados'!H74</f>
        <v/>
      </c>
      <c r="J81" s="7">
        <f>'1 datos preparados'!I74</f>
        <v/>
      </c>
      <c r="K81" s="7">
        <f>'1 datos preparados'!J74</f>
        <v/>
      </c>
      <c r="L81" s="7">
        <f>'1 datos preparados'!K74</f>
        <v/>
      </c>
      <c r="M81" s="7">
        <f>'1 datos preparados'!L74</f>
        <v/>
      </c>
      <c r="N81" s="7">
        <f>'1 datos preparados'!M74</f>
        <v/>
      </c>
      <c r="O81" s="7">
        <f>'1 datos preparados'!N74</f>
        <v/>
      </c>
      <c r="P81" s="7">
        <f>'1 datos preparados'!O74</f>
        <v/>
      </c>
      <c r="Q81" s="7">
        <f>'1 datos preparados'!P74</f>
        <v/>
      </c>
      <c r="R81" s="7">
        <f>'1 datos preparados'!Q74</f>
        <v/>
      </c>
      <c r="S81" s="7">
        <f>'1 datos preparados'!R74</f>
        <v/>
      </c>
      <c r="T81" s="7">
        <f>'1 datos preparados'!S74</f>
        <v/>
      </c>
      <c r="U81" s="7">
        <f>'1 datos preparados'!T74</f>
        <v/>
      </c>
      <c r="V81" s="8">
        <f>$AC$12+D81*$AC$13+E81*$AC$14+F81*$AC$15+G81*$AC$16+H81*$AC$17+I81*$AC$18+J81*$AC$19+K81*$AC$20+L81*$AC$21+M81*$AC$22+N81*$AC$23+O81*$AC$24+P81*$AC$25+Q81*$AC$26+R81*$AC$27+S81*$AC$28+T81*$AC$29+U81*$AC$30</f>
        <v/>
      </c>
      <c r="W81" s="8">
        <f>1/(1+EXP(-V81))</f>
        <v/>
      </c>
      <c r="X81" s="9">
        <f>-IF(C81=1,LN(W81),LN(1-W81))</f>
        <v/>
      </c>
      <c r="Y81" s="10">
        <f>IF(W81&gt;$AC$33,1,0)</f>
        <v/>
      </c>
      <c r="Z81">
        <f>IF(Y81=C81,1,0)</f>
        <v/>
      </c>
    </row>
    <row r="82">
      <c r="A82">
        <f>'1 datos preparados'!A75</f>
        <v/>
      </c>
      <c r="B82" s="5">
        <f>'1 datos preparados'!U75</f>
        <v/>
      </c>
      <c r="C82">
        <f>'1 datos preparados'!B75</f>
        <v/>
      </c>
      <c r="D82" s="7">
        <f>'1 datos preparados'!C75</f>
        <v/>
      </c>
      <c r="E82" s="7">
        <f>'1 datos preparados'!D75</f>
        <v/>
      </c>
      <c r="F82" s="7">
        <f>'1 datos preparados'!E75</f>
        <v/>
      </c>
      <c r="G82" s="7">
        <f>'1 datos preparados'!F75</f>
        <v/>
      </c>
      <c r="H82" s="7">
        <f>'1 datos preparados'!G75</f>
        <v/>
      </c>
      <c r="I82" s="7">
        <f>'1 datos preparados'!H75</f>
        <v/>
      </c>
      <c r="J82" s="7">
        <f>'1 datos preparados'!I75</f>
        <v/>
      </c>
      <c r="K82" s="7">
        <f>'1 datos preparados'!J75</f>
        <v/>
      </c>
      <c r="L82" s="7">
        <f>'1 datos preparados'!K75</f>
        <v/>
      </c>
      <c r="M82" s="7">
        <f>'1 datos preparados'!L75</f>
        <v/>
      </c>
      <c r="N82" s="7">
        <f>'1 datos preparados'!M75</f>
        <v/>
      </c>
      <c r="O82" s="7">
        <f>'1 datos preparados'!N75</f>
        <v/>
      </c>
      <c r="P82" s="7">
        <f>'1 datos preparados'!O75</f>
        <v/>
      </c>
      <c r="Q82" s="7">
        <f>'1 datos preparados'!P75</f>
        <v/>
      </c>
      <c r="R82" s="7">
        <f>'1 datos preparados'!Q75</f>
        <v/>
      </c>
      <c r="S82" s="7">
        <f>'1 datos preparados'!R75</f>
        <v/>
      </c>
      <c r="T82" s="7">
        <f>'1 datos preparados'!S75</f>
        <v/>
      </c>
      <c r="U82" s="7">
        <f>'1 datos preparados'!T75</f>
        <v/>
      </c>
      <c r="V82" s="8">
        <f>$AC$12+D82*$AC$13+E82*$AC$14+F82*$AC$15+G82*$AC$16+H82*$AC$17+I82*$AC$18+J82*$AC$19+K82*$AC$20+L82*$AC$21+M82*$AC$22+N82*$AC$23+O82*$AC$24+P82*$AC$25+Q82*$AC$26+R82*$AC$27+S82*$AC$28+T82*$AC$29+U82*$AC$30</f>
        <v/>
      </c>
      <c r="W82" s="8">
        <f>1/(1+EXP(-V82))</f>
        <v/>
      </c>
      <c r="X82" s="9">
        <f>-IF(C82=1,LN(W82),LN(1-W82))</f>
        <v/>
      </c>
      <c r="Y82" s="10">
        <f>IF(W82&gt;$AC$33,1,0)</f>
        <v/>
      </c>
      <c r="Z82">
        <f>IF(Y82=C82,1,0)</f>
        <v/>
      </c>
    </row>
    <row r="83">
      <c r="A83">
        <f>'1 datos preparados'!A76</f>
        <v/>
      </c>
      <c r="B83" s="5">
        <f>'1 datos preparados'!U76</f>
        <v/>
      </c>
      <c r="C83">
        <f>'1 datos preparados'!B76</f>
        <v/>
      </c>
      <c r="D83" s="7">
        <f>'1 datos preparados'!C76</f>
        <v/>
      </c>
      <c r="E83" s="7">
        <f>'1 datos preparados'!D76</f>
        <v/>
      </c>
      <c r="F83" s="7">
        <f>'1 datos preparados'!E76</f>
        <v/>
      </c>
      <c r="G83" s="7">
        <f>'1 datos preparados'!F76</f>
        <v/>
      </c>
      <c r="H83" s="7">
        <f>'1 datos preparados'!G76</f>
        <v/>
      </c>
      <c r="I83" s="7">
        <f>'1 datos preparados'!H76</f>
        <v/>
      </c>
      <c r="J83" s="7">
        <f>'1 datos preparados'!I76</f>
        <v/>
      </c>
      <c r="K83" s="7">
        <f>'1 datos preparados'!J76</f>
        <v/>
      </c>
      <c r="L83" s="7">
        <f>'1 datos preparados'!K76</f>
        <v/>
      </c>
      <c r="M83" s="7">
        <f>'1 datos preparados'!L76</f>
        <v/>
      </c>
      <c r="N83" s="7">
        <f>'1 datos preparados'!M76</f>
        <v/>
      </c>
      <c r="O83" s="7">
        <f>'1 datos preparados'!N76</f>
        <v/>
      </c>
      <c r="P83" s="7">
        <f>'1 datos preparados'!O76</f>
        <v/>
      </c>
      <c r="Q83" s="7">
        <f>'1 datos preparados'!P76</f>
        <v/>
      </c>
      <c r="R83" s="7">
        <f>'1 datos preparados'!Q76</f>
        <v/>
      </c>
      <c r="S83" s="7">
        <f>'1 datos preparados'!R76</f>
        <v/>
      </c>
      <c r="T83" s="7">
        <f>'1 datos preparados'!S76</f>
        <v/>
      </c>
      <c r="U83" s="7">
        <f>'1 datos preparados'!T76</f>
        <v/>
      </c>
      <c r="V83" s="8">
        <f>$AC$12+D83*$AC$13+E83*$AC$14+F83*$AC$15+G83*$AC$16+H83*$AC$17+I83*$AC$18+J83*$AC$19+K83*$AC$20+L83*$AC$21+M83*$AC$22+N83*$AC$23+O83*$AC$24+P83*$AC$25+Q83*$AC$26+R83*$AC$27+S83*$AC$28+T83*$AC$29+U83*$AC$30</f>
        <v/>
      </c>
      <c r="W83" s="8">
        <f>1/(1+EXP(-V83))</f>
        <v/>
      </c>
      <c r="X83" s="9">
        <f>-IF(C83=1,LN(W83),LN(1-W83))</f>
        <v/>
      </c>
      <c r="Y83" s="10">
        <f>IF(W83&gt;$AC$33,1,0)</f>
        <v/>
      </c>
      <c r="Z83">
        <f>IF(Y83=C83,1,0)</f>
        <v/>
      </c>
    </row>
    <row r="84">
      <c r="A84">
        <f>'1 datos preparados'!A77</f>
        <v/>
      </c>
      <c r="B84" s="5">
        <f>'1 datos preparados'!U77</f>
        <v/>
      </c>
      <c r="C84">
        <f>'1 datos preparados'!B77</f>
        <v/>
      </c>
      <c r="D84" s="7">
        <f>'1 datos preparados'!C77</f>
        <v/>
      </c>
      <c r="E84" s="7">
        <f>'1 datos preparados'!D77</f>
        <v/>
      </c>
      <c r="F84" s="7">
        <f>'1 datos preparados'!E77</f>
        <v/>
      </c>
      <c r="G84" s="7">
        <f>'1 datos preparados'!F77</f>
        <v/>
      </c>
      <c r="H84" s="7">
        <f>'1 datos preparados'!G77</f>
        <v/>
      </c>
      <c r="I84" s="7">
        <f>'1 datos preparados'!H77</f>
        <v/>
      </c>
      <c r="J84" s="7">
        <f>'1 datos preparados'!I77</f>
        <v/>
      </c>
      <c r="K84" s="7">
        <f>'1 datos preparados'!J77</f>
        <v/>
      </c>
      <c r="L84" s="7">
        <f>'1 datos preparados'!K77</f>
        <v/>
      </c>
      <c r="M84" s="7">
        <f>'1 datos preparados'!L77</f>
        <v/>
      </c>
      <c r="N84" s="7">
        <f>'1 datos preparados'!M77</f>
        <v/>
      </c>
      <c r="O84" s="7">
        <f>'1 datos preparados'!N77</f>
        <v/>
      </c>
      <c r="P84" s="7">
        <f>'1 datos preparados'!O77</f>
        <v/>
      </c>
      <c r="Q84" s="7">
        <f>'1 datos preparados'!P77</f>
        <v/>
      </c>
      <c r="R84" s="7">
        <f>'1 datos preparados'!Q77</f>
        <v/>
      </c>
      <c r="S84" s="7">
        <f>'1 datos preparados'!R77</f>
        <v/>
      </c>
      <c r="T84" s="7">
        <f>'1 datos preparados'!S77</f>
        <v/>
      </c>
      <c r="U84" s="7">
        <f>'1 datos preparados'!T77</f>
        <v/>
      </c>
      <c r="V84" s="8">
        <f>$AC$12+D84*$AC$13+E84*$AC$14+F84*$AC$15+G84*$AC$16+H84*$AC$17+I84*$AC$18+J84*$AC$19+K84*$AC$20+L84*$AC$21+M84*$AC$22+N84*$AC$23+O84*$AC$24+P84*$AC$25+Q84*$AC$26+R84*$AC$27+S84*$AC$28+T84*$AC$29+U84*$AC$30</f>
        <v/>
      </c>
      <c r="W84" s="8">
        <f>1/(1+EXP(-V84))</f>
        <v/>
      </c>
      <c r="X84" s="9">
        <f>-IF(C84=1,LN(W84),LN(1-W84))</f>
        <v/>
      </c>
      <c r="Y84" s="10">
        <f>IF(W84&gt;$AC$33,1,0)</f>
        <v/>
      </c>
      <c r="Z84">
        <f>IF(Y84=C84,1,0)</f>
        <v/>
      </c>
    </row>
    <row r="85">
      <c r="A85">
        <f>'1 datos preparados'!A78</f>
        <v/>
      </c>
      <c r="B85" s="5">
        <f>'1 datos preparados'!U78</f>
        <v/>
      </c>
      <c r="C85">
        <f>'1 datos preparados'!B78</f>
        <v/>
      </c>
      <c r="D85" s="7">
        <f>'1 datos preparados'!C78</f>
        <v/>
      </c>
      <c r="E85" s="7">
        <f>'1 datos preparados'!D78</f>
        <v/>
      </c>
      <c r="F85" s="7">
        <f>'1 datos preparados'!E78</f>
        <v/>
      </c>
      <c r="G85" s="7">
        <f>'1 datos preparados'!F78</f>
        <v/>
      </c>
      <c r="H85" s="7">
        <f>'1 datos preparados'!G78</f>
        <v/>
      </c>
      <c r="I85" s="7">
        <f>'1 datos preparados'!H78</f>
        <v/>
      </c>
      <c r="J85" s="7">
        <f>'1 datos preparados'!I78</f>
        <v/>
      </c>
      <c r="K85" s="7">
        <f>'1 datos preparados'!J78</f>
        <v/>
      </c>
      <c r="L85" s="7">
        <f>'1 datos preparados'!K78</f>
        <v/>
      </c>
      <c r="M85" s="7">
        <f>'1 datos preparados'!L78</f>
        <v/>
      </c>
      <c r="N85" s="7">
        <f>'1 datos preparados'!M78</f>
        <v/>
      </c>
      <c r="O85" s="7">
        <f>'1 datos preparados'!N78</f>
        <v/>
      </c>
      <c r="P85" s="7">
        <f>'1 datos preparados'!O78</f>
        <v/>
      </c>
      <c r="Q85" s="7">
        <f>'1 datos preparados'!P78</f>
        <v/>
      </c>
      <c r="R85" s="7">
        <f>'1 datos preparados'!Q78</f>
        <v/>
      </c>
      <c r="S85" s="7">
        <f>'1 datos preparados'!R78</f>
        <v/>
      </c>
      <c r="T85" s="7">
        <f>'1 datos preparados'!S78</f>
        <v/>
      </c>
      <c r="U85" s="7">
        <f>'1 datos preparados'!T78</f>
        <v/>
      </c>
      <c r="V85" s="8">
        <f>$AC$12+D85*$AC$13+E85*$AC$14+F85*$AC$15+G85*$AC$16+H85*$AC$17+I85*$AC$18+J85*$AC$19+K85*$AC$20+L85*$AC$21+M85*$AC$22+N85*$AC$23+O85*$AC$24+P85*$AC$25+Q85*$AC$26+R85*$AC$27+S85*$AC$28+T85*$AC$29+U85*$AC$30</f>
        <v/>
      </c>
      <c r="W85" s="8">
        <f>1/(1+EXP(-V85))</f>
        <v/>
      </c>
      <c r="X85" s="9">
        <f>-IF(C85=1,LN(W85),LN(1-W85))</f>
        <v/>
      </c>
      <c r="Y85" s="10">
        <f>IF(W85&gt;$AC$33,1,0)</f>
        <v/>
      </c>
      <c r="Z85">
        <f>IF(Y85=C85,1,0)</f>
        <v/>
      </c>
    </row>
    <row r="86">
      <c r="A86">
        <f>'1 datos preparados'!A79</f>
        <v/>
      </c>
      <c r="B86" s="5">
        <f>'1 datos preparados'!U79</f>
        <v/>
      </c>
      <c r="C86">
        <f>'1 datos preparados'!B79</f>
        <v/>
      </c>
      <c r="D86" s="7">
        <f>'1 datos preparados'!C79</f>
        <v/>
      </c>
      <c r="E86" s="7">
        <f>'1 datos preparados'!D79</f>
        <v/>
      </c>
      <c r="F86" s="7">
        <f>'1 datos preparados'!E79</f>
        <v/>
      </c>
      <c r="G86" s="7">
        <f>'1 datos preparados'!F79</f>
        <v/>
      </c>
      <c r="H86" s="7">
        <f>'1 datos preparados'!G79</f>
        <v/>
      </c>
      <c r="I86" s="7">
        <f>'1 datos preparados'!H79</f>
        <v/>
      </c>
      <c r="J86" s="7">
        <f>'1 datos preparados'!I79</f>
        <v/>
      </c>
      <c r="K86" s="7">
        <f>'1 datos preparados'!J79</f>
        <v/>
      </c>
      <c r="L86" s="7">
        <f>'1 datos preparados'!K79</f>
        <v/>
      </c>
      <c r="M86" s="7">
        <f>'1 datos preparados'!L79</f>
        <v/>
      </c>
      <c r="N86" s="7">
        <f>'1 datos preparados'!M79</f>
        <v/>
      </c>
      <c r="O86" s="7">
        <f>'1 datos preparados'!N79</f>
        <v/>
      </c>
      <c r="P86" s="7">
        <f>'1 datos preparados'!O79</f>
        <v/>
      </c>
      <c r="Q86" s="7">
        <f>'1 datos preparados'!P79</f>
        <v/>
      </c>
      <c r="R86" s="7">
        <f>'1 datos preparados'!Q79</f>
        <v/>
      </c>
      <c r="S86" s="7">
        <f>'1 datos preparados'!R79</f>
        <v/>
      </c>
      <c r="T86" s="7">
        <f>'1 datos preparados'!S79</f>
        <v/>
      </c>
      <c r="U86" s="7">
        <f>'1 datos preparados'!T79</f>
        <v/>
      </c>
      <c r="V86" s="8">
        <f>$AC$12+D86*$AC$13+E86*$AC$14+F86*$AC$15+G86*$AC$16+H86*$AC$17+I86*$AC$18+J86*$AC$19+K86*$AC$20+L86*$AC$21+M86*$AC$22+N86*$AC$23+O86*$AC$24+P86*$AC$25+Q86*$AC$26+R86*$AC$27+S86*$AC$28+T86*$AC$29+U86*$AC$30</f>
        <v/>
      </c>
      <c r="W86" s="8">
        <f>1/(1+EXP(-V86))</f>
        <v/>
      </c>
      <c r="X86" s="9">
        <f>-IF(C86=1,LN(W86),LN(1-W86))</f>
        <v/>
      </c>
      <c r="Y86" s="10">
        <f>IF(W86&gt;$AC$33,1,0)</f>
        <v/>
      </c>
      <c r="Z86">
        <f>IF(Y86=C86,1,0)</f>
        <v/>
      </c>
    </row>
    <row r="87">
      <c r="A87">
        <f>'1 datos preparados'!A80</f>
        <v/>
      </c>
      <c r="B87" s="5">
        <f>'1 datos preparados'!U80</f>
        <v/>
      </c>
      <c r="C87">
        <f>'1 datos preparados'!B80</f>
        <v/>
      </c>
      <c r="D87" s="7">
        <f>'1 datos preparados'!C80</f>
        <v/>
      </c>
      <c r="E87" s="7">
        <f>'1 datos preparados'!D80</f>
        <v/>
      </c>
      <c r="F87" s="7">
        <f>'1 datos preparados'!E80</f>
        <v/>
      </c>
      <c r="G87" s="7">
        <f>'1 datos preparados'!F80</f>
        <v/>
      </c>
      <c r="H87" s="7">
        <f>'1 datos preparados'!G80</f>
        <v/>
      </c>
      <c r="I87" s="7">
        <f>'1 datos preparados'!H80</f>
        <v/>
      </c>
      <c r="J87" s="7">
        <f>'1 datos preparados'!I80</f>
        <v/>
      </c>
      <c r="K87" s="7">
        <f>'1 datos preparados'!J80</f>
        <v/>
      </c>
      <c r="L87" s="7">
        <f>'1 datos preparados'!K80</f>
        <v/>
      </c>
      <c r="M87" s="7">
        <f>'1 datos preparados'!L80</f>
        <v/>
      </c>
      <c r="N87" s="7">
        <f>'1 datos preparados'!M80</f>
        <v/>
      </c>
      <c r="O87" s="7">
        <f>'1 datos preparados'!N80</f>
        <v/>
      </c>
      <c r="P87" s="7">
        <f>'1 datos preparados'!O80</f>
        <v/>
      </c>
      <c r="Q87" s="7">
        <f>'1 datos preparados'!P80</f>
        <v/>
      </c>
      <c r="R87" s="7">
        <f>'1 datos preparados'!Q80</f>
        <v/>
      </c>
      <c r="S87" s="7">
        <f>'1 datos preparados'!R80</f>
        <v/>
      </c>
      <c r="T87" s="7">
        <f>'1 datos preparados'!S80</f>
        <v/>
      </c>
      <c r="U87" s="7">
        <f>'1 datos preparados'!T80</f>
        <v/>
      </c>
      <c r="V87" s="8">
        <f>$AC$12+D87*$AC$13+E87*$AC$14+F87*$AC$15+G87*$AC$16+H87*$AC$17+I87*$AC$18+J87*$AC$19+K87*$AC$20+L87*$AC$21+M87*$AC$22+N87*$AC$23+O87*$AC$24+P87*$AC$25+Q87*$AC$26+R87*$AC$27+S87*$AC$28+T87*$AC$29+U87*$AC$30</f>
        <v/>
      </c>
      <c r="W87" s="8">
        <f>1/(1+EXP(-V87))</f>
        <v/>
      </c>
      <c r="X87" s="9">
        <f>-IF(C87=1,LN(W87),LN(1-W87))</f>
        <v/>
      </c>
      <c r="Y87" s="10">
        <f>IF(W87&gt;$AC$33,1,0)</f>
        <v/>
      </c>
      <c r="Z87">
        <f>IF(Y87=C87,1,0)</f>
        <v/>
      </c>
    </row>
    <row r="88">
      <c r="A88">
        <f>'1 datos preparados'!A81</f>
        <v/>
      </c>
      <c r="B88" s="5">
        <f>'1 datos preparados'!U81</f>
        <v/>
      </c>
      <c r="C88">
        <f>'1 datos preparados'!B81</f>
        <v/>
      </c>
      <c r="D88" s="7">
        <f>'1 datos preparados'!C81</f>
        <v/>
      </c>
      <c r="E88" s="7">
        <f>'1 datos preparados'!D81</f>
        <v/>
      </c>
      <c r="F88" s="7">
        <f>'1 datos preparados'!E81</f>
        <v/>
      </c>
      <c r="G88" s="7">
        <f>'1 datos preparados'!F81</f>
        <v/>
      </c>
      <c r="H88" s="7">
        <f>'1 datos preparados'!G81</f>
        <v/>
      </c>
      <c r="I88" s="7">
        <f>'1 datos preparados'!H81</f>
        <v/>
      </c>
      <c r="J88" s="7">
        <f>'1 datos preparados'!I81</f>
        <v/>
      </c>
      <c r="K88" s="7">
        <f>'1 datos preparados'!J81</f>
        <v/>
      </c>
      <c r="L88" s="7">
        <f>'1 datos preparados'!K81</f>
        <v/>
      </c>
      <c r="M88" s="7">
        <f>'1 datos preparados'!L81</f>
        <v/>
      </c>
      <c r="N88" s="7">
        <f>'1 datos preparados'!M81</f>
        <v/>
      </c>
      <c r="O88" s="7">
        <f>'1 datos preparados'!N81</f>
        <v/>
      </c>
      <c r="P88" s="7">
        <f>'1 datos preparados'!O81</f>
        <v/>
      </c>
      <c r="Q88" s="7">
        <f>'1 datos preparados'!P81</f>
        <v/>
      </c>
      <c r="R88" s="7">
        <f>'1 datos preparados'!Q81</f>
        <v/>
      </c>
      <c r="S88" s="7">
        <f>'1 datos preparados'!R81</f>
        <v/>
      </c>
      <c r="T88" s="7">
        <f>'1 datos preparados'!S81</f>
        <v/>
      </c>
      <c r="U88" s="7">
        <f>'1 datos preparados'!T81</f>
        <v/>
      </c>
      <c r="V88" s="8">
        <f>$AC$12+D88*$AC$13+E88*$AC$14+F88*$AC$15+G88*$AC$16+H88*$AC$17+I88*$AC$18+J88*$AC$19+K88*$AC$20+L88*$AC$21+M88*$AC$22+N88*$AC$23+O88*$AC$24+P88*$AC$25+Q88*$AC$26+R88*$AC$27+S88*$AC$28+T88*$AC$29+U88*$AC$30</f>
        <v/>
      </c>
      <c r="W88" s="8">
        <f>1/(1+EXP(-V88))</f>
        <v/>
      </c>
      <c r="X88" s="9">
        <f>-IF(C88=1,LN(W88),LN(1-W88))</f>
        <v/>
      </c>
      <c r="Y88" s="10">
        <f>IF(W88&gt;$AC$33,1,0)</f>
        <v/>
      </c>
      <c r="Z88">
        <f>IF(Y88=C88,1,0)</f>
        <v/>
      </c>
    </row>
    <row r="89">
      <c r="A89">
        <f>'1 datos preparados'!A82</f>
        <v/>
      </c>
      <c r="B89" s="5">
        <f>'1 datos preparados'!U82</f>
        <v/>
      </c>
      <c r="C89">
        <f>'1 datos preparados'!B82</f>
        <v/>
      </c>
      <c r="D89" s="7">
        <f>'1 datos preparados'!C82</f>
        <v/>
      </c>
      <c r="E89" s="7">
        <f>'1 datos preparados'!D82</f>
        <v/>
      </c>
      <c r="F89" s="7">
        <f>'1 datos preparados'!E82</f>
        <v/>
      </c>
      <c r="G89" s="7">
        <f>'1 datos preparados'!F82</f>
        <v/>
      </c>
      <c r="H89" s="7">
        <f>'1 datos preparados'!G82</f>
        <v/>
      </c>
      <c r="I89" s="7">
        <f>'1 datos preparados'!H82</f>
        <v/>
      </c>
      <c r="J89" s="7">
        <f>'1 datos preparados'!I82</f>
        <v/>
      </c>
      <c r="K89" s="7">
        <f>'1 datos preparados'!J82</f>
        <v/>
      </c>
      <c r="L89" s="7">
        <f>'1 datos preparados'!K82</f>
        <v/>
      </c>
      <c r="M89" s="7">
        <f>'1 datos preparados'!L82</f>
        <v/>
      </c>
      <c r="N89" s="7">
        <f>'1 datos preparados'!M82</f>
        <v/>
      </c>
      <c r="O89" s="7">
        <f>'1 datos preparados'!N82</f>
        <v/>
      </c>
      <c r="P89" s="7">
        <f>'1 datos preparados'!O82</f>
        <v/>
      </c>
      <c r="Q89" s="7">
        <f>'1 datos preparados'!P82</f>
        <v/>
      </c>
      <c r="R89" s="7">
        <f>'1 datos preparados'!Q82</f>
        <v/>
      </c>
      <c r="S89" s="7">
        <f>'1 datos preparados'!R82</f>
        <v/>
      </c>
      <c r="T89" s="7">
        <f>'1 datos preparados'!S82</f>
        <v/>
      </c>
      <c r="U89" s="7">
        <f>'1 datos preparados'!T82</f>
        <v/>
      </c>
      <c r="V89" s="8">
        <f>$AC$12+D89*$AC$13+E89*$AC$14+F89*$AC$15+G89*$AC$16+H89*$AC$17+I89*$AC$18+J89*$AC$19+K89*$AC$20+L89*$AC$21+M89*$AC$22+N89*$AC$23+O89*$AC$24+P89*$AC$25+Q89*$AC$26+R89*$AC$27+S89*$AC$28+T89*$AC$29+U89*$AC$30</f>
        <v/>
      </c>
      <c r="W89" s="8">
        <f>1/(1+EXP(-V89))</f>
        <v/>
      </c>
      <c r="X89" s="9">
        <f>-IF(C89=1,LN(W89),LN(1-W89))</f>
        <v/>
      </c>
      <c r="Y89" s="10">
        <f>IF(W89&gt;$AC$33,1,0)</f>
        <v/>
      </c>
      <c r="Z89">
        <f>IF(Y89=C89,1,0)</f>
        <v/>
      </c>
    </row>
    <row r="90">
      <c r="A90">
        <f>'1 datos preparados'!A83</f>
        <v/>
      </c>
      <c r="B90" s="5">
        <f>'1 datos preparados'!U83</f>
        <v/>
      </c>
      <c r="C90">
        <f>'1 datos preparados'!B83</f>
        <v/>
      </c>
      <c r="D90" s="7">
        <f>'1 datos preparados'!C83</f>
        <v/>
      </c>
      <c r="E90" s="7">
        <f>'1 datos preparados'!D83</f>
        <v/>
      </c>
      <c r="F90" s="7">
        <f>'1 datos preparados'!E83</f>
        <v/>
      </c>
      <c r="G90" s="7">
        <f>'1 datos preparados'!F83</f>
        <v/>
      </c>
      <c r="H90" s="7">
        <f>'1 datos preparados'!G83</f>
        <v/>
      </c>
      <c r="I90" s="7">
        <f>'1 datos preparados'!H83</f>
        <v/>
      </c>
      <c r="J90" s="7">
        <f>'1 datos preparados'!I83</f>
        <v/>
      </c>
      <c r="K90" s="7">
        <f>'1 datos preparados'!J83</f>
        <v/>
      </c>
      <c r="L90" s="7">
        <f>'1 datos preparados'!K83</f>
        <v/>
      </c>
      <c r="M90" s="7">
        <f>'1 datos preparados'!L83</f>
        <v/>
      </c>
      <c r="N90" s="7">
        <f>'1 datos preparados'!M83</f>
        <v/>
      </c>
      <c r="O90" s="7">
        <f>'1 datos preparados'!N83</f>
        <v/>
      </c>
      <c r="P90" s="7">
        <f>'1 datos preparados'!O83</f>
        <v/>
      </c>
      <c r="Q90" s="7">
        <f>'1 datos preparados'!P83</f>
        <v/>
      </c>
      <c r="R90" s="7">
        <f>'1 datos preparados'!Q83</f>
        <v/>
      </c>
      <c r="S90" s="7">
        <f>'1 datos preparados'!R83</f>
        <v/>
      </c>
      <c r="T90" s="7">
        <f>'1 datos preparados'!S83</f>
        <v/>
      </c>
      <c r="U90" s="7">
        <f>'1 datos preparados'!T83</f>
        <v/>
      </c>
      <c r="V90" s="8">
        <f>$AC$12+D90*$AC$13+E90*$AC$14+F90*$AC$15+G90*$AC$16+H90*$AC$17+I90*$AC$18+J90*$AC$19+K90*$AC$20+L90*$AC$21+M90*$AC$22+N90*$AC$23+O90*$AC$24+P90*$AC$25+Q90*$AC$26+R90*$AC$27+S90*$AC$28+T90*$AC$29+U90*$AC$30</f>
        <v/>
      </c>
      <c r="W90" s="8">
        <f>1/(1+EXP(-V90))</f>
        <v/>
      </c>
      <c r="X90" s="9">
        <f>-IF(C90=1,LN(W90),LN(1-W90))</f>
        <v/>
      </c>
      <c r="Y90" s="10">
        <f>IF(W90&gt;$AC$33,1,0)</f>
        <v/>
      </c>
      <c r="Z90">
        <f>IF(Y90=C90,1,0)</f>
        <v/>
      </c>
    </row>
    <row r="91">
      <c r="A91">
        <f>'1 datos preparados'!A84</f>
        <v/>
      </c>
      <c r="B91" s="5">
        <f>'1 datos preparados'!U84</f>
        <v/>
      </c>
      <c r="C91">
        <f>'1 datos preparados'!B84</f>
        <v/>
      </c>
      <c r="D91" s="7">
        <f>'1 datos preparados'!C84</f>
        <v/>
      </c>
      <c r="E91" s="7">
        <f>'1 datos preparados'!D84</f>
        <v/>
      </c>
      <c r="F91" s="7">
        <f>'1 datos preparados'!E84</f>
        <v/>
      </c>
      <c r="G91" s="7">
        <f>'1 datos preparados'!F84</f>
        <v/>
      </c>
      <c r="H91" s="7">
        <f>'1 datos preparados'!G84</f>
        <v/>
      </c>
      <c r="I91" s="7">
        <f>'1 datos preparados'!H84</f>
        <v/>
      </c>
      <c r="J91" s="7">
        <f>'1 datos preparados'!I84</f>
        <v/>
      </c>
      <c r="K91" s="7">
        <f>'1 datos preparados'!J84</f>
        <v/>
      </c>
      <c r="L91" s="7">
        <f>'1 datos preparados'!K84</f>
        <v/>
      </c>
      <c r="M91" s="7">
        <f>'1 datos preparados'!L84</f>
        <v/>
      </c>
      <c r="N91" s="7">
        <f>'1 datos preparados'!M84</f>
        <v/>
      </c>
      <c r="O91" s="7">
        <f>'1 datos preparados'!N84</f>
        <v/>
      </c>
      <c r="P91" s="7">
        <f>'1 datos preparados'!O84</f>
        <v/>
      </c>
      <c r="Q91" s="7">
        <f>'1 datos preparados'!P84</f>
        <v/>
      </c>
      <c r="R91" s="7">
        <f>'1 datos preparados'!Q84</f>
        <v/>
      </c>
      <c r="S91" s="7">
        <f>'1 datos preparados'!R84</f>
        <v/>
      </c>
      <c r="T91" s="7">
        <f>'1 datos preparados'!S84</f>
        <v/>
      </c>
      <c r="U91" s="7">
        <f>'1 datos preparados'!T84</f>
        <v/>
      </c>
      <c r="V91" s="8">
        <f>$AC$12+D91*$AC$13+E91*$AC$14+F91*$AC$15+G91*$AC$16+H91*$AC$17+I91*$AC$18+J91*$AC$19+K91*$AC$20+L91*$AC$21+M91*$AC$22+N91*$AC$23+O91*$AC$24+P91*$AC$25+Q91*$AC$26+R91*$AC$27+S91*$AC$28+T91*$AC$29+U91*$AC$30</f>
        <v/>
      </c>
      <c r="W91" s="8">
        <f>1/(1+EXP(-V91))</f>
        <v/>
      </c>
      <c r="X91" s="9">
        <f>-IF(C91=1,LN(W91),LN(1-W91))</f>
        <v/>
      </c>
      <c r="Y91" s="10">
        <f>IF(W91&gt;$AC$33,1,0)</f>
        <v/>
      </c>
      <c r="Z91">
        <f>IF(Y91=C91,1,0)</f>
        <v/>
      </c>
    </row>
    <row r="92">
      <c r="A92">
        <f>'1 datos preparados'!A85</f>
        <v/>
      </c>
      <c r="B92" s="5">
        <f>'1 datos preparados'!U85</f>
        <v/>
      </c>
      <c r="C92">
        <f>'1 datos preparados'!B85</f>
        <v/>
      </c>
      <c r="D92" s="7">
        <f>'1 datos preparados'!C85</f>
        <v/>
      </c>
      <c r="E92" s="7">
        <f>'1 datos preparados'!D85</f>
        <v/>
      </c>
      <c r="F92" s="7">
        <f>'1 datos preparados'!E85</f>
        <v/>
      </c>
      <c r="G92" s="7">
        <f>'1 datos preparados'!F85</f>
        <v/>
      </c>
      <c r="H92" s="7">
        <f>'1 datos preparados'!G85</f>
        <v/>
      </c>
      <c r="I92" s="7">
        <f>'1 datos preparados'!H85</f>
        <v/>
      </c>
      <c r="J92" s="7">
        <f>'1 datos preparados'!I85</f>
        <v/>
      </c>
      <c r="K92" s="7">
        <f>'1 datos preparados'!J85</f>
        <v/>
      </c>
      <c r="L92" s="7">
        <f>'1 datos preparados'!K85</f>
        <v/>
      </c>
      <c r="M92" s="7">
        <f>'1 datos preparados'!L85</f>
        <v/>
      </c>
      <c r="N92" s="7">
        <f>'1 datos preparados'!M85</f>
        <v/>
      </c>
      <c r="O92" s="7">
        <f>'1 datos preparados'!N85</f>
        <v/>
      </c>
      <c r="P92" s="7">
        <f>'1 datos preparados'!O85</f>
        <v/>
      </c>
      <c r="Q92" s="7">
        <f>'1 datos preparados'!P85</f>
        <v/>
      </c>
      <c r="R92" s="7">
        <f>'1 datos preparados'!Q85</f>
        <v/>
      </c>
      <c r="S92" s="7">
        <f>'1 datos preparados'!R85</f>
        <v/>
      </c>
      <c r="T92" s="7">
        <f>'1 datos preparados'!S85</f>
        <v/>
      </c>
      <c r="U92" s="7">
        <f>'1 datos preparados'!T85</f>
        <v/>
      </c>
      <c r="V92" s="8">
        <f>$AC$12+D92*$AC$13+E92*$AC$14+F92*$AC$15+G92*$AC$16+H92*$AC$17+I92*$AC$18+J92*$AC$19+K92*$AC$20+L92*$AC$21+M92*$AC$22+N92*$AC$23+O92*$AC$24+P92*$AC$25+Q92*$AC$26+R92*$AC$27+S92*$AC$28+T92*$AC$29+U92*$AC$30</f>
        <v/>
      </c>
      <c r="W92" s="8">
        <f>1/(1+EXP(-V92))</f>
        <v/>
      </c>
      <c r="X92" s="9">
        <f>-IF(C92=1,LN(W92),LN(1-W92))</f>
        <v/>
      </c>
      <c r="Y92" s="10">
        <f>IF(W92&gt;$AC$33,1,0)</f>
        <v/>
      </c>
      <c r="Z92">
        <f>IF(Y92=C92,1,0)</f>
        <v/>
      </c>
    </row>
    <row r="93">
      <c r="A93">
        <f>'1 datos preparados'!A86</f>
        <v/>
      </c>
      <c r="B93" s="5">
        <f>'1 datos preparados'!U86</f>
        <v/>
      </c>
      <c r="C93">
        <f>'1 datos preparados'!B86</f>
        <v/>
      </c>
      <c r="D93" s="7">
        <f>'1 datos preparados'!C86</f>
        <v/>
      </c>
      <c r="E93" s="7">
        <f>'1 datos preparados'!D86</f>
        <v/>
      </c>
      <c r="F93" s="7">
        <f>'1 datos preparados'!E86</f>
        <v/>
      </c>
      <c r="G93" s="7">
        <f>'1 datos preparados'!F86</f>
        <v/>
      </c>
      <c r="H93" s="7">
        <f>'1 datos preparados'!G86</f>
        <v/>
      </c>
      <c r="I93" s="7">
        <f>'1 datos preparados'!H86</f>
        <v/>
      </c>
      <c r="J93" s="7">
        <f>'1 datos preparados'!I86</f>
        <v/>
      </c>
      <c r="K93" s="7">
        <f>'1 datos preparados'!J86</f>
        <v/>
      </c>
      <c r="L93" s="7">
        <f>'1 datos preparados'!K86</f>
        <v/>
      </c>
      <c r="M93" s="7">
        <f>'1 datos preparados'!L86</f>
        <v/>
      </c>
      <c r="N93" s="7">
        <f>'1 datos preparados'!M86</f>
        <v/>
      </c>
      <c r="O93" s="7">
        <f>'1 datos preparados'!N86</f>
        <v/>
      </c>
      <c r="P93" s="7">
        <f>'1 datos preparados'!O86</f>
        <v/>
      </c>
      <c r="Q93" s="7">
        <f>'1 datos preparados'!P86</f>
        <v/>
      </c>
      <c r="R93" s="7">
        <f>'1 datos preparados'!Q86</f>
        <v/>
      </c>
      <c r="S93" s="7">
        <f>'1 datos preparados'!R86</f>
        <v/>
      </c>
      <c r="T93" s="7">
        <f>'1 datos preparados'!S86</f>
        <v/>
      </c>
      <c r="U93" s="7">
        <f>'1 datos preparados'!T86</f>
        <v/>
      </c>
      <c r="V93" s="8">
        <f>$AC$12+D93*$AC$13+E93*$AC$14+F93*$AC$15+G93*$AC$16+H93*$AC$17+I93*$AC$18+J93*$AC$19+K93*$AC$20+L93*$AC$21+M93*$AC$22+N93*$AC$23+O93*$AC$24+P93*$AC$25+Q93*$AC$26+R93*$AC$27+S93*$AC$28+T93*$AC$29+U93*$AC$30</f>
        <v/>
      </c>
      <c r="W93" s="8">
        <f>1/(1+EXP(-V93))</f>
        <v/>
      </c>
      <c r="X93" s="9">
        <f>-IF(C93=1,LN(W93),LN(1-W93))</f>
        <v/>
      </c>
      <c r="Y93" s="10">
        <f>IF(W93&gt;$AC$33,1,0)</f>
        <v/>
      </c>
      <c r="Z93">
        <f>IF(Y93=C93,1,0)</f>
        <v/>
      </c>
    </row>
    <row r="94">
      <c r="A94">
        <f>'1 datos preparados'!A87</f>
        <v/>
      </c>
      <c r="B94" s="5">
        <f>'1 datos preparados'!U87</f>
        <v/>
      </c>
      <c r="C94">
        <f>'1 datos preparados'!B87</f>
        <v/>
      </c>
      <c r="D94" s="7">
        <f>'1 datos preparados'!C87</f>
        <v/>
      </c>
      <c r="E94" s="7">
        <f>'1 datos preparados'!D87</f>
        <v/>
      </c>
      <c r="F94" s="7">
        <f>'1 datos preparados'!E87</f>
        <v/>
      </c>
      <c r="G94" s="7">
        <f>'1 datos preparados'!F87</f>
        <v/>
      </c>
      <c r="H94" s="7">
        <f>'1 datos preparados'!G87</f>
        <v/>
      </c>
      <c r="I94" s="7">
        <f>'1 datos preparados'!H87</f>
        <v/>
      </c>
      <c r="J94" s="7">
        <f>'1 datos preparados'!I87</f>
        <v/>
      </c>
      <c r="K94" s="7">
        <f>'1 datos preparados'!J87</f>
        <v/>
      </c>
      <c r="L94" s="7">
        <f>'1 datos preparados'!K87</f>
        <v/>
      </c>
      <c r="M94" s="7">
        <f>'1 datos preparados'!L87</f>
        <v/>
      </c>
      <c r="N94" s="7">
        <f>'1 datos preparados'!M87</f>
        <v/>
      </c>
      <c r="O94" s="7">
        <f>'1 datos preparados'!N87</f>
        <v/>
      </c>
      <c r="P94" s="7">
        <f>'1 datos preparados'!O87</f>
        <v/>
      </c>
      <c r="Q94" s="7">
        <f>'1 datos preparados'!P87</f>
        <v/>
      </c>
      <c r="R94" s="7">
        <f>'1 datos preparados'!Q87</f>
        <v/>
      </c>
      <c r="S94" s="7">
        <f>'1 datos preparados'!R87</f>
        <v/>
      </c>
      <c r="T94" s="7">
        <f>'1 datos preparados'!S87</f>
        <v/>
      </c>
      <c r="U94" s="7">
        <f>'1 datos preparados'!T87</f>
        <v/>
      </c>
      <c r="V94" s="8">
        <f>$AC$12+D94*$AC$13+E94*$AC$14+F94*$AC$15+G94*$AC$16+H94*$AC$17+I94*$AC$18+J94*$AC$19+K94*$AC$20+L94*$AC$21+M94*$AC$22+N94*$AC$23+O94*$AC$24+P94*$AC$25+Q94*$AC$26+R94*$AC$27+S94*$AC$28+T94*$AC$29+U94*$AC$30</f>
        <v/>
      </c>
      <c r="W94" s="8">
        <f>1/(1+EXP(-V94))</f>
        <v/>
      </c>
      <c r="X94" s="9">
        <f>-IF(C94=1,LN(W94),LN(1-W94))</f>
        <v/>
      </c>
      <c r="Y94" s="10">
        <f>IF(W94&gt;$AC$33,1,0)</f>
        <v/>
      </c>
      <c r="Z94">
        <f>IF(Y94=C94,1,0)</f>
        <v/>
      </c>
    </row>
    <row r="95">
      <c r="A95">
        <f>'1 datos preparados'!A88</f>
        <v/>
      </c>
      <c r="B95" s="5">
        <f>'1 datos preparados'!U88</f>
        <v/>
      </c>
      <c r="C95">
        <f>'1 datos preparados'!B88</f>
        <v/>
      </c>
      <c r="D95" s="7">
        <f>'1 datos preparados'!C88</f>
        <v/>
      </c>
      <c r="E95" s="7">
        <f>'1 datos preparados'!D88</f>
        <v/>
      </c>
      <c r="F95" s="7">
        <f>'1 datos preparados'!E88</f>
        <v/>
      </c>
      <c r="G95" s="7">
        <f>'1 datos preparados'!F88</f>
        <v/>
      </c>
      <c r="H95" s="7">
        <f>'1 datos preparados'!G88</f>
        <v/>
      </c>
      <c r="I95" s="7">
        <f>'1 datos preparados'!H88</f>
        <v/>
      </c>
      <c r="J95" s="7">
        <f>'1 datos preparados'!I88</f>
        <v/>
      </c>
      <c r="K95" s="7">
        <f>'1 datos preparados'!J88</f>
        <v/>
      </c>
      <c r="L95" s="7">
        <f>'1 datos preparados'!K88</f>
        <v/>
      </c>
      <c r="M95" s="7">
        <f>'1 datos preparados'!L88</f>
        <v/>
      </c>
      <c r="N95" s="7">
        <f>'1 datos preparados'!M88</f>
        <v/>
      </c>
      <c r="O95" s="7">
        <f>'1 datos preparados'!N88</f>
        <v/>
      </c>
      <c r="P95" s="7">
        <f>'1 datos preparados'!O88</f>
        <v/>
      </c>
      <c r="Q95" s="7">
        <f>'1 datos preparados'!P88</f>
        <v/>
      </c>
      <c r="R95" s="7">
        <f>'1 datos preparados'!Q88</f>
        <v/>
      </c>
      <c r="S95" s="7">
        <f>'1 datos preparados'!R88</f>
        <v/>
      </c>
      <c r="T95" s="7">
        <f>'1 datos preparados'!S88</f>
        <v/>
      </c>
      <c r="U95" s="7">
        <f>'1 datos preparados'!T88</f>
        <v/>
      </c>
      <c r="V95" s="8">
        <f>$AC$12+D95*$AC$13+E95*$AC$14+F95*$AC$15+G95*$AC$16+H95*$AC$17+I95*$AC$18+J95*$AC$19+K95*$AC$20+L95*$AC$21+M95*$AC$22+N95*$AC$23+O95*$AC$24+P95*$AC$25+Q95*$AC$26+R95*$AC$27+S95*$AC$28+T95*$AC$29+U95*$AC$30</f>
        <v/>
      </c>
      <c r="W95" s="8">
        <f>1/(1+EXP(-V95))</f>
        <v/>
      </c>
      <c r="X95" s="9">
        <f>-IF(C95=1,LN(W95),LN(1-W95))</f>
        <v/>
      </c>
      <c r="Y95" s="10">
        <f>IF(W95&gt;$AC$33,1,0)</f>
        <v/>
      </c>
      <c r="Z95">
        <f>IF(Y95=C95,1,0)</f>
        <v/>
      </c>
    </row>
    <row r="96">
      <c r="A96">
        <f>'1 datos preparados'!A89</f>
        <v/>
      </c>
      <c r="B96" s="5">
        <f>'1 datos preparados'!U89</f>
        <v/>
      </c>
      <c r="C96">
        <f>'1 datos preparados'!B89</f>
        <v/>
      </c>
      <c r="D96" s="7">
        <f>'1 datos preparados'!C89</f>
        <v/>
      </c>
      <c r="E96" s="7">
        <f>'1 datos preparados'!D89</f>
        <v/>
      </c>
      <c r="F96" s="7">
        <f>'1 datos preparados'!E89</f>
        <v/>
      </c>
      <c r="G96" s="7">
        <f>'1 datos preparados'!F89</f>
        <v/>
      </c>
      <c r="H96" s="7">
        <f>'1 datos preparados'!G89</f>
        <v/>
      </c>
      <c r="I96" s="7">
        <f>'1 datos preparados'!H89</f>
        <v/>
      </c>
      <c r="J96" s="7">
        <f>'1 datos preparados'!I89</f>
        <v/>
      </c>
      <c r="K96" s="7">
        <f>'1 datos preparados'!J89</f>
        <v/>
      </c>
      <c r="L96" s="7">
        <f>'1 datos preparados'!K89</f>
        <v/>
      </c>
      <c r="M96" s="7">
        <f>'1 datos preparados'!L89</f>
        <v/>
      </c>
      <c r="N96" s="7">
        <f>'1 datos preparados'!M89</f>
        <v/>
      </c>
      <c r="O96" s="7">
        <f>'1 datos preparados'!N89</f>
        <v/>
      </c>
      <c r="P96" s="7">
        <f>'1 datos preparados'!O89</f>
        <v/>
      </c>
      <c r="Q96" s="7">
        <f>'1 datos preparados'!P89</f>
        <v/>
      </c>
      <c r="R96" s="7">
        <f>'1 datos preparados'!Q89</f>
        <v/>
      </c>
      <c r="S96" s="7">
        <f>'1 datos preparados'!R89</f>
        <v/>
      </c>
      <c r="T96" s="7">
        <f>'1 datos preparados'!S89</f>
        <v/>
      </c>
      <c r="U96" s="7">
        <f>'1 datos preparados'!T89</f>
        <v/>
      </c>
      <c r="V96" s="8">
        <f>$AC$12+D96*$AC$13+E96*$AC$14+F96*$AC$15+G96*$AC$16+H96*$AC$17+I96*$AC$18+J96*$AC$19+K96*$AC$20+L96*$AC$21+M96*$AC$22+N96*$AC$23+O96*$AC$24+P96*$AC$25+Q96*$AC$26+R96*$AC$27+S96*$AC$28+T96*$AC$29+U96*$AC$30</f>
        <v/>
      </c>
      <c r="W96" s="8">
        <f>1/(1+EXP(-V96))</f>
        <v/>
      </c>
      <c r="X96" s="9">
        <f>-IF(C96=1,LN(W96),LN(1-W96))</f>
        <v/>
      </c>
      <c r="Y96" s="10">
        <f>IF(W96&gt;$AC$33,1,0)</f>
        <v/>
      </c>
      <c r="Z96">
        <f>IF(Y96=C96,1,0)</f>
        <v/>
      </c>
    </row>
    <row r="97">
      <c r="A97">
        <f>'1 datos preparados'!A90</f>
        <v/>
      </c>
      <c r="B97" s="5">
        <f>'1 datos preparados'!U90</f>
        <v/>
      </c>
      <c r="C97">
        <f>'1 datos preparados'!B90</f>
        <v/>
      </c>
      <c r="D97" s="7">
        <f>'1 datos preparados'!C90</f>
        <v/>
      </c>
      <c r="E97" s="7">
        <f>'1 datos preparados'!D90</f>
        <v/>
      </c>
      <c r="F97" s="7">
        <f>'1 datos preparados'!E90</f>
        <v/>
      </c>
      <c r="G97" s="7">
        <f>'1 datos preparados'!F90</f>
        <v/>
      </c>
      <c r="H97" s="7">
        <f>'1 datos preparados'!G90</f>
        <v/>
      </c>
      <c r="I97" s="7">
        <f>'1 datos preparados'!H90</f>
        <v/>
      </c>
      <c r="J97" s="7">
        <f>'1 datos preparados'!I90</f>
        <v/>
      </c>
      <c r="K97" s="7">
        <f>'1 datos preparados'!J90</f>
        <v/>
      </c>
      <c r="L97" s="7">
        <f>'1 datos preparados'!K90</f>
        <v/>
      </c>
      <c r="M97" s="7">
        <f>'1 datos preparados'!L90</f>
        <v/>
      </c>
      <c r="N97" s="7">
        <f>'1 datos preparados'!M90</f>
        <v/>
      </c>
      <c r="O97" s="7">
        <f>'1 datos preparados'!N90</f>
        <v/>
      </c>
      <c r="P97" s="7">
        <f>'1 datos preparados'!O90</f>
        <v/>
      </c>
      <c r="Q97" s="7">
        <f>'1 datos preparados'!P90</f>
        <v/>
      </c>
      <c r="R97" s="7">
        <f>'1 datos preparados'!Q90</f>
        <v/>
      </c>
      <c r="S97" s="7">
        <f>'1 datos preparados'!R90</f>
        <v/>
      </c>
      <c r="T97" s="7">
        <f>'1 datos preparados'!S90</f>
        <v/>
      </c>
      <c r="U97" s="7">
        <f>'1 datos preparados'!T90</f>
        <v/>
      </c>
      <c r="V97" s="8">
        <f>$AC$12+D97*$AC$13+E97*$AC$14+F97*$AC$15+G97*$AC$16+H97*$AC$17+I97*$AC$18+J97*$AC$19+K97*$AC$20+L97*$AC$21+M97*$AC$22+N97*$AC$23+O97*$AC$24+P97*$AC$25+Q97*$AC$26+R97*$AC$27+S97*$AC$28+T97*$AC$29+U97*$AC$30</f>
        <v/>
      </c>
      <c r="W97" s="8">
        <f>1/(1+EXP(-V97))</f>
        <v/>
      </c>
      <c r="X97" s="9">
        <f>-IF(C97=1,LN(W97),LN(1-W97))</f>
        <v/>
      </c>
      <c r="Y97" s="10">
        <f>IF(W97&gt;$AC$33,1,0)</f>
        <v/>
      </c>
      <c r="Z97">
        <f>IF(Y97=C97,1,0)</f>
        <v/>
      </c>
    </row>
    <row r="98">
      <c r="A98">
        <f>'1 datos preparados'!A91</f>
        <v/>
      </c>
      <c r="B98" s="5">
        <f>'1 datos preparados'!U91</f>
        <v/>
      </c>
      <c r="C98">
        <f>'1 datos preparados'!B91</f>
        <v/>
      </c>
      <c r="D98" s="7">
        <f>'1 datos preparados'!C91</f>
        <v/>
      </c>
      <c r="E98" s="7">
        <f>'1 datos preparados'!D91</f>
        <v/>
      </c>
      <c r="F98" s="7">
        <f>'1 datos preparados'!E91</f>
        <v/>
      </c>
      <c r="G98" s="7">
        <f>'1 datos preparados'!F91</f>
        <v/>
      </c>
      <c r="H98" s="7">
        <f>'1 datos preparados'!G91</f>
        <v/>
      </c>
      <c r="I98" s="7">
        <f>'1 datos preparados'!H91</f>
        <v/>
      </c>
      <c r="J98" s="7">
        <f>'1 datos preparados'!I91</f>
        <v/>
      </c>
      <c r="K98" s="7">
        <f>'1 datos preparados'!J91</f>
        <v/>
      </c>
      <c r="L98" s="7">
        <f>'1 datos preparados'!K91</f>
        <v/>
      </c>
      <c r="M98" s="7">
        <f>'1 datos preparados'!L91</f>
        <v/>
      </c>
      <c r="N98" s="7">
        <f>'1 datos preparados'!M91</f>
        <v/>
      </c>
      <c r="O98" s="7">
        <f>'1 datos preparados'!N91</f>
        <v/>
      </c>
      <c r="P98" s="7">
        <f>'1 datos preparados'!O91</f>
        <v/>
      </c>
      <c r="Q98" s="7">
        <f>'1 datos preparados'!P91</f>
        <v/>
      </c>
      <c r="R98" s="7">
        <f>'1 datos preparados'!Q91</f>
        <v/>
      </c>
      <c r="S98" s="7">
        <f>'1 datos preparados'!R91</f>
        <v/>
      </c>
      <c r="T98" s="7">
        <f>'1 datos preparados'!S91</f>
        <v/>
      </c>
      <c r="U98" s="7">
        <f>'1 datos preparados'!T91</f>
        <v/>
      </c>
      <c r="V98" s="8">
        <f>$AC$12+D98*$AC$13+E98*$AC$14+F98*$AC$15+G98*$AC$16+H98*$AC$17+I98*$AC$18+J98*$AC$19+K98*$AC$20+L98*$AC$21+M98*$AC$22+N98*$AC$23+O98*$AC$24+P98*$AC$25+Q98*$AC$26+R98*$AC$27+S98*$AC$28+T98*$AC$29+U98*$AC$30</f>
        <v/>
      </c>
      <c r="W98" s="8">
        <f>1/(1+EXP(-V98))</f>
        <v/>
      </c>
      <c r="X98" s="9">
        <f>-IF(C98=1,LN(W98),LN(1-W98))</f>
        <v/>
      </c>
      <c r="Y98" s="10">
        <f>IF(W98&gt;$AC$33,1,0)</f>
        <v/>
      </c>
      <c r="Z98">
        <f>IF(Y98=C98,1,0)</f>
        <v/>
      </c>
    </row>
    <row r="99">
      <c r="A99">
        <f>'1 datos preparados'!A92</f>
        <v/>
      </c>
      <c r="B99" s="5">
        <f>'1 datos preparados'!U92</f>
        <v/>
      </c>
      <c r="C99">
        <f>'1 datos preparados'!B92</f>
        <v/>
      </c>
      <c r="D99" s="7">
        <f>'1 datos preparados'!C92</f>
        <v/>
      </c>
      <c r="E99" s="7">
        <f>'1 datos preparados'!D92</f>
        <v/>
      </c>
      <c r="F99" s="7">
        <f>'1 datos preparados'!E92</f>
        <v/>
      </c>
      <c r="G99" s="7">
        <f>'1 datos preparados'!F92</f>
        <v/>
      </c>
      <c r="H99" s="7">
        <f>'1 datos preparados'!G92</f>
        <v/>
      </c>
      <c r="I99" s="7">
        <f>'1 datos preparados'!H92</f>
        <v/>
      </c>
      <c r="J99" s="7">
        <f>'1 datos preparados'!I92</f>
        <v/>
      </c>
      <c r="K99" s="7">
        <f>'1 datos preparados'!J92</f>
        <v/>
      </c>
      <c r="L99" s="7">
        <f>'1 datos preparados'!K92</f>
        <v/>
      </c>
      <c r="M99" s="7">
        <f>'1 datos preparados'!L92</f>
        <v/>
      </c>
      <c r="N99" s="7">
        <f>'1 datos preparados'!M92</f>
        <v/>
      </c>
      <c r="O99" s="7">
        <f>'1 datos preparados'!N92</f>
        <v/>
      </c>
      <c r="P99" s="7">
        <f>'1 datos preparados'!O92</f>
        <v/>
      </c>
      <c r="Q99" s="7">
        <f>'1 datos preparados'!P92</f>
        <v/>
      </c>
      <c r="R99" s="7">
        <f>'1 datos preparados'!Q92</f>
        <v/>
      </c>
      <c r="S99" s="7">
        <f>'1 datos preparados'!R92</f>
        <v/>
      </c>
      <c r="T99" s="7">
        <f>'1 datos preparados'!S92</f>
        <v/>
      </c>
      <c r="U99" s="7">
        <f>'1 datos preparados'!T92</f>
        <v/>
      </c>
      <c r="V99" s="8">
        <f>$AC$12+D99*$AC$13+E99*$AC$14+F99*$AC$15+G99*$AC$16+H99*$AC$17+I99*$AC$18+J99*$AC$19+K99*$AC$20+L99*$AC$21+M99*$AC$22+N99*$AC$23+O99*$AC$24+P99*$AC$25+Q99*$AC$26+R99*$AC$27+S99*$AC$28+T99*$AC$29+U99*$AC$30</f>
        <v/>
      </c>
      <c r="W99" s="8">
        <f>1/(1+EXP(-V99))</f>
        <v/>
      </c>
      <c r="X99" s="9">
        <f>-IF(C99=1,LN(W99),LN(1-W99))</f>
        <v/>
      </c>
      <c r="Y99" s="10">
        <f>IF(W99&gt;$AC$33,1,0)</f>
        <v/>
      </c>
      <c r="Z99">
        <f>IF(Y99=C99,1,0)</f>
        <v/>
      </c>
    </row>
    <row r="100">
      <c r="A100">
        <f>'1 datos preparados'!A93</f>
        <v/>
      </c>
      <c r="B100" s="5">
        <f>'1 datos preparados'!U93</f>
        <v/>
      </c>
      <c r="C100">
        <f>'1 datos preparados'!B93</f>
        <v/>
      </c>
      <c r="D100" s="7">
        <f>'1 datos preparados'!C93</f>
        <v/>
      </c>
      <c r="E100" s="7">
        <f>'1 datos preparados'!D93</f>
        <v/>
      </c>
      <c r="F100" s="7">
        <f>'1 datos preparados'!E93</f>
        <v/>
      </c>
      <c r="G100" s="7">
        <f>'1 datos preparados'!F93</f>
        <v/>
      </c>
      <c r="H100" s="7">
        <f>'1 datos preparados'!G93</f>
        <v/>
      </c>
      <c r="I100" s="7">
        <f>'1 datos preparados'!H93</f>
        <v/>
      </c>
      <c r="J100" s="7">
        <f>'1 datos preparados'!I93</f>
        <v/>
      </c>
      <c r="K100" s="7">
        <f>'1 datos preparados'!J93</f>
        <v/>
      </c>
      <c r="L100" s="7">
        <f>'1 datos preparados'!K93</f>
        <v/>
      </c>
      <c r="M100" s="7">
        <f>'1 datos preparados'!L93</f>
        <v/>
      </c>
      <c r="N100" s="7">
        <f>'1 datos preparados'!M93</f>
        <v/>
      </c>
      <c r="O100" s="7">
        <f>'1 datos preparados'!N93</f>
        <v/>
      </c>
      <c r="P100" s="7">
        <f>'1 datos preparados'!O93</f>
        <v/>
      </c>
      <c r="Q100" s="7">
        <f>'1 datos preparados'!P93</f>
        <v/>
      </c>
      <c r="R100" s="7">
        <f>'1 datos preparados'!Q93</f>
        <v/>
      </c>
      <c r="S100" s="7">
        <f>'1 datos preparados'!R93</f>
        <v/>
      </c>
      <c r="T100" s="7">
        <f>'1 datos preparados'!S93</f>
        <v/>
      </c>
      <c r="U100" s="7">
        <f>'1 datos preparados'!T93</f>
        <v/>
      </c>
      <c r="V100" s="8">
        <f>$AC$12+D100*$AC$13+E100*$AC$14+F100*$AC$15+G100*$AC$16+H100*$AC$17+I100*$AC$18+J100*$AC$19+K100*$AC$20+L100*$AC$21+M100*$AC$22+N100*$AC$23+O100*$AC$24+P100*$AC$25+Q100*$AC$26+R100*$AC$27+S100*$AC$28+T100*$AC$29+U100*$AC$30</f>
        <v/>
      </c>
      <c r="W100" s="8">
        <f>1/(1+EXP(-V100))</f>
        <v/>
      </c>
      <c r="X100" s="9">
        <f>-IF(C100=1,LN(W100),LN(1-W100))</f>
        <v/>
      </c>
      <c r="Y100" s="10">
        <f>IF(W100&gt;$AC$33,1,0)</f>
        <v/>
      </c>
      <c r="Z100">
        <f>IF(Y100=C100,1,0)</f>
        <v/>
      </c>
    </row>
    <row r="101">
      <c r="A101">
        <f>'1 datos preparados'!A94</f>
        <v/>
      </c>
      <c r="B101" s="5">
        <f>'1 datos preparados'!U94</f>
        <v/>
      </c>
      <c r="C101">
        <f>'1 datos preparados'!B94</f>
        <v/>
      </c>
      <c r="D101" s="7">
        <f>'1 datos preparados'!C94</f>
        <v/>
      </c>
      <c r="E101" s="7">
        <f>'1 datos preparados'!D94</f>
        <v/>
      </c>
      <c r="F101" s="7">
        <f>'1 datos preparados'!E94</f>
        <v/>
      </c>
      <c r="G101" s="7">
        <f>'1 datos preparados'!F94</f>
        <v/>
      </c>
      <c r="H101" s="7">
        <f>'1 datos preparados'!G94</f>
        <v/>
      </c>
      <c r="I101" s="7">
        <f>'1 datos preparados'!H94</f>
        <v/>
      </c>
      <c r="J101" s="7">
        <f>'1 datos preparados'!I94</f>
        <v/>
      </c>
      <c r="K101" s="7">
        <f>'1 datos preparados'!J94</f>
        <v/>
      </c>
      <c r="L101" s="7">
        <f>'1 datos preparados'!K94</f>
        <v/>
      </c>
      <c r="M101" s="7">
        <f>'1 datos preparados'!L94</f>
        <v/>
      </c>
      <c r="N101" s="7">
        <f>'1 datos preparados'!M94</f>
        <v/>
      </c>
      <c r="O101" s="7">
        <f>'1 datos preparados'!N94</f>
        <v/>
      </c>
      <c r="P101" s="7">
        <f>'1 datos preparados'!O94</f>
        <v/>
      </c>
      <c r="Q101" s="7">
        <f>'1 datos preparados'!P94</f>
        <v/>
      </c>
      <c r="R101" s="7">
        <f>'1 datos preparados'!Q94</f>
        <v/>
      </c>
      <c r="S101" s="7">
        <f>'1 datos preparados'!R94</f>
        <v/>
      </c>
      <c r="T101" s="7">
        <f>'1 datos preparados'!S94</f>
        <v/>
      </c>
      <c r="U101" s="7">
        <f>'1 datos preparados'!T94</f>
        <v/>
      </c>
      <c r="V101" s="8">
        <f>$AC$12+D101*$AC$13+E101*$AC$14+F101*$AC$15+G101*$AC$16+H101*$AC$17+I101*$AC$18+J101*$AC$19+K101*$AC$20+L101*$AC$21+M101*$AC$22+N101*$AC$23+O101*$AC$24+P101*$AC$25+Q101*$AC$26+R101*$AC$27+S101*$AC$28+T101*$AC$29+U101*$AC$30</f>
        <v/>
      </c>
      <c r="W101" s="8">
        <f>1/(1+EXP(-V101))</f>
        <v/>
      </c>
      <c r="X101" s="9">
        <f>-IF(C101=1,LN(W101),LN(1-W101))</f>
        <v/>
      </c>
      <c r="Y101" s="10">
        <f>IF(W101&gt;$AC$33,1,0)</f>
        <v/>
      </c>
      <c r="Z101">
        <f>IF(Y101=C101,1,0)</f>
        <v/>
      </c>
    </row>
    <row r="102">
      <c r="A102">
        <f>'1 datos preparados'!A95</f>
        <v/>
      </c>
      <c r="B102" s="5">
        <f>'1 datos preparados'!U95</f>
        <v/>
      </c>
      <c r="C102">
        <f>'1 datos preparados'!B95</f>
        <v/>
      </c>
      <c r="D102" s="7">
        <f>'1 datos preparados'!C95</f>
        <v/>
      </c>
      <c r="E102" s="7">
        <f>'1 datos preparados'!D95</f>
        <v/>
      </c>
      <c r="F102" s="7">
        <f>'1 datos preparados'!E95</f>
        <v/>
      </c>
      <c r="G102" s="7">
        <f>'1 datos preparados'!F95</f>
        <v/>
      </c>
      <c r="H102" s="7">
        <f>'1 datos preparados'!G95</f>
        <v/>
      </c>
      <c r="I102" s="7">
        <f>'1 datos preparados'!H95</f>
        <v/>
      </c>
      <c r="J102" s="7">
        <f>'1 datos preparados'!I95</f>
        <v/>
      </c>
      <c r="K102" s="7">
        <f>'1 datos preparados'!J95</f>
        <v/>
      </c>
      <c r="L102" s="7">
        <f>'1 datos preparados'!K95</f>
        <v/>
      </c>
      <c r="M102" s="7">
        <f>'1 datos preparados'!L95</f>
        <v/>
      </c>
      <c r="N102" s="7">
        <f>'1 datos preparados'!M95</f>
        <v/>
      </c>
      <c r="O102" s="7">
        <f>'1 datos preparados'!N95</f>
        <v/>
      </c>
      <c r="P102" s="7">
        <f>'1 datos preparados'!O95</f>
        <v/>
      </c>
      <c r="Q102" s="7">
        <f>'1 datos preparados'!P95</f>
        <v/>
      </c>
      <c r="R102" s="7">
        <f>'1 datos preparados'!Q95</f>
        <v/>
      </c>
      <c r="S102" s="7">
        <f>'1 datos preparados'!R95</f>
        <v/>
      </c>
      <c r="T102" s="7">
        <f>'1 datos preparados'!S95</f>
        <v/>
      </c>
      <c r="U102" s="7">
        <f>'1 datos preparados'!T95</f>
        <v/>
      </c>
      <c r="V102" s="8">
        <f>$AC$12+D102*$AC$13+E102*$AC$14+F102*$AC$15+G102*$AC$16+H102*$AC$17+I102*$AC$18+J102*$AC$19+K102*$AC$20+L102*$AC$21+M102*$AC$22+N102*$AC$23+O102*$AC$24+P102*$AC$25+Q102*$AC$26+R102*$AC$27+S102*$AC$28+T102*$AC$29+U102*$AC$30</f>
        <v/>
      </c>
      <c r="W102" s="8">
        <f>1/(1+EXP(-V102))</f>
        <v/>
      </c>
      <c r="X102" s="9">
        <f>-IF(C102=1,LN(W102),LN(1-W102))</f>
        <v/>
      </c>
      <c r="Y102" s="10">
        <f>IF(W102&gt;$AC$33,1,0)</f>
        <v/>
      </c>
      <c r="Z102">
        <f>IF(Y102=C102,1,0)</f>
        <v/>
      </c>
    </row>
    <row r="103">
      <c r="A103">
        <f>'1 datos preparados'!A96</f>
        <v/>
      </c>
      <c r="B103" s="5">
        <f>'1 datos preparados'!U96</f>
        <v/>
      </c>
      <c r="C103">
        <f>'1 datos preparados'!B96</f>
        <v/>
      </c>
      <c r="D103" s="7">
        <f>'1 datos preparados'!C96</f>
        <v/>
      </c>
      <c r="E103" s="7">
        <f>'1 datos preparados'!D96</f>
        <v/>
      </c>
      <c r="F103" s="7">
        <f>'1 datos preparados'!E96</f>
        <v/>
      </c>
      <c r="G103" s="7">
        <f>'1 datos preparados'!F96</f>
        <v/>
      </c>
      <c r="H103" s="7">
        <f>'1 datos preparados'!G96</f>
        <v/>
      </c>
      <c r="I103" s="7">
        <f>'1 datos preparados'!H96</f>
        <v/>
      </c>
      <c r="J103" s="7">
        <f>'1 datos preparados'!I96</f>
        <v/>
      </c>
      <c r="K103" s="7">
        <f>'1 datos preparados'!J96</f>
        <v/>
      </c>
      <c r="L103" s="7">
        <f>'1 datos preparados'!K96</f>
        <v/>
      </c>
      <c r="M103" s="7">
        <f>'1 datos preparados'!L96</f>
        <v/>
      </c>
      <c r="N103" s="7">
        <f>'1 datos preparados'!M96</f>
        <v/>
      </c>
      <c r="O103" s="7">
        <f>'1 datos preparados'!N96</f>
        <v/>
      </c>
      <c r="P103" s="7">
        <f>'1 datos preparados'!O96</f>
        <v/>
      </c>
      <c r="Q103" s="7">
        <f>'1 datos preparados'!P96</f>
        <v/>
      </c>
      <c r="R103" s="7">
        <f>'1 datos preparados'!Q96</f>
        <v/>
      </c>
      <c r="S103" s="7">
        <f>'1 datos preparados'!R96</f>
        <v/>
      </c>
      <c r="T103" s="7">
        <f>'1 datos preparados'!S96</f>
        <v/>
      </c>
      <c r="U103" s="7">
        <f>'1 datos preparados'!T96</f>
        <v/>
      </c>
      <c r="V103" s="8">
        <f>$AC$12+D103*$AC$13+E103*$AC$14+F103*$AC$15+G103*$AC$16+H103*$AC$17+I103*$AC$18+J103*$AC$19+K103*$AC$20+L103*$AC$21+M103*$AC$22+N103*$AC$23+O103*$AC$24+P103*$AC$25+Q103*$AC$26+R103*$AC$27+S103*$AC$28+T103*$AC$29+U103*$AC$30</f>
        <v/>
      </c>
      <c r="W103" s="8">
        <f>1/(1+EXP(-V103))</f>
        <v/>
      </c>
      <c r="X103" s="9">
        <f>-IF(C103=1,LN(W103),LN(1-W103))</f>
        <v/>
      </c>
      <c r="Y103" s="10">
        <f>IF(W103&gt;$AC$33,1,0)</f>
        <v/>
      </c>
      <c r="Z103">
        <f>IF(Y103=C103,1,0)</f>
        <v/>
      </c>
    </row>
    <row r="104">
      <c r="A104">
        <f>'1 datos preparados'!A97</f>
        <v/>
      </c>
      <c r="B104" s="5">
        <f>'1 datos preparados'!U97</f>
        <v/>
      </c>
      <c r="C104">
        <f>'1 datos preparados'!B97</f>
        <v/>
      </c>
      <c r="D104" s="7">
        <f>'1 datos preparados'!C97</f>
        <v/>
      </c>
      <c r="E104" s="7">
        <f>'1 datos preparados'!D97</f>
        <v/>
      </c>
      <c r="F104" s="7">
        <f>'1 datos preparados'!E97</f>
        <v/>
      </c>
      <c r="G104" s="7">
        <f>'1 datos preparados'!F97</f>
        <v/>
      </c>
      <c r="H104" s="7">
        <f>'1 datos preparados'!G97</f>
        <v/>
      </c>
      <c r="I104" s="7">
        <f>'1 datos preparados'!H97</f>
        <v/>
      </c>
      <c r="J104" s="7">
        <f>'1 datos preparados'!I97</f>
        <v/>
      </c>
      <c r="K104" s="7">
        <f>'1 datos preparados'!J97</f>
        <v/>
      </c>
      <c r="L104" s="7">
        <f>'1 datos preparados'!K97</f>
        <v/>
      </c>
      <c r="M104" s="7">
        <f>'1 datos preparados'!L97</f>
        <v/>
      </c>
      <c r="N104" s="7">
        <f>'1 datos preparados'!M97</f>
        <v/>
      </c>
      <c r="O104" s="7">
        <f>'1 datos preparados'!N97</f>
        <v/>
      </c>
      <c r="P104" s="7">
        <f>'1 datos preparados'!O97</f>
        <v/>
      </c>
      <c r="Q104" s="7">
        <f>'1 datos preparados'!P97</f>
        <v/>
      </c>
      <c r="R104" s="7">
        <f>'1 datos preparados'!Q97</f>
        <v/>
      </c>
      <c r="S104" s="7">
        <f>'1 datos preparados'!R97</f>
        <v/>
      </c>
      <c r="T104" s="7">
        <f>'1 datos preparados'!S97</f>
        <v/>
      </c>
      <c r="U104" s="7">
        <f>'1 datos preparados'!T97</f>
        <v/>
      </c>
      <c r="V104" s="8">
        <f>$AC$12+D104*$AC$13+E104*$AC$14+F104*$AC$15+G104*$AC$16+H104*$AC$17+I104*$AC$18+J104*$AC$19+K104*$AC$20+L104*$AC$21+M104*$AC$22+N104*$AC$23+O104*$AC$24+P104*$AC$25+Q104*$AC$26+R104*$AC$27+S104*$AC$28+T104*$AC$29+U104*$AC$30</f>
        <v/>
      </c>
      <c r="W104" s="8">
        <f>1/(1+EXP(-V104))</f>
        <v/>
      </c>
      <c r="X104" s="9">
        <f>-IF(C104=1,LN(W104),LN(1-W104))</f>
        <v/>
      </c>
      <c r="Y104" s="10">
        <f>IF(W104&gt;$AC$33,1,0)</f>
        <v/>
      </c>
      <c r="Z104">
        <f>IF(Y104=C104,1,0)</f>
        <v/>
      </c>
    </row>
    <row r="105">
      <c r="A105">
        <f>'1 datos preparados'!A98</f>
        <v/>
      </c>
      <c r="B105" s="5">
        <f>'1 datos preparados'!U98</f>
        <v/>
      </c>
      <c r="C105">
        <f>'1 datos preparados'!B98</f>
        <v/>
      </c>
      <c r="D105" s="7">
        <f>'1 datos preparados'!C98</f>
        <v/>
      </c>
      <c r="E105" s="7">
        <f>'1 datos preparados'!D98</f>
        <v/>
      </c>
      <c r="F105" s="7">
        <f>'1 datos preparados'!E98</f>
        <v/>
      </c>
      <c r="G105" s="7">
        <f>'1 datos preparados'!F98</f>
        <v/>
      </c>
      <c r="H105" s="7">
        <f>'1 datos preparados'!G98</f>
        <v/>
      </c>
      <c r="I105" s="7">
        <f>'1 datos preparados'!H98</f>
        <v/>
      </c>
      <c r="J105" s="7">
        <f>'1 datos preparados'!I98</f>
        <v/>
      </c>
      <c r="K105" s="7">
        <f>'1 datos preparados'!J98</f>
        <v/>
      </c>
      <c r="L105" s="7">
        <f>'1 datos preparados'!K98</f>
        <v/>
      </c>
      <c r="M105" s="7">
        <f>'1 datos preparados'!L98</f>
        <v/>
      </c>
      <c r="N105" s="7">
        <f>'1 datos preparados'!M98</f>
        <v/>
      </c>
      <c r="O105" s="7">
        <f>'1 datos preparados'!N98</f>
        <v/>
      </c>
      <c r="P105" s="7">
        <f>'1 datos preparados'!O98</f>
        <v/>
      </c>
      <c r="Q105" s="7">
        <f>'1 datos preparados'!P98</f>
        <v/>
      </c>
      <c r="R105" s="7">
        <f>'1 datos preparados'!Q98</f>
        <v/>
      </c>
      <c r="S105" s="7">
        <f>'1 datos preparados'!R98</f>
        <v/>
      </c>
      <c r="T105" s="7">
        <f>'1 datos preparados'!S98</f>
        <v/>
      </c>
      <c r="U105" s="7">
        <f>'1 datos preparados'!T98</f>
        <v/>
      </c>
      <c r="V105" s="8">
        <f>$AC$12+D105*$AC$13+E105*$AC$14+F105*$AC$15+G105*$AC$16+H105*$AC$17+I105*$AC$18+J105*$AC$19+K105*$AC$20+L105*$AC$21+M105*$AC$22+N105*$AC$23+O105*$AC$24+P105*$AC$25+Q105*$AC$26+R105*$AC$27+S105*$AC$28+T105*$AC$29+U105*$AC$30</f>
        <v/>
      </c>
      <c r="W105" s="8">
        <f>1/(1+EXP(-V105))</f>
        <v/>
      </c>
      <c r="X105" s="9">
        <f>-IF(C105=1,LN(W105),LN(1-W105))</f>
        <v/>
      </c>
      <c r="Y105" s="10">
        <f>IF(W105&gt;$AC$33,1,0)</f>
        <v/>
      </c>
      <c r="Z105">
        <f>IF(Y105=C105,1,0)</f>
        <v/>
      </c>
    </row>
    <row r="106">
      <c r="A106">
        <f>'1 datos preparados'!A99</f>
        <v/>
      </c>
      <c r="B106" s="5">
        <f>'1 datos preparados'!U99</f>
        <v/>
      </c>
      <c r="C106">
        <f>'1 datos preparados'!B99</f>
        <v/>
      </c>
      <c r="D106" s="7">
        <f>'1 datos preparados'!C99</f>
        <v/>
      </c>
      <c r="E106" s="7">
        <f>'1 datos preparados'!D99</f>
        <v/>
      </c>
      <c r="F106" s="7">
        <f>'1 datos preparados'!E99</f>
        <v/>
      </c>
      <c r="G106" s="7">
        <f>'1 datos preparados'!F99</f>
        <v/>
      </c>
      <c r="H106" s="7">
        <f>'1 datos preparados'!G99</f>
        <v/>
      </c>
      <c r="I106" s="7">
        <f>'1 datos preparados'!H99</f>
        <v/>
      </c>
      <c r="J106" s="7">
        <f>'1 datos preparados'!I99</f>
        <v/>
      </c>
      <c r="K106" s="7">
        <f>'1 datos preparados'!J99</f>
        <v/>
      </c>
      <c r="L106" s="7">
        <f>'1 datos preparados'!K99</f>
        <v/>
      </c>
      <c r="M106" s="7">
        <f>'1 datos preparados'!L99</f>
        <v/>
      </c>
      <c r="N106" s="7">
        <f>'1 datos preparados'!M99</f>
        <v/>
      </c>
      <c r="O106" s="7">
        <f>'1 datos preparados'!N99</f>
        <v/>
      </c>
      <c r="P106" s="7">
        <f>'1 datos preparados'!O99</f>
        <v/>
      </c>
      <c r="Q106" s="7">
        <f>'1 datos preparados'!P99</f>
        <v/>
      </c>
      <c r="R106" s="7">
        <f>'1 datos preparados'!Q99</f>
        <v/>
      </c>
      <c r="S106" s="7">
        <f>'1 datos preparados'!R99</f>
        <v/>
      </c>
      <c r="T106" s="7">
        <f>'1 datos preparados'!S99</f>
        <v/>
      </c>
      <c r="U106" s="7">
        <f>'1 datos preparados'!T99</f>
        <v/>
      </c>
      <c r="V106" s="8">
        <f>$AC$12+D106*$AC$13+E106*$AC$14+F106*$AC$15+G106*$AC$16+H106*$AC$17+I106*$AC$18+J106*$AC$19+K106*$AC$20+L106*$AC$21+M106*$AC$22+N106*$AC$23+O106*$AC$24+P106*$AC$25+Q106*$AC$26+R106*$AC$27+S106*$AC$28+T106*$AC$29+U106*$AC$30</f>
        <v/>
      </c>
      <c r="W106" s="8">
        <f>1/(1+EXP(-V106))</f>
        <v/>
      </c>
      <c r="X106" s="9">
        <f>-IF(C106=1,LN(W106),LN(1-W106))</f>
        <v/>
      </c>
      <c r="Y106" s="10">
        <f>IF(W106&gt;$AC$33,1,0)</f>
        <v/>
      </c>
      <c r="Z106">
        <f>IF(Y106=C106,1,0)</f>
        <v/>
      </c>
    </row>
    <row r="107">
      <c r="A107">
        <f>'1 datos preparados'!A100</f>
        <v/>
      </c>
      <c r="B107" s="5">
        <f>'1 datos preparados'!U100</f>
        <v/>
      </c>
      <c r="C107">
        <f>'1 datos preparados'!B100</f>
        <v/>
      </c>
      <c r="D107" s="7">
        <f>'1 datos preparados'!C100</f>
        <v/>
      </c>
      <c r="E107" s="7">
        <f>'1 datos preparados'!D100</f>
        <v/>
      </c>
      <c r="F107" s="7">
        <f>'1 datos preparados'!E100</f>
        <v/>
      </c>
      <c r="G107" s="7">
        <f>'1 datos preparados'!F100</f>
        <v/>
      </c>
      <c r="H107" s="7">
        <f>'1 datos preparados'!G100</f>
        <v/>
      </c>
      <c r="I107" s="7">
        <f>'1 datos preparados'!H100</f>
        <v/>
      </c>
      <c r="J107" s="7">
        <f>'1 datos preparados'!I100</f>
        <v/>
      </c>
      <c r="K107" s="7">
        <f>'1 datos preparados'!J100</f>
        <v/>
      </c>
      <c r="L107" s="7">
        <f>'1 datos preparados'!K100</f>
        <v/>
      </c>
      <c r="M107" s="7">
        <f>'1 datos preparados'!L100</f>
        <v/>
      </c>
      <c r="N107" s="7">
        <f>'1 datos preparados'!M100</f>
        <v/>
      </c>
      <c r="O107" s="7">
        <f>'1 datos preparados'!N100</f>
        <v/>
      </c>
      <c r="P107" s="7">
        <f>'1 datos preparados'!O100</f>
        <v/>
      </c>
      <c r="Q107" s="7">
        <f>'1 datos preparados'!P100</f>
        <v/>
      </c>
      <c r="R107" s="7">
        <f>'1 datos preparados'!Q100</f>
        <v/>
      </c>
      <c r="S107" s="7">
        <f>'1 datos preparados'!R100</f>
        <v/>
      </c>
      <c r="T107" s="7">
        <f>'1 datos preparados'!S100</f>
        <v/>
      </c>
      <c r="U107" s="7">
        <f>'1 datos preparados'!T100</f>
        <v/>
      </c>
      <c r="V107" s="8">
        <f>$AC$12+D107*$AC$13+E107*$AC$14+F107*$AC$15+G107*$AC$16+H107*$AC$17+I107*$AC$18+J107*$AC$19+K107*$AC$20+L107*$AC$21+M107*$AC$22+N107*$AC$23+O107*$AC$24+P107*$AC$25+Q107*$AC$26+R107*$AC$27+S107*$AC$28+T107*$AC$29+U107*$AC$30</f>
        <v/>
      </c>
      <c r="W107" s="8">
        <f>1/(1+EXP(-V107))</f>
        <v/>
      </c>
      <c r="X107" s="9">
        <f>-IF(C107=1,LN(W107),LN(1-W107))</f>
        <v/>
      </c>
      <c r="Y107" s="10">
        <f>IF(W107&gt;$AC$33,1,0)</f>
        <v/>
      </c>
      <c r="Z107">
        <f>IF(Y107=C107,1,0)</f>
        <v/>
      </c>
    </row>
    <row r="108">
      <c r="A108">
        <f>'1 datos preparados'!A101</f>
        <v/>
      </c>
      <c r="B108" s="5">
        <f>'1 datos preparados'!U101</f>
        <v/>
      </c>
      <c r="C108">
        <f>'1 datos preparados'!B101</f>
        <v/>
      </c>
      <c r="D108" s="7">
        <f>'1 datos preparados'!C101</f>
        <v/>
      </c>
      <c r="E108" s="7">
        <f>'1 datos preparados'!D101</f>
        <v/>
      </c>
      <c r="F108" s="7">
        <f>'1 datos preparados'!E101</f>
        <v/>
      </c>
      <c r="G108" s="7">
        <f>'1 datos preparados'!F101</f>
        <v/>
      </c>
      <c r="H108" s="7">
        <f>'1 datos preparados'!G101</f>
        <v/>
      </c>
      <c r="I108" s="7">
        <f>'1 datos preparados'!H101</f>
        <v/>
      </c>
      <c r="J108" s="7">
        <f>'1 datos preparados'!I101</f>
        <v/>
      </c>
      <c r="K108" s="7">
        <f>'1 datos preparados'!J101</f>
        <v/>
      </c>
      <c r="L108" s="7">
        <f>'1 datos preparados'!K101</f>
        <v/>
      </c>
      <c r="M108" s="7">
        <f>'1 datos preparados'!L101</f>
        <v/>
      </c>
      <c r="N108" s="7">
        <f>'1 datos preparados'!M101</f>
        <v/>
      </c>
      <c r="O108" s="7">
        <f>'1 datos preparados'!N101</f>
        <v/>
      </c>
      <c r="P108" s="7">
        <f>'1 datos preparados'!O101</f>
        <v/>
      </c>
      <c r="Q108" s="7">
        <f>'1 datos preparados'!P101</f>
        <v/>
      </c>
      <c r="R108" s="7">
        <f>'1 datos preparados'!Q101</f>
        <v/>
      </c>
      <c r="S108" s="7">
        <f>'1 datos preparados'!R101</f>
        <v/>
      </c>
      <c r="T108" s="7">
        <f>'1 datos preparados'!S101</f>
        <v/>
      </c>
      <c r="U108" s="7">
        <f>'1 datos preparados'!T101</f>
        <v/>
      </c>
      <c r="V108" s="8">
        <f>$AC$12+D108*$AC$13+E108*$AC$14+F108*$AC$15+G108*$AC$16+H108*$AC$17+I108*$AC$18+J108*$AC$19+K108*$AC$20+L108*$AC$21+M108*$AC$22+N108*$AC$23+O108*$AC$24+P108*$AC$25+Q108*$AC$26+R108*$AC$27+S108*$AC$28+T108*$AC$29+U108*$AC$30</f>
        <v/>
      </c>
      <c r="W108" s="8">
        <f>1/(1+EXP(-V108))</f>
        <v/>
      </c>
      <c r="X108" s="9">
        <f>-IF(C108=1,LN(W108),LN(1-W108))</f>
        <v/>
      </c>
      <c r="Y108" s="10">
        <f>IF(W108&gt;$AC$33,1,0)</f>
        <v/>
      </c>
      <c r="Z108">
        <f>IF(Y108=C108,1,0)</f>
        <v/>
      </c>
    </row>
    <row r="109">
      <c r="A109">
        <f>'1 datos preparados'!A102</f>
        <v/>
      </c>
      <c r="B109" s="5">
        <f>'1 datos preparados'!U102</f>
        <v/>
      </c>
      <c r="C109">
        <f>'1 datos preparados'!B102</f>
        <v/>
      </c>
      <c r="D109" s="7">
        <f>'1 datos preparados'!C102</f>
        <v/>
      </c>
      <c r="E109" s="7">
        <f>'1 datos preparados'!D102</f>
        <v/>
      </c>
      <c r="F109" s="7">
        <f>'1 datos preparados'!E102</f>
        <v/>
      </c>
      <c r="G109" s="7">
        <f>'1 datos preparados'!F102</f>
        <v/>
      </c>
      <c r="H109" s="7">
        <f>'1 datos preparados'!G102</f>
        <v/>
      </c>
      <c r="I109" s="7">
        <f>'1 datos preparados'!H102</f>
        <v/>
      </c>
      <c r="J109" s="7">
        <f>'1 datos preparados'!I102</f>
        <v/>
      </c>
      <c r="K109" s="7">
        <f>'1 datos preparados'!J102</f>
        <v/>
      </c>
      <c r="L109" s="7">
        <f>'1 datos preparados'!K102</f>
        <v/>
      </c>
      <c r="M109" s="7">
        <f>'1 datos preparados'!L102</f>
        <v/>
      </c>
      <c r="N109" s="7">
        <f>'1 datos preparados'!M102</f>
        <v/>
      </c>
      <c r="O109" s="7">
        <f>'1 datos preparados'!N102</f>
        <v/>
      </c>
      <c r="P109" s="7">
        <f>'1 datos preparados'!O102</f>
        <v/>
      </c>
      <c r="Q109" s="7">
        <f>'1 datos preparados'!P102</f>
        <v/>
      </c>
      <c r="R109" s="7">
        <f>'1 datos preparados'!Q102</f>
        <v/>
      </c>
      <c r="S109" s="7">
        <f>'1 datos preparados'!R102</f>
        <v/>
      </c>
      <c r="T109" s="7">
        <f>'1 datos preparados'!S102</f>
        <v/>
      </c>
      <c r="U109" s="7">
        <f>'1 datos preparados'!T102</f>
        <v/>
      </c>
      <c r="V109" s="8">
        <f>$AC$12+D109*$AC$13+E109*$AC$14+F109*$AC$15+G109*$AC$16+H109*$AC$17+I109*$AC$18+J109*$AC$19+K109*$AC$20+L109*$AC$21+M109*$AC$22+N109*$AC$23+O109*$AC$24+P109*$AC$25+Q109*$AC$26+R109*$AC$27+S109*$AC$28+T109*$AC$29+U109*$AC$30</f>
        <v/>
      </c>
      <c r="W109" s="8">
        <f>1/(1+EXP(-V109))</f>
        <v/>
      </c>
      <c r="X109" s="9">
        <f>-IF(C109=1,LN(W109),LN(1-W109))</f>
        <v/>
      </c>
      <c r="Y109" s="10">
        <f>IF(W109&gt;$AC$33,1,0)</f>
        <v/>
      </c>
      <c r="Z109">
        <f>IF(Y109=C109,1,0)</f>
        <v/>
      </c>
    </row>
    <row r="110">
      <c r="A110">
        <f>'1 datos preparados'!A103</f>
        <v/>
      </c>
      <c r="B110" s="5">
        <f>'1 datos preparados'!U103</f>
        <v/>
      </c>
      <c r="C110">
        <f>'1 datos preparados'!B103</f>
        <v/>
      </c>
      <c r="D110" s="7">
        <f>'1 datos preparados'!C103</f>
        <v/>
      </c>
      <c r="E110" s="7">
        <f>'1 datos preparados'!D103</f>
        <v/>
      </c>
      <c r="F110" s="7">
        <f>'1 datos preparados'!E103</f>
        <v/>
      </c>
      <c r="G110" s="7">
        <f>'1 datos preparados'!F103</f>
        <v/>
      </c>
      <c r="H110" s="7">
        <f>'1 datos preparados'!G103</f>
        <v/>
      </c>
      <c r="I110" s="7">
        <f>'1 datos preparados'!H103</f>
        <v/>
      </c>
      <c r="J110" s="7">
        <f>'1 datos preparados'!I103</f>
        <v/>
      </c>
      <c r="K110" s="7">
        <f>'1 datos preparados'!J103</f>
        <v/>
      </c>
      <c r="L110" s="7">
        <f>'1 datos preparados'!K103</f>
        <v/>
      </c>
      <c r="M110" s="7">
        <f>'1 datos preparados'!L103</f>
        <v/>
      </c>
      <c r="N110" s="7">
        <f>'1 datos preparados'!M103</f>
        <v/>
      </c>
      <c r="O110" s="7">
        <f>'1 datos preparados'!N103</f>
        <v/>
      </c>
      <c r="P110" s="7">
        <f>'1 datos preparados'!O103</f>
        <v/>
      </c>
      <c r="Q110" s="7">
        <f>'1 datos preparados'!P103</f>
        <v/>
      </c>
      <c r="R110" s="7">
        <f>'1 datos preparados'!Q103</f>
        <v/>
      </c>
      <c r="S110" s="7">
        <f>'1 datos preparados'!R103</f>
        <v/>
      </c>
      <c r="T110" s="7">
        <f>'1 datos preparados'!S103</f>
        <v/>
      </c>
      <c r="U110" s="7">
        <f>'1 datos preparados'!T103</f>
        <v/>
      </c>
      <c r="V110" s="8">
        <f>$AC$12+D110*$AC$13+E110*$AC$14+F110*$AC$15+G110*$AC$16+H110*$AC$17+I110*$AC$18+J110*$AC$19+K110*$AC$20+L110*$AC$21+M110*$AC$22+N110*$AC$23+O110*$AC$24+P110*$AC$25+Q110*$AC$26+R110*$AC$27+S110*$AC$28+T110*$AC$29+U110*$AC$30</f>
        <v/>
      </c>
      <c r="W110" s="8">
        <f>1/(1+EXP(-V110))</f>
        <v/>
      </c>
      <c r="X110" s="9">
        <f>-IF(C110=1,LN(W110),LN(1-W110))</f>
        <v/>
      </c>
      <c r="Y110" s="10">
        <f>IF(W110&gt;$AC$33,1,0)</f>
        <v/>
      </c>
      <c r="Z110">
        <f>IF(Y110=C110,1,0)</f>
        <v/>
      </c>
    </row>
    <row r="111">
      <c r="A111">
        <f>'1 datos preparados'!A104</f>
        <v/>
      </c>
      <c r="B111" s="5">
        <f>'1 datos preparados'!U104</f>
        <v/>
      </c>
      <c r="C111">
        <f>'1 datos preparados'!B104</f>
        <v/>
      </c>
      <c r="D111" s="7">
        <f>'1 datos preparados'!C104</f>
        <v/>
      </c>
      <c r="E111" s="7">
        <f>'1 datos preparados'!D104</f>
        <v/>
      </c>
      <c r="F111" s="7">
        <f>'1 datos preparados'!E104</f>
        <v/>
      </c>
      <c r="G111" s="7">
        <f>'1 datos preparados'!F104</f>
        <v/>
      </c>
      <c r="H111" s="7">
        <f>'1 datos preparados'!G104</f>
        <v/>
      </c>
      <c r="I111" s="7">
        <f>'1 datos preparados'!H104</f>
        <v/>
      </c>
      <c r="J111" s="7">
        <f>'1 datos preparados'!I104</f>
        <v/>
      </c>
      <c r="K111" s="7">
        <f>'1 datos preparados'!J104</f>
        <v/>
      </c>
      <c r="L111" s="7">
        <f>'1 datos preparados'!K104</f>
        <v/>
      </c>
      <c r="M111" s="7">
        <f>'1 datos preparados'!L104</f>
        <v/>
      </c>
      <c r="N111" s="7">
        <f>'1 datos preparados'!M104</f>
        <v/>
      </c>
      <c r="O111" s="7">
        <f>'1 datos preparados'!N104</f>
        <v/>
      </c>
      <c r="P111" s="7">
        <f>'1 datos preparados'!O104</f>
        <v/>
      </c>
      <c r="Q111" s="7">
        <f>'1 datos preparados'!P104</f>
        <v/>
      </c>
      <c r="R111" s="7">
        <f>'1 datos preparados'!Q104</f>
        <v/>
      </c>
      <c r="S111" s="7">
        <f>'1 datos preparados'!R104</f>
        <v/>
      </c>
      <c r="T111" s="7">
        <f>'1 datos preparados'!S104</f>
        <v/>
      </c>
      <c r="U111" s="7">
        <f>'1 datos preparados'!T104</f>
        <v/>
      </c>
      <c r="V111" s="8">
        <f>$AC$12+D111*$AC$13+E111*$AC$14+F111*$AC$15+G111*$AC$16+H111*$AC$17+I111*$AC$18+J111*$AC$19+K111*$AC$20+L111*$AC$21+M111*$AC$22+N111*$AC$23+O111*$AC$24+P111*$AC$25+Q111*$AC$26+R111*$AC$27+S111*$AC$28+T111*$AC$29+U111*$AC$30</f>
        <v/>
      </c>
      <c r="W111" s="8">
        <f>1/(1+EXP(-V111))</f>
        <v/>
      </c>
      <c r="X111" s="9">
        <f>-IF(C111=1,LN(W111),LN(1-W111))</f>
        <v/>
      </c>
      <c r="Y111" s="10">
        <f>IF(W111&gt;$AC$33,1,0)</f>
        <v/>
      </c>
      <c r="Z111">
        <f>IF(Y111=C111,1,0)</f>
        <v/>
      </c>
    </row>
    <row r="112">
      <c r="A112">
        <f>'1 datos preparados'!A105</f>
        <v/>
      </c>
      <c r="B112" s="5">
        <f>'1 datos preparados'!U105</f>
        <v/>
      </c>
      <c r="C112">
        <f>'1 datos preparados'!B105</f>
        <v/>
      </c>
      <c r="D112" s="7">
        <f>'1 datos preparados'!C105</f>
        <v/>
      </c>
      <c r="E112" s="7">
        <f>'1 datos preparados'!D105</f>
        <v/>
      </c>
      <c r="F112" s="7">
        <f>'1 datos preparados'!E105</f>
        <v/>
      </c>
      <c r="G112" s="7">
        <f>'1 datos preparados'!F105</f>
        <v/>
      </c>
      <c r="H112" s="7">
        <f>'1 datos preparados'!G105</f>
        <v/>
      </c>
      <c r="I112" s="7">
        <f>'1 datos preparados'!H105</f>
        <v/>
      </c>
      <c r="J112" s="7">
        <f>'1 datos preparados'!I105</f>
        <v/>
      </c>
      <c r="K112" s="7">
        <f>'1 datos preparados'!J105</f>
        <v/>
      </c>
      <c r="L112" s="7">
        <f>'1 datos preparados'!K105</f>
        <v/>
      </c>
      <c r="M112" s="7">
        <f>'1 datos preparados'!L105</f>
        <v/>
      </c>
      <c r="N112" s="7">
        <f>'1 datos preparados'!M105</f>
        <v/>
      </c>
      <c r="O112" s="7">
        <f>'1 datos preparados'!N105</f>
        <v/>
      </c>
      <c r="P112" s="7">
        <f>'1 datos preparados'!O105</f>
        <v/>
      </c>
      <c r="Q112" s="7">
        <f>'1 datos preparados'!P105</f>
        <v/>
      </c>
      <c r="R112" s="7">
        <f>'1 datos preparados'!Q105</f>
        <v/>
      </c>
      <c r="S112" s="7">
        <f>'1 datos preparados'!R105</f>
        <v/>
      </c>
      <c r="T112" s="7">
        <f>'1 datos preparados'!S105</f>
        <v/>
      </c>
      <c r="U112" s="7">
        <f>'1 datos preparados'!T105</f>
        <v/>
      </c>
      <c r="V112" s="8">
        <f>$AC$12+D112*$AC$13+E112*$AC$14+F112*$AC$15+G112*$AC$16+H112*$AC$17+I112*$AC$18+J112*$AC$19+K112*$AC$20+L112*$AC$21+M112*$AC$22+N112*$AC$23+O112*$AC$24+P112*$AC$25+Q112*$AC$26+R112*$AC$27+S112*$AC$28+T112*$AC$29+U112*$AC$30</f>
        <v/>
      </c>
      <c r="W112" s="8">
        <f>1/(1+EXP(-V112))</f>
        <v/>
      </c>
      <c r="X112" s="9">
        <f>-IF(C112=1,LN(W112),LN(1-W112))</f>
        <v/>
      </c>
      <c r="Y112" s="10">
        <f>IF(W112&gt;$AC$33,1,0)</f>
        <v/>
      </c>
      <c r="Z112">
        <f>IF(Y112=C112,1,0)</f>
        <v/>
      </c>
    </row>
    <row r="113">
      <c r="A113">
        <f>'1 datos preparados'!A106</f>
        <v/>
      </c>
      <c r="B113" s="5">
        <f>'1 datos preparados'!U106</f>
        <v/>
      </c>
      <c r="C113">
        <f>'1 datos preparados'!B106</f>
        <v/>
      </c>
      <c r="D113" s="7">
        <f>'1 datos preparados'!C106</f>
        <v/>
      </c>
      <c r="E113" s="7">
        <f>'1 datos preparados'!D106</f>
        <v/>
      </c>
      <c r="F113" s="7">
        <f>'1 datos preparados'!E106</f>
        <v/>
      </c>
      <c r="G113" s="7">
        <f>'1 datos preparados'!F106</f>
        <v/>
      </c>
      <c r="H113" s="7">
        <f>'1 datos preparados'!G106</f>
        <v/>
      </c>
      <c r="I113" s="7">
        <f>'1 datos preparados'!H106</f>
        <v/>
      </c>
      <c r="J113" s="7">
        <f>'1 datos preparados'!I106</f>
        <v/>
      </c>
      <c r="K113" s="7">
        <f>'1 datos preparados'!J106</f>
        <v/>
      </c>
      <c r="L113" s="7">
        <f>'1 datos preparados'!K106</f>
        <v/>
      </c>
      <c r="M113" s="7">
        <f>'1 datos preparados'!L106</f>
        <v/>
      </c>
      <c r="N113" s="7">
        <f>'1 datos preparados'!M106</f>
        <v/>
      </c>
      <c r="O113" s="7">
        <f>'1 datos preparados'!N106</f>
        <v/>
      </c>
      <c r="P113" s="7">
        <f>'1 datos preparados'!O106</f>
        <v/>
      </c>
      <c r="Q113" s="7">
        <f>'1 datos preparados'!P106</f>
        <v/>
      </c>
      <c r="R113" s="7">
        <f>'1 datos preparados'!Q106</f>
        <v/>
      </c>
      <c r="S113" s="7">
        <f>'1 datos preparados'!R106</f>
        <v/>
      </c>
      <c r="T113" s="7">
        <f>'1 datos preparados'!S106</f>
        <v/>
      </c>
      <c r="U113" s="7">
        <f>'1 datos preparados'!T106</f>
        <v/>
      </c>
      <c r="V113" s="8">
        <f>$AC$12+D113*$AC$13+E113*$AC$14+F113*$AC$15+G113*$AC$16+H113*$AC$17+I113*$AC$18+J113*$AC$19+K113*$AC$20+L113*$AC$21+M113*$AC$22+N113*$AC$23+O113*$AC$24+P113*$AC$25+Q113*$AC$26+R113*$AC$27+S113*$AC$28+T113*$AC$29+U113*$AC$30</f>
        <v/>
      </c>
      <c r="W113" s="8">
        <f>1/(1+EXP(-V113))</f>
        <v/>
      </c>
      <c r="X113" s="9">
        <f>-IF(C113=1,LN(W113),LN(1-W113))</f>
        <v/>
      </c>
      <c r="Y113" s="10">
        <f>IF(W113&gt;$AC$33,1,0)</f>
        <v/>
      </c>
      <c r="Z113">
        <f>IF(Y113=C113,1,0)</f>
        <v/>
      </c>
    </row>
    <row r="114">
      <c r="A114">
        <f>'1 datos preparados'!A107</f>
        <v/>
      </c>
      <c r="B114" s="5">
        <f>'1 datos preparados'!U107</f>
        <v/>
      </c>
      <c r="C114">
        <f>'1 datos preparados'!B107</f>
        <v/>
      </c>
      <c r="D114" s="7">
        <f>'1 datos preparados'!C107</f>
        <v/>
      </c>
      <c r="E114" s="7">
        <f>'1 datos preparados'!D107</f>
        <v/>
      </c>
      <c r="F114" s="7">
        <f>'1 datos preparados'!E107</f>
        <v/>
      </c>
      <c r="G114" s="7">
        <f>'1 datos preparados'!F107</f>
        <v/>
      </c>
      <c r="H114" s="7">
        <f>'1 datos preparados'!G107</f>
        <v/>
      </c>
      <c r="I114" s="7">
        <f>'1 datos preparados'!H107</f>
        <v/>
      </c>
      <c r="J114" s="7">
        <f>'1 datos preparados'!I107</f>
        <v/>
      </c>
      <c r="K114" s="7">
        <f>'1 datos preparados'!J107</f>
        <v/>
      </c>
      <c r="L114" s="7">
        <f>'1 datos preparados'!K107</f>
        <v/>
      </c>
      <c r="M114" s="7">
        <f>'1 datos preparados'!L107</f>
        <v/>
      </c>
      <c r="N114" s="7">
        <f>'1 datos preparados'!M107</f>
        <v/>
      </c>
      <c r="O114" s="7">
        <f>'1 datos preparados'!N107</f>
        <v/>
      </c>
      <c r="P114" s="7">
        <f>'1 datos preparados'!O107</f>
        <v/>
      </c>
      <c r="Q114" s="7">
        <f>'1 datos preparados'!P107</f>
        <v/>
      </c>
      <c r="R114" s="7">
        <f>'1 datos preparados'!Q107</f>
        <v/>
      </c>
      <c r="S114" s="7">
        <f>'1 datos preparados'!R107</f>
        <v/>
      </c>
      <c r="T114" s="7">
        <f>'1 datos preparados'!S107</f>
        <v/>
      </c>
      <c r="U114" s="7">
        <f>'1 datos preparados'!T107</f>
        <v/>
      </c>
      <c r="V114" s="8">
        <f>$AC$12+D114*$AC$13+E114*$AC$14+F114*$AC$15+G114*$AC$16+H114*$AC$17+I114*$AC$18+J114*$AC$19+K114*$AC$20+L114*$AC$21+M114*$AC$22+N114*$AC$23+O114*$AC$24+P114*$AC$25+Q114*$AC$26+R114*$AC$27+S114*$AC$28+T114*$AC$29+U114*$AC$30</f>
        <v/>
      </c>
      <c r="W114" s="8">
        <f>1/(1+EXP(-V114))</f>
        <v/>
      </c>
      <c r="X114" s="9">
        <f>-IF(C114=1,LN(W114),LN(1-W114))</f>
        <v/>
      </c>
      <c r="Y114" s="10">
        <f>IF(W114&gt;$AC$33,1,0)</f>
        <v/>
      </c>
      <c r="Z114">
        <f>IF(Y114=C114,1,0)</f>
        <v/>
      </c>
    </row>
    <row r="115">
      <c r="A115">
        <f>'1 datos preparados'!A108</f>
        <v/>
      </c>
      <c r="B115" s="5">
        <f>'1 datos preparados'!U108</f>
        <v/>
      </c>
      <c r="C115">
        <f>'1 datos preparados'!B108</f>
        <v/>
      </c>
      <c r="D115" s="7">
        <f>'1 datos preparados'!C108</f>
        <v/>
      </c>
      <c r="E115" s="7">
        <f>'1 datos preparados'!D108</f>
        <v/>
      </c>
      <c r="F115" s="7">
        <f>'1 datos preparados'!E108</f>
        <v/>
      </c>
      <c r="G115" s="7">
        <f>'1 datos preparados'!F108</f>
        <v/>
      </c>
      <c r="H115" s="7">
        <f>'1 datos preparados'!G108</f>
        <v/>
      </c>
      <c r="I115" s="7">
        <f>'1 datos preparados'!H108</f>
        <v/>
      </c>
      <c r="J115" s="7">
        <f>'1 datos preparados'!I108</f>
        <v/>
      </c>
      <c r="K115" s="7">
        <f>'1 datos preparados'!J108</f>
        <v/>
      </c>
      <c r="L115" s="7">
        <f>'1 datos preparados'!K108</f>
        <v/>
      </c>
      <c r="M115" s="7">
        <f>'1 datos preparados'!L108</f>
        <v/>
      </c>
      <c r="N115" s="7">
        <f>'1 datos preparados'!M108</f>
        <v/>
      </c>
      <c r="O115" s="7">
        <f>'1 datos preparados'!N108</f>
        <v/>
      </c>
      <c r="P115" s="7">
        <f>'1 datos preparados'!O108</f>
        <v/>
      </c>
      <c r="Q115" s="7">
        <f>'1 datos preparados'!P108</f>
        <v/>
      </c>
      <c r="R115" s="7">
        <f>'1 datos preparados'!Q108</f>
        <v/>
      </c>
      <c r="S115" s="7">
        <f>'1 datos preparados'!R108</f>
        <v/>
      </c>
      <c r="T115" s="7">
        <f>'1 datos preparados'!S108</f>
        <v/>
      </c>
      <c r="U115" s="7">
        <f>'1 datos preparados'!T108</f>
        <v/>
      </c>
      <c r="V115" s="8">
        <f>$AC$12+D115*$AC$13+E115*$AC$14+F115*$AC$15+G115*$AC$16+H115*$AC$17+I115*$AC$18+J115*$AC$19+K115*$AC$20+L115*$AC$21+M115*$AC$22+N115*$AC$23+O115*$AC$24+P115*$AC$25+Q115*$AC$26+R115*$AC$27+S115*$AC$28+T115*$AC$29+U115*$AC$30</f>
        <v/>
      </c>
      <c r="W115" s="8">
        <f>1/(1+EXP(-V115))</f>
        <v/>
      </c>
      <c r="X115" s="9">
        <f>-IF(C115=1,LN(W115),LN(1-W115))</f>
        <v/>
      </c>
      <c r="Y115" s="10">
        <f>IF(W115&gt;$AC$33,1,0)</f>
        <v/>
      </c>
      <c r="Z115">
        <f>IF(Y115=C115,1,0)</f>
        <v/>
      </c>
    </row>
    <row r="116">
      <c r="A116">
        <f>'1 datos preparados'!A109</f>
        <v/>
      </c>
      <c r="B116" s="5">
        <f>'1 datos preparados'!U109</f>
        <v/>
      </c>
      <c r="C116">
        <f>'1 datos preparados'!B109</f>
        <v/>
      </c>
      <c r="D116" s="7">
        <f>'1 datos preparados'!C109</f>
        <v/>
      </c>
      <c r="E116" s="7">
        <f>'1 datos preparados'!D109</f>
        <v/>
      </c>
      <c r="F116" s="7">
        <f>'1 datos preparados'!E109</f>
        <v/>
      </c>
      <c r="G116" s="7">
        <f>'1 datos preparados'!F109</f>
        <v/>
      </c>
      <c r="H116" s="7">
        <f>'1 datos preparados'!G109</f>
        <v/>
      </c>
      <c r="I116" s="7">
        <f>'1 datos preparados'!H109</f>
        <v/>
      </c>
      <c r="J116" s="7">
        <f>'1 datos preparados'!I109</f>
        <v/>
      </c>
      <c r="K116" s="7">
        <f>'1 datos preparados'!J109</f>
        <v/>
      </c>
      <c r="L116" s="7">
        <f>'1 datos preparados'!K109</f>
        <v/>
      </c>
      <c r="M116" s="7">
        <f>'1 datos preparados'!L109</f>
        <v/>
      </c>
      <c r="N116" s="7">
        <f>'1 datos preparados'!M109</f>
        <v/>
      </c>
      <c r="O116" s="7">
        <f>'1 datos preparados'!N109</f>
        <v/>
      </c>
      <c r="P116" s="7">
        <f>'1 datos preparados'!O109</f>
        <v/>
      </c>
      <c r="Q116" s="7">
        <f>'1 datos preparados'!P109</f>
        <v/>
      </c>
      <c r="R116" s="7">
        <f>'1 datos preparados'!Q109</f>
        <v/>
      </c>
      <c r="S116" s="7">
        <f>'1 datos preparados'!R109</f>
        <v/>
      </c>
      <c r="T116" s="7">
        <f>'1 datos preparados'!S109</f>
        <v/>
      </c>
      <c r="U116" s="7">
        <f>'1 datos preparados'!T109</f>
        <v/>
      </c>
      <c r="V116" s="8">
        <f>$AC$12+D116*$AC$13+E116*$AC$14+F116*$AC$15+G116*$AC$16+H116*$AC$17+I116*$AC$18+J116*$AC$19+K116*$AC$20+L116*$AC$21+M116*$AC$22+N116*$AC$23+O116*$AC$24+P116*$AC$25+Q116*$AC$26+R116*$AC$27+S116*$AC$28+T116*$AC$29+U116*$AC$30</f>
        <v/>
      </c>
      <c r="W116" s="8">
        <f>1/(1+EXP(-V116))</f>
        <v/>
      </c>
      <c r="X116" s="9">
        <f>-IF(C116=1,LN(W116),LN(1-W116))</f>
        <v/>
      </c>
      <c r="Y116" s="10">
        <f>IF(W116&gt;$AC$33,1,0)</f>
        <v/>
      </c>
      <c r="Z116">
        <f>IF(Y116=C116,1,0)</f>
        <v/>
      </c>
    </row>
    <row r="117">
      <c r="A117">
        <f>'1 datos preparados'!A110</f>
        <v/>
      </c>
      <c r="B117" s="5">
        <f>'1 datos preparados'!U110</f>
        <v/>
      </c>
      <c r="C117">
        <f>'1 datos preparados'!B110</f>
        <v/>
      </c>
      <c r="D117" s="7">
        <f>'1 datos preparados'!C110</f>
        <v/>
      </c>
      <c r="E117" s="7">
        <f>'1 datos preparados'!D110</f>
        <v/>
      </c>
      <c r="F117" s="7">
        <f>'1 datos preparados'!E110</f>
        <v/>
      </c>
      <c r="G117" s="7">
        <f>'1 datos preparados'!F110</f>
        <v/>
      </c>
      <c r="H117" s="7">
        <f>'1 datos preparados'!G110</f>
        <v/>
      </c>
      <c r="I117" s="7">
        <f>'1 datos preparados'!H110</f>
        <v/>
      </c>
      <c r="J117" s="7">
        <f>'1 datos preparados'!I110</f>
        <v/>
      </c>
      <c r="K117" s="7">
        <f>'1 datos preparados'!J110</f>
        <v/>
      </c>
      <c r="L117" s="7">
        <f>'1 datos preparados'!K110</f>
        <v/>
      </c>
      <c r="M117" s="7">
        <f>'1 datos preparados'!L110</f>
        <v/>
      </c>
      <c r="N117" s="7">
        <f>'1 datos preparados'!M110</f>
        <v/>
      </c>
      <c r="O117" s="7">
        <f>'1 datos preparados'!N110</f>
        <v/>
      </c>
      <c r="P117" s="7">
        <f>'1 datos preparados'!O110</f>
        <v/>
      </c>
      <c r="Q117" s="7">
        <f>'1 datos preparados'!P110</f>
        <v/>
      </c>
      <c r="R117" s="7">
        <f>'1 datos preparados'!Q110</f>
        <v/>
      </c>
      <c r="S117" s="7">
        <f>'1 datos preparados'!R110</f>
        <v/>
      </c>
      <c r="T117" s="7">
        <f>'1 datos preparados'!S110</f>
        <v/>
      </c>
      <c r="U117" s="7">
        <f>'1 datos preparados'!T110</f>
        <v/>
      </c>
      <c r="V117" s="8">
        <f>$AC$12+D117*$AC$13+E117*$AC$14+F117*$AC$15+G117*$AC$16+H117*$AC$17+I117*$AC$18+J117*$AC$19+K117*$AC$20+L117*$AC$21+M117*$AC$22+N117*$AC$23+O117*$AC$24+P117*$AC$25+Q117*$AC$26+R117*$AC$27+S117*$AC$28+T117*$AC$29+U117*$AC$30</f>
        <v/>
      </c>
      <c r="W117" s="8">
        <f>1/(1+EXP(-V117))</f>
        <v/>
      </c>
      <c r="X117" s="9">
        <f>-IF(C117=1,LN(W117),LN(1-W117))</f>
        <v/>
      </c>
      <c r="Y117" s="10">
        <f>IF(W117&gt;$AC$33,1,0)</f>
        <v/>
      </c>
      <c r="Z117">
        <f>IF(Y117=C117,1,0)</f>
        <v/>
      </c>
    </row>
    <row r="118">
      <c r="A118">
        <f>'1 datos preparados'!A111</f>
        <v/>
      </c>
      <c r="B118" s="5">
        <f>'1 datos preparados'!U111</f>
        <v/>
      </c>
      <c r="C118">
        <f>'1 datos preparados'!B111</f>
        <v/>
      </c>
      <c r="D118" s="7">
        <f>'1 datos preparados'!C111</f>
        <v/>
      </c>
      <c r="E118" s="7">
        <f>'1 datos preparados'!D111</f>
        <v/>
      </c>
      <c r="F118" s="7">
        <f>'1 datos preparados'!E111</f>
        <v/>
      </c>
      <c r="G118" s="7">
        <f>'1 datos preparados'!F111</f>
        <v/>
      </c>
      <c r="H118" s="7">
        <f>'1 datos preparados'!G111</f>
        <v/>
      </c>
      <c r="I118" s="7">
        <f>'1 datos preparados'!H111</f>
        <v/>
      </c>
      <c r="J118" s="7">
        <f>'1 datos preparados'!I111</f>
        <v/>
      </c>
      <c r="K118" s="7">
        <f>'1 datos preparados'!J111</f>
        <v/>
      </c>
      <c r="L118" s="7">
        <f>'1 datos preparados'!K111</f>
        <v/>
      </c>
      <c r="M118" s="7">
        <f>'1 datos preparados'!L111</f>
        <v/>
      </c>
      <c r="N118" s="7">
        <f>'1 datos preparados'!M111</f>
        <v/>
      </c>
      <c r="O118" s="7">
        <f>'1 datos preparados'!N111</f>
        <v/>
      </c>
      <c r="P118" s="7">
        <f>'1 datos preparados'!O111</f>
        <v/>
      </c>
      <c r="Q118" s="7">
        <f>'1 datos preparados'!P111</f>
        <v/>
      </c>
      <c r="R118" s="7">
        <f>'1 datos preparados'!Q111</f>
        <v/>
      </c>
      <c r="S118" s="7">
        <f>'1 datos preparados'!R111</f>
        <v/>
      </c>
      <c r="T118" s="7">
        <f>'1 datos preparados'!S111</f>
        <v/>
      </c>
      <c r="U118" s="7">
        <f>'1 datos preparados'!T111</f>
        <v/>
      </c>
      <c r="V118" s="8">
        <f>$AC$12+D118*$AC$13+E118*$AC$14+F118*$AC$15+G118*$AC$16+H118*$AC$17+I118*$AC$18+J118*$AC$19+K118*$AC$20+L118*$AC$21+M118*$AC$22+N118*$AC$23+O118*$AC$24+P118*$AC$25+Q118*$AC$26+R118*$AC$27+S118*$AC$28+T118*$AC$29+U118*$AC$30</f>
        <v/>
      </c>
      <c r="W118" s="8">
        <f>1/(1+EXP(-V118))</f>
        <v/>
      </c>
      <c r="X118" s="9">
        <f>-IF(C118=1,LN(W118),LN(1-W118))</f>
        <v/>
      </c>
      <c r="Y118" s="10">
        <f>IF(W118&gt;$AC$33,1,0)</f>
        <v/>
      </c>
      <c r="Z118">
        <f>IF(Y118=C118,1,0)</f>
        <v/>
      </c>
    </row>
    <row r="119">
      <c r="A119">
        <f>'1 datos preparados'!A112</f>
        <v/>
      </c>
      <c r="B119" s="5">
        <f>'1 datos preparados'!U112</f>
        <v/>
      </c>
      <c r="C119">
        <f>'1 datos preparados'!B112</f>
        <v/>
      </c>
      <c r="D119" s="7">
        <f>'1 datos preparados'!C112</f>
        <v/>
      </c>
      <c r="E119" s="7">
        <f>'1 datos preparados'!D112</f>
        <v/>
      </c>
      <c r="F119" s="7">
        <f>'1 datos preparados'!E112</f>
        <v/>
      </c>
      <c r="G119" s="7">
        <f>'1 datos preparados'!F112</f>
        <v/>
      </c>
      <c r="H119" s="7">
        <f>'1 datos preparados'!G112</f>
        <v/>
      </c>
      <c r="I119" s="7">
        <f>'1 datos preparados'!H112</f>
        <v/>
      </c>
      <c r="J119" s="7">
        <f>'1 datos preparados'!I112</f>
        <v/>
      </c>
      <c r="K119" s="7">
        <f>'1 datos preparados'!J112</f>
        <v/>
      </c>
      <c r="L119" s="7">
        <f>'1 datos preparados'!K112</f>
        <v/>
      </c>
      <c r="M119" s="7">
        <f>'1 datos preparados'!L112</f>
        <v/>
      </c>
      <c r="N119" s="7">
        <f>'1 datos preparados'!M112</f>
        <v/>
      </c>
      <c r="O119" s="7">
        <f>'1 datos preparados'!N112</f>
        <v/>
      </c>
      <c r="P119" s="7">
        <f>'1 datos preparados'!O112</f>
        <v/>
      </c>
      <c r="Q119" s="7">
        <f>'1 datos preparados'!P112</f>
        <v/>
      </c>
      <c r="R119" s="7">
        <f>'1 datos preparados'!Q112</f>
        <v/>
      </c>
      <c r="S119" s="7">
        <f>'1 datos preparados'!R112</f>
        <v/>
      </c>
      <c r="T119" s="7">
        <f>'1 datos preparados'!S112</f>
        <v/>
      </c>
      <c r="U119" s="7">
        <f>'1 datos preparados'!T112</f>
        <v/>
      </c>
      <c r="V119" s="8">
        <f>$AC$12+D119*$AC$13+E119*$AC$14+F119*$AC$15+G119*$AC$16+H119*$AC$17+I119*$AC$18+J119*$AC$19+K119*$AC$20+L119*$AC$21+M119*$AC$22+N119*$AC$23+O119*$AC$24+P119*$AC$25+Q119*$AC$26+R119*$AC$27+S119*$AC$28+T119*$AC$29+U119*$AC$30</f>
        <v/>
      </c>
      <c r="W119" s="8">
        <f>1/(1+EXP(-V119))</f>
        <v/>
      </c>
      <c r="X119" s="9">
        <f>-IF(C119=1,LN(W119),LN(1-W119))</f>
        <v/>
      </c>
      <c r="Y119" s="10">
        <f>IF(W119&gt;$AC$33,1,0)</f>
        <v/>
      </c>
      <c r="Z119">
        <f>IF(Y119=C119,1,0)</f>
        <v/>
      </c>
    </row>
    <row r="120">
      <c r="A120">
        <f>'1 datos preparados'!A113</f>
        <v/>
      </c>
      <c r="B120" s="5">
        <f>'1 datos preparados'!U113</f>
        <v/>
      </c>
      <c r="C120">
        <f>'1 datos preparados'!B113</f>
        <v/>
      </c>
      <c r="D120" s="7">
        <f>'1 datos preparados'!C113</f>
        <v/>
      </c>
      <c r="E120" s="7">
        <f>'1 datos preparados'!D113</f>
        <v/>
      </c>
      <c r="F120" s="7">
        <f>'1 datos preparados'!E113</f>
        <v/>
      </c>
      <c r="G120" s="7">
        <f>'1 datos preparados'!F113</f>
        <v/>
      </c>
      <c r="H120" s="7">
        <f>'1 datos preparados'!G113</f>
        <v/>
      </c>
      <c r="I120" s="7">
        <f>'1 datos preparados'!H113</f>
        <v/>
      </c>
      <c r="J120" s="7">
        <f>'1 datos preparados'!I113</f>
        <v/>
      </c>
      <c r="K120" s="7">
        <f>'1 datos preparados'!J113</f>
        <v/>
      </c>
      <c r="L120" s="7">
        <f>'1 datos preparados'!K113</f>
        <v/>
      </c>
      <c r="M120" s="7">
        <f>'1 datos preparados'!L113</f>
        <v/>
      </c>
      <c r="N120" s="7">
        <f>'1 datos preparados'!M113</f>
        <v/>
      </c>
      <c r="O120" s="7">
        <f>'1 datos preparados'!N113</f>
        <v/>
      </c>
      <c r="P120" s="7">
        <f>'1 datos preparados'!O113</f>
        <v/>
      </c>
      <c r="Q120" s="7">
        <f>'1 datos preparados'!P113</f>
        <v/>
      </c>
      <c r="R120" s="7">
        <f>'1 datos preparados'!Q113</f>
        <v/>
      </c>
      <c r="S120" s="7">
        <f>'1 datos preparados'!R113</f>
        <v/>
      </c>
      <c r="T120" s="7">
        <f>'1 datos preparados'!S113</f>
        <v/>
      </c>
      <c r="U120" s="7">
        <f>'1 datos preparados'!T113</f>
        <v/>
      </c>
      <c r="V120" s="8">
        <f>$AC$12+D120*$AC$13+E120*$AC$14+F120*$AC$15+G120*$AC$16+H120*$AC$17+I120*$AC$18+J120*$AC$19+K120*$AC$20+L120*$AC$21+M120*$AC$22+N120*$AC$23+O120*$AC$24+P120*$AC$25+Q120*$AC$26+R120*$AC$27+S120*$AC$28+T120*$AC$29+U120*$AC$30</f>
        <v/>
      </c>
      <c r="W120" s="8">
        <f>1/(1+EXP(-V120))</f>
        <v/>
      </c>
      <c r="X120" s="9">
        <f>-IF(C120=1,LN(W120),LN(1-W120))</f>
        <v/>
      </c>
      <c r="Y120" s="10">
        <f>IF(W120&gt;$AC$33,1,0)</f>
        <v/>
      </c>
      <c r="Z120">
        <f>IF(Y120=C120,1,0)</f>
        <v/>
      </c>
    </row>
    <row r="121">
      <c r="A121">
        <f>'1 datos preparados'!A114</f>
        <v/>
      </c>
      <c r="B121" s="5">
        <f>'1 datos preparados'!U114</f>
        <v/>
      </c>
      <c r="C121">
        <f>'1 datos preparados'!B114</f>
        <v/>
      </c>
      <c r="D121" s="7">
        <f>'1 datos preparados'!C114</f>
        <v/>
      </c>
      <c r="E121" s="7">
        <f>'1 datos preparados'!D114</f>
        <v/>
      </c>
      <c r="F121" s="7">
        <f>'1 datos preparados'!E114</f>
        <v/>
      </c>
      <c r="G121" s="7">
        <f>'1 datos preparados'!F114</f>
        <v/>
      </c>
      <c r="H121" s="7">
        <f>'1 datos preparados'!G114</f>
        <v/>
      </c>
      <c r="I121" s="7">
        <f>'1 datos preparados'!H114</f>
        <v/>
      </c>
      <c r="J121" s="7">
        <f>'1 datos preparados'!I114</f>
        <v/>
      </c>
      <c r="K121" s="7">
        <f>'1 datos preparados'!J114</f>
        <v/>
      </c>
      <c r="L121" s="7">
        <f>'1 datos preparados'!K114</f>
        <v/>
      </c>
      <c r="M121" s="7">
        <f>'1 datos preparados'!L114</f>
        <v/>
      </c>
      <c r="N121" s="7">
        <f>'1 datos preparados'!M114</f>
        <v/>
      </c>
      <c r="O121" s="7">
        <f>'1 datos preparados'!N114</f>
        <v/>
      </c>
      <c r="P121" s="7">
        <f>'1 datos preparados'!O114</f>
        <v/>
      </c>
      <c r="Q121" s="7">
        <f>'1 datos preparados'!P114</f>
        <v/>
      </c>
      <c r="R121" s="7">
        <f>'1 datos preparados'!Q114</f>
        <v/>
      </c>
      <c r="S121" s="7">
        <f>'1 datos preparados'!R114</f>
        <v/>
      </c>
      <c r="T121" s="7">
        <f>'1 datos preparados'!S114</f>
        <v/>
      </c>
      <c r="U121" s="7">
        <f>'1 datos preparados'!T114</f>
        <v/>
      </c>
      <c r="V121" s="8">
        <f>$AC$12+D121*$AC$13+E121*$AC$14+F121*$AC$15+G121*$AC$16+H121*$AC$17+I121*$AC$18+J121*$AC$19+K121*$AC$20+L121*$AC$21+M121*$AC$22+N121*$AC$23+O121*$AC$24+P121*$AC$25+Q121*$AC$26+R121*$AC$27+S121*$AC$28+T121*$AC$29+U121*$AC$30</f>
        <v/>
      </c>
      <c r="W121" s="8">
        <f>1/(1+EXP(-V121))</f>
        <v/>
      </c>
      <c r="X121" s="9">
        <f>-IF(C121=1,LN(W121),LN(1-W121))</f>
        <v/>
      </c>
      <c r="Y121" s="10">
        <f>IF(W121&gt;$AC$33,1,0)</f>
        <v/>
      </c>
      <c r="Z121">
        <f>IF(Y121=C121,1,0)</f>
        <v/>
      </c>
    </row>
    <row r="122">
      <c r="A122">
        <f>'1 datos preparados'!A115</f>
        <v/>
      </c>
      <c r="B122" s="5">
        <f>'1 datos preparados'!U115</f>
        <v/>
      </c>
      <c r="C122">
        <f>'1 datos preparados'!B115</f>
        <v/>
      </c>
      <c r="D122" s="7">
        <f>'1 datos preparados'!C115</f>
        <v/>
      </c>
      <c r="E122" s="7">
        <f>'1 datos preparados'!D115</f>
        <v/>
      </c>
      <c r="F122" s="7">
        <f>'1 datos preparados'!E115</f>
        <v/>
      </c>
      <c r="G122" s="7">
        <f>'1 datos preparados'!F115</f>
        <v/>
      </c>
      <c r="H122" s="7">
        <f>'1 datos preparados'!G115</f>
        <v/>
      </c>
      <c r="I122" s="7">
        <f>'1 datos preparados'!H115</f>
        <v/>
      </c>
      <c r="J122" s="7">
        <f>'1 datos preparados'!I115</f>
        <v/>
      </c>
      <c r="K122" s="7">
        <f>'1 datos preparados'!J115</f>
        <v/>
      </c>
      <c r="L122" s="7">
        <f>'1 datos preparados'!K115</f>
        <v/>
      </c>
      <c r="M122" s="7">
        <f>'1 datos preparados'!L115</f>
        <v/>
      </c>
      <c r="N122" s="7">
        <f>'1 datos preparados'!M115</f>
        <v/>
      </c>
      <c r="O122" s="7">
        <f>'1 datos preparados'!N115</f>
        <v/>
      </c>
      <c r="P122" s="7">
        <f>'1 datos preparados'!O115</f>
        <v/>
      </c>
      <c r="Q122" s="7">
        <f>'1 datos preparados'!P115</f>
        <v/>
      </c>
      <c r="R122" s="7">
        <f>'1 datos preparados'!Q115</f>
        <v/>
      </c>
      <c r="S122" s="7">
        <f>'1 datos preparados'!R115</f>
        <v/>
      </c>
      <c r="T122" s="7">
        <f>'1 datos preparados'!S115</f>
        <v/>
      </c>
      <c r="U122" s="7">
        <f>'1 datos preparados'!T115</f>
        <v/>
      </c>
      <c r="V122" s="8">
        <f>$AC$12+D122*$AC$13+E122*$AC$14+F122*$AC$15+G122*$AC$16+H122*$AC$17+I122*$AC$18+J122*$AC$19+K122*$AC$20+L122*$AC$21+M122*$AC$22+N122*$AC$23+O122*$AC$24+P122*$AC$25+Q122*$AC$26+R122*$AC$27+S122*$AC$28+T122*$AC$29+U122*$AC$30</f>
        <v/>
      </c>
      <c r="W122" s="8">
        <f>1/(1+EXP(-V122))</f>
        <v/>
      </c>
      <c r="X122" s="9">
        <f>-IF(C122=1,LN(W122),LN(1-W122))</f>
        <v/>
      </c>
      <c r="Y122" s="10">
        <f>IF(W122&gt;$AC$33,1,0)</f>
        <v/>
      </c>
      <c r="Z122">
        <f>IF(Y122=C122,1,0)</f>
        <v/>
      </c>
    </row>
    <row r="123">
      <c r="A123">
        <f>'1 datos preparados'!A116</f>
        <v/>
      </c>
      <c r="B123" s="5">
        <f>'1 datos preparados'!U116</f>
        <v/>
      </c>
      <c r="C123">
        <f>'1 datos preparados'!B116</f>
        <v/>
      </c>
      <c r="D123" s="7">
        <f>'1 datos preparados'!C116</f>
        <v/>
      </c>
      <c r="E123" s="7">
        <f>'1 datos preparados'!D116</f>
        <v/>
      </c>
      <c r="F123" s="7">
        <f>'1 datos preparados'!E116</f>
        <v/>
      </c>
      <c r="G123" s="7">
        <f>'1 datos preparados'!F116</f>
        <v/>
      </c>
      <c r="H123" s="7">
        <f>'1 datos preparados'!G116</f>
        <v/>
      </c>
      <c r="I123" s="7">
        <f>'1 datos preparados'!H116</f>
        <v/>
      </c>
      <c r="J123" s="7">
        <f>'1 datos preparados'!I116</f>
        <v/>
      </c>
      <c r="K123" s="7">
        <f>'1 datos preparados'!J116</f>
        <v/>
      </c>
      <c r="L123" s="7">
        <f>'1 datos preparados'!K116</f>
        <v/>
      </c>
      <c r="M123" s="7">
        <f>'1 datos preparados'!L116</f>
        <v/>
      </c>
      <c r="N123" s="7">
        <f>'1 datos preparados'!M116</f>
        <v/>
      </c>
      <c r="O123" s="7">
        <f>'1 datos preparados'!N116</f>
        <v/>
      </c>
      <c r="P123" s="7">
        <f>'1 datos preparados'!O116</f>
        <v/>
      </c>
      <c r="Q123" s="7">
        <f>'1 datos preparados'!P116</f>
        <v/>
      </c>
      <c r="R123" s="7">
        <f>'1 datos preparados'!Q116</f>
        <v/>
      </c>
      <c r="S123" s="7">
        <f>'1 datos preparados'!R116</f>
        <v/>
      </c>
      <c r="T123" s="7">
        <f>'1 datos preparados'!S116</f>
        <v/>
      </c>
      <c r="U123" s="7">
        <f>'1 datos preparados'!T116</f>
        <v/>
      </c>
      <c r="V123" s="8">
        <f>$AC$12+D123*$AC$13+E123*$AC$14+F123*$AC$15+G123*$AC$16+H123*$AC$17+I123*$AC$18+J123*$AC$19+K123*$AC$20+L123*$AC$21+M123*$AC$22+N123*$AC$23+O123*$AC$24+P123*$AC$25+Q123*$AC$26+R123*$AC$27+S123*$AC$28+T123*$AC$29+U123*$AC$30</f>
        <v/>
      </c>
      <c r="W123" s="8">
        <f>1/(1+EXP(-V123))</f>
        <v/>
      </c>
      <c r="X123" s="9">
        <f>-IF(C123=1,LN(W123),LN(1-W123))</f>
        <v/>
      </c>
      <c r="Y123" s="10">
        <f>IF(W123&gt;$AC$33,1,0)</f>
        <v/>
      </c>
      <c r="Z123">
        <f>IF(Y123=C123,1,0)</f>
        <v/>
      </c>
    </row>
    <row r="124">
      <c r="A124">
        <f>'1 datos preparados'!A117</f>
        <v/>
      </c>
      <c r="B124" s="5">
        <f>'1 datos preparados'!U117</f>
        <v/>
      </c>
      <c r="C124">
        <f>'1 datos preparados'!B117</f>
        <v/>
      </c>
      <c r="D124" s="7">
        <f>'1 datos preparados'!C117</f>
        <v/>
      </c>
      <c r="E124" s="7">
        <f>'1 datos preparados'!D117</f>
        <v/>
      </c>
      <c r="F124" s="7">
        <f>'1 datos preparados'!E117</f>
        <v/>
      </c>
      <c r="G124" s="7">
        <f>'1 datos preparados'!F117</f>
        <v/>
      </c>
      <c r="H124" s="7">
        <f>'1 datos preparados'!G117</f>
        <v/>
      </c>
      <c r="I124" s="7">
        <f>'1 datos preparados'!H117</f>
        <v/>
      </c>
      <c r="J124" s="7">
        <f>'1 datos preparados'!I117</f>
        <v/>
      </c>
      <c r="K124" s="7">
        <f>'1 datos preparados'!J117</f>
        <v/>
      </c>
      <c r="L124" s="7">
        <f>'1 datos preparados'!K117</f>
        <v/>
      </c>
      <c r="M124" s="7">
        <f>'1 datos preparados'!L117</f>
        <v/>
      </c>
      <c r="N124" s="7">
        <f>'1 datos preparados'!M117</f>
        <v/>
      </c>
      <c r="O124" s="7">
        <f>'1 datos preparados'!N117</f>
        <v/>
      </c>
      <c r="P124" s="7">
        <f>'1 datos preparados'!O117</f>
        <v/>
      </c>
      <c r="Q124" s="7">
        <f>'1 datos preparados'!P117</f>
        <v/>
      </c>
      <c r="R124" s="7">
        <f>'1 datos preparados'!Q117</f>
        <v/>
      </c>
      <c r="S124" s="7">
        <f>'1 datos preparados'!R117</f>
        <v/>
      </c>
      <c r="T124" s="7">
        <f>'1 datos preparados'!S117</f>
        <v/>
      </c>
      <c r="U124" s="7">
        <f>'1 datos preparados'!T117</f>
        <v/>
      </c>
      <c r="V124" s="8">
        <f>$AC$12+D124*$AC$13+E124*$AC$14+F124*$AC$15+G124*$AC$16+H124*$AC$17+I124*$AC$18+J124*$AC$19+K124*$AC$20+L124*$AC$21+M124*$AC$22+N124*$AC$23+O124*$AC$24+P124*$AC$25+Q124*$AC$26+R124*$AC$27+S124*$AC$28+T124*$AC$29+U124*$AC$30</f>
        <v/>
      </c>
      <c r="W124" s="8">
        <f>1/(1+EXP(-V124))</f>
        <v/>
      </c>
      <c r="X124" s="9">
        <f>-IF(C124=1,LN(W124),LN(1-W124))</f>
        <v/>
      </c>
      <c r="Y124" s="10">
        <f>IF(W124&gt;$AC$33,1,0)</f>
        <v/>
      </c>
      <c r="Z124">
        <f>IF(Y124=C124,1,0)</f>
        <v/>
      </c>
    </row>
    <row r="125">
      <c r="A125">
        <f>'1 datos preparados'!A118</f>
        <v/>
      </c>
      <c r="B125" s="5">
        <f>'1 datos preparados'!U118</f>
        <v/>
      </c>
      <c r="C125">
        <f>'1 datos preparados'!B118</f>
        <v/>
      </c>
      <c r="D125" s="7">
        <f>'1 datos preparados'!C118</f>
        <v/>
      </c>
      <c r="E125" s="7">
        <f>'1 datos preparados'!D118</f>
        <v/>
      </c>
      <c r="F125" s="7">
        <f>'1 datos preparados'!E118</f>
        <v/>
      </c>
      <c r="G125" s="7">
        <f>'1 datos preparados'!F118</f>
        <v/>
      </c>
      <c r="H125" s="7">
        <f>'1 datos preparados'!G118</f>
        <v/>
      </c>
      <c r="I125" s="7">
        <f>'1 datos preparados'!H118</f>
        <v/>
      </c>
      <c r="J125" s="7">
        <f>'1 datos preparados'!I118</f>
        <v/>
      </c>
      <c r="K125" s="7">
        <f>'1 datos preparados'!J118</f>
        <v/>
      </c>
      <c r="L125" s="7">
        <f>'1 datos preparados'!K118</f>
        <v/>
      </c>
      <c r="M125" s="7">
        <f>'1 datos preparados'!L118</f>
        <v/>
      </c>
      <c r="N125" s="7">
        <f>'1 datos preparados'!M118</f>
        <v/>
      </c>
      <c r="O125" s="7">
        <f>'1 datos preparados'!N118</f>
        <v/>
      </c>
      <c r="P125" s="7">
        <f>'1 datos preparados'!O118</f>
        <v/>
      </c>
      <c r="Q125" s="7">
        <f>'1 datos preparados'!P118</f>
        <v/>
      </c>
      <c r="R125" s="7">
        <f>'1 datos preparados'!Q118</f>
        <v/>
      </c>
      <c r="S125" s="7">
        <f>'1 datos preparados'!R118</f>
        <v/>
      </c>
      <c r="T125" s="7">
        <f>'1 datos preparados'!S118</f>
        <v/>
      </c>
      <c r="U125" s="7">
        <f>'1 datos preparados'!T118</f>
        <v/>
      </c>
      <c r="V125" s="8">
        <f>$AC$12+D125*$AC$13+E125*$AC$14+F125*$AC$15+G125*$AC$16+H125*$AC$17+I125*$AC$18+J125*$AC$19+K125*$AC$20+L125*$AC$21+M125*$AC$22+N125*$AC$23+O125*$AC$24+P125*$AC$25+Q125*$AC$26+R125*$AC$27+S125*$AC$28+T125*$AC$29+U125*$AC$30</f>
        <v/>
      </c>
      <c r="W125" s="8">
        <f>1/(1+EXP(-V125))</f>
        <v/>
      </c>
      <c r="X125" s="9">
        <f>-IF(C125=1,LN(W125),LN(1-W125))</f>
        <v/>
      </c>
      <c r="Y125" s="10">
        <f>IF(W125&gt;$AC$33,1,0)</f>
        <v/>
      </c>
      <c r="Z125">
        <f>IF(Y125=C125,1,0)</f>
        <v/>
      </c>
    </row>
    <row r="126">
      <c r="A126">
        <f>'1 datos preparados'!A119</f>
        <v/>
      </c>
      <c r="B126" s="5">
        <f>'1 datos preparados'!U119</f>
        <v/>
      </c>
      <c r="C126">
        <f>'1 datos preparados'!B119</f>
        <v/>
      </c>
      <c r="D126" s="7">
        <f>'1 datos preparados'!C119</f>
        <v/>
      </c>
      <c r="E126" s="7">
        <f>'1 datos preparados'!D119</f>
        <v/>
      </c>
      <c r="F126" s="7">
        <f>'1 datos preparados'!E119</f>
        <v/>
      </c>
      <c r="G126" s="7">
        <f>'1 datos preparados'!F119</f>
        <v/>
      </c>
      <c r="H126" s="7">
        <f>'1 datos preparados'!G119</f>
        <v/>
      </c>
      <c r="I126" s="7">
        <f>'1 datos preparados'!H119</f>
        <v/>
      </c>
      <c r="J126" s="7">
        <f>'1 datos preparados'!I119</f>
        <v/>
      </c>
      <c r="K126" s="7">
        <f>'1 datos preparados'!J119</f>
        <v/>
      </c>
      <c r="L126" s="7">
        <f>'1 datos preparados'!K119</f>
        <v/>
      </c>
      <c r="M126" s="7">
        <f>'1 datos preparados'!L119</f>
        <v/>
      </c>
      <c r="N126" s="7">
        <f>'1 datos preparados'!M119</f>
        <v/>
      </c>
      <c r="O126" s="7">
        <f>'1 datos preparados'!N119</f>
        <v/>
      </c>
      <c r="P126" s="7">
        <f>'1 datos preparados'!O119</f>
        <v/>
      </c>
      <c r="Q126" s="7">
        <f>'1 datos preparados'!P119</f>
        <v/>
      </c>
      <c r="R126" s="7">
        <f>'1 datos preparados'!Q119</f>
        <v/>
      </c>
      <c r="S126" s="7">
        <f>'1 datos preparados'!R119</f>
        <v/>
      </c>
      <c r="T126" s="7">
        <f>'1 datos preparados'!S119</f>
        <v/>
      </c>
      <c r="U126" s="7">
        <f>'1 datos preparados'!T119</f>
        <v/>
      </c>
      <c r="V126" s="8">
        <f>$AC$12+D126*$AC$13+E126*$AC$14+F126*$AC$15+G126*$AC$16+H126*$AC$17+I126*$AC$18+J126*$AC$19+K126*$AC$20+L126*$AC$21+M126*$AC$22+N126*$AC$23+O126*$AC$24+P126*$AC$25+Q126*$AC$26+R126*$AC$27+S126*$AC$28+T126*$AC$29+U126*$AC$30</f>
        <v/>
      </c>
      <c r="W126" s="8">
        <f>1/(1+EXP(-V126))</f>
        <v/>
      </c>
      <c r="X126" s="9">
        <f>-IF(C126=1,LN(W126),LN(1-W126))</f>
        <v/>
      </c>
      <c r="Y126" s="10">
        <f>IF(W126&gt;$AC$33,1,0)</f>
        <v/>
      </c>
      <c r="Z126">
        <f>IF(Y126=C126,1,0)</f>
        <v/>
      </c>
    </row>
    <row r="127">
      <c r="A127">
        <f>'1 datos preparados'!A120</f>
        <v/>
      </c>
      <c r="B127" s="5">
        <f>'1 datos preparados'!U120</f>
        <v/>
      </c>
      <c r="C127">
        <f>'1 datos preparados'!B120</f>
        <v/>
      </c>
      <c r="D127" s="7">
        <f>'1 datos preparados'!C120</f>
        <v/>
      </c>
      <c r="E127" s="7">
        <f>'1 datos preparados'!D120</f>
        <v/>
      </c>
      <c r="F127" s="7">
        <f>'1 datos preparados'!E120</f>
        <v/>
      </c>
      <c r="G127" s="7">
        <f>'1 datos preparados'!F120</f>
        <v/>
      </c>
      <c r="H127" s="7">
        <f>'1 datos preparados'!G120</f>
        <v/>
      </c>
      <c r="I127" s="7">
        <f>'1 datos preparados'!H120</f>
        <v/>
      </c>
      <c r="J127" s="7">
        <f>'1 datos preparados'!I120</f>
        <v/>
      </c>
      <c r="K127" s="7">
        <f>'1 datos preparados'!J120</f>
        <v/>
      </c>
      <c r="L127" s="7">
        <f>'1 datos preparados'!K120</f>
        <v/>
      </c>
      <c r="M127" s="7">
        <f>'1 datos preparados'!L120</f>
        <v/>
      </c>
      <c r="N127" s="7">
        <f>'1 datos preparados'!M120</f>
        <v/>
      </c>
      <c r="O127" s="7">
        <f>'1 datos preparados'!N120</f>
        <v/>
      </c>
      <c r="P127" s="7">
        <f>'1 datos preparados'!O120</f>
        <v/>
      </c>
      <c r="Q127" s="7">
        <f>'1 datos preparados'!P120</f>
        <v/>
      </c>
      <c r="R127" s="7">
        <f>'1 datos preparados'!Q120</f>
        <v/>
      </c>
      <c r="S127" s="7">
        <f>'1 datos preparados'!R120</f>
        <v/>
      </c>
      <c r="T127" s="7">
        <f>'1 datos preparados'!S120</f>
        <v/>
      </c>
      <c r="U127" s="7">
        <f>'1 datos preparados'!T120</f>
        <v/>
      </c>
      <c r="V127" s="8">
        <f>$AC$12+D127*$AC$13+E127*$AC$14+F127*$AC$15+G127*$AC$16+H127*$AC$17+I127*$AC$18+J127*$AC$19+K127*$AC$20+L127*$AC$21+M127*$AC$22+N127*$AC$23+O127*$AC$24+P127*$AC$25+Q127*$AC$26+R127*$AC$27+S127*$AC$28+T127*$AC$29+U127*$AC$30</f>
        <v/>
      </c>
      <c r="W127" s="8">
        <f>1/(1+EXP(-V127))</f>
        <v/>
      </c>
      <c r="X127" s="9">
        <f>-IF(C127=1,LN(W127),LN(1-W127))</f>
        <v/>
      </c>
      <c r="Y127" s="10">
        <f>IF(W127&gt;$AC$33,1,0)</f>
        <v/>
      </c>
      <c r="Z127">
        <f>IF(Y127=C127,1,0)</f>
        <v/>
      </c>
    </row>
    <row r="128">
      <c r="A128">
        <f>'1 datos preparados'!A121</f>
        <v/>
      </c>
      <c r="B128" s="5">
        <f>'1 datos preparados'!U121</f>
        <v/>
      </c>
      <c r="C128">
        <f>'1 datos preparados'!B121</f>
        <v/>
      </c>
      <c r="D128" s="7">
        <f>'1 datos preparados'!C121</f>
        <v/>
      </c>
      <c r="E128" s="7">
        <f>'1 datos preparados'!D121</f>
        <v/>
      </c>
      <c r="F128" s="7">
        <f>'1 datos preparados'!E121</f>
        <v/>
      </c>
      <c r="G128" s="7">
        <f>'1 datos preparados'!F121</f>
        <v/>
      </c>
      <c r="H128" s="7">
        <f>'1 datos preparados'!G121</f>
        <v/>
      </c>
      <c r="I128" s="7">
        <f>'1 datos preparados'!H121</f>
        <v/>
      </c>
      <c r="J128" s="7">
        <f>'1 datos preparados'!I121</f>
        <v/>
      </c>
      <c r="K128" s="7">
        <f>'1 datos preparados'!J121</f>
        <v/>
      </c>
      <c r="L128" s="7">
        <f>'1 datos preparados'!K121</f>
        <v/>
      </c>
      <c r="M128" s="7">
        <f>'1 datos preparados'!L121</f>
        <v/>
      </c>
      <c r="N128" s="7">
        <f>'1 datos preparados'!M121</f>
        <v/>
      </c>
      <c r="O128" s="7">
        <f>'1 datos preparados'!N121</f>
        <v/>
      </c>
      <c r="P128" s="7">
        <f>'1 datos preparados'!O121</f>
        <v/>
      </c>
      <c r="Q128" s="7">
        <f>'1 datos preparados'!P121</f>
        <v/>
      </c>
      <c r="R128" s="7">
        <f>'1 datos preparados'!Q121</f>
        <v/>
      </c>
      <c r="S128" s="7">
        <f>'1 datos preparados'!R121</f>
        <v/>
      </c>
      <c r="T128" s="7">
        <f>'1 datos preparados'!S121</f>
        <v/>
      </c>
      <c r="U128" s="7">
        <f>'1 datos preparados'!T121</f>
        <v/>
      </c>
      <c r="V128" s="8">
        <f>$AC$12+D128*$AC$13+E128*$AC$14+F128*$AC$15+G128*$AC$16+H128*$AC$17+I128*$AC$18+J128*$AC$19+K128*$AC$20+L128*$AC$21+M128*$AC$22+N128*$AC$23+O128*$AC$24+P128*$AC$25+Q128*$AC$26+R128*$AC$27+S128*$AC$28+T128*$AC$29+U128*$AC$30</f>
        <v/>
      </c>
      <c r="W128" s="8">
        <f>1/(1+EXP(-V128))</f>
        <v/>
      </c>
      <c r="X128" s="9">
        <f>-IF(C128=1,LN(W128),LN(1-W128))</f>
        <v/>
      </c>
      <c r="Y128" s="10">
        <f>IF(W128&gt;$AC$33,1,0)</f>
        <v/>
      </c>
      <c r="Z128">
        <f>IF(Y128=C128,1,0)</f>
        <v/>
      </c>
    </row>
    <row r="129">
      <c r="A129">
        <f>'1 datos preparados'!A122</f>
        <v/>
      </c>
      <c r="B129" s="5">
        <f>'1 datos preparados'!U122</f>
        <v/>
      </c>
      <c r="C129">
        <f>'1 datos preparados'!B122</f>
        <v/>
      </c>
      <c r="D129" s="7">
        <f>'1 datos preparados'!C122</f>
        <v/>
      </c>
      <c r="E129" s="7">
        <f>'1 datos preparados'!D122</f>
        <v/>
      </c>
      <c r="F129" s="7">
        <f>'1 datos preparados'!E122</f>
        <v/>
      </c>
      <c r="G129" s="7">
        <f>'1 datos preparados'!F122</f>
        <v/>
      </c>
      <c r="H129" s="7">
        <f>'1 datos preparados'!G122</f>
        <v/>
      </c>
      <c r="I129" s="7">
        <f>'1 datos preparados'!H122</f>
        <v/>
      </c>
      <c r="J129" s="7">
        <f>'1 datos preparados'!I122</f>
        <v/>
      </c>
      <c r="K129" s="7">
        <f>'1 datos preparados'!J122</f>
        <v/>
      </c>
      <c r="L129" s="7">
        <f>'1 datos preparados'!K122</f>
        <v/>
      </c>
      <c r="M129" s="7">
        <f>'1 datos preparados'!L122</f>
        <v/>
      </c>
      <c r="N129" s="7">
        <f>'1 datos preparados'!M122</f>
        <v/>
      </c>
      <c r="O129" s="7">
        <f>'1 datos preparados'!N122</f>
        <v/>
      </c>
      <c r="P129" s="7">
        <f>'1 datos preparados'!O122</f>
        <v/>
      </c>
      <c r="Q129" s="7">
        <f>'1 datos preparados'!P122</f>
        <v/>
      </c>
      <c r="R129" s="7">
        <f>'1 datos preparados'!Q122</f>
        <v/>
      </c>
      <c r="S129" s="7">
        <f>'1 datos preparados'!R122</f>
        <v/>
      </c>
      <c r="T129" s="7">
        <f>'1 datos preparados'!S122</f>
        <v/>
      </c>
      <c r="U129" s="7">
        <f>'1 datos preparados'!T122</f>
        <v/>
      </c>
      <c r="V129" s="8">
        <f>$AC$12+D129*$AC$13+E129*$AC$14+F129*$AC$15+G129*$AC$16+H129*$AC$17+I129*$AC$18+J129*$AC$19+K129*$AC$20+L129*$AC$21+M129*$AC$22+N129*$AC$23+O129*$AC$24+P129*$AC$25+Q129*$AC$26+R129*$AC$27+S129*$AC$28+T129*$AC$29+U129*$AC$30</f>
        <v/>
      </c>
      <c r="W129" s="8">
        <f>1/(1+EXP(-V129))</f>
        <v/>
      </c>
      <c r="X129" s="9">
        <f>-IF(C129=1,LN(W129),LN(1-W129))</f>
        <v/>
      </c>
      <c r="Y129" s="10">
        <f>IF(W129&gt;$AC$33,1,0)</f>
        <v/>
      </c>
      <c r="Z129">
        <f>IF(Y129=C129,1,0)</f>
        <v/>
      </c>
    </row>
    <row r="130">
      <c r="A130">
        <f>'1 datos preparados'!A123</f>
        <v/>
      </c>
      <c r="B130" s="5">
        <f>'1 datos preparados'!U123</f>
        <v/>
      </c>
      <c r="C130">
        <f>'1 datos preparados'!B123</f>
        <v/>
      </c>
      <c r="D130" s="7">
        <f>'1 datos preparados'!C123</f>
        <v/>
      </c>
      <c r="E130" s="7">
        <f>'1 datos preparados'!D123</f>
        <v/>
      </c>
      <c r="F130" s="7">
        <f>'1 datos preparados'!E123</f>
        <v/>
      </c>
      <c r="G130" s="7">
        <f>'1 datos preparados'!F123</f>
        <v/>
      </c>
      <c r="H130" s="7">
        <f>'1 datos preparados'!G123</f>
        <v/>
      </c>
      <c r="I130" s="7">
        <f>'1 datos preparados'!H123</f>
        <v/>
      </c>
      <c r="J130" s="7">
        <f>'1 datos preparados'!I123</f>
        <v/>
      </c>
      <c r="K130" s="7">
        <f>'1 datos preparados'!J123</f>
        <v/>
      </c>
      <c r="L130" s="7">
        <f>'1 datos preparados'!K123</f>
        <v/>
      </c>
      <c r="M130" s="7">
        <f>'1 datos preparados'!L123</f>
        <v/>
      </c>
      <c r="N130" s="7">
        <f>'1 datos preparados'!M123</f>
        <v/>
      </c>
      <c r="O130" s="7">
        <f>'1 datos preparados'!N123</f>
        <v/>
      </c>
      <c r="P130" s="7">
        <f>'1 datos preparados'!O123</f>
        <v/>
      </c>
      <c r="Q130" s="7">
        <f>'1 datos preparados'!P123</f>
        <v/>
      </c>
      <c r="R130" s="7">
        <f>'1 datos preparados'!Q123</f>
        <v/>
      </c>
      <c r="S130" s="7">
        <f>'1 datos preparados'!R123</f>
        <v/>
      </c>
      <c r="T130" s="7">
        <f>'1 datos preparados'!S123</f>
        <v/>
      </c>
      <c r="U130" s="7">
        <f>'1 datos preparados'!T123</f>
        <v/>
      </c>
      <c r="V130" s="8">
        <f>$AC$12+D130*$AC$13+E130*$AC$14+F130*$AC$15+G130*$AC$16+H130*$AC$17+I130*$AC$18+J130*$AC$19+K130*$AC$20+L130*$AC$21+M130*$AC$22+N130*$AC$23+O130*$AC$24+P130*$AC$25+Q130*$AC$26+R130*$AC$27+S130*$AC$28+T130*$AC$29+U130*$AC$30</f>
        <v/>
      </c>
      <c r="W130" s="8">
        <f>1/(1+EXP(-V130))</f>
        <v/>
      </c>
      <c r="X130" s="9">
        <f>-IF(C130=1,LN(W130),LN(1-W130))</f>
        <v/>
      </c>
      <c r="Y130" s="10">
        <f>IF(W130&gt;$AC$33,1,0)</f>
        <v/>
      </c>
      <c r="Z130">
        <f>IF(Y130=C130,1,0)</f>
        <v/>
      </c>
    </row>
    <row r="131">
      <c r="A131">
        <f>'1 datos preparados'!A124</f>
        <v/>
      </c>
      <c r="B131" s="5">
        <f>'1 datos preparados'!U124</f>
        <v/>
      </c>
      <c r="C131">
        <f>'1 datos preparados'!B124</f>
        <v/>
      </c>
      <c r="D131" s="7">
        <f>'1 datos preparados'!C124</f>
        <v/>
      </c>
      <c r="E131" s="7">
        <f>'1 datos preparados'!D124</f>
        <v/>
      </c>
      <c r="F131" s="7">
        <f>'1 datos preparados'!E124</f>
        <v/>
      </c>
      <c r="G131" s="7">
        <f>'1 datos preparados'!F124</f>
        <v/>
      </c>
      <c r="H131" s="7">
        <f>'1 datos preparados'!G124</f>
        <v/>
      </c>
      <c r="I131" s="7">
        <f>'1 datos preparados'!H124</f>
        <v/>
      </c>
      <c r="J131" s="7">
        <f>'1 datos preparados'!I124</f>
        <v/>
      </c>
      <c r="K131" s="7">
        <f>'1 datos preparados'!J124</f>
        <v/>
      </c>
      <c r="L131" s="7">
        <f>'1 datos preparados'!K124</f>
        <v/>
      </c>
      <c r="M131" s="7">
        <f>'1 datos preparados'!L124</f>
        <v/>
      </c>
      <c r="N131" s="7">
        <f>'1 datos preparados'!M124</f>
        <v/>
      </c>
      <c r="O131" s="7">
        <f>'1 datos preparados'!N124</f>
        <v/>
      </c>
      <c r="P131" s="7">
        <f>'1 datos preparados'!O124</f>
        <v/>
      </c>
      <c r="Q131" s="7">
        <f>'1 datos preparados'!P124</f>
        <v/>
      </c>
      <c r="R131" s="7">
        <f>'1 datos preparados'!Q124</f>
        <v/>
      </c>
      <c r="S131" s="7">
        <f>'1 datos preparados'!R124</f>
        <v/>
      </c>
      <c r="T131" s="7">
        <f>'1 datos preparados'!S124</f>
        <v/>
      </c>
      <c r="U131" s="7">
        <f>'1 datos preparados'!T124</f>
        <v/>
      </c>
      <c r="V131" s="8">
        <f>$AC$12+D131*$AC$13+E131*$AC$14+F131*$AC$15+G131*$AC$16+H131*$AC$17+I131*$AC$18+J131*$AC$19+K131*$AC$20+L131*$AC$21+M131*$AC$22+N131*$AC$23+O131*$AC$24+P131*$AC$25+Q131*$AC$26+R131*$AC$27+S131*$AC$28+T131*$AC$29+U131*$AC$30</f>
        <v/>
      </c>
      <c r="W131" s="8">
        <f>1/(1+EXP(-V131))</f>
        <v/>
      </c>
      <c r="X131" s="9">
        <f>-IF(C131=1,LN(W131),LN(1-W131))</f>
        <v/>
      </c>
      <c r="Y131" s="10">
        <f>IF(W131&gt;$AC$33,1,0)</f>
        <v/>
      </c>
      <c r="Z131">
        <f>IF(Y131=C131,1,0)</f>
        <v/>
      </c>
    </row>
    <row r="132">
      <c r="A132">
        <f>'1 datos preparados'!A125</f>
        <v/>
      </c>
      <c r="B132" s="5">
        <f>'1 datos preparados'!U125</f>
        <v/>
      </c>
      <c r="C132">
        <f>'1 datos preparados'!B125</f>
        <v/>
      </c>
      <c r="D132" s="7">
        <f>'1 datos preparados'!C125</f>
        <v/>
      </c>
      <c r="E132" s="7">
        <f>'1 datos preparados'!D125</f>
        <v/>
      </c>
      <c r="F132" s="7">
        <f>'1 datos preparados'!E125</f>
        <v/>
      </c>
      <c r="G132" s="7">
        <f>'1 datos preparados'!F125</f>
        <v/>
      </c>
      <c r="H132" s="7">
        <f>'1 datos preparados'!G125</f>
        <v/>
      </c>
      <c r="I132" s="7">
        <f>'1 datos preparados'!H125</f>
        <v/>
      </c>
      <c r="J132" s="7">
        <f>'1 datos preparados'!I125</f>
        <v/>
      </c>
      <c r="K132" s="7">
        <f>'1 datos preparados'!J125</f>
        <v/>
      </c>
      <c r="L132" s="7">
        <f>'1 datos preparados'!K125</f>
        <v/>
      </c>
      <c r="M132" s="7">
        <f>'1 datos preparados'!L125</f>
        <v/>
      </c>
      <c r="N132" s="7">
        <f>'1 datos preparados'!M125</f>
        <v/>
      </c>
      <c r="O132" s="7">
        <f>'1 datos preparados'!N125</f>
        <v/>
      </c>
      <c r="P132" s="7">
        <f>'1 datos preparados'!O125</f>
        <v/>
      </c>
      <c r="Q132" s="7">
        <f>'1 datos preparados'!P125</f>
        <v/>
      </c>
      <c r="R132" s="7">
        <f>'1 datos preparados'!Q125</f>
        <v/>
      </c>
      <c r="S132" s="7">
        <f>'1 datos preparados'!R125</f>
        <v/>
      </c>
      <c r="T132" s="7">
        <f>'1 datos preparados'!S125</f>
        <v/>
      </c>
      <c r="U132" s="7">
        <f>'1 datos preparados'!T125</f>
        <v/>
      </c>
      <c r="V132" s="8">
        <f>$AC$12+D132*$AC$13+E132*$AC$14+F132*$AC$15+G132*$AC$16+H132*$AC$17+I132*$AC$18+J132*$AC$19+K132*$AC$20+L132*$AC$21+M132*$AC$22+N132*$AC$23+O132*$AC$24+P132*$AC$25+Q132*$AC$26+R132*$AC$27+S132*$AC$28+T132*$AC$29+U132*$AC$30</f>
        <v/>
      </c>
      <c r="W132" s="8">
        <f>1/(1+EXP(-V132))</f>
        <v/>
      </c>
      <c r="X132" s="9">
        <f>-IF(C132=1,LN(W132),LN(1-W132))</f>
        <v/>
      </c>
      <c r="Y132" s="10">
        <f>IF(W132&gt;$AC$33,1,0)</f>
        <v/>
      </c>
      <c r="Z132">
        <f>IF(Y132=C132,1,0)</f>
        <v/>
      </c>
    </row>
    <row r="133">
      <c r="A133">
        <f>'1 datos preparados'!A126</f>
        <v/>
      </c>
      <c r="B133" s="5">
        <f>'1 datos preparados'!U126</f>
        <v/>
      </c>
      <c r="C133">
        <f>'1 datos preparados'!B126</f>
        <v/>
      </c>
      <c r="D133" s="7">
        <f>'1 datos preparados'!C126</f>
        <v/>
      </c>
      <c r="E133" s="7">
        <f>'1 datos preparados'!D126</f>
        <v/>
      </c>
      <c r="F133" s="7">
        <f>'1 datos preparados'!E126</f>
        <v/>
      </c>
      <c r="G133" s="7">
        <f>'1 datos preparados'!F126</f>
        <v/>
      </c>
      <c r="H133" s="7">
        <f>'1 datos preparados'!G126</f>
        <v/>
      </c>
      <c r="I133" s="7">
        <f>'1 datos preparados'!H126</f>
        <v/>
      </c>
      <c r="J133" s="7">
        <f>'1 datos preparados'!I126</f>
        <v/>
      </c>
      <c r="K133" s="7">
        <f>'1 datos preparados'!J126</f>
        <v/>
      </c>
      <c r="L133" s="7">
        <f>'1 datos preparados'!K126</f>
        <v/>
      </c>
      <c r="M133" s="7">
        <f>'1 datos preparados'!L126</f>
        <v/>
      </c>
      <c r="N133" s="7">
        <f>'1 datos preparados'!M126</f>
        <v/>
      </c>
      <c r="O133" s="7">
        <f>'1 datos preparados'!N126</f>
        <v/>
      </c>
      <c r="P133" s="7">
        <f>'1 datos preparados'!O126</f>
        <v/>
      </c>
      <c r="Q133" s="7">
        <f>'1 datos preparados'!P126</f>
        <v/>
      </c>
      <c r="R133" s="7">
        <f>'1 datos preparados'!Q126</f>
        <v/>
      </c>
      <c r="S133" s="7">
        <f>'1 datos preparados'!R126</f>
        <v/>
      </c>
      <c r="T133" s="7">
        <f>'1 datos preparados'!S126</f>
        <v/>
      </c>
      <c r="U133" s="7">
        <f>'1 datos preparados'!T126</f>
        <v/>
      </c>
      <c r="V133" s="8">
        <f>$AC$12+D133*$AC$13+E133*$AC$14+F133*$AC$15+G133*$AC$16+H133*$AC$17+I133*$AC$18+J133*$AC$19+K133*$AC$20+L133*$AC$21+M133*$AC$22+N133*$AC$23+O133*$AC$24+P133*$AC$25+Q133*$AC$26+R133*$AC$27+S133*$AC$28+T133*$AC$29+U133*$AC$30</f>
        <v/>
      </c>
      <c r="W133" s="8">
        <f>1/(1+EXP(-V133))</f>
        <v/>
      </c>
      <c r="X133" s="9">
        <f>-IF(C133=1,LN(W133),LN(1-W133))</f>
        <v/>
      </c>
      <c r="Y133" s="10">
        <f>IF(W133&gt;$AC$33,1,0)</f>
        <v/>
      </c>
      <c r="Z133">
        <f>IF(Y133=C133,1,0)</f>
        <v/>
      </c>
    </row>
    <row r="134">
      <c r="A134">
        <f>'1 datos preparados'!A127</f>
        <v/>
      </c>
      <c r="B134" s="5">
        <f>'1 datos preparados'!U127</f>
        <v/>
      </c>
      <c r="C134">
        <f>'1 datos preparados'!B127</f>
        <v/>
      </c>
      <c r="D134" s="7">
        <f>'1 datos preparados'!C127</f>
        <v/>
      </c>
      <c r="E134" s="7">
        <f>'1 datos preparados'!D127</f>
        <v/>
      </c>
      <c r="F134" s="7">
        <f>'1 datos preparados'!E127</f>
        <v/>
      </c>
      <c r="G134" s="7">
        <f>'1 datos preparados'!F127</f>
        <v/>
      </c>
      <c r="H134" s="7">
        <f>'1 datos preparados'!G127</f>
        <v/>
      </c>
      <c r="I134" s="7">
        <f>'1 datos preparados'!H127</f>
        <v/>
      </c>
      <c r="J134" s="7">
        <f>'1 datos preparados'!I127</f>
        <v/>
      </c>
      <c r="K134" s="7">
        <f>'1 datos preparados'!J127</f>
        <v/>
      </c>
      <c r="L134" s="7">
        <f>'1 datos preparados'!K127</f>
        <v/>
      </c>
      <c r="M134" s="7">
        <f>'1 datos preparados'!L127</f>
        <v/>
      </c>
      <c r="N134" s="7">
        <f>'1 datos preparados'!M127</f>
        <v/>
      </c>
      <c r="O134" s="7">
        <f>'1 datos preparados'!N127</f>
        <v/>
      </c>
      <c r="P134" s="7">
        <f>'1 datos preparados'!O127</f>
        <v/>
      </c>
      <c r="Q134" s="7">
        <f>'1 datos preparados'!P127</f>
        <v/>
      </c>
      <c r="R134" s="7">
        <f>'1 datos preparados'!Q127</f>
        <v/>
      </c>
      <c r="S134" s="7">
        <f>'1 datos preparados'!R127</f>
        <v/>
      </c>
      <c r="T134" s="7">
        <f>'1 datos preparados'!S127</f>
        <v/>
      </c>
      <c r="U134" s="7">
        <f>'1 datos preparados'!T127</f>
        <v/>
      </c>
      <c r="V134" s="8">
        <f>$AC$12+D134*$AC$13+E134*$AC$14+F134*$AC$15+G134*$AC$16+H134*$AC$17+I134*$AC$18+J134*$AC$19+K134*$AC$20+L134*$AC$21+M134*$AC$22+N134*$AC$23+O134*$AC$24+P134*$AC$25+Q134*$AC$26+R134*$AC$27+S134*$AC$28+T134*$AC$29+U134*$AC$30</f>
        <v/>
      </c>
      <c r="W134" s="8">
        <f>1/(1+EXP(-V134))</f>
        <v/>
      </c>
      <c r="X134" s="9">
        <f>-IF(C134=1,LN(W134),LN(1-W134))</f>
        <v/>
      </c>
      <c r="Y134" s="10">
        <f>IF(W134&gt;$AC$33,1,0)</f>
        <v/>
      </c>
      <c r="Z134">
        <f>IF(Y134=C134,1,0)</f>
        <v/>
      </c>
    </row>
    <row r="135">
      <c r="A135">
        <f>'1 datos preparados'!A128</f>
        <v/>
      </c>
      <c r="B135" s="5">
        <f>'1 datos preparados'!U128</f>
        <v/>
      </c>
      <c r="C135">
        <f>'1 datos preparados'!B128</f>
        <v/>
      </c>
      <c r="D135" s="7">
        <f>'1 datos preparados'!C128</f>
        <v/>
      </c>
      <c r="E135" s="7">
        <f>'1 datos preparados'!D128</f>
        <v/>
      </c>
      <c r="F135" s="7">
        <f>'1 datos preparados'!E128</f>
        <v/>
      </c>
      <c r="G135" s="7">
        <f>'1 datos preparados'!F128</f>
        <v/>
      </c>
      <c r="H135" s="7">
        <f>'1 datos preparados'!G128</f>
        <v/>
      </c>
      <c r="I135" s="7">
        <f>'1 datos preparados'!H128</f>
        <v/>
      </c>
      <c r="J135" s="7">
        <f>'1 datos preparados'!I128</f>
        <v/>
      </c>
      <c r="K135" s="7">
        <f>'1 datos preparados'!J128</f>
        <v/>
      </c>
      <c r="L135" s="7">
        <f>'1 datos preparados'!K128</f>
        <v/>
      </c>
      <c r="M135" s="7">
        <f>'1 datos preparados'!L128</f>
        <v/>
      </c>
      <c r="N135" s="7">
        <f>'1 datos preparados'!M128</f>
        <v/>
      </c>
      <c r="O135" s="7">
        <f>'1 datos preparados'!N128</f>
        <v/>
      </c>
      <c r="P135" s="7">
        <f>'1 datos preparados'!O128</f>
        <v/>
      </c>
      <c r="Q135" s="7">
        <f>'1 datos preparados'!P128</f>
        <v/>
      </c>
      <c r="R135" s="7">
        <f>'1 datos preparados'!Q128</f>
        <v/>
      </c>
      <c r="S135" s="7">
        <f>'1 datos preparados'!R128</f>
        <v/>
      </c>
      <c r="T135" s="7">
        <f>'1 datos preparados'!S128</f>
        <v/>
      </c>
      <c r="U135" s="7">
        <f>'1 datos preparados'!T128</f>
        <v/>
      </c>
      <c r="V135" s="8">
        <f>$AC$12+D135*$AC$13+E135*$AC$14+F135*$AC$15+G135*$AC$16+H135*$AC$17+I135*$AC$18+J135*$AC$19+K135*$AC$20+L135*$AC$21+M135*$AC$22+N135*$AC$23+O135*$AC$24+P135*$AC$25+Q135*$AC$26+R135*$AC$27+S135*$AC$28+T135*$AC$29+U135*$AC$30</f>
        <v/>
      </c>
      <c r="W135" s="8">
        <f>1/(1+EXP(-V135))</f>
        <v/>
      </c>
      <c r="X135" s="9">
        <f>-IF(C135=1,LN(W135),LN(1-W135))</f>
        <v/>
      </c>
      <c r="Y135" s="10">
        <f>IF(W135&gt;$AC$33,1,0)</f>
        <v/>
      </c>
      <c r="Z135">
        <f>IF(Y135=C135,1,0)</f>
        <v/>
      </c>
    </row>
    <row r="136">
      <c r="A136">
        <f>'1 datos preparados'!A129</f>
        <v/>
      </c>
      <c r="B136" s="5">
        <f>'1 datos preparados'!U129</f>
        <v/>
      </c>
      <c r="C136">
        <f>'1 datos preparados'!B129</f>
        <v/>
      </c>
      <c r="D136" s="7">
        <f>'1 datos preparados'!C129</f>
        <v/>
      </c>
      <c r="E136" s="7">
        <f>'1 datos preparados'!D129</f>
        <v/>
      </c>
      <c r="F136" s="7">
        <f>'1 datos preparados'!E129</f>
        <v/>
      </c>
      <c r="G136" s="7">
        <f>'1 datos preparados'!F129</f>
        <v/>
      </c>
      <c r="H136" s="7">
        <f>'1 datos preparados'!G129</f>
        <v/>
      </c>
      <c r="I136" s="7">
        <f>'1 datos preparados'!H129</f>
        <v/>
      </c>
      <c r="J136" s="7">
        <f>'1 datos preparados'!I129</f>
        <v/>
      </c>
      <c r="K136" s="7">
        <f>'1 datos preparados'!J129</f>
        <v/>
      </c>
      <c r="L136" s="7">
        <f>'1 datos preparados'!K129</f>
        <v/>
      </c>
      <c r="M136" s="7">
        <f>'1 datos preparados'!L129</f>
        <v/>
      </c>
      <c r="N136" s="7">
        <f>'1 datos preparados'!M129</f>
        <v/>
      </c>
      <c r="O136" s="7">
        <f>'1 datos preparados'!N129</f>
        <v/>
      </c>
      <c r="P136" s="7">
        <f>'1 datos preparados'!O129</f>
        <v/>
      </c>
      <c r="Q136" s="7">
        <f>'1 datos preparados'!P129</f>
        <v/>
      </c>
      <c r="R136" s="7">
        <f>'1 datos preparados'!Q129</f>
        <v/>
      </c>
      <c r="S136" s="7">
        <f>'1 datos preparados'!R129</f>
        <v/>
      </c>
      <c r="T136" s="7">
        <f>'1 datos preparados'!S129</f>
        <v/>
      </c>
      <c r="U136" s="7">
        <f>'1 datos preparados'!T129</f>
        <v/>
      </c>
      <c r="V136" s="8">
        <f>$AC$12+D136*$AC$13+E136*$AC$14+F136*$AC$15+G136*$AC$16+H136*$AC$17+I136*$AC$18+J136*$AC$19+K136*$AC$20+L136*$AC$21+M136*$AC$22+N136*$AC$23+O136*$AC$24+P136*$AC$25+Q136*$AC$26+R136*$AC$27+S136*$AC$28+T136*$AC$29+U136*$AC$30</f>
        <v/>
      </c>
      <c r="W136" s="8">
        <f>1/(1+EXP(-V136))</f>
        <v/>
      </c>
      <c r="X136" s="9">
        <f>-IF(C136=1,LN(W136),LN(1-W136))</f>
        <v/>
      </c>
      <c r="Y136" s="10">
        <f>IF(W136&gt;$AC$33,1,0)</f>
        <v/>
      </c>
      <c r="Z136">
        <f>IF(Y136=C136,1,0)</f>
        <v/>
      </c>
    </row>
    <row r="137">
      <c r="A137">
        <f>'1 datos preparados'!A130</f>
        <v/>
      </c>
      <c r="B137" s="5">
        <f>'1 datos preparados'!U130</f>
        <v/>
      </c>
      <c r="C137">
        <f>'1 datos preparados'!B130</f>
        <v/>
      </c>
      <c r="D137" s="7">
        <f>'1 datos preparados'!C130</f>
        <v/>
      </c>
      <c r="E137" s="7">
        <f>'1 datos preparados'!D130</f>
        <v/>
      </c>
      <c r="F137" s="7">
        <f>'1 datos preparados'!E130</f>
        <v/>
      </c>
      <c r="G137" s="7">
        <f>'1 datos preparados'!F130</f>
        <v/>
      </c>
      <c r="H137" s="7">
        <f>'1 datos preparados'!G130</f>
        <v/>
      </c>
      <c r="I137" s="7">
        <f>'1 datos preparados'!H130</f>
        <v/>
      </c>
      <c r="J137" s="7">
        <f>'1 datos preparados'!I130</f>
        <v/>
      </c>
      <c r="K137" s="7">
        <f>'1 datos preparados'!J130</f>
        <v/>
      </c>
      <c r="L137" s="7">
        <f>'1 datos preparados'!K130</f>
        <v/>
      </c>
      <c r="M137" s="7">
        <f>'1 datos preparados'!L130</f>
        <v/>
      </c>
      <c r="N137" s="7">
        <f>'1 datos preparados'!M130</f>
        <v/>
      </c>
      <c r="O137" s="7">
        <f>'1 datos preparados'!N130</f>
        <v/>
      </c>
      <c r="P137" s="7">
        <f>'1 datos preparados'!O130</f>
        <v/>
      </c>
      <c r="Q137" s="7">
        <f>'1 datos preparados'!P130</f>
        <v/>
      </c>
      <c r="R137" s="7">
        <f>'1 datos preparados'!Q130</f>
        <v/>
      </c>
      <c r="S137" s="7">
        <f>'1 datos preparados'!R130</f>
        <v/>
      </c>
      <c r="T137" s="7">
        <f>'1 datos preparados'!S130</f>
        <v/>
      </c>
      <c r="U137" s="7">
        <f>'1 datos preparados'!T130</f>
        <v/>
      </c>
      <c r="V137" s="8">
        <f>$AC$12+D137*$AC$13+E137*$AC$14+F137*$AC$15+G137*$AC$16+H137*$AC$17+I137*$AC$18+J137*$AC$19+K137*$AC$20+L137*$AC$21+M137*$AC$22+N137*$AC$23+O137*$AC$24+P137*$AC$25+Q137*$AC$26+R137*$AC$27+S137*$AC$28+T137*$AC$29+U137*$AC$30</f>
        <v/>
      </c>
      <c r="W137" s="8">
        <f>1/(1+EXP(-V137))</f>
        <v/>
      </c>
      <c r="X137" s="9">
        <f>-IF(C137=1,LN(W137),LN(1-W137))</f>
        <v/>
      </c>
      <c r="Y137" s="10">
        <f>IF(W137&gt;$AC$33,1,0)</f>
        <v/>
      </c>
      <c r="Z137">
        <f>IF(Y137=C137,1,0)</f>
        <v/>
      </c>
    </row>
    <row r="138">
      <c r="A138">
        <f>'1 datos preparados'!A131</f>
        <v/>
      </c>
      <c r="B138" s="5">
        <f>'1 datos preparados'!U131</f>
        <v/>
      </c>
      <c r="C138">
        <f>'1 datos preparados'!B131</f>
        <v/>
      </c>
      <c r="D138" s="7">
        <f>'1 datos preparados'!C131</f>
        <v/>
      </c>
      <c r="E138" s="7">
        <f>'1 datos preparados'!D131</f>
        <v/>
      </c>
      <c r="F138" s="7">
        <f>'1 datos preparados'!E131</f>
        <v/>
      </c>
      <c r="G138" s="7">
        <f>'1 datos preparados'!F131</f>
        <v/>
      </c>
      <c r="H138" s="7">
        <f>'1 datos preparados'!G131</f>
        <v/>
      </c>
      <c r="I138" s="7">
        <f>'1 datos preparados'!H131</f>
        <v/>
      </c>
      <c r="J138" s="7">
        <f>'1 datos preparados'!I131</f>
        <v/>
      </c>
      <c r="K138" s="7">
        <f>'1 datos preparados'!J131</f>
        <v/>
      </c>
      <c r="L138" s="7">
        <f>'1 datos preparados'!K131</f>
        <v/>
      </c>
      <c r="M138" s="7">
        <f>'1 datos preparados'!L131</f>
        <v/>
      </c>
      <c r="N138" s="7">
        <f>'1 datos preparados'!M131</f>
        <v/>
      </c>
      <c r="O138" s="7">
        <f>'1 datos preparados'!N131</f>
        <v/>
      </c>
      <c r="P138" s="7">
        <f>'1 datos preparados'!O131</f>
        <v/>
      </c>
      <c r="Q138" s="7">
        <f>'1 datos preparados'!P131</f>
        <v/>
      </c>
      <c r="R138" s="7">
        <f>'1 datos preparados'!Q131</f>
        <v/>
      </c>
      <c r="S138" s="7">
        <f>'1 datos preparados'!R131</f>
        <v/>
      </c>
      <c r="T138" s="7">
        <f>'1 datos preparados'!S131</f>
        <v/>
      </c>
      <c r="U138" s="7">
        <f>'1 datos preparados'!T131</f>
        <v/>
      </c>
      <c r="V138" s="8">
        <f>$AC$12+D138*$AC$13+E138*$AC$14+F138*$AC$15+G138*$AC$16+H138*$AC$17+I138*$AC$18+J138*$AC$19+K138*$AC$20+L138*$AC$21+M138*$AC$22+N138*$AC$23+O138*$AC$24+P138*$AC$25+Q138*$AC$26+R138*$AC$27+S138*$AC$28+T138*$AC$29+U138*$AC$30</f>
        <v/>
      </c>
      <c r="W138" s="8">
        <f>1/(1+EXP(-V138))</f>
        <v/>
      </c>
      <c r="X138" s="9">
        <f>-IF(C138=1,LN(W138),LN(1-W138))</f>
        <v/>
      </c>
      <c r="Y138" s="10">
        <f>IF(W138&gt;$AC$33,1,0)</f>
        <v/>
      </c>
      <c r="Z138">
        <f>IF(Y138=C138,1,0)</f>
        <v/>
      </c>
    </row>
    <row r="139">
      <c r="A139">
        <f>'1 datos preparados'!A132</f>
        <v/>
      </c>
      <c r="B139" s="5">
        <f>'1 datos preparados'!U132</f>
        <v/>
      </c>
      <c r="C139">
        <f>'1 datos preparados'!B132</f>
        <v/>
      </c>
      <c r="D139" s="7">
        <f>'1 datos preparados'!C132</f>
        <v/>
      </c>
      <c r="E139" s="7">
        <f>'1 datos preparados'!D132</f>
        <v/>
      </c>
      <c r="F139" s="7">
        <f>'1 datos preparados'!E132</f>
        <v/>
      </c>
      <c r="G139" s="7">
        <f>'1 datos preparados'!F132</f>
        <v/>
      </c>
      <c r="H139" s="7">
        <f>'1 datos preparados'!G132</f>
        <v/>
      </c>
      <c r="I139" s="7">
        <f>'1 datos preparados'!H132</f>
        <v/>
      </c>
      <c r="J139" s="7">
        <f>'1 datos preparados'!I132</f>
        <v/>
      </c>
      <c r="K139" s="7">
        <f>'1 datos preparados'!J132</f>
        <v/>
      </c>
      <c r="L139" s="7">
        <f>'1 datos preparados'!K132</f>
        <v/>
      </c>
      <c r="M139" s="7">
        <f>'1 datos preparados'!L132</f>
        <v/>
      </c>
      <c r="N139" s="7">
        <f>'1 datos preparados'!M132</f>
        <v/>
      </c>
      <c r="O139" s="7">
        <f>'1 datos preparados'!N132</f>
        <v/>
      </c>
      <c r="P139" s="7">
        <f>'1 datos preparados'!O132</f>
        <v/>
      </c>
      <c r="Q139" s="7">
        <f>'1 datos preparados'!P132</f>
        <v/>
      </c>
      <c r="R139" s="7">
        <f>'1 datos preparados'!Q132</f>
        <v/>
      </c>
      <c r="S139" s="7">
        <f>'1 datos preparados'!R132</f>
        <v/>
      </c>
      <c r="T139" s="7">
        <f>'1 datos preparados'!S132</f>
        <v/>
      </c>
      <c r="U139" s="7">
        <f>'1 datos preparados'!T132</f>
        <v/>
      </c>
      <c r="V139" s="8">
        <f>$AC$12+D139*$AC$13+E139*$AC$14+F139*$AC$15+G139*$AC$16+H139*$AC$17+I139*$AC$18+J139*$AC$19+K139*$AC$20+L139*$AC$21+M139*$AC$22+N139*$AC$23+O139*$AC$24+P139*$AC$25+Q139*$AC$26+R139*$AC$27+S139*$AC$28+T139*$AC$29+U139*$AC$30</f>
        <v/>
      </c>
      <c r="W139" s="8">
        <f>1/(1+EXP(-V139))</f>
        <v/>
      </c>
      <c r="X139" s="9">
        <f>-IF(C139=1,LN(W139),LN(1-W139))</f>
        <v/>
      </c>
      <c r="Y139" s="10">
        <f>IF(W139&gt;$AC$33,1,0)</f>
        <v/>
      </c>
      <c r="Z139">
        <f>IF(Y139=C139,1,0)</f>
        <v/>
      </c>
    </row>
    <row r="140">
      <c r="A140">
        <f>'1 datos preparados'!A133</f>
        <v/>
      </c>
      <c r="B140" s="5">
        <f>'1 datos preparados'!U133</f>
        <v/>
      </c>
      <c r="C140">
        <f>'1 datos preparados'!B133</f>
        <v/>
      </c>
      <c r="D140" s="7">
        <f>'1 datos preparados'!C133</f>
        <v/>
      </c>
      <c r="E140" s="7">
        <f>'1 datos preparados'!D133</f>
        <v/>
      </c>
      <c r="F140" s="7">
        <f>'1 datos preparados'!E133</f>
        <v/>
      </c>
      <c r="G140" s="7">
        <f>'1 datos preparados'!F133</f>
        <v/>
      </c>
      <c r="H140" s="7">
        <f>'1 datos preparados'!G133</f>
        <v/>
      </c>
      <c r="I140" s="7">
        <f>'1 datos preparados'!H133</f>
        <v/>
      </c>
      <c r="J140" s="7">
        <f>'1 datos preparados'!I133</f>
        <v/>
      </c>
      <c r="K140" s="7">
        <f>'1 datos preparados'!J133</f>
        <v/>
      </c>
      <c r="L140" s="7">
        <f>'1 datos preparados'!K133</f>
        <v/>
      </c>
      <c r="M140" s="7">
        <f>'1 datos preparados'!L133</f>
        <v/>
      </c>
      <c r="N140" s="7">
        <f>'1 datos preparados'!M133</f>
        <v/>
      </c>
      <c r="O140" s="7">
        <f>'1 datos preparados'!N133</f>
        <v/>
      </c>
      <c r="P140" s="7">
        <f>'1 datos preparados'!O133</f>
        <v/>
      </c>
      <c r="Q140" s="7">
        <f>'1 datos preparados'!P133</f>
        <v/>
      </c>
      <c r="R140" s="7">
        <f>'1 datos preparados'!Q133</f>
        <v/>
      </c>
      <c r="S140" s="7">
        <f>'1 datos preparados'!R133</f>
        <v/>
      </c>
      <c r="T140" s="7">
        <f>'1 datos preparados'!S133</f>
        <v/>
      </c>
      <c r="U140" s="7">
        <f>'1 datos preparados'!T133</f>
        <v/>
      </c>
      <c r="V140" s="8">
        <f>$AC$12+D140*$AC$13+E140*$AC$14+F140*$AC$15+G140*$AC$16+H140*$AC$17+I140*$AC$18+J140*$AC$19+K140*$AC$20+L140*$AC$21+M140*$AC$22+N140*$AC$23+O140*$AC$24+P140*$AC$25+Q140*$AC$26+R140*$AC$27+S140*$AC$28+T140*$AC$29+U140*$AC$30</f>
        <v/>
      </c>
      <c r="W140" s="8">
        <f>1/(1+EXP(-V140))</f>
        <v/>
      </c>
      <c r="X140" s="9">
        <f>-IF(C140=1,LN(W140),LN(1-W140))</f>
        <v/>
      </c>
      <c r="Y140" s="10">
        <f>IF(W140&gt;$AC$33,1,0)</f>
        <v/>
      </c>
      <c r="Z140">
        <f>IF(Y140=C140,1,0)</f>
        <v/>
      </c>
    </row>
    <row r="141">
      <c r="A141">
        <f>'1 datos preparados'!A134</f>
        <v/>
      </c>
      <c r="B141" s="5">
        <f>'1 datos preparados'!U134</f>
        <v/>
      </c>
      <c r="C141">
        <f>'1 datos preparados'!B134</f>
        <v/>
      </c>
      <c r="D141" s="7">
        <f>'1 datos preparados'!C134</f>
        <v/>
      </c>
      <c r="E141" s="7">
        <f>'1 datos preparados'!D134</f>
        <v/>
      </c>
      <c r="F141" s="7">
        <f>'1 datos preparados'!E134</f>
        <v/>
      </c>
      <c r="G141" s="7">
        <f>'1 datos preparados'!F134</f>
        <v/>
      </c>
      <c r="H141" s="7">
        <f>'1 datos preparados'!G134</f>
        <v/>
      </c>
      <c r="I141" s="7">
        <f>'1 datos preparados'!H134</f>
        <v/>
      </c>
      <c r="J141" s="7">
        <f>'1 datos preparados'!I134</f>
        <v/>
      </c>
      <c r="K141" s="7">
        <f>'1 datos preparados'!J134</f>
        <v/>
      </c>
      <c r="L141" s="7">
        <f>'1 datos preparados'!K134</f>
        <v/>
      </c>
      <c r="M141" s="7">
        <f>'1 datos preparados'!L134</f>
        <v/>
      </c>
      <c r="N141" s="7">
        <f>'1 datos preparados'!M134</f>
        <v/>
      </c>
      <c r="O141" s="7">
        <f>'1 datos preparados'!N134</f>
        <v/>
      </c>
      <c r="P141" s="7">
        <f>'1 datos preparados'!O134</f>
        <v/>
      </c>
      <c r="Q141" s="7">
        <f>'1 datos preparados'!P134</f>
        <v/>
      </c>
      <c r="R141" s="7">
        <f>'1 datos preparados'!Q134</f>
        <v/>
      </c>
      <c r="S141" s="7">
        <f>'1 datos preparados'!R134</f>
        <v/>
      </c>
      <c r="T141" s="7">
        <f>'1 datos preparados'!S134</f>
        <v/>
      </c>
      <c r="U141" s="7">
        <f>'1 datos preparados'!T134</f>
        <v/>
      </c>
      <c r="V141" s="8">
        <f>$AC$12+D141*$AC$13+E141*$AC$14+F141*$AC$15+G141*$AC$16+H141*$AC$17+I141*$AC$18+J141*$AC$19+K141*$AC$20+L141*$AC$21+M141*$AC$22+N141*$AC$23+O141*$AC$24+P141*$AC$25+Q141*$AC$26+R141*$AC$27+S141*$AC$28+T141*$AC$29+U141*$AC$30</f>
        <v/>
      </c>
      <c r="W141" s="8">
        <f>1/(1+EXP(-V141))</f>
        <v/>
      </c>
      <c r="X141" s="9">
        <f>-IF(C141=1,LN(W141),LN(1-W141))</f>
        <v/>
      </c>
      <c r="Y141" s="10">
        <f>IF(W141&gt;$AC$33,1,0)</f>
        <v/>
      </c>
      <c r="Z141">
        <f>IF(Y141=C141,1,0)</f>
        <v/>
      </c>
    </row>
    <row r="142">
      <c r="A142">
        <f>'1 datos preparados'!A135</f>
        <v/>
      </c>
      <c r="B142" s="5">
        <f>'1 datos preparados'!U135</f>
        <v/>
      </c>
      <c r="C142">
        <f>'1 datos preparados'!B135</f>
        <v/>
      </c>
      <c r="D142" s="7">
        <f>'1 datos preparados'!C135</f>
        <v/>
      </c>
      <c r="E142" s="7">
        <f>'1 datos preparados'!D135</f>
        <v/>
      </c>
      <c r="F142" s="7">
        <f>'1 datos preparados'!E135</f>
        <v/>
      </c>
      <c r="G142" s="7">
        <f>'1 datos preparados'!F135</f>
        <v/>
      </c>
      <c r="H142" s="7">
        <f>'1 datos preparados'!G135</f>
        <v/>
      </c>
      <c r="I142" s="7">
        <f>'1 datos preparados'!H135</f>
        <v/>
      </c>
      <c r="J142" s="7">
        <f>'1 datos preparados'!I135</f>
        <v/>
      </c>
      <c r="K142" s="7">
        <f>'1 datos preparados'!J135</f>
        <v/>
      </c>
      <c r="L142" s="7">
        <f>'1 datos preparados'!K135</f>
        <v/>
      </c>
      <c r="M142" s="7">
        <f>'1 datos preparados'!L135</f>
        <v/>
      </c>
      <c r="N142" s="7">
        <f>'1 datos preparados'!M135</f>
        <v/>
      </c>
      <c r="O142" s="7">
        <f>'1 datos preparados'!N135</f>
        <v/>
      </c>
      <c r="P142" s="7">
        <f>'1 datos preparados'!O135</f>
        <v/>
      </c>
      <c r="Q142" s="7">
        <f>'1 datos preparados'!P135</f>
        <v/>
      </c>
      <c r="R142" s="7">
        <f>'1 datos preparados'!Q135</f>
        <v/>
      </c>
      <c r="S142" s="7">
        <f>'1 datos preparados'!R135</f>
        <v/>
      </c>
      <c r="T142" s="7">
        <f>'1 datos preparados'!S135</f>
        <v/>
      </c>
      <c r="U142" s="7">
        <f>'1 datos preparados'!T135</f>
        <v/>
      </c>
      <c r="V142" s="8">
        <f>$AC$12+D142*$AC$13+E142*$AC$14+F142*$AC$15+G142*$AC$16+H142*$AC$17+I142*$AC$18+J142*$AC$19+K142*$AC$20+L142*$AC$21+M142*$AC$22+N142*$AC$23+O142*$AC$24+P142*$AC$25+Q142*$AC$26+R142*$AC$27+S142*$AC$28+T142*$AC$29+U142*$AC$30</f>
        <v/>
      </c>
      <c r="W142" s="8">
        <f>1/(1+EXP(-V142))</f>
        <v/>
      </c>
      <c r="X142" s="9">
        <f>-IF(C142=1,LN(W142),LN(1-W142))</f>
        <v/>
      </c>
      <c r="Y142" s="10">
        <f>IF(W142&gt;$AC$33,1,0)</f>
        <v/>
      </c>
      <c r="Z142">
        <f>IF(Y142=C142,1,0)</f>
        <v/>
      </c>
    </row>
    <row r="143">
      <c r="A143">
        <f>'1 datos preparados'!A136</f>
        <v/>
      </c>
      <c r="B143" s="5">
        <f>'1 datos preparados'!U136</f>
        <v/>
      </c>
      <c r="C143">
        <f>'1 datos preparados'!B136</f>
        <v/>
      </c>
      <c r="D143" s="7">
        <f>'1 datos preparados'!C136</f>
        <v/>
      </c>
      <c r="E143" s="7">
        <f>'1 datos preparados'!D136</f>
        <v/>
      </c>
      <c r="F143" s="7">
        <f>'1 datos preparados'!E136</f>
        <v/>
      </c>
      <c r="G143" s="7">
        <f>'1 datos preparados'!F136</f>
        <v/>
      </c>
      <c r="H143" s="7">
        <f>'1 datos preparados'!G136</f>
        <v/>
      </c>
      <c r="I143" s="7">
        <f>'1 datos preparados'!H136</f>
        <v/>
      </c>
      <c r="J143" s="7">
        <f>'1 datos preparados'!I136</f>
        <v/>
      </c>
      <c r="K143" s="7">
        <f>'1 datos preparados'!J136</f>
        <v/>
      </c>
      <c r="L143" s="7">
        <f>'1 datos preparados'!K136</f>
        <v/>
      </c>
      <c r="M143" s="7">
        <f>'1 datos preparados'!L136</f>
        <v/>
      </c>
      <c r="N143" s="7">
        <f>'1 datos preparados'!M136</f>
        <v/>
      </c>
      <c r="O143" s="7">
        <f>'1 datos preparados'!N136</f>
        <v/>
      </c>
      <c r="P143" s="7">
        <f>'1 datos preparados'!O136</f>
        <v/>
      </c>
      <c r="Q143" s="7">
        <f>'1 datos preparados'!P136</f>
        <v/>
      </c>
      <c r="R143" s="7">
        <f>'1 datos preparados'!Q136</f>
        <v/>
      </c>
      <c r="S143" s="7">
        <f>'1 datos preparados'!R136</f>
        <v/>
      </c>
      <c r="T143" s="7">
        <f>'1 datos preparados'!S136</f>
        <v/>
      </c>
      <c r="U143" s="7">
        <f>'1 datos preparados'!T136</f>
        <v/>
      </c>
      <c r="V143" s="8">
        <f>$AC$12+D143*$AC$13+E143*$AC$14+F143*$AC$15+G143*$AC$16+H143*$AC$17+I143*$AC$18+J143*$AC$19+K143*$AC$20+L143*$AC$21+M143*$AC$22+N143*$AC$23+O143*$AC$24+P143*$AC$25+Q143*$AC$26+R143*$AC$27+S143*$AC$28+T143*$AC$29+U143*$AC$30</f>
        <v/>
      </c>
      <c r="W143" s="8">
        <f>1/(1+EXP(-V143))</f>
        <v/>
      </c>
      <c r="X143" s="9">
        <f>-IF(C143=1,LN(W143),LN(1-W143))</f>
        <v/>
      </c>
      <c r="Y143" s="10">
        <f>IF(W143&gt;$AC$33,1,0)</f>
        <v/>
      </c>
      <c r="Z143">
        <f>IF(Y143=C143,1,0)</f>
        <v/>
      </c>
    </row>
    <row r="144">
      <c r="A144">
        <f>'1 datos preparados'!A137</f>
        <v/>
      </c>
      <c r="B144" s="5">
        <f>'1 datos preparados'!U137</f>
        <v/>
      </c>
      <c r="C144">
        <f>'1 datos preparados'!B137</f>
        <v/>
      </c>
      <c r="D144" s="7">
        <f>'1 datos preparados'!C137</f>
        <v/>
      </c>
      <c r="E144" s="7">
        <f>'1 datos preparados'!D137</f>
        <v/>
      </c>
      <c r="F144" s="7">
        <f>'1 datos preparados'!E137</f>
        <v/>
      </c>
      <c r="G144" s="7">
        <f>'1 datos preparados'!F137</f>
        <v/>
      </c>
      <c r="H144" s="7">
        <f>'1 datos preparados'!G137</f>
        <v/>
      </c>
      <c r="I144" s="7">
        <f>'1 datos preparados'!H137</f>
        <v/>
      </c>
      <c r="J144" s="7">
        <f>'1 datos preparados'!I137</f>
        <v/>
      </c>
      <c r="K144" s="7">
        <f>'1 datos preparados'!J137</f>
        <v/>
      </c>
      <c r="L144" s="7">
        <f>'1 datos preparados'!K137</f>
        <v/>
      </c>
      <c r="M144" s="7">
        <f>'1 datos preparados'!L137</f>
        <v/>
      </c>
      <c r="N144" s="7">
        <f>'1 datos preparados'!M137</f>
        <v/>
      </c>
      <c r="O144" s="7">
        <f>'1 datos preparados'!N137</f>
        <v/>
      </c>
      <c r="P144" s="7">
        <f>'1 datos preparados'!O137</f>
        <v/>
      </c>
      <c r="Q144" s="7">
        <f>'1 datos preparados'!P137</f>
        <v/>
      </c>
      <c r="R144" s="7">
        <f>'1 datos preparados'!Q137</f>
        <v/>
      </c>
      <c r="S144" s="7">
        <f>'1 datos preparados'!R137</f>
        <v/>
      </c>
      <c r="T144" s="7">
        <f>'1 datos preparados'!S137</f>
        <v/>
      </c>
      <c r="U144" s="7">
        <f>'1 datos preparados'!T137</f>
        <v/>
      </c>
      <c r="V144" s="8">
        <f>$AC$12+D144*$AC$13+E144*$AC$14+F144*$AC$15+G144*$AC$16+H144*$AC$17+I144*$AC$18+J144*$AC$19+K144*$AC$20+L144*$AC$21+M144*$AC$22+N144*$AC$23+O144*$AC$24+P144*$AC$25+Q144*$AC$26+R144*$AC$27+S144*$AC$28+T144*$AC$29+U144*$AC$30</f>
        <v/>
      </c>
      <c r="W144" s="8">
        <f>1/(1+EXP(-V144))</f>
        <v/>
      </c>
      <c r="X144" s="9">
        <f>-IF(C144=1,LN(W144),LN(1-W144))</f>
        <v/>
      </c>
      <c r="Y144" s="10">
        <f>IF(W144&gt;$AC$33,1,0)</f>
        <v/>
      </c>
      <c r="Z144">
        <f>IF(Y144=C144,1,0)</f>
        <v/>
      </c>
    </row>
    <row r="145">
      <c r="A145">
        <f>'1 datos preparados'!A138</f>
        <v/>
      </c>
      <c r="B145" s="5">
        <f>'1 datos preparados'!U138</f>
        <v/>
      </c>
      <c r="C145">
        <f>'1 datos preparados'!B138</f>
        <v/>
      </c>
      <c r="D145" s="7">
        <f>'1 datos preparados'!C138</f>
        <v/>
      </c>
      <c r="E145" s="7">
        <f>'1 datos preparados'!D138</f>
        <v/>
      </c>
      <c r="F145" s="7">
        <f>'1 datos preparados'!E138</f>
        <v/>
      </c>
      <c r="G145" s="7">
        <f>'1 datos preparados'!F138</f>
        <v/>
      </c>
      <c r="H145" s="7">
        <f>'1 datos preparados'!G138</f>
        <v/>
      </c>
      <c r="I145" s="7">
        <f>'1 datos preparados'!H138</f>
        <v/>
      </c>
      <c r="J145" s="7">
        <f>'1 datos preparados'!I138</f>
        <v/>
      </c>
      <c r="K145" s="7">
        <f>'1 datos preparados'!J138</f>
        <v/>
      </c>
      <c r="L145" s="7">
        <f>'1 datos preparados'!K138</f>
        <v/>
      </c>
      <c r="M145" s="7">
        <f>'1 datos preparados'!L138</f>
        <v/>
      </c>
      <c r="N145" s="7">
        <f>'1 datos preparados'!M138</f>
        <v/>
      </c>
      <c r="O145" s="7">
        <f>'1 datos preparados'!N138</f>
        <v/>
      </c>
      <c r="P145" s="7">
        <f>'1 datos preparados'!O138</f>
        <v/>
      </c>
      <c r="Q145" s="7">
        <f>'1 datos preparados'!P138</f>
        <v/>
      </c>
      <c r="R145" s="7">
        <f>'1 datos preparados'!Q138</f>
        <v/>
      </c>
      <c r="S145" s="7">
        <f>'1 datos preparados'!R138</f>
        <v/>
      </c>
      <c r="T145" s="7">
        <f>'1 datos preparados'!S138</f>
        <v/>
      </c>
      <c r="U145" s="7">
        <f>'1 datos preparados'!T138</f>
        <v/>
      </c>
      <c r="V145" s="8">
        <f>$AC$12+D145*$AC$13+E145*$AC$14+F145*$AC$15+G145*$AC$16+H145*$AC$17+I145*$AC$18+J145*$AC$19+K145*$AC$20+L145*$AC$21+M145*$AC$22+N145*$AC$23+O145*$AC$24+P145*$AC$25+Q145*$AC$26+R145*$AC$27+S145*$AC$28+T145*$AC$29+U145*$AC$30</f>
        <v/>
      </c>
      <c r="W145" s="8">
        <f>1/(1+EXP(-V145))</f>
        <v/>
      </c>
      <c r="X145" s="9">
        <f>-IF(C145=1,LN(W145),LN(1-W145))</f>
        <v/>
      </c>
      <c r="Y145" s="10">
        <f>IF(W145&gt;$AC$33,1,0)</f>
        <v/>
      </c>
      <c r="Z145">
        <f>IF(Y145=C145,1,0)</f>
        <v/>
      </c>
    </row>
    <row r="146">
      <c r="A146">
        <f>'1 datos preparados'!A139</f>
        <v/>
      </c>
      <c r="B146" s="5">
        <f>'1 datos preparados'!U139</f>
        <v/>
      </c>
      <c r="C146">
        <f>'1 datos preparados'!B139</f>
        <v/>
      </c>
      <c r="D146" s="7">
        <f>'1 datos preparados'!C139</f>
        <v/>
      </c>
      <c r="E146" s="7">
        <f>'1 datos preparados'!D139</f>
        <v/>
      </c>
      <c r="F146" s="7">
        <f>'1 datos preparados'!E139</f>
        <v/>
      </c>
      <c r="G146" s="7">
        <f>'1 datos preparados'!F139</f>
        <v/>
      </c>
      <c r="H146" s="7">
        <f>'1 datos preparados'!G139</f>
        <v/>
      </c>
      <c r="I146" s="7">
        <f>'1 datos preparados'!H139</f>
        <v/>
      </c>
      <c r="J146" s="7">
        <f>'1 datos preparados'!I139</f>
        <v/>
      </c>
      <c r="K146" s="7">
        <f>'1 datos preparados'!J139</f>
        <v/>
      </c>
      <c r="L146" s="7">
        <f>'1 datos preparados'!K139</f>
        <v/>
      </c>
      <c r="M146" s="7">
        <f>'1 datos preparados'!L139</f>
        <v/>
      </c>
      <c r="N146" s="7">
        <f>'1 datos preparados'!M139</f>
        <v/>
      </c>
      <c r="O146" s="7">
        <f>'1 datos preparados'!N139</f>
        <v/>
      </c>
      <c r="P146" s="7">
        <f>'1 datos preparados'!O139</f>
        <v/>
      </c>
      <c r="Q146" s="7">
        <f>'1 datos preparados'!P139</f>
        <v/>
      </c>
      <c r="R146" s="7">
        <f>'1 datos preparados'!Q139</f>
        <v/>
      </c>
      <c r="S146" s="7">
        <f>'1 datos preparados'!R139</f>
        <v/>
      </c>
      <c r="T146" s="7">
        <f>'1 datos preparados'!S139</f>
        <v/>
      </c>
      <c r="U146" s="7">
        <f>'1 datos preparados'!T139</f>
        <v/>
      </c>
      <c r="V146" s="8">
        <f>$AC$12+D146*$AC$13+E146*$AC$14+F146*$AC$15+G146*$AC$16+H146*$AC$17+I146*$AC$18+J146*$AC$19+K146*$AC$20+L146*$AC$21+M146*$AC$22+N146*$AC$23+O146*$AC$24+P146*$AC$25+Q146*$AC$26+R146*$AC$27+S146*$AC$28+T146*$AC$29+U146*$AC$30</f>
        <v/>
      </c>
      <c r="W146" s="8">
        <f>1/(1+EXP(-V146))</f>
        <v/>
      </c>
      <c r="X146" s="9">
        <f>-IF(C146=1,LN(W146),LN(1-W146))</f>
        <v/>
      </c>
      <c r="Y146" s="10">
        <f>IF(W146&gt;$AC$33,1,0)</f>
        <v/>
      </c>
      <c r="Z146">
        <f>IF(Y146=C146,1,0)</f>
        <v/>
      </c>
    </row>
    <row r="147">
      <c r="A147">
        <f>'1 datos preparados'!A140</f>
        <v/>
      </c>
      <c r="B147" s="5">
        <f>'1 datos preparados'!U140</f>
        <v/>
      </c>
      <c r="C147">
        <f>'1 datos preparados'!B140</f>
        <v/>
      </c>
      <c r="D147" s="7">
        <f>'1 datos preparados'!C140</f>
        <v/>
      </c>
      <c r="E147" s="7">
        <f>'1 datos preparados'!D140</f>
        <v/>
      </c>
      <c r="F147" s="7">
        <f>'1 datos preparados'!E140</f>
        <v/>
      </c>
      <c r="G147" s="7">
        <f>'1 datos preparados'!F140</f>
        <v/>
      </c>
      <c r="H147" s="7">
        <f>'1 datos preparados'!G140</f>
        <v/>
      </c>
      <c r="I147" s="7">
        <f>'1 datos preparados'!H140</f>
        <v/>
      </c>
      <c r="J147" s="7">
        <f>'1 datos preparados'!I140</f>
        <v/>
      </c>
      <c r="K147" s="7">
        <f>'1 datos preparados'!J140</f>
        <v/>
      </c>
      <c r="L147" s="7">
        <f>'1 datos preparados'!K140</f>
        <v/>
      </c>
      <c r="M147" s="7">
        <f>'1 datos preparados'!L140</f>
        <v/>
      </c>
      <c r="N147" s="7">
        <f>'1 datos preparados'!M140</f>
        <v/>
      </c>
      <c r="O147" s="7">
        <f>'1 datos preparados'!N140</f>
        <v/>
      </c>
      <c r="P147" s="7">
        <f>'1 datos preparados'!O140</f>
        <v/>
      </c>
      <c r="Q147" s="7">
        <f>'1 datos preparados'!P140</f>
        <v/>
      </c>
      <c r="R147" s="7">
        <f>'1 datos preparados'!Q140</f>
        <v/>
      </c>
      <c r="S147" s="7">
        <f>'1 datos preparados'!R140</f>
        <v/>
      </c>
      <c r="T147" s="7">
        <f>'1 datos preparados'!S140</f>
        <v/>
      </c>
      <c r="U147" s="7">
        <f>'1 datos preparados'!T140</f>
        <v/>
      </c>
      <c r="V147" s="8">
        <f>$AC$12+D147*$AC$13+E147*$AC$14+F147*$AC$15+G147*$AC$16+H147*$AC$17+I147*$AC$18+J147*$AC$19+K147*$AC$20+L147*$AC$21+M147*$AC$22+N147*$AC$23+O147*$AC$24+P147*$AC$25+Q147*$AC$26+R147*$AC$27+S147*$AC$28+T147*$AC$29+U147*$AC$30</f>
        <v/>
      </c>
      <c r="W147" s="8">
        <f>1/(1+EXP(-V147))</f>
        <v/>
      </c>
      <c r="X147" s="9">
        <f>-IF(C147=1,LN(W147),LN(1-W147))</f>
        <v/>
      </c>
      <c r="Y147" s="10">
        <f>IF(W147&gt;$AC$33,1,0)</f>
        <v/>
      </c>
      <c r="Z147">
        <f>IF(Y147=C147,1,0)</f>
        <v/>
      </c>
    </row>
    <row r="148">
      <c r="A148">
        <f>'1 datos preparados'!A141</f>
        <v/>
      </c>
      <c r="B148" s="5">
        <f>'1 datos preparados'!U141</f>
        <v/>
      </c>
      <c r="C148">
        <f>'1 datos preparados'!B141</f>
        <v/>
      </c>
      <c r="D148" s="7">
        <f>'1 datos preparados'!C141</f>
        <v/>
      </c>
      <c r="E148" s="7">
        <f>'1 datos preparados'!D141</f>
        <v/>
      </c>
      <c r="F148" s="7">
        <f>'1 datos preparados'!E141</f>
        <v/>
      </c>
      <c r="G148" s="7">
        <f>'1 datos preparados'!F141</f>
        <v/>
      </c>
      <c r="H148" s="7">
        <f>'1 datos preparados'!G141</f>
        <v/>
      </c>
      <c r="I148" s="7">
        <f>'1 datos preparados'!H141</f>
        <v/>
      </c>
      <c r="J148" s="7">
        <f>'1 datos preparados'!I141</f>
        <v/>
      </c>
      <c r="K148" s="7">
        <f>'1 datos preparados'!J141</f>
        <v/>
      </c>
      <c r="L148" s="7">
        <f>'1 datos preparados'!K141</f>
        <v/>
      </c>
      <c r="M148" s="7">
        <f>'1 datos preparados'!L141</f>
        <v/>
      </c>
      <c r="N148" s="7">
        <f>'1 datos preparados'!M141</f>
        <v/>
      </c>
      <c r="O148" s="7">
        <f>'1 datos preparados'!N141</f>
        <v/>
      </c>
      <c r="P148" s="7">
        <f>'1 datos preparados'!O141</f>
        <v/>
      </c>
      <c r="Q148" s="7">
        <f>'1 datos preparados'!P141</f>
        <v/>
      </c>
      <c r="R148" s="7">
        <f>'1 datos preparados'!Q141</f>
        <v/>
      </c>
      <c r="S148" s="7">
        <f>'1 datos preparados'!R141</f>
        <v/>
      </c>
      <c r="T148" s="7">
        <f>'1 datos preparados'!S141</f>
        <v/>
      </c>
      <c r="U148" s="7">
        <f>'1 datos preparados'!T141</f>
        <v/>
      </c>
      <c r="V148" s="8">
        <f>$AC$12+D148*$AC$13+E148*$AC$14+F148*$AC$15+G148*$AC$16+H148*$AC$17+I148*$AC$18+J148*$AC$19+K148*$AC$20+L148*$AC$21+M148*$AC$22+N148*$AC$23+O148*$AC$24+P148*$AC$25+Q148*$AC$26+R148*$AC$27+S148*$AC$28+T148*$AC$29+U148*$AC$30</f>
        <v/>
      </c>
      <c r="W148" s="8">
        <f>1/(1+EXP(-V148))</f>
        <v/>
      </c>
      <c r="X148" s="9">
        <f>-IF(C148=1,LN(W148),LN(1-W148))</f>
        <v/>
      </c>
      <c r="Y148" s="10">
        <f>IF(W148&gt;$AC$33,1,0)</f>
        <v/>
      </c>
      <c r="Z148">
        <f>IF(Y148=C148,1,0)</f>
        <v/>
      </c>
    </row>
    <row r="149">
      <c r="A149">
        <f>'1 datos preparados'!A142</f>
        <v/>
      </c>
      <c r="B149" s="5">
        <f>'1 datos preparados'!U142</f>
        <v/>
      </c>
      <c r="C149">
        <f>'1 datos preparados'!B142</f>
        <v/>
      </c>
      <c r="D149" s="7">
        <f>'1 datos preparados'!C142</f>
        <v/>
      </c>
      <c r="E149" s="7">
        <f>'1 datos preparados'!D142</f>
        <v/>
      </c>
      <c r="F149" s="7">
        <f>'1 datos preparados'!E142</f>
        <v/>
      </c>
      <c r="G149" s="7">
        <f>'1 datos preparados'!F142</f>
        <v/>
      </c>
      <c r="H149" s="7">
        <f>'1 datos preparados'!G142</f>
        <v/>
      </c>
      <c r="I149" s="7">
        <f>'1 datos preparados'!H142</f>
        <v/>
      </c>
      <c r="J149" s="7">
        <f>'1 datos preparados'!I142</f>
        <v/>
      </c>
      <c r="K149" s="7">
        <f>'1 datos preparados'!J142</f>
        <v/>
      </c>
      <c r="L149" s="7">
        <f>'1 datos preparados'!K142</f>
        <v/>
      </c>
      <c r="M149" s="7">
        <f>'1 datos preparados'!L142</f>
        <v/>
      </c>
      <c r="N149" s="7">
        <f>'1 datos preparados'!M142</f>
        <v/>
      </c>
      <c r="O149" s="7">
        <f>'1 datos preparados'!N142</f>
        <v/>
      </c>
      <c r="P149" s="7">
        <f>'1 datos preparados'!O142</f>
        <v/>
      </c>
      <c r="Q149" s="7">
        <f>'1 datos preparados'!P142</f>
        <v/>
      </c>
      <c r="R149" s="7">
        <f>'1 datos preparados'!Q142</f>
        <v/>
      </c>
      <c r="S149" s="7">
        <f>'1 datos preparados'!R142</f>
        <v/>
      </c>
      <c r="T149" s="7">
        <f>'1 datos preparados'!S142</f>
        <v/>
      </c>
      <c r="U149" s="7">
        <f>'1 datos preparados'!T142</f>
        <v/>
      </c>
      <c r="V149" s="8">
        <f>$AC$12+D149*$AC$13+E149*$AC$14+F149*$AC$15+G149*$AC$16+H149*$AC$17+I149*$AC$18+J149*$AC$19+K149*$AC$20+L149*$AC$21+M149*$AC$22+N149*$AC$23+O149*$AC$24+P149*$AC$25+Q149*$AC$26+R149*$AC$27+S149*$AC$28+T149*$AC$29+U149*$AC$30</f>
        <v/>
      </c>
      <c r="W149" s="8">
        <f>1/(1+EXP(-V149))</f>
        <v/>
      </c>
      <c r="X149" s="9">
        <f>-IF(C149=1,LN(W149),LN(1-W149))</f>
        <v/>
      </c>
      <c r="Y149" s="10">
        <f>IF(W149&gt;$AC$33,1,0)</f>
        <v/>
      </c>
      <c r="Z149">
        <f>IF(Y149=C149,1,0)</f>
        <v/>
      </c>
    </row>
    <row r="150">
      <c r="A150">
        <f>'1 datos preparados'!A143</f>
        <v/>
      </c>
      <c r="B150" s="5">
        <f>'1 datos preparados'!U143</f>
        <v/>
      </c>
      <c r="C150">
        <f>'1 datos preparados'!B143</f>
        <v/>
      </c>
      <c r="D150" s="7">
        <f>'1 datos preparados'!C143</f>
        <v/>
      </c>
      <c r="E150" s="7">
        <f>'1 datos preparados'!D143</f>
        <v/>
      </c>
      <c r="F150" s="7">
        <f>'1 datos preparados'!E143</f>
        <v/>
      </c>
      <c r="G150" s="7">
        <f>'1 datos preparados'!F143</f>
        <v/>
      </c>
      <c r="H150" s="7">
        <f>'1 datos preparados'!G143</f>
        <v/>
      </c>
      <c r="I150" s="7">
        <f>'1 datos preparados'!H143</f>
        <v/>
      </c>
      <c r="J150" s="7">
        <f>'1 datos preparados'!I143</f>
        <v/>
      </c>
      <c r="K150" s="7">
        <f>'1 datos preparados'!J143</f>
        <v/>
      </c>
      <c r="L150" s="7">
        <f>'1 datos preparados'!K143</f>
        <v/>
      </c>
      <c r="M150" s="7">
        <f>'1 datos preparados'!L143</f>
        <v/>
      </c>
      <c r="N150" s="7">
        <f>'1 datos preparados'!M143</f>
        <v/>
      </c>
      <c r="O150" s="7">
        <f>'1 datos preparados'!N143</f>
        <v/>
      </c>
      <c r="P150" s="7">
        <f>'1 datos preparados'!O143</f>
        <v/>
      </c>
      <c r="Q150" s="7">
        <f>'1 datos preparados'!P143</f>
        <v/>
      </c>
      <c r="R150" s="7">
        <f>'1 datos preparados'!Q143</f>
        <v/>
      </c>
      <c r="S150" s="7">
        <f>'1 datos preparados'!R143</f>
        <v/>
      </c>
      <c r="T150" s="7">
        <f>'1 datos preparados'!S143</f>
        <v/>
      </c>
      <c r="U150" s="7">
        <f>'1 datos preparados'!T143</f>
        <v/>
      </c>
      <c r="V150" s="8">
        <f>$AC$12+D150*$AC$13+E150*$AC$14+F150*$AC$15+G150*$AC$16+H150*$AC$17+I150*$AC$18+J150*$AC$19+K150*$AC$20+L150*$AC$21+M150*$AC$22+N150*$AC$23+O150*$AC$24+P150*$AC$25+Q150*$AC$26+R150*$AC$27+S150*$AC$28+T150*$AC$29+U150*$AC$30</f>
        <v/>
      </c>
      <c r="W150" s="8">
        <f>1/(1+EXP(-V150))</f>
        <v/>
      </c>
      <c r="X150" s="9">
        <f>-IF(C150=1,LN(W150),LN(1-W150))</f>
        <v/>
      </c>
      <c r="Y150" s="10">
        <f>IF(W150&gt;$AC$33,1,0)</f>
        <v/>
      </c>
      <c r="Z150">
        <f>IF(Y150=C150,1,0)</f>
        <v/>
      </c>
    </row>
    <row r="151">
      <c r="A151">
        <f>'1 datos preparados'!A144</f>
        <v/>
      </c>
      <c r="B151" s="5">
        <f>'1 datos preparados'!U144</f>
        <v/>
      </c>
      <c r="C151">
        <f>'1 datos preparados'!B144</f>
        <v/>
      </c>
      <c r="D151" s="7">
        <f>'1 datos preparados'!C144</f>
        <v/>
      </c>
      <c r="E151" s="7">
        <f>'1 datos preparados'!D144</f>
        <v/>
      </c>
      <c r="F151" s="7">
        <f>'1 datos preparados'!E144</f>
        <v/>
      </c>
      <c r="G151" s="7">
        <f>'1 datos preparados'!F144</f>
        <v/>
      </c>
      <c r="H151" s="7">
        <f>'1 datos preparados'!G144</f>
        <v/>
      </c>
      <c r="I151" s="7">
        <f>'1 datos preparados'!H144</f>
        <v/>
      </c>
      <c r="J151" s="7">
        <f>'1 datos preparados'!I144</f>
        <v/>
      </c>
      <c r="K151" s="7">
        <f>'1 datos preparados'!J144</f>
        <v/>
      </c>
      <c r="L151" s="7">
        <f>'1 datos preparados'!K144</f>
        <v/>
      </c>
      <c r="M151" s="7">
        <f>'1 datos preparados'!L144</f>
        <v/>
      </c>
      <c r="N151" s="7">
        <f>'1 datos preparados'!M144</f>
        <v/>
      </c>
      <c r="O151" s="7">
        <f>'1 datos preparados'!N144</f>
        <v/>
      </c>
      <c r="P151" s="7">
        <f>'1 datos preparados'!O144</f>
        <v/>
      </c>
      <c r="Q151" s="7">
        <f>'1 datos preparados'!P144</f>
        <v/>
      </c>
      <c r="R151" s="7">
        <f>'1 datos preparados'!Q144</f>
        <v/>
      </c>
      <c r="S151" s="7">
        <f>'1 datos preparados'!R144</f>
        <v/>
      </c>
      <c r="T151" s="7">
        <f>'1 datos preparados'!S144</f>
        <v/>
      </c>
      <c r="U151" s="7">
        <f>'1 datos preparados'!T144</f>
        <v/>
      </c>
      <c r="V151" s="8">
        <f>$AC$12+D151*$AC$13+E151*$AC$14+F151*$AC$15+G151*$AC$16+H151*$AC$17+I151*$AC$18+J151*$AC$19+K151*$AC$20+L151*$AC$21+M151*$AC$22+N151*$AC$23+O151*$AC$24+P151*$AC$25+Q151*$AC$26+R151*$AC$27+S151*$AC$28+T151*$AC$29+U151*$AC$30</f>
        <v/>
      </c>
      <c r="W151" s="8">
        <f>1/(1+EXP(-V151))</f>
        <v/>
      </c>
      <c r="X151" s="9">
        <f>-IF(C151=1,LN(W151),LN(1-W151))</f>
        <v/>
      </c>
      <c r="Y151" s="10">
        <f>IF(W151&gt;$AC$33,1,0)</f>
        <v/>
      </c>
      <c r="Z151">
        <f>IF(Y151=C151,1,0)</f>
        <v/>
      </c>
    </row>
    <row r="152">
      <c r="A152">
        <f>'1 datos preparados'!A145</f>
        <v/>
      </c>
      <c r="B152" s="5">
        <f>'1 datos preparados'!U145</f>
        <v/>
      </c>
      <c r="C152">
        <f>'1 datos preparados'!B145</f>
        <v/>
      </c>
      <c r="D152" s="7">
        <f>'1 datos preparados'!C145</f>
        <v/>
      </c>
      <c r="E152" s="7">
        <f>'1 datos preparados'!D145</f>
        <v/>
      </c>
      <c r="F152" s="7">
        <f>'1 datos preparados'!E145</f>
        <v/>
      </c>
      <c r="G152" s="7">
        <f>'1 datos preparados'!F145</f>
        <v/>
      </c>
      <c r="H152" s="7">
        <f>'1 datos preparados'!G145</f>
        <v/>
      </c>
      <c r="I152" s="7">
        <f>'1 datos preparados'!H145</f>
        <v/>
      </c>
      <c r="J152" s="7">
        <f>'1 datos preparados'!I145</f>
        <v/>
      </c>
      <c r="K152" s="7">
        <f>'1 datos preparados'!J145</f>
        <v/>
      </c>
      <c r="L152" s="7">
        <f>'1 datos preparados'!K145</f>
        <v/>
      </c>
      <c r="M152" s="7">
        <f>'1 datos preparados'!L145</f>
        <v/>
      </c>
      <c r="N152" s="7">
        <f>'1 datos preparados'!M145</f>
        <v/>
      </c>
      <c r="O152" s="7">
        <f>'1 datos preparados'!N145</f>
        <v/>
      </c>
      <c r="P152" s="7">
        <f>'1 datos preparados'!O145</f>
        <v/>
      </c>
      <c r="Q152" s="7">
        <f>'1 datos preparados'!P145</f>
        <v/>
      </c>
      <c r="R152" s="7">
        <f>'1 datos preparados'!Q145</f>
        <v/>
      </c>
      <c r="S152" s="7">
        <f>'1 datos preparados'!R145</f>
        <v/>
      </c>
      <c r="T152" s="7">
        <f>'1 datos preparados'!S145</f>
        <v/>
      </c>
      <c r="U152" s="7">
        <f>'1 datos preparados'!T145</f>
        <v/>
      </c>
      <c r="V152" s="8">
        <f>$AC$12+D152*$AC$13+E152*$AC$14+F152*$AC$15+G152*$AC$16+H152*$AC$17+I152*$AC$18+J152*$AC$19+K152*$AC$20+L152*$AC$21+M152*$AC$22+N152*$AC$23+O152*$AC$24+P152*$AC$25+Q152*$AC$26+R152*$AC$27+S152*$AC$28+T152*$AC$29+U152*$AC$30</f>
        <v/>
      </c>
      <c r="W152" s="8">
        <f>1/(1+EXP(-V152))</f>
        <v/>
      </c>
      <c r="X152" s="9">
        <f>-IF(C152=1,LN(W152),LN(1-W152))</f>
        <v/>
      </c>
      <c r="Y152" s="10">
        <f>IF(W152&gt;$AC$33,1,0)</f>
        <v/>
      </c>
      <c r="Z152">
        <f>IF(Y152=C152,1,0)</f>
        <v/>
      </c>
    </row>
    <row r="153">
      <c r="A153">
        <f>'1 datos preparados'!A146</f>
        <v/>
      </c>
      <c r="B153" s="5">
        <f>'1 datos preparados'!U146</f>
        <v/>
      </c>
      <c r="C153">
        <f>'1 datos preparados'!B146</f>
        <v/>
      </c>
      <c r="D153" s="7">
        <f>'1 datos preparados'!C146</f>
        <v/>
      </c>
      <c r="E153" s="7">
        <f>'1 datos preparados'!D146</f>
        <v/>
      </c>
      <c r="F153" s="7">
        <f>'1 datos preparados'!E146</f>
        <v/>
      </c>
      <c r="G153" s="7">
        <f>'1 datos preparados'!F146</f>
        <v/>
      </c>
      <c r="H153" s="7">
        <f>'1 datos preparados'!G146</f>
        <v/>
      </c>
      <c r="I153" s="7">
        <f>'1 datos preparados'!H146</f>
        <v/>
      </c>
      <c r="J153" s="7">
        <f>'1 datos preparados'!I146</f>
        <v/>
      </c>
      <c r="K153" s="7">
        <f>'1 datos preparados'!J146</f>
        <v/>
      </c>
      <c r="L153" s="7">
        <f>'1 datos preparados'!K146</f>
        <v/>
      </c>
      <c r="M153" s="7">
        <f>'1 datos preparados'!L146</f>
        <v/>
      </c>
      <c r="N153" s="7">
        <f>'1 datos preparados'!M146</f>
        <v/>
      </c>
      <c r="O153" s="7">
        <f>'1 datos preparados'!N146</f>
        <v/>
      </c>
      <c r="P153" s="7">
        <f>'1 datos preparados'!O146</f>
        <v/>
      </c>
      <c r="Q153" s="7">
        <f>'1 datos preparados'!P146</f>
        <v/>
      </c>
      <c r="R153" s="7">
        <f>'1 datos preparados'!Q146</f>
        <v/>
      </c>
      <c r="S153" s="7">
        <f>'1 datos preparados'!R146</f>
        <v/>
      </c>
      <c r="T153" s="7">
        <f>'1 datos preparados'!S146</f>
        <v/>
      </c>
      <c r="U153" s="7">
        <f>'1 datos preparados'!T146</f>
        <v/>
      </c>
      <c r="V153" s="8">
        <f>$AC$12+D153*$AC$13+E153*$AC$14+F153*$AC$15+G153*$AC$16+H153*$AC$17+I153*$AC$18+J153*$AC$19+K153*$AC$20+L153*$AC$21+M153*$AC$22+N153*$AC$23+O153*$AC$24+P153*$AC$25+Q153*$AC$26+R153*$AC$27+S153*$AC$28+T153*$AC$29+U153*$AC$30</f>
        <v/>
      </c>
      <c r="W153" s="8">
        <f>1/(1+EXP(-V153))</f>
        <v/>
      </c>
      <c r="X153" s="9">
        <f>-IF(C153=1,LN(W153),LN(1-W153))</f>
        <v/>
      </c>
      <c r="Y153" s="10">
        <f>IF(W153&gt;$AC$33,1,0)</f>
        <v/>
      </c>
      <c r="Z153">
        <f>IF(Y153=C153,1,0)</f>
        <v/>
      </c>
    </row>
    <row r="154">
      <c r="A154">
        <f>'1 datos preparados'!A147</f>
        <v/>
      </c>
      <c r="B154" s="5">
        <f>'1 datos preparados'!U147</f>
        <v/>
      </c>
      <c r="C154">
        <f>'1 datos preparados'!B147</f>
        <v/>
      </c>
      <c r="D154" s="7">
        <f>'1 datos preparados'!C147</f>
        <v/>
      </c>
      <c r="E154" s="7">
        <f>'1 datos preparados'!D147</f>
        <v/>
      </c>
      <c r="F154" s="7">
        <f>'1 datos preparados'!E147</f>
        <v/>
      </c>
      <c r="G154" s="7">
        <f>'1 datos preparados'!F147</f>
        <v/>
      </c>
      <c r="H154" s="7">
        <f>'1 datos preparados'!G147</f>
        <v/>
      </c>
      <c r="I154" s="7">
        <f>'1 datos preparados'!H147</f>
        <v/>
      </c>
      <c r="J154" s="7">
        <f>'1 datos preparados'!I147</f>
        <v/>
      </c>
      <c r="K154" s="7">
        <f>'1 datos preparados'!J147</f>
        <v/>
      </c>
      <c r="L154" s="7">
        <f>'1 datos preparados'!K147</f>
        <v/>
      </c>
      <c r="M154" s="7">
        <f>'1 datos preparados'!L147</f>
        <v/>
      </c>
      <c r="N154" s="7">
        <f>'1 datos preparados'!M147</f>
        <v/>
      </c>
      <c r="O154" s="7">
        <f>'1 datos preparados'!N147</f>
        <v/>
      </c>
      <c r="P154" s="7">
        <f>'1 datos preparados'!O147</f>
        <v/>
      </c>
      <c r="Q154" s="7">
        <f>'1 datos preparados'!P147</f>
        <v/>
      </c>
      <c r="R154" s="7">
        <f>'1 datos preparados'!Q147</f>
        <v/>
      </c>
      <c r="S154" s="7">
        <f>'1 datos preparados'!R147</f>
        <v/>
      </c>
      <c r="T154" s="7">
        <f>'1 datos preparados'!S147</f>
        <v/>
      </c>
      <c r="U154" s="7">
        <f>'1 datos preparados'!T147</f>
        <v/>
      </c>
      <c r="V154" s="8">
        <f>$AC$12+D154*$AC$13+E154*$AC$14+F154*$AC$15+G154*$AC$16+H154*$AC$17+I154*$AC$18+J154*$AC$19+K154*$AC$20+L154*$AC$21+M154*$AC$22+N154*$AC$23+O154*$AC$24+P154*$AC$25+Q154*$AC$26+R154*$AC$27+S154*$AC$28+T154*$AC$29+U154*$AC$30</f>
        <v/>
      </c>
      <c r="W154" s="8">
        <f>1/(1+EXP(-V154))</f>
        <v/>
      </c>
      <c r="X154" s="9">
        <f>-IF(C154=1,LN(W154),LN(1-W154))</f>
        <v/>
      </c>
      <c r="Y154" s="10">
        <f>IF(W154&gt;$AC$33,1,0)</f>
        <v/>
      </c>
      <c r="Z154">
        <f>IF(Y154=C154,1,0)</f>
        <v/>
      </c>
    </row>
    <row r="155">
      <c r="A155">
        <f>'1 datos preparados'!A148</f>
        <v/>
      </c>
      <c r="B155" s="5">
        <f>'1 datos preparados'!U148</f>
        <v/>
      </c>
      <c r="C155">
        <f>'1 datos preparados'!B148</f>
        <v/>
      </c>
      <c r="D155" s="7">
        <f>'1 datos preparados'!C148</f>
        <v/>
      </c>
      <c r="E155" s="7">
        <f>'1 datos preparados'!D148</f>
        <v/>
      </c>
      <c r="F155" s="7">
        <f>'1 datos preparados'!E148</f>
        <v/>
      </c>
      <c r="G155" s="7">
        <f>'1 datos preparados'!F148</f>
        <v/>
      </c>
      <c r="H155" s="7">
        <f>'1 datos preparados'!G148</f>
        <v/>
      </c>
      <c r="I155" s="7">
        <f>'1 datos preparados'!H148</f>
        <v/>
      </c>
      <c r="J155" s="7">
        <f>'1 datos preparados'!I148</f>
        <v/>
      </c>
      <c r="K155" s="7">
        <f>'1 datos preparados'!J148</f>
        <v/>
      </c>
      <c r="L155" s="7">
        <f>'1 datos preparados'!K148</f>
        <v/>
      </c>
      <c r="M155" s="7">
        <f>'1 datos preparados'!L148</f>
        <v/>
      </c>
      <c r="N155" s="7">
        <f>'1 datos preparados'!M148</f>
        <v/>
      </c>
      <c r="O155" s="7">
        <f>'1 datos preparados'!N148</f>
        <v/>
      </c>
      <c r="P155" s="7">
        <f>'1 datos preparados'!O148</f>
        <v/>
      </c>
      <c r="Q155" s="7">
        <f>'1 datos preparados'!P148</f>
        <v/>
      </c>
      <c r="R155" s="7">
        <f>'1 datos preparados'!Q148</f>
        <v/>
      </c>
      <c r="S155" s="7">
        <f>'1 datos preparados'!R148</f>
        <v/>
      </c>
      <c r="T155" s="7">
        <f>'1 datos preparados'!S148</f>
        <v/>
      </c>
      <c r="U155" s="7">
        <f>'1 datos preparados'!T148</f>
        <v/>
      </c>
      <c r="V155" s="8">
        <f>$AC$12+D155*$AC$13+E155*$AC$14+F155*$AC$15+G155*$AC$16+H155*$AC$17+I155*$AC$18+J155*$AC$19+K155*$AC$20+L155*$AC$21+M155*$AC$22+N155*$AC$23+O155*$AC$24+P155*$AC$25+Q155*$AC$26+R155*$AC$27+S155*$AC$28+T155*$AC$29+U155*$AC$30</f>
        <v/>
      </c>
      <c r="W155" s="8">
        <f>1/(1+EXP(-V155))</f>
        <v/>
      </c>
      <c r="X155" s="9">
        <f>-IF(C155=1,LN(W155),LN(1-W155))</f>
        <v/>
      </c>
      <c r="Y155" s="10">
        <f>IF(W155&gt;$AC$33,1,0)</f>
        <v/>
      </c>
      <c r="Z155">
        <f>IF(Y155=C155,1,0)</f>
        <v/>
      </c>
    </row>
    <row r="156">
      <c r="A156">
        <f>'1 datos preparados'!A149</f>
        <v/>
      </c>
      <c r="B156" s="5">
        <f>'1 datos preparados'!U149</f>
        <v/>
      </c>
      <c r="C156">
        <f>'1 datos preparados'!B149</f>
        <v/>
      </c>
      <c r="D156" s="7">
        <f>'1 datos preparados'!C149</f>
        <v/>
      </c>
      <c r="E156" s="7">
        <f>'1 datos preparados'!D149</f>
        <v/>
      </c>
      <c r="F156" s="7">
        <f>'1 datos preparados'!E149</f>
        <v/>
      </c>
      <c r="G156" s="7">
        <f>'1 datos preparados'!F149</f>
        <v/>
      </c>
      <c r="H156" s="7">
        <f>'1 datos preparados'!G149</f>
        <v/>
      </c>
      <c r="I156" s="7">
        <f>'1 datos preparados'!H149</f>
        <v/>
      </c>
      <c r="J156" s="7">
        <f>'1 datos preparados'!I149</f>
        <v/>
      </c>
      <c r="K156" s="7">
        <f>'1 datos preparados'!J149</f>
        <v/>
      </c>
      <c r="L156" s="7">
        <f>'1 datos preparados'!K149</f>
        <v/>
      </c>
      <c r="M156" s="7">
        <f>'1 datos preparados'!L149</f>
        <v/>
      </c>
      <c r="N156" s="7">
        <f>'1 datos preparados'!M149</f>
        <v/>
      </c>
      <c r="O156" s="7">
        <f>'1 datos preparados'!N149</f>
        <v/>
      </c>
      <c r="P156" s="7">
        <f>'1 datos preparados'!O149</f>
        <v/>
      </c>
      <c r="Q156" s="7">
        <f>'1 datos preparados'!P149</f>
        <v/>
      </c>
      <c r="R156" s="7">
        <f>'1 datos preparados'!Q149</f>
        <v/>
      </c>
      <c r="S156" s="7">
        <f>'1 datos preparados'!R149</f>
        <v/>
      </c>
      <c r="T156" s="7">
        <f>'1 datos preparados'!S149</f>
        <v/>
      </c>
      <c r="U156" s="7">
        <f>'1 datos preparados'!T149</f>
        <v/>
      </c>
      <c r="V156" s="8">
        <f>$AC$12+D156*$AC$13+E156*$AC$14+F156*$AC$15+G156*$AC$16+H156*$AC$17+I156*$AC$18+J156*$AC$19+K156*$AC$20+L156*$AC$21+M156*$AC$22+N156*$AC$23+O156*$AC$24+P156*$AC$25+Q156*$AC$26+R156*$AC$27+S156*$AC$28+T156*$AC$29+U156*$AC$30</f>
        <v/>
      </c>
      <c r="W156" s="8">
        <f>1/(1+EXP(-V156))</f>
        <v/>
      </c>
      <c r="X156" s="9">
        <f>-IF(C156=1,LN(W156),LN(1-W156))</f>
        <v/>
      </c>
      <c r="Y156" s="10">
        <f>IF(W156&gt;$AC$33,1,0)</f>
        <v/>
      </c>
      <c r="Z156">
        <f>IF(Y156=C156,1,0)</f>
        <v/>
      </c>
    </row>
    <row r="157">
      <c r="A157">
        <f>'1 datos preparados'!A150</f>
        <v/>
      </c>
      <c r="B157" s="5">
        <f>'1 datos preparados'!U150</f>
        <v/>
      </c>
      <c r="C157">
        <f>'1 datos preparados'!B150</f>
        <v/>
      </c>
      <c r="D157" s="7">
        <f>'1 datos preparados'!C150</f>
        <v/>
      </c>
      <c r="E157" s="7">
        <f>'1 datos preparados'!D150</f>
        <v/>
      </c>
      <c r="F157" s="7">
        <f>'1 datos preparados'!E150</f>
        <v/>
      </c>
      <c r="G157" s="7">
        <f>'1 datos preparados'!F150</f>
        <v/>
      </c>
      <c r="H157" s="7">
        <f>'1 datos preparados'!G150</f>
        <v/>
      </c>
      <c r="I157" s="7">
        <f>'1 datos preparados'!H150</f>
        <v/>
      </c>
      <c r="J157" s="7">
        <f>'1 datos preparados'!I150</f>
        <v/>
      </c>
      <c r="K157" s="7">
        <f>'1 datos preparados'!J150</f>
        <v/>
      </c>
      <c r="L157" s="7">
        <f>'1 datos preparados'!K150</f>
        <v/>
      </c>
      <c r="M157" s="7">
        <f>'1 datos preparados'!L150</f>
        <v/>
      </c>
      <c r="N157" s="7">
        <f>'1 datos preparados'!M150</f>
        <v/>
      </c>
      <c r="O157" s="7">
        <f>'1 datos preparados'!N150</f>
        <v/>
      </c>
      <c r="P157" s="7">
        <f>'1 datos preparados'!O150</f>
        <v/>
      </c>
      <c r="Q157" s="7">
        <f>'1 datos preparados'!P150</f>
        <v/>
      </c>
      <c r="R157" s="7">
        <f>'1 datos preparados'!Q150</f>
        <v/>
      </c>
      <c r="S157" s="7">
        <f>'1 datos preparados'!R150</f>
        <v/>
      </c>
      <c r="T157" s="7">
        <f>'1 datos preparados'!S150</f>
        <v/>
      </c>
      <c r="U157" s="7">
        <f>'1 datos preparados'!T150</f>
        <v/>
      </c>
      <c r="V157" s="8">
        <f>$AC$12+D157*$AC$13+E157*$AC$14+F157*$AC$15+G157*$AC$16+H157*$AC$17+I157*$AC$18+J157*$AC$19+K157*$AC$20+L157*$AC$21+M157*$AC$22+N157*$AC$23+O157*$AC$24+P157*$AC$25+Q157*$AC$26+R157*$AC$27+S157*$AC$28+T157*$AC$29+U157*$AC$30</f>
        <v/>
      </c>
      <c r="W157" s="8">
        <f>1/(1+EXP(-V157))</f>
        <v/>
      </c>
      <c r="X157" s="9">
        <f>-IF(C157=1,LN(W157),LN(1-W157))</f>
        <v/>
      </c>
      <c r="Y157" s="10">
        <f>IF(W157&gt;$AC$33,1,0)</f>
        <v/>
      </c>
      <c r="Z157">
        <f>IF(Y157=C157,1,0)</f>
        <v/>
      </c>
    </row>
    <row r="158">
      <c r="A158">
        <f>'1 datos preparados'!A151</f>
        <v/>
      </c>
      <c r="B158" s="5">
        <f>'1 datos preparados'!U151</f>
        <v/>
      </c>
      <c r="C158">
        <f>'1 datos preparados'!B151</f>
        <v/>
      </c>
      <c r="D158" s="7">
        <f>'1 datos preparados'!C151</f>
        <v/>
      </c>
      <c r="E158" s="7">
        <f>'1 datos preparados'!D151</f>
        <v/>
      </c>
      <c r="F158" s="7">
        <f>'1 datos preparados'!E151</f>
        <v/>
      </c>
      <c r="G158" s="7">
        <f>'1 datos preparados'!F151</f>
        <v/>
      </c>
      <c r="H158" s="7">
        <f>'1 datos preparados'!G151</f>
        <v/>
      </c>
      <c r="I158" s="7">
        <f>'1 datos preparados'!H151</f>
        <v/>
      </c>
      <c r="J158" s="7">
        <f>'1 datos preparados'!I151</f>
        <v/>
      </c>
      <c r="K158" s="7">
        <f>'1 datos preparados'!J151</f>
        <v/>
      </c>
      <c r="L158" s="7">
        <f>'1 datos preparados'!K151</f>
        <v/>
      </c>
      <c r="M158" s="7">
        <f>'1 datos preparados'!L151</f>
        <v/>
      </c>
      <c r="N158" s="7">
        <f>'1 datos preparados'!M151</f>
        <v/>
      </c>
      <c r="O158" s="7">
        <f>'1 datos preparados'!N151</f>
        <v/>
      </c>
      <c r="P158" s="7">
        <f>'1 datos preparados'!O151</f>
        <v/>
      </c>
      <c r="Q158" s="7">
        <f>'1 datos preparados'!P151</f>
        <v/>
      </c>
      <c r="R158" s="7">
        <f>'1 datos preparados'!Q151</f>
        <v/>
      </c>
      <c r="S158" s="7">
        <f>'1 datos preparados'!R151</f>
        <v/>
      </c>
      <c r="T158" s="7">
        <f>'1 datos preparados'!S151</f>
        <v/>
      </c>
      <c r="U158" s="7">
        <f>'1 datos preparados'!T151</f>
        <v/>
      </c>
      <c r="V158" s="8">
        <f>$AC$12+D158*$AC$13+E158*$AC$14+F158*$AC$15+G158*$AC$16+H158*$AC$17+I158*$AC$18+J158*$AC$19+K158*$AC$20+L158*$AC$21+M158*$AC$22+N158*$AC$23+O158*$AC$24+P158*$AC$25+Q158*$AC$26+R158*$AC$27+S158*$AC$28+T158*$AC$29+U158*$AC$30</f>
        <v/>
      </c>
      <c r="W158" s="8">
        <f>1/(1+EXP(-V158))</f>
        <v/>
      </c>
      <c r="X158" s="9">
        <f>-IF(C158=1,LN(W158),LN(1-W158))</f>
        <v/>
      </c>
      <c r="Y158" s="10">
        <f>IF(W158&gt;$AC$33,1,0)</f>
        <v/>
      </c>
      <c r="Z158">
        <f>IF(Y158=C158,1,0)</f>
        <v/>
      </c>
    </row>
    <row r="159">
      <c r="A159">
        <f>'1 datos preparados'!A152</f>
        <v/>
      </c>
      <c r="B159" s="5">
        <f>'1 datos preparados'!U152</f>
        <v/>
      </c>
      <c r="C159">
        <f>'1 datos preparados'!B152</f>
        <v/>
      </c>
      <c r="D159" s="7">
        <f>'1 datos preparados'!C152</f>
        <v/>
      </c>
      <c r="E159" s="7">
        <f>'1 datos preparados'!D152</f>
        <v/>
      </c>
      <c r="F159" s="7">
        <f>'1 datos preparados'!E152</f>
        <v/>
      </c>
      <c r="G159" s="7">
        <f>'1 datos preparados'!F152</f>
        <v/>
      </c>
      <c r="H159" s="7">
        <f>'1 datos preparados'!G152</f>
        <v/>
      </c>
      <c r="I159" s="7">
        <f>'1 datos preparados'!H152</f>
        <v/>
      </c>
      <c r="J159" s="7">
        <f>'1 datos preparados'!I152</f>
        <v/>
      </c>
      <c r="K159" s="7">
        <f>'1 datos preparados'!J152</f>
        <v/>
      </c>
      <c r="L159" s="7">
        <f>'1 datos preparados'!K152</f>
        <v/>
      </c>
      <c r="M159" s="7">
        <f>'1 datos preparados'!L152</f>
        <v/>
      </c>
      <c r="N159" s="7">
        <f>'1 datos preparados'!M152</f>
        <v/>
      </c>
      <c r="O159" s="7">
        <f>'1 datos preparados'!N152</f>
        <v/>
      </c>
      <c r="P159" s="7">
        <f>'1 datos preparados'!O152</f>
        <v/>
      </c>
      <c r="Q159" s="7">
        <f>'1 datos preparados'!P152</f>
        <v/>
      </c>
      <c r="R159" s="7">
        <f>'1 datos preparados'!Q152</f>
        <v/>
      </c>
      <c r="S159" s="7">
        <f>'1 datos preparados'!R152</f>
        <v/>
      </c>
      <c r="T159" s="7">
        <f>'1 datos preparados'!S152</f>
        <v/>
      </c>
      <c r="U159" s="7">
        <f>'1 datos preparados'!T152</f>
        <v/>
      </c>
      <c r="V159" s="8">
        <f>$AC$12+D159*$AC$13+E159*$AC$14+F159*$AC$15+G159*$AC$16+H159*$AC$17+I159*$AC$18+J159*$AC$19+K159*$AC$20+L159*$AC$21+M159*$AC$22+N159*$AC$23+O159*$AC$24+P159*$AC$25+Q159*$AC$26+R159*$AC$27+S159*$AC$28+T159*$AC$29+U159*$AC$30</f>
        <v/>
      </c>
      <c r="W159" s="8">
        <f>1/(1+EXP(-V159))</f>
        <v/>
      </c>
      <c r="X159" s="9">
        <f>-IF(C159=1,LN(W159),LN(1-W159))</f>
        <v/>
      </c>
      <c r="Y159" s="10">
        <f>IF(W159&gt;$AC$33,1,0)</f>
        <v/>
      </c>
      <c r="Z159">
        <f>IF(Y159=C159,1,0)</f>
        <v/>
      </c>
    </row>
    <row r="160">
      <c r="A160">
        <f>'1 datos preparados'!A153</f>
        <v/>
      </c>
      <c r="B160" s="5">
        <f>'1 datos preparados'!U153</f>
        <v/>
      </c>
      <c r="C160">
        <f>'1 datos preparados'!B153</f>
        <v/>
      </c>
      <c r="D160" s="7">
        <f>'1 datos preparados'!C153</f>
        <v/>
      </c>
      <c r="E160" s="7">
        <f>'1 datos preparados'!D153</f>
        <v/>
      </c>
      <c r="F160" s="7">
        <f>'1 datos preparados'!E153</f>
        <v/>
      </c>
      <c r="G160" s="7">
        <f>'1 datos preparados'!F153</f>
        <v/>
      </c>
      <c r="H160" s="7">
        <f>'1 datos preparados'!G153</f>
        <v/>
      </c>
      <c r="I160" s="7">
        <f>'1 datos preparados'!H153</f>
        <v/>
      </c>
      <c r="J160" s="7">
        <f>'1 datos preparados'!I153</f>
        <v/>
      </c>
      <c r="K160" s="7">
        <f>'1 datos preparados'!J153</f>
        <v/>
      </c>
      <c r="L160" s="7">
        <f>'1 datos preparados'!K153</f>
        <v/>
      </c>
      <c r="M160" s="7">
        <f>'1 datos preparados'!L153</f>
        <v/>
      </c>
      <c r="N160" s="7">
        <f>'1 datos preparados'!M153</f>
        <v/>
      </c>
      <c r="O160" s="7">
        <f>'1 datos preparados'!N153</f>
        <v/>
      </c>
      <c r="P160" s="7">
        <f>'1 datos preparados'!O153</f>
        <v/>
      </c>
      <c r="Q160" s="7">
        <f>'1 datos preparados'!P153</f>
        <v/>
      </c>
      <c r="R160" s="7">
        <f>'1 datos preparados'!Q153</f>
        <v/>
      </c>
      <c r="S160" s="7">
        <f>'1 datos preparados'!R153</f>
        <v/>
      </c>
      <c r="T160" s="7">
        <f>'1 datos preparados'!S153</f>
        <v/>
      </c>
      <c r="U160" s="7">
        <f>'1 datos preparados'!T153</f>
        <v/>
      </c>
      <c r="V160" s="8">
        <f>$AC$12+D160*$AC$13+E160*$AC$14+F160*$AC$15+G160*$AC$16+H160*$AC$17+I160*$AC$18+J160*$AC$19+K160*$AC$20+L160*$AC$21+M160*$AC$22+N160*$AC$23+O160*$AC$24+P160*$AC$25+Q160*$AC$26+R160*$AC$27+S160*$AC$28+T160*$AC$29+U160*$AC$30</f>
        <v/>
      </c>
      <c r="W160" s="8">
        <f>1/(1+EXP(-V160))</f>
        <v/>
      </c>
      <c r="X160" s="9">
        <f>-IF(C160=1,LN(W160),LN(1-W160))</f>
        <v/>
      </c>
      <c r="Y160" s="10">
        <f>IF(W160&gt;$AC$33,1,0)</f>
        <v/>
      </c>
      <c r="Z160">
        <f>IF(Y160=C160,1,0)</f>
        <v/>
      </c>
    </row>
    <row r="161">
      <c r="A161">
        <f>'1 datos preparados'!A154</f>
        <v/>
      </c>
      <c r="B161" s="5">
        <f>'1 datos preparados'!U154</f>
        <v/>
      </c>
      <c r="C161">
        <f>'1 datos preparados'!B154</f>
        <v/>
      </c>
      <c r="D161" s="7">
        <f>'1 datos preparados'!C154</f>
        <v/>
      </c>
      <c r="E161" s="7">
        <f>'1 datos preparados'!D154</f>
        <v/>
      </c>
      <c r="F161" s="7">
        <f>'1 datos preparados'!E154</f>
        <v/>
      </c>
      <c r="G161" s="7">
        <f>'1 datos preparados'!F154</f>
        <v/>
      </c>
      <c r="H161" s="7">
        <f>'1 datos preparados'!G154</f>
        <v/>
      </c>
      <c r="I161" s="7">
        <f>'1 datos preparados'!H154</f>
        <v/>
      </c>
      <c r="J161" s="7">
        <f>'1 datos preparados'!I154</f>
        <v/>
      </c>
      <c r="K161" s="7">
        <f>'1 datos preparados'!J154</f>
        <v/>
      </c>
      <c r="L161" s="7">
        <f>'1 datos preparados'!K154</f>
        <v/>
      </c>
      <c r="M161" s="7">
        <f>'1 datos preparados'!L154</f>
        <v/>
      </c>
      <c r="N161" s="7">
        <f>'1 datos preparados'!M154</f>
        <v/>
      </c>
      <c r="O161" s="7">
        <f>'1 datos preparados'!N154</f>
        <v/>
      </c>
      <c r="P161" s="7">
        <f>'1 datos preparados'!O154</f>
        <v/>
      </c>
      <c r="Q161" s="7">
        <f>'1 datos preparados'!P154</f>
        <v/>
      </c>
      <c r="R161" s="7">
        <f>'1 datos preparados'!Q154</f>
        <v/>
      </c>
      <c r="S161" s="7">
        <f>'1 datos preparados'!R154</f>
        <v/>
      </c>
      <c r="T161" s="7">
        <f>'1 datos preparados'!S154</f>
        <v/>
      </c>
      <c r="U161" s="7">
        <f>'1 datos preparados'!T154</f>
        <v/>
      </c>
      <c r="V161" s="8">
        <f>$AC$12+D161*$AC$13+E161*$AC$14+F161*$AC$15+G161*$AC$16+H161*$AC$17+I161*$AC$18+J161*$AC$19+K161*$AC$20+L161*$AC$21+M161*$AC$22+N161*$AC$23+O161*$AC$24+P161*$AC$25+Q161*$AC$26+R161*$AC$27+S161*$AC$28+T161*$AC$29+U161*$AC$30</f>
        <v/>
      </c>
      <c r="W161" s="8">
        <f>1/(1+EXP(-V161))</f>
        <v/>
      </c>
      <c r="X161" s="9">
        <f>-IF(C161=1,LN(W161),LN(1-W161))</f>
        <v/>
      </c>
      <c r="Y161" s="10">
        <f>IF(W161&gt;$AC$33,1,0)</f>
        <v/>
      </c>
      <c r="Z161">
        <f>IF(Y161=C161,1,0)</f>
        <v/>
      </c>
    </row>
    <row r="162">
      <c r="A162">
        <f>'1 datos preparados'!A155</f>
        <v/>
      </c>
      <c r="B162" s="5">
        <f>'1 datos preparados'!U155</f>
        <v/>
      </c>
      <c r="C162">
        <f>'1 datos preparados'!B155</f>
        <v/>
      </c>
      <c r="D162" s="7">
        <f>'1 datos preparados'!C155</f>
        <v/>
      </c>
      <c r="E162" s="7">
        <f>'1 datos preparados'!D155</f>
        <v/>
      </c>
      <c r="F162" s="7">
        <f>'1 datos preparados'!E155</f>
        <v/>
      </c>
      <c r="G162" s="7">
        <f>'1 datos preparados'!F155</f>
        <v/>
      </c>
      <c r="H162" s="7">
        <f>'1 datos preparados'!G155</f>
        <v/>
      </c>
      <c r="I162" s="7">
        <f>'1 datos preparados'!H155</f>
        <v/>
      </c>
      <c r="J162" s="7">
        <f>'1 datos preparados'!I155</f>
        <v/>
      </c>
      <c r="K162" s="7">
        <f>'1 datos preparados'!J155</f>
        <v/>
      </c>
      <c r="L162" s="7">
        <f>'1 datos preparados'!K155</f>
        <v/>
      </c>
      <c r="M162" s="7">
        <f>'1 datos preparados'!L155</f>
        <v/>
      </c>
      <c r="N162" s="7">
        <f>'1 datos preparados'!M155</f>
        <v/>
      </c>
      <c r="O162" s="7">
        <f>'1 datos preparados'!N155</f>
        <v/>
      </c>
      <c r="P162" s="7">
        <f>'1 datos preparados'!O155</f>
        <v/>
      </c>
      <c r="Q162" s="7">
        <f>'1 datos preparados'!P155</f>
        <v/>
      </c>
      <c r="R162" s="7">
        <f>'1 datos preparados'!Q155</f>
        <v/>
      </c>
      <c r="S162" s="7">
        <f>'1 datos preparados'!R155</f>
        <v/>
      </c>
      <c r="T162" s="7">
        <f>'1 datos preparados'!S155</f>
        <v/>
      </c>
      <c r="U162" s="7">
        <f>'1 datos preparados'!T155</f>
        <v/>
      </c>
      <c r="V162" s="8">
        <f>$AC$12+D162*$AC$13+E162*$AC$14+F162*$AC$15+G162*$AC$16+H162*$AC$17+I162*$AC$18+J162*$AC$19+K162*$AC$20+L162*$AC$21+M162*$AC$22+N162*$AC$23+O162*$AC$24+P162*$AC$25+Q162*$AC$26+R162*$AC$27+S162*$AC$28+T162*$AC$29+U162*$AC$30</f>
        <v/>
      </c>
      <c r="W162" s="8">
        <f>1/(1+EXP(-V162))</f>
        <v/>
      </c>
      <c r="X162" s="9">
        <f>-IF(C162=1,LN(W162),LN(1-W162))</f>
        <v/>
      </c>
      <c r="Y162" s="10">
        <f>IF(W162&gt;$AC$33,1,0)</f>
        <v/>
      </c>
      <c r="Z162">
        <f>IF(Y162=C162,1,0)</f>
        <v/>
      </c>
    </row>
    <row r="163">
      <c r="A163">
        <f>'1 datos preparados'!A156</f>
        <v/>
      </c>
      <c r="B163" s="5">
        <f>'1 datos preparados'!U156</f>
        <v/>
      </c>
      <c r="C163">
        <f>'1 datos preparados'!B156</f>
        <v/>
      </c>
      <c r="D163" s="7">
        <f>'1 datos preparados'!C156</f>
        <v/>
      </c>
      <c r="E163" s="7">
        <f>'1 datos preparados'!D156</f>
        <v/>
      </c>
      <c r="F163" s="7">
        <f>'1 datos preparados'!E156</f>
        <v/>
      </c>
      <c r="G163" s="7">
        <f>'1 datos preparados'!F156</f>
        <v/>
      </c>
      <c r="H163" s="7">
        <f>'1 datos preparados'!G156</f>
        <v/>
      </c>
      <c r="I163" s="7">
        <f>'1 datos preparados'!H156</f>
        <v/>
      </c>
      <c r="J163" s="7">
        <f>'1 datos preparados'!I156</f>
        <v/>
      </c>
      <c r="K163" s="7">
        <f>'1 datos preparados'!J156</f>
        <v/>
      </c>
      <c r="L163" s="7">
        <f>'1 datos preparados'!K156</f>
        <v/>
      </c>
      <c r="M163" s="7">
        <f>'1 datos preparados'!L156</f>
        <v/>
      </c>
      <c r="N163" s="7">
        <f>'1 datos preparados'!M156</f>
        <v/>
      </c>
      <c r="O163" s="7">
        <f>'1 datos preparados'!N156</f>
        <v/>
      </c>
      <c r="P163" s="7">
        <f>'1 datos preparados'!O156</f>
        <v/>
      </c>
      <c r="Q163" s="7">
        <f>'1 datos preparados'!P156</f>
        <v/>
      </c>
      <c r="R163" s="7">
        <f>'1 datos preparados'!Q156</f>
        <v/>
      </c>
      <c r="S163" s="7">
        <f>'1 datos preparados'!R156</f>
        <v/>
      </c>
      <c r="T163" s="7">
        <f>'1 datos preparados'!S156</f>
        <v/>
      </c>
      <c r="U163" s="7">
        <f>'1 datos preparados'!T156</f>
        <v/>
      </c>
      <c r="V163" s="8">
        <f>$AC$12+D163*$AC$13+E163*$AC$14+F163*$AC$15+G163*$AC$16+H163*$AC$17+I163*$AC$18+J163*$AC$19+K163*$AC$20+L163*$AC$21+M163*$AC$22+N163*$AC$23+O163*$AC$24+P163*$AC$25+Q163*$AC$26+R163*$AC$27+S163*$AC$28+T163*$AC$29+U163*$AC$30</f>
        <v/>
      </c>
      <c r="W163" s="8">
        <f>1/(1+EXP(-V163))</f>
        <v/>
      </c>
      <c r="X163" s="9">
        <f>-IF(C163=1,LN(W163),LN(1-W163))</f>
        <v/>
      </c>
      <c r="Y163" s="10">
        <f>IF(W163&gt;$AC$33,1,0)</f>
        <v/>
      </c>
      <c r="Z163">
        <f>IF(Y163=C163,1,0)</f>
        <v/>
      </c>
    </row>
    <row r="164">
      <c r="A164">
        <f>'1 datos preparados'!A157</f>
        <v/>
      </c>
      <c r="B164" s="5">
        <f>'1 datos preparados'!U157</f>
        <v/>
      </c>
      <c r="C164">
        <f>'1 datos preparados'!B157</f>
        <v/>
      </c>
      <c r="D164" s="7">
        <f>'1 datos preparados'!C157</f>
        <v/>
      </c>
      <c r="E164" s="7">
        <f>'1 datos preparados'!D157</f>
        <v/>
      </c>
      <c r="F164" s="7">
        <f>'1 datos preparados'!E157</f>
        <v/>
      </c>
      <c r="G164" s="7">
        <f>'1 datos preparados'!F157</f>
        <v/>
      </c>
      <c r="H164" s="7">
        <f>'1 datos preparados'!G157</f>
        <v/>
      </c>
      <c r="I164" s="7">
        <f>'1 datos preparados'!H157</f>
        <v/>
      </c>
      <c r="J164" s="7">
        <f>'1 datos preparados'!I157</f>
        <v/>
      </c>
      <c r="K164" s="7">
        <f>'1 datos preparados'!J157</f>
        <v/>
      </c>
      <c r="L164" s="7">
        <f>'1 datos preparados'!K157</f>
        <v/>
      </c>
      <c r="M164" s="7">
        <f>'1 datos preparados'!L157</f>
        <v/>
      </c>
      <c r="N164" s="7">
        <f>'1 datos preparados'!M157</f>
        <v/>
      </c>
      <c r="O164" s="7">
        <f>'1 datos preparados'!N157</f>
        <v/>
      </c>
      <c r="P164" s="7">
        <f>'1 datos preparados'!O157</f>
        <v/>
      </c>
      <c r="Q164" s="7">
        <f>'1 datos preparados'!P157</f>
        <v/>
      </c>
      <c r="R164" s="7">
        <f>'1 datos preparados'!Q157</f>
        <v/>
      </c>
      <c r="S164" s="7">
        <f>'1 datos preparados'!R157</f>
        <v/>
      </c>
      <c r="T164" s="7">
        <f>'1 datos preparados'!S157</f>
        <v/>
      </c>
      <c r="U164" s="7">
        <f>'1 datos preparados'!T157</f>
        <v/>
      </c>
      <c r="V164" s="8">
        <f>$AC$12+D164*$AC$13+E164*$AC$14+F164*$AC$15+G164*$AC$16+H164*$AC$17+I164*$AC$18+J164*$AC$19+K164*$AC$20+L164*$AC$21+M164*$AC$22+N164*$AC$23+O164*$AC$24+P164*$AC$25+Q164*$AC$26+R164*$AC$27+S164*$AC$28+T164*$AC$29+U164*$AC$30</f>
        <v/>
      </c>
      <c r="W164" s="8">
        <f>1/(1+EXP(-V164))</f>
        <v/>
      </c>
      <c r="X164" s="9">
        <f>-IF(C164=1,LN(W164),LN(1-W164))</f>
        <v/>
      </c>
      <c r="Y164" s="10">
        <f>IF(W164&gt;$AC$33,1,0)</f>
        <v/>
      </c>
      <c r="Z164">
        <f>IF(Y164=C164,1,0)</f>
        <v/>
      </c>
    </row>
    <row r="165">
      <c r="A165">
        <f>'1 datos preparados'!A158</f>
        <v/>
      </c>
      <c r="B165" s="5">
        <f>'1 datos preparados'!U158</f>
        <v/>
      </c>
      <c r="C165">
        <f>'1 datos preparados'!B158</f>
        <v/>
      </c>
      <c r="D165" s="7">
        <f>'1 datos preparados'!C158</f>
        <v/>
      </c>
      <c r="E165" s="7">
        <f>'1 datos preparados'!D158</f>
        <v/>
      </c>
      <c r="F165" s="7">
        <f>'1 datos preparados'!E158</f>
        <v/>
      </c>
      <c r="G165" s="7">
        <f>'1 datos preparados'!F158</f>
        <v/>
      </c>
      <c r="H165" s="7">
        <f>'1 datos preparados'!G158</f>
        <v/>
      </c>
      <c r="I165" s="7">
        <f>'1 datos preparados'!H158</f>
        <v/>
      </c>
      <c r="J165" s="7">
        <f>'1 datos preparados'!I158</f>
        <v/>
      </c>
      <c r="K165" s="7">
        <f>'1 datos preparados'!J158</f>
        <v/>
      </c>
      <c r="L165" s="7">
        <f>'1 datos preparados'!K158</f>
        <v/>
      </c>
      <c r="M165" s="7">
        <f>'1 datos preparados'!L158</f>
        <v/>
      </c>
      <c r="N165" s="7">
        <f>'1 datos preparados'!M158</f>
        <v/>
      </c>
      <c r="O165" s="7">
        <f>'1 datos preparados'!N158</f>
        <v/>
      </c>
      <c r="P165" s="7">
        <f>'1 datos preparados'!O158</f>
        <v/>
      </c>
      <c r="Q165" s="7">
        <f>'1 datos preparados'!P158</f>
        <v/>
      </c>
      <c r="R165" s="7">
        <f>'1 datos preparados'!Q158</f>
        <v/>
      </c>
      <c r="S165" s="7">
        <f>'1 datos preparados'!R158</f>
        <v/>
      </c>
      <c r="T165" s="7">
        <f>'1 datos preparados'!S158</f>
        <v/>
      </c>
      <c r="U165" s="7">
        <f>'1 datos preparados'!T158</f>
        <v/>
      </c>
      <c r="V165" s="8">
        <f>$AC$12+D165*$AC$13+E165*$AC$14+F165*$AC$15+G165*$AC$16+H165*$AC$17+I165*$AC$18+J165*$AC$19+K165*$AC$20+L165*$AC$21+M165*$AC$22+N165*$AC$23+O165*$AC$24+P165*$AC$25+Q165*$AC$26+R165*$AC$27+S165*$AC$28+T165*$AC$29+U165*$AC$30</f>
        <v/>
      </c>
      <c r="W165" s="8">
        <f>1/(1+EXP(-V165))</f>
        <v/>
      </c>
      <c r="X165" s="9">
        <f>-IF(C165=1,LN(W165),LN(1-W165))</f>
        <v/>
      </c>
      <c r="Y165" s="10">
        <f>IF(W165&gt;$AC$33,1,0)</f>
        <v/>
      </c>
      <c r="Z165">
        <f>IF(Y165=C165,1,0)</f>
        <v/>
      </c>
    </row>
    <row r="166">
      <c r="A166">
        <f>'1 datos preparados'!A159</f>
        <v/>
      </c>
      <c r="B166" s="5">
        <f>'1 datos preparados'!U159</f>
        <v/>
      </c>
      <c r="C166">
        <f>'1 datos preparados'!B159</f>
        <v/>
      </c>
      <c r="D166" s="7">
        <f>'1 datos preparados'!C159</f>
        <v/>
      </c>
      <c r="E166" s="7">
        <f>'1 datos preparados'!D159</f>
        <v/>
      </c>
      <c r="F166" s="7">
        <f>'1 datos preparados'!E159</f>
        <v/>
      </c>
      <c r="G166" s="7">
        <f>'1 datos preparados'!F159</f>
        <v/>
      </c>
      <c r="H166" s="7">
        <f>'1 datos preparados'!G159</f>
        <v/>
      </c>
      <c r="I166" s="7">
        <f>'1 datos preparados'!H159</f>
        <v/>
      </c>
      <c r="J166" s="7">
        <f>'1 datos preparados'!I159</f>
        <v/>
      </c>
      <c r="K166" s="7">
        <f>'1 datos preparados'!J159</f>
        <v/>
      </c>
      <c r="L166" s="7">
        <f>'1 datos preparados'!K159</f>
        <v/>
      </c>
      <c r="M166" s="7">
        <f>'1 datos preparados'!L159</f>
        <v/>
      </c>
      <c r="N166" s="7">
        <f>'1 datos preparados'!M159</f>
        <v/>
      </c>
      <c r="O166" s="7">
        <f>'1 datos preparados'!N159</f>
        <v/>
      </c>
      <c r="P166" s="7">
        <f>'1 datos preparados'!O159</f>
        <v/>
      </c>
      <c r="Q166" s="7">
        <f>'1 datos preparados'!P159</f>
        <v/>
      </c>
      <c r="R166" s="7">
        <f>'1 datos preparados'!Q159</f>
        <v/>
      </c>
      <c r="S166" s="7">
        <f>'1 datos preparados'!R159</f>
        <v/>
      </c>
      <c r="T166" s="7">
        <f>'1 datos preparados'!S159</f>
        <v/>
      </c>
      <c r="U166" s="7">
        <f>'1 datos preparados'!T159</f>
        <v/>
      </c>
      <c r="V166" s="8">
        <f>$AC$12+D166*$AC$13+E166*$AC$14+F166*$AC$15+G166*$AC$16+H166*$AC$17+I166*$AC$18+J166*$AC$19+K166*$AC$20+L166*$AC$21+M166*$AC$22+N166*$AC$23+O166*$AC$24+P166*$AC$25+Q166*$AC$26+R166*$AC$27+S166*$AC$28+T166*$AC$29+U166*$AC$30</f>
        <v/>
      </c>
      <c r="W166" s="8">
        <f>1/(1+EXP(-V166))</f>
        <v/>
      </c>
      <c r="X166" s="9">
        <f>-IF(C166=1,LN(W166),LN(1-W166))</f>
        <v/>
      </c>
      <c r="Y166" s="10">
        <f>IF(W166&gt;$AC$33,1,0)</f>
        <v/>
      </c>
      <c r="Z166">
        <f>IF(Y166=C166,1,0)</f>
        <v/>
      </c>
    </row>
    <row r="167">
      <c r="A167">
        <f>'1 datos preparados'!A160</f>
        <v/>
      </c>
      <c r="B167" s="5">
        <f>'1 datos preparados'!U160</f>
        <v/>
      </c>
      <c r="C167">
        <f>'1 datos preparados'!B160</f>
        <v/>
      </c>
      <c r="D167" s="7">
        <f>'1 datos preparados'!C160</f>
        <v/>
      </c>
      <c r="E167" s="7">
        <f>'1 datos preparados'!D160</f>
        <v/>
      </c>
      <c r="F167" s="7">
        <f>'1 datos preparados'!E160</f>
        <v/>
      </c>
      <c r="G167" s="7">
        <f>'1 datos preparados'!F160</f>
        <v/>
      </c>
      <c r="H167" s="7">
        <f>'1 datos preparados'!G160</f>
        <v/>
      </c>
      <c r="I167" s="7">
        <f>'1 datos preparados'!H160</f>
        <v/>
      </c>
      <c r="J167" s="7">
        <f>'1 datos preparados'!I160</f>
        <v/>
      </c>
      <c r="K167" s="7">
        <f>'1 datos preparados'!J160</f>
        <v/>
      </c>
      <c r="L167" s="7">
        <f>'1 datos preparados'!K160</f>
        <v/>
      </c>
      <c r="M167" s="7">
        <f>'1 datos preparados'!L160</f>
        <v/>
      </c>
      <c r="N167" s="7">
        <f>'1 datos preparados'!M160</f>
        <v/>
      </c>
      <c r="O167" s="7">
        <f>'1 datos preparados'!N160</f>
        <v/>
      </c>
      <c r="P167" s="7">
        <f>'1 datos preparados'!O160</f>
        <v/>
      </c>
      <c r="Q167" s="7">
        <f>'1 datos preparados'!P160</f>
        <v/>
      </c>
      <c r="R167" s="7">
        <f>'1 datos preparados'!Q160</f>
        <v/>
      </c>
      <c r="S167" s="7">
        <f>'1 datos preparados'!R160</f>
        <v/>
      </c>
      <c r="T167" s="7">
        <f>'1 datos preparados'!S160</f>
        <v/>
      </c>
      <c r="U167" s="7">
        <f>'1 datos preparados'!T160</f>
        <v/>
      </c>
      <c r="V167" s="8">
        <f>$AC$12+D167*$AC$13+E167*$AC$14+F167*$AC$15+G167*$AC$16+H167*$AC$17+I167*$AC$18+J167*$AC$19+K167*$AC$20+L167*$AC$21+M167*$AC$22+N167*$AC$23+O167*$AC$24+P167*$AC$25+Q167*$AC$26+R167*$AC$27+S167*$AC$28+T167*$AC$29+U167*$AC$30</f>
        <v/>
      </c>
      <c r="W167" s="8">
        <f>1/(1+EXP(-V167))</f>
        <v/>
      </c>
      <c r="X167" s="9">
        <f>-IF(C167=1,LN(W167),LN(1-W167))</f>
        <v/>
      </c>
      <c r="Y167" s="10">
        <f>IF(W167&gt;$AC$33,1,0)</f>
        <v/>
      </c>
      <c r="Z167">
        <f>IF(Y167=C167,1,0)</f>
        <v/>
      </c>
    </row>
    <row r="168">
      <c r="A168">
        <f>'1 datos preparados'!A161</f>
        <v/>
      </c>
      <c r="B168" s="5">
        <f>'1 datos preparados'!U161</f>
        <v/>
      </c>
      <c r="C168">
        <f>'1 datos preparados'!B161</f>
        <v/>
      </c>
      <c r="D168" s="7">
        <f>'1 datos preparados'!C161</f>
        <v/>
      </c>
      <c r="E168" s="7">
        <f>'1 datos preparados'!D161</f>
        <v/>
      </c>
      <c r="F168" s="7">
        <f>'1 datos preparados'!E161</f>
        <v/>
      </c>
      <c r="G168" s="7">
        <f>'1 datos preparados'!F161</f>
        <v/>
      </c>
      <c r="H168" s="7">
        <f>'1 datos preparados'!G161</f>
        <v/>
      </c>
      <c r="I168" s="7">
        <f>'1 datos preparados'!H161</f>
        <v/>
      </c>
      <c r="J168" s="7">
        <f>'1 datos preparados'!I161</f>
        <v/>
      </c>
      <c r="K168" s="7">
        <f>'1 datos preparados'!J161</f>
        <v/>
      </c>
      <c r="L168" s="7">
        <f>'1 datos preparados'!K161</f>
        <v/>
      </c>
      <c r="M168" s="7">
        <f>'1 datos preparados'!L161</f>
        <v/>
      </c>
      <c r="N168" s="7">
        <f>'1 datos preparados'!M161</f>
        <v/>
      </c>
      <c r="O168" s="7">
        <f>'1 datos preparados'!N161</f>
        <v/>
      </c>
      <c r="P168" s="7">
        <f>'1 datos preparados'!O161</f>
        <v/>
      </c>
      <c r="Q168" s="7">
        <f>'1 datos preparados'!P161</f>
        <v/>
      </c>
      <c r="R168" s="7">
        <f>'1 datos preparados'!Q161</f>
        <v/>
      </c>
      <c r="S168" s="7">
        <f>'1 datos preparados'!R161</f>
        <v/>
      </c>
      <c r="T168" s="7">
        <f>'1 datos preparados'!S161</f>
        <v/>
      </c>
      <c r="U168" s="7">
        <f>'1 datos preparados'!T161</f>
        <v/>
      </c>
      <c r="V168" s="8">
        <f>$AC$12+D168*$AC$13+E168*$AC$14+F168*$AC$15+G168*$AC$16+H168*$AC$17+I168*$AC$18+J168*$AC$19+K168*$AC$20+L168*$AC$21+M168*$AC$22+N168*$AC$23+O168*$AC$24+P168*$AC$25+Q168*$AC$26+R168*$AC$27+S168*$AC$28+T168*$AC$29+U168*$AC$30</f>
        <v/>
      </c>
      <c r="W168" s="8">
        <f>1/(1+EXP(-V168))</f>
        <v/>
      </c>
      <c r="X168" s="9">
        <f>-IF(C168=1,LN(W168),LN(1-W168))</f>
        <v/>
      </c>
      <c r="Y168" s="10">
        <f>IF(W168&gt;$AC$33,1,0)</f>
        <v/>
      </c>
      <c r="Z168">
        <f>IF(Y168=C168,1,0)</f>
        <v/>
      </c>
    </row>
    <row r="169">
      <c r="A169">
        <f>'1 datos preparados'!A162</f>
        <v/>
      </c>
      <c r="B169" s="5">
        <f>'1 datos preparados'!U162</f>
        <v/>
      </c>
      <c r="C169">
        <f>'1 datos preparados'!B162</f>
        <v/>
      </c>
      <c r="D169" s="7">
        <f>'1 datos preparados'!C162</f>
        <v/>
      </c>
      <c r="E169" s="7">
        <f>'1 datos preparados'!D162</f>
        <v/>
      </c>
      <c r="F169" s="7">
        <f>'1 datos preparados'!E162</f>
        <v/>
      </c>
      <c r="G169" s="7">
        <f>'1 datos preparados'!F162</f>
        <v/>
      </c>
      <c r="H169" s="7">
        <f>'1 datos preparados'!G162</f>
        <v/>
      </c>
      <c r="I169" s="7">
        <f>'1 datos preparados'!H162</f>
        <v/>
      </c>
      <c r="J169" s="7">
        <f>'1 datos preparados'!I162</f>
        <v/>
      </c>
      <c r="K169" s="7">
        <f>'1 datos preparados'!J162</f>
        <v/>
      </c>
      <c r="L169" s="7">
        <f>'1 datos preparados'!K162</f>
        <v/>
      </c>
      <c r="M169" s="7">
        <f>'1 datos preparados'!L162</f>
        <v/>
      </c>
      <c r="N169" s="7">
        <f>'1 datos preparados'!M162</f>
        <v/>
      </c>
      <c r="O169" s="7">
        <f>'1 datos preparados'!N162</f>
        <v/>
      </c>
      <c r="P169" s="7">
        <f>'1 datos preparados'!O162</f>
        <v/>
      </c>
      <c r="Q169" s="7">
        <f>'1 datos preparados'!P162</f>
        <v/>
      </c>
      <c r="R169" s="7">
        <f>'1 datos preparados'!Q162</f>
        <v/>
      </c>
      <c r="S169" s="7">
        <f>'1 datos preparados'!R162</f>
        <v/>
      </c>
      <c r="T169" s="7">
        <f>'1 datos preparados'!S162</f>
        <v/>
      </c>
      <c r="U169" s="7">
        <f>'1 datos preparados'!T162</f>
        <v/>
      </c>
      <c r="V169" s="8">
        <f>$AC$12+D169*$AC$13+E169*$AC$14+F169*$AC$15+G169*$AC$16+H169*$AC$17+I169*$AC$18+J169*$AC$19+K169*$AC$20+L169*$AC$21+M169*$AC$22+N169*$AC$23+O169*$AC$24+P169*$AC$25+Q169*$AC$26+R169*$AC$27+S169*$AC$28+T169*$AC$29+U169*$AC$30</f>
        <v/>
      </c>
      <c r="W169" s="8">
        <f>1/(1+EXP(-V169))</f>
        <v/>
      </c>
      <c r="X169" s="9">
        <f>-IF(C169=1,LN(W169),LN(1-W169))</f>
        <v/>
      </c>
      <c r="Y169" s="10">
        <f>IF(W169&gt;$AC$33,1,0)</f>
        <v/>
      </c>
      <c r="Z169">
        <f>IF(Y169=C169,1,0)</f>
        <v/>
      </c>
    </row>
    <row r="170">
      <c r="A170">
        <f>'1 datos preparados'!A163</f>
        <v/>
      </c>
      <c r="B170" s="5">
        <f>'1 datos preparados'!U163</f>
        <v/>
      </c>
      <c r="C170">
        <f>'1 datos preparados'!B163</f>
        <v/>
      </c>
      <c r="D170" s="7">
        <f>'1 datos preparados'!C163</f>
        <v/>
      </c>
      <c r="E170" s="7">
        <f>'1 datos preparados'!D163</f>
        <v/>
      </c>
      <c r="F170" s="7">
        <f>'1 datos preparados'!E163</f>
        <v/>
      </c>
      <c r="G170" s="7">
        <f>'1 datos preparados'!F163</f>
        <v/>
      </c>
      <c r="H170" s="7">
        <f>'1 datos preparados'!G163</f>
        <v/>
      </c>
      <c r="I170" s="7">
        <f>'1 datos preparados'!H163</f>
        <v/>
      </c>
      <c r="J170" s="7">
        <f>'1 datos preparados'!I163</f>
        <v/>
      </c>
      <c r="K170" s="7">
        <f>'1 datos preparados'!J163</f>
        <v/>
      </c>
      <c r="L170" s="7">
        <f>'1 datos preparados'!K163</f>
        <v/>
      </c>
      <c r="M170" s="7">
        <f>'1 datos preparados'!L163</f>
        <v/>
      </c>
      <c r="N170" s="7">
        <f>'1 datos preparados'!M163</f>
        <v/>
      </c>
      <c r="O170" s="7">
        <f>'1 datos preparados'!N163</f>
        <v/>
      </c>
      <c r="P170" s="7">
        <f>'1 datos preparados'!O163</f>
        <v/>
      </c>
      <c r="Q170" s="7">
        <f>'1 datos preparados'!P163</f>
        <v/>
      </c>
      <c r="R170" s="7">
        <f>'1 datos preparados'!Q163</f>
        <v/>
      </c>
      <c r="S170" s="7">
        <f>'1 datos preparados'!R163</f>
        <v/>
      </c>
      <c r="T170" s="7">
        <f>'1 datos preparados'!S163</f>
        <v/>
      </c>
      <c r="U170" s="7">
        <f>'1 datos preparados'!T163</f>
        <v/>
      </c>
      <c r="V170" s="8">
        <f>$AC$12+D170*$AC$13+E170*$AC$14+F170*$AC$15+G170*$AC$16+H170*$AC$17+I170*$AC$18+J170*$AC$19+K170*$AC$20+L170*$AC$21+M170*$AC$22+N170*$AC$23+O170*$AC$24+P170*$AC$25+Q170*$AC$26+R170*$AC$27+S170*$AC$28+T170*$AC$29+U170*$AC$30</f>
        <v/>
      </c>
      <c r="W170" s="8">
        <f>1/(1+EXP(-V170))</f>
        <v/>
      </c>
      <c r="X170" s="9">
        <f>-IF(C170=1,LN(W170),LN(1-W170))</f>
        <v/>
      </c>
      <c r="Y170" s="10">
        <f>IF(W170&gt;$AC$33,1,0)</f>
        <v/>
      </c>
      <c r="Z170">
        <f>IF(Y170=C170,1,0)</f>
        <v/>
      </c>
    </row>
    <row r="171">
      <c r="A171">
        <f>'1 datos preparados'!A164</f>
        <v/>
      </c>
      <c r="B171" s="5">
        <f>'1 datos preparados'!U164</f>
        <v/>
      </c>
      <c r="C171">
        <f>'1 datos preparados'!B164</f>
        <v/>
      </c>
      <c r="D171" s="7">
        <f>'1 datos preparados'!C164</f>
        <v/>
      </c>
      <c r="E171" s="7">
        <f>'1 datos preparados'!D164</f>
        <v/>
      </c>
      <c r="F171" s="7">
        <f>'1 datos preparados'!E164</f>
        <v/>
      </c>
      <c r="G171" s="7">
        <f>'1 datos preparados'!F164</f>
        <v/>
      </c>
      <c r="H171" s="7">
        <f>'1 datos preparados'!G164</f>
        <v/>
      </c>
      <c r="I171" s="7">
        <f>'1 datos preparados'!H164</f>
        <v/>
      </c>
      <c r="J171" s="7">
        <f>'1 datos preparados'!I164</f>
        <v/>
      </c>
      <c r="K171" s="7">
        <f>'1 datos preparados'!J164</f>
        <v/>
      </c>
      <c r="L171" s="7">
        <f>'1 datos preparados'!K164</f>
        <v/>
      </c>
      <c r="M171" s="7">
        <f>'1 datos preparados'!L164</f>
        <v/>
      </c>
      <c r="N171" s="7">
        <f>'1 datos preparados'!M164</f>
        <v/>
      </c>
      <c r="O171" s="7">
        <f>'1 datos preparados'!N164</f>
        <v/>
      </c>
      <c r="P171" s="7">
        <f>'1 datos preparados'!O164</f>
        <v/>
      </c>
      <c r="Q171" s="7">
        <f>'1 datos preparados'!P164</f>
        <v/>
      </c>
      <c r="R171" s="7">
        <f>'1 datos preparados'!Q164</f>
        <v/>
      </c>
      <c r="S171" s="7">
        <f>'1 datos preparados'!R164</f>
        <v/>
      </c>
      <c r="T171" s="7">
        <f>'1 datos preparados'!S164</f>
        <v/>
      </c>
      <c r="U171" s="7">
        <f>'1 datos preparados'!T164</f>
        <v/>
      </c>
      <c r="V171" s="8">
        <f>$AC$12+D171*$AC$13+E171*$AC$14+F171*$AC$15+G171*$AC$16+H171*$AC$17+I171*$AC$18+J171*$AC$19+K171*$AC$20+L171*$AC$21+M171*$AC$22+N171*$AC$23+O171*$AC$24+P171*$AC$25+Q171*$AC$26+R171*$AC$27+S171*$AC$28+T171*$AC$29+U171*$AC$30</f>
        <v/>
      </c>
      <c r="W171" s="8">
        <f>1/(1+EXP(-V171))</f>
        <v/>
      </c>
      <c r="X171" s="9">
        <f>-IF(C171=1,LN(W171),LN(1-W171))</f>
        <v/>
      </c>
      <c r="Y171" s="10">
        <f>IF(W171&gt;$AC$33,1,0)</f>
        <v/>
      </c>
      <c r="Z171">
        <f>IF(Y171=C171,1,0)</f>
        <v/>
      </c>
    </row>
    <row r="172">
      <c r="A172">
        <f>'1 datos preparados'!A165</f>
        <v/>
      </c>
      <c r="B172" s="5">
        <f>'1 datos preparados'!U165</f>
        <v/>
      </c>
      <c r="C172">
        <f>'1 datos preparados'!B165</f>
        <v/>
      </c>
      <c r="D172" s="7">
        <f>'1 datos preparados'!C165</f>
        <v/>
      </c>
      <c r="E172" s="7">
        <f>'1 datos preparados'!D165</f>
        <v/>
      </c>
      <c r="F172" s="7">
        <f>'1 datos preparados'!E165</f>
        <v/>
      </c>
      <c r="G172" s="7">
        <f>'1 datos preparados'!F165</f>
        <v/>
      </c>
      <c r="H172" s="7">
        <f>'1 datos preparados'!G165</f>
        <v/>
      </c>
      <c r="I172" s="7">
        <f>'1 datos preparados'!H165</f>
        <v/>
      </c>
      <c r="J172" s="7">
        <f>'1 datos preparados'!I165</f>
        <v/>
      </c>
      <c r="K172" s="7">
        <f>'1 datos preparados'!J165</f>
        <v/>
      </c>
      <c r="L172" s="7">
        <f>'1 datos preparados'!K165</f>
        <v/>
      </c>
      <c r="M172" s="7">
        <f>'1 datos preparados'!L165</f>
        <v/>
      </c>
      <c r="N172" s="7">
        <f>'1 datos preparados'!M165</f>
        <v/>
      </c>
      <c r="O172" s="7">
        <f>'1 datos preparados'!N165</f>
        <v/>
      </c>
      <c r="P172" s="7">
        <f>'1 datos preparados'!O165</f>
        <v/>
      </c>
      <c r="Q172" s="7">
        <f>'1 datos preparados'!P165</f>
        <v/>
      </c>
      <c r="R172" s="7">
        <f>'1 datos preparados'!Q165</f>
        <v/>
      </c>
      <c r="S172" s="7">
        <f>'1 datos preparados'!R165</f>
        <v/>
      </c>
      <c r="T172" s="7">
        <f>'1 datos preparados'!S165</f>
        <v/>
      </c>
      <c r="U172" s="7">
        <f>'1 datos preparados'!T165</f>
        <v/>
      </c>
      <c r="V172" s="8">
        <f>$AC$12+D172*$AC$13+E172*$AC$14+F172*$AC$15+G172*$AC$16+H172*$AC$17+I172*$AC$18+J172*$AC$19+K172*$AC$20+L172*$AC$21+M172*$AC$22+N172*$AC$23+O172*$AC$24+P172*$AC$25+Q172*$AC$26+R172*$AC$27+S172*$AC$28+T172*$AC$29+U172*$AC$30</f>
        <v/>
      </c>
      <c r="W172" s="8">
        <f>1/(1+EXP(-V172))</f>
        <v/>
      </c>
      <c r="X172" s="9">
        <f>-IF(C172=1,LN(W172),LN(1-W172))</f>
        <v/>
      </c>
      <c r="Y172" s="10">
        <f>IF(W172&gt;$AC$33,1,0)</f>
        <v/>
      </c>
      <c r="Z172">
        <f>IF(Y172=C172,1,0)</f>
        <v/>
      </c>
    </row>
    <row r="173">
      <c r="A173">
        <f>'1 datos preparados'!A166</f>
        <v/>
      </c>
      <c r="B173" s="5">
        <f>'1 datos preparados'!U166</f>
        <v/>
      </c>
      <c r="C173">
        <f>'1 datos preparados'!B166</f>
        <v/>
      </c>
      <c r="D173" s="7">
        <f>'1 datos preparados'!C166</f>
        <v/>
      </c>
      <c r="E173" s="7">
        <f>'1 datos preparados'!D166</f>
        <v/>
      </c>
      <c r="F173" s="7">
        <f>'1 datos preparados'!E166</f>
        <v/>
      </c>
      <c r="G173" s="7">
        <f>'1 datos preparados'!F166</f>
        <v/>
      </c>
      <c r="H173" s="7">
        <f>'1 datos preparados'!G166</f>
        <v/>
      </c>
      <c r="I173" s="7">
        <f>'1 datos preparados'!H166</f>
        <v/>
      </c>
      <c r="J173" s="7">
        <f>'1 datos preparados'!I166</f>
        <v/>
      </c>
      <c r="K173" s="7">
        <f>'1 datos preparados'!J166</f>
        <v/>
      </c>
      <c r="L173" s="7">
        <f>'1 datos preparados'!K166</f>
        <v/>
      </c>
      <c r="M173" s="7">
        <f>'1 datos preparados'!L166</f>
        <v/>
      </c>
      <c r="N173" s="7">
        <f>'1 datos preparados'!M166</f>
        <v/>
      </c>
      <c r="O173" s="7">
        <f>'1 datos preparados'!N166</f>
        <v/>
      </c>
      <c r="P173" s="7">
        <f>'1 datos preparados'!O166</f>
        <v/>
      </c>
      <c r="Q173" s="7">
        <f>'1 datos preparados'!P166</f>
        <v/>
      </c>
      <c r="R173" s="7">
        <f>'1 datos preparados'!Q166</f>
        <v/>
      </c>
      <c r="S173" s="7">
        <f>'1 datos preparados'!R166</f>
        <v/>
      </c>
      <c r="T173" s="7">
        <f>'1 datos preparados'!S166</f>
        <v/>
      </c>
      <c r="U173" s="7">
        <f>'1 datos preparados'!T166</f>
        <v/>
      </c>
      <c r="V173" s="8">
        <f>$AC$12+D173*$AC$13+E173*$AC$14+F173*$AC$15+G173*$AC$16+H173*$AC$17+I173*$AC$18+J173*$AC$19+K173*$AC$20+L173*$AC$21+M173*$AC$22+N173*$AC$23+O173*$AC$24+P173*$AC$25+Q173*$AC$26+R173*$AC$27+S173*$AC$28+T173*$AC$29+U173*$AC$30</f>
        <v/>
      </c>
      <c r="W173" s="8">
        <f>1/(1+EXP(-V173))</f>
        <v/>
      </c>
      <c r="X173" s="9">
        <f>-IF(C173=1,LN(W173),LN(1-W173))</f>
        <v/>
      </c>
      <c r="Y173" s="10">
        <f>IF(W173&gt;$AC$33,1,0)</f>
        <v/>
      </c>
      <c r="Z173">
        <f>IF(Y173=C173,1,0)</f>
        <v/>
      </c>
    </row>
    <row r="174">
      <c r="A174">
        <f>'1 datos preparados'!A167</f>
        <v/>
      </c>
      <c r="B174" s="5">
        <f>'1 datos preparados'!U167</f>
        <v/>
      </c>
      <c r="C174">
        <f>'1 datos preparados'!B167</f>
        <v/>
      </c>
      <c r="D174" s="7">
        <f>'1 datos preparados'!C167</f>
        <v/>
      </c>
      <c r="E174" s="7">
        <f>'1 datos preparados'!D167</f>
        <v/>
      </c>
      <c r="F174" s="7">
        <f>'1 datos preparados'!E167</f>
        <v/>
      </c>
      <c r="G174" s="7">
        <f>'1 datos preparados'!F167</f>
        <v/>
      </c>
      <c r="H174" s="7">
        <f>'1 datos preparados'!G167</f>
        <v/>
      </c>
      <c r="I174" s="7">
        <f>'1 datos preparados'!H167</f>
        <v/>
      </c>
      <c r="J174" s="7">
        <f>'1 datos preparados'!I167</f>
        <v/>
      </c>
      <c r="K174" s="7">
        <f>'1 datos preparados'!J167</f>
        <v/>
      </c>
      <c r="L174" s="7">
        <f>'1 datos preparados'!K167</f>
        <v/>
      </c>
      <c r="M174" s="7">
        <f>'1 datos preparados'!L167</f>
        <v/>
      </c>
      <c r="N174" s="7">
        <f>'1 datos preparados'!M167</f>
        <v/>
      </c>
      <c r="O174" s="7">
        <f>'1 datos preparados'!N167</f>
        <v/>
      </c>
      <c r="P174" s="7">
        <f>'1 datos preparados'!O167</f>
        <v/>
      </c>
      <c r="Q174" s="7">
        <f>'1 datos preparados'!P167</f>
        <v/>
      </c>
      <c r="R174" s="7">
        <f>'1 datos preparados'!Q167</f>
        <v/>
      </c>
      <c r="S174" s="7">
        <f>'1 datos preparados'!R167</f>
        <v/>
      </c>
      <c r="T174" s="7">
        <f>'1 datos preparados'!S167</f>
        <v/>
      </c>
      <c r="U174" s="7">
        <f>'1 datos preparados'!T167</f>
        <v/>
      </c>
      <c r="V174" s="8">
        <f>$AC$12+D174*$AC$13+E174*$AC$14+F174*$AC$15+G174*$AC$16+H174*$AC$17+I174*$AC$18+J174*$AC$19+K174*$AC$20+L174*$AC$21+M174*$AC$22+N174*$AC$23+O174*$AC$24+P174*$AC$25+Q174*$AC$26+R174*$AC$27+S174*$AC$28+T174*$AC$29+U174*$AC$30</f>
        <v/>
      </c>
      <c r="W174" s="8">
        <f>1/(1+EXP(-V174))</f>
        <v/>
      </c>
      <c r="X174" s="9">
        <f>-IF(C174=1,LN(W174),LN(1-W174))</f>
        <v/>
      </c>
      <c r="Y174" s="10">
        <f>IF(W174&gt;$AC$33,1,0)</f>
        <v/>
      </c>
      <c r="Z174">
        <f>IF(Y174=C174,1,0)</f>
        <v/>
      </c>
    </row>
    <row r="175">
      <c r="A175">
        <f>'1 datos preparados'!A168</f>
        <v/>
      </c>
      <c r="B175" s="5">
        <f>'1 datos preparados'!U168</f>
        <v/>
      </c>
      <c r="C175">
        <f>'1 datos preparados'!B168</f>
        <v/>
      </c>
      <c r="D175" s="7">
        <f>'1 datos preparados'!C168</f>
        <v/>
      </c>
      <c r="E175" s="7">
        <f>'1 datos preparados'!D168</f>
        <v/>
      </c>
      <c r="F175" s="7">
        <f>'1 datos preparados'!E168</f>
        <v/>
      </c>
      <c r="G175" s="7">
        <f>'1 datos preparados'!F168</f>
        <v/>
      </c>
      <c r="H175" s="7">
        <f>'1 datos preparados'!G168</f>
        <v/>
      </c>
      <c r="I175" s="7">
        <f>'1 datos preparados'!H168</f>
        <v/>
      </c>
      <c r="J175" s="7">
        <f>'1 datos preparados'!I168</f>
        <v/>
      </c>
      <c r="K175" s="7">
        <f>'1 datos preparados'!J168</f>
        <v/>
      </c>
      <c r="L175" s="7">
        <f>'1 datos preparados'!K168</f>
        <v/>
      </c>
      <c r="M175" s="7">
        <f>'1 datos preparados'!L168</f>
        <v/>
      </c>
      <c r="N175" s="7">
        <f>'1 datos preparados'!M168</f>
        <v/>
      </c>
      <c r="O175" s="7">
        <f>'1 datos preparados'!N168</f>
        <v/>
      </c>
      <c r="P175" s="7">
        <f>'1 datos preparados'!O168</f>
        <v/>
      </c>
      <c r="Q175" s="7">
        <f>'1 datos preparados'!P168</f>
        <v/>
      </c>
      <c r="R175" s="7">
        <f>'1 datos preparados'!Q168</f>
        <v/>
      </c>
      <c r="S175" s="7">
        <f>'1 datos preparados'!R168</f>
        <v/>
      </c>
      <c r="T175" s="7">
        <f>'1 datos preparados'!S168</f>
        <v/>
      </c>
      <c r="U175" s="7">
        <f>'1 datos preparados'!T168</f>
        <v/>
      </c>
      <c r="V175" s="8">
        <f>$AC$12+D175*$AC$13+E175*$AC$14+F175*$AC$15+G175*$AC$16+H175*$AC$17+I175*$AC$18+J175*$AC$19+K175*$AC$20+L175*$AC$21+M175*$AC$22+N175*$AC$23+O175*$AC$24+P175*$AC$25+Q175*$AC$26+R175*$AC$27+S175*$AC$28+T175*$AC$29+U175*$AC$30</f>
        <v/>
      </c>
      <c r="W175" s="8">
        <f>1/(1+EXP(-V175))</f>
        <v/>
      </c>
      <c r="X175" s="9">
        <f>-IF(C175=1,LN(W175),LN(1-W175))</f>
        <v/>
      </c>
      <c r="Y175" s="10">
        <f>IF(W175&gt;$AC$33,1,0)</f>
        <v/>
      </c>
      <c r="Z175">
        <f>IF(Y175=C175,1,0)</f>
        <v/>
      </c>
    </row>
    <row r="176">
      <c r="A176">
        <f>'1 datos preparados'!A169</f>
        <v/>
      </c>
      <c r="B176" s="5">
        <f>'1 datos preparados'!U169</f>
        <v/>
      </c>
      <c r="C176">
        <f>'1 datos preparados'!B169</f>
        <v/>
      </c>
      <c r="D176" s="7">
        <f>'1 datos preparados'!C169</f>
        <v/>
      </c>
      <c r="E176" s="7">
        <f>'1 datos preparados'!D169</f>
        <v/>
      </c>
      <c r="F176" s="7">
        <f>'1 datos preparados'!E169</f>
        <v/>
      </c>
      <c r="G176" s="7">
        <f>'1 datos preparados'!F169</f>
        <v/>
      </c>
      <c r="H176" s="7">
        <f>'1 datos preparados'!G169</f>
        <v/>
      </c>
      <c r="I176" s="7">
        <f>'1 datos preparados'!H169</f>
        <v/>
      </c>
      <c r="J176" s="7">
        <f>'1 datos preparados'!I169</f>
        <v/>
      </c>
      <c r="K176" s="7">
        <f>'1 datos preparados'!J169</f>
        <v/>
      </c>
      <c r="L176" s="7">
        <f>'1 datos preparados'!K169</f>
        <v/>
      </c>
      <c r="M176" s="7">
        <f>'1 datos preparados'!L169</f>
        <v/>
      </c>
      <c r="N176" s="7">
        <f>'1 datos preparados'!M169</f>
        <v/>
      </c>
      <c r="O176" s="7">
        <f>'1 datos preparados'!N169</f>
        <v/>
      </c>
      <c r="P176" s="7">
        <f>'1 datos preparados'!O169</f>
        <v/>
      </c>
      <c r="Q176" s="7">
        <f>'1 datos preparados'!P169</f>
        <v/>
      </c>
      <c r="R176" s="7">
        <f>'1 datos preparados'!Q169</f>
        <v/>
      </c>
      <c r="S176" s="7">
        <f>'1 datos preparados'!R169</f>
        <v/>
      </c>
      <c r="T176" s="7">
        <f>'1 datos preparados'!S169</f>
        <v/>
      </c>
      <c r="U176" s="7">
        <f>'1 datos preparados'!T169</f>
        <v/>
      </c>
      <c r="V176" s="8">
        <f>$AC$12+D176*$AC$13+E176*$AC$14+F176*$AC$15+G176*$AC$16+H176*$AC$17+I176*$AC$18+J176*$AC$19+K176*$AC$20+L176*$AC$21+M176*$AC$22+N176*$AC$23+O176*$AC$24+P176*$AC$25+Q176*$AC$26+R176*$AC$27+S176*$AC$28+T176*$AC$29+U176*$AC$30</f>
        <v/>
      </c>
      <c r="W176" s="8">
        <f>1/(1+EXP(-V176))</f>
        <v/>
      </c>
      <c r="X176" s="9">
        <f>-IF(C176=1,LN(W176),LN(1-W176))</f>
        <v/>
      </c>
      <c r="Y176" s="10">
        <f>IF(W176&gt;$AC$33,1,0)</f>
        <v/>
      </c>
      <c r="Z176">
        <f>IF(Y176=C176,1,0)</f>
        <v/>
      </c>
    </row>
    <row r="177">
      <c r="A177">
        <f>'1 datos preparados'!A170</f>
        <v/>
      </c>
      <c r="B177" s="5">
        <f>'1 datos preparados'!U170</f>
        <v/>
      </c>
      <c r="C177">
        <f>'1 datos preparados'!B170</f>
        <v/>
      </c>
      <c r="D177" s="7">
        <f>'1 datos preparados'!C170</f>
        <v/>
      </c>
      <c r="E177" s="7">
        <f>'1 datos preparados'!D170</f>
        <v/>
      </c>
      <c r="F177" s="7">
        <f>'1 datos preparados'!E170</f>
        <v/>
      </c>
      <c r="G177" s="7">
        <f>'1 datos preparados'!F170</f>
        <v/>
      </c>
      <c r="H177" s="7">
        <f>'1 datos preparados'!G170</f>
        <v/>
      </c>
      <c r="I177" s="7">
        <f>'1 datos preparados'!H170</f>
        <v/>
      </c>
      <c r="J177" s="7">
        <f>'1 datos preparados'!I170</f>
        <v/>
      </c>
      <c r="K177" s="7">
        <f>'1 datos preparados'!J170</f>
        <v/>
      </c>
      <c r="L177" s="7">
        <f>'1 datos preparados'!K170</f>
        <v/>
      </c>
      <c r="M177" s="7">
        <f>'1 datos preparados'!L170</f>
        <v/>
      </c>
      <c r="N177" s="7">
        <f>'1 datos preparados'!M170</f>
        <v/>
      </c>
      <c r="O177" s="7">
        <f>'1 datos preparados'!N170</f>
        <v/>
      </c>
      <c r="P177" s="7">
        <f>'1 datos preparados'!O170</f>
        <v/>
      </c>
      <c r="Q177" s="7">
        <f>'1 datos preparados'!P170</f>
        <v/>
      </c>
      <c r="R177" s="7">
        <f>'1 datos preparados'!Q170</f>
        <v/>
      </c>
      <c r="S177" s="7">
        <f>'1 datos preparados'!R170</f>
        <v/>
      </c>
      <c r="T177" s="7">
        <f>'1 datos preparados'!S170</f>
        <v/>
      </c>
      <c r="U177" s="7">
        <f>'1 datos preparados'!T170</f>
        <v/>
      </c>
      <c r="V177" s="8">
        <f>$AC$12+D177*$AC$13+E177*$AC$14+F177*$AC$15+G177*$AC$16+H177*$AC$17+I177*$AC$18+J177*$AC$19+K177*$AC$20+L177*$AC$21+M177*$AC$22+N177*$AC$23+O177*$AC$24+P177*$AC$25+Q177*$AC$26+R177*$AC$27+S177*$AC$28+T177*$AC$29+U177*$AC$30</f>
        <v/>
      </c>
      <c r="W177" s="8">
        <f>1/(1+EXP(-V177))</f>
        <v/>
      </c>
      <c r="X177" s="9">
        <f>-IF(C177=1,LN(W177),LN(1-W177))</f>
        <v/>
      </c>
      <c r="Y177" s="10">
        <f>IF(W177&gt;$AC$33,1,0)</f>
        <v/>
      </c>
      <c r="Z177">
        <f>IF(Y177=C177,1,0)</f>
        <v/>
      </c>
    </row>
    <row r="178">
      <c r="A178">
        <f>'1 datos preparados'!A171</f>
        <v/>
      </c>
      <c r="B178" s="5">
        <f>'1 datos preparados'!U171</f>
        <v/>
      </c>
      <c r="C178">
        <f>'1 datos preparados'!B171</f>
        <v/>
      </c>
      <c r="D178" s="7">
        <f>'1 datos preparados'!C171</f>
        <v/>
      </c>
      <c r="E178" s="7">
        <f>'1 datos preparados'!D171</f>
        <v/>
      </c>
      <c r="F178" s="7">
        <f>'1 datos preparados'!E171</f>
        <v/>
      </c>
      <c r="G178" s="7">
        <f>'1 datos preparados'!F171</f>
        <v/>
      </c>
      <c r="H178" s="7">
        <f>'1 datos preparados'!G171</f>
        <v/>
      </c>
      <c r="I178" s="7">
        <f>'1 datos preparados'!H171</f>
        <v/>
      </c>
      <c r="J178" s="7">
        <f>'1 datos preparados'!I171</f>
        <v/>
      </c>
      <c r="K178" s="7">
        <f>'1 datos preparados'!J171</f>
        <v/>
      </c>
      <c r="L178" s="7">
        <f>'1 datos preparados'!K171</f>
        <v/>
      </c>
      <c r="M178" s="7">
        <f>'1 datos preparados'!L171</f>
        <v/>
      </c>
      <c r="N178" s="7">
        <f>'1 datos preparados'!M171</f>
        <v/>
      </c>
      <c r="O178" s="7">
        <f>'1 datos preparados'!N171</f>
        <v/>
      </c>
      <c r="P178" s="7">
        <f>'1 datos preparados'!O171</f>
        <v/>
      </c>
      <c r="Q178" s="7">
        <f>'1 datos preparados'!P171</f>
        <v/>
      </c>
      <c r="R178" s="7">
        <f>'1 datos preparados'!Q171</f>
        <v/>
      </c>
      <c r="S178" s="7">
        <f>'1 datos preparados'!R171</f>
        <v/>
      </c>
      <c r="T178" s="7">
        <f>'1 datos preparados'!S171</f>
        <v/>
      </c>
      <c r="U178" s="7">
        <f>'1 datos preparados'!T171</f>
        <v/>
      </c>
      <c r="V178" s="8">
        <f>$AC$12+D178*$AC$13+E178*$AC$14+F178*$AC$15+G178*$AC$16+H178*$AC$17+I178*$AC$18+J178*$AC$19+K178*$AC$20+L178*$AC$21+M178*$AC$22+N178*$AC$23+O178*$AC$24+P178*$AC$25+Q178*$AC$26+R178*$AC$27+S178*$AC$28+T178*$AC$29+U178*$AC$30</f>
        <v/>
      </c>
      <c r="W178" s="8">
        <f>1/(1+EXP(-V178))</f>
        <v/>
      </c>
      <c r="X178" s="9">
        <f>-IF(C178=1,LN(W178),LN(1-W178))</f>
        <v/>
      </c>
      <c r="Y178" s="10">
        <f>IF(W178&gt;$AC$33,1,0)</f>
        <v/>
      </c>
      <c r="Z178">
        <f>IF(Y178=C178,1,0)</f>
        <v/>
      </c>
    </row>
    <row r="179">
      <c r="A179">
        <f>'1 datos preparados'!A172</f>
        <v/>
      </c>
      <c r="B179" s="5">
        <f>'1 datos preparados'!U172</f>
        <v/>
      </c>
      <c r="C179">
        <f>'1 datos preparados'!B172</f>
        <v/>
      </c>
      <c r="D179" s="7">
        <f>'1 datos preparados'!C172</f>
        <v/>
      </c>
      <c r="E179" s="7">
        <f>'1 datos preparados'!D172</f>
        <v/>
      </c>
      <c r="F179" s="7">
        <f>'1 datos preparados'!E172</f>
        <v/>
      </c>
      <c r="G179" s="7">
        <f>'1 datos preparados'!F172</f>
        <v/>
      </c>
      <c r="H179" s="7">
        <f>'1 datos preparados'!G172</f>
        <v/>
      </c>
      <c r="I179" s="7">
        <f>'1 datos preparados'!H172</f>
        <v/>
      </c>
      <c r="J179" s="7">
        <f>'1 datos preparados'!I172</f>
        <v/>
      </c>
      <c r="K179" s="7">
        <f>'1 datos preparados'!J172</f>
        <v/>
      </c>
      <c r="L179" s="7">
        <f>'1 datos preparados'!K172</f>
        <v/>
      </c>
      <c r="M179" s="7">
        <f>'1 datos preparados'!L172</f>
        <v/>
      </c>
      <c r="N179" s="7">
        <f>'1 datos preparados'!M172</f>
        <v/>
      </c>
      <c r="O179" s="7">
        <f>'1 datos preparados'!N172</f>
        <v/>
      </c>
      <c r="P179" s="7">
        <f>'1 datos preparados'!O172</f>
        <v/>
      </c>
      <c r="Q179" s="7">
        <f>'1 datos preparados'!P172</f>
        <v/>
      </c>
      <c r="R179" s="7">
        <f>'1 datos preparados'!Q172</f>
        <v/>
      </c>
      <c r="S179" s="7">
        <f>'1 datos preparados'!R172</f>
        <v/>
      </c>
      <c r="T179" s="7">
        <f>'1 datos preparados'!S172</f>
        <v/>
      </c>
      <c r="U179" s="7">
        <f>'1 datos preparados'!T172</f>
        <v/>
      </c>
      <c r="V179" s="8">
        <f>$AC$12+D179*$AC$13+E179*$AC$14+F179*$AC$15+G179*$AC$16+H179*$AC$17+I179*$AC$18+J179*$AC$19+K179*$AC$20+L179*$AC$21+M179*$AC$22+N179*$AC$23+O179*$AC$24+P179*$AC$25+Q179*$AC$26+R179*$AC$27+S179*$AC$28+T179*$AC$29+U179*$AC$30</f>
        <v/>
      </c>
      <c r="W179" s="8">
        <f>1/(1+EXP(-V179))</f>
        <v/>
      </c>
      <c r="X179" s="9">
        <f>-IF(C179=1,LN(W179),LN(1-W179))</f>
        <v/>
      </c>
      <c r="Y179" s="10">
        <f>IF(W179&gt;$AC$33,1,0)</f>
        <v/>
      </c>
      <c r="Z179">
        <f>IF(Y179=C179,1,0)</f>
        <v/>
      </c>
    </row>
    <row r="180">
      <c r="A180">
        <f>'1 datos preparados'!A173</f>
        <v/>
      </c>
      <c r="B180" s="5">
        <f>'1 datos preparados'!U173</f>
        <v/>
      </c>
      <c r="C180">
        <f>'1 datos preparados'!B173</f>
        <v/>
      </c>
      <c r="D180" s="7">
        <f>'1 datos preparados'!C173</f>
        <v/>
      </c>
      <c r="E180" s="7">
        <f>'1 datos preparados'!D173</f>
        <v/>
      </c>
      <c r="F180" s="7">
        <f>'1 datos preparados'!E173</f>
        <v/>
      </c>
      <c r="G180" s="7">
        <f>'1 datos preparados'!F173</f>
        <v/>
      </c>
      <c r="H180" s="7">
        <f>'1 datos preparados'!G173</f>
        <v/>
      </c>
      <c r="I180" s="7">
        <f>'1 datos preparados'!H173</f>
        <v/>
      </c>
      <c r="J180" s="7">
        <f>'1 datos preparados'!I173</f>
        <v/>
      </c>
      <c r="K180" s="7">
        <f>'1 datos preparados'!J173</f>
        <v/>
      </c>
      <c r="L180" s="7">
        <f>'1 datos preparados'!K173</f>
        <v/>
      </c>
      <c r="M180" s="7">
        <f>'1 datos preparados'!L173</f>
        <v/>
      </c>
      <c r="N180" s="7">
        <f>'1 datos preparados'!M173</f>
        <v/>
      </c>
      <c r="O180" s="7">
        <f>'1 datos preparados'!N173</f>
        <v/>
      </c>
      <c r="P180" s="7">
        <f>'1 datos preparados'!O173</f>
        <v/>
      </c>
      <c r="Q180" s="7">
        <f>'1 datos preparados'!P173</f>
        <v/>
      </c>
      <c r="R180" s="7">
        <f>'1 datos preparados'!Q173</f>
        <v/>
      </c>
      <c r="S180" s="7">
        <f>'1 datos preparados'!R173</f>
        <v/>
      </c>
      <c r="T180" s="7">
        <f>'1 datos preparados'!S173</f>
        <v/>
      </c>
      <c r="U180" s="7">
        <f>'1 datos preparados'!T173</f>
        <v/>
      </c>
      <c r="V180" s="8">
        <f>$AC$12+D180*$AC$13+E180*$AC$14+F180*$AC$15+G180*$AC$16+H180*$AC$17+I180*$AC$18+J180*$AC$19+K180*$AC$20+L180*$AC$21+M180*$AC$22+N180*$AC$23+O180*$AC$24+P180*$AC$25+Q180*$AC$26+R180*$AC$27+S180*$AC$28+T180*$AC$29+U180*$AC$30</f>
        <v/>
      </c>
      <c r="W180" s="8">
        <f>1/(1+EXP(-V180))</f>
        <v/>
      </c>
      <c r="X180" s="9">
        <f>-IF(C180=1,LN(W180),LN(1-W180))</f>
        <v/>
      </c>
      <c r="Y180" s="10">
        <f>IF(W180&gt;$AC$33,1,0)</f>
        <v/>
      </c>
      <c r="Z180">
        <f>IF(Y180=C180,1,0)</f>
        <v/>
      </c>
    </row>
    <row r="181">
      <c r="A181">
        <f>'1 datos preparados'!A174</f>
        <v/>
      </c>
      <c r="B181" s="5">
        <f>'1 datos preparados'!U174</f>
        <v/>
      </c>
      <c r="C181">
        <f>'1 datos preparados'!B174</f>
        <v/>
      </c>
      <c r="D181" s="7">
        <f>'1 datos preparados'!C174</f>
        <v/>
      </c>
      <c r="E181" s="7">
        <f>'1 datos preparados'!D174</f>
        <v/>
      </c>
      <c r="F181" s="7">
        <f>'1 datos preparados'!E174</f>
        <v/>
      </c>
      <c r="G181" s="7">
        <f>'1 datos preparados'!F174</f>
        <v/>
      </c>
      <c r="H181" s="7">
        <f>'1 datos preparados'!G174</f>
        <v/>
      </c>
      <c r="I181" s="7">
        <f>'1 datos preparados'!H174</f>
        <v/>
      </c>
      <c r="J181" s="7">
        <f>'1 datos preparados'!I174</f>
        <v/>
      </c>
      <c r="K181" s="7">
        <f>'1 datos preparados'!J174</f>
        <v/>
      </c>
      <c r="L181" s="7">
        <f>'1 datos preparados'!K174</f>
        <v/>
      </c>
      <c r="M181" s="7">
        <f>'1 datos preparados'!L174</f>
        <v/>
      </c>
      <c r="N181" s="7">
        <f>'1 datos preparados'!M174</f>
        <v/>
      </c>
      <c r="O181" s="7">
        <f>'1 datos preparados'!N174</f>
        <v/>
      </c>
      <c r="P181" s="7">
        <f>'1 datos preparados'!O174</f>
        <v/>
      </c>
      <c r="Q181" s="7">
        <f>'1 datos preparados'!P174</f>
        <v/>
      </c>
      <c r="R181" s="7">
        <f>'1 datos preparados'!Q174</f>
        <v/>
      </c>
      <c r="S181" s="7">
        <f>'1 datos preparados'!R174</f>
        <v/>
      </c>
      <c r="T181" s="7">
        <f>'1 datos preparados'!S174</f>
        <v/>
      </c>
      <c r="U181" s="7">
        <f>'1 datos preparados'!T174</f>
        <v/>
      </c>
      <c r="V181" s="8">
        <f>$AC$12+D181*$AC$13+E181*$AC$14+F181*$AC$15+G181*$AC$16+H181*$AC$17+I181*$AC$18+J181*$AC$19+K181*$AC$20+L181*$AC$21+M181*$AC$22+N181*$AC$23+O181*$AC$24+P181*$AC$25+Q181*$AC$26+R181*$AC$27+S181*$AC$28+T181*$AC$29+U181*$AC$30</f>
        <v/>
      </c>
      <c r="W181" s="8">
        <f>1/(1+EXP(-V181))</f>
        <v/>
      </c>
      <c r="X181" s="9">
        <f>-IF(C181=1,LN(W181),LN(1-W181))</f>
        <v/>
      </c>
      <c r="Y181" s="10">
        <f>IF(W181&gt;$AC$33,1,0)</f>
        <v/>
      </c>
      <c r="Z181">
        <f>IF(Y181=C181,1,0)</f>
        <v/>
      </c>
    </row>
    <row r="182">
      <c r="A182">
        <f>'1 datos preparados'!A175</f>
        <v/>
      </c>
      <c r="B182" s="5">
        <f>'1 datos preparados'!U175</f>
        <v/>
      </c>
      <c r="C182">
        <f>'1 datos preparados'!B175</f>
        <v/>
      </c>
      <c r="D182" s="7">
        <f>'1 datos preparados'!C175</f>
        <v/>
      </c>
      <c r="E182" s="7">
        <f>'1 datos preparados'!D175</f>
        <v/>
      </c>
      <c r="F182" s="7">
        <f>'1 datos preparados'!E175</f>
        <v/>
      </c>
      <c r="G182" s="7">
        <f>'1 datos preparados'!F175</f>
        <v/>
      </c>
      <c r="H182" s="7">
        <f>'1 datos preparados'!G175</f>
        <v/>
      </c>
      <c r="I182" s="7">
        <f>'1 datos preparados'!H175</f>
        <v/>
      </c>
      <c r="J182" s="7">
        <f>'1 datos preparados'!I175</f>
        <v/>
      </c>
      <c r="K182" s="7">
        <f>'1 datos preparados'!J175</f>
        <v/>
      </c>
      <c r="L182" s="7">
        <f>'1 datos preparados'!K175</f>
        <v/>
      </c>
      <c r="M182" s="7">
        <f>'1 datos preparados'!L175</f>
        <v/>
      </c>
      <c r="N182" s="7">
        <f>'1 datos preparados'!M175</f>
        <v/>
      </c>
      <c r="O182" s="7">
        <f>'1 datos preparados'!N175</f>
        <v/>
      </c>
      <c r="P182" s="7">
        <f>'1 datos preparados'!O175</f>
        <v/>
      </c>
      <c r="Q182" s="7">
        <f>'1 datos preparados'!P175</f>
        <v/>
      </c>
      <c r="R182" s="7">
        <f>'1 datos preparados'!Q175</f>
        <v/>
      </c>
      <c r="S182" s="7">
        <f>'1 datos preparados'!R175</f>
        <v/>
      </c>
      <c r="T182" s="7">
        <f>'1 datos preparados'!S175</f>
        <v/>
      </c>
      <c r="U182" s="7">
        <f>'1 datos preparados'!T175</f>
        <v/>
      </c>
      <c r="V182" s="8">
        <f>$AC$12+D182*$AC$13+E182*$AC$14+F182*$AC$15+G182*$AC$16+H182*$AC$17+I182*$AC$18+J182*$AC$19+K182*$AC$20+L182*$AC$21+M182*$AC$22+N182*$AC$23+O182*$AC$24+P182*$AC$25+Q182*$AC$26+R182*$AC$27+S182*$AC$28+T182*$AC$29+U182*$AC$30</f>
        <v/>
      </c>
      <c r="W182" s="8">
        <f>1/(1+EXP(-V182))</f>
        <v/>
      </c>
      <c r="X182" s="9">
        <f>-IF(C182=1,LN(W182),LN(1-W182))</f>
        <v/>
      </c>
      <c r="Y182" s="10">
        <f>IF(W182&gt;$AC$33,1,0)</f>
        <v/>
      </c>
      <c r="Z182">
        <f>IF(Y182=C182,1,0)</f>
        <v/>
      </c>
    </row>
    <row r="183">
      <c r="A183">
        <f>'1 datos preparados'!A176</f>
        <v/>
      </c>
      <c r="B183" s="5">
        <f>'1 datos preparados'!U176</f>
        <v/>
      </c>
      <c r="C183">
        <f>'1 datos preparados'!B176</f>
        <v/>
      </c>
      <c r="D183" s="7">
        <f>'1 datos preparados'!C176</f>
        <v/>
      </c>
      <c r="E183" s="7">
        <f>'1 datos preparados'!D176</f>
        <v/>
      </c>
      <c r="F183" s="7">
        <f>'1 datos preparados'!E176</f>
        <v/>
      </c>
      <c r="G183" s="7">
        <f>'1 datos preparados'!F176</f>
        <v/>
      </c>
      <c r="H183" s="7">
        <f>'1 datos preparados'!G176</f>
        <v/>
      </c>
      <c r="I183" s="7">
        <f>'1 datos preparados'!H176</f>
        <v/>
      </c>
      <c r="J183" s="7">
        <f>'1 datos preparados'!I176</f>
        <v/>
      </c>
      <c r="K183" s="7">
        <f>'1 datos preparados'!J176</f>
        <v/>
      </c>
      <c r="L183" s="7">
        <f>'1 datos preparados'!K176</f>
        <v/>
      </c>
      <c r="M183" s="7">
        <f>'1 datos preparados'!L176</f>
        <v/>
      </c>
      <c r="N183" s="7">
        <f>'1 datos preparados'!M176</f>
        <v/>
      </c>
      <c r="O183" s="7">
        <f>'1 datos preparados'!N176</f>
        <v/>
      </c>
      <c r="P183" s="7">
        <f>'1 datos preparados'!O176</f>
        <v/>
      </c>
      <c r="Q183" s="7">
        <f>'1 datos preparados'!P176</f>
        <v/>
      </c>
      <c r="R183" s="7">
        <f>'1 datos preparados'!Q176</f>
        <v/>
      </c>
      <c r="S183" s="7">
        <f>'1 datos preparados'!R176</f>
        <v/>
      </c>
      <c r="T183" s="7">
        <f>'1 datos preparados'!S176</f>
        <v/>
      </c>
      <c r="U183" s="7">
        <f>'1 datos preparados'!T176</f>
        <v/>
      </c>
      <c r="V183" s="8">
        <f>$AC$12+D183*$AC$13+E183*$AC$14+F183*$AC$15+G183*$AC$16+H183*$AC$17+I183*$AC$18+J183*$AC$19+K183*$AC$20+L183*$AC$21+M183*$AC$22+N183*$AC$23+O183*$AC$24+P183*$AC$25+Q183*$AC$26+R183*$AC$27+S183*$AC$28+T183*$AC$29+U183*$AC$30</f>
        <v/>
      </c>
      <c r="W183" s="8">
        <f>1/(1+EXP(-V183))</f>
        <v/>
      </c>
      <c r="X183" s="9">
        <f>-IF(C183=1,LN(W183),LN(1-W183))</f>
        <v/>
      </c>
      <c r="Y183" s="10">
        <f>IF(W183&gt;$AC$33,1,0)</f>
        <v/>
      </c>
      <c r="Z183">
        <f>IF(Y183=C183,1,0)</f>
        <v/>
      </c>
    </row>
    <row r="184">
      <c r="A184">
        <f>'1 datos preparados'!A177</f>
        <v/>
      </c>
      <c r="B184" s="5">
        <f>'1 datos preparados'!U177</f>
        <v/>
      </c>
      <c r="C184">
        <f>'1 datos preparados'!B177</f>
        <v/>
      </c>
      <c r="D184" s="7">
        <f>'1 datos preparados'!C177</f>
        <v/>
      </c>
      <c r="E184" s="7">
        <f>'1 datos preparados'!D177</f>
        <v/>
      </c>
      <c r="F184" s="7">
        <f>'1 datos preparados'!E177</f>
        <v/>
      </c>
      <c r="G184" s="7">
        <f>'1 datos preparados'!F177</f>
        <v/>
      </c>
      <c r="H184" s="7">
        <f>'1 datos preparados'!G177</f>
        <v/>
      </c>
      <c r="I184" s="7">
        <f>'1 datos preparados'!H177</f>
        <v/>
      </c>
      <c r="J184" s="7">
        <f>'1 datos preparados'!I177</f>
        <v/>
      </c>
      <c r="K184" s="7">
        <f>'1 datos preparados'!J177</f>
        <v/>
      </c>
      <c r="L184" s="7">
        <f>'1 datos preparados'!K177</f>
        <v/>
      </c>
      <c r="M184" s="7">
        <f>'1 datos preparados'!L177</f>
        <v/>
      </c>
      <c r="N184" s="7">
        <f>'1 datos preparados'!M177</f>
        <v/>
      </c>
      <c r="O184" s="7">
        <f>'1 datos preparados'!N177</f>
        <v/>
      </c>
      <c r="P184" s="7">
        <f>'1 datos preparados'!O177</f>
        <v/>
      </c>
      <c r="Q184" s="7">
        <f>'1 datos preparados'!P177</f>
        <v/>
      </c>
      <c r="R184" s="7">
        <f>'1 datos preparados'!Q177</f>
        <v/>
      </c>
      <c r="S184" s="7">
        <f>'1 datos preparados'!R177</f>
        <v/>
      </c>
      <c r="T184" s="7">
        <f>'1 datos preparados'!S177</f>
        <v/>
      </c>
      <c r="U184" s="7">
        <f>'1 datos preparados'!T177</f>
        <v/>
      </c>
      <c r="V184" s="8">
        <f>$AC$12+D184*$AC$13+E184*$AC$14+F184*$AC$15+G184*$AC$16+H184*$AC$17+I184*$AC$18+J184*$AC$19+K184*$AC$20+L184*$AC$21+M184*$AC$22+N184*$AC$23+O184*$AC$24+P184*$AC$25+Q184*$AC$26+R184*$AC$27+S184*$AC$28+T184*$AC$29+U184*$AC$30</f>
        <v/>
      </c>
      <c r="W184" s="8">
        <f>1/(1+EXP(-V184))</f>
        <v/>
      </c>
      <c r="X184" s="9">
        <f>-IF(C184=1,LN(W184),LN(1-W184))</f>
        <v/>
      </c>
      <c r="Y184" s="10">
        <f>IF(W184&gt;$AC$33,1,0)</f>
        <v/>
      </c>
      <c r="Z184">
        <f>IF(Y184=C184,1,0)</f>
        <v/>
      </c>
    </row>
    <row r="185">
      <c r="A185">
        <f>'1 datos preparados'!A178</f>
        <v/>
      </c>
      <c r="B185" s="5">
        <f>'1 datos preparados'!U178</f>
        <v/>
      </c>
      <c r="C185">
        <f>'1 datos preparados'!B178</f>
        <v/>
      </c>
      <c r="D185" s="7">
        <f>'1 datos preparados'!C178</f>
        <v/>
      </c>
      <c r="E185" s="7">
        <f>'1 datos preparados'!D178</f>
        <v/>
      </c>
      <c r="F185" s="7">
        <f>'1 datos preparados'!E178</f>
        <v/>
      </c>
      <c r="G185" s="7">
        <f>'1 datos preparados'!F178</f>
        <v/>
      </c>
      <c r="H185" s="7">
        <f>'1 datos preparados'!G178</f>
        <v/>
      </c>
      <c r="I185" s="7">
        <f>'1 datos preparados'!H178</f>
        <v/>
      </c>
      <c r="J185" s="7">
        <f>'1 datos preparados'!I178</f>
        <v/>
      </c>
      <c r="K185" s="7">
        <f>'1 datos preparados'!J178</f>
        <v/>
      </c>
      <c r="L185" s="7">
        <f>'1 datos preparados'!K178</f>
        <v/>
      </c>
      <c r="M185" s="7">
        <f>'1 datos preparados'!L178</f>
        <v/>
      </c>
      <c r="N185" s="7">
        <f>'1 datos preparados'!M178</f>
        <v/>
      </c>
      <c r="O185" s="7">
        <f>'1 datos preparados'!N178</f>
        <v/>
      </c>
      <c r="P185" s="7">
        <f>'1 datos preparados'!O178</f>
        <v/>
      </c>
      <c r="Q185" s="7">
        <f>'1 datos preparados'!P178</f>
        <v/>
      </c>
      <c r="R185" s="7">
        <f>'1 datos preparados'!Q178</f>
        <v/>
      </c>
      <c r="S185" s="7">
        <f>'1 datos preparados'!R178</f>
        <v/>
      </c>
      <c r="T185" s="7">
        <f>'1 datos preparados'!S178</f>
        <v/>
      </c>
      <c r="U185" s="7">
        <f>'1 datos preparados'!T178</f>
        <v/>
      </c>
      <c r="V185" s="8">
        <f>$AC$12+D185*$AC$13+E185*$AC$14+F185*$AC$15+G185*$AC$16+H185*$AC$17+I185*$AC$18+J185*$AC$19+K185*$AC$20+L185*$AC$21+M185*$AC$22+N185*$AC$23+O185*$AC$24+P185*$AC$25+Q185*$AC$26+R185*$AC$27+S185*$AC$28+T185*$AC$29+U185*$AC$30</f>
        <v/>
      </c>
      <c r="W185" s="8">
        <f>1/(1+EXP(-V185))</f>
        <v/>
      </c>
      <c r="X185" s="9">
        <f>-IF(C185=1,LN(W185),LN(1-W185))</f>
        <v/>
      </c>
      <c r="Y185" s="10">
        <f>IF(W185&gt;$AC$33,1,0)</f>
        <v/>
      </c>
      <c r="Z185">
        <f>IF(Y185=C185,1,0)</f>
        <v/>
      </c>
    </row>
    <row r="186">
      <c r="A186">
        <f>'1 datos preparados'!A179</f>
        <v/>
      </c>
      <c r="B186" s="5">
        <f>'1 datos preparados'!U179</f>
        <v/>
      </c>
      <c r="C186">
        <f>'1 datos preparados'!B179</f>
        <v/>
      </c>
      <c r="D186" s="7">
        <f>'1 datos preparados'!C179</f>
        <v/>
      </c>
      <c r="E186" s="7">
        <f>'1 datos preparados'!D179</f>
        <v/>
      </c>
      <c r="F186" s="7">
        <f>'1 datos preparados'!E179</f>
        <v/>
      </c>
      <c r="G186" s="7">
        <f>'1 datos preparados'!F179</f>
        <v/>
      </c>
      <c r="H186" s="7">
        <f>'1 datos preparados'!G179</f>
        <v/>
      </c>
      <c r="I186" s="7">
        <f>'1 datos preparados'!H179</f>
        <v/>
      </c>
      <c r="J186" s="7">
        <f>'1 datos preparados'!I179</f>
        <v/>
      </c>
      <c r="K186" s="7">
        <f>'1 datos preparados'!J179</f>
        <v/>
      </c>
      <c r="L186" s="7">
        <f>'1 datos preparados'!K179</f>
        <v/>
      </c>
      <c r="M186" s="7">
        <f>'1 datos preparados'!L179</f>
        <v/>
      </c>
      <c r="N186" s="7">
        <f>'1 datos preparados'!M179</f>
        <v/>
      </c>
      <c r="O186" s="7">
        <f>'1 datos preparados'!N179</f>
        <v/>
      </c>
      <c r="P186" s="7">
        <f>'1 datos preparados'!O179</f>
        <v/>
      </c>
      <c r="Q186" s="7">
        <f>'1 datos preparados'!P179</f>
        <v/>
      </c>
      <c r="R186" s="7">
        <f>'1 datos preparados'!Q179</f>
        <v/>
      </c>
      <c r="S186" s="7">
        <f>'1 datos preparados'!R179</f>
        <v/>
      </c>
      <c r="T186" s="7">
        <f>'1 datos preparados'!S179</f>
        <v/>
      </c>
      <c r="U186" s="7">
        <f>'1 datos preparados'!T179</f>
        <v/>
      </c>
      <c r="V186" s="8">
        <f>$AC$12+D186*$AC$13+E186*$AC$14+F186*$AC$15+G186*$AC$16+H186*$AC$17+I186*$AC$18+J186*$AC$19+K186*$AC$20+L186*$AC$21+M186*$AC$22+N186*$AC$23+O186*$AC$24+P186*$AC$25+Q186*$AC$26+R186*$AC$27+S186*$AC$28+T186*$AC$29+U186*$AC$30</f>
        <v/>
      </c>
      <c r="W186" s="8">
        <f>1/(1+EXP(-V186))</f>
        <v/>
      </c>
      <c r="X186" s="9">
        <f>-IF(C186=1,LN(W186),LN(1-W186))</f>
        <v/>
      </c>
      <c r="Y186" s="10">
        <f>IF(W186&gt;$AC$33,1,0)</f>
        <v/>
      </c>
      <c r="Z186">
        <f>IF(Y186=C186,1,0)</f>
        <v/>
      </c>
    </row>
    <row r="187">
      <c r="A187">
        <f>'1 datos preparados'!A180</f>
        <v/>
      </c>
      <c r="B187" s="5">
        <f>'1 datos preparados'!U180</f>
        <v/>
      </c>
      <c r="C187">
        <f>'1 datos preparados'!B180</f>
        <v/>
      </c>
      <c r="D187" s="7">
        <f>'1 datos preparados'!C180</f>
        <v/>
      </c>
      <c r="E187" s="7">
        <f>'1 datos preparados'!D180</f>
        <v/>
      </c>
      <c r="F187" s="7">
        <f>'1 datos preparados'!E180</f>
        <v/>
      </c>
      <c r="G187" s="7">
        <f>'1 datos preparados'!F180</f>
        <v/>
      </c>
      <c r="H187" s="7">
        <f>'1 datos preparados'!G180</f>
        <v/>
      </c>
      <c r="I187" s="7">
        <f>'1 datos preparados'!H180</f>
        <v/>
      </c>
      <c r="J187" s="7">
        <f>'1 datos preparados'!I180</f>
        <v/>
      </c>
      <c r="K187" s="7">
        <f>'1 datos preparados'!J180</f>
        <v/>
      </c>
      <c r="L187" s="7">
        <f>'1 datos preparados'!K180</f>
        <v/>
      </c>
      <c r="M187" s="7">
        <f>'1 datos preparados'!L180</f>
        <v/>
      </c>
      <c r="N187" s="7">
        <f>'1 datos preparados'!M180</f>
        <v/>
      </c>
      <c r="O187" s="7">
        <f>'1 datos preparados'!N180</f>
        <v/>
      </c>
      <c r="P187" s="7">
        <f>'1 datos preparados'!O180</f>
        <v/>
      </c>
      <c r="Q187" s="7">
        <f>'1 datos preparados'!P180</f>
        <v/>
      </c>
      <c r="R187" s="7">
        <f>'1 datos preparados'!Q180</f>
        <v/>
      </c>
      <c r="S187" s="7">
        <f>'1 datos preparados'!R180</f>
        <v/>
      </c>
      <c r="T187" s="7">
        <f>'1 datos preparados'!S180</f>
        <v/>
      </c>
      <c r="U187" s="7">
        <f>'1 datos preparados'!T180</f>
        <v/>
      </c>
      <c r="V187" s="8">
        <f>$AC$12+D187*$AC$13+E187*$AC$14+F187*$AC$15+G187*$AC$16+H187*$AC$17+I187*$AC$18+J187*$AC$19+K187*$AC$20+L187*$AC$21+M187*$AC$22+N187*$AC$23+O187*$AC$24+P187*$AC$25+Q187*$AC$26+R187*$AC$27+S187*$AC$28+T187*$AC$29+U187*$AC$30</f>
        <v/>
      </c>
      <c r="W187" s="8">
        <f>1/(1+EXP(-V187))</f>
        <v/>
      </c>
      <c r="X187" s="9">
        <f>-IF(C187=1,LN(W187),LN(1-W187))</f>
        <v/>
      </c>
      <c r="Y187" s="10">
        <f>IF(W187&gt;$AC$33,1,0)</f>
        <v/>
      </c>
      <c r="Z187">
        <f>IF(Y187=C187,1,0)</f>
        <v/>
      </c>
    </row>
    <row r="188">
      <c r="A188">
        <f>'1 datos preparados'!A181</f>
        <v/>
      </c>
      <c r="B188" s="5">
        <f>'1 datos preparados'!U181</f>
        <v/>
      </c>
      <c r="C188">
        <f>'1 datos preparados'!B181</f>
        <v/>
      </c>
      <c r="D188" s="7">
        <f>'1 datos preparados'!C181</f>
        <v/>
      </c>
      <c r="E188" s="7">
        <f>'1 datos preparados'!D181</f>
        <v/>
      </c>
      <c r="F188" s="7">
        <f>'1 datos preparados'!E181</f>
        <v/>
      </c>
      <c r="G188" s="7">
        <f>'1 datos preparados'!F181</f>
        <v/>
      </c>
      <c r="H188" s="7">
        <f>'1 datos preparados'!G181</f>
        <v/>
      </c>
      <c r="I188" s="7">
        <f>'1 datos preparados'!H181</f>
        <v/>
      </c>
      <c r="J188" s="7">
        <f>'1 datos preparados'!I181</f>
        <v/>
      </c>
      <c r="K188" s="7">
        <f>'1 datos preparados'!J181</f>
        <v/>
      </c>
      <c r="L188" s="7">
        <f>'1 datos preparados'!K181</f>
        <v/>
      </c>
      <c r="M188" s="7">
        <f>'1 datos preparados'!L181</f>
        <v/>
      </c>
      <c r="N188" s="7">
        <f>'1 datos preparados'!M181</f>
        <v/>
      </c>
      <c r="O188" s="7">
        <f>'1 datos preparados'!N181</f>
        <v/>
      </c>
      <c r="P188" s="7">
        <f>'1 datos preparados'!O181</f>
        <v/>
      </c>
      <c r="Q188" s="7">
        <f>'1 datos preparados'!P181</f>
        <v/>
      </c>
      <c r="R188" s="7">
        <f>'1 datos preparados'!Q181</f>
        <v/>
      </c>
      <c r="S188" s="7">
        <f>'1 datos preparados'!R181</f>
        <v/>
      </c>
      <c r="T188" s="7">
        <f>'1 datos preparados'!S181</f>
        <v/>
      </c>
      <c r="U188" s="7">
        <f>'1 datos preparados'!T181</f>
        <v/>
      </c>
      <c r="V188" s="8">
        <f>$AC$12+D188*$AC$13+E188*$AC$14+F188*$AC$15+G188*$AC$16+H188*$AC$17+I188*$AC$18+J188*$AC$19+K188*$AC$20+L188*$AC$21+M188*$AC$22+N188*$AC$23+O188*$AC$24+P188*$AC$25+Q188*$AC$26+R188*$AC$27+S188*$AC$28+T188*$AC$29+U188*$AC$30</f>
        <v/>
      </c>
      <c r="W188" s="8">
        <f>1/(1+EXP(-V188))</f>
        <v/>
      </c>
      <c r="X188" s="9">
        <f>-IF(C188=1,LN(W188),LN(1-W188))</f>
        <v/>
      </c>
      <c r="Y188" s="10">
        <f>IF(W188&gt;$AC$33,1,0)</f>
        <v/>
      </c>
      <c r="Z188">
        <f>IF(Y188=C188,1,0)</f>
        <v/>
      </c>
    </row>
    <row r="189">
      <c r="A189">
        <f>'1 datos preparados'!A182</f>
        <v/>
      </c>
      <c r="B189" s="5">
        <f>'1 datos preparados'!U182</f>
        <v/>
      </c>
      <c r="C189">
        <f>'1 datos preparados'!B182</f>
        <v/>
      </c>
      <c r="D189" s="7">
        <f>'1 datos preparados'!C182</f>
        <v/>
      </c>
      <c r="E189" s="7">
        <f>'1 datos preparados'!D182</f>
        <v/>
      </c>
      <c r="F189" s="7">
        <f>'1 datos preparados'!E182</f>
        <v/>
      </c>
      <c r="G189" s="7">
        <f>'1 datos preparados'!F182</f>
        <v/>
      </c>
      <c r="H189" s="7">
        <f>'1 datos preparados'!G182</f>
        <v/>
      </c>
      <c r="I189" s="7">
        <f>'1 datos preparados'!H182</f>
        <v/>
      </c>
      <c r="J189" s="7">
        <f>'1 datos preparados'!I182</f>
        <v/>
      </c>
      <c r="K189" s="7">
        <f>'1 datos preparados'!J182</f>
        <v/>
      </c>
      <c r="L189" s="7">
        <f>'1 datos preparados'!K182</f>
        <v/>
      </c>
      <c r="M189" s="7">
        <f>'1 datos preparados'!L182</f>
        <v/>
      </c>
      <c r="N189" s="7">
        <f>'1 datos preparados'!M182</f>
        <v/>
      </c>
      <c r="O189" s="7">
        <f>'1 datos preparados'!N182</f>
        <v/>
      </c>
      <c r="P189" s="7">
        <f>'1 datos preparados'!O182</f>
        <v/>
      </c>
      <c r="Q189" s="7">
        <f>'1 datos preparados'!P182</f>
        <v/>
      </c>
      <c r="R189" s="7">
        <f>'1 datos preparados'!Q182</f>
        <v/>
      </c>
      <c r="S189" s="7">
        <f>'1 datos preparados'!R182</f>
        <v/>
      </c>
      <c r="T189" s="7">
        <f>'1 datos preparados'!S182</f>
        <v/>
      </c>
      <c r="U189" s="7">
        <f>'1 datos preparados'!T182</f>
        <v/>
      </c>
      <c r="V189" s="8">
        <f>$AC$12+D189*$AC$13+E189*$AC$14+F189*$AC$15+G189*$AC$16+H189*$AC$17+I189*$AC$18+J189*$AC$19+K189*$AC$20+L189*$AC$21+M189*$AC$22+N189*$AC$23+O189*$AC$24+P189*$AC$25+Q189*$AC$26+R189*$AC$27+S189*$AC$28+T189*$AC$29+U189*$AC$30</f>
        <v/>
      </c>
      <c r="W189" s="8">
        <f>1/(1+EXP(-V189))</f>
        <v/>
      </c>
      <c r="X189" s="9">
        <f>-IF(C189=1,LN(W189),LN(1-W189))</f>
        <v/>
      </c>
      <c r="Y189" s="10">
        <f>IF(W189&gt;$AC$33,1,0)</f>
        <v/>
      </c>
      <c r="Z189">
        <f>IF(Y189=C189,1,0)</f>
        <v/>
      </c>
    </row>
    <row r="190">
      <c r="A190">
        <f>'1 datos preparados'!A183</f>
        <v/>
      </c>
      <c r="B190" s="5">
        <f>'1 datos preparados'!U183</f>
        <v/>
      </c>
      <c r="C190">
        <f>'1 datos preparados'!B183</f>
        <v/>
      </c>
      <c r="D190" s="7">
        <f>'1 datos preparados'!C183</f>
        <v/>
      </c>
      <c r="E190" s="7">
        <f>'1 datos preparados'!D183</f>
        <v/>
      </c>
      <c r="F190" s="7">
        <f>'1 datos preparados'!E183</f>
        <v/>
      </c>
      <c r="G190" s="7">
        <f>'1 datos preparados'!F183</f>
        <v/>
      </c>
      <c r="H190" s="7">
        <f>'1 datos preparados'!G183</f>
        <v/>
      </c>
      <c r="I190" s="7">
        <f>'1 datos preparados'!H183</f>
        <v/>
      </c>
      <c r="J190" s="7">
        <f>'1 datos preparados'!I183</f>
        <v/>
      </c>
      <c r="K190" s="7">
        <f>'1 datos preparados'!J183</f>
        <v/>
      </c>
      <c r="L190" s="7">
        <f>'1 datos preparados'!K183</f>
        <v/>
      </c>
      <c r="M190" s="7">
        <f>'1 datos preparados'!L183</f>
        <v/>
      </c>
      <c r="N190" s="7">
        <f>'1 datos preparados'!M183</f>
        <v/>
      </c>
      <c r="O190" s="7">
        <f>'1 datos preparados'!N183</f>
        <v/>
      </c>
      <c r="P190" s="7">
        <f>'1 datos preparados'!O183</f>
        <v/>
      </c>
      <c r="Q190" s="7">
        <f>'1 datos preparados'!P183</f>
        <v/>
      </c>
      <c r="R190" s="7">
        <f>'1 datos preparados'!Q183</f>
        <v/>
      </c>
      <c r="S190" s="7">
        <f>'1 datos preparados'!R183</f>
        <v/>
      </c>
      <c r="T190" s="7">
        <f>'1 datos preparados'!S183</f>
        <v/>
      </c>
      <c r="U190" s="7">
        <f>'1 datos preparados'!T183</f>
        <v/>
      </c>
      <c r="V190" s="8">
        <f>$AC$12+D190*$AC$13+E190*$AC$14+F190*$AC$15+G190*$AC$16+H190*$AC$17+I190*$AC$18+J190*$AC$19+K190*$AC$20+L190*$AC$21+M190*$AC$22+N190*$AC$23+O190*$AC$24+P190*$AC$25+Q190*$AC$26+R190*$AC$27+S190*$AC$28+T190*$AC$29+U190*$AC$30</f>
        <v/>
      </c>
      <c r="W190" s="8">
        <f>1/(1+EXP(-V190))</f>
        <v/>
      </c>
      <c r="X190" s="9">
        <f>-IF(C190=1,LN(W190),LN(1-W190))</f>
        <v/>
      </c>
      <c r="Y190" s="10">
        <f>IF(W190&gt;$AC$33,1,0)</f>
        <v/>
      </c>
      <c r="Z190">
        <f>IF(Y190=C190,1,0)</f>
        <v/>
      </c>
    </row>
    <row r="191">
      <c r="A191">
        <f>'1 datos preparados'!A184</f>
        <v/>
      </c>
      <c r="B191" s="5">
        <f>'1 datos preparados'!U184</f>
        <v/>
      </c>
      <c r="C191">
        <f>'1 datos preparados'!B184</f>
        <v/>
      </c>
      <c r="D191" s="7">
        <f>'1 datos preparados'!C184</f>
        <v/>
      </c>
      <c r="E191" s="7">
        <f>'1 datos preparados'!D184</f>
        <v/>
      </c>
      <c r="F191" s="7">
        <f>'1 datos preparados'!E184</f>
        <v/>
      </c>
      <c r="G191" s="7">
        <f>'1 datos preparados'!F184</f>
        <v/>
      </c>
      <c r="H191" s="7">
        <f>'1 datos preparados'!G184</f>
        <v/>
      </c>
      <c r="I191" s="7">
        <f>'1 datos preparados'!H184</f>
        <v/>
      </c>
      <c r="J191" s="7">
        <f>'1 datos preparados'!I184</f>
        <v/>
      </c>
      <c r="K191" s="7">
        <f>'1 datos preparados'!J184</f>
        <v/>
      </c>
      <c r="L191" s="7">
        <f>'1 datos preparados'!K184</f>
        <v/>
      </c>
      <c r="M191" s="7">
        <f>'1 datos preparados'!L184</f>
        <v/>
      </c>
      <c r="N191" s="7">
        <f>'1 datos preparados'!M184</f>
        <v/>
      </c>
      <c r="O191" s="7">
        <f>'1 datos preparados'!N184</f>
        <v/>
      </c>
      <c r="P191" s="7">
        <f>'1 datos preparados'!O184</f>
        <v/>
      </c>
      <c r="Q191" s="7">
        <f>'1 datos preparados'!P184</f>
        <v/>
      </c>
      <c r="R191" s="7">
        <f>'1 datos preparados'!Q184</f>
        <v/>
      </c>
      <c r="S191" s="7">
        <f>'1 datos preparados'!R184</f>
        <v/>
      </c>
      <c r="T191" s="7">
        <f>'1 datos preparados'!S184</f>
        <v/>
      </c>
      <c r="U191" s="7">
        <f>'1 datos preparados'!T184</f>
        <v/>
      </c>
      <c r="V191" s="8">
        <f>$AC$12+D191*$AC$13+E191*$AC$14+F191*$AC$15+G191*$AC$16+H191*$AC$17+I191*$AC$18+J191*$AC$19+K191*$AC$20+L191*$AC$21+M191*$AC$22+N191*$AC$23+O191*$AC$24+P191*$AC$25+Q191*$AC$26+R191*$AC$27+S191*$AC$28+T191*$AC$29+U191*$AC$30</f>
        <v/>
      </c>
      <c r="W191" s="8">
        <f>1/(1+EXP(-V191))</f>
        <v/>
      </c>
      <c r="X191" s="9">
        <f>-IF(C191=1,LN(W191),LN(1-W191))</f>
        <v/>
      </c>
      <c r="Y191" s="10">
        <f>IF(W191&gt;$AC$33,1,0)</f>
        <v/>
      </c>
      <c r="Z191">
        <f>IF(Y191=C191,1,0)</f>
        <v/>
      </c>
    </row>
    <row r="192">
      <c r="A192">
        <f>'1 datos preparados'!A185</f>
        <v/>
      </c>
      <c r="B192" s="5">
        <f>'1 datos preparados'!U185</f>
        <v/>
      </c>
      <c r="C192">
        <f>'1 datos preparados'!B185</f>
        <v/>
      </c>
      <c r="D192" s="7">
        <f>'1 datos preparados'!C185</f>
        <v/>
      </c>
      <c r="E192" s="7">
        <f>'1 datos preparados'!D185</f>
        <v/>
      </c>
      <c r="F192" s="7">
        <f>'1 datos preparados'!E185</f>
        <v/>
      </c>
      <c r="G192" s="7">
        <f>'1 datos preparados'!F185</f>
        <v/>
      </c>
      <c r="H192" s="7">
        <f>'1 datos preparados'!G185</f>
        <v/>
      </c>
      <c r="I192" s="7">
        <f>'1 datos preparados'!H185</f>
        <v/>
      </c>
      <c r="J192" s="7">
        <f>'1 datos preparados'!I185</f>
        <v/>
      </c>
      <c r="K192" s="7">
        <f>'1 datos preparados'!J185</f>
        <v/>
      </c>
      <c r="L192" s="7">
        <f>'1 datos preparados'!K185</f>
        <v/>
      </c>
      <c r="M192" s="7">
        <f>'1 datos preparados'!L185</f>
        <v/>
      </c>
      <c r="N192" s="7">
        <f>'1 datos preparados'!M185</f>
        <v/>
      </c>
      <c r="O192" s="7">
        <f>'1 datos preparados'!N185</f>
        <v/>
      </c>
      <c r="P192" s="7">
        <f>'1 datos preparados'!O185</f>
        <v/>
      </c>
      <c r="Q192" s="7">
        <f>'1 datos preparados'!P185</f>
        <v/>
      </c>
      <c r="R192" s="7">
        <f>'1 datos preparados'!Q185</f>
        <v/>
      </c>
      <c r="S192" s="7">
        <f>'1 datos preparados'!R185</f>
        <v/>
      </c>
      <c r="T192" s="7">
        <f>'1 datos preparados'!S185</f>
        <v/>
      </c>
      <c r="U192" s="7">
        <f>'1 datos preparados'!T185</f>
        <v/>
      </c>
      <c r="V192" s="8">
        <f>$AC$12+D192*$AC$13+E192*$AC$14+F192*$AC$15+G192*$AC$16+H192*$AC$17+I192*$AC$18+J192*$AC$19+K192*$AC$20+L192*$AC$21+M192*$AC$22+N192*$AC$23+O192*$AC$24+P192*$AC$25+Q192*$AC$26+R192*$AC$27+S192*$AC$28+T192*$AC$29+U192*$AC$30</f>
        <v/>
      </c>
      <c r="W192" s="8">
        <f>1/(1+EXP(-V192))</f>
        <v/>
      </c>
      <c r="X192" s="9">
        <f>-IF(C192=1,LN(W192),LN(1-W192))</f>
        <v/>
      </c>
      <c r="Y192" s="10">
        <f>IF(W192&gt;$AC$33,1,0)</f>
        <v/>
      </c>
      <c r="Z192">
        <f>IF(Y192=C192,1,0)</f>
        <v/>
      </c>
    </row>
    <row r="193">
      <c r="A193">
        <f>'1 datos preparados'!A186</f>
        <v/>
      </c>
      <c r="B193" s="5">
        <f>'1 datos preparados'!U186</f>
        <v/>
      </c>
      <c r="C193">
        <f>'1 datos preparados'!B186</f>
        <v/>
      </c>
      <c r="D193" s="7">
        <f>'1 datos preparados'!C186</f>
        <v/>
      </c>
      <c r="E193" s="7">
        <f>'1 datos preparados'!D186</f>
        <v/>
      </c>
      <c r="F193" s="7">
        <f>'1 datos preparados'!E186</f>
        <v/>
      </c>
      <c r="G193" s="7">
        <f>'1 datos preparados'!F186</f>
        <v/>
      </c>
      <c r="H193" s="7">
        <f>'1 datos preparados'!G186</f>
        <v/>
      </c>
      <c r="I193" s="7">
        <f>'1 datos preparados'!H186</f>
        <v/>
      </c>
      <c r="J193" s="7">
        <f>'1 datos preparados'!I186</f>
        <v/>
      </c>
      <c r="K193" s="7">
        <f>'1 datos preparados'!J186</f>
        <v/>
      </c>
      <c r="L193" s="7">
        <f>'1 datos preparados'!K186</f>
        <v/>
      </c>
      <c r="M193" s="7">
        <f>'1 datos preparados'!L186</f>
        <v/>
      </c>
      <c r="N193" s="7">
        <f>'1 datos preparados'!M186</f>
        <v/>
      </c>
      <c r="O193" s="7">
        <f>'1 datos preparados'!N186</f>
        <v/>
      </c>
      <c r="P193" s="7">
        <f>'1 datos preparados'!O186</f>
        <v/>
      </c>
      <c r="Q193" s="7">
        <f>'1 datos preparados'!P186</f>
        <v/>
      </c>
      <c r="R193" s="7">
        <f>'1 datos preparados'!Q186</f>
        <v/>
      </c>
      <c r="S193" s="7">
        <f>'1 datos preparados'!R186</f>
        <v/>
      </c>
      <c r="T193" s="7">
        <f>'1 datos preparados'!S186</f>
        <v/>
      </c>
      <c r="U193" s="7">
        <f>'1 datos preparados'!T186</f>
        <v/>
      </c>
      <c r="V193" s="8">
        <f>$AC$12+D193*$AC$13+E193*$AC$14+F193*$AC$15+G193*$AC$16+H193*$AC$17+I193*$AC$18+J193*$AC$19+K193*$AC$20+L193*$AC$21+M193*$AC$22+N193*$AC$23+O193*$AC$24+P193*$AC$25+Q193*$AC$26+R193*$AC$27+S193*$AC$28+T193*$AC$29+U193*$AC$30</f>
        <v/>
      </c>
      <c r="W193" s="8">
        <f>1/(1+EXP(-V193))</f>
        <v/>
      </c>
      <c r="X193" s="9">
        <f>-IF(C193=1,LN(W193),LN(1-W193))</f>
        <v/>
      </c>
      <c r="Y193" s="10">
        <f>IF(W193&gt;$AC$33,1,0)</f>
        <v/>
      </c>
      <c r="Z193">
        <f>IF(Y193=C193,1,0)</f>
        <v/>
      </c>
    </row>
    <row r="194">
      <c r="A194">
        <f>'1 datos preparados'!A187</f>
        <v/>
      </c>
      <c r="B194" s="5">
        <f>'1 datos preparados'!U187</f>
        <v/>
      </c>
      <c r="C194">
        <f>'1 datos preparados'!B187</f>
        <v/>
      </c>
      <c r="D194" s="7">
        <f>'1 datos preparados'!C187</f>
        <v/>
      </c>
      <c r="E194" s="7">
        <f>'1 datos preparados'!D187</f>
        <v/>
      </c>
      <c r="F194" s="7">
        <f>'1 datos preparados'!E187</f>
        <v/>
      </c>
      <c r="G194" s="7">
        <f>'1 datos preparados'!F187</f>
        <v/>
      </c>
      <c r="H194" s="7">
        <f>'1 datos preparados'!G187</f>
        <v/>
      </c>
      <c r="I194" s="7">
        <f>'1 datos preparados'!H187</f>
        <v/>
      </c>
      <c r="J194" s="7">
        <f>'1 datos preparados'!I187</f>
        <v/>
      </c>
      <c r="K194" s="7">
        <f>'1 datos preparados'!J187</f>
        <v/>
      </c>
      <c r="L194" s="7">
        <f>'1 datos preparados'!K187</f>
        <v/>
      </c>
      <c r="M194" s="7">
        <f>'1 datos preparados'!L187</f>
        <v/>
      </c>
      <c r="N194" s="7">
        <f>'1 datos preparados'!M187</f>
        <v/>
      </c>
      <c r="O194" s="7">
        <f>'1 datos preparados'!N187</f>
        <v/>
      </c>
      <c r="P194" s="7">
        <f>'1 datos preparados'!O187</f>
        <v/>
      </c>
      <c r="Q194" s="7">
        <f>'1 datos preparados'!P187</f>
        <v/>
      </c>
      <c r="R194" s="7">
        <f>'1 datos preparados'!Q187</f>
        <v/>
      </c>
      <c r="S194" s="7">
        <f>'1 datos preparados'!R187</f>
        <v/>
      </c>
      <c r="T194" s="7">
        <f>'1 datos preparados'!S187</f>
        <v/>
      </c>
      <c r="U194" s="7">
        <f>'1 datos preparados'!T187</f>
        <v/>
      </c>
      <c r="V194" s="8">
        <f>$AC$12+D194*$AC$13+E194*$AC$14+F194*$AC$15+G194*$AC$16+H194*$AC$17+I194*$AC$18+J194*$AC$19+K194*$AC$20+L194*$AC$21+M194*$AC$22+N194*$AC$23+O194*$AC$24+P194*$AC$25+Q194*$AC$26+R194*$AC$27+S194*$AC$28+T194*$AC$29+U194*$AC$30</f>
        <v/>
      </c>
      <c r="W194" s="8">
        <f>1/(1+EXP(-V194))</f>
        <v/>
      </c>
      <c r="X194" s="9">
        <f>-IF(C194=1,LN(W194),LN(1-W194))</f>
        <v/>
      </c>
      <c r="Y194" s="10">
        <f>IF(W194&gt;$AC$33,1,0)</f>
        <v/>
      </c>
      <c r="Z194">
        <f>IF(Y194=C194,1,0)</f>
        <v/>
      </c>
    </row>
    <row r="195">
      <c r="A195">
        <f>'1 datos preparados'!A188</f>
        <v/>
      </c>
      <c r="B195" s="5">
        <f>'1 datos preparados'!U188</f>
        <v/>
      </c>
      <c r="C195">
        <f>'1 datos preparados'!B188</f>
        <v/>
      </c>
      <c r="D195" s="7">
        <f>'1 datos preparados'!C188</f>
        <v/>
      </c>
      <c r="E195" s="7">
        <f>'1 datos preparados'!D188</f>
        <v/>
      </c>
      <c r="F195" s="7">
        <f>'1 datos preparados'!E188</f>
        <v/>
      </c>
      <c r="G195" s="7">
        <f>'1 datos preparados'!F188</f>
        <v/>
      </c>
      <c r="H195" s="7">
        <f>'1 datos preparados'!G188</f>
        <v/>
      </c>
      <c r="I195" s="7">
        <f>'1 datos preparados'!H188</f>
        <v/>
      </c>
      <c r="J195" s="7">
        <f>'1 datos preparados'!I188</f>
        <v/>
      </c>
      <c r="K195" s="7">
        <f>'1 datos preparados'!J188</f>
        <v/>
      </c>
      <c r="L195" s="7">
        <f>'1 datos preparados'!K188</f>
        <v/>
      </c>
      <c r="M195" s="7">
        <f>'1 datos preparados'!L188</f>
        <v/>
      </c>
      <c r="N195" s="7">
        <f>'1 datos preparados'!M188</f>
        <v/>
      </c>
      <c r="O195" s="7">
        <f>'1 datos preparados'!N188</f>
        <v/>
      </c>
      <c r="P195" s="7">
        <f>'1 datos preparados'!O188</f>
        <v/>
      </c>
      <c r="Q195" s="7">
        <f>'1 datos preparados'!P188</f>
        <v/>
      </c>
      <c r="R195" s="7">
        <f>'1 datos preparados'!Q188</f>
        <v/>
      </c>
      <c r="S195" s="7">
        <f>'1 datos preparados'!R188</f>
        <v/>
      </c>
      <c r="T195" s="7">
        <f>'1 datos preparados'!S188</f>
        <v/>
      </c>
      <c r="U195" s="7">
        <f>'1 datos preparados'!T188</f>
        <v/>
      </c>
      <c r="V195" s="8">
        <f>$AC$12+D195*$AC$13+E195*$AC$14+F195*$AC$15+G195*$AC$16+H195*$AC$17+I195*$AC$18+J195*$AC$19+K195*$AC$20+L195*$AC$21+M195*$AC$22+N195*$AC$23+O195*$AC$24+P195*$AC$25+Q195*$AC$26+R195*$AC$27+S195*$AC$28+T195*$AC$29+U195*$AC$30</f>
        <v/>
      </c>
      <c r="W195" s="8">
        <f>1/(1+EXP(-V195))</f>
        <v/>
      </c>
      <c r="X195" s="9">
        <f>-IF(C195=1,LN(W195),LN(1-W195))</f>
        <v/>
      </c>
      <c r="Y195" s="10">
        <f>IF(W195&gt;$AC$33,1,0)</f>
        <v/>
      </c>
      <c r="Z195">
        <f>IF(Y195=C195,1,0)</f>
        <v/>
      </c>
    </row>
    <row r="196">
      <c r="A196">
        <f>'1 datos preparados'!A189</f>
        <v/>
      </c>
      <c r="B196" s="5">
        <f>'1 datos preparados'!U189</f>
        <v/>
      </c>
      <c r="C196">
        <f>'1 datos preparados'!B189</f>
        <v/>
      </c>
      <c r="D196" s="7">
        <f>'1 datos preparados'!C189</f>
        <v/>
      </c>
      <c r="E196" s="7">
        <f>'1 datos preparados'!D189</f>
        <v/>
      </c>
      <c r="F196" s="7">
        <f>'1 datos preparados'!E189</f>
        <v/>
      </c>
      <c r="G196" s="7">
        <f>'1 datos preparados'!F189</f>
        <v/>
      </c>
      <c r="H196" s="7">
        <f>'1 datos preparados'!G189</f>
        <v/>
      </c>
      <c r="I196" s="7">
        <f>'1 datos preparados'!H189</f>
        <v/>
      </c>
      <c r="J196" s="7">
        <f>'1 datos preparados'!I189</f>
        <v/>
      </c>
      <c r="K196" s="7">
        <f>'1 datos preparados'!J189</f>
        <v/>
      </c>
      <c r="L196" s="7">
        <f>'1 datos preparados'!K189</f>
        <v/>
      </c>
      <c r="M196" s="7">
        <f>'1 datos preparados'!L189</f>
        <v/>
      </c>
      <c r="N196" s="7">
        <f>'1 datos preparados'!M189</f>
        <v/>
      </c>
      <c r="O196" s="7">
        <f>'1 datos preparados'!N189</f>
        <v/>
      </c>
      <c r="P196" s="7">
        <f>'1 datos preparados'!O189</f>
        <v/>
      </c>
      <c r="Q196" s="7">
        <f>'1 datos preparados'!P189</f>
        <v/>
      </c>
      <c r="R196" s="7">
        <f>'1 datos preparados'!Q189</f>
        <v/>
      </c>
      <c r="S196" s="7">
        <f>'1 datos preparados'!R189</f>
        <v/>
      </c>
      <c r="T196" s="7">
        <f>'1 datos preparados'!S189</f>
        <v/>
      </c>
      <c r="U196" s="7">
        <f>'1 datos preparados'!T189</f>
        <v/>
      </c>
      <c r="V196" s="8">
        <f>$AC$12+D196*$AC$13+E196*$AC$14+F196*$AC$15+G196*$AC$16+H196*$AC$17+I196*$AC$18+J196*$AC$19+K196*$AC$20+L196*$AC$21+M196*$AC$22+N196*$AC$23+O196*$AC$24+P196*$AC$25+Q196*$AC$26+R196*$AC$27+S196*$AC$28+T196*$AC$29+U196*$AC$30</f>
        <v/>
      </c>
      <c r="W196" s="8">
        <f>1/(1+EXP(-V196))</f>
        <v/>
      </c>
      <c r="X196" s="9">
        <f>-IF(C196=1,LN(W196),LN(1-W196))</f>
        <v/>
      </c>
      <c r="Y196" s="10">
        <f>IF(W196&gt;$AC$33,1,0)</f>
        <v/>
      </c>
      <c r="Z196">
        <f>IF(Y196=C196,1,0)</f>
        <v/>
      </c>
    </row>
    <row r="197">
      <c r="A197">
        <f>'1 datos preparados'!A190</f>
        <v/>
      </c>
      <c r="B197" s="5">
        <f>'1 datos preparados'!U190</f>
        <v/>
      </c>
      <c r="C197">
        <f>'1 datos preparados'!B190</f>
        <v/>
      </c>
      <c r="D197" s="7">
        <f>'1 datos preparados'!C190</f>
        <v/>
      </c>
      <c r="E197" s="7">
        <f>'1 datos preparados'!D190</f>
        <v/>
      </c>
      <c r="F197" s="7">
        <f>'1 datos preparados'!E190</f>
        <v/>
      </c>
      <c r="G197" s="7">
        <f>'1 datos preparados'!F190</f>
        <v/>
      </c>
      <c r="H197" s="7">
        <f>'1 datos preparados'!G190</f>
        <v/>
      </c>
      <c r="I197" s="7">
        <f>'1 datos preparados'!H190</f>
        <v/>
      </c>
      <c r="J197" s="7">
        <f>'1 datos preparados'!I190</f>
        <v/>
      </c>
      <c r="K197" s="7">
        <f>'1 datos preparados'!J190</f>
        <v/>
      </c>
      <c r="L197" s="7">
        <f>'1 datos preparados'!K190</f>
        <v/>
      </c>
      <c r="M197" s="7">
        <f>'1 datos preparados'!L190</f>
        <v/>
      </c>
      <c r="N197" s="7">
        <f>'1 datos preparados'!M190</f>
        <v/>
      </c>
      <c r="O197" s="7">
        <f>'1 datos preparados'!N190</f>
        <v/>
      </c>
      <c r="P197" s="7">
        <f>'1 datos preparados'!O190</f>
        <v/>
      </c>
      <c r="Q197" s="7">
        <f>'1 datos preparados'!P190</f>
        <v/>
      </c>
      <c r="R197" s="7">
        <f>'1 datos preparados'!Q190</f>
        <v/>
      </c>
      <c r="S197" s="7">
        <f>'1 datos preparados'!R190</f>
        <v/>
      </c>
      <c r="T197" s="7">
        <f>'1 datos preparados'!S190</f>
        <v/>
      </c>
      <c r="U197" s="7">
        <f>'1 datos preparados'!T190</f>
        <v/>
      </c>
      <c r="V197" s="8">
        <f>$AC$12+D197*$AC$13+E197*$AC$14+F197*$AC$15+G197*$AC$16+H197*$AC$17+I197*$AC$18+J197*$AC$19+K197*$AC$20+L197*$AC$21+M197*$AC$22+N197*$AC$23+O197*$AC$24+P197*$AC$25+Q197*$AC$26+R197*$AC$27+S197*$AC$28+T197*$AC$29+U197*$AC$30</f>
        <v/>
      </c>
      <c r="W197" s="8">
        <f>1/(1+EXP(-V197))</f>
        <v/>
      </c>
      <c r="X197" s="9">
        <f>-IF(C197=1,LN(W197),LN(1-W197))</f>
        <v/>
      </c>
      <c r="Y197" s="10">
        <f>IF(W197&gt;$AC$33,1,0)</f>
        <v/>
      </c>
      <c r="Z197">
        <f>IF(Y197=C197,1,0)</f>
        <v/>
      </c>
    </row>
    <row r="198">
      <c r="A198">
        <f>'1 datos preparados'!A191</f>
        <v/>
      </c>
      <c r="B198" s="5">
        <f>'1 datos preparados'!U191</f>
        <v/>
      </c>
      <c r="C198">
        <f>'1 datos preparados'!B191</f>
        <v/>
      </c>
      <c r="D198" s="7">
        <f>'1 datos preparados'!C191</f>
        <v/>
      </c>
      <c r="E198" s="7">
        <f>'1 datos preparados'!D191</f>
        <v/>
      </c>
      <c r="F198" s="7">
        <f>'1 datos preparados'!E191</f>
        <v/>
      </c>
      <c r="G198" s="7">
        <f>'1 datos preparados'!F191</f>
        <v/>
      </c>
      <c r="H198" s="7">
        <f>'1 datos preparados'!G191</f>
        <v/>
      </c>
      <c r="I198" s="7">
        <f>'1 datos preparados'!H191</f>
        <v/>
      </c>
      <c r="J198" s="7">
        <f>'1 datos preparados'!I191</f>
        <v/>
      </c>
      <c r="K198" s="7">
        <f>'1 datos preparados'!J191</f>
        <v/>
      </c>
      <c r="L198" s="7">
        <f>'1 datos preparados'!K191</f>
        <v/>
      </c>
      <c r="M198" s="7">
        <f>'1 datos preparados'!L191</f>
        <v/>
      </c>
      <c r="N198" s="7">
        <f>'1 datos preparados'!M191</f>
        <v/>
      </c>
      <c r="O198" s="7">
        <f>'1 datos preparados'!N191</f>
        <v/>
      </c>
      <c r="P198" s="7">
        <f>'1 datos preparados'!O191</f>
        <v/>
      </c>
      <c r="Q198" s="7">
        <f>'1 datos preparados'!P191</f>
        <v/>
      </c>
      <c r="R198" s="7">
        <f>'1 datos preparados'!Q191</f>
        <v/>
      </c>
      <c r="S198" s="7">
        <f>'1 datos preparados'!R191</f>
        <v/>
      </c>
      <c r="T198" s="7">
        <f>'1 datos preparados'!S191</f>
        <v/>
      </c>
      <c r="U198" s="7">
        <f>'1 datos preparados'!T191</f>
        <v/>
      </c>
      <c r="V198" s="8">
        <f>$AC$12+D198*$AC$13+E198*$AC$14+F198*$AC$15+G198*$AC$16+H198*$AC$17+I198*$AC$18+J198*$AC$19+K198*$AC$20+L198*$AC$21+M198*$AC$22+N198*$AC$23+O198*$AC$24+P198*$AC$25+Q198*$AC$26+R198*$AC$27+S198*$AC$28+T198*$AC$29+U198*$AC$30</f>
        <v/>
      </c>
      <c r="W198" s="8">
        <f>1/(1+EXP(-V198))</f>
        <v/>
      </c>
      <c r="X198" s="9">
        <f>-IF(C198=1,LN(W198),LN(1-W198))</f>
        <v/>
      </c>
      <c r="Y198" s="10">
        <f>IF(W198&gt;$AC$33,1,0)</f>
        <v/>
      </c>
      <c r="Z198">
        <f>IF(Y198=C198,1,0)</f>
        <v/>
      </c>
    </row>
    <row r="199">
      <c r="A199">
        <f>'1 datos preparados'!A192</f>
        <v/>
      </c>
      <c r="B199" s="5">
        <f>'1 datos preparados'!U192</f>
        <v/>
      </c>
      <c r="C199">
        <f>'1 datos preparados'!B192</f>
        <v/>
      </c>
      <c r="D199" s="7">
        <f>'1 datos preparados'!C192</f>
        <v/>
      </c>
      <c r="E199" s="7">
        <f>'1 datos preparados'!D192</f>
        <v/>
      </c>
      <c r="F199" s="7">
        <f>'1 datos preparados'!E192</f>
        <v/>
      </c>
      <c r="G199" s="7">
        <f>'1 datos preparados'!F192</f>
        <v/>
      </c>
      <c r="H199" s="7">
        <f>'1 datos preparados'!G192</f>
        <v/>
      </c>
      <c r="I199" s="7">
        <f>'1 datos preparados'!H192</f>
        <v/>
      </c>
      <c r="J199" s="7">
        <f>'1 datos preparados'!I192</f>
        <v/>
      </c>
      <c r="K199" s="7">
        <f>'1 datos preparados'!J192</f>
        <v/>
      </c>
      <c r="L199" s="7">
        <f>'1 datos preparados'!K192</f>
        <v/>
      </c>
      <c r="M199" s="7">
        <f>'1 datos preparados'!L192</f>
        <v/>
      </c>
      <c r="N199" s="7">
        <f>'1 datos preparados'!M192</f>
        <v/>
      </c>
      <c r="O199" s="7">
        <f>'1 datos preparados'!N192</f>
        <v/>
      </c>
      <c r="P199" s="7">
        <f>'1 datos preparados'!O192</f>
        <v/>
      </c>
      <c r="Q199" s="7">
        <f>'1 datos preparados'!P192</f>
        <v/>
      </c>
      <c r="R199" s="7">
        <f>'1 datos preparados'!Q192</f>
        <v/>
      </c>
      <c r="S199" s="7">
        <f>'1 datos preparados'!R192</f>
        <v/>
      </c>
      <c r="T199" s="7">
        <f>'1 datos preparados'!S192</f>
        <v/>
      </c>
      <c r="U199" s="7">
        <f>'1 datos preparados'!T192</f>
        <v/>
      </c>
      <c r="V199" s="8">
        <f>$AC$12+D199*$AC$13+E199*$AC$14+F199*$AC$15+G199*$AC$16+H199*$AC$17+I199*$AC$18+J199*$AC$19+K199*$AC$20+L199*$AC$21+M199*$AC$22+N199*$AC$23+O199*$AC$24+P199*$AC$25+Q199*$AC$26+R199*$AC$27+S199*$AC$28+T199*$AC$29+U199*$AC$30</f>
        <v/>
      </c>
      <c r="W199" s="8">
        <f>1/(1+EXP(-V199))</f>
        <v/>
      </c>
      <c r="X199" s="9">
        <f>-IF(C199=1,LN(W199),LN(1-W199))</f>
        <v/>
      </c>
      <c r="Y199" s="10">
        <f>IF(W199&gt;$AC$33,1,0)</f>
        <v/>
      </c>
      <c r="Z199">
        <f>IF(Y199=C199,1,0)</f>
        <v/>
      </c>
    </row>
    <row r="200">
      <c r="A200">
        <f>'1 datos preparados'!A193</f>
        <v/>
      </c>
      <c r="B200" s="5">
        <f>'1 datos preparados'!U193</f>
        <v/>
      </c>
      <c r="C200">
        <f>'1 datos preparados'!B193</f>
        <v/>
      </c>
      <c r="D200" s="7">
        <f>'1 datos preparados'!C193</f>
        <v/>
      </c>
      <c r="E200" s="7">
        <f>'1 datos preparados'!D193</f>
        <v/>
      </c>
      <c r="F200" s="7">
        <f>'1 datos preparados'!E193</f>
        <v/>
      </c>
      <c r="G200" s="7">
        <f>'1 datos preparados'!F193</f>
        <v/>
      </c>
      <c r="H200" s="7">
        <f>'1 datos preparados'!G193</f>
        <v/>
      </c>
      <c r="I200" s="7">
        <f>'1 datos preparados'!H193</f>
        <v/>
      </c>
      <c r="J200" s="7">
        <f>'1 datos preparados'!I193</f>
        <v/>
      </c>
      <c r="K200" s="7">
        <f>'1 datos preparados'!J193</f>
        <v/>
      </c>
      <c r="L200" s="7">
        <f>'1 datos preparados'!K193</f>
        <v/>
      </c>
      <c r="M200" s="7">
        <f>'1 datos preparados'!L193</f>
        <v/>
      </c>
      <c r="N200" s="7">
        <f>'1 datos preparados'!M193</f>
        <v/>
      </c>
      <c r="O200" s="7">
        <f>'1 datos preparados'!N193</f>
        <v/>
      </c>
      <c r="P200" s="7">
        <f>'1 datos preparados'!O193</f>
        <v/>
      </c>
      <c r="Q200" s="7">
        <f>'1 datos preparados'!P193</f>
        <v/>
      </c>
      <c r="R200" s="7">
        <f>'1 datos preparados'!Q193</f>
        <v/>
      </c>
      <c r="S200" s="7">
        <f>'1 datos preparados'!R193</f>
        <v/>
      </c>
      <c r="T200" s="7">
        <f>'1 datos preparados'!S193</f>
        <v/>
      </c>
      <c r="U200" s="7">
        <f>'1 datos preparados'!T193</f>
        <v/>
      </c>
      <c r="V200" s="8">
        <f>$AC$12+D200*$AC$13+E200*$AC$14+F200*$AC$15+G200*$AC$16+H200*$AC$17+I200*$AC$18+J200*$AC$19+K200*$AC$20+L200*$AC$21+M200*$AC$22+N200*$AC$23+O200*$AC$24+P200*$AC$25+Q200*$AC$26+R200*$AC$27+S200*$AC$28+T200*$AC$29+U200*$AC$30</f>
        <v/>
      </c>
      <c r="W200" s="8">
        <f>1/(1+EXP(-V200))</f>
        <v/>
      </c>
      <c r="X200" s="9">
        <f>-IF(C200=1,LN(W200),LN(1-W200))</f>
        <v/>
      </c>
      <c r="Y200" s="10">
        <f>IF(W200&gt;$AC$33,1,0)</f>
        <v/>
      </c>
      <c r="Z200">
        <f>IF(Y200=C200,1,0)</f>
        <v/>
      </c>
    </row>
    <row r="201">
      <c r="A201">
        <f>'1 datos preparados'!A194</f>
        <v/>
      </c>
      <c r="B201" s="5">
        <f>'1 datos preparados'!U194</f>
        <v/>
      </c>
      <c r="C201">
        <f>'1 datos preparados'!B194</f>
        <v/>
      </c>
      <c r="D201" s="7">
        <f>'1 datos preparados'!C194</f>
        <v/>
      </c>
      <c r="E201" s="7">
        <f>'1 datos preparados'!D194</f>
        <v/>
      </c>
      <c r="F201" s="7">
        <f>'1 datos preparados'!E194</f>
        <v/>
      </c>
      <c r="G201" s="7">
        <f>'1 datos preparados'!F194</f>
        <v/>
      </c>
      <c r="H201" s="7">
        <f>'1 datos preparados'!G194</f>
        <v/>
      </c>
      <c r="I201" s="7">
        <f>'1 datos preparados'!H194</f>
        <v/>
      </c>
      <c r="J201" s="7">
        <f>'1 datos preparados'!I194</f>
        <v/>
      </c>
      <c r="K201" s="7">
        <f>'1 datos preparados'!J194</f>
        <v/>
      </c>
      <c r="L201" s="7">
        <f>'1 datos preparados'!K194</f>
        <v/>
      </c>
      <c r="M201" s="7">
        <f>'1 datos preparados'!L194</f>
        <v/>
      </c>
      <c r="N201" s="7">
        <f>'1 datos preparados'!M194</f>
        <v/>
      </c>
      <c r="O201" s="7">
        <f>'1 datos preparados'!N194</f>
        <v/>
      </c>
      <c r="P201" s="7">
        <f>'1 datos preparados'!O194</f>
        <v/>
      </c>
      <c r="Q201" s="7">
        <f>'1 datos preparados'!P194</f>
        <v/>
      </c>
      <c r="R201" s="7">
        <f>'1 datos preparados'!Q194</f>
        <v/>
      </c>
      <c r="S201" s="7">
        <f>'1 datos preparados'!R194</f>
        <v/>
      </c>
      <c r="T201" s="7">
        <f>'1 datos preparados'!S194</f>
        <v/>
      </c>
      <c r="U201" s="7">
        <f>'1 datos preparados'!T194</f>
        <v/>
      </c>
      <c r="V201" s="8">
        <f>$AC$12+D201*$AC$13+E201*$AC$14+F201*$AC$15+G201*$AC$16+H201*$AC$17+I201*$AC$18+J201*$AC$19+K201*$AC$20+L201*$AC$21+M201*$AC$22+N201*$AC$23+O201*$AC$24+P201*$AC$25+Q201*$AC$26+R201*$AC$27+S201*$AC$28+T201*$AC$29+U201*$AC$30</f>
        <v/>
      </c>
      <c r="W201" s="8">
        <f>1/(1+EXP(-V201))</f>
        <v/>
      </c>
      <c r="X201" s="9">
        <f>-IF(C201=1,LN(W201),LN(1-W201))</f>
        <v/>
      </c>
      <c r="Y201" s="10">
        <f>IF(W201&gt;$AC$33,1,0)</f>
        <v/>
      </c>
      <c r="Z201">
        <f>IF(Y201=C201,1,0)</f>
        <v/>
      </c>
    </row>
    <row r="202">
      <c r="A202">
        <f>'1 datos preparados'!A195</f>
        <v/>
      </c>
      <c r="B202" s="5">
        <f>'1 datos preparados'!U195</f>
        <v/>
      </c>
      <c r="C202">
        <f>'1 datos preparados'!B195</f>
        <v/>
      </c>
      <c r="D202" s="7">
        <f>'1 datos preparados'!C195</f>
        <v/>
      </c>
      <c r="E202" s="7">
        <f>'1 datos preparados'!D195</f>
        <v/>
      </c>
      <c r="F202" s="7">
        <f>'1 datos preparados'!E195</f>
        <v/>
      </c>
      <c r="G202" s="7">
        <f>'1 datos preparados'!F195</f>
        <v/>
      </c>
      <c r="H202" s="7">
        <f>'1 datos preparados'!G195</f>
        <v/>
      </c>
      <c r="I202" s="7">
        <f>'1 datos preparados'!H195</f>
        <v/>
      </c>
      <c r="J202" s="7">
        <f>'1 datos preparados'!I195</f>
        <v/>
      </c>
      <c r="K202" s="7">
        <f>'1 datos preparados'!J195</f>
        <v/>
      </c>
      <c r="L202" s="7">
        <f>'1 datos preparados'!K195</f>
        <v/>
      </c>
      <c r="M202" s="7">
        <f>'1 datos preparados'!L195</f>
        <v/>
      </c>
      <c r="N202" s="7">
        <f>'1 datos preparados'!M195</f>
        <v/>
      </c>
      <c r="O202" s="7">
        <f>'1 datos preparados'!N195</f>
        <v/>
      </c>
      <c r="P202" s="7">
        <f>'1 datos preparados'!O195</f>
        <v/>
      </c>
      <c r="Q202" s="7">
        <f>'1 datos preparados'!P195</f>
        <v/>
      </c>
      <c r="R202" s="7">
        <f>'1 datos preparados'!Q195</f>
        <v/>
      </c>
      <c r="S202" s="7">
        <f>'1 datos preparados'!R195</f>
        <v/>
      </c>
      <c r="T202" s="7">
        <f>'1 datos preparados'!S195</f>
        <v/>
      </c>
      <c r="U202" s="7">
        <f>'1 datos preparados'!T195</f>
        <v/>
      </c>
      <c r="V202" s="8">
        <f>$AC$12+D202*$AC$13+E202*$AC$14+F202*$AC$15+G202*$AC$16+H202*$AC$17+I202*$AC$18+J202*$AC$19+K202*$AC$20+L202*$AC$21+M202*$AC$22+N202*$AC$23+O202*$AC$24+P202*$AC$25+Q202*$AC$26+R202*$AC$27+S202*$AC$28+T202*$AC$29+U202*$AC$30</f>
        <v/>
      </c>
      <c r="W202" s="8">
        <f>1/(1+EXP(-V202))</f>
        <v/>
      </c>
      <c r="X202" s="9">
        <f>-IF(C202=1,LN(W202),LN(1-W202))</f>
        <v/>
      </c>
      <c r="Y202" s="10">
        <f>IF(W202&gt;$AC$33,1,0)</f>
        <v/>
      </c>
      <c r="Z202">
        <f>IF(Y202=C202,1,0)</f>
        <v/>
      </c>
    </row>
    <row r="203">
      <c r="A203">
        <f>'1 datos preparados'!A196</f>
        <v/>
      </c>
      <c r="B203" s="5">
        <f>'1 datos preparados'!U196</f>
        <v/>
      </c>
      <c r="C203">
        <f>'1 datos preparados'!B196</f>
        <v/>
      </c>
      <c r="D203" s="7">
        <f>'1 datos preparados'!C196</f>
        <v/>
      </c>
      <c r="E203" s="7">
        <f>'1 datos preparados'!D196</f>
        <v/>
      </c>
      <c r="F203" s="7">
        <f>'1 datos preparados'!E196</f>
        <v/>
      </c>
      <c r="G203" s="7">
        <f>'1 datos preparados'!F196</f>
        <v/>
      </c>
      <c r="H203" s="7">
        <f>'1 datos preparados'!G196</f>
        <v/>
      </c>
      <c r="I203" s="7">
        <f>'1 datos preparados'!H196</f>
        <v/>
      </c>
      <c r="J203" s="7">
        <f>'1 datos preparados'!I196</f>
        <v/>
      </c>
      <c r="K203" s="7">
        <f>'1 datos preparados'!J196</f>
        <v/>
      </c>
      <c r="L203" s="7">
        <f>'1 datos preparados'!K196</f>
        <v/>
      </c>
      <c r="M203" s="7">
        <f>'1 datos preparados'!L196</f>
        <v/>
      </c>
      <c r="N203" s="7">
        <f>'1 datos preparados'!M196</f>
        <v/>
      </c>
      <c r="O203" s="7">
        <f>'1 datos preparados'!N196</f>
        <v/>
      </c>
      <c r="P203" s="7">
        <f>'1 datos preparados'!O196</f>
        <v/>
      </c>
      <c r="Q203" s="7">
        <f>'1 datos preparados'!P196</f>
        <v/>
      </c>
      <c r="R203" s="7">
        <f>'1 datos preparados'!Q196</f>
        <v/>
      </c>
      <c r="S203" s="7">
        <f>'1 datos preparados'!R196</f>
        <v/>
      </c>
      <c r="T203" s="7">
        <f>'1 datos preparados'!S196</f>
        <v/>
      </c>
      <c r="U203" s="7">
        <f>'1 datos preparados'!T196</f>
        <v/>
      </c>
      <c r="V203" s="8">
        <f>$AC$12+D203*$AC$13+E203*$AC$14+F203*$AC$15+G203*$AC$16+H203*$AC$17+I203*$AC$18+J203*$AC$19+K203*$AC$20+L203*$AC$21+M203*$AC$22+N203*$AC$23+O203*$AC$24+P203*$AC$25+Q203*$AC$26+R203*$AC$27+S203*$AC$28+T203*$AC$29+U203*$AC$30</f>
        <v/>
      </c>
      <c r="W203" s="8">
        <f>1/(1+EXP(-V203))</f>
        <v/>
      </c>
      <c r="X203" s="9">
        <f>-IF(C203=1,LN(W203),LN(1-W203))</f>
        <v/>
      </c>
      <c r="Y203" s="10">
        <f>IF(W203&gt;$AC$33,1,0)</f>
        <v/>
      </c>
      <c r="Z203">
        <f>IF(Y203=C203,1,0)</f>
        <v/>
      </c>
    </row>
    <row r="204">
      <c r="A204">
        <f>'1 datos preparados'!A197</f>
        <v/>
      </c>
      <c r="B204" s="5">
        <f>'1 datos preparados'!U197</f>
        <v/>
      </c>
      <c r="C204">
        <f>'1 datos preparados'!B197</f>
        <v/>
      </c>
      <c r="D204" s="7">
        <f>'1 datos preparados'!C197</f>
        <v/>
      </c>
      <c r="E204" s="7">
        <f>'1 datos preparados'!D197</f>
        <v/>
      </c>
      <c r="F204" s="7">
        <f>'1 datos preparados'!E197</f>
        <v/>
      </c>
      <c r="G204" s="7">
        <f>'1 datos preparados'!F197</f>
        <v/>
      </c>
      <c r="H204" s="7">
        <f>'1 datos preparados'!G197</f>
        <v/>
      </c>
      <c r="I204" s="7">
        <f>'1 datos preparados'!H197</f>
        <v/>
      </c>
      <c r="J204" s="7">
        <f>'1 datos preparados'!I197</f>
        <v/>
      </c>
      <c r="K204" s="7">
        <f>'1 datos preparados'!J197</f>
        <v/>
      </c>
      <c r="L204" s="7">
        <f>'1 datos preparados'!K197</f>
        <v/>
      </c>
      <c r="M204" s="7">
        <f>'1 datos preparados'!L197</f>
        <v/>
      </c>
      <c r="N204" s="7">
        <f>'1 datos preparados'!M197</f>
        <v/>
      </c>
      <c r="O204" s="7">
        <f>'1 datos preparados'!N197</f>
        <v/>
      </c>
      <c r="P204" s="7">
        <f>'1 datos preparados'!O197</f>
        <v/>
      </c>
      <c r="Q204" s="7">
        <f>'1 datos preparados'!P197</f>
        <v/>
      </c>
      <c r="R204" s="7">
        <f>'1 datos preparados'!Q197</f>
        <v/>
      </c>
      <c r="S204" s="7">
        <f>'1 datos preparados'!R197</f>
        <v/>
      </c>
      <c r="T204" s="7">
        <f>'1 datos preparados'!S197</f>
        <v/>
      </c>
      <c r="U204" s="7">
        <f>'1 datos preparados'!T197</f>
        <v/>
      </c>
      <c r="V204" s="8">
        <f>$AC$12+D204*$AC$13+E204*$AC$14+F204*$AC$15+G204*$AC$16+H204*$AC$17+I204*$AC$18+J204*$AC$19+K204*$AC$20+L204*$AC$21+M204*$AC$22+N204*$AC$23+O204*$AC$24+P204*$AC$25+Q204*$AC$26+R204*$AC$27+S204*$AC$28+T204*$AC$29+U204*$AC$30</f>
        <v/>
      </c>
      <c r="W204" s="8">
        <f>1/(1+EXP(-V204))</f>
        <v/>
      </c>
      <c r="X204" s="9">
        <f>-IF(C204=1,LN(W204),LN(1-W204))</f>
        <v/>
      </c>
      <c r="Y204" s="10">
        <f>IF(W204&gt;$AC$33,1,0)</f>
        <v/>
      </c>
      <c r="Z204">
        <f>IF(Y204=C204,1,0)</f>
        <v/>
      </c>
    </row>
    <row r="205">
      <c r="A205">
        <f>'1 datos preparados'!A198</f>
        <v/>
      </c>
      <c r="B205" s="5">
        <f>'1 datos preparados'!U198</f>
        <v/>
      </c>
      <c r="C205">
        <f>'1 datos preparados'!B198</f>
        <v/>
      </c>
      <c r="D205" s="7">
        <f>'1 datos preparados'!C198</f>
        <v/>
      </c>
      <c r="E205" s="7">
        <f>'1 datos preparados'!D198</f>
        <v/>
      </c>
      <c r="F205" s="7">
        <f>'1 datos preparados'!E198</f>
        <v/>
      </c>
      <c r="G205" s="7">
        <f>'1 datos preparados'!F198</f>
        <v/>
      </c>
      <c r="H205" s="7">
        <f>'1 datos preparados'!G198</f>
        <v/>
      </c>
      <c r="I205" s="7">
        <f>'1 datos preparados'!H198</f>
        <v/>
      </c>
      <c r="J205" s="7">
        <f>'1 datos preparados'!I198</f>
        <v/>
      </c>
      <c r="K205" s="7">
        <f>'1 datos preparados'!J198</f>
        <v/>
      </c>
      <c r="L205" s="7">
        <f>'1 datos preparados'!K198</f>
        <v/>
      </c>
      <c r="M205" s="7">
        <f>'1 datos preparados'!L198</f>
        <v/>
      </c>
      <c r="N205" s="7">
        <f>'1 datos preparados'!M198</f>
        <v/>
      </c>
      <c r="O205" s="7">
        <f>'1 datos preparados'!N198</f>
        <v/>
      </c>
      <c r="P205" s="7">
        <f>'1 datos preparados'!O198</f>
        <v/>
      </c>
      <c r="Q205" s="7">
        <f>'1 datos preparados'!P198</f>
        <v/>
      </c>
      <c r="R205" s="7">
        <f>'1 datos preparados'!Q198</f>
        <v/>
      </c>
      <c r="S205" s="7">
        <f>'1 datos preparados'!R198</f>
        <v/>
      </c>
      <c r="T205" s="7">
        <f>'1 datos preparados'!S198</f>
        <v/>
      </c>
      <c r="U205" s="7">
        <f>'1 datos preparados'!T198</f>
        <v/>
      </c>
      <c r="V205" s="8">
        <f>$AC$12+D205*$AC$13+E205*$AC$14+F205*$AC$15+G205*$AC$16+H205*$AC$17+I205*$AC$18+J205*$AC$19+K205*$AC$20+L205*$AC$21+M205*$AC$22+N205*$AC$23+O205*$AC$24+P205*$AC$25+Q205*$AC$26+R205*$AC$27+S205*$AC$28+T205*$AC$29+U205*$AC$30</f>
        <v/>
      </c>
      <c r="W205" s="8">
        <f>1/(1+EXP(-V205))</f>
        <v/>
      </c>
      <c r="X205" s="9">
        <f>-IF(C205=1,LN(W205),LN(1-W205))</f>
        <v/>
      </c>
      <c r="Y205" s="10">
        <f>IF(W205&gt;$AC$33,1,0)</f>
        <v/>
      </c>
      <c r="Z205">
        <f>IF(Y205=C205,1,0)</f>
        <v/>
      </c>
    </row>
    <row r="206">
      <c r="A206">
        <f>'1 datos preparados'!A199</f>
        <v/>
      </c>
      <c r="B206" s="5">
        <f>'1 datos preparados'!U199</f>
        <v/>
      </c>
      <c r="C206">
        <f>'1 datos preparados'!B199</f>
        <v/>
      </c>
      <c r="D206" s="7">
        <f>'1 datos preparados'!C199</f>
        <v/>
      </c>
      <c r="E206" s="7">
        <f>'1 datos preparados'!D199</f>
        <v/>
      </c>
      <c r="F206" s="7">
        <f>'1 datos preparados'!E199</f>
        <v/>
      </c>
      <c r="G206" s="7">
        <f>'1 datos preparados'!F199</f>
        <v/>
      </c>
      <c r="H206" s="7">
        <f>'1 datos preparados'!G199</f>
        <v/>
      </c>
      <c r="I206" s="7">
        <f>'1 datos preparados'!H199</f>
        <v/>
      </c>
      <c r="J206" s="7">
        <f>'1 datos preparados'!I199</f>
        <v/>
      </c>
      <c r="K206" s="7">
        <f>'1 datos preparados'!J199</f>
        <v/>
      </c>
      <c r="L206" s="7">
        <f>'1 datos preparados'!K199</f>
        <v/>
      </c>
      <c r="M206" s="7">
        <f>'1 datos preparados'!L199</f>
        <v/>
      </c>
      <c r="N206" s="7">
        <f>'1 datos preparados'!M199</f>
        <v/>
      </c>
      <c r="O206" s="7">
        <f>'1 datos preparados'!N199</f>
        <v/>
      </c>
      <c r="P206" s="7">
        <f>'1 datos preparados'!O199</f>
        <v/>
      </c>
      <c r="Q206" s="7">
        <f>'1 datos preparados'!P199</f>
        <v/>
      </c>
      <c r="R206" s="7">
        <f>'1 datos preparados'!Q199</f>
        <v/>
      </c>
      <c r="S206" s="7">
        <f>'1 datos preparados'!R199</f>
        <v/>
      </c>
      <c r="T206" s="7">
        <f>'1 datos preparados'!S199</f>
        <v/>
      </c>
      <c r="U206" s="7">
        <f>'1 datos preparados'!T199</f>
        <v/>
      </c>
      <c r="V206" s="8">
        <f>$AC$12+D206*$AC$13+E206*$AC$14+F206*$AC$15+G206*$AC$16+H206*$AC$17+I206*$AC$18+J206*$AC$19+K206*$AC$20+L206*$AC$21+M206*$AC$22+N206*$AC$23+O206*$AC$24+P206*$AC$25+Q206*$AC$26+R206*$AC$27+S206*$AC$28+T206*$AC$29+U206*$AC$30</f>
        <v/>
      </c>
      <c r="W206" s="8">
        <f>1/(1+EXP(-V206))</f>
        <v/>
      </c>
      <c r="X206" s="9">
        <f>-IF(C206=1,LN(W206),LN(1-W206))</f>
        <v/>
      </c>
      <c r="Y206" s="10">
        <f>IF(W206&gt;$AC$33,1,0)</f>
        <v/>
      </c>
      <c r="Z206">
        <f>IF(Y206=C206,1,0)</f>
        <v/>
      </c>
    </row>
    <row r="207">
      <c r="A207">
        <f>'1 datos preparados'!A200</f>
        <v/>
      </c>
      <c r="B207" s="5">
        <f>'1 datos preparados'!U200</f>
        <v/>
      </c>
      <c r="C207">
        <f>'1 datos preparados'!B200</f>
        <v/>
      </c>
      <c r="D207" s="7">
        <f>'1 datos preparados'!C200</f>
        <v/>
      </c>
      <c r="E207" s="7">
        <f>'1 datos preparados'!D200</f>
        <v/>
      </c>
      <c r="F207" s="7">
        <f>'1 datos preparados'!E200</f>
        <v/>
      </c>
      <c r="G207" s="7">
        <f>'1 datos preparados'!F200</f>
        <v/>
      </c>
      <c r="H207" s="7">
        <f>'1 datos preparados'!G200</f>
        <v/>
      </c>
      <c r="I207" s="7">
        <f>'1 datos preparados'!H200</f>
        <v/>
      </c>
      <c r="J207" s="7">
        <f>'1 datos preparados'!I200</f>
        <v/>
      </c>
      <c r="K207" s="7">
        <f>'1 datos preparados'!J200</f>
        <v/>
      </c>
      <c r="L207" s="7">
        <f>'1 datos preparados'!K200</f>
        <v/>
      </c>
      <c r="M207" s="7">
        <f>'1 datos preparados'!L200</f>
        <v/>
      </c>
      <c r="N207" s="7">
        <f>'1 datos preparados'!M200</f>
        <v/>
      </c>
      <c r="O207" s="7">
        <f>'1 datos preparados'!N200</f>
        <v/>
      </c>
      <c r="P207" s="7">
        <f>'1 datos preparados'!O200</f>
        <v/>
      </c>
      <c r="Q207" s="7">
        <f>'1 datos preparados'!P200</f>
        <v/>
      </c>
      <c r="R207" s="7">
        <f>'1 datos preparados'!Q200</f>
        <v/>
      </c>
      <c r="S207" s="7">
        <f>'1 datos preparados'!R200</f>
        <v/>
      </c>
      <c r="T207" s="7">
        <f>'1 datos preparados'!S200</f>
        <v/>
      </c>
      <c r="U207" s="7">
        <f>'1 datos preparados'!T200</f>
        <v/>
      </c>
      <c r="V207" s="8">
        <f>$AC$12+D207*$AC$13+E207*$AC$14+F207*$AC$15+G207*$AC$16+H207*$AC$17+I207*$AC$18+J207*$AC$19+K207*$AC$20+L207*$AC$21+M207*$AC$22+N207*$AC$23+O207*$AC$24+P207*$AC$25+Q207*$AC$26+R207*$AC$27+S207*$AC$28+T207*$AC$29+U207*$AC$30</f>
        <v/>
      </c>
      <c r="W207" s="8">
        <f>1/(1+EXP(-V207))</f>
        <v/>
      </c>
      <c r="X207" s="9">
        <f>-IF(C207=1,LN(W207),LN(1-W207))</f>
        <v/>
      </c>
      <c r="Y207" s="10">
        <f>IF(W207&gt;$AC$33,1,0)</f>
        <v/>
      </c>
      <c r="Z207">
        <f>IF(Y207=C207,1,0)</f>
        <v/>
      </c>
    </row>
    <row r="208">
      <c r="A208">
        <f>'1 datos preparados'!A201</f>
        <v/>
      </c>
      <c r="B208" s="5">
        <f>'1 datos preparados'!U201</f>
        <v/>
      </c>
      <c r="C208">
        <f>'1 datos preparados'!B201</f>
        <v/>
      </c>
      <c r="D208" s="7">
        <f>'1 datos preparados'!C201</f>
        <v/>
      </c>
      <c r="E208" s="7">
        <f>'1 datos preparados'!D201</f>
        <v/>
      </c>
      <c r="F208" s="7">
        <f>'1 datos preparados'!E201</f>
        <v/>
      </c>
      <c r="G208" s="7">
        <f>'1 datos preparados'!F201</f>
        <v/>
      </c>
      <c r="H208" s="7">
        <f>'1 datos preparados'!G201</f>
        <v/>
      </c>
      <c r="I208" s="7">
        <f>'1 datos preparados'!H201</f>
        <v/>
      </c>
      <c r="J208" s="7">
        <f>'1 datos preparados'!I201</f>
        <v/>
      </c>
      <c r="K208" s="7">
        <f>'1 datos preparados'!J201</f>
        <v/>
      </c>
      <c r="L208" s="7">
        <f>'1 datos preparados'!K201</f>
        <v/>
      </c>
      <c r="M208" s="7">
        <f>'1 datos preparados'!L201</f>
        <v/>
      </c>
      <c r="N208" s="7">
        <f>'1 datos preparados'!M201</f>
        <v/>
      </c>
      <c r="O208" s="7">
        <f>'1 datos preparados'!N201</f>
        <v/>
      </c>
      <c r="P208" s="7">
        <f>'1 datos preparados'!O201</f>
        <v/>
      </c>
      <c r="Q208" s="7">
        <f>'1 datos preparados'!P201</f>
        <v/>
      </c>
      <c r="R208" s="7">
        <f>'1 datos preparados'!Q201</f>
        <v/>
      </c>
      <c r="S208" s="7">
        <f>'1 datos preparados'!R201</f>
        <v/>
      </c>
      <c r="T208" s="7">
        <f>'1 datos preparados'!S201</f>
        <v/>
      </c>
      <c r="U208" s="7">
        <f>'1 datos preparados'!T201</f>
        <v/>
      </c>
      <c r="V208" s="8">
        <f>$AC$12+D208*$AC$13+E208*$AC$14+F208*$AC$15+G208*$AC$16+H208*$AC$17+I208*$AC$18+J208*$AC$19+K208*$AC$20+L208*$AC$21+M208*$AC$22+N208*$AC$23+O208*$AC$24+P208*$AC$25+Q208*$AC$26+R208*$AC$27+S208*$AC$28+T208*$AC$29+U208*$AC$30</f>
        <v/>
      </c>
      <c r="W208" s="8">
        <f>1/(1+EXP(-V208))</f>
        <v/>
      </c>
      <c r="X208" s="9">
        <f>-IF(C208=1,LN(W208),LN(1-W208))</f>
        <v/>
      </c>
      <c r="Y208" s="10">
        <f>IF(W208&gt;$AC$33,1,0)</f>
        <v/>
      </c>
      <c r="Z208">
        <f>IF(Y208=C208,1,0)</f>
        <v/>
      </c>
    </row>
    <row r="209">
      <c r="A209">
        <f>'1 datos preparados'!A202</f>
        <v/>
      </c>
      <c r="B209" s="5">
        <f>'1 datos preparados'!U202</f>
        <v/>
      </c>
      <c r="C209">
        <f>'1 datos preparados'!B202</f>
        <v/>
      </c>
      <c r="D209" s="7">
        <f>'1 datos preparados'!C202</f>
        <v/>
      </c>
      <c r="E209" s="7">
        <f>'1 datos preparados'!D202</f>
        <v/>
      </c>
      <c r="F209" s="7">
        <f>'1 datos preparados'!E202</f>
        <v/>
      </c>
      <c r="G209" s="7">
        <f>'1 datos preparados'!F202</f>
        <v/>
      </c>
      <c r="H209" s="7">
        <f>'1 datos preparados'!G202</f>
        <v/>
      </c>
      <c r="I209" s="7">
        <f>'1 datos preparados'!H202</f>
        <v/>
      </c>
      <c r="J209" s="7">
        <f>'1 datos preparados'!I202</f>
        <v/>
      </c>
      <c r="K209" s="7">
        <f>'1 datos preparados'!J202</f>
        <v/>
      </c>
      <c r="L209" s="7">
        <f>'1 datos preparados'!K202</f>
        <v/>
      </c>
      <c r="M209" s="7">
        <f>'1 datos preparados'!L202</f>
        <v/>
      </c>
      <c r="N209" s="7">
        <f>'1 datos preparados'!M202</f>
        <v/>
      </c>
      <c r="O209" s="7">
        <f>'1 datos preparados'!N202</f>
        <v/>
      </c>
      <c r="P209" s="7">
        <f>'1 datos preparados'!O202</f>
        <v/>
      </c>
      <c r="Q209" s="7">
        <f>'1 datos preparados'!P202</f>
        <v/>
      </c>
      <c r="R209" s="7">
        <f>'1 datos preparados'!Q202</f>
        <v/>
      </c>
      <c r="S209" s="7">
        <f>'1 datos preparados'!R202</f>
        <v/>
      </c>
      <c r="T209" s="7">
        <f>'1 datos preparados'!S202</f>
        <v/>
      </c>
      <c r="U209" s="7">
        <f>'1 datos preparados'!T202</f>
        <v/>
      </c>
      <c r="V209" s="8">
        <f>$AC$12+D209*$AC$13+E209*$AC$14+F209*$AC$15+G209*$AC$16+H209*$AC$17+I209*$AC$18+J209*$AC$19+K209*$AC$20+L209*$AC$21+M209*$AC$22+N209*$AC$23+O209*$AC$24+P209*$AC$25+Q209*$AC$26+R209*$AC$27+S209*$AC$28+T209*$AC$29+U209*$AC$30</f>
        <v/>
      </c>
      <c r="W209" s="8">
        <f>1/(1+EXP(-V209))</f>
        <v/>
      </c>
      <c r="X209" s="9">
        <f>-IF(C209=1,LN(W209),LN(1-W209))</f>
        <v/>
      </c>
      <c r="Y209" s="10">
        <f>IF(W209&gt;$AC$33,1,0)</f>
        <v/>
      </c>
      <c r="Z209">
        <f>IF(Y209=C209,1,0)</f>
        <v/>
      </c>
    </row>
    <row r="210">
      <c r="A210">
        <f>'1 datos preparados'!A203</f>
        <v/>
      </c>
      <c r="B210" s="5">
        <f>'1 datos preparados'!U203</f>
        <v/>
      </c>
      <c r="C210">
        <f>'1 datos preparados'!B203</f>
        <v/>
      </c>
      <c r="D210" s="7">
        <f>'1 datos preparados'!C203</f>
        <v/>
      </c>
      <c r="E210" s="7">
        <f>'1 datos preparados'!D203</f>
        <v/>
      </c>
      <c r="F210" s="7">
        <f>'1 datos preparados'!E203</f>
        <v/>
      </c>
      <c r="G210" s="7">
        <f>'1 datos preparados'!F203</f>
        <v/>
      </c>
      <c r="H210" s="7">
        <f>'1 datos preparados'!G203</f>
        <v/>
      </c>
      <c r="I210" s="7">
        <f>'1 datos preparados'!H203</f>
        <v/>
      </c>
      <c r="J210" s="7">
        <f>'1 datos preparados'!I203</f>
        <v/>
      </c>
      <c r="K210" s="7">
        <f>'1 datos preparados'!J203</f>
        <v/>
      </c>
      <c r="L210" s="7">
        <f>'1 datos preparados'!K203</f>
        <v/>
      </c>
      <c r="M210" s="7">
        <f>'1 datos preparados'!L203</f>
        <v/>
      </c>
      <c r="N210" s="7">
        <f>'1 datos preparados'!M203</f>
        <v/>
      </c>
      <c r="O210" s="7">
        <f>'1 datos preparados'!N203</f>
        <v/>
      </c>
      <c r="P210" s="7">
        <f>'1 datos preparados'!O203</f>
        <v/>
      </c>
      <c r="Q210" s="7">
        <f>'1 datos preparados'!P203</f>
        <v/>
      </c>
      <c r="R210" s="7">
        <f>'1 datos preparados'!Q203</f>
        <v/>
      </c>
      <c r="S210" s="7">
        <f>'1 datos preparados'!R203</f>
        <v/>
      </c>
      <c r="T210" s="7">
        <f>'1 datos preparados'!S203</f>
        <v/>
      </c>
      <c r="U210" s="7">
        <f>'1 datos preparados'!T203</f>
        <v/>
      </c>
      <c r="V210" s="8">
        <f>$AC$12+D210*$AC$13+E210*$AC$14+F210*$AC$15+G210*$AC$16+H210*$AC$17+I210*$AC$18+J210*$AC$19+K210*$AC$20+L210*$AC$21+M210*$AC$22+N210*$AC$23+O210*$AC$24+P210*$AC$25+Q210*$AC$26+R210*$AC$27+S210*$AC$28+T210*$AC$29+U210*$AC$30</f>
        <v/>
      </c>
      <c r="W210" s="8">
        <f>1/(1+EXP(-V210))</f>
        <v/>
      </c>
      <c r="X210" s="9">
        <f>-IF(C210=1,LN(W210),LN(1-W210))</f>
        <v/>
      </c>
      <c r="Y210" s="10">
        <f>IF(W210&gt;$AC$33,1,0)</f>
        <v/>
      </c>
      <c r="Z210">
        <f>IF(Y210=C210,1,0)</f>
        <v/>
      </c>
    </row>
    <row r="211">
      <c r="A211">
        <f>'1 datos preparados'!A204</f>
        <v/>
      </c>
      <c r="B211" s="5">
        <f>'1 datos preparados'!U204</f>
        <v/>
      </c>
      <c r="C211">
        <f>'1 datos preparados'!B204</f>
        <v/>
      </c>
      <c r="D211" s="7">
        <f>'1 datos preparados'!C204</f>
        <v/>
      </c>
      <c r="E211" s="7">
        <f>'1 datos preparados'!D204</f>
        <v/>
      </c>
      <c r="F211" s="7">
        <f>'1 datos preparados'!E204</f>
        <v/>
      </c>
      <c r="G211" s="7">
        <f>'1 datos preparados'!F204</f>
        <v/>
      </c>
      <c r="H211" s="7">
        <f>'1 datos preparados'!G204</f>
        <v/>
      </c>
      <c r="I211" s="7">
        <f>'1 datos preparados'!H204</f>
        <v/>
      </c>
      <c r="J211" s="7">
        <f>'1 datos preparados'!I204</f>
        <v/>
      </c>
      <c r="K211" s="7">
        <f>'1 datos preparados'!J204</f>
        <v/>
      </c>
      <c r="L211" s="7">
        <f>'1 datos preparados'!K204</f>
        <v/>
      </c>
      <c r="M211" s="7">
        <f>'1 datos preparados'!L204</f>
        <v/>
      </c>
      <c r="N211" s="7">
        <f>'1 datos preparados'!M204</f>
        <v/>
      </c>
      <c r="O211" s="7">
        <f>'1 datos preparados'!N204</f>
        <v/>
      </c>
      <c r="P211" s="7">
        <f>'1 datos preparados'!O204</f>
        <v/>
      </c>
      <c r="Q211" s="7">
        <f>'1 datos preparados'!P204</f>
        <v/>
      </c>
      <c r="R211" s="7">
        <f>'1 datos preparados'!Q204</f>
        <v/>
      </c>
      <c r="S211" s="7">
        <f>'1 datos preparados'!R204</f>
        <v/>
      </c>
      <c r="T211" s="7">
        <f>'1 datos preparados'!S204</f>
        <v/>
      </c>
      <c r="U211" s="7">
        <f>'1 datos preparados'!T204</f>
        <v/>
      </c>
      <c r="V211" s="8">
        <f>$AC$12+D211*$AC$13+E211*$AC$14+F211*$AC$15+G211*$AC$16+H211*$AC$17+I211*$AC$18+J211*$AC$19+K211*$AC$20+L211*$AC$21+M211*$AC$22+N211*$AC$23+O211*$AC$24+P211*$AC$25+Q211*$AC$26+R211*$AC$27+S211*$AC$28+T211*$AC$29+U211*$AC$30</f>
        <v/>
      </c>
      <c r="W211" s="8">
        <f>1/(1+EXP(-V211))</f>
        <v/>
      </c>
      <c r="X211" s="9">
        <f>-IF(C211=1,LN(W211),LN(1-W211))</f>
        <v/>
      </c>
      <c r="Y211" s="10">
        <f>IF(W211&gt;$AC$33,1,0)</f>
        <v/>
      </c>
      <c r="Z211">
        <f>IF(Y211=C211,1,0)</f>
        <v/>
      </c>
    </row>
    <row r="212">
      <c r="A212">
        <f>'1 datos preparados'!A205</f>
        <v/>
      </c>
      <c r="B212" s="5">
        <f>'1 datos preparados'!U205</f>
        <v/>
      </c>
      <c r="C212">
        <f>'1 datos preparados'!B205</f>
        <v/>
      </c>
      <c r="D212" s="7">
        <f>'1 datos preparados'!C205</f>
        <v/>
      </c>
      <c r="E212" s="7">
        <f>'1 datos preparados'!D205</f>
        <v/>
      </c>
      <c r="F212" s="7">
        <f>'1 datos preparados'!E205</f>
        <v/>
      </c>
      <c r="G212" s="7">
        <f>'1 datos preparados'!F205</f>
        <v/>
      </c>
      <c r="H212" s="7">
        <f>'1 datos preparados'!G205</f>
        <v/>
      </c>
      <c r="I212" s="7">
        <f>'1 datos preparados'!H205</f>
        <v/>
      </c>
      <c r="J212" s="7">
        <f>'1 datos preparados'!I205</f>
        <v/>
      </c>
      <c r="K212" s="7">
        <f>'1 datos preparados'!J205</f>
        <v/>
      </c>
      <c r="L212" s="7">
        <f>'1 datos preparados'!K205</f>
        <v/>
      </c>
      <c r="M212" s="7">
        <f>'1 datos preparados'!L205</f>
        <v/>
      </c>
      <c r="N212" s="7">
        <f>'1 datos preparados'!M205</f>
        <v/>
      </c>
      <c r="O212" s="7">
        <f>'1 datos preparados'!N205</f>
        <v/>
      </c>
      <c r="P212" s="7">
        <f>'1 datos preparados'!O205</f>
        <v/>
      </c>
      <c r="Q212" s="7">
        <f>'1 datos preparados'!P205</f>
        <v/>
      </c>
      <c r="R212" s="7">
        <f>'1 datos preparados'!Q205</f>
        <v/>
      </c>
      <c r="S212" s="7">
        <f>'1 datos preparados'!R205</f>
        <v/>
      </c>
      <c r="T212" s="7">
        <f>'1 datos preparados'!S205</f>
        <v/>
      </c>
      <c r="U212" s="7">
        <f>'1 datos preparados'!T205</f>
        <v/>
      </c>
      <c r="V212" s="8">
        <f>$AC$12+D212*$AC$13+E212*$AC$14+F212*$AC$15+G212*$AC$16+H212*$AC$17+I212*$AC$18+J212*$AC$19+K212*$AC$20+L212*$AC$21+M212*$AC$22+N212*$AC$23+O212*$AC$24+P212*$AC$25+Q212*$AC$26+R212*$AC$27+S212*$AC$28+T212*$AC$29+U212*$AC$30</f>
        <v/>
      </c>
      <c r="W212" s="8">
        <f>1/(1+EXP(-V212))</f>
        <v/>
      </c>
      <c r="X212" s="9">
        <f>-IF(C212=1,LN(W212),LN(1-W212))</f>
        <v/>
      </c>
      <c r="Y212" s="10">
        <f>IF(W212&gt;$AC$33,1,0)</f>
        <v/>
      </c>
      <c r="Z212">
        <f>IF(Y212=C212,1,0)</f>
        <v/>
      </c>
    </row>
    <row r="213">
      <c r="A213">
        <f>'1 datos preparados'!A206</f>
        <v/>
      </c>
      <c r="B213" s="5">
        <f>'1 datos preparados'!U206</f>
        <v/>
      </c>
      <c r="C213">
        <f>'1 datos preparados'!B206</f>
        <v/>
      </c>
      <c r="D213" s="7">
        <f>'1 datos preparados'!C206</f>
        <v/>
      </c>
      <c r="E213" s="7">
        <f>'1 datos preparados'!D206</f>
        <v/>
      </c>
      <c r="F213" s="7">
        <f>'1 datos preparados'!E206</f>
        <v/>
      </c>
      <c r="G213" s="7">
        <f>'1 datos preparados'!F206</f>
        <v/>
      </c>
      <c r="H213" s="7">
        <f>'1 datos preparados'!G206</f>
        <v/>
      </c>
      <c r="I213" s="7">
        <f>'1 datos preparados'!H206</f>
        <v/>
      </c>
      <c r="J213" s="7">
        <f>'1 datos preparados'!I206</f>
        <v/>
      </c>
      <c r="K213" s="7">
        <f>'1 datos preparados'!J206</f>
        <v/>
      </c>
      <c r="L213" s="7">
        <f>'1 datos preparados'!K206</f>
        <v/>
      </c>
      <c r="M213" s="7">
        <f>'1 datos preparados'!L206</f>
        <v/>
      </c>
      <c r="N213" s="7">
        <f>'1 datos preparados'!M206</f>
        <v/>
      </c>
      <c r="O213" s="7">
        <f>'1 datos preparados'!N206</f>
        <v/>
      </c>
      <c r="P213" s="7">
        <f>'1 datos preparados'!O206</f>
        <v/>
      </c>
      <c r="Q213" s="7">
        <f>'1 datos preparados'!P206</f>
        <v/>
      </c>
      <c r="R213" s="7">
        <f>'1 datos preparados'!Q206</f>
        <v/>
      </c>
      <c r="S213" s="7">
        <f>'1 datos preparados'!R206</f>
        <v/>
      </c>
      <c r="T213" s="7">
        <f>'1 datos preparados'!S206</f>
        <v/>
      </c>
      <c r="U213" s="7">
        <f>'1 datos preparados'!T206</f>
        <v/>
      </c>
      <c r="V213" s="8">
        <f>$AC$12+D213*$AC$13+E213*$AC$14+F213*$AC$15+G213*$AC$16+H213*$AC$17+I213*$AC$18+J213*$AC$19+K213*$AC$20+L213*$AC$21+M213*$AC$22+N213*$AC$23+O213*$AC$24+P213*$AC$25+Q213*$AC$26+R213*$AC$27+S213*$AC$28+T213*$AC$29+U213*$AC$30</f>
        <v/>
      </c>
      <c r="W213" s="8">
        <f>1/(1+EXP(-V213))</f>
        <v/>
      </c>
      <c r="X213" s="9">
        <f>-IF(C213=1,LN(W213),LN(1-W213))</f>
        <v/>
      </c>
      <c r="Y213" s="10">
        <f>IF(W213&gt;$AC$33,1,0)</f>
        <v/>
      </c>
      <c r="Z213">
        <f>IF(Y213=C213,1,0)</f>
        <v/>
      </c>
    </row>
    <row r="214">
      <c r="A214">
        <f>'1 datos preparados'!A207</f>
        <v/>
      </c>
      <c r="B214" s="5">
        <f>'1 datos preparados'!U207</f>
        <v/>
      </c>
      <c r="C214">
        <f>'1 datos preparados'!B207</f>
        <v/>
      </c>
      <c r="D214" s="7">
        <f>'1 datos preparados'!C207</f>
        <v/>
      </c>
      <c r="E214" s="7">
        <f>'1 datos preparados'!D207</f>
        <v/>
      </c>
      <c r="F214" s="7">
        <f>'1 datos preparados'!E207</f>
        <v/>
      </c>
      <c r="G214" s="7">
        <f>'1 datos preparados'!F207</f>
        <v/>
      </c>
      <c r="H214" s="7">
        <f>'1 datos preparados'!G207</f>
        <v/>
      </c>
      <c r="I214" s="7">
        <f>'1 datos preparados'!H207</f>
        <v/>
      </c>
      <c r="J214" s="7">
        <f>'1 datos preparados'!I207</f>
        <v/>
      </c>
      <c r="K214" s="7">
        <f>'1 datos preparados'!J207</f>
        <v/>
      </c>
      <c r="L214" s="7">
        <f>'1 datos preparados'!K207</f>
        <v/>
      </c>
      <c r="M214" s="7">
        <f>'1 datos preparados'!L207</f>
        <v/>
      </c>
      <c r="N214" s="7">
        <f>'1 datos preparados'!M207</f>
        <v/>
      </c>
      <c r="O214" s="7">
        <f>'1 datos preparados'!N207</f>
        <v/>
      </c>
      <c r="P214" s="7">
        <f>'1 datos preparados'!O207</f>
        <v/>
      </c>
      <c r="Q214" s="7">
        <f>'1 datos preparados'!P207</f>
        <v/>
      </c>
      <c r="R214" s="7">
        <f>'1 datos preparados'!Q207</f>
        <v/>
      </c>
      <c r="S214" s="7">
        <f>'1 datos preparados'!R207</f>
        <v/>
      </c>
      <c r="T214" s="7">
        <f>'1 datos preparados'!S207</f>
        <v/>
      </c>
      <c r="U214" s="7">
        <f>'1 datos preparados'!T207</f>
        <v/>
      </c>
      <c r="V214" s="8">
        <f>$AC$12+D214*$AC$13+E214*$AC$14+F214*$AC$15+G214*$AC$16+H214*$AC$17+I214*$AC$18+J214*$AC$19+K214*$AC$20+L214*$AC$21+M214*$AC$22+N214*$AC$23+O214*$AC$24+P214*$AC$25+Q214*$AC$26+R214*$AC$27+S214*$AC$28+T214*$AC$29+U214*$AC$30</f>
        <v/>
      </c>
      <c r="W214" s="8">
        <f>1/(1+EXP(-V214))</f>
        <v/>
      </c>
      <c r="X214" s="9">
        <f>-IF(C214=1,LN(W214),LN(1-W214))</f>
        <v/>
      </c>
      <c r="Y214" s="10">
        <f>IF(W214&gt;$AC$33,1,0)</f>
        <v/>
      </c>
      <c r="Z214">
        <f>IF(Y214=C214,1,0)</f>
        <v/>
      </c>
    </row>
    <row r="215">
      <c r="A215">
        <f>'1 datos preparados'!A208</f>
        <v/>
      </c>
      <c r="B215" s="5">
        <f>'1 datos preparados'!U208</f>
        <v/>
      </c>
      <c r="C215">
        <f>'1 datos preparados'!B208</f>
        <v/>
      </c>
      <c r="D215" s="7">
        <f>'1 datos preparados'!C208</f>
        <v/>
      </c>
      <c r="E215" s="7">
        <f>'1 datos preparados'!D208</f>
        <v/>
      </c>
      <c r="F215" s="7">
        <f>'1 datos preparados'!E208</f>
        <v/>
      </c>
      <c r="G215" s="7">
        <f>'1 datos preparados'!F208</f>
        <v/>
      </c>
      <c r="H215" s="7">
        <f>'1 datos preparados'!G208</f>
        <v/>
      </c>
      <c r="I215" s="7">
        <f>'1 datos preparados'!H208</f>
        <v/>
      </c>
      <c r="J215" s="7">
        <f>'1 datos preparados'!I208</f>
        <v/>
      </c>
      <c r="K215" s="7">
        <f>'1 datos preparados'!J208</f>
        <v/>
      </c>
      <c r="L215" s="7">
        <f>'1 datos preparados'!K208</f>
        <v/>
      </c>
      <c r="M215" s="7">
        <f>'1 datos preparados'!L208</f>
        <v/>
      </c>
      <c r="N215" s="7">
        <f>'1 datos preparados'!M208</f>
        <v/>
      </c>
      <c r="O215" s="7">
        <f>'1 datos preparados'!N208</f>
        <v/>
      </c>
      <c r="P215" s="7">
        <f>'1 datos preparados'!O208</f>
        <v/>
      </c>
      <c r="Q215" s="7">
        <f>'1 datos preparados'!P208</f>
        <v/>
      </c>
      <c r="R215" s="7">
        <f>'1 datos preparados'!Q208</f>
        <v/>
      </c>
      <c r="S215" s="7">
        <f>'1 datos preparados'!R208</f>
        <v/>
      </c>
      <c r="T215" s="7">
        <f>'1 datos preparados'!S208</f>
        <v/>
      </c>
      <c r="U215" s="7">
        <f>'1 datos preparados'!T208</f>
        <v/>
      </c>
      <c r="V215" s="8">
        <f>$AC$12+D215*$AC$13+E215*$AC$14+F215*$AC$15+G215*$AC$16+H215*$AC$17+I215*$AC$18+J215*$AC$19+K215*$AC$20+L215*$AC$21+M215*$AC$22+N215*$AC$23+O215*$AC$24+P215*$AC$25+Q215*$AC$26+R215*$AC$27+S215*$AC$28+T215*$AC$29+U215*$AC$30</f>
        <v/>
      </c>
      <c r="W215" s="8">
        <f>1/(1+EXP(-V215))</f>
        <v/>
      </c>
      <c r="X215" s="9">
        <f>-IF(C215=1,LN(W215),LN(1-W215))</f>
        <v/>
      </c>
      <c r="Y215" s="10">
        <f>IF(W215&gt;$AC$33,1,0)</f>
        <v/>
      </c>
      <c r="Z215">
        <f>IF(Y215=C215,1,0)</f>
        <v/>
      </c>
    </row>
    <row r="216">
      <c r="A216">
        <f>'1 datos preparados'!A209</f>
        <v/>
      </c>
      <c r="B216" s="5">
        <f>'1 datos preparados'!U209</f>
        <v/>
      </c>
      <c r="C216">
        <f>'1 datos preparados'!B209</f>
        <v/>
      </c>
      <c r="D216" s="7">
        <f>'1 datos preparados'!C209</f>
        <v/>
      </c>
      <c r="E216" s="7">
        <f>'1 datos preparados'!D209</f>
        <v/>
      </c>
      <c r="F216" s="7">
        <f>'1 datos preparados'!E209</f>
        <v/>
      </c>
      <c r="G216" s="7">
        <f>'1 datos preparados'!F209</f>
        <v/>
      </c>
      <c r="H216" s="7">
        <f>'1 datos preparados'!G209</f>
        <v/>
      </c>
      <c r="I216" s="7">
        <f>'1 datos preparados'!H209</f>
        <v/>
      </c>
      <c r="J216" s="7">
        <f>'1 datos preparados'!I209</f>
        <v/>
      </c>
      <c r="K216" s="7">
        <f>'1 datos preparados'!J209</f>
        <v/>
      </c>
      <c r="L216" s="7">
        <f>'1 datos preparados'!K209</f>
        <v/>
      </c>
      <c r="M216" s="7">
        <f>'1 datos preparados'!L209</f>
        <v/>
      </c>
      <c r="N216" s="7">
        <f>'1 datos preparados'!M209</f>
        <v/>
      </c>
      <c r="O216" s="7">
        <f>'1 datos preparados'!N209</f>
        <v/>
      </c>
      <c r="P216" s="7">
        <f>'1 datos preparados'!O209</f>
        <v/>
      </c>
      <c r="Q216" s="7">
        <f>'1 datos preparados'!P209</f>
        <v/>
      </c>
      <c r="R216" s="7">
        <f>'1 datos preparados'!Q209</f>
        <v/>
      </c>
      <c r="S216" s="7">
        <f>'1 datos preparados'!R209</f>
        <v/>
      </c>
      <c r="T216" s="7">
        <f>'1 datos preparados'!S209</f>
        <v/>
      </c>
      <c r="U216" s="7">
        <f>'1 datos preparados'!T209</f>
        <v/>
      </c>
      <c r="V216" s="8">
        <f>$AC$12+D216*$AC$13+E216*$AC$14+F216*$AC$15+G216*$AC$16+H216*$AC$17+I216*$AC$18+J216*$AC$19+K216*$AC$20+L216*$AC$21+M216*$AC$22+N216*$AC$23+O216*$AC$24+P216*$AC$25+Q216*$AC$26+R216*$AC$27+S216*$AC$28+T216*$AC$29+U216*$AC$30</f>
        <v/>
      </c>
      <c r="W216" s="8">
        <f>1/(1+EXP(-V216))</f>
        <v/>
      </c>
      <c r="X216" s="9">
        <f>-IF(C216=1,LN(W216),LN(1-W216))</f>
        <v/>
      </c>
      <c r="Y216" s="10">
        <f>IF(W216&gt;$AC$33,1,0)</f>
        <v/>
      </c>
      <c r="Z216">
        <f>IF(Y216=C216,1,0)</f>
        <v/>
      </c>
    </row>
    <row r="217">
      <c r="A217">
        <f>'1 datos preparados'!A210</f>
        <v/>
      </c>
      <c r="B217" s="5">
        <f>'1 datos preparados'!U210</f>
        <v/>
      </c>
      <c r="C217">
        <f>'1 datos preparados'!B210</f>
        <v/>
      </c>
      <c r="D217" s="7">
        <f>'1 datos preparados'!C210</f>
        <v/>
      </c>
      <c r="E217" s="7">
        <f>'1 datos preparados'!D210</f>
        <v/>
      </c>
      <c r="F217" s="7">
        <f>'1 datos preparados'!E210</f>
        <v/>
      </c>
      <c r="G217" s="7">
        <f>'1 datos preparados'!F210</f>
        <v/>
      </c>
      <c r="H217" s="7">
        <f>'1 datos preparados'!G210</f>
        <v/>
      </c>
      <c r="I217" s="7">
        <f>'1 datos preparados'!H210</f>
        <v/>
      </c>
      <c r="J217" s="7">
        <f>'1 datos preparados'!I210</f>
        <v/>
      </c>
      <c r="K217" s="7">
        <f>'1 datos preparados'!J210</f>
        <v/>
      </c>
      <c r="L217" s="7">
        <f>'1 datos preparados'!K210</f>
        <v/>
      </c>
      <c r="M217" s="7">
        <f>'1 datos preparados'!L210</f>
        <v/>
      </c>
      <c r="N217" s="7">
        <f>'1 datos preparados'!M210</f>
        <v/>
      </c>
      <c r="O217" s="7">
        <f>'1 datos preparados'!N210</f>
        <v/>
      </c>
      <c r="P217" s="7">
        <f>'1 datos preparados'!O210</f>
        <v/>
      </c>
      <c r="Q217" s="7">
        <f>'1 datos preparados'!P210</f>
        <v/>
      </c>
      <c r="R217" s="7">
        <f>'1 datos preparados'!Q210</f>
        <v/>
      </c>
      <c r="S217" s="7">
        <f>'1 datos preparados'!R210</f>
        <v/>
      </c>
      <c r="T217" s="7">
        <f>'1 datos preparados'!S210</f>
        <v/>
      </c>
      <c r="U217" s="7">
        <f>'1 datos preparados'!T210</f>
        <v/>
      </c>
      <c r="V217" s="8">
        <f>$AC$12+D217*$AC$13+E217*$AC$14+F217*$AC$15+G217*$AC$16+H217*$AC$17+I217*$AC$18+J217*$AC$19+K217*$AC$20+L217*$AC$21+M217*$AC$22+N217*$AC$23+O217*$AC$24+P217*$AC$25+Q217*$AC$26+R217*$AC$27+S217*$AC$28+T217*$AC$29+U217*$AC$30</f>
        <v/>
      </c>
      <c r="W217" s="8">
        <f>1/(1+EXP(-V217))</f>
        <v/>
      </c>
      <c r="X217" s="9">
        <f>-IF(C217=1,LN(W217),LN(1-W217))</f>
        <v/>
      </c>
      <c r="Y217" s="10">
        <f>IF(W217&gt;$AC$33,1,0)</f>
        <v/>
      </c>
      <c r="Z217">
        <f>IF(Y217=C217,1,0)</f>
        <v/>
      </c>
    </row>
    <row r="218">
      <c r="A218">
        <f>'1 datos preparados'!A211</f>
        <v/>
      </c>
      <c r="B218" s="5">
        <f>'1 datos preparados'!U211</f>
        <v/>
      </c>
      <c r="C218">
        <f>'1 datos preparados'!B211</f>
        <v/>
      </c>
      <c r="D218" s="7">
        <f>'1 datos preparados'!C211</f>
        <v/>
      </c>
      <c r="E218" s="7">
        <f>'1 datos preparados'!D211</f>
        <v/>
      </c>
      <c r="F218" s="7">
        <f>'1 datos preparados'!E211</f>
        <v/>
      </c>
      <c r="G218" s="7">
        <f>'1 datos preparados'!F211</f>
        <v/>
      </c>
      <c r="H218" s="7">
        <f>'1 datos preparados'!G211</f>
        <v/>
      </c>
      <c r="I218" s="7">
        <f>'1 datos preparados'!H211</f>
        <v/>
      </c>
      <c r="J218" s="7">
        <f>'1 datos preparados'!I211</f>
        <v/>
      </c>
      <c r="K218" s="7">
        <f>'1 datos preparados'!J211</f>
        <v/>
      </c>
      <c r="L218" s="7">
        <f>'1 datos preparados'!K211</f>
        <v/>
      </c>
      <c r="M218" s="7">
        <f>'1 datos preparados'!L211</f>
        <v/>
      </c>
      <c r="N218" s="7">
        <f>'1 datos preparados'!M211</f>
        <v/>
      </c>
      <c r="O218" s="7">
        <f>'1 datos preparados'!N211</f>
        <v/>
      </c>
      <c r="P218" s="7">
        <f>'1 datos preparados'!O211</f>
        <v/>
      </c>
      <c r="Q218" s="7">
        <f>'1 datos preparados'!P211</f>
        <v/>
      </c>
      <c r="R218" s="7">
        <f>'1 datos preparados'!Q211</f>
        <v/>
      </c>
      <c r="S218" s="7">
        <f>'1 datos preparados'!R211</f>
        <v/>
      </c>
      <c r="T218" s="7">
        <f>'1 datos preparados'!S211</f>
        <v/>
      </c>
      <c r="U218" s="7">
        <f>'1 datos preparados'!T211</f>
        <v/>
      </c>
      <c r="V218" s="8">
        <f>$AC$12+D218*$AC$13+E218*$AC$14+F218*$AC$15+G218*$AC$16+H218*$AC$17+I218*$AC$18+J218*$AC$19+K218*$AC$20+L218*$AC$21+M218*$AC$22+N218*$AC$23+O218*$AC$24+P218*$AC$25+Q218*$AC$26+R218*$AC$27+S218*$AC$28+T218*$AC$29+U218*$AC$30</f>
        <v/>
      </c>
      <c r="W218" s="8">
        <f>1/(1+EXP(-V218))</f>
        <v/>
      </c>
      <c r="X218" s="9">
        <f>-IF(C218=1,LN(W218),LN(1-W218))</f>
        <v/>
      </c>
      <c r="Y218" s="10">
        <f>IF(W218&gt;$AC$33,1,0)</f>
        <v/>
      </c>
      <c r="Z218">
        <f>IF(Y218=C218,1,0)</f>
        <v/>
      </c>
    </row>
    <row r="219">
      <c r="A219">
        <f>'1 datos preparados'!A212</f>
        <v/>
      </c>
      <c r="B219" s="5">
        <f>'1 datos preparados'!U212</f>
        <v/>
      </c>
      <c r="C219">
        <f>'1 datos preparados'!B212</f>
        <v/>
      </c>
      <c r="D219" s="7">
        <f>'1 datos preparados'!C212</f>
        <v/>
      </c>
      <c r="E219" s="7">
        <f>'1 datos preparados'!D212</f>
        <v/>
      </c>
      <c r="F219" s="7">
        <f>'1 datos preparados'!E212</f>
        <v/>
      </c>
      <c r="G219" s="7">
        <f>'1 datos preparados'!F212</f>
        <v/>
      </c>
      <c r="H219" s="7">
        <f>'1 datos preparados'!G212</f>
        <v/>
      </c>
      <c r="I219" s="7">
        <f>'1 datos preparados'!H212</f>
        <v/>
      </c>
      <c r="J219" s="7">
        <f>'1 datos preparados'!I212</f>
        <v/>
      </c>
      <c r="K219" s="7">
        <f>'1 datos preparados'!J212</f>
        <v/>
      </c>
      <c r="L219" s="7">
        <f>'1 datos preparados'!K212</f>
        <v/>
      </c>
      <c r="M219" s="7">
        <f>'1 datos preparados'!L212</f>
        <v/>
      </c>
      <c r="N219" s="7">
        <f>'1 datos preparados'!M212</f>
        <v/>
      </c>
      <c r="O219" s="7">
        <f>'1 datos preparados'!N212</f>
        <v/>
      </c>
      <c r="P219" s="7">
        <f>'1 datos preparados'!O212</f>
        <v/>
      </c>
      <c r="Q219" s="7">
        <f>'1 datos preparados'!P212</f>
        <v/>
      </c>
      <c r="R219" s="7">
        <f>'1 datos preparados'!Q212</f>
        <v/>
      </c>
      <c r="S219" s="7">
        <f>'1 datos preparados'!R212</f>
        <v/>
      </c>
      <c r="T219" s="7">
        <f>'1 datos preparados'!S212</f>
        <v/>
      </c>
      <c r="U219" s="7">
        <f>'1 datos preparados'!T212</f>
        <v/>
      </c>
      <c r="V219" s="8">
        <f>$AC$12+D219*$AC$13+E219*$AC$14+F219*$AC$15+G219*$AC$16+H219*$AC$17+I219*$AC$18+J219*$AC$19+K219*$AC$20+L219*$AC$21+M219*$AC$22+N219*$AC$23+O219*$AC$24+P219*$AC$25+Q219*$AC$26+R219*$AC$27+S219*$AC$28+T219*$AC$29+U219*$AC$30</f>
        <v/>
      </c>
      <c r="W219" s="8">
        <f>1/(1+EXP(-V219))</f>
        <v/>
      </c>
      <c r="X219" s="9">
        <f>-IF(C219=1,LN(W219),LN(1-W219))</f>
        <v/>
      </c>
      <c r="Y219" s="10">
        <f>IF(W219&gt;$AC$33,1,0)</f>
        <v/>
      </c>
      <c r="Z219">
        <f>IF(Y219=C219,1,0)</f>
        <v/>
      </c>
    </row>
    <row r="220">
      <c r="A220">
        <f>'1 datos preparados'!A213</f>
        <v/>
      </c>
      <c r="B220" s="5">
        <f>'1 datos preparados'!U213</f>
        <v/>
      </c>
      <c r="C220">
        <f>'1 datos preparados'!B213</f>
        <v/>
      </c>
      <c r="D220" s="7">
        <f>'1 datos preparados'!C213</f>
        <v/>
      </c>
      <c r="E220" s="7">
        <f>'1 datos preparados'!D213</f>
        <v/>
      </c>
      <c r="F220" s="7">
        <f>'1 datos preparados'!E213</f>
        <v/>
      </c>
      <c r="G220" s="7">
        <f>'1 datos preparados'!F213</f>
        <v/>
      </c>
      <c r="H220" s="7">
        <f>'1 datos preparados'!G213</f>
        <v/>
      </c>
      <c r="I220" s="7">
        <f>'1 datos preparados'!H213</f>
        <v/>
      </c>
      <c r="J220" s="7">
        <f>'1 datos preparados'!I213</f>
        <v/>
      </c>
      <c r="K220" s="7">
        <f>'1 datos preparados'!J213</f>
        <v/>
      </c>
      <c r="L220" s="7">
        <f>'1 datos preparados'!K213</f>
        <v/>
      </c>
      <c r="M220" s="7">
        <f>'1 datos preparados'!L213</f>
        <v/>
      </c>
      <c r="N220" s="7">
        <f>'1 datos preparados'!M213</f>
        <v/>
      </c>
      <c r="O220" s="7">
        <f>'1 datos preparados'!N213</f>
        <v/>
      </c>
      <c r="P220" s="7">
        <f>'1 datos preparados'!O213</f>
        <v/>
      </c>
      <c r="Q220" s="7">
        <f>'1 datos preparados'!P213</f>
        <v/>
      </c>
      <c r="R220" s="7">
        <f>'1 datos preparados'!Q213</f>
        <v/>
      </c>
      <c r="S220" s="7">
        <f>'1 datos preparados'!R213</f>
        <v/>
      </c>
      <c r="T220" s="7">
        <f>'1 datos preparados'!S213</f>
        <v/>
      </c>
      <c r="U220" s="7">
        <f>'1 datos preparados'!T213</f>
        <v/>
      </c>
      <c r="V220" s="8">
        <f>$AC$12+D220*$AC$13+E220*$AC$14+F220*$AC$15+G220*$AC$16+H220*$AC$17+I220*$AC$18+J220*$AC$19+K220*$AC$20+L220*$AC$21+M220*$AC$22+N220*$AC$23+O220*$AC$24+P220*$AC$25+Q220*$AC$26+R220*$AC$27+S220*$AC$28+T220*$AC$29+U220*$AC$30</f>
        <v/>
      </c>
      <c r="W220" s="8">
        <f>1/(1+EXP(-V220))</f>
        <v/>
      </c>
      <c r="X220" s="9">
        <f>-IF(C220=1,LN(W220),LN(1-W220))</f>
        <v/>
      </c>
      <c r="Y220" s="10">
        <f>IF(W220&gt;$AC$33,1,0)</f>
        <v/>
      </c>
      <c r="Z220">
        <f>IF(Y220=C220,1,0)</f>
        <v/>
      </c>
    </row>
    <row r="221">
      <c r="A221">
        <f>'1 datos preparados'!A214</f>
        <v/>
      </c>
      <c r="B221" s="5">
        <f>'1 datos preparados'!U214</f>
        <v/>
      </c>
      <c r="C221">
        <f>'1 datos preparados'!B214</f>
        <v/>
      </c>
      <c r="D221" s="7">
        <f>'1 datos preparados'!C214</f>
        <v/>
      </c>
      <c r="E221" s="7">
        <f>'1 datos preparados'!D214</f>
        <v/>
      </c>
      <c r="F221" s="7">
        <f>'1 datos preparados'!E214</f>
        <v/>
      </c>
      <c r="G221" s="7">
        <f>'1 datos preparados'!F214</f>
        <v/>
      </c>
      <c r="H221" s="7">
        <f>'1 datos preparados'!G214</f>
        <v/>
      </c>
      <c r="I221" s="7">
        <f>'1 datos preparados'!H214</f>
        <v/>
      </c>
      <c r="J221" s="7">
        <f>'1 datos preparados'!I214</f>
        <v/>
      </c>
      <c r="K221" s="7">
        <f>'1 datos preparados'!J214</f>
        <v/>
      </c>
      <c r="L221" s="7">
        <f>'1 datos preparados'!K214</f>
        <v/>
      </c>
      <c r="M221" s="7">
        <f>'1 datos preparados'!L214</f>
        <v/>
      </c>
      <c r="N221" s="7">
        <f>'1 datos preparados'!M214</f>
        <v/>
      </c>
      <c r="O221" s="7">
        <f>'1 datos preparados'!N214</f>
        <v/>
      </c>
      <c r="P221" s="7">
        <f>'1 datos preparados'!O214</f>
        <v/>
      </c>
      <c r="Q221" s="7">
        <f>'1 datos preparados'!P214</f>
        <v/>
      </c>
      <c r="R221" s="7">
        <f>'1 datos preparados'!Q214</f>
        <v/>
      </c>
      <c r="S221" s="7">
        <f>'1 datos preparados'!R214</f>
        <v/>
      </c>
      <c r="T221" s="7">
        <f>'1 datos preparados'!S214</f>
        <v/>
      </c>
      <c r="U221" s="7">
        <f>'1 datos preparados'!T214</f>
        <v/>
      </c>
      <c r="V221" s="8">
        <f>$AC$12+D221*$AC$13+E221*$AC$14+F221*$AC$15+G221*$AC$16+H221*$AC$17+I221*$AC$18+J221*$AC$19+K221*$AC$20+L221*$AC$21+M221*$AC$22+N221*$AC$23+O221*$AC$24+P221*$AC$25+Q221*$AC$26+R221*$AC$27+S221*$AC$28+T221*$AC$29+U221*$AC$30</f>
        <v/>
      </c>
      <c r="W221" s="8">
        <f>1/(1+EXP(-V221))</f>
        <v/>
      </c>
      <c r="X221" s="9">
        <f>-IF(C221=1,LN(W221),LN(1-W221))</f>
        <v/>
      </c>
      <c r="Y221" s="10">
        <f>IF(W221&gt;$AC$33,1,0)</f>
        <v/>
      </c>
      <c r="Z221">
        <f>IF(Y221=C221,1,0)</f>
        <v/>
      </c>
    </row>
    <row r="222">
      <c r="A222">
        <f>'1 datos preparados'!A215</f>
        <v/>
      </c>
      <c r="B222" s="5">
        <f>'1 datos preparados'!U215</f>
        <v/>
      </c>
      <c r="C222">
        <f>'1 datos preparados'!B215</f>
        <v/>
      </c>
      <c r="D222" s="7">
        <f>'1 datos preparados'!C215</f>
        <v/>
      </c>
      <c r="E222" s="7">
        <f>'1 datos preparados'!D215</f>
        <v/>
      </c>
      <c r="F222" s="7">
        <f>'1 datos preparados'!E215</f>
        <v/>
      </c>
      <c r="G222" s="7">
        <f>'1 datos preparados'!F215</f>
        <v/>
      </c>
      <c r="H222" s="7">
        <f>'1 datos preparados'!G215</f>
        <v/>
      </c>
      <c r="I222" s="7">
        <f>'1 datos preparados'!H215</f>
        <v/>
      </c>
      <c r="J222" s="7">
        <f>'1 datos preparados'!I215</f>
        <v/>
      </c>
      <c r="K222" s="7">
        <f>'1 datos preparados'!J215</f>
        <v/>
      </c>
      <c r="L222" s="7">
        <f>'1 datos preparados'!K215</f>
        <v/>
      </c>
      <c r="M222" s="7">
        <f>'1 datos preparados'!L215</f>
        <v/>
      </c>
      <c r="N222" s="7">
        <f>'1 datos preparados'!M215</f>
        <v/>
      </c>
      <c r="O222" s="7">
        <f>'1 datos preparados'!N215</f>
        <v/>
      </c>
      <c r="P222" s="7">
        <f>'1 datos preparados'!O215</f>
        <v/>
      </c>
      <c r="Q222" s="7">
        <f>'1 datos preparados'!P215</f>
        <v/>
      </c>
      <c r="R222" s="7">
        <f>'1 datos preparados'!Q215</f>
        <v/>
      </c>
      <c r="S222" s="7">
        <f>'1 datos preparados'!R215</f>
        <v/>
      </c>
      <c r="T222" s="7">
        <f>'1 datos preparados'!S215</f>
        <v/>
      </c>
      <c r="U222" s="7">
        <f>'1 datos preparados'!T215</f>
        <v/>
      </c>
      <c r="V222" s="8">
        <f>$AC$12+D222*$AC$13+E222*$AC$14+F222*$AC$15+G222*$AC$16+H222*$AC$17+I222*$AC$18+J222*$AC$19+K222*$AC$20+L222*$AC$21+M222*$AC$22+N222*$AC$23+O222*$AC$24+P222*$AC$25+Q222*$AC$26+R222*$AC$27+S222*$AC$28+T222*$AC$29+U222*$AC$30</f>
        <v/>
      </c>
      <c r="W222" s="8">
        <f>1/(1+EXP(-V222))</f>
        <v/>
      </c>
      <c r="X222" s="9">
        <f>-IF(C222=1,LN(W222),LN(1-W222))</f>
        <v/>
      </c>
      <c r="Y222" s="10">
        <f>IF(W222&gt;$AC$33,1,0)</f>
        <v/>
      </c>
      <c r="Z222">
        <f>IF(Y222=C222,1,0)</f>
        <v/>
      </c>
    </row>
    <row r="223">
      <c r="A223">
        <f>'1 datos preparados'!A216</f>
        <v/>
      </c>
      <c r="B223" s="5">
        <f>'1 datos preparados'!U216</f>
        <v/>
      </c>
      <c r="C223">
        <f>'1 datos preparados'!B216</f>
        <v/>
      </c>
      <c r="D223" s="7">
        <f>'1 datos preparados'!C216</f>
        <v/>
      </c>
      <c r="E223" s="7">
        <f>'1 datos preparados'!D216</f>
        <v/>
      </c>
      <c r="F223" s="7">
        <f>'1 datos preparados'!E216</f>
        <v/>
      </c>
      <c r="G223" s="7">
        <f>'1 datos preparados'!F216</f>
        <v/>
      </c>
      <c r="H223" s="7">
        <f>'1 datos preparados'!G216</f>
        <v/>
      </c>
      <c r="I223" s="7">
        <f>'1 datos preparados'!H216</f>
        <v/>
      </c>
      <c r="J223" s="7">
        <f>'1 datos preparados'!I216</f>
        <v/>
      </c>
      <c r="K223" s="7">
        <f>'1 datos preparados'!J216</f>
        <v/>
      </c>
      <c r="L223" s="7">
        <f>'1 datos preparados'!K216</f>
        <v/>
      </c>
      <c r="M223" s="7">
        <f>'1 datos preparados'!L216</f>
        <v/>
      </c>
      <c r="N223" s="7">
        <f>'1 datos preparados'!M216</f>
        <v/>
      </c>
      <c r="O223" s="7">
        <f>'1 datos preparados'!N216</f>
        <v/>
      </c>
      <c r="P223" s="7">
        <f>'1 datos preparados'!O216</f>
        <v/>
      </c>
      <c r="Q223" s="7">
        <f>'1 datos preparados'!P216</f>
        <v/>
      </c>
      <c r="R223" s="7">
        <f>'1 datos preparados'!Q216</f>
        <v/>
      </c>
      <c r="S223" s="7">
        <f>'1 datos preparados'!R216</f>
        <v/>
      </c>
      <c r="T223" s="7">
        <f>'1 datos preparados'!S216</f>
        <v/>
      </c>
      <c r="U223" s="7">
        <f>'1 datos preparados'!T216</f>
        <v/>
      </c>
      <c r="V223" s="8">
        <f>$AC$12+D223*$AC$13+E223*$AC$14+F223*$AC$15+G223*$AC$16+H223*$AC$17+I223*$AC$18+J223*$AC$19+K223*$AC$20+L223*$AC$21+M223*$AC$22+N223*$AC$23+O223*$AC$24+P223*$AC$25+Q223*$AC$26+R223*$AC$27+S223*$AC$28+T223*$AC$29+U223*$AC$30</f>
        <v/>
      </c>
      <c r="W223" s="8">
        <f>1/(1+EXP(-V223))</f>
        <v/>
      </c>
      <c r="X223" s="9">
        <f>-IF(C223=1,LN(W223),LN(1-W223))</f>
        <v/>
      </c>
      <c r="Y223" s="10">
        <f>IF(W223&gt;$AC$33,1,0)</f>
        <v/>
      </c>
      <c r="Z223">
        <f>IF(Y223=C223,1,0)</f>
        <v/>
      </c>
    </row>
    <row r="224">
      <c r="A224">
        <f>'1 datos preparados'!A217</f>
        <v/>
      </c>
      <c r="B224" s="5">
        <f>'1 datos preparados'!U217</f>
        <v/>
      </c>
      <c r="C224">
        <f>'1 datos preparados'!B217</f>
        <v/>
      </c>
      <c r="D224" s="7">
        <f>'1 datos preparados'!C217</f>
        <v/>
      </c>
      <c r="E224" s="7">
        <f>'1 datos preparados'!D217</f>
        <v/>
      </c>
      <c r="F224" s="7">
        <f>'1 datos preparados'!E217</f>
        <v/>
      </c>
      <c r="G224" s="7">
        <f>'1 datos preparados'!F217</f>
        <v/>
      </c>
      <c r="H224" s="7">
        <f>'1 datos preparados'!G217</f>
        <v/>
      </c>
      <c r="I224" s="7">
        <f>'1 datos preparados'!H217</f>
        <v/>
      </c>
      <c r="J224" s="7">
        <f>'1 datos preparados'!I217</f>
        <v/>
      </c>
      <c r="K224" s="7">
        <f>'1 datos preparados'!J217</f>
        <v/>
      </c>
      <c r="L224" s="7">
        <f>'1 datos preparados'!K217</f>
        <v/>
      </c>
      <c r="M224" s="7">
        <f>'1 datos preparados'!L217</f>
        <v/>
      </c>
      <c r="N224" s="7">
        <f>'1 datos preparados'!M217</f>
        <v/>
      </c>
      <c r="O224" s="7">
        <f>'1 datos preparados'!N217</f>
        <v/>
      </c>
      <c r="P224" s="7">
        <f>'1 datos preparados'!O217</f>
        <v/>
      </c>
      <c r="Q224" s="7">
        <f>'1 datos preparados'!P217</f>
        <v/>
      </c>
      <c r="R224" s="7">
        <f>'1 datos preparados'!Q217</f>
        <v/>
      </c>
      <c r="S224" s="7">
        <f>'1 datos preparados'!R217</f>
        <v/>
      </c>
      <c r="T224" s="7">
        <f>'1 datos preparados'!S217</f>
        <v/>
      </c>
      <c r="U224" s="7">
        <f>'1 datos preparados'!T217</f>
        <v/>
      </c>
      <c r="V224" s="8">
        <f>$AC$12+D224*$AC$13+E224*$AC$14+F224*$AC$15+G224*$AC$16+H224*$AC$17+I224*$AC$18+J224*$AC$19+K224*$AC$20+L224*$AC$21+M224*$AC$22+N224*$AC$23+O224*$AC$24+P224*$AC$25+Q224*$AC$26+R224*$AC$27+S224*$AC$28+T224*$AC$29+U224*$AC$30</f>
        <v/>
      </c>
      <c r="W224" s="8">
        <f>1/(1+EXP(-V224))</f>
        <v/>
      </c>
      <c r="X224" s="9">
        <f>-IF(C224=1,LN(W224),LN(1-W224))</f>
        <v/>
      </c>
      <c r="Y224" s="10">
        <f>IF(W224&gt;$AC$33,1,0)</f>
        <v/>
      </c>
      <c r="Z224">
        <f>IF(Y224=C224,1,0)</f>
        <v/>
      </c>
    </row>
    <row r="225">
      <c r="A225">
        <f>'1 datos preparados'!A218</f>
        <v/>
      </c>
      <c r="B225" s="5">
        <f>'1 datos preparados'!U218</f>
        <v/>
      </c>
      <c r="C225">
        <f>'1 datos preparados'!B218</f>
        <v/>
      </c>
      <c r="D225" s="7">
        <f>'1 datos preparados'!C218</f>
        <v/>
      </c>
      <c r="E225" s="7">
        <f>'1 datos preparados'!D218</f>
        <v/>
      </c>
      <c r="F225" s="7">
        <f>'1 datos preparados'!E218</f>
        <v/>
      </c>
      <c r="G225" s="7">
        <f>'1 datos preparados'!F218</f>
        <v/>
      </c>
      <c r="H225" s="7">
        <f>'1 datos preparados'!G218</f>
        <v/>
      </c>
      <c r="I225" s="7">
        <f>'1 datos preparados'!H218</f>
        <v/>
      </c>
      <c r="J225" s="7">
        <f>'1 datos preparados'!I218</f>
        <v/>
      </c>
      <c r="K225" s="7">
        <f>'1 datos preparados'!J218</f>
        <v/>
      </c>
      <c r="L225" s="7">
        <f>'1 datos preparados'!K218</f>
        <v/>
      </c>
      <c r="M225" s="7">
        <f>'1 datos preparados'!L218</f>
        <v/>
      </c>
      <c r="N225" s="7">
        <f>'1 datos preparados'!M218</f>
        <v/>
      </c>
      <c r="O225" s="7">
        <f>'1 datos preparados'!N218</f>
        <v/>
      </c>
      <c r="P225" s="7">
        <f>'1 datos preparados'!O218</f>
        <v/>
      </c>
      <c r="Q225" s="7">
        <f>'1 datos preparados'!P218</f>
        <v/>
      </c>
      <c r="R225" s="7">
        <f>'1 datos preparados'!Q218</f>
        <v/>
      </c>
      <c r="S225" s="7">
        <f>'1 datos preparados'!R218</f>
        <v/>
      </c>
      <c r="T225" s="7">
        <f>'1 datos preparados'!S218</f>
        <v/>
      </c>
      <c r="U225" s="7">
        <f>'1 datos preparados'!T218</f>
        <v/>
      </c>
      <c r="V225" s="8">
        <f>$AC$12+D225*$AC$13+E225*$AC$14+F225*$AC$15+G225*$AC$16+H225*$AC$17+I225*$AC$18+J225*$AC$19+K225*$AC$20+L225*$AC$21+M225*$AC$22+N225*$AC$23+O225*$AC$24+P225*$AC$25+Q225*$AC$26+R225*$AC$27+S225*$AC$28+T225*$AC$29+U225*$AC$30</f>
        <v/>
      </c>
      <c r="W225" s="8">
        <f>1/(1+EXP(-V225))</f>
        <v/>
      </c>
      <c r="X225" s="9">
        <f>-IF(C225=1,LN(W225),LN(1-W225))</f>
        <v/>
      </c>
      <c r="Y225" s="10">
        <f>IF(W225&gt;$AC$33,1,0)</f>
        <v/>
      </c>
      <c r="Z225">
        <f>IF(Y225=C225,1,0)</f>
        <v/>
      </c>
    </row>
    <row r="226">
      <c r="A226">
        <f>'1 datos preparados'!A219</f>
        <v/>
      </c>
      <c r="B226" s="5">
        <f>'1 datos preparados'!U219</f>
        <v/>
      </c>
      <c r="C226">
        <f>'1 datos preparados'!B219</f>
        <v/>
      </c>
      <c r="D226" s="7">
        <f>'1 datos preparados'!C219</f>
        <v/>
      </c>
      <c r="E226" s="7">
        <f>'1 datos preparados'!D219</f>
        <v/>
      </c>
      <c r="F226" s="7">
        <f>'1 datos preparados'!E219</f>
        <v/>
      </c>
      <c r="G226" s="7">
        <f>'1 datos preparados'!F219</f>
        <v/>
      </c>
      <c r="H226" s="7">
        <f>'1 datos preparados'!G219</f>
        <v/>
      </c>
      <c r="I226" s="7">
        <f>'1 datos preparados'!H219</f>
        <v/>
      </c>
      <c r="J226" s="7">
        <f>'1 datos preparados'!I219</f>
        <v/>
      </c>
      <c r="K226" s="7">
        <f>'1 datos preparados'!J219</f>
        <v/>
      </c>
      <c r="L226" s="7">
        <f>'1 datos preparados'!K219</f>
        <v/>
      </c>
      <c r="M226" s="7">
        <f>'1 datos preparados'!L219</f>
        <v/>
      </c>
      <c r="N226" s="7">
        <f>'1 datos preparados'!M219</f>
        <v/>
      </c>
      <c r="O226" s="7">
        <f>'1 datos preparados'!N219</f>
        <v/>
      </c>
      <c r="P226" s="7">
        <f>'1 datos preparados'!O219</f>
        <v/>
      </c>
      <c r="Q226" s="7">
        <f>'1 datos preparados'!P219</f>
        <v/>
      </c>
      <c r="R226" s="7">
        <f>'1 datos preparados'!Q219</f>
        <v/>
      </c>
      <c r="S226" s="7">
        <f>'1 datos preparados'!R219</f>
        <v/>
      </c>
      <c r="T226" s="7">
        <f>'1 datos preparados'!S219</f>
        <v/>
      </c>
      <c r="U226" s="7">
        <f>'1 datos preparados'!T219</f>
        <v/>
      </c>
      <c r="V226" s="8">
        <f>$AC$12+D226*$AC$13+E226*$AC$14+F226*$AC$15+G226*$AC$16+H226*$AC$17+I226*$AC$18+J226*$AC$19+K226*$AC$20+L226*$AC$21+M226*$AC$22+N226*$AC$23+O226*$AC$24+P226*$AC$25+Q226*$AC$26+R226*$AC$27+S226*$AC$28+T226*$AC$29+U226*$AC$30</f>
        <v/>
      </c>
      <c r="W226" s="8">
        <f>1/(1+EXP(-V226))</f>
        <v/>
      </c>
      <c r="X226" s="9">
        <f>-IF(C226=1,LN(W226),LN(1-W226))</f>
        <v/>
      </c>
      <c r="Y226" s="10">
        <f>IF(W226&gt;$AC$33,1,0)</f>
        <v/>
      </c>
      <c r="Z226">
        <f>IF(Y226=C226,1,0)</f>
        <v/>
      </c>
    </row>
    <row r="227">
      <c r="A227">
        <f>'1 datos preparados'!A220</f>
        <v/>
      </c>
      <c r="B227" s="5">
        <f>'1 datos preparados'!U220</f>
        <v/>
      </c>
      <c r="C227">
        <f>'1 datos preparados'!B220</f>
        <v/>
      </c>
      <c r="D227" s="7">
        <f>'1 datos preparados'!C220</f>
        <v/>
      </c>
      <c r="E227" s="7">
        <f>'1 datos preparados'!D220</f>
        <v/>
      </c>
      <c r="F227" s="7">
        <f>'1 datos preparados'!E220</f>
        <v/>
      </c>
      <c r="G227" s="7">
        <f>'1 datos preparados'!F220</f>
        <v/>
      </c>
      <c r="H227" s="7">
        <f>'1 datos preparados'!G220</f>
        <v/>
      </c>
      <c r="I227" s="7">
        <f>'1 datos preparados'!H220</f>
        <v/>
      </c>
      <c r="J227" s="7">
        <f>'1 datos preparados'!I220</f>
        <v/>
      </c>
      <c r="K227" s="7">
        <f>'1 datos preparados'!J220</f>
        <v/>
      </c>
      <c r="L227" s="7">
        <f>'1 datos preparados'!K220</f>
        <v/>
      </c>
      <c r="M227" s="7">
        <f>'1 datos preparados'!L220</f>
        <v/>
      </c>
      <c r="N227" s="7">
        <f>'1 datos preparados'!M220</f>
        <v/>
      </c>
      <c r="O227" s="7">
        <f>'1 datos preparados'!N220</f>
        <v/>
      </c>
      <c r="P227" s="7">
        <f>'1 datos preparados'!O220</f>
        <v/>
      </c>
      <c r="Q227" s="7">
        <f>'1 datos preparados'!P220</f>
        <v/>
      </c>
      <c r="R227" s="7">
        <f>'1 datos preparados'!Q220</f>
        <v/>
      </c>
      <c r="S227" s="7">
        <f>'1 datos preparados'!R220</f>
        <v/>
      </c>
      <c r="T227" s="7">
        <f>'1 datos preparados'!S220</f>
        <v/>
      </c>
      <c r="U227" s="7">
        <f>'1 datos preparados'!T220</f>
        <v/>
      </c>
      <c r="V227" s="8">
        <f>$AC$12+D227*$AC$13+E227*$AC$14+F227*$AC$15+G227*$AC$16+H227*$AC$17+I227*$AC$18+J227*$AC$19+K227*$AC$20+L227*$AC$21+M227*$AC$22+N227*$AC$23+O227*$AC$24+P227*$AC$25+Q227*$AC$26+R227*$AC$27+S227*$AC$28+T227*$AC$29+U227*$AC$30</f>
        <v/>
      </c>
      <c r="W227" s="8">
        <f>1/(1+EXP(-V227))</f>
        <v/>
      </c>
      <c r="X227" s="9">
        <f>-IF(C227=1,LN(W227),LN(1-W227))</f>
        <v/>
      </c>
      <c r="Y227" s="10">
        <f>IF(W227&gt;$AC$33,1,0)</f>
        <v/>
      </c>
      <c r="Z227">
        <f>IF(Y227=C227,1,0)</f>
        <v/>
      </c>
    </row>
    <row r="228">
      <c r="A228">
        <f>'1 datos preparados'!A221</f>
        <v/>
      </c>
      <c r="B228" s="5">
        <f>'1 datos preparados'!U221</f>
        <v/>
      </c>
      <c r="C228">
        <f>'1 datos preparados'!B221</f>
        <v/>
      </c>
      <c r="D228" s="7">
        <f>'1 datos preparados'!C221</f>
        <v/>
      </c>
      <c r="E228" s="7">
        <f>'1 datos preparados'!D221</f>
        <v/>
      </c>
      <c r="F228" s="7">
        <f>'1 datos preparados'!E221</f>
        <v/>
      </c>
      <c r="G228" s="7">
        <f>'1 datos preparados'!F221</f>
        <v/>
      </c>
      <c r="H228" s="7">
        <f>'1 datos preparados'!G221</f>
        <v/>
      </c>
      <c r="I228" s="7">
        <f>'1 datos preparados'!H221</f>
        <v/>
      </c>
      <c r="J228" s="7">
        <f>'1 datos preparados'!I221</f>
        <v/>
      </c>
      <c r="K228" s="7">
        <f>'1 datos preparados'!J221</f>
        <v/>
      </c>
      <c r="L228" s="7">
        <f>'1 datos preparados'!K221</f>
        <v/>
      </c>
      <c r="M228" s="7">
        <f>'1 datos preparados'!L221</f>
        <v/>
      </c>
      <c r="N228" s="7">
        <f>'1 datos preparados'!M221</f>
        <v/>
      </c>
      <c r="O228" s="7">
        <f>'1 datos preparados'!N221</f>
        <v/>
      </c>
      <c r="P228" s="7">
        <f>'1 datos preparados'!O221</f>
        <v/>
      </c>
      <c r="Q228" s="7">
        <f>'1 datos preparados'!P221</f>
        <v/>
      </c>
      <c r="R228" s="7">
        <f>'1 datos preparados'!Q221</f>
        <v/>
      </c>
      <c r="S228" s="7">
        <f>'1 datos preparados'!R221</f>
        <v/>
      </c>
      <c r="T228" s="7">
        <f>'1 datos preparados'!S221</f>
        <v/>
      </c>
      <c r="U228" s="7">
        <f>'1 datos preparados'!T221</f>
        <v/>
      </c>
      <c r="V228" s="8">
        <f>$AC$12+D228*$AC$13+E228*$AC$14+F228*$AC$15+G228*$AC$16+H228*$AC$17+I228*$AC$18+J228*$AC$19+K228*$AC$20+L228*$AC$21+M228*$AC$22+N228*$AC$23+O228*$AC$24+P228*$AC$25+Q228*$AC$26+R228*$AC$27+S228*$AC$28+T228*$AC$29+U228*$AC$30</f>
        <v/>
      </c>
      <c r="W228" s="8">
        <f>1/(1+EXP(-V228))</f>
        <v/>
      </c>
      <c r="X228" s="9">
        <f>-IF(C228=1,LN(W228),LN(1-W228))</f>
        <v/>
      </c>
      <c r="Y228" s="10">
        <f>IF(W228&gt;$AC$33,1,0)</f>
        <v/>
      </c>
      <c r="Z228">
        <f>IF(Y228=C228,1,0)</f>
        <v/>
      </c>
    </row>
    <row r="229">
      <c r="A229">
        <f>'1 datos preparados'!A222</f>
        <v/>
      </c>
      <c r="B229" s="5">
        <f>'1 datos preparados'!U222</f>
        <v/>
      </c>
      <c r="C229">
        <f>'1 datos preparados'!B222</f>
        <v/>
      </c>
      <c r="D229" s="7">
        <f>'1 datos preparados'!C222</f>
        <v/>
      </c>
      <c r="E229" s="7">
        <f>'1 datos preparados'!D222</f>
        <v/>
      </c>
      <c r="F229" s="7">
        <f>'1 datos preparados'!E222</f>
        <v/>
      </c>
      <c r="G229" s="7">
        <f>'1 datos preparados'!F222</f>
        <v/>
      </c>
      <c r="H229" s="7">
        <f>'1 datos preparados'!G222</f>
        <v/>
      </c>
      <c r="I229" s="7">
        <f>'1 datos preparados'!H222</f>
        <v/>
      </c>
      <c r="J229" s="7">
        <f>'1 datos preparados'!I222</f>
        <v/>
      </c>
      <c r="K229" s="7">
        <f>'1 datos preparados'!J222</f>
        <v/>
      </c>
      <c r="L229" s="7">
        <f>'1 datos preparados'!K222</f>
        <v/>
      </c>
      <c r="M229" s="7">
        <f>'1 datos preparados'!L222</f>
        <v/>
      </c>
      <c r="N229" s="7">
        <f>'1 datos preparados'!M222</f>
        <v/>
      </c>
      <c r="O229" s="7">
        <f>'1 datos preparados'!N222</f>
        <v/>
      </c>
      <c r="P229" s="7">
        <f>'1 datos preparados'!O222</f>
        <v/>
      </c>
      <c r="Q229" s="7">
        <f>'1 datos preparados'!P222</f>
        <v/>
      </c>
      <c r="R229" s="7">
        <f>'1 datos preparados'!Q222</f>
        <v/>
      </c>
      <c r="S229" s="7">
        <f>'1 datos preparados'!R222</f>
        <v/>
      </c>
      <c r="T229" s="7">
        <f>'1 datos preparados'!S222</f>
        <v/>
      </c>
      <c r="U229" s="7">
        <f>'1 datos preparados'!T222</f>
        <v/>
      </c>
      <c r="V229" s="8">
        <f>$AC$12+D229*$AC$13+E229*$AC$14+F229*$AC$15+G229*$AC$16+H229*$AC$17+I229*$AC$18+J229*$AC$19+K229*$AC$20+L229*$AC$21+M229*$AC$22+N229*$AC$23+O229*$AC$24+P229*$AC$25+Q229*$AC$26+R229*$AC$27+S229*$AC$28+T229*$AC$29+U229*$AC$30</f>
        <v/>
      </c>
      <c r="W229" s="8">
        <f>1/(1+EXP(-V229))</f>
        <v/>
      </c>
      <c r="X229" s="9">
        <f>-IF(C229=1,LN(W229),LN(1-W229))</f>
        <v/>
      </c>
      <c r="Y229" s="10">
        <f>IF(W229&gt;$AC$33,1,0)</f>
        <v/>
      </c>
      <c r="Z229">
        <f>IF(Y229=C229,1,0)</f>
        <v/>
      </c>
    </row>
    <row r="230">
      <c r="A230">
        <f>'1 datos preparados'!A223</f>
        <v/>
      </c>
      <c r="B230" s="5">
        <f>'1 datos preparados'!U223</f>
        <v/>
      </c>
      <c r="C230">
        <f>'1 datos preparados'!B223</f>
        <v/>
      </c>
      <c r="D230" s="7">
        <f>'1 datos preparados'!C223</f>
        <v/>
      </c>
      <c r="E230" s="7">
        <f>'1 datos preparados'!D223</f>
        <v/>
      </c>
      <c r="F230" s="7">
        <f>'1 datos preparados'!E223</f>
        <v/>
      </c>
      <c r="G230" s="7">
        <f>'1 datos preparados'!F223</f>
        <v/>
      </c>
      <c r="H230" s="7">
        <f>'1 datos preparados'!G223</f>
        <v/>
      </c>
      <c r="I230" s="7">
        <f>'1 datos preparados'!H223</f>
        <v/>
      </c>
      <c r="J230" s="7">
        <f>'1 datos preparados'!I223</f>
        <v/>
      </c>
      <c r="K230" s="7">
        <f>'1 datos preparados'!J223</f>
        <v/>
      </c>
      <c r="L230" s="7">
        <f>'1 datos preparados'!K223</f>
        <v/>
      </c>
      <c r="M230" s="7">
        <f>'1 datos preparados'!L223</f>
        <v/>
      </c>
      <c r="N230" s="7">
        <f>'1 datos preparados'!M223</f>
        <v/>
      </c>
      <c r="O230" s="7">
        <f>'1 datos preparados'!N223</f>
        <v/>
      </c>
      <c r="P230" s="7">
        <f>'1 datos preparados'!O223</f>
        <v/>
      </c>
      <c r="Q230" s="7">
        <f>'1 datos preparados'!P223</f>
        <v/>
      </c>
      <c r="R230" s="7">
        <f>'1 datos preparados'!Q223</f>
        <v/>
      </c>
      <c r="S230" s="7">
        <f>'1 datos preparados'!R223</f>
        <v/>
      </c>
      <c r="T230" s="7">
        <f>'1 datos preparados'!S223</f>
        <v/>
      </c>
      <c r="U230" s="7">
        <f>'1 datos preparados'!T223</f>
        <v/>
      </c>
      <c r="V230" s="8">
        <f>$AC$12+D230*$AC$13+E230*$AC$14+F230*$AC$15+G230*$AC$16+H230*$AC$17+I230*$AC$18+J230*$AC$19+K230*$AC$20+L230*$AC$21+M230*$AC$22+N230*$AC$23+O230*$AC$24+P230*$AC$25+Q230*$AC$26+R230*$AC$27+S230*$AC$28+T230*$AC$29+U230*$AC$30</f>
        <v/>
      </c>
      <c r="W230" s="8">
        <f>1/(1+EXP(-V230))</f>
        <v/>
      </c>
      <c r="X230" s="9">
        <f>-IF(C230=1,LN(W230),LN(1-W230))</f>
        <v/>
      </c>
      <c r="Y230" s="10">
        <f>IF(W230&gt;$AC$33,1,0)</f>
        <v/>
      </c>
      <c r="Z230">
        <f>IF(Y230=C230,1,0)</f>
        <v/>
      </c>
    </row>
    <row r="231">
      <c r="A231">
        <f>'1 datos preparados'!A224</f>
        <v/>
      </c>
      <c r="B231" s="5">
        <f>'1 datos preparados'!U224</f>
        <v/>
      </c>
      <c r="C231">
        <f>'1 datos preparados'!B224</f>
        <v/>
      </c>
      <c r="D231" s="7">
        <f>'1 datos preparados'!C224</f>
        <v/>
      </c>
      <c r="E231" s="7">
        <f>'1 datos preparados'!D224</f>
        <v/>
      </c>
      <c r="F231" s="7">
        <f>'1 datos preparados'!E224</f>
        <v/>
      </c>
      <c r="G231" s="7">
        <f>'1 datos preparados'!F224</f>
        <v/>
      </c>
      <c r="H231" s="7">
        <f>'1 datos preparados'!G224</f>
        <v/>
      </c>
      <c r="I231" s="7">
        <f>'1 datos preparados'!H224</f>
        <v/>
      </c>
      <c r="J231" s="7">
        <f>'1 datos preparados'!I224</f>
        <v/>
      </c>
      <c r="K231" s="7">
        <f>'1 datos preparados'!J224</f>
        <v/>
      </c>
      <c r="L231" s="7">
        <f>'1 datos preparados'!K224</f>
        <v/>
      </c>
      <c r="M231" s="7">
        <f>'1 datos preparados'!L224</f>
        <v/>
      </c>
      <c r="N231" s="7">
        <f>'1 datos preparados'!M224</f>
        <v/>
      </c>
      <c r="O231" s="7">
        <f>'1 datos preparados'!N224</f>
        <v/>
      </c>
      <c r="P231" s="7">
        <f>'1 datos preparados'!O224</f>
        <v/>
      </c>
      <c r="Q231" s="7">
        <f>'1 datos preparados'!P224</f>
        <v/>
      </c>
      <c r="R231" s="7">
        <f>'1 datos preparados'!Q224</f>
        <v/>
      </c>
      <c r="S231" s="7">
        <f>'1 datos preparados'!R224</f>
        <v/>
      </c>
      <c r="T231" s="7">
        <f>'1 datos preparados'!S224</f>
        <v/>
      </c>
      <c r="U231" s="7">
        <f>'1 datos preparados'!T224</f>
        <v/>
      </c>
      <c r="V231" s="8">
        <f>$AC$12+D231*$AC$13+E231*$AC$14+F231*$AC$15+G231*$AC$16+H231*$AC$17+I231*$AC$18+J231*$AC$19+K231*$AC$20+L231*$AC$21+M231*$AC$22+N231*$AC$23+O231*$AC$24+P231*$AC$25+Q231*$AC$26+R231*$AC$27+S231*$AC$28+T231*$AC$29+U231*$AC$30</f>
        <v/>
      </c>
      <c r="W231" s="8">
        <f>1/(1+EXP(-V231))</f>
        <v/>
      </c>
      <c r="X231" s="9">
        <f>-IF(C231=1,LN(W231),LN(1-W231))</f>
        <v/>
      </c>
      <c r="Y231" s="10">
        <f>IF(W231&gt;$AC$33,1,0)</f>
        <v/>
      </c>
      <c r="Z231">
        <f>IF(Y231=C231,1,0)</f>
        <v/>
      </c>
    </row>
    <row r="232">
      <c r="A232">
        <f>'1 datos preparados'!A225</f>
        <v/>
      </c>
      <c r="B232" s="5">
        <f>'1 datos preparados'!U225</f>
        <v/>
      </c>
      <c r="C232">
        <f>'1 datos preparados'!B225</f>
        <v/>
      </c>
      <c r="D232" s="7">
        <f>'1 datos preparados'!C225</f>
        <v/>
      </c>
      <c r="E232" s="7">
        <f>'1 datos preparados'!D225</f>
        <v/>
      </c>
      <c r="F232" s="7">
        <f>'1 datos preparados'!E225</f>
        <v/>
      </c>
      <c r="G232" s="7">
        <f>'1 datos preparados'!F225</f>
        <v/>
      </c>
      <c r="H232" s="7">
        <f>'1 datos preparados'!G225</f>
        <v/>
      </c>
      <c r="I232" s="7">
        <f>'1 datos preparados'!H225</f>
        <v/>
      </c>
      <c r="J232" s="7">
        <f>'1 datos preparados'!I225</f>
        <v/>
      </c>
      <c r="K232" s="7">
        <f>'1 datos preparados'!J225</f>
        <v/>
      </c>
      <c r="L232" s="7">
        <f>'1 datos preparados'!K225</f>
        <v/>
      </c>
      <c r="M232" s="7">
        <f>'1 datos preparados'!L225</f>
        <v/>
      </c>
      <c r="N232" s="7">
        <f>'1 datos preparados'!M225</f>
        <v/>
      </c>
      <c r="O232" s="7">
        <f>'1 datos preparados'!N225</f>
        <v/>
      </c>
      <c r="P232" s="7">
        <f>'1 datos preparados'!O225</f>
        <v/>
      </c>
      <c r="Q232" s="7">
        <f>'1 datos preparados'!P225</f>
        <v/>
      </c>
      <c r="R232" s="7">
        <f>'1 datos preparados'!Q225</f>
        <v/>
      </c>
      <c r="S232" s="7">
        <f>'1 datos preparados'!R225</f>
        <v/>
      </c>
      <c r="T232" s="7">
        <f>'1 datos preparados'!S225</f>
        <v/>
      </c>
      <c r="U232" s="7">
        <f>'1 datos preparados'!T225</f>
        <v/>
      </c>
      <c r="V232" s="8">
        <f>$AC$12+D232*$AC$13+E232*$AC$14+F232*$AC$15+G232*$AC$16+H232*$AC$17+I232*$AC$18+J232*$AC$19+K232*$AC$20+L232*$AC$21+M232*$AC$22+N232*$AC$23+O232*$AC$24+P232*$AC$25+Q232*$AC$26+R232*$AC$27+S232*$AC$28+T232*$AC$29+U232*$AC$30</f>
        <v/>
      </c>
      <c r="W232" s="8">
        <f>1/(1+EXP(-V232))</f>
        <v/>
      </c>
      <c r="X232" s="9">
        <f>-IF(C232=1,LN(W232),LN(1-W232))</f>
        <v/>
      </c>
      <c r="Y232" s="10">
        <f>IF(W232&gt;$AC$33,1,0)</f>
        <v/>
      </c>
      <c r="Z232">
        <f>IF(Y232=C232,1,0)</f>
        <v/>
      </c>
    </row>
    <row r="233">
      <c r="A233">
        <f>'1 datos preparados'!A226</f>
        <v/>
      </c>
      <c r="B233" s="5">
        <f>'1 datos preparados'!U226</f>
        <v/>
      </c>
      <c r="C233">
        <f>'1 datos preparados'!B226</f>
        <v/>
      </c>
      <c r="D233" s="7">
        <f>'1 datos preparados'!C226</f>
        <v/>
      </c>
      <c r="E233" s="7">
        <f>'1 datos preparados'!D226</f>
        <v/>
      </c>
      <c r="F233" s="7">
        <f>'1 datos preparados'!E226</f>
        <v/>
      </c>
      <c r="G233" s="7">
        <f>'1 datos preparados'!F226</f>
        <v/>
      </c>
      <c r="H233" s="7">
        <f>'1 datos preparados'!G226</f>
        <v/>
      </c>
      <c r="I233" s="7">
        <f>'1 datos preparados'!H226</f>
        <v/>
      </c>
      <c r="J233" s="7">
        <f>'1 datos preparados'!I226</f>
        <v/>
      </c>
      <c r="K233" s="7">
        <f>'1 datos preparados'!J226</f>
        <v/>
      </c>
      <c r="L233" s="7">
        <f>'1 datos preparados'!K226</f>
        <v/>
      </c>
      <c r="M233" s="7">
        <f>'1 datos preparados'!L226</f>
        <v/>
      </c>
      <c r="N233" s="7">
        <f>'1 datos preparados'!M226</f>
        <v/>
      </c>
      <c r="O233" s="7">
        <f>'1 datos preparados'!N226</f>
        <v/>
      </c>
      <c r="P233" s="7">
        <f>'1 datos preparados'!O226</f>
        <v/>
      </c>
      <c r="Q233" s="7">
        <f>'1 datos preparados'!P226</f>
        <v/>
      </c>
      <c r="R233" s="7">
        <f>'1 datos preparados'!Q226</f>
        <v/>
      </c>
      <c r="S233" s="7">
        <f>'1 datos preparados'!R226</f>
        <v/>
      </c>
      <c r="T233" s="7">
        <f>'1 datos preparados'!S226</f>
        <v/>
      </c>
      <c r="U233" s="7">
        <f>'1 datos preparados'!T226</f>
        <v/>
      </c>
      <c r="V233" s="8">
        <f>$AC$12+D233*$AC$13+E233*$AC$14+F233*$AC$15+G233*$AC$16+H233*$AC$17+I233*$AC$18+J233*$AC$19+K233*$AC$20+L233*$AC$21+M233*$AC$22+N233*$AC$23+O233*$AC$24+P233*$AC$25+Q233*$AC$26+R233*$AC$27+S233*$AC$28+T233*$AC$29+U233*$AC$30</f>
        <v/>
      </c>
      <c r="W233" s="8">
        <f>1/(1+EXP(-V233))</f>
        <v/>
      </c>
      <c r="X233" s="9">
        <f>-IF(C233=1,LN(W233),LN(1-W233))</f>
        <v/>
      </c>
      <c r="Y233" s="10">
        <f>IF(W233&gt;$AC$33,1,0)</f>
        <v/>
      </c>
      <c r="Z233">
        <f>IF(Y233=C233,1,0)</f>
        <v/>
      </c>
    </row>
    <row r="234">
      <c r="A234">
        <f>'1 datos preparados'!A227</f>
        <v/>
      </c>
      <c r="B234" s="5">
        <f>'1 datos preparados'!U227</f>
        <v/>
      </c>
      <c r="C234">
        <f>'1 datos preparados'!B227</f>
        <v/>
      </c>
      <c r="D234" s="7">
        <f>'1 datos preparados'!C227</f>
        <v/>
      </c>
      <c r="E234" s="7">
        <f>'1 datos preparados'!D227</f>
        <v/>
      </c>
      <c r="F234" s="7">
        <f>'1 datos preparados'!E227</f>
        <v/>
      </c>
      <c r="G234" s="7">
        <f>'1 datos preparados'!F227</f>
        <v/>
      </c>
      <c r="H234" s="7">
        <f>'1 datos preparados'!G227</f>
        <v/>
      </c>
      <c r="I234" s="7">
        <f>'1 datos preparados'!H227</f>
        <v/>
      </c>
      <c r="J234" s="7">
        <f>'1 datos preparados'!I227</f>
        <v/>
      </c>
      <c r="K234" s="7">
        <f>'1 datos preparados'!J227</f>
        <v/>
      </c>
      <c r="L234" s="7">
        <f>'1 datos preparados'!K227</f>
        <v/>
      </c>
      <c r="M234" s="7">
        <f>'1 datos preparados'!L227</f>
        <v/>
      </c>
      <c r="N234" s="7">
        <f>'1 datos preparados'!M227</f>
        <v/>
      </c>
      <c r="O234" s="7">
        <f>'1 datos preparados'!N227</f>
        <v/>
      </c>
      <c r="P234" s="7">
        <f>'1 datos preparados'!O227</f>
        <v/>
      </c>
      <c r="Q234" s="7">
        <f>'1 datos preparados'!P227</f>
        <v/>
      </c>
      <c r="R234" s="7">
        <f>'1 datos preparados'!Q227</f>
        <v/>
      </c>
      <c r="S234" s="7">
        <f>'1 datos preparados'!R227</f>
        <v/>
      </c>
      <c r="T234" s="7">
        <f>'1 datos preparados'!S227</f>
        <v/>
      </c>
      <c r="U234" s="7">
        <f>'1 datos preparados'!T227</f>
        <v/>
      </c>
      <c r="V234" s="8">
        <f>$AC$12+D234*$AC$13+E234*$AC$14+F234*$AC$15+G234*$AC$16+H234*$AC$17+I234*$AC$18+J234*$AC$19+K234*$AC$20+L234*$AC$21+M234*$AC$22+N234*$AC$23+O234*$AC$24+P234*$AC$25+Q234*$AC$26+R234*$AC$27+S234*$AC$28+T234*$AC$29+U234*$AC$30</f>
        <v/>
      </c>
      <c r="W234" s="8">
        <f>1/(1+EXP(-V234))</f>
        <v/>
      </c>
      <c r="X234" s="9">
        <f>-IF(C234=1,LN(W234),LN(1-W234))</f>
        <v/>
      </c>
      <c r="Y234" s="10">
        <f>IF(W234&gt;$AC$33,1,0)</f>
        <v/>
      </c>
      <c r="Z234">
        <f>IF(Y234=C234,1,0)</f>
        <v/>
      </c>
    </row>
    <row r="235">
      <c r="A235">
        <f>'1 datos preparados'!A228</f>
        <v/>
      </c>
      <c r="B235" s="5">
        <f>'1 datos preparados'!U228</f>
        <v/>
      </c>
      <c r="C235">
        <f>'1 datos preparados'!B228</f>
        <v/>
      </c>
      <c r="D235" s="7">
        <f>'1 datos preparados'!C228</f>
        <v/>
      </c>
      <c r="E235" s="7">
        <f>'1 datos preparados'!D228</f>
        <v/>
      </c>
      <c r="F235" s="7">
        <f>'1 datos preparados'!E228</f>
        <v/>
      </c>
      <c r="G235" s="7">
        <f>'1 datos preparados'!F228</f>
        <v/>
      </c>
      <c r="H235" s="7">
        <f>'1 datos preparados'!G228</f>
        <v/>
      </c>
      <c r="I235" s="7">
        <f>'1 datos preparados'!H228</f>
        <v/>
      </c>
      <c r="J235" s="7">
        <f>'1 datos preparados'!I228</f>
        <v/>
      </c>
      <c r="K235" s="7">
        <f>'1 datos preparados'!J228</f>
        <v/>
      </c>
      <c r="L235" s="7">
        <f>'1 datos preparados'!K228</f>
        <v/>
      </c>
      <c r="M235" s="7">
        <f>'1 datos preparados'!L228</f>
        <v/>
      </c>
      <c r="N235" s="7">
        <f>'1 datos preparados'!M228</f>
        <v/>
      </c>
      <c r="O235" s="7">
        <f>'1 datos preparados'!N228</f>
        <v/>
      </c>
      <c r="P235" s="7">
        <f>'1 datos preparados'!O228</f>
        <v/>
      </c>
      <c r="Q235" s="7">
        <f>'1 datos preparados'!P228</f>
        <v/>
      </c>
      <c r="R235" s="7">
        <f>'1 datos preparados'!Q228</f>
        <v/>
      </c>
      <c r="S235" s="7">
        <f>'1 datos preparados'!R228</f>
        <v/>
      </c>
      <c r="T235" s="7">
        <f>'1 datos preparados'!S228</f>
        <v/>
      </c>
      <c r="U235" s="7">
        <f>'1 datos preparados'!T228</f>
        <v/>
      </c>
      <c r="V235" s="8">
        <f>$AC$12+D235*$AC$13+E235*$AC$14+F235*$AC$15+G235*$AC$16+H235*$AC$17+I235*$AC$18+J235*$AC$19+K235*$AC$20+L235*$AC$21+M235*$AC$22+N235*$AC$23+O235*$AC$24+P235*$AC$25+Q235*$AC$26+R235*$AC$27+S235*$AC$28+T235*$AC$29+U235*$AC$30</f>
        <v/>
      </c>
      <c r="W235" s="8">
        <f>1/(1+EXP(-V235))</f>
        <v/>
      </c>
      <c r="X235" s="9">
        <f>-IF(C235=1,LN(W235),LN(1-W235))</f>
        <v/>
      </c>
      <c r="Y235" s="10">
        <f>IF(W235&gt;$AC$33,1,0)</f>
        <v/>
      </c>
      <c r="Z235">
        <f>IF(Y235=C235,1,0)</f>
        <v/>
      </c>
    </row>
    <row r="236">
      <c r="A236">
        <f>'1 datos preparados'!A229</f>
        <v/>
      </c>
      <c r="B236" s="5">
        <f>'1 datos preparados'!U229</f>
        <v/>
      </c>
      <c r="C236">
        <f>'1 datos preparados'!B229</f>
        <v/>
      </c>
      <c r="D236" s="7">
        <f>'1 datos preparados'!C229</f>
        <v/>
      </c>
      <c r="E236" s="7">
        <f>'1 datos preparados'!D229</f>
        <v/>
      </c>
      <c r="F236" s="7">
        <f>'1 datos preparados'!E229</f>
        <v/>
      </c>
      <c r="G236" s="7">
        <f>'1 datos preparados'!F229</f>
        <v/>
      </c>
      <c r="H236" s="7">
        <f>'1 datos preparados'!G229</f>
        <v/>
      </c>
      <c r="I236" s="7">
        <f>'1 datos preparados'!H229</f>
        <v/>
      </c>
      <c r="J236" s="7">
        <f>'1 datos preparados'!I229</f>
        <v/>
      </c>
      <c r="K236" s="7">
        <f>'1 datos preparados'!J229</f>
        <v/>
      </c>
      <c r="L236" s="7">
        <f>'1 datos preparados'!K229</f>
        <v/>
      </c>
      <c r="M236" s="7">
        <f>'1 datos preparados'!L229</f>
        <v/>
      </c>
      <c r="N236" s="7">
        <f>'1 datos preparados'!M229</f>
        <v/>
      </c>
      <c r="O236" s="7">
        <f>'1 datos preparados'!N229</f>
        <v/>
      </c>
      <c r="P236" s="7">
        <f>'1 datos preparados'!O229</f>
        <v/>
      </c>
      <c r="Q236" s="7">
        <f>'1 datos preparados'!P229</f>
        <v/>
      </c>
      <c r="R236" s="7">
        <f>'1 datos preparados'!Q229</f>
        <v/>
      </c>
      <c r="S236" s="7">
        <f>'1 datos preparados'!R229</f>
        <v/>
      </c>
      <c r="T236" s="7">
        <f>'1 datos preparados'!S229</f>
        <v/>
      </c>
      <c r="U236" s="7">
        <f>'1 datos preparados'!T229</f>
        <v/>
      </c>
      <c r="V236" s="8">
        <f>$AC$12+D236*$AC$13+E236*$AC$14+F236*$AC$15+G236*$AC$16+H236*$AC$17+I236*$AC$18+J236*$AC$19+K236*$AC$20+L236*$AC$21+M236*$AC$22+N236*$AC$23+O236*$AC$24+P236*$AC$25+Q236*$AC$26+R236*$AC$27+S236*$AC$28+T236*$AC$29+U236*$AC$30</f>
        <v/>
      </c>
      <c r="W236" s="8">
        <f>1/(1+EXP(-V236))</f>
        <v/>
      </c>
      <c r="X236" s="9">
        <f>-IF(C236=1,LN(W236),LN(1-W236))</f>
        <v/>
      </c>
      <c r="Y236" s="10">
        <f>IF(W236&gt;$AC$33,1,0)</f>
        <v/>
      </c>
      <c r="Z236">
        <f>IF(Y236=C236,1,0)</f>
        <v/>
      </c>
    </row>
    <row r="237">
      <c r="A237">
        <f>'1 datos preparados'!A230</f>
        <v/>
      </c>
      <c r="B237" s="5">
        <f>'1 datos preparados'!U230</f>
        <v/>
      </c>
      <c r="C237">
        <f>'1 datos preparados'!B230</f>
        <v/>
      </c>
      <c r="D237" s="7">
        <f>'1 datos preparados'!C230</f>
        <v/>
      </c>
      <c r="E237" s="7">
        <f>'1 datos preparados'!D230</f>
        <v/>
      </c>
      <c r="F237" s="7">
        <f>'1 datos preparados'!E230</f>
        <v/>
      </c>
      <c r="G237" s="7">
        <f>'1 datos preparados'!F230</f>
        <v/>
      </c>
      <c r="H237" s="7">
        <f>'1 datos preparados'!G230</f>
        <v/>
      </c>
      <c r="I237" s="7">
        <f>'1 datos preparados'!H230</f>
        <v/>
      </c>
      <c r="J237" s="7">
        <f>'1 datos preparados'!I230</f>
        <v/>
      </c>
      <c r="K237" s="7">
        <f>'1 datos preparados'!J230</f>
        <v/>
      </c>
      <c r="L237" s="7">
        <f>'1 datos preparados'!K230</f>
        <v/>
      </c>
      <c r="M237" s="7">
        <f>'1 datos preparados'!L230</f>
        <v/>
      </c>
      <c r="N237" s="7">
        <f>'1 datos preparados'!M230</f>
        <v/>
      </c>
      <c r="O237" s="7">
        <f>'1 datos preparados'!N230</f>
        <v/>
      </c>
      <c r="P237" s="7">
        <f>'1 datos preparados'!O230</f>
        <v/>
      </c>
      <c r="Q237" s="7">
        <f>'1 datos preparados'!P230</f>
        <v/>
      </c>
      <c r="R237" s="7">
        <f>'1 datos preparados'!Q230</f>
        <v/>
      </c>
      <c r="S237" s="7">
        <f>'1 datos preparados'!R230</f>
        <v/>
      </c>
      <c r="T237" s="7">
        <f>'1 datos preparados'!S230</f>
        <v/>
      </c>
      <c r="U237" s="7">
        <f>'1 datos preparados'!T230</f>
        <v/>
      </c>
      <c r="V237" s="8">
        <f>$AC$12+D237*$AC$13+E237*$AC$14+F237*$AC$15+G237*$AC$16+H237*$AC$17+I237*$AC$18+J237*$AC$19+K237*$AC$20+L237*$AC$21+M237*$AC$22+N237*$AC$23+O237*$AC$24+P237*$AC$25+Q237*$AC$26+R237*$AC$27+S237*$AC$28+T237*$AC$29+U237*$AC$30</f>
        <v/>
      </c>
      <c r="W237" s="8">
        <f>1/(1+EXP(-V237))</f>
        <v/>
      </c>
      <c r="X237" s="9">
        <f>-IF(C237=1,LN(W237),LN(1-W237))</f>
        <v/>
      </c>
      <c r="Y237" s="10">
        <f>IF(W237&gt;$AC$33,1,0)</f>
        <v/>
      </c>
      <c r="Z237">
        <f>IF(Y237=C237,1,0)</f>
        <v/>
      </c>
    </row>
    <row r="238">
      <c r="A238">
        <f>'1 datos preparados'!A231</f>
        <v/>
      </c>
      <c r="B238" s="5">
        <f>'1 datos preparados'!U231</f>
        <v/>
      </c>
      <c r="C238">
        <f>'1 datos preparados'!B231</f>
        <v/>
      </c>
      <c r="D238" s="7">
        <f>'1 datos preparados'!C231</f>
        <v/>
      </c>
      <c r="E238" s="7">
        <f>'1 datos preparados'!D231</f>
        <v/>
      </c>
      <c r="F238" s="7">
        <f>'1 datos preparados'!E231</f>
        <v/>
      </c>
      <c r="G238" s="7">
        <f>'1 datos preparados'!F231</f>
        <v/>
      </c>
      <c r="H238" s="7">
        <f>'1 datos preparados'!G231</f>
        <v/>
      </c>
      <c r="I238" s="7">
        <f>'1 datos preparados'!H231</f>
        <v/>
      </c>
      <c r="J238" s="7">
        <f>'1 datos preparados'!I231</f>
        <v/>
      </c>
      <c r="K238" s="7">
        <f>'1 datos preparados'!J231</f>
        <v/>
      </c>
      <c r="L238" s="7">
        <f>'1 datos preparados'!K231</f>
        <v/>
      </c>
      <c r="M238" s="7">
        <f>'1 datos preparados'!L231</f>
        <v/>
      </c>
      <c r="N238" s="7">
        <f>'1 datos preparados'!M231</f>
        <v/>
      </c>
      <c r="O238" s="7">
        <f>'1 datos preparados'!N231</f>
        <v/>
      </c>
      <c r="P238" s="7">
        <f>'1 datos preparados'!O231</f>
        <v/>
      </c>
      <c r="Q238" s="7">
        <f>'1 datos preparados'!P231</f>
        <v/>
      </c>
      <c r="R238" s="7">
        <f>'1 datos preparados'!Q231</f>
        <v/>
      </c>
      <c r="S238" s="7">
        <f>'1 datos preparados'!R231</f>
        <v/>
      </c>
      <c r="T238" s="7">
        <f>'1 datos preparados'!S231</f>
        <v/>
      </c>
      <c r="U238" s="7">
        <f>'1 datos preparados'!T231</f>
        <v/>
      </c>
      <c r="V238" s="8">
        <f>$AC$12+D238*$AC$13+E238*$AC$14+F238*$AC$15+G238*$AC$16+H238*$AC$17+I238*$AC$18+J238*$AC$19+K238*$AC$20+L238*$AC$21+M238*$AC$22+N238*$AC$23+O238*$AC$24+P238*$AC$25+Q238*$AC$26+R238*$AC$27+S238*$AC$28+T238*$AC$29+U238*$AC$30</f>
        <v/>
      </c>
      <c r="W238" s="8">
        <f>1/(1+EXP(-V238))</f>
        <v/>
      </c>
      <c r="X238" s="9">
        <f>-IF(C238=1,LN(W238),LN(1-W238))</f>
        <v/>
      </c>
      <c r="Y238" s="10">
        <f>IF(W238&gt;$AC$33,1,0)</f>
        <v/>
      </c>
      <c r="Z238">
        <f>IF(Y238=C238,1,0)</f>
        <v/>
      </c>
    </row>
    <row r="239">
      <c r="A239">
        <f>'1 datos preparados'!A232</f>
        <v/>
      </c>
      <c r="B239" s="5">
        <f>'1 datos preparados'!U232</f>
        <v/>
      </c>
      <c r="C239">
        <f>'1 datos preparados'!B232</f>
        <v/>
      </c>
      <c r="D239" s="7">
        <f>'1 datos preparados'!C232</f>
        <v/>
      </c>
      <c r="E239" s="7">
        <f>'1 datos preparados'!D232</f>
        <v/>
      </c>
      <c r="F239" s="7">
        <f>'1 datos preparados'!E232</f>
        <v/>
      </c>
      <c r="G239" s="7">
        <f>'1 datos preparados'!F232</f>
        <v/>
      </c>
      <c r="H239" s="7">
        <f>'1 datos preparados'!G232</f>
        <v/>
      </c>
      <c r="I239" s="7">
        <f>'1 datos preparados'!H232</f>
        <v/>
      </c>
      <c r="J239" s="7">
        <f>'1 datos preparados'!I232</f>
        <v/>
      </c>
      <c r="K239" s="7">
        <f>'1 datos preparados'!J232</f>
        <v/>
      </c>
      <c r="L239" s="7">
        <f>'1 datos preparados'!K232</f>
        <v/>
      </c>
      <c r="M239" s="7">
        <f>'1 datos preparados'!L232</f>
        <v/>
      </c>
      <c r="N239" s="7">
        <f>'1 datos preparados'!M232</f>
        <v/>
      </c>
      <c r="O239" s="7">
        <f>'1 datos preparados'!N232</f>
        <v/>
      </c>
      <c r="P239" s="7">
        <f>'1 datos preparados'!O232</f>
        <v/>
      </c>
      <c r="Q239" s="7">
        <f>'1 datos preparados'!P232</f>
        <v/>
      </c>
      <c r="R239" s="7">
        <f>'1 datos preparados'!Q232</f>
        <v/>
      </c>
      <c r="S239" s="7">
        <f>'1 datos preparados'!R232</f>
        <v/>
      </c>
      <c r="T239" s="7">
        <f>'1 datos preparados'!S232</f>
        <v/>
      </c>
      <c r="U239" s="7">
        <f>'1 datos preparados'!T232</f>
        <v/>
      </c>
      <c r="V239" s="8">
        <f>$AC$12+D239*$AC$13+E239*$AC$14+F239*$AC$15+G239*$AC$16+H239*$AC$17+I239*$AC$18+J239*$AC$19+K239*$AC$20+L239*$AC$21+M239*$AC$22+N239*$AC$23+O239*$AC$24+P239*$AC$25+Q239*$AC$26+R239*$AC$27+S239*$AC$28+T239*$AC$29+U239*$AC$30</f>
        <v/>
      </c>
      <c r="W239" s="8">
        <f>1/(1+EXP(-V239))</f>
        <v/>
      </c>
      <c r="X239" s="9">
        <f>-IF(C239=1,LN(W239),LN(1-W239))</f>
        <v/>
      </c>
      <c r="Y239" s="10">
        <f>IF(W239&gt;$AC$33,1,0)</f>
        <v/>
      </c>
      <c r="Z239">
        <f>IF(Y239=C239,1,0)</f>
        <v/>
      </c>
    </row>
    <row r="240">
      <c r="A240">
        <f>'1 datos preparados'!A233</f>
        <v/>
      </c>
      <c r="B240" s="5">
        <f>'1 datos preparados'!U233</f>
        <v/>
      </c>
      <c r="C240">
        <f>'1 datos preparados'!B233</f>
        <v/>
      </c>
      <c r="D240" s="7">
        <f>'1 datos preparados'!C233</f>
        <v/>
      </c>
      <c r="E240" s="7">
        <f>'1 datos preparados'!D233</f>
        <v/>
      </c>
      <c r="F240" s="7">
        <f>'1 datos preparados'!E233</f>
        <v/>
      </c>
      <c r="G240" s="7">
        <f>'1 datos preparados'!F233</f>
        <v/>
      </c>
      <c r="H240" s="7">
        <f>'1 datos preparados'!G233</f>
        <v/>
      </c>
      <c r="I240" s="7">
        <f>'1 datos preparados'!H233</f>
        <v/>
      </c>
      <c r="J240" s="7">
        <f>'1 datos preparados'!I233</f>
        <v/>
      </c>
      <c r="K240" s="7">
        <f>'1 datos preparados'!J233</f>
        <v/>
      </c>
      <c r="L240" s="7">
        <f>'1 datos preparados'!K233</f>
        <v/>
      </c>
      <c r="M240" s="7">
        <f>'1 datos preparados'!L233</f>
        <v/>
      </c>
      <c r="N240" s="7">
        <f>'1 datos preparados'!M233</f>
        <v/>
      </c>
      <c r="O240" s="7">
        <f>'1 datos preparados'!N233</f>
        <v/>
      </c>
      <c r="P240" s="7">
        <f>'1 datos preparados'!O233</f>
        <v/>
      </c>
      <c r="Q240" s="7">
        <f>'1 datos preparados'!P233</f>
        <v/>
      </c>
      <c r="R240" s="7">
        <f>'1 datos preparados'!Q233</f>
        <v/>
      </c>
      <c r="S240" s="7">
        <f>'1 datos preparados'!R233</f>
        <v/>
      </c>
      <c r="T240" s="7">
        <f>'1 datos preparados'!S233</f>
        <v/>
      </c>
      <c r="U240" s="7">
        <f>'1 datos preparados'!T233</f>
        <v/>
      </c>
      <c r="V240" s="8">
        <f>$AC$12+D240*$AC$13+E240*$AC$14+F240*$AC$15+G240*$AC$16+H240*$AC$17+I240*$AC$18+J240*$AC$19+K240*$AC$20+L240*$AC$21+M240*$AC$22+N240*$AC$23+O240*$AC$24+P240*$AC$25+Q240*$AC$26+R240*$AC$27+S240*$AC$28+T240*$AC$29+U240*$AC$30</f>
        <v/>
      </c>
      <c r="W240" s="8">
        <f>1/(1+EXP(-V240))</f>
        <v/>
      </c>
      <c r="X240" s="9">
        <f>-IF(C240=1,LN(W240),LN(1-W240))</f>
        <v/>
      </c>
      <c r="Y240" s="10">
        <f>IF(W240&gt;$AC$33,1,0)</f>
        <v/>
      </c>
      <c r="Z240">
        <f>IF(Y240=C240,1,0)</f>
        <v/>
      </c>
    </row>
    <row r="241">
      <c r="A241">
        <f>'1 datos preparados'!A234</f>
        <v/>
      </c>
      <c r="B241" s="5">
        <f>'1 datos preparados'!U234</f>
        <v/>
      </c>
      <c r="C241">
        <f>'1 datos preparados'!B234</f>
        <v/>
      </c>
      <c r="D241" s="7">
        <f>'1 datos preparados'!C234</f>
        <v/>
      </c>
      <c r="E241" s="7">
        <f>'1 datos preparados'!D234</f>
        <v/>
      </c>
      <c r="F241" s="7">
        <f>'1 datos preparados'!E234</f>
        <v/>
      </c>
      <c r="G241" s="7">
        <f>'1 datos preparados'!F234</f>
        <v/>
      </c>
      <c r="H241" s="7">
        <f>'1 datos preparados'!G234</f>
        <v/>
      </c>
      <c r="I241" s="7">
        <f>'1 datos preparados'!H234</f>
        <v/>
      </c>
      <c r="J241" s="7">
        <f>'1 datos preparados'!I234</f>
        <v/>
      </c>
      <c r="K241" s="7">
        <f>'1 datos preparados'!J234</f>
        <v/>
      </c>
      <c r="L241" s="7">
        <f>'1 datos preparados'!K234</f>
        <v/>
      </c>
      <c r="M241" s="7">
        <f>'1 datos preparados'!L234</f>
        <v/>
      </c>
      <c r="N241" s="7">
        <f>'1 datos preparados'!M234</f>
        <v/>
      </c>
      <c r="O241" s="7">
        <f>'1 datos preparados'!N234</f>
        <v/>
      </c>
      <c r="P241" s="7">
        <f>'1 datos preparados'!O234</f>
        <v/>
      </c>
      <c r="Q241" s="7">
        <f>'1 datos preparados'!P234</f>
        <v/>
      </c>
      <c r="R241" s="7">
        <f>'1 datos preparados'!Q234</f>
        <v/>
      </c>
      <c r="S241" s="7">
        <f>'1 datos preparados'!R234</f>
        <v/>
      </c>
      <c r="T241" s="7">
        <f>'1 datos preparados'!S234</f>
        <v/>
      </c>
      <c r="U241" s="7">
        <f>'1 datos preparados'!T234</f>
        <v/>
      </c>
      <c r="V241" s="8">
        <f>$AC$12+D241*$AC$13+E241*$AC$14+F241*$AC$15+G241*$AC$16+H241*$AC$17+I241*$AC$18+J241*$AC$19+K241*$AC$20+L241*$AC$21+M241*$AC$22+N241*$AC$23+O241*$AC$24+P241*$AC$25+Q241*$AC$26+R241*$AC$27+S241*$AC$28+T241*$AC$29+U241*$AC$30</f>
        <v/>
      </c>
      <c r="W241" s="8">
        <f>1/(1+EXP(-V241))</f>
        <v/>
      </c>
      <c r="X241" s="9">
        <f>-IF(C241=1,LN(W241),LN(1-W241))</f>
        <v/>
      </c>
      <c r="Y241" s="10">
        <f>IF(W241&gt;$AC$33,1,0)</f>
        <v/>
      </c>
      <c r="Z241">
        <f>IF(Y241=C241,1,0)</f>
        <v/>
      </c>
    </row>
    <row r="242">
      <c r="A242">
        <f>'1 datos preparados'!A235</f>
        <v/>
      </c>
      <c r="B242" s="5">
        <f>'1 datos preparados'!U235</f>
        <v/>
      </c>
      <c r="C242">
        <f>'1 datos preparados'!B235</f>
        <v/>
      </c>
      <c r="D242" s="7">
        <f>'1 datos preparados'!C235</f>
        <v/>
      </c>
      <c r="E242" s="7">
        <f>'1 datos preparados'!D235</f>
        <v/>
      </c>
      <c r="F242" s="7">
        <f>'1 datos preparados'!E235</f>
        <v/>
      </c>
      <c r="G242" s="7">
        <f>'1 datos preparados'!F235</f>
        <v/>
      </c>
      <c r="H242" s="7">
        <f>'1 datos preparados'!G235</f>
        <v/>
      </c>
      <c r="I242" s="7">
        <f>'1 datos preparados'!H235</f>
        <v/>
      </c>
      <c r="J242" s="7">
        <f>'1 datos preparados'!I235</f>
        <v/>
      </c>
      <c r="K242" s="7">
        <f>'1 datos preparados'!J235</f>
        <v/>
      </c>
      <c r="L242" s="7">
        <f>'1 datos preparados'!K235</f>
        <v/>
      </c>
      <c r="M242" s="7">
        <f>'1 datos preparados'!L235</f>
        <v/>
      </c>
      <c r="N242" s="7">
        <f>'1 datos preparados'!M235</f>
        <v/>
      </c>
      <c r="O242" s="7">
        <f>'1 datos preparados'!N235</f>
        <v/>
      </c>
      <c r="P242" s="7">
        <f>'1 datos preparados'!O235</f>
        <v/>
      </c>
      <c r="Q242" s="7">
        <f>'1 datos preparados'!P235</f>
        <v/>
      </c>
      <c r="R242" s="7">
        <f>'1 datos preparados'!Q235</f>
        <v/>
      </c>
      <c r="S242" s="7">
        <f>'1 datos preparados'!R235</f>
        <v/>
      </c>
      <c r="T242" s="7">
        <f>'1 datos preparados'!S235</f>
        <v/>
      </c>
      <c r="U242" s="7">
        <f>'1 datos preparados'!T235</f>
        <v/>
      </c>
      <c r="V242" s="8">
        <f>$AC$12+D242*$AC$13+E242*$AC$14+F242*$AC$15+G242*$AC$16+H242*$AC$17+I242*$AC$18+J242*$AC$19+K242*$AC$20+L242*$AC$21+M242*$AC$22+N242*$AC$23+O242*$AC$24+P242*$AC$25+Q242*$AC$26+R242*$AC$27+S242*$AC$28+T242*$AC$29+U242*$AC$30</f>
        <v/>
      </c>
      <c r="W242" s="8">
        <f>1/(1+EXP(-V242))</f>
        <v/>
      </c>
      <c r="X242" s="9">
        <f>-IF(C242=1,LN(W242),LN(1-W242))</f>
        <v/>
      </c>
      <c r="Y242" s="10">
        <f>IF(W242&gt;$AC$33,1,0)</f>
        <v/>
      </c>
      <c r="Z242">
        <f>IF(Y242=C242,1,0)</f>
        <v/>
      </c>
    </row>
    <row r="243">
      <c r="A243">
        <f>'1 datos preparados'!A236</f>
        <v/>
      </c>
      <c r="B243" s="5">
        <f>'1 datos preparados'!U236</f>
        <v/>
      </c>
      <c r="C243">
        <f>'1 datos preparados'!B236</f>
        <v/>
      </c>
      <c r="D243" s="7">
        <f>'1 datos preparados'!C236</f>
        <v/>
      </c>
      <c r="E243" s="7">
        <f>'1 datos preparados'!D236</f>
        <v/>
      </c>
      <c r="F243" s="7">
        <f>'1 datos preparados'!E236</f>
        <v/>
      </c>
      <c r="G243" s="7">
        <f>'1 datos preparados'!F236</f>
        <v/>
      </c>
      <c r="H243" s="7">
        <f>'1 datos preparados'!G236</f>
        <v/>
      </c>
      <c r="I243" s="7">
        <f>'1 datos preparados'!H236</f>
        <v/>
      </c>
      <c r="J243" s="7">
        <f>'1 datos preparados'!I236</f>
        <v/>
      </c>
      <c r="K243" s="7">
        <f>'1 datos preparados'!J236</f>
        <v/>
      </c>
      <c r="L243" s="7">
        <f>'1 datos preparados'!K236</f>
        <v/>
      </c>
      <c r="M243" s="7">
        <f>'1 datos preparados'!L236</f>
        <v/>
      </c>
      <c r="N243" s="7">
        <f>'1 datos preparados'!M236</f>
        <v/>
      </c>
      <c r="O243" s="7">
        <f>'1 datos preparados'!N236</f>
        <v/>
      </c>
      <c r="P243" s="7">
        <f>'1 datos preparados'!O236</f>
        <v/>
      </c>
      <c r="Q243" s="7">
        <f>'1 datos preparados'!P236</f>
        <v/>
      </c>
      <c r="R243" s="7">
        <f>'1 datos preparados'!Q236</f>
        <v/>
      </c>
      <c r="S243" s="7">
        <f>'1 datos preparados'!R236</f>
        <v/>
      </c>
      <c r="T243" s="7">
        <f>'1 datos preparados'!S236</f>
        <v/>
      </c>
      <c r="U243" s="7">
        <f>'1 datos preparados'!T236</f>
        <v/>
      </c>
      <c r="V243" s="8">
        <f>$AC$12+D243*$AC$13+E243*$AC$14+F243*$AC$15+G243*$AC$16+H243*$AC$17+I243*$AC$18+J243*$AC$19+K243*$AC$20+L243*$AC$21+M243*$AC$22+N243*$AC$23+O243*$AC$24+P243*$AC$25+Q243*$AC$26+R243*$AC$27+S243*$AC$28+T243*$AC$29+U243*$AC$30</f>
        <v/>
      </c>
      <c r="W243" s="8">
        <f>1/(1+EXP(-V243))</f>
        <v/>
      </c>
      <c r="X243" s="9">
        <f>-IF(C243=1,LN(W243),LN(1-W243))</f>
        <v/>
      </c>
      <c r="Y243" s="10">
        <f>IF(W243&gt;$AC$33,1,0)</f>
        <v/>
      </c>
      <c r="Z243">
        <f>IF(Y243=C243,1,0)</f>
        <v/>
      </c>
    </row>
    <row r="244">
      <c r="A244">
        <f>'1 datos preparados'!A237</f>
        <v/>
      </c>
      <c r="B244" s="5">
        <f>'1 datos preparados'!U237</f>
        <v/>
      </c>
      <c r="C244">
        <f>'1 datos preparados'!B237</f>
        <v/>
      </c>
      <c r="D244" s="7">
        <f>'1 datos preparados'!C237</f>
        <v/>
      </c>
      <c r="E244" s="7">
        <f>'1 datos preparados'!D237</f>
        <v/>
      </c>
      <c r="F244" s="7">
        <f>'1 datos preparados'!E237</f>
        <v/>
      </c>
      <c r="G244" s="7">
        <f>'1 datos preparados'!F237</f>
        <v/>
      </c>
      <c r="H244" s="7">
        <f>'1 datos preparados'!G237</f>
        <v/>
      </c>
      <c r="I244" s="7">
        <f>'1 datos preparados'!H237</f>
        <v/>
      </c>
      <c r="J244" s="7">
        <f>'1 datos preparados'!I237</f>
        <v/>
      </c>
      <c r="K244" s="7">
        <f>'1 datos preparados'!J237</f>
        <v/>
      </c>
      <c r="L244" s="7">
        <f>'1 datos preparados'!K237</f>
        <v/>
      </c>
      <c r="M244" s="7">
        <f>'1 datos preparados'!L237</f>
        <v/>
      </c>
      <c r="N244" s="7">
        <f>'1 datos preparados'!M237</f>
        <v/>
      </c>
      <c r="O244" s="7">
        <f>'1 datos preparados'!N237</f>
        <v/>
      </c>
      <c r="P244" s="7">
        <f>'1 datos preparados'!O237</f>
        <v/>
      </c>
      <c r="Q244" s="7">
        <f>'1 datos preparados'!P237</f>
        <v/>
      </c>
      <c r="R244" s="7">
        <f>'1 datos preparados'!Q237</f>
        <v/>
      </c>
      <c r="S244" s="7">
        <f>'1 datos preparados'!R237</f>
        <v/>
      </c>
      <c r="T244" s="7">
        <f>'1 datos preparados'!S237</f>
        <v/>
      </c>
      <c r="U244" s="7">
        <f>'1 datos preparados'!T237</f>
        <v/>
      </c>
      <c r="V244" s="8">
        <f>$AC$12+D244*$AC$13+E244*$AC$14+F244*$AC$15+G244*$AC$16+H244*$AC$17+I244*$AC$18+J244*$AC$19+K244*$AC$20+L244*$AC$21+M244*$AC$22+N244*$AC$23+O244*$AC$24+P244*$AC$25+Q244*$AC$26+R244*$AC$27+S244*$AC$28+T244*$AC$29+U244*$AC$30</f>
        <v/>
      </c>
      <c r="W244" s="8">
        <f>1/(1+EXP(-V244))</f>
        <v/>
      </c>
      <c r="X244" s="9">
        <f>-IF(C244=1,LN(W244),LN(1-W244))</f>
        <v/>
      </c>
      <c r="Y244" s="10">
        <f>IF(W244&gt;$AC$33,1,0)</f>
        <v/>
      </c>
      <c r="Z244">
        <f>IF(Y244=C244,1,0)</f>
        <v/>
      </c>
    </row>
    <row r="245">
      <c r="A245">
        <f>'1 datos preparados'!A238</f>
        <v/>
      </c>
      <c r="B245" s="5">
        <f>'1 datos preparados'!U238</f>
        <v/>
      </c>
      <c r="C245">
        <f>'1 datos preparados'!B238</f>
        <v/>
      </c>
      <c r="D245" s="7">
        <f>'1 datos preparados'!C238</f>
        <v/>
      </c>
      <c r="E245" s="7">
        <f>'1 datos preparados'!D238</f>
        <v/>
      </c>
      <c r="F245" s="7">
        <f>'1 datos preparados'!E238</f>
        <v/>
      </c>
      <c r="G245" s="7">
        <f>'1 datos preparados'!F238</f>
        <v/>
      </c>
      <c r="H245" s="7">
        <f>'1 datos preparados'!G238</f>
        <v/>
      </c>
      <c r="I245" s="7">
        <f>'1 datos preparados'!H238</f>
        <v/>
      </c>
      <c r="J245" s="7">
        <f>'1 datos preparados'!I238</f>
        <v/>
      </c>
      <c r="K245" s="7">
        <f>'1 datos preparados'!J238</f>
        <v/>
      </c>
      <c r="L245" s="7">
        <f>'1 datos preparados'!K238</f>
        <v/>
      </c>
      <c r="M245" s="7">
        <f>'1 datos preparados'!L238</f>
        <v/>
      </c>
      <c r="N245" s="7">
        <f>'1 datos preparados'!M238</f>
        <v/>
      </c>
      <c r="O245" s="7">
        <f>'1 datos preparados'!N238</f>
        <v/>
      </c>
      <c r="P245" s="7">
        <f>'1 datos preparados'!O238</f>
        <v/>
      </c>
      <c r="Q245" s="7">
        <f>'1 datos preparados'!P238</f>
        <v/>
      </c>
      <c r="R245" s="7">
        <f>'1 datos preparados'!Q238</f>
        <v/>
      </c>
      <c r="S245" s="7">
        <f>'1 datos preparados'!R238</f>
        <v/>
      </c>
      <c r="T245" s="7">
        <f>'1 datos preparados'!S238</f>
        <v/>
      </c>
      <c r="U245" s="7">
        <f>'1 datos preparados'!T238</f>
        <v/>
      </c>
      <c r="V245" s="8">
        <f>$AC$12+D245*$AC$13+E245*$AC$14+F245*$AC$15+G245*$AC$16+H245*$AC$17+I245*$AC$18+J245*$AC$19+K245*$AC$20+L245*$AC$21+M245*$AC$22+N245*$AC$23+O245*$AC$24+P245*$AC$25+Q245*$AC$26+R245*$AC$27+S245*$AC$28+T245*$AC$29+U245*$AC$30</f>
        <v/>
      </c>
      <c r="W245" s="8">
        <f>1/(1+EXP(-V245))</f>
        <v/>
      </c>
      <c r="X245" s="9">
        <f>-IF(C245=1,LN(W245),LN(1-W245))</f>
        <v/>
      </c>
      <c r="Y245" s="10">
        <f>IF(W245&gt;$AC$33,1,0)</f>
        <v/>
      </c>
      <c r="Z245">
        <f>IF(Y245=C245,1,0)</f>
        <v/>
      </c>
    </row>
    <row r="246">
      <c r="A246">
        <f>'1 datos preparados'!A239</f>
        <v/>
      </c>
      <c r="B246" s="5">
        <f>'1 datos preparados'!U239</f>
        <v/>
      </c>
      <c r="C246">
        <f>'1 datos preparados'!B239</f>
        <v/>
      </c>
      <c r="D246" s="7">
        <f>'1 datos preparados'!C239</f>
        <v/>
      </c>
      <c r="E246" s="7">
        <f>'1 datos preparados'!D239</f>
        <v/>
      </c>
      <c r="F246" s="7">
        <f>'1 datos preparados'!E239</f>
        <v/>
      </c>
      <c r="G246" s="7">
        <f>'1 datos preparados'!F239</f>
        <v/>
      </c>
      <c r="H246" s="7">
        <f>'1 datos preparados'!G239</f>
        <v/>
      </c>
      <c r="I246" s="7">
        <f>'1 datos preparados'!H239</f>
        <v/>
      </c>
      <c r="J246" s="7">
        <f>'1 datos preparados'!I239</f>
        <v/>
      </c>
      <c r="K246" s="7">
        <f>'1 datos preparados'!J239</f>
        <v/>
      </c>
      <c r="L246" s="7">
        <f>'1 datos preparados'!K239</f>
        <v/>
      </c>
      <c r="M246" s="7">
        <f>'1 datos preparados'!L239</f>
        <v/>
      </c>
      <c r="N246" s="7">
        <f>'1 datos preparados'!M239</f>
        <v/>
      </c>
      <c r="O246" s="7">
        <f>'1 datos preparados'!N239</f>
        <v/>
      </c>
      <c r="P246" s="7">
        <f>'1 datos preparados'!O239</f>
        <v/>
      </c>
      <c r="Q246" s="7">
        <f>'1 datos preparados'!P239</f>
        <v/>
      </c>
      <c r="R246" s="7">
        <f>'1 datos preparados'!Q239</f>
        <v/>
      </c>
      <c r="S246" s="7">
        <f>'1 datos preparados'!R239</f>
        <v/>
      </c>
      <c r="T246" s="7">
        <f>'1 datos preparados'!S239</f>
        <v/>
      </c>
      <c r="U246" s="7">
        <f>'1 datos preparados'!T239</f>
        <v/>
      </c>
      <c r="V246" s="8">
        <f>$AC$12+D246*$AC$13+E246*$AC$14+F246*$AC$15+G246*$AC$16+H246*$AC$17+I246*$AC$18+J246*$AC$19+K246*$AC$20+L246*$AC$21+M246*$AC$22+N246*$AC$23+O246*$AC$24+P246*$AC$25+Q246*$AC$26+R246*$AC$27+S246*$AC$28+T246*$AC$29+U246*$AC$30</f>
        <v/>
      </c>
      <c r="W246" s="8">
        <f>1/(1+EXP(-V246))</f>
        <v/>
      </c>
      <c r="X246" s="9">
        <f>-IF(C246=1,LN(W246),LN(1-W246))</f>
        <v/>
      </c>
      <c r="Y246" s="10">
        <f>IF(W246&gt;$AC$33,1,0)</f>
        <v/>
      </c>
      <c r="Z246">
        <f>IF(Y246=C246,1,0)</f>
        <v/>
      </c>
    </row>
    <row r="247">
      <c r="A247">
        <f>'1 datos preparados'!A240</f>
        <v/>
      </c>
      <c r="B247" s="5">
        <f>'1 datos preparados'!U240</f>
        <v/>
      </c>
      <c r="C247">
        <f>'1 datos preparados'!B240</f>
        <v/>
      </c>
      <c r="D247" s="7">
        <f>'1 datos preparados'!C240</f>
        <v/>
      </c>
      <c r="E247" s="7">
        <f>'1 datos preparados'!D240</f>
        <v/>
      </c>
      <c r="F247" s="7">
        <f>'1 datos preparados'!E240</f>
        <v/>
      </c>
      <c r="G247" s="7">
        <f>'1 datos preparados'!F240</f>
        <v/>
      </c>
      <c r="H247" s="7">
        <f>'1 datos preparados'!G240</f>
        <v/>
      </c>
      <c r="I247" s="7">
        <f>'1 datos preparados'!H240</f>
        <v/>
      </c>
      <c r="J247" s="7">
        <f>'1 datos preparados'!I240</f>
        <v/>
      </c>
      <c r="K247" s="7">
        <f>'1 datos preparados'!J240</f>
        <v/>
      </c>
      <c r="L247" s="7">
        <f>'1 datos preparados'!K240</f>
        <v/>
      </c>
      <c r="M247" s="7">
        <f>'1 datos preparados'!L240</f>
        <v/>
      </c>
      <c r="N247" s="7">
        <f>'1 datos preparados'!M240</f>
        <v/>
      </c>
      <c r="O247" s="7">
        <f>'1 datos preparados'!N240</f>
        <v/>
      </c>
      <c r="P247" s="7">
        <f>'1 datos preparados'!O240</f>
        <v/>
      </c>
      <c r="Q247" s="7">
        <f>'1 datos preparados'!P240</f>
        <v/>
      </c>
      <c r="R247" s="7">
        <f>'1 datos preparados'!Q240</f>
        <v/>
      </c>
      <c r="S247" s="7">
        <f>'1 datos preparados'!R240</f>
        <v/>
      </c>
      <c r="T247" s="7">
        <f>'1 datos preparados'!S240</f>
        <v/>
      </c>
      <c r="U247" s="7">
        <f>'1 datos preparados'!T240</f>
        <v/>
      </c>
      <c r="V247" s="8">
        <f>$AC$12+D247*$AC$13+E247*$AC$14+F247*$AC$15+G247*$AC$16+H247*$AC$17+I247*$AC$18+J247*$AC$19+K247*$AC$20+L247*$AC$21+M247*$AC$22+N247*$AC$23+O247*$AC$24+P247*$AC$25+Q247*$AC$26+R247*$AC$27+S247*$AC$28+T247*$AC$29+U247*$AC$30</f>
        <v/>
      </c>
      <c r="W247" s="8">
        <f>1/(1+EXP(-V247))</f>
        <v/>
      </c>
      <c r="X247" s="9">
        <f>-IF(C247=1,LN(W247),LN(1-W247))</f>
        <v/>
      </c>
      <c r="Y247" s="10">
        <f>IF(W247&gt;$AC$33,1,0)</f>
        <v/>
      </c>
      <c r="Z247">
        <f>IF(Y247=C247,1,0)</f>
        <v/>
      </c>
    </row>
    <row r="248">
      <c r="A248">
        <f>'1 datos preparados'!A241</f>
        <v/>
      </c>
      <c r="B248" s="5">
        <f>'1 datos preparados'!U241</f>
        <v/>
      </c>
      <c r="C248">
        <f>'1 datos preparados'!B241</f>
        <v/>
      </c>
      <c r="D248" s="7">
        <f>'1 datos preparados'!C241</f>
        <v/>
      </c>
      <c r="E248" s="7">
        <f>'1 datos preparados'!D241</f>
        <v/>
      </c>
      <c r="F248" s="7">
        <f>'1 datos preparados'!E241</f>
        <v/>
      </c>
      <c r="G248" s="7">
        <f>'1 datos preparados'!F241</f>
        <v/>
      </c>
      <c r="H248" s="7">
        <f>'1 datos preparados'!G241</f>
        <v/>
      </c>
      <c r="I248" s="7">
        <f>'1 datos preparados'!H241</f>
        <v/>
      </c>
      <c r="J248" s="7">
        <f>'1 datos preparados'!I241</f>
        <v/>
      </c>
      <c r="K248" s="7">
        <f>'1 datos preparados'!J241</f>
        <v/>
      </c>
      <c r="L248" s="7">
        <f>'1 datos preparados'!K241</f>
        <v/>
      </c>
      <c r="M248" s="7">
        <f>'1 datos preparados'!L241</f>
        <v/>
      </c>
      <c r="N248" s="7">
        <f>'1 datos preparados'!M241</f>
        <v/>
      </c>
      <c r="O248" s="7">
        <f>'1 datos preparados'!N241</f>
        <v/>
      </c>
      <c r="P248" s="7">
        <f>'1 datos preparados'!O241</f>
        <v/>
      </c>
      <c r="Q248" s="7">
        <f>'1 datos preparados'!P241</f>
        <v/>
      </c>
      <c r="R248" s="7">
        <f>'1 datos preparados'!Q241</f>
        <v/>
      </c>
      <c r="S248" s="7">
        <f>'1 datos preparados'!R241</f>
        <v/>
      </c>
      <c r="T248" s="7">
        <f>'1 datos preparados'!S241</f>
        <v/>
      </c>
      <c r="U248" s="7">
        <f>'1 datos preparados'!T241</f>
        <v/>
      </c>
      <c r="V248" s="8">
        <f>$AC$12+D248*$AC$13+E248*$AC$14+F248*$AC$15+G248*$AC$16+H248*$AC$17+I248*$AC$18+J248*$AC$19+K248*$AC$20+L248*$AC$21+M248*$AC$22+N248*$AC$23+O248*$AC$24+P248*$AC$25+Q248*$AC$26+R248*$AC$27+S248*$AC$28+T248*$AC$29+U248*$AC$30</f>
        <v/>
      </c>
      <c r="W248" s="8">
        <f>1/(1+EXP(-V248))</f>
        <v/>
      </c>
      <c r="X248" s="9">
        <f>-IF(C248=1,LN(W248),LN(1-W248))</f>
        <v/>
      </c>
      <c r="Y248" s="10">
        <f>IF(W248&gt;$AC$33,1,0)</f>
        <v/>
      </c>
      <c r="Z248">
        <f>IF(Y248=C248,1,0)</f>
        <v/>
      </c>
    </row>
    <row r="249">
      <c r="A249">
        <f>'1 datos preparados'!A242</f>
        <v/>
      </c>
      <c r="B249" s="5">
        <f>'1 datos preparados'!U242</f>
        <v/>
      </c>
      <c r="C249">
        <f>'1 datos preparados'!B242</f>
        <v/>
      </c>
      <c r="D249" s="7">
        <f>'1 datos preparados'!C242</f>
        <v/>
      </c>
      <c r="E249" s="7">
        <f>'1 datos preparados'!D242</f>
        <v/>
      </c>
      <c r="F249" s="7">
        <f>'1 datos preparados'!E242</f>
        <v/>
      </c>
      <c r="G249" s="7">
        <f>'1 datos preparados'!F242</f>
        <v/>
      </c>
      <c r="H249" s="7">
        <f>'1 datos preparados'!G242</f>
        <v/>
      </c>
      <c r="I249" s="7">
        <f>'1 datos preparados'!H242</f>
        <v/>
      </c>
      <c r="J249" s="7">
        <f>'1 datos preparados'!I242</f>
        <v/>
      </c>
      <c r="K249" s="7">
        <f>'1 datos preparados'!J242</f>
        <v/>
      </c>
      <c r="L249" s="7">
        <f>'1 datos preparados'!K242</f>
        <v/>
      </c>
      <c r="M249" s="7">
        <f>'1 datos preparados'!L242</f>
        <v/>
      </c>
      <c r="N249" s="7">
        <f>'1 datos preparados'!M242</f>
        <v/>
      </c>
      <c r="O249" s="7">
        <f>'1 datos preparados'!N242</f>
        <v/>
      </c>
      <c r="P249" s="7">
        <f>'1 datos preparados'!O242</f>
        <v/>
      </c>
      <c r="Q249" s="7">
        <f>'1 datos preparados'!P242</f>
        <v/>
      </c>
      <c r="R249" s="7">
        <f>'1 datos preparados'!Q242</f>
        <v/>
      </c>
      <c r="S249" s="7">
        <f>'1 datos preparados'!R242</f>
        <v/>
      </c>
      <c r="T249" s="7">
        <f>'1 datos preparados'!S242</f>
        <v/>
      </c>
      <c r="U249" s="7">
        <f>'1 datos preparados'!T242</f>
        <v/>
      </c>
      <c r="V249" s="8">
        <f>$AC$12+D249*$AC$13+E249*$AC$14+F249*$AC$15+G249*$AC$16+H249*$AC$17+I249*$AC$18+J249*$AC$19+K249*$AC$20+L249*$AC$21+M249*$AC$22+N249*$AC$23+O249*$AC$24+P249*$AC$25+Q249*$AC$26+R249*$AC$27+S249*$AC$28+T249*$AC$29+U249*$AC$30</f>
        <v/>
      </c>
      <c r="W249" s="8">
        <f>1/(1+EXP(-V249))</f>
        <v/>
      </c>
      <c r="X249" s="9">
        <f>-IF(C249=1,LN(W249),LN(1-W249))</f>
        <v/>
      </c>
      <c r="Y249" s="10">
        <f>IF(W249&gt;$AC$33,1,0)</f>
        <v/>
      </c>
      <c r="Z249">
        <f>IF(Y249=C249,1,0)</f>
        <v/>
      </c>
    </row>
    <row r="250">
      <c r="A250">
        <f>'1 datos preparados'!A243</f>
        <v/>
      </c>
      <c r="B250" s="5">
        <f>'1 datos preparados'!U243</f>
        <v/>
      </c>
      <c r="C250">
        <f>'1 datos preparados'!B243</f>
        <v/>
      </c>
      <c r="D250" s="7">
        <f>'1 datos preparados'!C243</f>
        <v/>
      </c>
      <c r="E250" s="7">
        <f>'1 datos preparados'!D243</f>
        <v/>
      </c>
      <c r="F250" s="7">
        <f>'1 datos preparados'!E243</f>
        <v/>
      </c>
      <c r="G250" s="7">
        <f>'1 datos preparados'!F243</f>
        <v/>
      </c>
      <c r="H250" s="7">
        <f>'1 datos preparados'!G243</f>
        <v/>
      </c>
      <c r="I250" s="7">
        <f>'1 datos preparados'!H243</f>
        <v/>
      </c>
      <c r="J250" s="7">
        <f>'1 datos preparados'!I243</f>
        <v/>
      </c>
      <c r="K250" s="7">
        <f>'1 datos preparados'!J243</f>
        <v/>
      </c>
      <c r="L250" s="7">
        <f>'1 datos preparados'!K243</f>
        <v/>
      </c>
      <c r="M250" s="7">
        <f>'1 datos preparados'!L243</f>
        <v/>
      </c>
      <c r="N250" s="7">
        <f>'1 datos preparados'!M243</f>
        <v/>
      </c>
      <c r="O250" s="7">
        <f>'1 datos preparados'!N243</f>
        <v/>
      </c>
      <c r="P250" s="7">
        <f>'1 datos preparados'!O243</f>
        <v/>
      </c>
      <c r="Q250" s="7">
        <f>'1 datos preparados'!P243</f>
        <v/>
      </c>
      <c r="R250" s="7">
        <f>'1 datos preparados'!Q243</f>
        <v/>
      </c>
      <c r="S250" s="7">
        <f>'1 datos preparados'!R243</f>
        <v/>
      </c>
      <c r="T250" s="7">
        <f>'1 datos preparados'!S243</f>
        <v/>
      </c>
      <c r="U250" s="7">
        <f>'1 datos preparados'!T243</f>
        <v/>
      </c>
      <c r="V250" s="8">
        <f>$AC$12+D250*$AC$13+E250*$AC$14+F250*$AC$15+G250*$AC$16+H250*$AC$17+I250*$AC$18+J250*$AC$19+K250*$AC$20+L250*$AC$21+M250*$AC$22+N250*$AC$23+O250*$AC$24+P250*$AC$25+Q250*$AC$26+R250*$AC$27+S250*$AC$28+T250*$AC$29+U250*$AC$30</f>
        <v/>
      </c>
      <c r="W250" s="8">
        <f>1/(1+EXP(-V250))</f>
        <v/>
      </c>
      <c r="X250" s="9">
        <f>-IF(C250=1,LN(W250),LN(1-W250))</f>
        <v/>
      </c>
      <c r="Y250" s="10">
        <f>IF(W250&gt;$AC$33,1,0)</f>
        <v/>
      </c>
      <c r="Z250">
        <f>IF(Y250=C250,1,0)</f>
        <v/>
      </c>
    </row>
    <row r="251">
      <c r="A251">
        <f>'1 datos preparados'!A244</f>
        <v/>
      </c>
      <c r="B251" s="5">
        <f>'1 datos preparados'!U244</f>
        <v/>
      </c>
      <c r="C251">
        <f>'1 datos preparados'!B244</f>
        <v/>
      </c>
      <c r="D251" s="7">
        <f>'1 datos preparados'!C244</f>
        <v/>
      </c>
      <c r="E251" s="7">
        <f>'1 datos preparados'!D244</f>
        <v/>
      </c>
      <c r="F251" s="7">
        <f>'1 datos preparados'!E244</f>
        <v/>
      </c>
      <c r="G251" s="7">
        <f>'1 datos preparados'!F244</f>
        <v/>
      </c>
      <c r="H251" s="7">
        <f>'1 datos preparados'!G244</f>
        <v/>
      </c>
      <c r="I251" s="7">
        <f>'1 datos preparados'!H244</f>
        <v/>
      </c>
      <c r="J251" s="7">
        <f>'1 datos preparados'!I244</f>
        <v/>
      </c>
      <c r="K251" s="7">
        <f>'1 datos preparados'!J244</f>
        <v/>
      </c>
      <c r="L251" s="7">
        <f>'1 datos preparados'!K244</f>
        <v/>
      </c>
      <c r="M251" s="7">
        <f>'1 datos preparados'!L244</f>
        <v/>
      </c>
      <c r="N251" s="7">
        <f>'1 datos preparados'!M244</f>
        <v/>
      </c>
      <c r="O251" s="7">
        <f>'1 datos preparados'!N244</f>
        <v/>
      </c>
      <c r="P251" s="7">
        <f>'1 datos preparados'!O244</f>
        <v/>
      </c>
      <c r="Q251" s="7">
        <f>'1 datos preparados'!P244</f>
        <v/>
      </c>
      <c r="R251" s="7">
        <f>'1 datos preparados'!Q244</f>
        <v/>
      </c>
      <c r="S251" s="7">
        <f>'1 datos preparados'!R244</f>
        <v/>
      </c>
      <c r="T251" s="7">
        <f>'1 datos preparados'!S244</f>
        <v/>
      </c>
      <c r="U251" s="7">
        <f>'1 datos preparados'!T244</f>
        <v/>
      </c>
      <c r="V251" s="8">
        <f>$AC$12+D251*$AC$13+E251*$AC$14+F251*$AC$15+G251*$AC$16+H251*$AC$17+I251*$AC$18+J251*$AC$19+K251*$AC$20+L251*$AC$21+M251*$AC$22+N251*$AC$23+O251*$AC$24+P251*$AC$25+Q251*$AC$26+R251*$AC$27+S251*$AC$28+T251*$AC$29+U251*$AC$30</f>
        <v/>
      </c>
      <c r="W251" s="8">
        <f>1/(1+EXP(-V251))</f>
        <v/>
      </c>
      <c r="X251" s="9">
        <f>-IF(C251=1,LN(W251),LN(1-W251))</f>
        <v/>
      </c>
      <c r="Y251" s="10">
        <f>IF(W251&gt;$AC$33,1,0)</f>
        <v/>
      </c>
      <c r="Z251">
        <f>IF(Y251=C251,1,0)</f>
        <v/>
      </c>
    </row>
    <row r="252">
      <c r="A252">
        <f>'1 datos preparados'!A245</f>
        <v/>
      </c>
      <c r="B252" s="5">
        <f>'1 datos preparados'!U245</f>
        <v/>
      </c>
      <c r="C252">
        <f>'1 datos preparados'!B245</f>
        <v/>
      </c>
      <c r="D252" s="7">
        <f>'1 datos preparados'!C245</f>
        <v/>
      </c>
      <c r="E252" s="7">
        <f>'1 datos preparados'!D245</f>
        <v/>
      </c>
      <c r="F252" s="7">
        <f>'1 datos preparados'!E245</f>
        <v/>
      </c>
      <c r="G252" s="7">
        <f>'1 datos preparados'!F245</f>
        <v/>
      </c>
      <c r="H252" s="7">
        <f>'1 datos preparados'!G245</f>
        <v/>
      </c>
      <c r="I252" s="7">
        <f>'1 datos preparados'!H245</f>
        <v/>
      </c>
      <c r="J252" s="7">
        <f>'1 datos preparados'!I245</f>
        <v/>
      </c>
      <c r="K252" s="7">
        <f>'1 datos preparados'!J245</f>
        <v/>
      </c>
      <c r="L252" s="7">
        <f>'1 datos preparados'!K245</f>
        <v/>
      </c>
      <c r="M252" s="7">
        <f>'1 datos preparados'!L245</f>
        <v/>
      </c>
      <c r="N252" s="7">
        <f>'1 datos preparados'!M245</f>
        <v/>
      </c>
      <c r="O252" s="7">
        <f>'1 datos preparados'!N245</f>
        <v/>
      </c>
      <c r="P252" s="7">
        <f>'1 datos preparados'!O245</f>
        <v/>
      </c>
      <c r="Q252" s="7">
        <f>'1 datos preparados'!P245</f>
        <v/>
      </c>
      <c r="R252" s="7">
        <f>'1 datos preparados'!Q245</f>
        <v/>
      </c>
      <c r="S252" s="7">
        <f>'1 datos preparados'!R245</f>
        <v/>
      </c>
      <c r="T252" s="7">
        <f>'1 datos preparados'!S245</f>
        <v/>
      </c>
      <c r="U252" s="7">
        <f>'1 datos preparados'!T245</f>
        <v/>
      </c>
      <c r="V252" s="8">
        <f>$AC$12+D252*$AC$13+E252*$AC$14+F252*$AC$15+G252*$AC$16+H252*$AC$17+I252*$AC$18+J252*$AC$19+K252*$AC$20+L252*$AC$21+M252*$AC$22+N252*$AC$23+O252*$AC$24+P252*$AC$25+Q252*$AC$26+R252*$AC$27+S252*$AC$28+T252*$AC$29+U252*$AC$30</f>
        <v/>
      </c>
      <c r="W252" s="8">
        <f>1/(1+EXP(-V252))</f>
        <v/>
      </c>
      <c r="X252" s="9">
        <f>-IF(C252=1,LN(W252),LN(1-W252))</f>
        <v/>
      </c>
      <c r="Y252" s="10">
        <f>IF(W252&gt;$AC$33,1,0)</f>
        <v/>
      </c>
      <c r="Z252">
        <f>IF(Y252=C252,1,0)</f>
        <v/>
      </c>
    </row>
    <row r="253">
      <c r="A253">
        <f>'1 datos preparados'!A246</f>
        <v/>
      </c>
      <c r="B253" s="5">
        <f>'1 datos preparados'!U246</f>
        <v/>
      </c>
      <c r="C253">
        <f>'1 datos preparados'!B246</f>
        <v/>
      </c>
      <c r="D253" s="7">
        <f>'1 datos preparados'!C246</f>
        <v/>
      </c>
      <c r="E253" s="7">
        <f>'1 datos preparados'!D246</f>
        <v/>
      </c>
      <c r="F253" s="7">
        <f>'1 datos preparados'!E246</f>
        <v/>
      </c>
      <c r="G253" s="7">
        <f>'1 datos preparados'!F246</f>
        <v/>
      </c>
      <c r="H253" s="7">
        <f>'1 datos preparados'!G246</f>
        <v/>
      </c>
      <c r="I253" s="7">
        <f>'1 datos preparados'!H246</f>
        <v/>
      </c>
      <c r="J253" s="7">
        <f>'1 datos preparados'!I246</f>
        <v/>
      </c>
      <c r="K253" s="7">
        <f>'1 datos preparados'!J246</f>
        <v/>
      </c>
      <c r="L253" s="7">
        <f>'1 datos preparados'!K246</f>
        <v/>
      </c>
      <c r="M253" s="7">
        <f>'1 datos preparados'!L246</f>
        <v/>
      </c>
      <c r="N253" s="7">
        <f>'1 datos preparados'!M246</f>
        <v/>
      </c>
      <c r="O253" s="7">
        <f>'1 datos preparados'!N246</f>
        <v/>
      </c>
      <c r="P253" s="7">
        <f>'1 datos preparados'!O246</f>
        <v/>
      </c>
      <c r="Q253" s="7">
        <f>'1 datos preparados'!P246</f>
        <v/>
      </c>
      <c r="R253" s="7">
        <f>'1 datos preparados'!Q246</f>
        <v/>
      </c>
      <c r="S253" s="7">
        <f>'1 datos preparados'!R246</f>
        <v/>
      </c>
      <c r="T253" s="7">
        <f>'1 datos preparados'!S246</f>
        <v/>
      </c>
      <c r="U253" s="7">
        <f>'1 datos preparados'!T246</f>
        <v/>
      </c>
      <c r="V253" s="8">
        <f>$AC$12+D253*$AC$13+E253*$AC$14+F253*$AC$15+G253*$AC$16+H253*$AC$17+I253*$AC$18+J253*$AC$19+K253*$AC$20+L253*$AC$21+M253*$AC$22+N253*$AC$23+O253*$AC$24+P253*$AC$25+Q253*$AC$26+R253*$AC$27+S253*$AC$28+T253*$AC$29+U253*$AC$30</f>
        <v/>
      </c>
      <c r="W253" s="8">
        <f>1/(1+EXP(-V253))</f>
        <v/>
      </c>
      <c r="X253" s="9">
        <f>-IF(C253=1,LN(W253),LN(1-W253))</f>
        <v/>
      </c>
      <c r="Y253" s="10">
        <f>IF(W253&gt;$AC$33,1,0)</f>
        <v/>
      </c>
      <c r="Z253">
        <f>IF(Y253=C253,1,0)</f>
        <v/>
      </c>
    </row>
    <row r="254">
      <c r="A254">
        <f>'1 datos preparados'!A247</f>
        <v/>
      </c>
      <c r="B254" s="5">
        <f>'1 datos preparados'!U247</f>
        <v/>
      </c>
      <c r="C254">
        <f>'1 datos preparados'!B247</f>
        <v/>
      </c>
      <c r="D254" s="7">
        <f>'1 datos preparados'!C247</f>
        <v/>
      </c>
      <c r="E254" s="7">
        <f>'1 datos preparados'!D247</f>
        <v/>
      </c>
      <c r="F254" s="7">
        <f>'1 datos preparados'!E247</f>
        <v/>
      </c>
      <c r="G254" s="7">
        <f>'1 datos preparados'!F247</f>
        <v/>
      </c>
      <c r="H254" s="7">
        <f>'1 datos preparados'!G247</f>
        <v/>
      </c>
      <c r="I254" s="7">
        <f>'1 datos preparados'!H247</f>
        <v/>
      </c>
      <c r="J254" s="7">
        <f>'1 datos preparados'!I247</f>
        <v/>
      </c>
      <c r="K254" s="7">
        <f>'1 datos preparados'!J247</f>
        <v/>
      </c>
      <c r="L254" s="7">
        <f>'1 datos preparados'!K247</f>
        <v/>
      </c>
      <c r="M254" s="7">
        <f>'1 datos preparados'!L247</f>
        <v/>
      </c>
      <c r="N254" s="7">
        <f>'1 datos preparados'!M247</f>
        <v/>
      </c>
      <c r="O254" s="7">
        <f>'1 datos preparados'!N247</f>
        <v/>
      </c>
      <c r="P254" s="7">
        <f>'1 datos preparados'!O247</f>
        <v/>
      </c>
      <c r="Q254" s="7">
        <f>'1 datos preparados'!P247</f>
        <v/>
      </c>
      <c r="R254" s="7">
        <f>'1 datos preparados'!Q247</f>
        <v/>
      </c>
      <c r="S254" s="7">
        <f>'1 datos preparados'!R247</f>
        <v/>
      </c>
      <c r="T254" s="7">
        <f>'1 datos preparados'!S247</f>
        <v/>
      </c>
      <c r="U254" s="7">
        <f>'1 datos preparados'!T247</f>
        <v/>
      </c>
      <c r="V254" s="8">
        <f>$AC$12+D254*$AC$13+E254*$AC$14+F254*$AC$15+G254*$AC$16+H254*$AC$17+I254*$AC$18+J254*$AC$19+K254*$AC$20+L254*$AC$21+M254*$AC$22+N254*$AC$23+O254*$AC$24+P254*$AC$25+Q254*$AC$26+R254*$AC$27+S254*$AC$28+T254*$AC$29+U254*$AC$30</f>
        <v/>
      </c>
      <c r="W254" s="8">
        <f>1/(1+EXP(-V254))</f>
        <v/>
      </c>
      <c r="X254" s="9">
        <f>-IF(C254=1,LN(W254),LN(1-W254))</f>
        <v/>
      </c>
      <c r="Y254" s="10">
        <f>IF(W254&gt;$AC$33,1,0)</f>
        <v/>
      </c>
      <c r="Z254">
        <f>IF(Y254=C254,1,0)</f>
        <v/>
      </c>
    </row>
    <row r="255">
      <c r="A255">
        <f>'1 datos preparados'!A248</f>
        <v/>
      </c>
      <c r="B255" s="5">
        <f>'1 datos preparados'!U248</f>
        <v/>
      </c>
      <c r="C255">
        <f>'1 datos preparados'!B248</f>
        <v/>
      </c>
      <c r="D255" s="7">
        <f>'1 datos preparados'!C248</f>
        <v/>
      </c>
      <c r="E255" s="7">
        <f>'1 datos preparados'!D248</f>
        <v/>
      </c>
      <c r="F255" s="7">
        <f>'1 datos preparados'!E248</f>
        <v/>
      </c>
      <c r="G255" s="7">
        <f>'1 datos preparados'!F248</f>
        <v/>
      </c>
      <c r="H255" s="7">
        <f>'1 datos preparados'!G248</f>
        <v/>
      </c>
      <c r="I255" s="7">
        <f>'1 datos preparados'!H248</f>
        <v/>
      </c>
      <c r="J255" s="7">
        <f>'1 datos preparados'!I248</f>
        <v/>
      </c>
      <c r="K255" s="7">
        <f>'1 datos preparados'!J248</f>
        <v/>
      </c>
      <c r="L255" s="7">
        <f>'1 datos preparados'!K248</f>
        <v/>
      </c>
      <c r="M255" s="7">
        <f>'1 datos preparados'!L248</f>
        <v/>
      </c>
      <c r="N255" s="7">
        <f>'1 datos preparados'!M248</f>
        <v/>
      </c>
      <c r="O255" s="7">
        <f>'1 datos preparados'!N248</f>
        <v/>
      </c>
      <c r="P255" s="7">
        <f>'1 datos preparados'!O248</f>
        <v/>
      </c>
      <c r="Q255" s="7">
        <f>'1 datos preparados'!P248</f>
        <v/>
      </c>
      <c r="R255" s="7">
        <f>'1 datos preparados'!Q248</f>
        <v/>
      </c>
      <c r="S255" s="7">
        <f>'1 datos preparados'!R248</f>
        <v/>
      </c>
      <c r="T255" s="7">
        <f>'1 datos preparados'!S248</f>
        <v/>
      </c>
      <c r="U255" s="7">
        <f>'1 datos preparados'!T248</f>
        <v/>
      </c>
      <c r="V255" s="8">
        <f>$AC$12+D255*$AC$13+E255*$AC$14+F255*$AC$15+G255*$AC$16+H255*$AC$17+I255*$AC$18+J255*$AC$19+K255*$AC$20+L255*$AC$21+M255*$AC$22+N255*$AC$23+O255*$AC$24+P255*$AC$25+Q255*$AC$26+R255*$AC$27+S255*$AC$28+T255*$AC$29+U255*$AC$30</f>
        <v/>
      </c>
      <c r="W255" s="8">
        <f>1/(1+EXP(-V255))</f>
        <v/>
      </c>
      <c r="X255" s="9">
        <f>-IF(C255=1,LN(W255),LN(1-W255))</f>
        <v/>
      </c>
      <c r="Y255" s="10">
        <f>IF(W255&gt;$AC$33,1,0)</f>
        <v/>
      </c>
      <c r="Z255">
        <f>IF(Y255=C255,1,0)</f>
        <v/>
      </c>
    </row>
    <row r="256">
      <c r="A256">
        <f>'1 datos preparados'!A249</f>
        <v/>
      </c>
      <c r="B256" s="5">
        <f>'1 datos preparados'!U249</f>
        <v/>
      </c>
      <c r="C256">
        <f>'1 datos preparados'!B249</f>
        <v/>
      </c>
      <c r="D256" s="7">
        <f>'1 datos preparados'!C249</f>
        <v/>
      </c>
      <c r="E256" s="7">
        <f>'1 datos preparados'!D249</f>
        <v/>
      </c>
      <c r="F256" s="7">
        <f>'1 datos preparados'!E249</f>
        <v/>
      </c>
      <c r="G256" s="7">
        <f>'1 datos preparados'!F249</f>
        <v/>
      </c>
      <c r="H256" s="7">
        <f>'1 datos preparados'!G249</f>
        <v/>
      </c>
      <c r="I256" s="7">
        <f>'1 datos preparados'!H249</f>
        <v/>
      </c>
      <c r="J256" s="7">
        <f>'1 datos preparados'!I249</f>
        <v/>
      </c>
      <c r="K256" s="7">
        <f>'1 datos preparados'!J249</f>
        <v/>
      </c>
      <c r="L256" s="7">
        <f>'1 datos preparados'!K249</f>
        <v/>
      </c>
      <c r="M256" s="7">
        <f>'1 datos preparados'!L249</f>
        <v/>
      </c>
      <c r="N256" s="7">
        <f>'1 datos preparados'!M249</f>
        <v/>
      </c>
      <c r="O256" s="7">
        <f>'1 datos preparados'!N249</f>
        <v/>
      </c>
      <c r="P256" s="7">
        <f>'1 datos preparados'!O249</f>
        <v/>
      </c>
      <c r="Q256" s="7">
        <f>'1 datos preparados'!P249</f>
        <v/>
      </c>
      <c r="R256" s="7">
        <f>'1 datos preparados'!Q249</f>
        <v/>
      </c>
      <c r="S256" s="7">
        <f>'1 datos preparados'!R249</f>
        <v/>
      </c>
      <c r="T256" s="7">
        <f>'1 datos preparados'!S249</f>
        <v/>
      </c>
      <c r="U256" s="7">
        <f>'1 datos preparados'!T249</f>
        <v/>
      </c>
      <c r="V256" s="8">
        <f>$AC$12+D256*$AC$13+E256*$AC$14+F256*$AC$15+G256*$AC$16+H256*$AC$17+I256*$AC$18+J256*$AC$19+K256*$AC$20+L256*$AC$21+M256*$AC$22+N256*$AC$23+O256*$AC$24+P256*$AC$25+Q256*$AC$26+R256*$AC$27+S256*$AC$28+T256*$AC$29+U256*$AC$30</f>
        <v/>
      </c>
      <c r="W256" s="8">
        <f>1/(1+EXP(-V256))</f>
        <v/>
      </c>
      <c r="X256" s="9">
        <f>-IF(C256=1,LN(W256),LN(1-W256))</f>
        <v/>
      </c>
      <c r="Y256" s="10">
        <f>IF(W256&gt;$AC$33,1,0)</f>
        <v/>
      </c>
      <c r="Z256">
        <f>IF(Y256=C256,1,0)</f>
        <v/>
      </c>
    </row>
    <row r="257">
      <c r="A257">
        <f>'1 datos preparados'!A250</f>
        <v/>
      </c>
      <c r="B257" s="5">
        <f>'1 datos preparados'!U250</f>
        <v/>
      </c>
      <c r="C257">
        <f>'1 datos preparados'!B250</f>
        <v/>
      </c>
      <c r="D257" s="7">
        <f>'1 datos preparados'!C250</f>
        <v/>
      </c>
      <c r="E257" s="7">
        <f>'1 datos preparados'!D250</f>
        <v/>
      </c>
      <c r="F257" s="7">
        <f>'1 datos preparados'!E250</f>
        <v/>
      </c>
      <c r="G257" s="7">
        <f>'1 datos preparados'!F250</f>
        <v/>
      </c>
      <c r="H257" s="7">
        <f>'1 datos preparados'!G250</f>
        <v/>
      </c>
      <c r="I257" s="7">
        <f>'1 datos preparados'!H250</f>
        <v/>
      </c>
      <c r="J257" s="7">
        <f>'1 datos preparados'!I250</f>
        <v/>
      </c>
      <c r="K257" s="7">
        <f>'1 datos preparados'!J250</f>
        <v/>
      </c>
      <c r="L257" s="7">
        <f>'1 datos preparados'!K250</f>
        <v/>
      </c>
      <c r="M257" s="7">
        <f>'1 datos preparados'!L250</f>
        <v/>
      </c>
      <c r="N257" s="7">
        <f>'1 datos preparados'!M250</f>
        <v/>
      </c>
      <c r="O257" s="7">
        <f>'1 datos preparados'!N250</f>
        <v/>
      </c>
      <c r="P257" s="7">
        <f>'1 datos preparados'!O250</f>
        <v/>
      </c>
      <c r="Q257" s="7">
        <f>'1 datos preparados'!P250</f>
        <v/>
      </c>
      <c r="R257" s="7">
        <f>'1 datos preparados'!Q250</f>
        <v/>
      </c>
      <c r="S257" s="7">
        <f>'1 datos preparados'!R250</f>
        <v/>
      </c>
      <c r="T257" s="7">
        <f>'1 datos preparados'!S250</f>
        <v/>
      </c>
      <c r="U257" s="7">
        <f>'1 datos preparados'!T250</f>
        <v/>
      </c>
      <c r="V257" s="8">
        <f>$AC$12+D257*$AC$13+E257*$AC$14+F257*$AC$15+G257*$AC$16+H257*$AC$17+I257*$AC$18+J257*$AC$19+K257*$AC$20+L257*$AC$21+M257*$AC$22+N257*$AC$23+O257*$AC$24+P257*$AC$25+Q257*$AC$26+R257*$AC$27+S257*$AC$28+T257*$AC$29+U257*$AC$30</f>
        <v/>
      </c>
      <c r="W257" s="8">
        <f>1/(1+EXP(-V257))</f>
        <v/>
      </c>
      <c r="X257" s="9">
        <f>-IF(C257=1,LN(W257),LN(1-W257))</f>
        <v/>
      </c>
      <c r="Y257" s="10">
        <f>IF(W257&gt;$AC$33,1,0)</f>
        <v/>
      </c>
      <c r="Z257">
        <f>IF(Y257=C257,1,0)</f>
        <v/>
      </c>
    </row>
    <row r="258">
      <c r="A258">
        <f>'1 datos preparados'!A251</f>
        <v/>
      </c>
      <c r="B258" s="5">
        <f>'1 datos preparados'!U251</f>
        <v/>
      </c>
      <c r="C258">
        <f>'1 datos preparados'!B251</f>
        <v/>
      </c>
      <c r="D258" s="7">
        <f>'1 datos preparados'!C251</f>
        <v/>
      </c>
      <c r="E258" s="7">
        <f>'1 datos preparados'!D251</f>
        <v/>
      </c>
      <c r="F258" s="7">
        <f>'1 datos preparados'!E251</f>
        <v/>
      </c>
      <c r="G258" s="7">
        <f>'1 datos preparados'!F251</f>
        <v/>
      </c>
      <c r="H258" s="7">
        <f>'1 datos preparados'!G251</f>
        <v/>
      </c>
      <c r="I258" s="7">
        <f>'1 datos preparados'!H251</f>
        <v/>
      </c>
      <c r="J258" s="7">
        <f>'1 datos preparados'!I251</f>
        <v/>
      </c>
      <c r="K258" s="7">
        <f>'1 datos preparados'!J251</f>
        <v/>
      </c>
      <c r="L258" s="7">
        <f>'1 datos preparados'!K251</f>
        <v/>
      </c>
      <c r="M258" s="7">
        <f>'1 datos preparados'!L251</f>
        <v/>
      </c>
      <c r="N258" s="7">
        <f>'1 datos preparados'!M251</f>
        <v/>
      </c>
      <c r="O258" s="7">
        <f>'1 datos preparados'!N251</f>
        <v/>
      </c>
      <c r="P258" s="7">
        <f>'1 datos preparados'!O251</f>
        <v/>
      </c>
      <c r="Q258" s="7">
        <f>'1 datos preparados'!P251</f>
        <v/>
      </c>
      <c r="R258" s="7">
        <f>'1 datos preparados'!Q251</f>
        <v/>
      </c>
      <c r="S258" s="7">
        <f>'1 datos preparados'!R251</f>
        <v/>
      </c>
      <c r="T258" s="7">
        <f>'1 datos preparados'!S251</f>
        <v/>
      </c>
      <c r="U258" s="7">
        <f>'1 datos preparados'!T251</f>
        <v/>
      </c>
      <c r="V258" s="8">
        <f>$AC$12+D258*$AC$13+E258*$AC$14+F258*$AC$15+G258*$AC$16+H258*$AC$17+I258*$AC$18+J258*$AC$19+K258*$AC$20+L258*$AC$21+M258*$AC$22+N258*$AC$23+O258*$AC$24+P258*$AC$25+Q258*$AC$26+R258*$AC$27+S258*$AC$28+T258*$AC$29+U258*$AC$30</f>
        <v/>
      </c>
      <c r="W258" s="8">
        <f>1/(1+EXP(-V258))</f>
        <v/>
      </c>
      <c r="X258" s="9">
        <f>-IF(C258=1,LN(W258),LN(1-W258))</f>
        <v/>
      </c>
      <c r="Y258" s="10">
        <f>IF(W258&gt;$AC$33,1,0)</f>
        <v/>
      </c>
      <c r="Z258">
        <f>IF(Y258=C258,1,0)</f>
        <v/>
      </c>
    </row>
    <row r="259">
      <c r="A259">
        <f>'1 datos preparados'!A252</f>
        <v/>
      </c>
      <c r="B259" s="5">
        <f>'1 datos preparados'!U252</f>
        <v/>
      </c>
      <c r="C259">
        <f>'1 datos preparados'!B252</f>
        <v/>
      </c>
      <c r="D259" s="7">
        <f>'1 datos preparados'!C252</f>
        <v/>
      </c>
      <c r="E259" s="7">
        <f>'1 datos preparados'!D252</f>
        <v/>
      </c>
      <c r="F259" s="7">
        <f>'1 datos preparados'!E252</f>
        <v/>
      </c>
      <c r="G259" s="7">
        <f>'1 datos preparados'!F252</f>
        <v/>
      </c>
      <c r="H259" s="7">
        <f>'1 datos preparados'!G252</f>
        <v/>
      </c>
      <c r="I259" s="7">
        <f>'1 datos preparados'!H252</f>
        <v/>
      </c>
      <c r="J259" s="7">
        <f>'1 datos preparados'!I252</f>
        <v/>
      </c>
      <c r="K259" s="7">
        <f>'1 datos preparados'!J252</f>
        <v/>
      </c>
      <c r="L259" s="7">
        <f>'1 datos preparados'!K252</f>
        <v/>
      </c>
      <c r="M259" s="7">
        <f>'1 datos preparados'!L252</f>
        <v/>
      </c>
      <c r="N259" s="7">
        <f>'1 datos preparados'!M252</f>
        <v/>
      </c>
      <c r="O259" s="7">
        <f>'1 datos preparados'!N252</f>
        <v/>
      </c>
      <c r="P259" s="7">
        <f>'1 datos preparados'!O252</f>
        <v/>
      </c>
      <c r="Q259" s="7">
        <f>'1 datos preparados'!P252</f>
        <v/>
      </c>
      <c r="R259" s="7">
        <f>'1 datos preparados'!Q252</f>
        <v/>
      </c>
      <c r="S259" s="7">
        <f>'1 datos preparados'!R252</f>
        <v/>
      </c>
      <c r="T259" s="7">
        <f>'1 datos preparados'!S252</f>
        <v/>
      </c>
      <c r="U259" s="7">
        <f>'1 datos preparados'!T252</f>
        <v/>
      </c>
      <c r="V259" s="8">
        <f>$AC$12+D259*$AC$13+E259*$AC$14+F259*$AC$15+G259*$AC$16+H259*$AC$17+I259*$AC$18+J259*$AC$19+K259*$AC$20+L259*$AC$21+M259*$AC$22+N259*$AC$23+O259*$AC$24+P259*$AC$25+Q259*$AC$26+R259*$AC$27+S259*$AC$28+T259*$AC$29+U259*$AC$30</f>
        <v/>
      </c>
      <c r="W259" s="8">
        <f>1/(1+EXP(-V259))</f>
        <v/>
      </c>
      <c r="X259" s="9">
        <f>-IF(C259=1,LN(W259),LN(1-W259))</f>
        <v/>
      </c>
      <c r="Y259" s="10">
        <f>IF(W259&gt;$AC$33,1,0)</f>
        <v/>
      </c>
      <c r="Z259">
        <f>IF(Y259=C259,1,0)</f>
        <v/>
      </c>
    </row>
    <row r="260">
      <c r="A260">
        <f>'1 datos preparados'!A253</f>
        <v/>
      </c>
      <c r="B260" s="5">
        <f>'1 datos preparados'!U253</f>
        <v/>
      </c>
      <c r="C260">
        <f>'1 datos preparados'!B253</f>
        <v/>
      </c>
      <c r="D260" s="7">
        <f>'1 datos preparados'!C253</f>
        <v/>
      </c>
      <c r="E260" s="7">
        <f>'1 datos preparados'!D253</f>
        <v/>
      </c>
      <c r="F260" s="7">
        <f>'1 datos preparados'!E253</f>
        <v/>
      </c>
      <c r="G260" s="7">
        <f>'1 datos preparados'!F253</f>
        <v/>
      </c>
      <c r="H260" s="7">
        <f>'1 datos preparados'!G253</f>
        <v/>
      </c>
      <c r="I260" s="7">
        <f>'1 datos preparados'!H253</f>
        <v/>
      </c>
      <c r="J260" s="7">
        <f>'1 datos preparados'!I253</f>
        <v/>
      </c>
      <c r="K260" s="7">
        <f>'1 datos preparados'!J253</f>
        <v/>
      </c>
      <c r="L260" s="7">
        <f>'1 datos preparados'!K253</f>
        <v/>
      </c>
      <c r="M260" s="7">
        <f>'1 datos preparados'!L253</f>
        <v/>
      </c>
      <c r="N260" s="7">
        <f>'1 datos preparados'!M253</f>
        <v/>
      </c>
      <c r="O260" s="7">
        <f>'1 datos preparados'!N253</f>
        <v/>
      </c>
      <c r="P260" s="7">
        <f>'1 datos preparados'!O253</f>
        <v/>
      </c>
      <c r="Q260" s="7">
        <f>'1 datos preparados'!P253</f>
        <v/>
      </c>
      <c r="R260" s="7">
        <f>'1 datos preparados'!Q253</f>
        <v/>
      </c>
      <c r="S260" s="7">
        <f>'1 datos preparados'!R253</f>
        <v/>
      </c>
      <c r="T260" s="7">
        <f>'1 datos preparados'!S253</f>
        <v/>
      </c>
      <c r="U260" s="7">
        <f>'1 datos preparados'!T253</f>
        <v/>
      </c>
      <c r="V260" s="8">
        <f>$AC$12+D260*$AC$13+E260*$AC$14+F260*$AC$15+G260*$AC$16+H260*$AC$17+I260*$AC$18+J260*$AC$19+K260*$AC$20+L260*$AC$21+M260*$AC$22+N260*$AC$23+O260*$AC$24+P260*$AC$25+Q260*$AC$26+R260*$AC$27+S260*$AC$28+T260*$AC$29+U260*$AC$30</f>
        <v/>
      </c>
      <c r="W260" s="8">
        <f>1/(1+EXP(-V260))</f>
        <v/>
      </c>
      <c r="X260" s="9">
        <f>-IF(C260=1,LN(W260),LN(1-W260))</f>
        <v/>
      </c>
      <c r="Y260" s="10">
        <f>IF(W260&gt;$AC$33,1,0)</f>
        <v/>
      </c>
      <c r="Z260">
        <f>IF(Y260=C260,1,0)</f>
        <v/>
      </c>
    </row>
    <row r="261">
      <c r="A261">
        <f>'1 datos preparados'!A254</f>
        <v/>
      </c>
      <c r="B261" s="5">
        <f>'1 datos preparados'!U254</f>
        <v/>
      </c>
      <c r="C261">
        <f>'1 datos preparados'!B254</f>
        <v/>
      </c>
      <c r="D261" s="7">
        <f>'1 datos preparados'!C254</f>
        <v/>
      </c>
      <c r="E261" s="7">
        <f>'1 datos preparados'!D254</f>
        <v/>
      </c>
      <c r="F261" s="7">
        <f>'1 datos preparados'!E254</f>
        <v/>
      </c>
      <c r="G261" s="7">
        <f>'1 datos preparados'!F254</f>
        <v/>
      </c>
      <c r="H261" s="7">
        <f>'1 datos preparados'!G254</f>
        <v/>
      </c>
      <c r="I261" s="7">
        <f>'1 datos preparados'!H254</f>
        <v/>
      </c>
      <c r="J261" s="7">
        <f>'1 datos preparados'!I254</f>
        <v/>
      </c>
      <c r="K261" s="7">
        <f>'1 datos preparados'!J254</f>
        <v/>
      </c>
      <c r="L261" s="7">
        <f>'1 datos preparados'!K254</f>
        <v/>
      </c>
      <c r="M261" s="7">
        <f>'1 datos preparados'!L254</f>
        <v/>
      </c>
      <c r="N261" s="7">
        <f>'1 datos preparados'!M254</f>
        <v/>
      </c>
      <c r="O261" s="7">
        <f>'1 datos preparados'!N254</f>
        <v/>
      </c>
      <c r="P261" s="7">
        <f>'1 datos preparados'!O254</f>
        <v/>
      </c>
      <c r="Q261" s="7">
        <f>'1 datos preparados'!P254</f>
        <v/>
      </c>
      <c r="R261" s="7">
        <f>'1 datos preparados'!Q254</f>
        <v/>
      </c>
      <c r="S261" s="7">
        <f>'1 datos preparados'!R254</f>
        <v/>
      </c>
      <c r="T261" s="7">
        <f>'1 datos preparados'!S254</f>
        <v/>
      </c>
      <c r="U261" s="7">
        <f>'1 datos preparados'!T254</f>
        <v/>
      </c>
      <c r="V261" s="8">
        <f>$AC$12+D261*$AC$13+E261*$AC$14+F261*$AC$15+G261*$AC$16+H261*$AC$17+I261*$AC$18+J261*$AC$19+K261*$AC$20+L261*$AC$21+M261*$AC$22+N261*$AC$23+O261*$AC$24+P261*$AC$25+Q261*$AC$26+R261*$AC$27+S261*$AC$28+T261*$AC$29+U261*$AC$30</f>
        <v/>
      </c>
      <c r="W261" s="8">
        <f>1/(1+EXP(-V261))</f>
        <v/>
      </c>
      <c r="X261" s="9">
        <f>-IF(C261=1,LN(W261),LN(1-W261))</f>
        <v/>
      </c>
      <c r="Y261" s="10">
        <f>IF(W261&gt;$AC$33,1,0)</f>
        <v/>
      </c>
      <c r="Z261">
        <f>IF(Y261=C261,1,0)</f>
        <v/>
      </c>
    </row>
    <row r="262">
      <c r="A262">
        <f>'1 datos preparados'!A255</f>
        <v/>
      </c>
      <c r="B262" s="5">
        <f>'1 datos preparados'!U255</f>
        <v/>
      </c>
      <c r="C262">
        <f>'1 datos preparados'!B255</f>
        <v/>
      </c>
      <c r="D262" s="7">
        <f>'1 datos preparados'!C255</f>
        <v/>
      </c>
      <c r="E262" s="7">
        <f>'1 datos preparados'!D255</f>
        <v/>
      </c>
      <c r="F262" s="7">
        <f>'1 datos preparados'!E255</f>
        <v/>
      </c>
      <c r="G262" s="7">
        <f>'1 datos preparados'!F255</f>
        <v/>
      </c>
      <c r="H262" s="7">
        <f>'1 datos preparados'!G255</f>
        <v/>
      </c>
      <c r="I262" s="7">
        <f>'1 datos preparados'!H255</f>
        <v/>
      </c>
      <c r="J262" s="7">
        <f>'1 datos preparados'!I255</f>
        <v/>
      </c>
      <c r="K262" s="7">
        <f>'1 datos preparados'!J255</f>
        <v/>
      </c>
      <c r="L262" s="7">
        <f>'1 datos preparados'!K255</f>
        <v/>
      </c>
      <c r="M262" s="7">
        <f>'1 datos preparados'!L255</f>
        <v/>
      </c>
      <c r="N262" s="7">
        <f>'1 datos preparados'!M255</f>
        <v/>
      </c>
      <c r="O262" s="7">
        <f>'1 datos preparados'!N255</f>
        <v/>
      </c>
      <c r="P262" s="7">
        <f>'1 datos preparados'!O255</f>
        <v/>
      </c>
      <c r="Q262" s="7">
        <f>'1 datos preparados'!P255</f>
        <v/>
      </c>
      <c r="R262" s="7">
        <f>'1 datos preparados'!Q255</f>
        <v/>
      </c>
      <c r="S262" s="7">
        <f>'1 datos preparados'!R255</f>
        <v/>
      </c>
      <c r="T262" s="7">
        <f>'1 datos preparados'!S255</f>
        <v/>
      </c>
      <c r="U262" s="7">
        <f>'1 datos preparados'!T255</f>
        <v/>
      </c>
      <c r="V262" s="8">
        <f>$AC$12+D262*$AC$13+E262*$AC$14+F262*$AC$15+G262*$AC$16+H262*$AC$17+I262*$AC$18+J262*$AC$19+K262*$AC$20+L262*$AC$21+M262*$AC$22+N262*$AC$23+O262*$AC$24+P262*$AC$25+Q262*$AC$26+R262*$AC$27+S262*$AC$28+T262*$AC$29+U262*$AC$30</f>
        <v/>
      </c>
      <c r="W262" s="8">
        <f>1/(1+EXP(-V262))</f>
        <v/>
      </c>
      <c r="X262" s="9">
        <f>-IF(C262=1,LN(W262),LN(1-W262))</f>
        <v/>
      </c>
      <c r="Y262" s="10">
        <f>IF(W262&gt;$AC$33,1,0)</f>
        <v/>
      </c>
      <c r="Z262">
        <f>IF(Y262=C262,1,0)</f>
        <v/>
      </c>
    </row>
    <row r="263">
      <c r="A263">
        <f>'1 datos preparados'!A256</f>
        <v/>
      </c>
      <c r="B263" s="5">
        <f>'1 datos preparados'!U256</f>
        <v/>
      </c>
      <c r="C263">
        <f>'1 datos preparados'!B256</f>
        <v/>
      </c>
      <c r="D263" s="7">
        <f>'1 datos preparados'!C256</f>
        <v/>
      </c>
      <c r="E263" s="7">
        <f>'1 datos preparados'!D256</f>
        <v/>
      </c>
      <c r="F263" s="7">
        <f>'1 datos preparados'!E256</f>
        <v/>
      </c>
      <c r="G263" s="7">
        <f>'1 datos preparados'!F256</f>
        <v/>
      </c>
      <c r="H263" s="7">
        <f>'1 datos preparados'!G256</f>
        <v/>
      </c>
      <c r="I263" s="7">
        <f>'1 datos preparados'!H256</f>
        <v/>
      </c>
      <c r="J263" s="7">
        <f>'1 datos preparados'!I256</f>
        <v/>
      </c>
      <c r="K263" s="7">
        <f>'1 datos preparados'!J256</f>
        <v/>
      </c>
      <c r="L263" s="7">
        <f>'1 datos preparados'!K256</f>
        <v/>
      </c>
      <c r="M263" s="7">
        <f>'1 datos preparados'!L256</f>
        <v/>
      </c>
      <c r="N263" s="7">
        <f>'1 datos preparados'!M256</f>
        <v/>
      </c>
      <c r="O263" s="7">
        <f>'1 datos preparados'!N256</f>
        <v/>
      </c>
      <c r="P263" s="7">
        <f>'1 datos preparados'!O256</f>
        <v/>
      </c>
      <c r="Q263" s="7">
        <f>'1 datos preparados'!P256</f>
        <v/>
      </c>
      <c r="R263" s="7">
        <f>'1 datos preparados'!Q256</f>
        <v/>
      </c>
      <c r="S263" s="7">
        <f>'1 datos preparados'!R256</f>
        <v/>
      </c>
      <c r="T263" s="7">
        <f>'1 datos preparados'!S256</f>
        <v/>
      </c>
      <c r="U263" s="7">
        <f>'1 datos preparados'!T256</f>
        <v/>
      </c>
      <c r="V263" s="8">
        <f>$AC$12+D263*$AC$13+E263*$AC$14+F263*$AC$15+G263*$AC$16+H263*$AC$17+I263*$AC$18+J263*$AC$19+K263*$AC$20+L263*$AC$21+M263*$AC$22+N263*$AC$23+O263*$AC$24+P263*$AC$25+Q263*$AC$26+R263*$AC$27+S263*$AC$28+T263*$AC$29+U263*$AC$30</f>
        <v/>
      </c>
      <c r="W263" s="8">
        <f>1/(1+EXP(-V263))</f>
        <v/>
      </c>
      <c r="X263" s="9">
        <f>-IF(C263=1,LN(W263),LN(1-W263))</f>
        <v/>
      </c>
      <c r="Y263" s="10">
        <f>IF(W263&gt;$AC$33,1,0)</f>
        <v/>
      </c>
      <c r="Z263">
        <f>IF(Y263=C263,1,0)</f>
        <v/>
      </c>
    </row>
    <row r="264">
      <c r="A264">
        <f>'1 datos preparados'!A257</f>
        <v/>
      </c>
      <c r="B264" s="5">
        <f>'1 datos preparados'!U257</f>
        <v/>
      </c>
      <c r="C264">
        <f>'1 datos preparados'!B257</f>
        <v/>
      </c>
      <c r="D264" s="7">
        <f>'1 datos preparados'!C257</f>
        <v/>
      </c>
      <c r="E264" s="7">
        <f>'1 datos preparados'!D257</f>
        <v/>
      </c>
      <c r="F264" s="7">
        <f>'1 datos preparados'!E257</f>
        <v/>
      </c>
      <c r="G264" s="7">
        <f>'1 datos preparados'!F257</f>
        <v/>
      </c>
      <c r="H264" s="7">
        <f>'1 datos preparados'!G257</f>
        <v/>
      </c>
      <c r="I264" s="7">
        <f>'1 datos preparados'!H257</f>
        <v/>
      </c>
      <c r="J264" s="7">
        <f>'1 datos preparados'!I257</f>
        <v/>
      </c>
      <c r="K264" s="7">
        <f>'1 datos preparados'!J257</f>
        <v/>
      </c>
      <c r="L264" s="7">
        <f>'1 datos preparados'!K257</f>
        <v/>
      </c>
      <c r="M264" s="7">
        <f>'1 datos preparados'!L257</f>
        <v/>
      </c>
      <c r="N264" s="7">
        <f>'1 datos preparados'!M257</f>
        <v/>
      </c>
      <c r="O264" s="7">
        <f>'1 datos preparados'!N257</f>
        <v/>
      </c>
      <c r="P264" s="7">
        <f>'1 datos preparados'!O257</f>
        <v/>
      </c>
      <c r="Q264" s="7">
        <f>'1 datos preparados'!P257</f>
        <v/>
      </c>
      <c r="R264" s="7">
        <f>'1 datos preparados'!Q257</f>
        <v/>
      </c>
      <c r="S264" s="7">
        <f>'1 datos preparados'!R257</f>
        <v/>
      </c>
      <c r="T264" s="7">
        <f>'1 datos preparados'!S257</f>
        <v/>
      </c>
      <c r="U264" s="7">
        <f>'1 datos preparados'!T257</f>
        <v/>
      </c>
      <c r="V264" s="8">
        <f>$AC$12+D264*$AC$13+E264*$AC$14+F264*$AC$15+G264*$AC$16+H264*$AC$17+I264*$AC$18+J264*$AC$19+K264*$AC$20+L264*$AC$21+M264*$AC$22+N264*$AC$23+O264*$AC$24+P264*$AC$25+Q264*$AC$26+R264*$AC$27+S264*$AC$28+T264*$AC$29+U264*$AC$30</f>
        <v/>
      </c>
      <c r="W264" s="8">
        <f>1/(1+EXP(-V264))</f>
        <v/>
      </c>
      <c r="X264" s="9">
        <f>-IF(C264=1,LN(W264),LN(1-W264))</f>
        <v/>
      </c>
      <c r="Y264" s="10">
        <f>IF(W264&gt;$AC$33,1,0)</f>
        <v/>
      </c>
      <c r="Z264">
        <f>IF(Y264=C264,1,0)</f>
        <v/>
      </c>
    </row>
    <row r="265">
      <c r="A265">
        <f>'1 datos preparados'!A258</f>
        <v/>
      </c>
      <c r="B265" s="5">
        <f>'1 datos preparados'!U258</f>
        <v/>
      </c>
      <c r="C265">
        <f>'1 datos preparados'!B258</f>
        <v/>
      </c>
      <c r="D265" s="7">
        <f>'1 datos preparados'!C258</f>
        <v/>
      </c>
      <c r="E265" s="7">
        <f>'1 datos preparados'!D258</f>
        <v/>
      </c>
      <c r="F265" s="7">
        <f>'1 datos preparados'!E258</f>
        <v/>
      </c>
      <c r="G265" s="7">
        <f>'1 datos preparados'!F258</f>
        <v/>
      </c>
      <c r="H265" s="7">
        <f>'1 datos preparados'!G258</f>
        <v/>
      </c>
      <c r="I265" s="7">
        <f>'1 datos preparados'!H258</f>
        <v/>
      </c>
      <c r="J265" s="7">
        <f>'1 datos preparados'!I258</f>
        <v/>
      </c>
      <c r="K265" s="7">
        <f>'1 datos preparados'!J258</f>
        <v/>
      </c>
      <c r="L265" s="7">
        <f>'1 datos preparados'!K258</f>
        <v/>
      </c>
      <c r="M265" s="7">
        <f>'1 datos preparados'!L258</f>
        <v/>
      </c>
      <c r="N265" s="7">
        <f>'1 datos preparados'!M258</f>
        <v/>
      </c>
      <c r="O265" s="7">
        <f>'1 datos preparados'!N258</f>
        <v/>
      </c>
      <c r="P265" s="7">
        <f>'1 datos preparados'!O258</f>
        <v/>
      </c>
      <c r="Q265" s="7">
        <f>'1 datos preparados'!P258</f>
        <v/>
      </c>
      <c r="R265" s="7">
        <f>'1 datos preparados'!Q258</f>
        <v/>
      </c>
      <c r="S265" s="7">
        <f>'1 datos preparados'!R258</f>
        <v/>
      </c>
      <c r="T265" s="7">
        <f>'1 datos preparados'!S258</f>
        <v/>
      </c>
      <c r="U265" s="7">
        <f>'1 datos preparados'!T258</f>
        <v/>
      </c>
      <c r="V265" s="8">
        <f>$AC$12+D265*$AC$13+E265*$AC$14+F265*$AC$15+G265*$AC$16+H265*$AC$17+I265*$AC$18+J265*$AC$19+K265*$AC$20+L265*$AC$21+M265*$AC$22+N265*$AC$23+O265*$AC$24+P265*$AC$25+Q265*$AC$26+R265*$AC$27+S265*$AC$28+T265*$AC$29+U265*$AC$30</f>
        <v/>
      </c>
      <c r="W265" s="8">
        <f>1/(1+EXP(-V265))</f>
        <v/>
      </c>
      <c r="X265" s="9">
        <f>-IF(C265=1,LN(W265),LN(1-W265))</f>
        <v/>
      </c>
      <c r="Y265" s="10">
        <f>IF(W265&gt;$AC$33,1,0)</f>
        <v/>
      </c>
      <c r="Z265">
        <f>IF(Y265=C265,1,0)</f>
        <v/>
      </c>
    </row>
    <row r="266">
      <c r="A266">
        <f>'1 datos preparados'!A259</f>
        <v/>
      </c>
      <c r="B266" s="5">
        <f>'1 datos preparados'!U259</f>
        <v/>
      </c>
      <c r="C266">
        <f>'1 datos preparados'!B259</f>
        <v/>
      </c>
      <c r="D266" s="7">
        <f>'1 datos preparados'!C259</f>
        <v/>
      </c>
      <c r="E266" s="7">
        <f>'1 datos preparados'!D259</f>
        <v/>
      </c>
      <c r="F266" s="7">
        <f>'1 datos preparados'!E259</f>
        <v/>
      </c>
      <c r="G266" s="7">
        <f>'1 datos preparados'!F259</f>
        <v/>
      </c>
      <c r="H266" s="7">
        <f>'1 datos preparados'!G259</f>
        <v/>
      </c>
      <c r="I266" s="7">
        <f>'1 datos preparados'!H259</f>
        <v/>
      </c>
      <c r="J266" s="7">
        <f>'1 datos preparados'!I259</f>
        <v/>
      </c>
      <c r="K266" s="7">
        <f>'1 datos preparados'!J259</f>
        <v/>
      </c>
      <c r="L266" s="7">
        <f>'1 datos preparados'!K259</f>
        <v/>
      </c>
      <c r="M266" s="7">
        <f>'1 datos preparados'!L259</f>
        <v/>
      </c>
      <c r="N266" s="7">
        <f>'1 datos preparados'!M259</f>
        <v/>
      </c>
      <c r="O266" s="7">
        <f>'1 datos preparados'!N259</f>
        <v/>
      </c>
      <c r="P266" s="7">
        <f>'1 datos preparados'!O259</f>
        <v/>
      </c>
      <c r="Q266" s="7">
        <f>'1 datos preparados'!P259</f>
        <v/>
      </c>
      <c r="R266" s="7">
        <f>'1 datos preparados'!Q259</f>
        <v/>
      </c>
      <c r="S266" s="7">
        <f>'1 datos preparados'!R259</f>
        <v/>
      </c>
      <c r="T266" s="7">
        <f>'1 datos preparados'!S259</f>
        <v/>
      </c>
      <c r="U266" s="7">
        <f>'1 datos preparados'!T259</f>
        <v/>
      </c>
      <c r="V266" s="8">
        <f>$AC$12+D266*$AC$13+E266*$AC$14+F266*$AC$15+G266*$AC$16+H266*$AC$17+I266*$AC$18+J266*$AC$19+K266*$AC$20+L266*$AC$21+M266*$AC$22+N266*$AC$23+O266*$AC$24+P266*$AC$25+Q266*$AC$26+R266*$AC$27+S266*$AC$28+T266*$AC$29+U266*$AC$30</f>
        <v/>
      </c>
      <c r="W266" s="8">
        <f>1/(1+EXP(-V266))</f>
        <v/>
      </c>
      <c r="X266" s="9">
        <f>-IF(C266=1,LN(W266),LN(1-W266))</f>
        <v/>
      </c>
      <c r="Y266" s="10">
        <f>IF(W266&gt;$AC$33,1,0)</f>
        <v/>
      </c>
      <c r="Z266">
        <f>IF(Y266=C266,1,0)</f>
        <v/>
      </c>
    </row>
    <row r="267">
      <c r="A267">
        <f>'1 datos preparados'!A260</f>
        <v/>
      </c>
      <c r="B267" s="5">
        <f>'1 datos preparados'!U260</f>
        <v/>
      </c>
      <c r="C267">
        <f>'1 datos preparados'!B260</f>
        <v/>
      </c>
      <c r="D267" s="7">
        <f>'1 datos preparados'!C260</f>
        <v/>
      </c>
      <c r="E267" s="7">
        <f>'1 datos preparados'!D260</f>
        <v/>
      </c>
      <c r="F267" s="7">
        <f>'1 datos preparados'!E260</f>
        <v/>
      </c>
      <c r="G267" s="7">
        <f>'1 datos preparados'!F260</f>
        <v/>
      </c>
      <c r="H267" s="7">
        <f>'1 datos preparados'!G260</f>
        <v/>
      </c>
      <c r="I267" s="7">
        <f>'1 datos preparados'!H260</f>
        <v/>
      </c>
      <c r="J267" s="7">
        <f>'1 datos preparados'!I260</f>
        <v/>
      </c>
      <c r="K267" s="7">
        <f>'1 datos preparados'!J260</f>
        <v/>
      </c>
      <c r="L267" s="7">
        <f>'1 datos preparados'!K260</f>
        <v/>
      </c>
      <c r="M267" s="7">
        <f>'1 datos preparados'!L260</f>
        <v/>
      </c>
      <c r="N267" s="7">
        <f>'1 datos preparados'!M260</f>
        <v/>
      </c>
      <c r="O267" s="7">
        <f>'1 datos preparados'!N260</f>
        <v/>
      </c>
      <c r="P267" s="7">
        <f>'1 datos preparados'!O260</f>
        <v/>
      </c>
      <c r="Q267" s="7">
        <f>'1 datos preparados'!P260</f>
        <v/>
      </c>
      <c r="R267" s="7">
        <f>'1 datos preparados'!Q260</f>
        <v/>
      </c>
      <c r="S267" s="7">
        <f>'1 datos preparados'!R260</f>
        <v/>
      </c>
      <c r="T267" s="7">
        <f>'1 datos preparados'!S260</f>
        <v/>
      </c>
      <c r="U267" s="7">
        <f>'1 datos preparados'!T260</f>
        <v/>
      </c>
      <c r="V267" s="8">
        <f>$AC$12+D267*$AC$13+E267*$AC$14+F267*$AC$15+G267*$AC$16+H267*$AC$17+I267*$AC$18+J267*$AC$19+K267*$AC$20+L267*$AC$21+M267*$AC$22+N267*$AC$23+O267*$AC$24+P267*$AC$25+Q267*$AC$26+R267*$AC$27+S267*$AC$28+T267*$AC$29+U267*$AC$30</f>
        <v/>
      </c>
      <c r="W267" s="8">
        <f>1/(1+EXP(-V267))</f>
        <v/>
      </c>
      <c r="X267" s="9">
        <f>-IF(C267=1,LN(W267),LN(1-W267))</f>
        <v/>
      </c>
      <c r="Y267" s="10">
        <f>IF(W267&gt;$AC$33,1,0)</f>
        <v/>
      </c>
      <c r="Z267">
        <f>IF(Y267=C267,1,0)</f>
        <v/>
      </c>
    </row>
    <row r="268">
      <c r="A268">
        <f>'1 datos preparados'!A261</f>
        <v/>
      </c>
      <c r="B268" s="5">
        <f>'1 datos preparados'!U261</f>
        <v/>
      </c>
      <c r="C268">
        <f>'1 datos preparados'!B261</f>
        <v/>
      </c>
      <c r="D268" s="7">
        <f>'1 datos preparados'!C261</f>
        <v/>
      </c>
      <c r="E268" s="7">
        <f>'1 datos preparados'!D261</f>
        <v/>
      </c>
      <c r="F268" s="7">
        <f>'1 datos preparados'!E261</f>
        <v/>
      </c>
      <c r="G268" s="7">
        <f>'1 datos preparados'!F261</f>
        <v/>
      </c>
      <c r="H268" s="7">
        <f>'1 datos preparados'!G261</f>
        <v/>
      </c>
      <c r="I268" s="7">
        <f>'1 datos preparados'!H261</f>
        <v/>
      </c>
      <c r="J268" s="7">
        <f>'1 datos preparados'!I261</f>
        <v/>
      </c>
      <c r="K268" s="7">
        <f>'1 datos preparados'!J261</f>
        <v/>
      </c>
      <c r="L268" s="7">
        <f>'1 datos preparados'!K261</f>
        <v/>
      </c>
      <c r="M268" s="7">
        <f>'1 datos preparados'!L261</f>
        <v/>
      </c>
      <c r="N268" s="7">
        <f>'1 datos preparados'!M261</f>
        <v/>
      </c>
      <c r="O268" s="7">
        <f>'1 datos preparados'!N261</f>
        <v/>
      </c>
      <c r="P268" s="7">
        <f>'1 datos preparados'!O261</f>
        <v/>
      </c>
      <c r="Q268" s="7">
        <f>'1 datos preparados'!P261</f>
        <v/>
      </c>
      <c r="R268" s="7">
        <f>'1 datos preparados'!Q261</f>
        <v/>
      </c>
      <c r="S268" s="7">
        <f>'1 datos preparados'!R261</f>
        <v/>
      </c>
      <c r="T268" s="7">
        <f>'1 datos preparados'!S261</f>
        <v/>
      </c>
      <c r="U268" s="7">
        <f>'1 datos preparados'!T261</f>
        <v/>
      </c>
      <c r="V268" s="8">
        <f>$AC$12+D268*$AC$13+E268*$AC$14+F268*$AC$15+G268*$AC$16+H268*$AC$17+I268*$AC$18+J268*$AC$19+K268*$AC$20+L268*$AC$21+M268*$AC$22+N268*$AC$23+O268*$AC$24+P268*$AC$25+Q268*$AC$26+R268*$AC$27+S268*$AC$28+T268*$AC$29+U268*$AC$30</f>
        <v/>
      </c>
      <c r="W268" s="8">
        <f>1/(1+EXP(-V268))</f>
        <v/>
      </c>
      <c r="X268" s="9">
        <f>-IF(C268=1,LN(W268),LN(1-W268))</f>
        <v/>
      </c>
      <c r="Y268" s="10">
        <f>IF(W268&gt;$AC$33,1,0)</f>
        <v/>
      </c>
      <c r="Z268">
        <f>IF(Y268=C268,1,0)</f>
        <v/>
      </c>
    </row>
    <row r="269">
      <c r="A269">
        <f>'1 datos preparados'!A262</f>
        <v/>
      </c>
      <c r="B269" s="5">
        <f>'1 datos preparados'!U262</f>
        <v/>
      </c>
      <c r="C269">
        <f>'1 datos preparados'!B262</f>
        <v/>
      </c>
      <c r="D269" s="7">
        <f>'1 datos preparados'!C262</f>
        <v/>
      </c>
      <c r="E269" s="7">
        <f>'1 datos preparados'!D262</f>
        <v/>
      </c>
      <c r="F269" s="7">
        <f>'1 datos preparados'!E262</f>
        <v/>
      </c>
      <c r="G269" s="7">
        <f>'1 datos preparados'!F262</f>
        <v/>
      </c>
      <c r="H269" s="7">
        <f>'1 datos preparados'!G262</f>
        <v/>
      </c>
      <c r="I269" s="7">
        <f>'1 datos preparados'!H262</f>
        <v/>
      </c>
      <c r="J269" s="7">
        <f>'1 datos preparados'!I262</f>
        <v/>
      </c>
      <c r="K269" s="7">
        <f>'1 datos preparados'!J262</f>
        <v/>
      </c>
      <c r="L269" s="7">
        <f>'1 datos preparados'!K262</f>
        <v/>
      </c>
      <c r="M269" s="7">
        <f>'1 datos preparados'!L262</f>
        <v/>
      </c>
      <c r="N269" s="7">
        <f>'1 datos preparados'!M262</f>
        <v/>
      </c>
      <c r="O269" s="7">
        <f>'1 datos preparados'!N262</f>
        <v/>
      </c>
      <c r="P269" s="7">
        <f>'1 datos preparados'!O262</f>
        <v/>
      </c>
      <c r="Q269" s="7">
        <f>'1 datos preparados'!P262</f>
        <v/>
      </c>
      <c r="R269" s="7">
        <f>'1 datos preparados'!Q262</f>
        <v/>
      </c>
      <c r="S269" s="7">
        <f>'1 datos preparados'!R262</f>
        <v/>
      </c>
      <c r="T269" s="7">
        <f>'1 datos preparados'!S262</f>
        <v/>
      </c>
      <c r="U269" s="7">
        <f>'1 datos preparados'!T262</f>
        <v/>
      </c>
      <c r="V269" s="8">
        <f>$AC$12+D269*$AC$13+E269*$AC$14+F269*$AC$15+G269*$AC$16+H269*$AC$17+I269*$AC$18+J269*$AC$19+K269*$AC$20+L269*$AC$21+M269*$AC$22+N269*$AC$23+O269*$AC$24+P269*$AC$25+Q269*$AC$26+R269*$AC$27+S269*$AC$28+T269*$AC$29+U269*$AC$30</f>
        <v/>
      </c>
      <c r="W269" s="8">
        <f>1/(1+EXP(-V269))</f>
        <v/>
      </c>
      <c r="X269" s="9">
        <f>-IF(C269=1,LN(W269),LN(1-W269))</f>
        <v/>
      </c>
      <c r="Y269" s="10">
        <f>IF(W269&gt;$AC$33,1,0)</f>
        <v/>
      </c>
      <c r="Z269">
        <f>IF(Y269=C269,1,0)</f>
        <v/>
      </c>
    </row>
    <row r="270">
      <c r="A270">
        <f>'1 datos preparados'!A263</f>
        <v/>
      </c>
      <c r="B270" s="5">
        <f>'1 datos preparados'!U263</f>
        <v/>
      </c>
      <c r="C270">
        <f>'1 datos preparados'!B263</f>
        <v/>
      </c>
      <c r="D270" s="7">
        <f>'1 datos preparados'!C263</f>
        <v/>
      </c>
      <c r="E270" s="7">
        <f>'1 datos preparados'!D263</f>
        <v/>
      </c>
      <c r="F270" s="7">
        <f>'1 datos preparados'!E263</f>
        <v/>
      </c>
      <c r="G270" s="7">
        <f>'1 datos preparados'!F263</f>
        <v/>
      </c>
      <c r="H270" s="7">
        <f>'1 datos preparados'!G263</f>
        <v/>
      </c>
      <c r="I270" s="7">
        <f>'1 datos preparados'!H263</f>
        <v/>
      </c>
      <c r="J270" s="7">
        <f>'1 datos preparados'!I263</f>
        <v/>
      </c>
      <c r="K270" s="7">
        <f>'1 datos preparados'!J263</f>
        <v/>
      </c>
      <c r="L270" s="7">
        <f>'1 datos preparados'!K263</f>
        <v/>
      </c>
      <c r="M270" s="7">
        <f>'1 datos preparados'!L263</f>
        <v/>
      </c>
      <c r="N270" s="7">
        <f>'1 datos preparados'!M263</f>
        <v/>
      </c>
      <c r="O270" s="7">
        <f>'1 datos preparados'!N263</f>
        <v/>
      </c>
      <c r="P270" s="7">
        <f>'1 datos preparados'!O263</f>
        <v/>
      </c>
      <c r="Q270" s="7">
        <f>'1 datos preparados'!P263</f>
        <v/>
      </c>
      <c r="R270" s="7">
        <f>'1 datos preparados'!Q263</f>
        <v/>
      </c>
      <c r="S270" s="7">
        <f>'1 datos preparados'!R263</f>
        <v/>
      </c>
      <c r="T270" s="7">
        <f>'1 datos preparados'!S263</f>
        <v/>
      </c>
      <c r="U270" s="7">
        <f>'1 datos preparados'!T263</f>
        <v/>
      </c>
      <c r="V270" s="8">
        <f>$AC$12+D270*$AC$13+E270*$AC$14+F270*$AC$15+G270*$AC$16+H270*$AC$17+I270*$AC$18+J270*$AC$19+K270*$AC$20+L270*$AC$21+M270*$AC$22+N270*$AC$23+O270*$AC$24+P270*$AC$25+Q270*$AC$26+R270*$AC$27+S270*$AC$28+T270*$AC$29+U270*$AC$30</f>
        <v/>
      </c>
      <c r="W270" s="8">
        <f>1/(1+EXP(-V270))</f>
        <v/>
      </c>
      <c r="X270" s="9">
        <f>-IF(C270=1,LN(W270),LN(1-W270))</f>
        <v/>
      </c>
      <c r="Y270" s="10">
        <f>IF(W270&gt;$AC$33,1,0)</f>
        <v/>
      </c>
      <c r="Z270">
        <f>IF(Y270=C270,1,0)</f>
        <v/>
      </c>
    </row>
    <row r="271">
      <c r="A271">
        <f>'1 datos preparados'!A264</f>
        <v/>
      </c>
      <c r="B271" s="5">
        <f>'1 datos preparados'!U264</f>
        <v/>
      </c>
      <c r="C271">
        <f>'1 datos preparados'!B264</f>
        <v/>
      </c>
      <c r="D271" s="7">
        <f>'1 datos preparados'!C264</f>
        <v/>
      </c>
      <c r="E271" s="7">
        <f>'1 datos preparados'!D264</f>
        <v/>
      </c>
      <c r="F271" s="7">
        <f>'1 datos preparados'!E264</f>
        <v/>
      </c>
      <c r="G271" s="7">
        <f>'1 datos preparados'!F264</f>
        <v/>
      </c>
      <c r="H271" s="7">
        <f>'1 datos preparados'!G264</f>
        <v/>
      </c>
      <c r="I271" s="7">
        <f>'1 datos preparados'!H264</f>
        <v/>
      </c>
      <c r="J271" s="7">
        <f>'1 datos preparados'!I264</f>
        <v/>
      </c>
      <c r="K271" s="7">
        <f>'1 datos preparados'!J264</f>
        <v/>
      </c>
      <c r="L271" s="7">
        <f>'1 datos preparados'!K264</f>
        <v/>
      </c>
      <c r="M271" s="7">
        <f>'1 datos preparados'!L264</f>
        <v/>
      </c>
      <c r="N271" s="7">
        <f>'1 datos preparados'!M264</f>
        <v/>
      </c>
      <c r="O271" s="7">
        <f>'1 datos preparados'!N264</f>
        <v/>
      </c>
      <c r="P271" s="7">
        <f>'1 datos preparados'!O264</f>
        <v/>
      </c>
      <c r="Q271" s="7">
        <f>'1 datos preparados'!P264</f>
        <v/>
      </c>
      <c r="R271" s="7">
        <f>'1 datos preparados'!Q264</f>
        <v/>
      </c>
      <c r="S271" s="7">
        <f>'1 datos preparados'!R264</f>
        <v/>
      </c>
      <c r="T271" s="7">
        <f>'1 datos preparados'!S264</f>
        <v/>
      </c>
      <c r="U271" s="7">
        <f>'1 datos preparados'!T264</f>
        <v/>
      </c>
      <c r="V271" s="8">
        <f>$AC$12+D271*$AC$13+E271*$AC$14+F271*$AC$15+G271*$AC$16+H271*$AC$17+I271*$AC$18+J271*$AC$19+K271*$AC$20+L271*$AC$21+M271*$AC$22+N271*$AC$23+O271*$AC$24+P271*$AC$25+Q271*$AC$26+R271*$AC$27+S271*$AC$28+T271*$AC$29+U271*$AC$30</f>
        <v/>
      </c>
      <c r="W271" s="8">
        <f>1/(1+EXP(-V271))</f>
        <v/>
      </c>
      <c r="X271" s="9">
        <f>-IF(C271=1,LN(W271),LN(1-W271))</f>
        <v/>
      </c>
      <c r="Y271" s="10">
        <f>IF(W271&gt;$AC$33,1,0)</f>
        <v/>
      </c>
      <c r="Z271">
        <f>IF(Y271=C271,1,0)</f>
        <v/>
      </c>
    </row>
    <row r="272">
      <c r="A272">
        <f>'1 datos preparados'!A265</f>
        <v/>
      </c>
      <c r="B272" s="5">
        <f>'1 datos preparados'!U265</f>
        <v/>
      </c>
      <c r="C272">
        <f>'1 datos preparados'!B265</f>
        <v/>
      </c>
      <c r="D272" s="7">
        <f>'1 datos preparados'!C265</f>
        <v/>
      </c>
      <c r="E272" s="7">
        <f>'1 datos preparados'!D265</f>
        <v/>
      </c>
      <c r="F272" s="7">
        <f>'1 datos preparados'!E265</f>
        <v/>
      </c>
      <c r="G272" s="7">
        <f>'1 datos preparados'!F265</f>
        <v/>
      </c>
      <c r="H272" s="7">
        <f>'1 datos preparados'!G265</f>
        <v/>
      </c>
      <c r="I272" s="7">
        <f>'1 datos preparados'!H265</f>
        <v/>
      </c>
      <c r="J272" s="7">
        <f>'1 datos preparados'!I265</f>
        <v/>
      </c>
      <c r="K272" s="7">
        <f>'1 datos preparados'!J265</f>
        <v/>
      </c>
      <c r="L272" s="7">
        <f>'1 datos preparados'!K265</f>
        <v/>
      </c>
      <c r="M272" s="7">
        <f>'1 datos preparados'!L265</f>
        <v/>
      </c>
      <c r="N272" s="7">
        <f>'1 datos preparados'!M265</f>
        <v/>
      </c>
      <c r="O272" s="7">
        <f>'1 datos preparados'!N265</f>
        <v/>
      </c>
      <c r="P272" s="7">
        <f>'1 datos preparados'!O265</f>
        <v/>
      </c>
      <c r="Q272" s="7">
        <f>'1 datos preparados'!P265</f>
        <v/>
      </c>
      <c r="R272" s="7">
        <f>'1 datos preparados'!Q265</f>
        <v/>
      </c>
      <c r="S272" s="7">
        <f>'1 datos preparados'!R265</f>
        <v/>
      </c>
      <c r="T272" s="7">
        <f>'1 datos preparados'!S265</f>
        <v/>
      </c>
      <c r="U272" s="7">
        <f>'1 datos preparados'!T265</f>
        <v/>
      </c>
      <c r="V272" s="8">
        <f>$AC$12+D272*$AC$13+E272*$AC$14+F272*$AC$15+G272*$AC$16+H272*$AC$17+I272*$AC$18+J272*$AC$19+K272*$AC$20+L272*$AC$21+M272*$AC$22+N272*$AC$23+O272*$AC$24+P272*$AC$25+Q272*$AC$26+R272*$AC$27+S272*$AC$28+T272*$AC$29+U272*$AC$30</f>
        <v/>
      </c>
      <c r="W272" s="8">
        <f>1/(1+EXP(-V272))</f>
        <v/>
      </c>
      <c r="X272" s="9">
        <f>-IF(C272=1,LN(W272),LN(1-W272))</f>
        <v/>
      </c>
      <c r="Y272" s="10">
        <f>IF(W272&gt;$AC$33,1,0)</f>
        <v/>
      </c>
      <c r="Z272">
        <f>IF(Y272=C272,1,0)</f>
        <v/>
      </c>
    </row>
    <row r="273">
      <c r="A273">
        <f>'1 datos preparados'!A266</f>
        <v/>
      </c>
      <c r="B273" s="5">
        <f>'1 datos preparados'!U266</f>
        <v/>
      </c>
      <c r="C273">
        <f>'1 datos preparados'!B266</f>
        <v/>
      </c>
      <c r="D273" s="7">
        <f>'1 datos preparados'!C266</f>
        <v/>
      </c>
      <c r="E273" s="7">
        <f>'1 datos preparados'!D266</f>
        <v/>
      </c>
      <c r="F273" s="7">
        <f>'1 datos preparados'!E266</f>
        <v/>
      </c>
      <c r="G273" s="7">
        <f>'1 datos preparados'!F266</f>
        <v/>
      </c>
      <c r="H273" s="7">
        <f>'1 datos preparados'!G266</f>
        <v/>
      </c>
      <c r="I273" s="7">
        <f>'1 datos preparados'!H266</f>
        <v/>
      </c>
      <c r="J273" s="7">
        <f>'1 datos preparados'!I266</f>
        <v/>
      </c>
      <c r="K273" s="7">
        <f>'1 datos preparados'!J266</f>
        <v/>
      </c>
      <c r="L273" s="7">
        <f>'1 datos preparados'!K266</f>
        <v/>
      </c>
      <c r="M273" s="7">
        <f>'1 datos preparados'!L266</f>
        <v/>
      </c>
      <c r="N273" s="7">
        <f>'1 datos preparados'!M266</f>
        <v/>
      </c>
      <c r="O273" s="7">
        <f>'1 datos preparados'!N266</f>
        <v/>
      </c>
      <c r="P273" s="7">
        <f>'1 datos preparados'!O266</f>
        <v/>
      </c>
      <c r="Q273" s="7">
        <f>'1 datos preparados'!P266</f>
        <v/>
      </c>
      <c r="R273" s="7">
        <f>'1 datos preparados'!Q266</f>
        <v/>
      </c>
      <c r="S273" s="7">
        <f>'1 datos preparados'!R266</f>
        <v/>
      </c>
      <c r="T273" s="7">
        <f>'1 datos preparados'!S266</f>
        <v/>
      </c>
      <c r="U273" s="7">
        <f>'1 datos preparados'!T266</f>
        <v/>
      </c>
      <c r="V273" s="8">
        <f>$AC$12+D273*$AC$13+E273*$AC$14+F273*$AC$15+G273*$AC$16+H273*$AC$17+I273*$AC$18+J273*$AC$19+K273*$AC$20+L273*$AC$21+M273*$AC$22+N273*$AC$23+O273*$AC$24+P273*$AC$25+Q273*$AC$26+R273*$AC$27+S273*$AC$28+T273*$AC$29+U273*$AC$30</f>
        <v/>
      </c>
      <c r="W273" s="8">
        <f>1/(1+EXP(-V273))</f>
        <v/>
      </c>
      <c r="X273" s="9">
        <f>-IF(C273=1,LN(W273),LN(1-W273))</f>
        <v/>
      </c>
      <c r="Y273" s="10">
        <f>IF(W273&gt;$AC$33,1,0)</f>
        <v/>
      </c>
      <c r="Z273">
        <f>IF(Y273=C273,1,0)</f>
        <v/>
      </c>
    </row>
    <row r="274">
      <c r="A274">
        <f>'1 datos preparados'!A267</f>
        <v/>
      </c>
      <c r="B274" s="5">
        <f>'1 datos preparados'!U267</f>
        <v/>
      </c>
      <c r="C274">
        <f>'1 datos preparados'!B267</f>
        <v/>
      </c>
      <c r="D274" s="7">
        <f>'1 datos preparados'!C267</f>
        <v/>
      </c>
      <c r="E274" s="7">
        <f>'1 datos preparados'!D267</f>
        <v/>
      </c>
      <c r="F274" s="7">
        <f>'1 datos preparados'!E267</f>
        <v/>
      </c>
      <c r="G274" s="7">
        <f>'1 datos preparados'!F267</f>
        <v/>
      </c>
      <c r="H274" s="7">
        <f>'1 datos preparados'!G267</f>
        <v/>
      </c>
      <c r="I274" s="7">
        <f>'1 datos preparados'!H267</f>
        <v/>
      </c>
      <c r="J274" s="7">
        <f>'1 datos preparados'!I267</f>
        <v/>
      </c>
      <c r="K274" s="7">
        <f>'1 datos preparados'!J267</f>
        <v/>
      </c>
      <c r="L274" s="7">
        <f>'1 datos preparados'!K267</f>
        <v/>
      </c>
      <c r="M274" s="7">
        <f>'1 datos preparados'!L267</f>
        <v/>
      </c>
      <c r="N274" s="7">
        <f>'1 datos preparados'!M267</f>
        <v/>
      </c>
      <c r="O274" s="7">
        <f>'1 datos preparados'!N267</f>
        <v/>
      </c>
      <c r="P274" s="7">
        <f>'1 datos preparados'!O267</f>
        <v/>
      </c>
      <c r="Q274" s="7">
        <f>'1 datos preparados'!P267</f>
        <v/>
      </c>
      <c r="R274" s="7">
        <f>'1 datos preparados'!Q267</f>
        <v/>
      </c>
      <c r="S274" s="7">
        <f>'1 datos preparados'!R267</f>
        <v/>
      </c>
      <c r="T274" s="7">
        <f>'1 datos preparados'!S267</f>
        <v/>
      </c>
      <c r="U274" s="7">
        <f>'1 datos preparados'!T267</f>
        <v/>
      </c>
      <c r="V274" s="8">
        <f>$AC$12+D274*$AC$13+E274*$AC$14+F274*$AC$15+G274*$AC$16+H274*$AC$17+I274*$AC$18+J274*$AC$19+K274*$AC$20+L274*$AC$21+M274*$AC$22+N274*$AC$23+O274*$AC$24+P274*$AC$25+Q274*$AC$26+R274*$AC$27+S274*$AC$28+T274*$AC$29+U274*$AC$30</f>
        <v/>
      </c>
      <c r="W274" s="8">
        <f>1/(1+EXP(-V274))</f>
        <v/>
      </c>
      <c r="X274" s="9">
        <f>-IF(C274=1,LN(W274),LN(1-W274))</f>
        <v/>
      </c>
      <c r="Y274" s="10">
        <f>IF(W274&gt;$AC$33,1,0)</f>
        <v/>
      </c>
      <c r="Z274">
        <f>IF(Y274=C274,1,0)</f>
        <v/>
      </c>
    </row>
    <row r="275">
      <c r="A275">
        <f>'1 datos preparados'!A268</f>
        <v/>
      </c>
      <c r="B275" s="5">
        <f>'1 datos preparados'!U268</f>
        <v/>
      </c>
      <c r="C275">
        <f>'1 datos preparados'!B268</f>
        <v/>
      </c>
      <c r="D275" s="7">
        <f>'1 datos preparados'!C268</f>
        <v/>
      </c>
      <c r="E275" s="7">
        <f>'1 datos preparados'!D268</f>
        <v/>
      </c>
      <c r="F275" s="7">
        <f>'1 datos preparados'!E268</f>
        <v/>
      </c>
      <c r="G275" s="7">
        <f>'1 datos preparados'!F268</f>
        <v/>
      </c>
      <c r="H275" s="7">
        <f>'1 datos preparados'!G268</f>
        <v/>
      </c>
      <c r="I275" s="7">
        <f>'1 datos preparados'!H268</f>
        <v/>
      </c>
      <c r="J275" s="7">
        <f>'1 datos preparados'!I268</f>
        <v/>
      </c>
      <c r="K275" s="7">
        <f>'1 datos preparados'!J268</f>
        <v/>
      </c>
      <c r="L275" s="7">
        <f>'1 datos preparados'!K268</f>
        <v/>
      </c>
      <c r="M275" s="7">
        <f>'1 datos preparados'!L268</f>
        <v/>
      </c>
      <c r="N275" s="7">
        <f>'1 datos preparados'!M268</f>
        <v/>
      </c>
      <c r="O275" s="7">
        <f>'1 datos preparados'!N268</f>
        <v/>
      </c>
      <c r="P275" s="7">
        <f>'1 datos preparados'!O268</f>
        <v/>
      </c>
      <c r="Q275" s="7">
        <f>'1 datos preparados'!P268</f>
        <v/>
      </c>
      <c r="R275" s="7">
        <f>'1 datos preparados'!Q268</f>
        <v/>
      </c>
      <c r="S275" s="7">
        <f>'1 datos preparados'!R268</f>
        <v/>
      </c>
      <c r="T275" s="7">
        <f>'1 datos preparados'!S268</f>
        <v/>
      </c>
      <c r="U275" s="7">
        <f>'1 datos preparados'!T268</f>
        <v/>
      </c>
      <c r="V275" s="8">
        <f>$AC$12+D275*$AC$13+E275*$AC$14+F275*$AC$15+G275*$AC$16+H275*$AC$17+I275*$AC$18+J275*$AC$19+K275*$AC$20+L275*$AC$21+M275*$AC$22+N275*$AC$23+O275*$AC$24+P275*$AC$25+Q275*$AC$26+R275*$AC$27+S275*$AC$28+T275*$AC$29+U275*$AC$30</f>
        <v/>
      </c>
      <c r="W275" s="8">
        <f>1/(1+EXP(-V275))</f>
        <v/>
      </c>
      <c r="X275" s="9">
        <f>-IF(C275=1,LN(W275),LN(1-W275))</f>
        <v/>
      </c>
      <c r="Y275" s="10">
        <f>IF(W275&gt;$AC$33,1,0)</f>
        <v/>
      </c>
      <c r="Z275">
        <f>IF(Y275=C275,1,0)</f>
        <v/>
      </c>
    </row>
    <row r="276">
      <c r="A276">
        <f>'1 datos preparados'!A269</f>
        <v/>
      </c>
      <c r="B276" s="5">
        <f>'1 datos preparados'!U269</f>
        <v/>
      </c>
      <c r="C276">
        <f>'1 datos preparados'!B269</f>
        <v/>
      </c>
      <c r="D276" s="7">
        <f>'1 datos preparados'!C269</f>
        <v/>
      </c>
      <c r="E276" s="7">
        <f>'1 datos preparados'!D269</f>
        <v/>
      </c>
      <c r="F276" s="7">
        <f>'1 datos preparados'!E269</f>
        <v/>
      </c>
      <c r="G276" s="7">
        <f>'1 datos preparados'!F269</f>
        <v/>
      </c>
      <c r="H276" s="7">
        <f>'1 datos preparados'!G269</f>
        <v/>
      </c>
      <c r="I276" s="7">
        <f>'1 datos preparados'!H269</f>
        <v/>
      </c>
      <c r="J276" s="7">
        <f>'1 datos preparados'!I269</f>
        <v/>
      </c>
      <c r="K276" s="7">
        <f>'1 datos preparados'!J269</f>
        <v/>
      </c>
      <c r="L276" s="7">
        <f>'1 datos preparados'!K269</f>
        <v/>
      </c>
      <c r="M276" s="7">
        <f>'1 datos preparados'!L269</f>
        <v/>
      </c>
      <c r="N276" s="7">
        <f>'1 datos preparados'!M269</f>
        <v/>
      </c>
      <c r="O276" s="7">
        <f>'1 datos preparados'!N269</f>
        <v/>
      </c>
      <c r="P276" s="7">
        <f>'1 datos preparados'!O269</f>
        <v/>
      </c>
      <c r="Q276" s="7">
        <f>'1 datos preparados'!P269</f>
        <v/>
      </c>
      <c r="R276" s="7">
        <f>'1 datos preparados'!Q269</f>
        <v/>
      </c>
      <c r="S276" s="7">
        <f>'1 datos preparados'!R269</f>
        <v/>
      </c>
      <c r="T276" s="7">
        <f>'1 datos preparados'!S269</f>
        <v/>
      </c>
      <c r="U276" s="7">
        <f>'1 datos preparados'!T269</f>
        <v/>
      </c>
      <c r="V276" s="8">
        <f>$AC$12+D276*$AC$13+E276*$AC$14+F276*$AC$15+G276*$AC$16+H276*$AC$17+I276*$AC$18+J276*$AC$19+K276*$AC$20+L276*$AC$21+M276*$AC$22+N276*$AC$23+O276*$AC$24+P276*$AC$25+Q276*$AC$26+R276*$AC$27+S276*$AC$28+T276*$AC$29+U276*$AC$30</f>
        <v/>
      </c>
      <c r="W276" s="8">
        <f>1/(1+EXP(-V276))</f>
        <v/>
      </c>
      <c r="X276" s="9">
        <f>-IF(C276=1,LN(W276),LN(1-W276))</f>
        <v/>
      </c>
      <c r="Y276" s="10">
        <f>IF(W276&gt;$AC$33,1,0)</f>
        <v/>
      </c>
      <c r="Z276">
        <f>IF(Y276=C276,1,0)</f>
        <v/>
      </c>
    </row>
    <row r="277">
      <c r="A277">
        <f>'1 datos preparados'!A270</f>
        <v/>
      </c>
      <c r="B277" s="5">
        <f>'1 datos preparados'!U270</f>
        <v/>
      </c>
      <c r="C277">
        <f>'1 datos preparados'!B270</f>
        <v/>
      </c>
      <c r="D277" s="7">
        <f>'1 datos preparados'!C270</f>
        <v/>
      </c>
      <c r="E277" s="7">
        <f>'1 datos preparados'!D270</f>
        <v/>
      </c>
      <c r="F277" s="7">
        <f>'1 datos preparados'!E270</f>
        <v/>
      </c>
      <c r="G277" s="7">
        <f>'1 datos preparados'!F270</f>
        <v/>
      </c>
      <c r="H277" s="7">
        <f>'1 datos preparados'!G270</f>
        <v/>
      </c>
      <c r="I277" s="7">
        <f>'1 datos preparados'!H270</f>
        <v/>
      </c>
      <c r="J277" s="7">
        <f>'1 datos preparados'!I270</f>
        <v/>
      </c>
      <c r="K277" s="7">
        <f>'1 datos preparados'!J270</f>
        <v/>
      </c>
      <c r="L277" s="7">
        <f>'1 datos preparados'!K270</f>
        <v/>
      </c>
      <c r="M277" s="7">
        <f>'1 datos preparados'!L270</f>
        <v/>
      </c>
      <c r="N277" s="7">
        <f>'1 datos preparados'!M270</f>
        <v/>
      </c>
      <c r="O277" s="7">
        <f>'1 datos preparados'!N270</f>
        <v/>
      </c>
      <c r="P277" s="7">
        <f>'1 datos preparados'!O270</f>
        <v/>
      </c>
      <c r="Q277" s="7">
        <f>'1 datos preparados'!P270</f>
        <v/>
      </c>
      <c r="R277" s="7">
        <f>'1 datos preparados'!Q270</f>
        <v/>
      </c>
      <c r="S277" s="7">
        <f>'1 datos preparados'!R270</f>
        <v/>
      </c>
      <c r="T277" s="7">
        <f>'1 datos preparados'!S270</f>
        <v/>
      </c>
      <c r="U277" s="7">
        <f>'1 datos preparados'!T270</f>
        <v/>
      </c>
      <c r="V277" s="8">
        <f>$AC$12+D277*$AC$13+E277*$AC$14+F277*$AC$15+G277*$AC$16+H277*$AC$17+I277*$AC$18+J277*$AC$19+K277*$AC$20+L277*$AC$21+M277*$AC$22+N277*$AC$23+O277*$AC$24+P277*$AC$25+Q277*$AC$26+R277*$AC$27+S277*$AC$28+T277*$AC$29+U277*$AC$30</f>
        <v/>
      </c>
      <c r="W277" s="8">
        <f>1/(1+EXP(-V277))</f>
        <v/>
      </c>
      <c r="X277" s="9">
        <f>-IF(C277=1,LN(W277),LN(1-W277))</f>
        <v/>
      </c>
      <c r="Y277" s="10">
        <f>IF(W277&gt;$AC$33,1,0)</f>
        <v/>
      </c>
      <c r="Z277">
        <f>IF(Y277=C277,1,0)</f>
        <v/>
      </c>
    </row>
    <row r="278">
      <c r="A278">
        <f>'1 datos preparados'!A271</f>
        <v/>
      </c>
      <c r="B278" s="5">
        <f>'1 datos preparados'!U271</f>
        <v/>
      </c>
      <c r="C278">
        <f>'1 datos preparados'!B271</f>
        <v/>
      </c>
      <c r="D278" s="7">
        <f>'1 datos preparados'!C271</f>
        <v/>
      </c>
      <c r="E278" s="7">
        <f>'1 datos preparados'!D271</f>
        <v/>
      </c>
      <c r="F278" s="7">
        <f>'1 datos preparados'!E271</f>
        <v/>
      </c>
      <c r="G278" s="7">
        <f>'1 datos preparados'!F271</f>
        <v/>
      </c>
      <c r="H278" s="7">
        <f>'1 datos preparados'!G271</f>
        <v/>
      </c>
      <c r="I278" s="7">
        <f>'1 datos preparados'!H271</f>
        <v/>
      </c>
      <c r="J278" s="7">
        <f>'1 datos preparados'!I271</f>
        <v/>
      </c>
      <c r="K278" s="7">
        <f>'1 datos preparados'!J271</f>
        <v/>
      </c>
      <c r="L278" s="7">
        <f>'1 datos preparados'!K271</f>
        <v/>
      </c>
      <c r="M278" s="7">
        <f>'1 datos preparados'!L271</f>
        <v/>
      </c>
      <c r="N278" s="7">
        <f>'1 datos preparados'!M271</f>
        <v/>
      </c>
      <c r="O278" s="7">
        <f>'1 datos preparados'!N271</f>
        <v/>
      </c>
      <c r="P278" s="7">
        <f>'1 datos preparados'!O271</f>
        <v/>
      </c>
      <c r="Q278" s="7">
        <f>'1 datos preparados'!P271</f>
        <v/>
      </c>
      <c r="R278" s="7">
        <f>'1 datos preparados'!Q271</f>
        <v/>
      </c>
      <c r="S278" s="7">
        <f>'1 datos preparados'!R271</f>
        <v/>
      </c>
      <c r="T278" s="7">
        <f>'1 datos preparados'!S271</f>
        <v/>
      </c>
      <c r="U278" s="7">
        <f>'1 datos preparados'!T271</f>
        <v/>
      </c>
      <c r="V278" s="8">
        <f>$AC$12+D278*$AC$13+E278*$AC$14+F278*$AC$15+G278*$AC$16+H278*$AC$17+I278*$AC$18+J278*$AC$19+K278*$AC$20+L278*$AC$21+M278*$AC$22+N278*$AC$23+O278*$AC$24+P278*$AC$25+Q278*$AC$26+R278*$AC$27+S278*$AC$28+T278*$AC$29+U278*$AC$30</f>
        <v/>
      </c>
      <c r="W278" s="8">
        <f>1/(1+EXP(-V278))</f>
        <v/>
      </c>
      <c r="X278" s="9">
        <f>-IF(C278=1,LN(W278),LN(1-W278))</f>
        <v/>
      </c>
      <c r="Y278" s="10">
        <f>IF(W278&gt;$AC$33,1,0)</f>
        <v/>
      </c>
      <c r="Z278">
        <f>IF(Y278=C278,1,0)</f>
        <v/>
      </c>
    </row>
    <row r="279">
      <c r="A279">
        <f>'1 datos preparados'!A272</f>
        <v/>
      </c>
      <c r="B279" s="5">
        <f>'1 datos preparados'!U272</f>
        <v/>
      </c>
      <c r="C279">
        <f>'1 datos preparados'!B272</f>
        <v/>
      </c>
      <c r="D279" s="7">
        <f>'1 datos preparados'!C272</f>
        <v/>
      </c>
      <c r="E279" s="7">
        <f>'1 datos preparados'!D272</f>
        <v/>
      </c>
      <c r="F279" s="7">
        <f>'1 datos preparados'!E272</f>
        <v/>
      </c>
      <c r="G279" s="7">
        <f>'1 datos preparados'!F272</f>
        <v/>
      </c>
      <c r="H279" s="7">
        <f>'1 datos preparados'!G272</f>
        <v/>
      </c>
      <c r="I279" s="7">
        <f>'1 datos preparados'!H272</f>
        <v/>
      </c>
      <c r="J279" s="7">
        <f>'1 datos preparados'!I272</f>
        <v/>
      </c>
      <c r="K279" s="7">
        <f>'1 datos preparados'!J272</f>
        <v/>
      </c>
      <c r="L279" s="7">
        <f>'1 datos preparados'!K272</f>
        <v/>
      </c>
      <c r="M279" s="7">
        <f>'1 datos preparados'!L272</f>
        <v/>
      </c>
      <c r="N279" s="7">
        <f>'1 datos preparados'!M272</f>
        <v/>
      </c>
      <c r="O279" s="7">
        <f>'1 datos preparados'!N272</f>
        <v/>
      </c>
      <c r="P279" s="7">
        <f>'1 datos preparados'!O272</f>
        <v/>
      </c>
      <c r="Q279" s="7">
        <f>'1 datos preparados'!P272</f>
        <v/>
      </c>
      <c r="R279" s="7">
        <f>'1 datos preparados'!Q272</f>
        <v/>
      </c>
      <c r="S279" s="7">
        <f>'1 datos preparados'!R272</f>
        <v/>
      </c>
      <c r="T279" s="7">
        <f>'1 datos preparados'!S272</f>
        <v/>
      </c>
      <c r="U279" s="7">
        <f>'1 datos preparados'!T272</f>
        <v/>
      </c>
      <c r="V279" s="8">
        <f>$AC$12+D279*$AC$13+E279*$AC$14+F279*$AC$15+G279*$AC$16+H279*$AC$17+I279*$AC$18+J279*$AC$19+K279*$AC$20+L279*$AC$21+M279*$AC$22+N279*$AC$23+O279*$AC$24+P279*$AC$25+Q279*$AC$26+R279*$AC$27+S279*$AC$28+T279*$AC$29+U279*$AC$30</f>
        <v/>
      </c>
      <c r="W279" s="8">
        <f>1/(1+EXP(-V279))</f>
        <v/>
      </c>
      <c r="X279" s="9">
        <f>-IF(C279=1,LN(W279),LN(1-W279))</f>
        <v/>
      </c>
      <c r="Y279" s="10">
        <f>IF(W279&gt;$AC$33,1,0)</f>
        <v/>
      </c>
      <c r="Z279">
        <f>IF(Y279=C279,1,0)</f>
        <v/>
      </c>
    </row>
    <row r="280">
      <c r="A280">
        <f>'1 datos preparados'!A273</f>
        <v/>
      </c>
      <c r="B280" s="5">
        <f>'1 datos preparados'!U273</f>
        <v/>
      </c>
      <c r="C280">
        <f>'1 datos preparados'!B273</f>
        <v/>
      </c>
      <c r="D280" s="7">
        <f>'1 datos preparados'!C273</f>
        <v/>
      </c>
      <c r="E280" s="7">
        <f>'1 datos preparados'!D273</f>
        <v/>
      </c>
      <c r="F280" s="7">
        <f>'1 datos preparados'!E273</f>
        <v/>
      </c>
      <c r="G280" s="7">
        <f>'1 datos preparados'!F273</f>
        <v/>
      </c>
      <c r="H280" s="7">
        <f>'1 datos preparados'!G273</f>
        <v/>
      </c>
      <c r="I280" s="7">
        <f>'1 datos preparados'!H273</f>
        <v/>
      </c>
      <c r="J280" s="7">
        <f>'1 datos preparados'!I273</f>
        <v/>
      </c>
      <c r="K280" s="7">
        <f>'1 datos preparados'!J273</f>
        <v/>
      </c>
      <c r="L280" s="7">
        <f>'1 datos preparados'!K273</f>
        <v/>
      </c>
      <c r="M280" s="7">
        <f>'1 datos preparados'!L273</f>
        <v/>
      </c>
      <c r="N280" s="7">
        <f>'1 datos preparados'!M273</f>
        <v/>
      </c>
      <c r="O280" s="7">
        <f>'1 datos preparados'!N273</f>
        <v/>
      </c>
      <c r="P280" s="7">
        <f>'1 datos preparados'!O273</f>
        <v/>
      </c>
      <c r="Q280" s="7">
        <f>'1 datos preparados'!P273</f>
        <v/>
      </c>
      <c r="R280" s="7">
        <f>'1 datos preparados'!Q273</f>
        <v/>
      </c>
      <c r="S280" s="7">
        <f>'1 datos preparados'!R273</f>
        <v/>
      </c>
      <c r="T280" s="7">
        <f>'1 datos preparados'!S273</f>
        <v/>
      </c>
      <c r="U280" s="7">
        <f>'1 datos preparados'!T273</f>
        <v/>
      </c>
      <c r="V280" s="8">
        <f>$AC$12+D280*$AC$13+E280*$AC$14+F280*$AC$15+G280*$AC$16+H280*$AC$17+I280*$AC$18+J280*$AC$19+K280*$AC$20+L280*$AC$21+M280*$AC$22+N280*$AC$23+O280*$AC$24+P280*$AC$25+Q280*$AC$26+R280*$AC$27+S280*$AC$28+T280*$AC$29+U280*$AC$30</f>
        <v/>
      </c>
      <c r="W280" s="8">
        <f>1/(1+EXP(-V280))</f>
        <v/>
      </c>
      <c r="X280" s="9">
        <f>-IF(C280=1,LN(W280),LN(1-W280))</f>
        <v/>
      </c>
      <c r="Y280" s="10">
        <f>IF(W280&gt;$AC$33,1,0)</f>
        <v/>
      </c>
      <c r="Z280">
        <f>IF(Y280=C280,1,0)</f>
        <v/>
      </c>
    </row>
    <row r="281">
      <c r="A281">
        <f>'1 datos preparados'!A274</f>
        <v/>
      </c>
      <c r="B281" s="5">
        <f>'1 datos preparados'!U274</f>
        <v/>
      </c>
      <c r="C281">
        <f>'1 datos preparados'!B274</f>
        <v/>
      </c>
      <c r="D281" s="7">
        <f>'1 datos preparados'!C274</f>
        <v/>
      </c>
      <c r="E281" s="7">
        <f>'1 datos preparados'!D274</f>
        <v/>
      </c>
      <c r="F281" s="7">
        <f>'1 datos preparados'!E274</f>
        <v/>
      </c>
      <c r="G281" s="7">
        <f>'1 datos preparados'!F274</f>
        <v/>
      </c>
      <c r="H281" s="7">
        <f>'1 datos preparados'!G274</f>
        <v/>
      </c>
      <c r="I281" s="7">
        <f>'1 datos preparados'!H274</f>
        <v/>
      </c>
      <c r="J281" s="7">
        <f>'1 datos preparados'!I274</f>
        <v/>
      </c>
      <c r="K281" s="7">
        <f>'1 datos preparados'!J274</f>
        <v/>
      </c>
      <c r="L281" s="7">
        <f>'1 datos preparados'!K274</f>
        <v/>
      </c>
      <c r="M281" s="7">
        <f>'1 datos preparados'!L274</f>
        <v/>
      </c>
      <c r="N281" s="7">
        <f>'1 datos preparados'!M274</f>
        <v/>
      </c>
      <c r="O281" s="7">
        <f>'1 datos preparados'!N274</f>
        <v/>
      </c>
      <c r="P281" s="7">
        <f>'1 datos preparados'!O274</f>
        <v/>
      </c>
      <c r="Q281" s="7">
        <f>'1 datos preparados'!P274</f>
        <v/>
      </c>
      <c r="R281" s="7">
        <f>'1 datos preparados'!Q274</f>
        <v/>
      </c>
      <c r="S281" s="7">
        <f>'1 datos preparados'!R274</f>
        <v/>
      </c>
      <c r="T281" s="7">
        <f>'1 datos preparados'!S274</f>
        <v/>
      </c>
      <c r="U281" s="7">
        <f>'1 datos preparados'!T274</f>
        <v/>
      </c>
      <c r="V281" s="8">
        <f>$AC$12+D281*$AC$13+E281*$AC$14+F281*$AC$15+G281*$AC$16+H281*$AC$17+I281*$AC$18+J281*$AC$19+K281*$AC$20+L281*$AC$21+M281*$AC$22+N281*$AC$23+O281*$AC$24+P281*$AC$25+Q281*$AC$26+R281*$AC$27+S281*$AC$28+T281*$AC$29+U281*$AC$30</f>
        <v/>
      </c>
      <c r="W281" s="8">
        <f>1/(1+EXP(-V281))</f>
        <v/>
      </c>
      <c r="X281" s="9">
        <f>-IF(C281=1,LN(W281),LN(1-W281))</f>
        <v/>
      </c>
      <c r="Y281" s="10">
        <f>IF(W281&gt;$AC$33,1,0)</f>
        <v/>
      </c>
      <c r="Z281">
        <f>IF(Y281=C281,1,0)</f>
        <v/>
      </c>
    </row>
    <row r="282">
      <c r="A282">
        <f>'1 datos preparados'!A275</f>
        <v/>
      </c>
      <c r="B282" s="5">
        <f>'1 datos preparados'!U275</f>
        <v/>
      </c>
      <c r="C282">
        <f>'1 datos preparados'!B275</f>
        <v/>
      </c>
      <c r="D282" s="7">
        <f>'1 datos preparados'!C275</f>
        <v/>
      </c>
      <c r="E282" s="7">
        <f>'1 datos preparados'!D275</f>
        <v/>
      </c>
      <c r="F282" s="7">
        <f>'1 datos preparados'!E275</f>
        <v/>
      </c>
      <c r="G282" s="7">
        <f>'1 datos preparados'!F275</f>
        <v/>
      </c>
      <c r="H282" s="7">
        <f>'1 datos preparados'!G275</f>
        <v/>
      </c>
      <c r="I282" s="7">
        <f>'1 datos preparados'!H275</f>
        <v/>
      </c>
      <c r="J282" s="7">
        <f>'1 datos preparados'!I275</f>
        <v/>
      </c>
      <c r="K282" s="7">
        <f>'1 datos preparados'!J275</f>
        <v/>
      </c>
      <c r="L282" s="7">
        <f>'1 datos preparados'!K275</f>
        <v/>
      </c>
      <c r="M282" s="7">
        <f>'1 datos preparados'!L275</f>
        <v/>
      </c>
      <c r="N282" s="7">
        <f>'1 datos preparados'!M275</f>
        <v/>
      </c>
      <c r="O282" s="7">
        <f>'1 datos preparados'!N275</f>
        <v/>
      </c>
      <c r="P282" s="7">
        <f>'1 datos preparados'!O275</f>
        <v/>
      </c>
      <c r="Q282" s="7">
        <f>'1 datos preparados'!P275</f>
        <v/>
      </c>
      <c r="R282" s="7">
        <f>'1 datos preparados'!Q275</f>
        <v/>
      </c>
      <c r="S282" s="7">
        <f>'1 datos preparados'!R275</f>
        <v/>
      </c>
      <c r="T282" s="7">
        <f>'1 datos preparados'!S275</f>
        <v/>
      </c>
      <c r="U282" s="7">
        <f>'1 datos preparados'!T275</f>
        <v/>
      </c>
      <c r="V282" s="8">
        <f>$AC$12+D282*$AC$13+E282*$AC$14+F282*$AC$15+G282*$AC$16+H282*$AC$17+I282*$AC$18+J282*$AC$19+K282*$AC$20+L282*$AC$21+M282*$AC$22+N282*$AC$23+O282*$AC$24+P282*$AC$25+Q282*$AC$26+R282*$AC$27+S282*$AC$28+T282*$AC$29+U282*$AC$30</f>
        <v/>
      </c>
      <c r="W282" s="8">
        <f>1/(1+EXP(-V282))</f>
        <v/>
      </c>
      <c r="X282" s="9">
        <f>-IF(C282=1,LN(W282),LN(1-W282))</f>
        <v/>
      </c>
      <c r="Y282" s="10">
        <f>IF(W282&gt;$AC$33,1,0)</f>
        <v/>
      </c>
      <c r="Z282">
        <f>IF(Y282=C282,1,0)</f>
        <v/>
      </c>
    </row>
    <row r="283">
      <c r="A283">
        <f>'1 datos preparados'!A276</f>
        <v/>
      </c>
      <c r="B283" s="5">
        <f>'1 datos preparados'!U276</f>
        <v/>
      </c>
      <c r="C283">
        <f>'1 datos preparados'!B276</f>
        <v/>
      </c>
      <c r="D283" s="7">
        <f>'1 datos preparados'!C276</f>
        <v/>
      </c>
      <c r="E283" s="7">
        <f>'1 datos preparados'!D276</f>
        <v/>
      </c>
      <c r="F283" s="7">
        <f>'1 datos preparados'!E276</f>
        <v/>
      </c>
      <c r="G283" s="7">
        <f>'1 datos preparados'!F276</f>
        <v/>
      </c>
      <c r="H283" s="7">
        <f>'1 datos preparados'!G276</f>
        <v/>
      </c>
      <c r="I283" s="7">
        <f>'1 datos preparados'!H276</f>
        <v/>
      </c>
      <c r="J283" s="7">
        <f>'1 datos preparados'!I276</f>
        <v/>
      </c>
      <c r="K283" s="7">
        <f>'1 datos preparados'!J276</f>
        <v/>
      </c>
      <c r="L283" s="7">
        <f>'1 datos preparados'!K276</f>
        <v/>
      </c>
      <c r="M283" s="7">
        <f>'1 datos preparados'!L276</f>
        <v/>
      </c>
      <c r="N283" s="7">
        <f>'1 datos preparados'!M276</f>
        <v/>
      </c>
      <c r="O283" s="7">
        <f>'1 datos preparados'!N276</f>
        <v/>
      </c>
      <c r="P283" s="7">
        <f>'1 datos preparados'!O276</f>
        <v/>
      </c>
      <c r="Q283" s="7">
        <f>'1 datos preparados'!P276</f>
        <v/>
      </c>
      <c r="R283" s="7">
        <f>'1 datos preparados'!Q276</f>
        <v/>
      </c>
      <c r="S283" s="7">
        <f>'1 datos preparados'!R276</f>
        <v/>
      </c>
      <c r="T283" s="7">
        <f>'1 datos preparados'!S276</f>
        <v/>
      </c>
      <c r="U283" s="7">
        <f>'1 datos preparados'!T276</f>
        <v/>
      </c>
      <c r="V283" s="8">
        <f>$AC$12+D283*$AC$13+E283*$AC$14+F283*$AC$15+G283*$AC$16+H283*$AC$17+I283*$AC$18+J283*$AC$19+K283*$AC$20+L283*$AC$21+M283*$AC$22+N283*$AC$23+O283*$AC$24+P283*$AC$25+Q283*$AC$26+R283*$AC$27+S283*$AC$28+T283*$AC$29+U283*$AC$30</f>
        <v/>
      </c>
      <c r="W283" s="8">
        <f>1/(1+EXP(-V283))</f>
        <v/>
      </c>
      <c r="X283" s="9">
        <f>-IF(C283=1,LN(W283),LN(1-W283))</f>
        <v/>
      </c>
      <c r="Y283" s="10">
        <f>IF(W283&gt;$AC$33,1,0)</f>
        <v/>
      </c>
      <c r="Z283">
        <f>IF(Y283=C283,1,0)</f>
        <v/>
      </c>
    </row>
    <row r="284">
      <c r="A284">
        <f>'1 datos preparados'!A277</f>
        <v/>
      </c>
      <c r="B284" s="5">
        <f>'1 datos preparados'!U277</f>
        <v/>
      </c>
      <c r="C284">
        <f>'1 datos preparados'!B277</f>
        <v/>
      </c>
      <c r="D284" s="7">
        <f>'1 datos preparados'!C277</f>
        <v/>
      </c>
      <c r="E284" s="7">
        <f>'1 datos preparados'!D277</f>
        <v/>
      </c>
      <c r="F284" s="7">
        <f>'1 datos preparados'!E277</f>
        <v/>
      </c>
      <c r="G284" s="7">
        <f>'1 datos preparados'!F277</f>
        <v/>
      </c>
      <c r="H284" s="7">
        <f>'1 datos preparados'!G277</f>
        <v/>
      </c>
      <c r="I284" s="7">
        <f>'1 datos preparados'!H277</f>
        <v/>
      </c>
      <c r="J284" s="7">
        <f>'1 datos preparados'!I277</f>
        <v/>
      </c>
      <c r="K284" s="7">
        <f>'1 datos preparados'!J277</f>
        <v/>
      </c>
      <c r="L284" s="7">
        <f>'1 datos preparados'!K277</f>
        <v/>
      </c>
      <c r="M284" s="7">
        <f>'1 datos preparados'!L277</f>
        <v/>
      </c>
      <c r="N284" s="7">
        <f>'1 datos preparados'!M277</f>
        <v/>
      </c>
      <c r="O284" s="7">
        <f>'1 datos preparados'!N277</f>
        <v/>
      </c>
      <c r="P284" s="7">
        <f>'1 datos preparados'!O277</f>
        <v/>
      </c>
      <c r="Q284" s="7">
        <f>'1 datos preparados'!P277</f>
        <v/>
      </c>
      <c r="R284" s="7">
        <f>'1 datos preparados'!Q277</f>
        <v/>
      </c>
      <c r="S284" s="7">
        <f>'1 datos preparados'!R277</f>
        <v/>
      </c>
      <c r="T284" s="7">
        <f>'1 datos preparados'!S277</f>
        <v/>
      </c>
      <c r="U284" s="7">
        <f>'1 datos preparados'!T277</f>
        <v/>
      </c>
      <c r="V284" s="8">
        <f>$AC$12+D284*$AC$13+E284*$AC$14+F284*$AC$15+G284*$AC$16+H284*$AC$17+I284*$AC$18+J284*$AC$19+K284*$AC$20+L284*$AC$21+M284*$AC$22+N284*$AC$23+O284*$AC$24+P284*$AC$25+Q284*$AC$26+R284*$AC$27+S284*$AC$28+T284*$AC$29+U284*$AC$30</f>
        <v/>
      </c>
      <c r="W284" s="8">
        <f>1/(1+EXP(-V284))</f>
        <v/>
      </c>
      <c r="X284" s="9">
        <f>-IF(C284=1,LN(W284),LN(1-W284))</f>
        <v/>
      </c>
      <c r="Y284" s="10">
        <f>IF(W284&gt;$AC$33,1,0)</f>
        <v/>
      </c>
      <c r="Z284">
        <f>IF(Y284=C284,1,0)</f>
        <v/>
      </c>
    </row>
    <row r="285">
      <c r="A285">
        <f>'1 datos preparados'!A278</f>
        <v/>
      </c>
      <c r="B285" s="5">
        <f>'1 datos preparados'!U278</f>
        <v/>
      </c>
      <c r="C285">
        <f>'1 datos preparados'!B278</f>
        <v/>
      </c>
      <c r="D285" s="7">
        <f>'1 datos preparados'!C278</f>
        <v/>
      </c>
      <c r="E285" s="7">
        <f>'1 datos preparados'!D278</f>
        <v/>
      </c>
      <c r="F285" s="7">
        <f>'1 datos preparados'!E278</f>
        <v/>
      </c>
      <c r="G285" s="7">
        <f>'1 datos preparados'!F278</f>
        <v/>
      </c>
      <c r="H285" s="7">
        <f>'1 datos preparados'!G278</f>
        <v/>
      </c>
      <c r="I285" s="7">
        <f>'1 datos preparados'!H278</f>
        <v/>
      </c>
      <c r="J285" s="7">
        <f>'1 datos preparados'!I278</f>
        <v/>
      </c>
      <c r="K285" s="7">
        <f>'1 datos preparados'!J278</f>
        <v/>
      </c>
      <c r="L285" s="7">
        <f>'1 datos preparados'!K278</f>
        <v/>
      </c>
      <c r="M285" s="7">
        <f>'1 datos preparados'!L278</f>
        <v/>
      </c>
      <c r="N285" s="7">
        <f>'1 datos preparados'!M278</f>
        <v/>
      </c>
      <c r="O285" s="7">
        <f>'1 datos preparados'!N278</f>
        <v/>
      </c>
      <c r="P285" s="7">
        <f>'1 datos preparados'!O278</f>
        <v/>
      </c>
      <c r="Q285" s="7">
        <f>'1 datos preparados'!P278</f>
        <v/>
      </c>
      <c r="R285" s="7">
        <f>'1 datos preparados'!Q278</f>
        <v/>
      </c>
      <c r="S285" s="7">
        <f>'1 datos preparados'!R278</f>
        <v/>
      </c>
      <c r="T285" s="7">
        <f>'1 datos preparados'!S278</f>
        <v/>
      </c>
      <c r="U285" s="7">
        <f>'1 datos preparados'!T278</f>
        <v/>
      </c>
      <c r="V285" s="8">
        <f>$AC$12+D285*$AC$13+E285*$AC$14+F285*$AC$15+G285*$AC$16+H285*$AC$17+I285*$AC$18+J285*$AC$19+K285*$AC$20+L285*$AC$21+M285*$AC$22+N285*$AC$23+O285*$AC$24+P285*$AC$25+Q285*$AC$26+R285*$AC$27+S285*$AC$28+T285*$AC$29+U285*$AC$30</f>
        <v/>
      </c>
      <c r="W285" s="8">
        <f>1/(1+EXP(-V285))</f>
        <v/>
      </c>
      <c r="X285" s="9">
        <f>-IF(C285=1,LN(W285),LN(1-W285))</f>
        <v/>
      </c>
      <c r="Y285" s="10">
        <f>IF(W285&gt;$AC$33,1,0)</f>
        <v/>
      </c>
      <c r="Z285">
        <f>IF(Y285=C285,1,0)</f>
        <v/>
      </c>
    </row>
    <row r="286">
      <c r="A286">
        <f>'1 datos preparados'!A279</f>
        <v/>
      </c>
      <c r="B286" s="5">
        <f>'1 datos preparados'!U279</f>
        <v/>
      </c>
      <c r="C286">
        <f>'1 datos preparados'!B279</f>
        <v/>
      </c>
      <c r="D286" s="7">
        <f>'1 datos preparados'!C279</f>
        <v/>
      </c>
      <c r="E286" s="7">
        <f>'1 datos preparados'!D279</f>
        <v/>
      </c>
      <c r="F286" s="7">
        <f>'1 datos preparados'!E279</f>
        <v/>
      </c>
      <c r="G286" s="7">
        <f>'1 datos preparados'!F279</f>
        <v/>
      </c>
      <c r="H286" s="7">
        <f>'1 datos preparados'!G279</f>
        <v/>
      </c>
      <c r="I286" s="7">
        <f>'1 datos preparados'!H279</f>
        <v/>
      </c>
      <c r="J286" s="7">
        <f>'1 datos preparados'!I279</f>
        <v/>
      </c>
      <c r="K286" s="7">
        <f>'1 datos preparados'!J279</f>
        <v/>
      </c>
      <c r="L286" s="7">
        <f>'1 datos preparados'!K279</f>
        <v/>
      </c>
      <c r="M286" s="7">
        <f>'1 datos preparados'!L279</f>
        <v/>
      </c>
      <c r="N286" s="7">
        <f>'1 datos preparados'!M279</f>
        <v/>
      </c>
      <c r="O286" s="7">
        <f>'1 datos preparados'!N279</f>
        <v/>
      </c>
      <c r="P286" s="7">
        <f>'1 datos preparados'!O279</f>
        <v/>
      </c>
      <c r="Q286" s="7">
        <f>'1 datos preparados'!P279</f>
        <v/>
      </c>
      <c r="R286" s="7">
        <f>'1 datos preparados'!Q279</f>
        <v/>
      </c>
      <c r="S286" s="7">
        <f>'1 datos preparados'!R279</f>
        <v/>
      </c>
      <c r="T286" s="7">
        <f>'1 datos preparados'!S279</f>
        <v/>
      </c>
      <c r="U286" s="7">
        <f>'1 datos preparados'!T279</f>
        <v/>
      </c>
      <c r="V286" s="8">
        <f>$AC$12+D286*$AC$13+E286*$AC$14+F286*$AC$15+G286*$AC$16+H286*$AC$17+I286*$AC$18+J286*$AC$19+K286*$AC$20+L286*$AC$21+M286*$AC$22+N286*$AC$23+O286*$AC$24+P286*$AC$25+Q286*$AC$26+R286*$AC$27+S286*$AC$28+T286*$AC$29+U286*$AC$30</f>
        <v/>
      </c>
      <c r="W286" s="8">
        <f>1/(1+EXP(-V286))</f>
        <v/>
      </c>
      <c r="X286" s="9">
        <f>-IF(C286=1,LN(W286),LN(1-W286))</f>
        <v/>
      </c>
      <c r="Y286" s="10">
        <f>IF(W286&gt;$AC$33,1,0)</f>
        <v/>
      </c>
      <c r="Z286">
        <f>IF(Y286=C286,1,0)</f>
        <v/>
      </c>
    </row>
    <row r="287">
      <c r="A287">
        <f>'1 datos preparados'!A280</f>
        <v/>
      </c>
      <c r="B287" s="5">
        <f>'1 datos preparados'!U280</f>
        <v/>
      </c>
      <c r="C287">
        <f>'1 datos preparados'!B280</f>
        <v/>
      </c>
      <c r="D287" s="7">
        <f>'1 datos preparados'!C280</f>
        <v/>
      </c>
      <c r="E287" s="7">
        <f>'1 datos preparados'!D280</f>
        <v/>
      </c>
      <c r="F287" s="7">
        <f>'1 datos preparados'!E280</f>
        <v/>
      </c>
      <c r="G287" s="7">
        <f>'1 datos preparados'!F280</f>
        <v/>
      </c>
      <c r="H287" s="7">
        <f>'1 datos preparados'!G280</f>
        <v/>
      </c>
      <c r="I287" s="7">
        <f>'1 datos preparados'!H280</f>
        <v/>
      </c>
      <c r="J287" s="7">
        <f>'1 datos preparados'!I280</f>
        <v/>
      </c>
      <c r="K287" s="7">
        <f>'1 datos preparados'!J280</f>
        <v/>
      </c>
      <c r="L287" s="7">
        <f>'1 datos preparados'!K280</f>
        <v/>
      </c>
      <c r="M287" s="7">
        <f>'1 datos preparados'!L280</f>
        <v/>
      </c>
      <c r="N287" s="7">
        <f>'1 datos preparados'!M280</f>
        <v/>
      </c>
      <c r="O287" s="7">
        <f>'1 datos preparados'!N280</f>
        <v/>
      </c>
      <c r="P287" s="7">
        <f>'1 datos preparados'!O280</f>
        <v/>
      </c>
      <c r="Q287" s="7">
        <f>'1 datos preparados'!P280</f>
        <v/>
      </c>
      <c r="R287" s="7">
        <f>'1 datos preparados'!Q280</f>
        <v/>
      </c>
      <c r="S287" s="7">
        <f>'1 datos preparados'!R280</f>
        <v/>
      </c>
      <c r="T287" s="7">
        <f>'1 datos preparados'!S280</f>
        <v/>
      </c>
      <c r="U287" s="7">
        <f>'1 datos preparados'!T280</f>
        <v/>
      </c>
      <c r="V287" s="8">
        <f>$AC$12+D287*$AC$13+E287*$AC$14+F287*$AC$15+G287*$AC$16+H287*$AC$17+I287*$AC$18+J287*$AC$19+K287*$AC$20+L287*$AC$21+M287*$AC$22+N287*$AC$23+O287*$AC$24+P287*$AC$25+Q287*$AC$26+R287*$AC$27+S287*$AC$28+T287*$AC$29+U287*$AC$30</f>
        <v/>
      </c>
      <c r="W287" s="8">
        <f>1/(1+EXP(-V287))</f>
        <v/>
      </c>
      <c r="X287" s="9">
        <f>-IF(C287=1,LN(W287),LN(1-W287))</f>
        <v/>
      </c>
      <c r="Y287" s="10">
        <f>IF(W287&gt;$AC$33,1,0)</f>
        <v/>
      </c>
      <c r="Z287">
        <f>IF(Y287=C287,1,0)</f>
        <v/>
      </c>
    </row>
    <row r="288">
      <c r="A288">
        <f>'1 datos preparados'!A281</f>
        <v/>
      </c>
      <c r="B288" s="5">
        <f>'1 datos preparados'!U281</f>
        <v/>
      </c>
      <c r="C288">
        <f>'1 datos preparados'!B281</f>
        <v/>
      </c>
      <c r="D288" s="7">
        <f>'1 datos preparados'!C281</f>
        <v/>
      </c>
      <c r="E288" s="7">
        <f>'1 datos preparados'!D281</f>
        <v/>
      </c>
      <c r="F288" s="7">
        <f>'1 datos preparados'!E281</f>
        <v/>
      </c>
      <c r="G288" s="7">
        <f>'1 datos preparados'!F281</f>
        <v/>
      </c>
      <c r="H288" s="7">
        <f>'1 datos preparados'!G281</f>
        <v/>
      </c>
      <c r="I288" s="7">
        <f>'1 datos preparados'!H281</f>
        <v/>
      </c>
      <c r="J288" s="7">
        <f>'1 datos preparados'!I281</f>
        <v/>
      </c>
      <c r="K288" s="7">
        <f>'1 datos preparados'!J281</f>
        <v/>
      </c>
      <c r="L288" s="7">
        <f>'1 datos preparados'!K281</f>
        <v/>
      </c>
      <c r="M288" s="7">
        <f>'1 datos preparados'!L281</f>
        <v/>
      </c>
      <c r="N288" s="7">
        <f>'1 datos preparados'!M281</f>
        <v/>
      </c>
      <c r="O288" s="7">
        <f>'1 datos preparados'!N281</f>
        <v/>
      </c>
      <c r="P288" s="7">
        <f>'1 datos preparados'!O281</f>
        <v/>
      </c>
      <c r="Q288" s="7">
        <f>'1 datos preparados'!P281</f>
        <v/>
      </c>
      <c r="R288" s="7">
        <f>'1 datos preparados'!Q281</f>
        <v/>
      </c>
      <c r="S288" s="7">
        <f>'1 datos preparados'!R281</f>
        <v/>
      </c>
      <c r="T288" s="7">
        <f>'1 datos preparados'!S281</f>
        <v/>
      </c>
      <c r="U288" s="7">
        <f>'1 datos preparados'!T281</f>
        <v/>
      </c>
      <c r="V288" s="8">
        <f>$AC$12+D288*$AC$13+E288*$AC$14+F288*$AC$15+G288*$AC$16+H288*$AC$17+I288*$AC$18+J288*$AC$19+K288*$AC$20+L288*$AC$21+M288*$AC$22+N288*$AC$23+O288*$AC$24+P288*$AC$25+Q288*$AC$26+R288*$AC$27+S288*$AC$28+T288*$AC$29+U288*$AC$30</f>
        <v/>
      </c>
      <c r="W288" s="8">
        <f>1/(1+EXP(-V288))</f>
        <v/>
      </c>
      <c r="X288" s="9">
        <f>-IF(C288=1,LN(W288),LN(1-W288))</f>
        <v/>
      </c>
      <c r="Y288" s="10">
        <f>IF(W288&gt;$AC$33,1,0)</f>
        <v/>
      </c>
      <c r="Z288">
        <f>IF(Y288=C288,1,0)</f>
        <v/>
      </c>
    </row>
    <row r="289">
      <c r="A289">
        <f>'1 datos preparados'!A282</f>
        <v/>
      </c>
      <c r="B289" s="5">
        <f>'1 datos preparados'!U282</f>
        <v/>
      </c>
      <c r="C289">
        <f>'1 datos preparados'!B282</f>
        <v/>
      </c>
      <c r="D289" s="7">
        <f>'1 datos preparados'!C282</f>
        <v/>
      </c>
      <c r="E289" s="7">
        <f>'1 datos preparados'!D282</f>
        <v/>
      </c>
      <c r="F289" s="7">
        <f>'1 datos preparados'!E282</f>
        <v/>
      </c>
      <c r="G289" s="7">
        <f>'1 datos preparados'!F282</f>
        <v/>
      </c>
      <c r="H289" s="7">
        <f>'1 datos preparados'!G282</f>
        <v/>
      </c>
      <c r="I289" s="7">
        <f>'1 datos preparados'!H282</f>
        <v/>
      </c>
      <c r="J289" s="7">
        <f>'1 datos preparados'!I282</f>
        <v/>
      </c>
      <c r="K289" s="7">
        <f>'1 datos preparados'!J282</f>
        <v/>
      </c>
      <c r="L289" s="7">
        <f>'1 datos preparados'!K282</f>
        <v/>
      </c>
      <c r="M289" s="7">
        <f>'1 datos preparados'!L282</f>
        <v/>
      </c>
      <c r="N289" s="7">
        <f>'1 datos preparados'!M282</f>
        <v/>
      </c>
      <c r="O289" s="7">
        <f>'1 datos preparados'!N282</f>
        <v/>
      </c>
      <c r="P289" s="7">
        <f>'1 datos preparados'!O282</f>
        <v/>
      </c>
      <c r="Q289" s="7">
        <f>'1 datos preparados'!P282</f>
        <v/>
      </c>
      <c r="R289" s="7">
        <f>'1 datos preparados'!Q282</f>
        <v/>
      </c>
      <c r="S289" s="7">
        <f>'1 datos preparados'!R282</f>
        <v/>
      </c>
      <c r="T289" s="7">
        <f>'1 datos preparados'!S282</f>
        <v/>
      </c>
      <c r="U289" s="7">
        <f>'1 datos preparados'!T282</f>
        <v/>
      </c>
      <c r="V289" s="8">
        <f>$AC$12+D289*$AC$13+E289*$AC$14+F289*$AC$15+G289*$AC$16+H289*$AC$17+I289*$AC$18+J289*$AC$19+K289*$AC$20+L289*$AC$21+M289*$AC$22+N289*$AC$23+O289*$AC$24+P289*$AC$25+Q289*$AC$26+R289*$AC$27+S289*$AC$28+T289*$AC$29+U289*$AC$30</f>
        <v/>
      </c>
      <c r="W289" s="8">
        <f>1/(1+EXP(-V289))</f>
        <v/>
      </c>
      <c r="X289" s="9">
        <f>-IF(C289=1,LN(W289),LN(1-W289))</f>
        <v/>
      </c>
      <c r="Y289" s="10">
        <f>IF(W289&gt;$AC$33,1,0)</f>
        <v/>
      </c>
      <c r="Z289">
        <f>IF(Y289=C289,1,0)</f>
        <v/>
      </c>
    </row>
    <row r="290">
      <c r="A290">
        <f>'1 datos preparados'!A283</f>
        <v/>
      </c>
      <c r="B290" s="5">
        <f>'1 datos preparados'!U283</f>
        <v/>
      </c>
      <c r="C290">
        <f>'1 datos preparados'!B283</f>
        <v/>
      </c>
      <c r="D290" s="7">
        <f>'1 datos preparados'!C283</f>
        <v/>
      </c>
      <c r="E290" s="7">
        <f>'1 datos preparados'!D283</f>
        <v/>
      </c>
      <c r="F290" s="7">
        <f>'1 datos preparados'!E283</f>
        <v/>
      </c>
      <c r="G290" s="7">
        <f>'1 datos preparados'!F283</f>
        <v/>
      </c>
      <c r="H290" s="7">
        <f>'1 datos preparados'!G283</f>
        <v/>
      </c>
      <c r="I290" s="7">
        <f>'1 datos preparados'!H283</f>
        <v/>
      </c>
      <c r="J290" s="7">
        <f>'1 datos preparados'!I283</f>
        <v/>
      </c>
      <c r="K290" s="7">
        <f>'1 datos preparados'!J283</f>
        <v/>
      </c>
      <c r="L290" s="7">
        <f>'1 datos preparados'!K283</f>
        <v/>
      </c>
      <c r="M290" s="7">
        <f>'1 datos preparados'!L283</f>
        <v/>
      </c>
      <c r="N290" s="7">
        <f>'1 datos preparados'!M283</f>
        <v/>
      </c>
      <c r="O290" s="7">
        <f>'1 datos preparados'!N283</f>
        <v/>
      </c>
      <c r="P290" s="7">
        <f>'1 datos preparados'!O283</f>
        <v/>
      </c>
      <c r="Q290" s="7">
        <f>'1 datos preparados'!P283</f>
        <v/>
      </c>
      <c r="R290" s="7">
        <f>'1 datos preparados'!Q283</f>
        <v/>
      </c>
      <c r="S290" s="7">
        <f>'1 datos preparados'!R283</f>
        <v/>
      </c>
      <c r="T290" s="7">
        <f>'1 datos preparados'!S283</f>
        <v/>
      </c>
      <c r="U290" s="7">
        <f>'1 datos preparados'!T283</f>
        <v/>
      </c>
      <c r="V290" s="8">
        <f>$AC$12+D290*$AC$13+E290*$AC$14+F290*$AC$15+G290*$AC$16+H290*$AC$17+I290*$AC$18+J290*$AC$19+K290*$AC$20+L290*$AC$21+M290*$AC$22+N290*$AC$23+O290*$AC$24+P290*$AC$25+Q290*$AC$26+R290*$AC$27+S290*$AC$28+T290*$AC$29+U290*$AC$30</f>
        <v/>
      </c>
      <c r="W290" s="8">
        <f>1/(1+EXP(-V290))</f>
        <v/>
      </c>
      <c r="X290" s="9">
        <f>-IF(C290=1,LN(W290),LN(1-W290))</f>
        <v/>
      </c>
      <c r="Y290" s="10">
        <f>IF(W290&gt;$AC$33,1,0)</f>
        <v/>
      </c>
      <c r="Z290">
        <f>IF(Y290=C290,1,0)</f>
        <v/>
      </c>
    </row>
    <row r="291">
      <c r="A291">
        <f>'1 datos preparados'!A284</f>
        <v/>
      </c>
      <c r="B291" s="5">
        <f>'1 datos preparados'!U284</f>
        <v/>
      </c>
      <c r="C291">
        <f>'1 datos preparados'!B284</f>
        <v/>
      </c>
      <c r="D291" s="7">
        <f>'1 datos preparados'!C284</f>
        <v/>
      </c>
      <c r="E291" s="7">
        <f>'1 datos preparados'!D284</f>
        <v/>
      </c>
      <c r="F291" s="7">
        <f>'1 datos preparados'!E284</f>
        <v/>
      </c>
      <c r="G291" s="7">
        <f>'1 datos preparados'!F284</f>
        <v/>
      </c>
      <c r="H291" s="7">
        <f>'1 datos preparados'!G284</f>
        <v/>
      </c>
      <c r="I291" s="7">
        <f>'1 datos preparados'!H284</f>
        <v/>
      </c>
      <c r="J291" s="7">
        <f>'1 datos preparados'!I284</f>
        <v/>
      </c>
      <c r="K291" s="7">
        <f>'1 datos preparados'!J284</f>
        <v/>
      </c>
      <c r="L291" s="7">
        <f>'1 datos preparados'!K284</f>
        <v/>
      </c>
      <c r="M291" s="7">
        <f>'1 datos preparados'!L284</f>
        <v/>
      </c>
      <c r="N291" s="7">
        <f>'1 datos preparados'!M284</f>
        <v/>
      </c>
      <c r="O291" s="7">
        <f>'1 datos preparados'!N284</f>
        <v/>
      </c>
      <c r="P291" s="7">
        <f>'1 datos preparados'!O284</f>
        <v/>
      </c>
      <c r="Q291" s="7">
        <f>'1 datos preparados'!P284</f>
        <v/>
      </c>
      <c r="R291" s="7">
        <f>'1 datos preparados'!Q284</f>
        <v/>
      </c>
      <c r="S291" s="7">
        <f>'1 datos preparados'!R284</f>
        <v/>
      </c>
      <c r="T291" s="7">
        <f>'1 datos preparados'!S284</f>
        <v/>
      </c>
      <c r="U291" s="7">
        <f>'1 datos preparados'!T284</f>
        <v/>
      </c>
      <c r="V291" s="8">
        <f>$AC$12+D291*$AC$13+E291*$AC$14+F291*$AC$15+G291*$AC$16+H291*$AC$17+I291*$AC$18+J291*$AC$19+K291*$AC$20+L291*$AC$21+M291*$AC$22+N291*$AC$23+O291*$AC$24+P291*$AC$25+Q291*$AC$26+R291*$AC$27+S291*$AC$28+T291*$AC$29+U291*$AC$30</f>
        <v/>
      </c>
      <c r="W291" s="8">
        <f>1/(1+EXP(-V291))</f>
        <v/>
      </c>
      <c r="X291" s="9">
        <f>-IF(C291=1,LN(W291),LN(1-W291))</f>
        <v/>
      </c>
      <c r="Y291" s="10">
        <f>IF(W291&gt;$AC$33,1,0)</f>
        <v/>
      </c>
      <c r="Z291">
        <f>IF(Y291=C291,1,0)</f>
        <v/>
      </c>
    </row>
    <row r="292">
      <c r="A292">
        <f>'1 datos preparados'!A285</f>
        <v/>
      </c>
      <c r="B292" s="5">
        <f>'1 datos preparados'!U285</f>
        <v/>
      </c>
      <c r="C292">
        <f>'1 datos preparados'!B285</f>
        <v/>
      </c>
      <c r="D292" s="7">
        <f>'1 datos preparados'!C285</f>
        <v/>
      </c>
      <c r="E292" s="7">
        <f>'1 datos preparados'!D285</f>
        <v/>
      </c>
      <c r="F292" s="7">
        <f>'1 datos preparados'!E285</f>
        <v/>
      </c>
      <c r="G292" s="7">
        <f>'1 datos preparados'!F285</f>
        <v/>
      </c>
      <c r="H292" s="7">
        <f>'1 datos preparados'!G285</f>
        <v/>
      </c>
      <c r="I292" s="7">
        <f>'1 datos preparados'!H285</f>
        <v/>
      </c>
      <c r="J292" s="7">
        <f>'1 datos preparados'!I285</f>
        <v/>
      </c>
      <c r="K292" s="7">
        <f>'1 datos preparados'!J285</f>
        <v/>
      </c>
      <c r="L292" s="7">
        <f>'1 datos preparados'!K285</f>
        <v/>
      </c>
      <c r="M292" s="7">
        <f>'1 datos preparados'!L285</f>
        <v/>
      </c>
      <c r="N292" s="7">
        <f>'1 datos preparados'!M285</f>
        <v/>
      </c>
      <c r="O292" s="7">
        <f>'1 datos preparados'!N285</f>
        <v/>
      </c>
      <c r="P292" s="7">
        <f>'1 datos preparados'!O285</f>
        <v/>
      </c>
      <c r="Q292" s="7">
        <f>'1 datos preparados'!P285</f>
        <v/>
      </c>
      <c r="R292" s="7">
        <f>'1 datos preparados'!Q285</f>
        <v/>
      </c>
      <c r="S292" s="7">
        <f>'1 datos preparados'!R285</f>
        <v/>
      </c>
      <c r="T292" s="7">
        <f>'1 datos preparados'!S285</f>
        <v/>
      </c>
      <c r="U292" s="7">
        <f>'1 datos preparados'!T285</f>
        <v/>
      </c>
      <c r="V292" s="8">
        <f>$AC$12+D292*$AC$13+E292*$AC$14+F292*$AC$15+G292*$AC$16+H292*$AC$17+I292*$AC$18+J292*$AC$19+K292*$AC$20+L292*$AC$21+M292*$AC$22+N292*$AC$23+O292*$AC$24+P292*$AC$25+Q292*$AC$26+R292*$AC$27+S292*$AC$28+T292*$AC$29+U292*$AC$30</f>
        <v/>
      </c>
      <c r="W292" s="8">
        <f>1/(1+EXP(-V292))</f>
        <v/>
      </c>
      <c r="X292" s="9">
        <f>-IF(C292=1,LN(W292),LN(1-W292))</f>
        <v/>
      </c>
      <c r="Y292" s="10">
        <f>IF(W292&gt;$AC$33,1,0)</f>
        <v/>
      </c>
      <c r="Z292">
        <f>IF(Y292=C292,1,0)</f>
        <v/>
      </c>
    </row>
    <row r="293">
      <c r="A293">
        <f>'1 datos preparados'!A286</f>
        <v/>
      </c>
      <c r="B293" s="5">
        <f>'1 datos preparados'!U286</f>
        <v/>
      </c>
      <c r="C293">
        <f>'1 datos preparados'!B286</f>
        <v/>
      </c>
      <c r="D293" s="7">
        <f>'1 datos preparados'!C286</f>
        <v/>
      </c>
      <c r="E293" s="7">
        <f>'1 datos preparados'!D286</f>
        <v/>
      </c>
      <c r="F293" s="7">
        <f>'1 datos preparados'!E286</f>
        <v/>
      </c>
      <c r="G293" s="7">
        <f>'1 datos preparados'!F286</f>
        <v/>
      </c>
      <c r="H293" s="7">
        <f>'1 datos preparados'!G286</f>
        <v/>
      </c>
      <c r="I293" s="7">
        <f>'1 datos preparados'!H286</f>
        <v/>
      </c>
      <c r="J293" s="7">
        <f>'1 datos preparados'!I286</f>
        <v/>
      </c>
      <c r="K293" s="7">
        <f>'1 datos preparados'!J286</f>
        <v/>
      </c>
      <c r="L293" s="7">
        <f>'1 datos preparados'!K286</f>
        <v/>
      </c>
      <c r="M293" s="7">
        <f>'1 datos preparados'!L286</f>
        <v/>
      </c>
      <c r="N293" s="7">
        <f>'1 datos preparados'!M286</f>
        <v/>
      </c>
      <c r="O293" s="7">
        <f>'1 datos preparados'!N286</f>
        <v/>
      </c>
      <c r="P293" s="7">
        <f>'1 datos preparados'!O286</f>
        <v/>
      </c>
      <c r="Q293" s="7">
        <f>'1 datos preparados'!P286</f>
        <v/>
      </c>
      <c r="R293" s="7">
        <f>'1 datos preparados'!Q286</f>
        <v/>
      </c>
      <c r="S293" s="7">
        <f>'1 datos preparados'!R286</f>
        <v/>
      </c>
      <c r="T293" s="7">
        <f>'1 datos preparados'!S286</f>
        <v/>
      </c>
      <c r="U293" s="7">
        <f>'1 datos preparados'!T286</f>
        <v/>
      </c>
      <c r="V293" s="8">
        <f>$AC$12+D293*$AC$13+E293*$AC$14+F293*$AC$15+G293*$AC$16+H293*$AC$17+I293*$AC$18+J293*$AC$19+K293*$AC$20+L293*$AC$21+M293*$AC$22+N293*$AC$23+O293*$AC$24+P293*$AC$25+Q293*$AC$26+R293*$AC$27+S293*$AC$28+T293*$AC$29+U293*$AC$30</f>
        <v/>
      </c>
      <c r="W293" s="8">
        <f>1/(1+EXP(-V293))</f>
        <v/>
      </c>
      <c r="X293" s="9">
        <f>-IF(C293=1,LN(W293),LN(1-W293))</f>
        <v/>
      </c>
      <c r="Y293" s="10">
        <f>IF(W293&gt;$AC$33,1,0)</f>
        <v/>
      </c>
      <c r="Z293">
        <f>IF(Y293=C293,1,0)</f>
        <v/>
      </c>
    </row>
    <row r="294">
      <c r="A294">
        <f>'1 datos preparados'!A287</f>
        <v/>
      </c>
      <c r="B294" s="5">
        <f>'1 datos preparados'!U287</f>
        <v/>
      </c>
      <c r="C294">
        <f>'1 datos preparados'!B287</f>
        <v/>
      </c>
      <c r="D294" s="7">
        <f>'1 datos preparados'!C287</f>
        <v/>
      </c>
      <c r="E294" s="7">
        <f>'1 datos preparados'!D287</f>
        <v/>
      </c>
      <c r="F294" s="7">
        <f>'1 datos preparados'!E287</f>
        <v/>
      </c>
      <c r="G294" s="7">
        <f>'1 datos preparados'!F287</f>
        <v/>
      </c>
      <c r="H294" s="7">
        <f>'1 datos preparados'!G287</f>
        <v/>
      </c>
      <c r="I294" s="7">
        <f>'1 datos preparados'!H287</f>
        <v/>
      </c>
      <c r="J294" s="7">
        <f>'1 datos preparados'!I287</f>
        <v/>
      </c>
      <c r="K294" s="7">
        <f>'1 datos preparados'!J287</f>
        <v/>
      </c>
      <c r="L294" s="7">
        <f>'1 datos preparados'!K287</f>
        <v/>
      </c>
      <c r="M294" s="7">
        <f>'1 datos preparados'!L287</f>
        <v/>
      </c>
      <c r="N294" s="7">
        <f>'1 datos preparados'!M287</f>
        <v/>
      </c>
      <c r="O294" s="7">
        <f>'1 datos preparados'!N287</f>
        <v/>
      </c>
      <c r="P294" s="7">
        <f>'1 datos preparados'!O287</f>
        <v/>
      </c>
      <c r="Q294" s="7">
        <f>'1 datos preparados'!P287</f>
        <v/>
      </c>
      <c r="R294" s="7">
        <f>'1 datos preparados'!Q287</f>
        <v/>
      </c>
      <c r="S294" s="7">
        <f>'1 datos preparados'!R287</f>
        <v/>
      </c>
      <c r="T294" s="7">
        <f>'1 datos preparados'!S287</f>
        <v/>
      </c>
      <c r="U294" s="7">
        <f>'1 datos preparados'!T287</f>
        <v/>
      </c>
      <c r="V294" s="8">
        <f>$AC$12+D294*$AC$13+E294*$AC$14+F294*$AC$15+G294*$AC$16+H294*$AC$17+I294*$AC$18+J294*$AC$19+K294*$AC$20+L294*$AC$21+M294*$AC$22+N294*$AC$23+O294*$AC$24+P294*$AC$25+Q294*$AC$26+R294*$AC$27+S294*$AC$28+T294*$AC$29+U294*$AC$30</f>
        <v/>
      </c>
      <c r="W294" s="8">
        <f>1/(1+EXP(-V294))</f>
        <v/>
      </c>
      <c r="X294" s="9">
        <f>-IF(C294=1,LN(W294),LN(1-W294))</f>
        <v/>
      </c>
      <c r="Y294" s="10">
        <f>IF(W294&gt;$AC$33,1,0)</f>
        <v/>
      </c>
      <c r="Z294">
        <f>IF(Y294=C294,1,0)</f>
        <v/>
      </c>
    </row>
    <row r="295">
      <c r="A295">
        <f>'1 datos preparados'!A288</f>
        <v/>
      </c>
      <c r="B295" s="5">
        <f>'1 datos preparados'!U288</f>
        <v/>
      </c>
      <c r="C295">
        <f>'1 datos preparados'!B288</f>
        <v/>
      </c>
      <c r="D295" s="7">
        <f>'1 datos preparados'!C288</f>
        <v/>
      </c>
      <c r="E295" s="7">
        <f>'1 datos preparados'!D288</f>
        <v/>
      </c>
      <c r="F295" s="7">
        <f>'1 datos preparados'!E288</f>
        <v/>
      </c>
      <c r="G295" s="7">
        <f>'1 datos preparados'!F288</f>
        <v/>
      </c>
      <c r="H295" s="7">
        <f>'1 datos preparados'!G288</f>
        <v/>
      </c>
      <c r="I295" s="7">
        <f>'1 datos preparados'!H288</f>
        <v/>
      </c>
      <c r="J295" s="7">
        <f>'1 datos preparados'!I288</f>
        <v/>
      </c>
      <c r="K295" s="7">
        <f>'1 datos preparados'!J288</f>
        <v/>
      </c>
      <c r="L295" s="7">
        <f>'1 datos preparados'!K288</f>
        <v/>
      </c>
      <c r="M295" s="7">
        <f>'1 datos preparados'!L288</f>
        <v/>
      </c>
      <c r="N295" s="7">
        <f>'1 datos preparados'!M288</f>
        <v/>
      </c>
      <c r="O295" s="7">
        <f>'1 datos preparados'!N288</f>
        <v/>
      </c>
      <c r="P295" s="7">
        <f>'1 datos preparados'!O288</f>
        <v/>
      </c>
      <c r="Q295" s="7">
        <f>'1 datos preparados'!P288</f>
        <v/>
      </c>
      <c r="R295" s="7">
        <f>'1 datos preparados'!Q288</f>
        <v/>
      </c>
      <c r="S295" s="7">
        <f>'1 datos preparados'!R288</f>
        <v/>
      </c>
      <c r="T295" s="7">
        <f>'1 datos preparados'!S288</f>
        <v/>
      </c>
      <c r="U295" s="7">
        <f>'1 datos preparados'!T288</f>
        <v/>
      </c>
      <c r="V295" s="8">
        <f>$AC$12+D295*$AC$13+E295*$AC$14+F295*$AC$15+G295*$AC$16+H295*$AC$17+I295*$AC$18+J295*$AC$19+K295*$AC$20+L295*$AC$21+M295*$AC$22+N295*$AC$23+O295*$AC$24+P295*$AC$25+Q295*$AC$26+R295*$AC$27+S295*$AC$28+T295*$AC$29+U295*$AC$30</f>
        <v/>
      </c>
      <c r="W295" s="8">
        <f>1/(1+EXP(-V295))</f>
        <v/>
      </c>
      <c r="X295" s="9">
        <f>-IF(C295=1,LN(W295),LN(1-W295))</f>
        <v/>
      </c>
      <c r="Y295" s="10">
        <f>IF(W295&gt;$AC$33,1,0)</f>
        <v/>
      </c>
      <c r="Z295">
        <f>IF(Y295=C295,1,0)</f>
        <v/>
      </c>
    </row>
    <row r="296">
      <c r="A296">
        <f>'1 datos preparados'!A289</f>
        <v/>
      </c>
      <c r="B296" s="5">
        <f>'1 datos preparados'!U289</f>
        <v/>
      </c>
      <c r="C296">
        <f>'1 datos preparados'!B289</f>
        <v/>
      </c>
      <c r="D296" s="7">
        <f>'1 datos preparados'!C289</f>
        <v/>
      </c>
      <c r="E296" s="7">
        <f>'1 datos preparados'!D289</f>
        <v/>
      </c>
      <c r="F296" s="7">
        <f>'1 datos preparados'!E289</f>
        <v/>
      </c>
      <c r="G296" s="7">
        <f>'1 datos preparados'!F289</f>
        <v/>
      </c>
      <c r="H296" s="7">
        <f>'1 datos preparados'!G289</f>
        <v/>
      </c>
      <c r="I296" s="7">
        <f>'1 datos preparados'!H289</f>
        <v/>
      </c>
      <c r="J296" s="7">
        <f>'1 datos preparados'!I289</f>
        <v/>
      </c>
      <c r="K296" s="7">
        <f>'1 datos preparados'!J289</f>
        <v/>
      </c>
      <c r="L296" s="7">
        <f>'1 datos preparados'!K289</f>
        <v/>
      </c>
      <c r="M296" s="7">
        <f>'1 datos preparados'!L289</f>
        <v/>
      </c>
      <c r="N296" s="7">
        <f>'1 datos preparados'!M289</f>
        <v/>
      </c>
      <c r="O296" s="7">
        <f>'1 datos preparados'!N289</f>
        <v/>
      </c>
      <c r="P296" s="7">
        <f>'1 datos preparados'!O289</f>
        <v/>
      </c>
      <c r="Q296" s="7">
        <f>'1 datos preparados'!P289</f>
        <v/>
      </c>
      <c r="R296" s="7">
        <f>'1 datos preparados'!Q289</f>
        <v/>
      </c>
      <c r="S296" s="7">
        <f>'1 datos preparados'!R289</f>
        <v/>
      </c>
      <c r="T296" s="7">
        <f>'1 datos preparados'!S289</f>
        <v/>
      </c>
      <c r="U296" s="7">
        <f>'1 datos preparados'!T289</f>
        <v/>
      </c>
      <c r="V296" s="8">
        <f>$AC$12+D296*$AC$13+E296*$AC$14+F296*$AC$15+G296*$AC$16+H296*$AC$17+I296*$AC$18+J296*$AC$19+K296*$AC$20+L296*$AC$21+M296*$AC$22+N296*$AC$23+O296*$AC$24+P296*$AC$25+Q296*$AC$26+R296*$AC$27+S296*$AC$28+T296*$AC$29+U296*$AC$30</f>
        <v/>
      </c>
      <c r="W296" s="8">
        <f>1/(1+EXP(-V296))</f>
        <v/>
      </c>
      <c r="X296" s="9">
        <f>-IF(C296=1,LN(W296),LN(1-W296))</f>
        <v/>
      </c>
      <c r="Y296" s="10">
        <f>IF(W296&gt;$AC$33,1,0)</f>
        <v/>
      </c>
      <c r="Z296">
        <f>IF(Y296=C296,1,0)</f>
        <v/>
      </c>
    </row>
    <row r="297">
      <c r="A297">
        <f>'1 datos preparados'!A290</f>
        <v/>
      </c>
      <c r="B297" s="5">
        <f>'1 datos preparados'!U290</f>
        <v/>
      </c>
      <c r="C297">
        <f>'1 datos preparados'!B290</f>
        <v/>
      </c>
      <c r="D297" s="7">
        <f>'1 datos preparados'!C290</f>
        <v/>
      </c>
      <c r="E297" s="7">
        <f>'1 datos preparados'!D290</f>
        <v/>
      </c>
      <c r="F297" s="7">
        <f>'1 datos preparados'!E290</f>
        <v/>
      </c>
      <c r="G297" s="7">
        <f>'1 datos preparados'!F290</f>
        <v/>
      </c>
      <c r="H297" s="7">
        <f>'1 datos preparados'!G290</f>
        <v/>
      </c>
      <c r="I297" s="7">
        <f>'1 datos preparados'!H290</f>
        <v/>
      </c>
      <c r="J297" s="7">
        <f>'1 datos preparados'!I290</f>
        <v/>
      </c>
      <c r="K297" s="7">
        <f>'1 datos preparados'!J290</f>
        <v/>
      </c>
      <c r="L297" s="7">
        <f>'1 datos preparados'!K290</f>
        <v/>
      </c>
      <c r="M297" s="7">
        <f>'1 datos preparados'!L290</f>
        <v/>
      </c>
      <c r="N297" s="7">
        <f>'1 datos preparados'!M290</f>
        <v/>
      </c>
      <c r="O297" s="7">
        <f>'1 datos preparados'!N290</f>
        <v/>
      </c>
      <c r="P297" s="7">
        <f>'1 datos preparados'!O290</f>
        <v/>
      </c>
      <c r="Q297" s="7">
        <f>'1 datos preparados'!P290</f>
        <v/>
      </c>
      <c r="R297" s="7">
        <f>'1 datos preparados'!Q290</f>
        <v/>
      </c>
      <c r="S297" s="7">
        <f>'1 datos preparados'!R290</f>
        <v/>
      </c>
      <c r="T297" s="7">
        <f>'1 datos preparados'!S290</f>
        <v/>
      </c>
      <c r="U297" s="7">
        <f>'1 datos preparados'!T290</f>
        <v/>
      </c>
      <c r="V297" s="8">
        <f>$AC$12+D297*$AC$13+E297*$AC$14+F297*$AC$15+G297*$AC$16+H297*$AC$17+I297*$AC$18+J297*$AC$19+K297*$AC$20+L297*$AC$21+M297*$AC$22+N297*$AC$23+O297*$AC$24+P297*$AC$25+Q297*$AC$26+R297*$AC$27+S297*$AC$28+T297*$AC$29+U297*$AC$30</f>
        <v/>
      </c>
      <c r="W297" s="8">
        <f>1/(1+EXP(-V297))</f>
        <v/>
      </c>
      <c r="X297" s="9">
        <f>-IF(C297=1,LN(W297),LN(1-W297))</f>
        <v/>
      </c>
      <c r="Y297" s="10">
        <f>IF(W297&gt;$AC$33,1,0)</f>
        <v/>
      </c>
      <c r="Z297">
        <f>IF(Y297=C297,1,0)</f>
        <v/>
      </c>
    </row>
    <row r="298">
      <c r="A298">
        <f>'1 datos preparados'!A291</f>
        <v/>
      </c>
      <c r="B298" s="5">
        <f>'1 datos preparados'!U291</f>
        <v/>
      </c>
      <c r="C298">
        <f>'1 datos preparados'!B291</f>
        <v/>
      </c>
      <c r="D298" s="7">
        <f>'1 datos preparados'!C291</f>
        <v/>
      </c>
      <c r="E298" s="7">
        <f>'1 datos preparados'!D291</f>
        <v/>
      </c>
      <c r="F298" s="7">
        <f>'1 datos preparados'!E291</f>
        <v/>
      </c>
      <c r="G298" s="7">
        <f>'1 datos preparados'!F291</f>
        <v/>
      </c>
      <c r="H298" s="7">
        <f>'1 datos preparados'!G291</f>
        <v/>
      </c>
      <c r="I298" s="7">
        <f>'1 datos preparados'!H291</f>
        <v/>
      </c>
      <c r="J298" s="7">
        <f>'1 datos preparados'!I291</f>
        <v/>
      </c>
      <c r="K298" s="7">
        <f>'1 datos preparados'!J291</f>
        <v/>
      </c>
      <c r="L298" s="7">
        <f>'1 datos preparados'!K291</f>
        <v/>
      </c>
      <c r="M298" s="7">
        <f>'1 datos preparados'!L291</f>
        <v/>
      </c>
      <c r="N298" s="7">
        <f>'1 datos preparados'!M291</f>
        <v/>
      </c>
      <c r="O298" s="7">
        <f>'1 datos preparados'!N291</f>
        <v/>
      </c>
      <c r="P298" s="7">
        <f>'1 datos preparados'!O291</f>
        <v/>
      </c>
      <c r="Q298" s="7">
        <f>'1 datos preparados'!P291</f>
        <v/>
      </c>
      <c r="R298" s="7">
        <f>'1 datos preparados'!Q291</f>
        <v/>
      </c>
      <c r="S298" s="7">
        <f>'1 datos preparados'!R291</f>
        <v/>
      </c>
      <c r="T298" s="7">
        <f>'1 datos preparados'!S291</f>
        <v/>
      </c>
      <c r="U298" s="7">
        <f>'1 datos preparados'!T291</f>
        <v/>
      </c>
      <c r="V298" s="8">
        <f>$AC$12+D298*$AC$13+E298*$AC$14+F298*$AC$15+G298*$AC$16+H298*$AC$17+I298*$AC$18+J298*$AC$19+K298*$AC$20+L298*$AC$21+M298*$AC$22+N298*$AC$23+O298*$AC$24+P298*$AC$25+Q298*$AC$26+R298*$AC$27+S298*$AC$28+T298*$AC$29+U298*$AC$30</f>
        <v/>
      </c>
      <c r="W298" s="8">
        <f>1/(1+EXP(-V298))</f>
        <v/>
      </c>
      <c r="X298" s="9">
        <f>-IF(C298=1,LN(W298),LN(1-W298))</f>
        <v/>
      </c>
      <c r="Y298" s="10">
        <f>IF(W298&gt;$AC$33,1,0)</f>
        <v/>
      </c>
      <c r="Z298">
        <f>IF(Y298=C298,1,0)</f>
        <v/>
      </c>
    </row>
    <row r="299">
      <c r="A299">
        <f>'1 datos preparados'!A292</f>
        <v/>
      </c>
      <c r="B299" s="5">
        <f>'1 datos preparados'!U292</f>
        <v/>
      </c>
      <c r="C299">
        <f>'1 datos preparados'!B292</f>
        <v/>
      </c>
      <c r="D299" s="7">
        <f>'1 datos preparados'!C292</f>
        <v/>
      </c>
      <c r="E299" s="7">
        <f>'1 datos preparados'!D292</f>
        <v/>
      </c>
      <c r="F299" s="7">
        <f>'1 datos preparados'!E292</f>
        <v/>
      </c>
      <c r="G299" s="7">
        <f>'1 datos preparados'!F292</f>
        <v/>
      </c>
      <c r="H299" s="7">
        <f>'1 datos preparados'!G292</f>
        <v/>
      </c>
      <c r="I299" s="7">
        <f>'1 datos preparados'!H292</f>
        <v/>
      </c>
      <c r="J299" s="7">
        <f>'1 datos preparados'!I292</f>
        <v/>
      </c>
      <c r="K299" s="7">
        <f>'1 datos preparados'!J292</f>
        <v/>
      </c>
      <c r="L299" s="7">
        <f>'1 datos preparados'!K292</f>
        <v/>
      </c>
      <c r="M299" s="7">
        <f>'1 datos preparados'!L292</f>
        <v/>
      </c>
      <c r="N299" s="7">
        <f>'1 datos preparados'!M292</f>
        <v/>
      </c>
      <c r="O299" s="7">
        <f>'1 datos preparados'!N292</f>
        <v/>
      </c>
      <c r="P299" s="7">
        <f>'1 datos preparados'!O292</f>
        <v/>
      </c>
      <c r="Q299" s="7">
        <f>'1 datos preparados'!P292</f>
        <v/>
      </c>
      <c r="R299" s="7">
        <f>'1 datos preparados'!Q292</f>
        <v/>
      </c>
      <c r="S299" s="7">
        <f>'1 datos preparados'!R292</f>
        <v/>
      </c>
      <c r="T299" s="7">
        <f>'1 datos preparados'!S292</f>
        <v/>
      </c>
      <c r="U299" s="7">
        <f>'1 datos preparados'!T292</f>
        <v/>
      </c>
      <c r="V299" s="8">
        <f>$AC$12+D299*$AC$13+E299*$AC$14+F299*$AC$15+G299*$AC$16+H299*$AC$17+I299*$AC$18+J299*$AC$19+K299*$AC$20+L299*$AC$21+M299*$AC$22+N299*$AC$23+O299*$AC$24+P299*$AC$25+Q299*$AC$26+R299*$AC$27+S299*$AC$28+T299*$AC$29+U299*$AC$30</f>
        <v/>
      </c>
      <c r="W299" s="8">
        <f>1/(1+EXP(-V299))</f>
        <v/>
      </c>
      <c r="X299" s="9">
        <f>-IF(C299=1,LN(W299),LN(1-W299))</f>
        <v/>
      </c>
      <c r="Y299" s="10">
        <f>IF(W299&gt;$AC$33,1,0)</f>
        <v/>
      </c>
      <c r="Z299">
        <f>IF(Y299=C299,1,0)</f>
        <v/>
      </c>
    </row>
    <row r="300">
      <c r="A300">
        <f>'1 datos preparados'!A293</f>
        <v/>
      </c>
      <c r="B300" s="5">
        <f>'1 datos preparados'!U293</f>
        <v/>
      </c>
      <c r="C300">
        <f>'1 datos preparados'!B293</f>
        <v/>
      </c>
      <c r="D300" s="7">
        <f>'1 datos preparados'!C293</f>
        <v/>
      </c>
      <c r="E300" s="7">
        <f>'1 datos preparados'!D293</f>
        <v/>
      </c>
      <c r="F300" s="7">
        <f>'1 datos preparados'!E293</f>
        <v/>
      </c>
      <c r="G300" s="7">
        <f>'1 datos preparados'!F293</f>
        <v/>
      </c>
      <c r="H300" s="7">
        <f>'1 datos preparados'!G293</f>
        <v/>
      </c>
      <c r="I300" s="7">
        <f>'1 datos preparados'!H293</f>
        <v/>
      </c>
      <c r="J300" s="7">
        <f>'1 datos preparados'!I293</f>
        <v/>
      </c>
      <c r="K300" s="7">
        <f>'1 datos preparados'!J293</f>
        <v/>
      </c>
      <c r="L300" s="7">
        <f>'1 datos preparados'!K293</f>
        <v/>
      </c>
      <c r="M300" s="7">
        <f>'1 datos preparados'!L293</f>
        <v/>
      </c>
      <c r="N300" s="7">
        <f>'1 datos preparados'!M293</f>
        <v/>
      </c>
      <c r="O300" s="7">
        <f>'1 datos preparados'!N293</f>
        <v/>
      </c>
      <c r="P300" s="7">
        <f>'1 datos preparados'!O293</f>
        <v/>
      </c>
      <c r="Q300" s="7">
        <f>'1 datos preparados'!P293</f>
        <v/>
      </c>
      <c r="R300" s="7">
        <f>'1 datos preparados'!Q293</f>
        <v/>
      </c>
      <c r="S300" s="7">
        <f>'1 datos preparados'!R293</f>
        <v/>
      </c>
      <c r="T300" s="7">
        <f>'1 datos preparados'!S293</f>
        <v/>
      </c>
      <c r="U300" s="7">
        <f>'1 datos preparados'!T293</f>
        <v/>
      </c>
      <c r="V300" s="8">
        <f>$AC$12+D300*$AC$13+E300*$AC$14+F300*$AC$15+G300*$AC$16+H300*$AC$17+I300*$AC$18+J300*$AC$19+K300*$AC$20+L300*$AC$21+M300*$AC$22+N300*$AC$23+O300*$AC$24+P300*$AC$25+Q300*$AC$26+R300*$AC$27+S300*$AC$28+T300*$AC$29+U300*$AC$30</f>
        <v/>
      </c>
      <c r="W300" s="8">
        <f>1/(1+EXP(-V300))</f>
        <v/>
      </c>
      <c r="X300" s="9">
        <f>-IF(C300=1,LN(W300),LN(1-W300))</f>
        <v/>
      </c>
      <c r="Y300" s="10">
        <f>IF(W300&gt;$AC$33,1,0)</f>
        <v/>
      </c>
      <c r="Z300">
        <f>IF(Y300=C300,1,0)</f>
        <v/>
      </c>
    </row>
    <row r="301">
      <c r="A301">
        <f>'1 datos preparados'!A294</f>
        <v/>
      </c>
      <c r="B301" s="5">
        <f>'1 datos preparados'!U294</f>
        <v/>
      </c>
      <c r="C301">
        <f>'1 datos preparados'!B294</f>
        <v/>
      </c>
      <c r="D301" s="7">
        <f>'1 datos preparados'!C294</f>
        <v/>
      </c>
      <c r="E301" s="7">
        <f>'1 datos preparados'!D294</f>
        <v/>
      </c>
      <c r="F301" s="7">
        <f>'1 datos preparados'!E294</f>
        <v/>
      </c>
      <c r="G301" s="7">
        <f>'1 datos preparados'!F294</f>
        <v/>
      </c>
      <c r="H301" s="7">
        <f>'1 datos preparados'!G294</f>
        <v/>
      </c>
      <c r="I301" s="7">
        <f>'1 datos preparados'!H294</f>
        <v/>
      </c>
      <c r="J301" s="7">
        <f>'1 datos preparados'!I294</f>
        <v/>
      </c>
      <c r="K301" s="7">
        <f>'1 datos preparados'!J294</f>
        <v/>
      </c>
      <c r="L301" s="7">
        <f>'1 datos preparados'!K294</f>
        <v/>
      </c>
      <c r="M301" s="7">
        <f>'1 datos preparados'!L294</f>
        <v/>
      </c>
      <c r="N301" s="7">
        <f>'1 datos preparados'!M294</f>
        <v/>
      </c>
      <c r="O301" s="7">
        <f>'1 datos preparados'!N294</f>
        <v/>
      </c>
      <c r="P301" s="7">
        <f>'1 datos preparados'!O294</f>
        <v/>
      </c>
      <c r="Q301" s="7">
        <f>'1 datos preparados'!P294</f>
        <v/>
      </c>
      <c r="R301" s="7">
        <f>'1 datos preparados'!Q294</f>
        <v/>
      </c>
      <c r="S301" s="7">
        <f>'1 datos preparados'!R294</f>
        <v/>
      </c>
      <c r="T301" s="7">
        <f>'1 datos preparados'!S294</f>
        <v/>
      </c>
      <c r="U301" s="7">
        <f>'1 datos preparados'!T294</f>
        <v/>
      </c>
      <c r="V301" s="8">
        <f>$AC$12+D301*$AC$13+E301*$AC$14+F301*$AC$15+G301*$AC$16+H301*$AC$17+I301*$AC$18+J301*$AC$19+K301*$AC$20+L301*$AC$21+M301*$AC$22+N301*$AC$23+O301*$AC$24+P301*$AC$25+Q301*$AC$26+R301*$AC$27+S301*$AC$28+T301*$AC$29+U301*$AC$30</f>
        <v/>
      </c>
      <c r="W301" s="8">
        <f>1/(1+EXP(-V301))</f>
        <v/>
      </c>
      <c r="X301" s="9">
        <f>-IF(C301=1,LN(W301),LN(1-W301))</f>
        <v/>
      </c>
      <c r="Y301" s="10">
        <f>IF(W301&gt;$AC$33,1,0)</f>
        <v/>
      </c>
      <c r="Z301">
        <f>IF(Y301=C301,1,0)</f>
        <v/>
      </c>
    </row>
    <row r="302">
      <c r="A302">
        <f>'1 datos preparados'!A295</f>
        <v/>
      </c>
      <c r="B302" s="5">
        <f>'1 datos preparados'!U295</f>
        <v/>
      </c>
      <c r="C302">
        <f>'1 datos preparados'!B295</f>
        <v/>
      </c>
      <c r="D302" s="7">
        <f>'1 datos preparados'!C295</f>
        <v/>
      </c>
      <c r="E302" s="7">
        <f>'1 datos preparados'!D295</f>
        <v/>
      </c>
      <c r="F302" s="7">
        <f>'1 datos preparados'!E295</f>
        <v/>
      </c>
      <c r="G302" s="7">
        <f>'1 datos preparados'!F295</f>
        <v/>
      </c>
      <c r="H302" s="7">
        <f>'1 datos preparados'!G295</f>
        <v/>
      </c>
      <c r="I302" s="7">
        <f>'1 datos preparados'!H295</f>
        <v/>
      </c>
      <c r="J302" s="7">
        <f>'1 datos preparados'!I295</f>
        <v/>
      </c>
      <c r="K302" s="7">
        <f>'1 datos preparados'!J295</f>
        <v/>
      </c>
      <c r="L302" s="7">
        <f>'1 datos preparados'!K295</f>
        <v/>
      </c>
      <c r="M302" s="7">
        <f>'1 datos preparados'!L295</f>
        <v/>
      </c>
      <c r="N302" s="7">
        <f>'1 datos preparados'!M295</f>
        <v/>
      </c>
      <c r="O302" s="7">
        <f>'1 datos preparados'!N295</f>
        <v/>
      </c>
      <c r="P302" s="7">
        <f>'1 datos preparados'!O295</f>
        <v/>
      </c>
      <c r="Q302" s="7">
        <f>'1 datos preparados'!P295</f>
        <v/>
      </c>
      <c r="R302" s="7">
        <f>'1 datos preparados'!Q295</f>
        <v/>
      </c>
      <c r="S302" s="7">
        <f>'1 datos preparados'!R295</f>
        <v/>
      </c>
      <c r="T302" s="7">
        <f>'1 datos preparados'!S295</f>
        <v/>
      </c>
      <c r="U302" s="7">
        <f>'1 datos preparados'!T295</f>
        <v/>
      </c>
      <c r="V302" s="8">
        <f>$AC$12+D302*$AC$13+E302*$AC$14+F302*$AC$15+G302*$AC$16+H302*$AC$17+I302*$AC$18+J302*$AC$19+K302*$AC$20+L302*$AC$21+M302*$AC$22+N302*$AC$23+O302*$AC$24+P302*$AC$25+Q302*$AC$26+R302*$AC$27+S302*$AC$28+T302*$AC$29+U302*$AC$30</f>
        <v/>
      </c>
      <c r="W302" s="8">
        <f>1/(1+EXP(-V302))</f>
        <v/>
      </c>
      <c r="X302" s="9">
        <f>-IF(C302=1,LN(W302),LN(1-W302))</f>
        <v/>
      </c>
      <c r="Y302" s="10">
        <f>IF(W302&gt;$AC$33,1,0)</f>
        <v/>
      </c>
      <c r="Z302">
        <f>IF(Y302=C302,1,0)</f>
        <v/>
      </c>
    </row>
    <row r="303">
      <c r="A303">
        <f>'1 datos preparados'!A296</f>
        <v/>
      </c>
      <c r="B303" s="5">
        <f>'1 datos preparados'!U296</f>
        <v/>
      </c>
      <c r="C303">
        <f>'1 datos preparados'!B296</f>
        <v/>
      </c>
      <c r="D303" s="7">
        <f>'1 datos preparados'!C296</f>
        <v/>
      </c>
      <c r="E303" s="7">
        <f>'1 datos preparados'!D296</f>
        <v/>
      </c>
      <c r="F303" s="7">
        <f>'1 datos preparados'!E296</f>
        <v/>
      </c>
      <c r="G303" s="7">
        <f>'1 datos preparados'!F296</f>
        <v/>
      </c>
      <c r="H303" s="7">
        <f>'1 datos preparados'!G296</f>
        <v/>
      </c>
      <c r="I303" s="7">
        <f>'1 datos preparados'!H296</f>
        <v/>
      </c>
      <c r="J303" s="7">
        <f>'1 datos preparados'!I296</f>
        <v/>
      </c>
      <c r="K303" s="7">
        <f>'1 datos preparados'!J296</f>
        <v/>
      </c>
      <c r="L303" s="7">
        <f>'1 datos preparados'!K296</f>
        <v/>
      </c>
      <c r="M303" s="7">
        <f>'1 datos preparados'!L296</f>
        <v/>
      </c>
      <c r="N303" s="7">
        <f>'1 datos preparados'!M296</f>
        <v/>
      </c>
      <c r="O303" s="7">
        <f>'1 datos preparados'!N296</f>
        <v/>
      </c>
      <c r="P303" s="7">
        <f>'1 datos preparados'!O296</f>
        <v/>
      </c>
      <c r="Q303" s="7">
        <f>'1 datos preparados'!P296</f>
        <v/>
      </c>
      <c r="R303" s="7">
        <f>'1 datos preparados'!Q296</f>
        <v/>
      </c>
      <c r="S303" s="7">
        <f>'1 datos preparados'!R296</f>
        <v/>
      </c>
      <c r="T303" s="7">
        <f>'1 datos preparados'!S296</f>
        <v/>
      </c>
      <c r="U303" s="7">
        <f>'1 datos preparados'!T296</f>
        <v/>
      </c>
      <c r="V303" s="8">
        <f>$AC$12+D303*$AC$13+E303*$AC$14+F303*$AC$15+G303*$AC$16+H303*$AC$17+I303*$AC$18+J303*$AC$19+K303*$AC$20+L303*$AC$21+M303*$AC$22+N303*$AC$23+O303*$AC$24+P303*$AC$25+Q303*$AC$26+R303*$AC$27+S303*$AC$28+T303*$AC$29+U303*$AC$30</f>
        <v/>
      </c>
      <c r="W303" s="8">
        <f>1/(1+EXP(-V303))</f>
        <v/>
      </c>
      <c r="X303" s="9">
        <f>-IF(C303=1,LN(W303),LN(1-W303))</f>
        <v/>
      </c>
      <c r="Y303" s="10">
        <f>IF(W303&gt;$AC$33,1,0)</f>
        <v/>
      </c>
      <c r="Z303">
        <f>IF(Y303=C303,1,0)</f>
        <v/>
      </c>
    </row>
    <row r="304">
      <c r="A304">
        <f>'1 datos preparados'!A297</f>
        <v/>
      </c>
      <c r="B304" s="5">
        <f>'1 datos preparados'!U297</f>
        <v/>
      </c>
      <c r="C304">
        <f>'1 datos preparados'!B297</f>
        <v/>
      </c>
      <c r="D304" s="7">
        <f>'1 datos preparados'!C297</f>
        <v/>
      </c>
      <c r="E304" s="7">
        <f>'1 datos preparados'!D297</f>
        <v/>
      </c>
      <c r="F304" s="7">
        <f>'1 datos preparados'!E297</f>
        <v/>
      </c>
      <c r="G304" s="7">
        <f>'1 datos preparados'!F297</f>
        <v/>
      </c>
      <c r="H304" s="7">
        <f>'1 datos preparados'!G297</f>
        <v/>
      </c>
      <c r="I304" s="7">
        <f>'1 datos preparados'!H297</f>
        <v/>
      </c>
      <c r="J304" s="7">
        <f>'1 datos preparados'!I297</f>
        <v/>
      </c>
      <c r="K304" s="7">
        <f>'1 datos preparados'!J297</f>
        <v/>
      </c>
      <c r="L304" s="7">
        <f>'1 datos preparados'!K297</f>
        <v/>
      </c>
      <c r="M304" s="7">
        <f>'1 datos preparados'!L297</f>
        <v/>
      </c>
      <c r="N304" s="7">
        <f>'1 datos preparados'!M297</f>
        <v/>
      </c>
      <c r="O304" s="7">
        <f>'1 datos preparados'!N297</f>
        <v/>
      </c>
      <c r="P304" s="7">
        <f>'1 datos preparados'!O297</f>
        <v/>
      </c>
      <c r="Q304" s="7">
        <f>'1 datos preparados'!P297</f>
        <v/>
      </c>
      <c r="R304" s="7">
        <f>'1 datos preparados'!Q297</f>
        <v/>
      </c>
      <c r="S304" s="7">
        <f>'1 datos preparados'!R297</f>
        <v/>
      </c>
      <c r="T304" s="7">
        <f>'1 datos preparados'!S297</f>
        <v/>
      </c>
      <c r="U304" s="7">
        <f>'1 datos preparados'!T297</f>
        <v/>
      </c>
      <c r="V304" s="8">
        <f>$AC$12+D304*$AC$13+E304*$AC$14+F304*$AC$15+G304*$AC$16+H304*$AC$17+I304*$AC$18+J304*$AC$19+K304*$AC$20+L304*$AC$21+M304*$AC$22+N304*$AC$23+O304*$AC$24+P304*$AC$25+Q304*$AC$26+R304*$AC$27+S304*$AC$28+T304*$AC$29+U304*$AC$30</f>
        <v/>
      </c>
      <c r="W304" s="8">
        <f>1/(1+EXP(-V304))</f>
        <v/>
      </c>
      <c r="X304" s="9">
        <f>-IF(C304=1,LN(W304),LN(1-W304))</f>
        <v/>
      </c>
      <c r="Y304" s="10">
        <f>IF(W304&gt;$AC$33,1,0)</f>
        <v/>
      </c>
      <c r="Z304">
        <f>IF(Y304=C304,1,0)</f>
        <v/>
      </c>
    </row>
    <row r="305">
      <c r="A305">
        <f>'1 datos preparados'!A298</f>
        <v/>
      </c>
      <c r="B305" s="5">
        <f>'1 datos preparados'!U298</f>
        <v/>
      </c>
      <c r="C305">
        <f>'1 datos preparados'!B298</f>
        <v/>
      </c>
      <c r="D305" s="7">
        <f>'1 datos preparados'!C298</f>
        <v/>
      </c>
      <c r="E305" s="7">
        <f>'1 datos preparados'!D298</f>
        <v/>
      </c>
      <c r="F305" s="7">
        <f>'1 datos preparados'!E298</f>
        <v/>
      </c>
      <c r="G305" s="7">
        <f>'1 datos preparados'!F298</f>
        <v/>
      </c>
      <c r="H305" s="7">
        <f>'1 datos preparados'!G298</f>
        <v/>
      </c>
      <c r="I305" s="7">
        <f>'1 datos preparados'!H298</f>
        <v/>
      </c>
      <c r="J305" s="7">
        <f>'1 datos preparados'!I298</f>
        <v/>
      </c>
      <c r="K305" s="7">
        <f>'1 datos preparados'!J298</f>
        <v/>
      </c>
      <c r="L305" s="7">
        <f>'1 datos preparados'!K298</f>
        <v/>
      </c>
      <c r="M305" s="7">
        <f>'1 datos preparados'!L298</f>
        <v/>
      </c>
      <c r="N305" s="7">
        <f>'1 datos preparados'!M298</f>
        <v/>
      </c>
      <c r="O305" s="7">
        <f>'1 datos preparados'!N298</f>
        <v/>
      </c>
      <c r="P305" s="7">
        <f>'1 datos preparados'!O298</f>
        <v/>
      </c>
      <c r="Q305" s="7">
        <f>'1 datos preparados'!P298</f>
        <v/>
      </c>
      <c r="R305" s="7">
        <f>'1 datos preparados'!Q298</f>
        <v/>
      </c>
      <c r="S305" s="7">
        <f>'1 datos preparados'!R298</f>
        <v/>
      </c>
      <c r="T305" s="7">
        <f>'1 datos preparados'!S298</f>
        <v/>
      </c>
      <c r="U305" s="7">
        <f>'1 datos preparados'!T298</f>
        <v/>
      </c>
      <c r="V305" s="8">
        <f>$AC$12+D305*$AC$13+E305*$AC$14+F305*$AC$15+G305*$AC$16+H305*$AC$17+I305*$AC$18+J305*$AC$19+K305*$AC$20+L305*$AC$21+M305*$AC$22+N305*$AC$23+O305*$AC$24+P305*$AC$25+Q305*$AC$26+R305*$AC$27+S305*$AC$28+T305*$AC$29+U305*$AC$30</f>
        <v/>
      </c>
      <c r="W305" s="8">
        <f>1/(1+EXP(-V305))</f>
        <v/>
      </c>
      <c r="X305" s="9">
        <f>-IF(C305=1,LN(W305),LN(1-W305))</f>
        <v/>
      </c>
      <c r="Y305" s="10">
        <f>IF(W305&gt;$AC$33,1,0)</f>
        <v/>
      </c>
      <c r="Z305">
        <f>IF(Y305=C305,1,0)</f>
        <v/>
      </c>
    </row>
    <row r="306">
      <c r="A306">
        <f>'1 datos preparados'!A299</f>
        <v/>
      </c>
      <c r="B306" s="5">
        <f>'1 datos preparados'!U299</f>
        <v/>
      </c>
      <c r="C306">
        <f>'1 datos preparados'!B299</f>
        <v/>
      </c>
      <c r="D306" s="7">
        <f>'1 datos preparados'!C299</f>
        <v/>
      </c>
      <c r="E306" s="7">
        <f>'1 datos preparados'!D299</f>
        <v/>
      </c>
      <c r="F306" s="7">
        <f>'1 datos preparados'!E299</f>
        <v/>
      </c>
      <c r="G306" s="7">
        <f>'1 datos preparados'!F299</f>
        <v/>
      </c>
      <c r="H306" s="7">
        <f>'1 datos preparados'!G299</f>
        <v/>
      </c>
      <c r="I306" s="7">
        <f>'1 datos preparados'!H299</f>
        <v/>
      </c>
      <c r="J306" s="7">
        <f>'1 datos preparados'!I299</f>
        <v/>
      </c>
      <c r="K306" s="7">
        <f>'1 datos preparados'!J299</f>
        <v/>
      </c>
      <c r="L306" s="7">
        <f>'1 datos preparados'!K299</f>
        <v/>
      </c>
      <c r="M306" s="7">
        <f>'1 datos preparados'!L299</f>
        <v/>
      </c>
      <c r="N306" s="7">
        <f>'1 datos preparados'!M299</f>
        <v/>
      </c>
      <c r="O306" s="7">
        <f>'1 datos preparados'!N299</f>
        <v/>
      </c>
      <c r="P306" s="7">
        <f>'1 datos preparados'!O299</f>
        <v/>
      </c>
      <c r="Q306" s="7">
        <f>'1 datos preparados'!P299</f>
        <v/>
      </c>
      <c r="R306" s="7">
        <f>'1 datos preparados'!Q299</f>
        <v/>
      </c>
      <c r="S306" s="7">
        <f>'1 datos preparados'!R299</f>
        <v/>
      </c>
      <c r="T306" s="7">
        <f>'1 datos preparados'!S299</f>
        <v/>
      </c>
      <c r="U306" s="7">
        <f>'1 datos preparados'!T299</f>
        <v/>
      </c>
      <c r="V306" s="8">
        <f>$AC$12+D306*$AC$13+E306*$AC$14+F306*$AC$15+G306*$AC$16+H306*$AC$17+I306*$AC$18+J306*$AC$19+K306*$AC$20+L306*$AC$21+M306*$AC$22+N306*$AC$23+O306*$AC$24+P306*$AC$25+Q306*$AC$26+R306*$AC$27+S306*$AC$28+T306*$AC$29+U306*$AC$30</f>
        <v/>
      </c>
      <c r="W306" s="8">
        <f>1/(1+EXP(-V306))</f>
        <v/>
      </c>
      <c r="X306" s="9">
        <f>-IF(C306=1,LN(W306),LN(1-W306))</f>
        <v/>
      </c>
      <c r="Y306" s="10">
        <f>IF(W306&gt;$AC$33,1,0)</f>
        <v/>
      </c>
      <c r="Z306">
        <f>IF(Y306=C306,1,0)</f>
        <v/>
      </c>
    </row>
    <row r="307">
      <c r="A307">
        <f>'1 datos preparados'!A300</f>
        <v/>
      </c>
      <c r="B307" s="5">
        <f>'1 datos preparados'!U300</f>
        <v/>
      </c>
      <c r="C307">
        <f>'1 datos preparados'!B300</f>
        <v/>
      </c>
      <c r="D307" s="7">
        <f>'1 datos preparados'!C300</f>
        <v/>
      </c>
      <c r="E307" s="7">
        <f>'1 datos preparados'!D300</f>
        <v/>
      </c>
      <c r="F307" s="7">
        <f>'1 datos preparados'!E300</f>
        <v/>
      </c>
      <c r="G307" s="7">
        <f>'1 datos preparados'!F300</f>
        <v/>
      </c>
      <c r="H307" s="7">
        <f>'1 datos preparados'!G300</f>
        <v/>
      </c>
      <c r="I307" s="7">
        <f>'1 datos preparados'!H300</f>
        <v/>
      </c>
      <c r="J307" s="7">
        <f>'1 datos preparados'!I300</f>
        <v/>
      </c>
      <c r="K307" s="7">
        <f>'1 datos preparados'!J300</f>
        <v/>
      </c>
      <c r="L307" s="7">
        <f>'1 datos preparados'!K300</f>
        <v/>
      </c>
      <c r="M307" s="7">
        <f>'1 datos preparados'!L300</f>
        <v/>
      </c>
      <c r="N307" s="7">
        <f>'1 datos preparados'!M300</f>
        <v/>
      </c>
      <c r="O307" s="7">
        <f>'1 datos preparados'!N300</f>
        <v/>
      </c>
      <c r="P307" s="7">
        <f>'1 datos preparados'!O300</f>
        <v/>
      </c>
      <c r="Q307" s="7">
        <f>'1 datos preparados'!P300</f>
        <v/>
      </c>
      <c r="R307" s="7">
        <f>'1 datos preparados'!Q300</f>
        <v/>
      </c>
      <c r="S307" s="7">
        <f>'1 datos preparados'!R300</f>
        <v/>
      </c>
      <c r="T307" s="7">
        <f>'1 datos preparados'!S300</f>
        <v/>
      </c>
      <c r="U307" s="7">
        <f>'1 datos preparados'!T300</f>
        <v/>
      </c>
      <c r="V307" s="8">
        <f>$AC$12+D307*$AC$13+E307*$AC$14+F307*$AC$15+G307*$AC$16+H307*$AC$17+I307*$AC$18+J307*$AC$19+K307*$AC$20+L307*$AC$21+M307*$AC$22+N307*$AC$23+O307*$AC$24+P307*$AC$25+Q307*$AC$26+R307*$AC$27+S307*$AC$28+T307*$AC$29+U307*$AC$30</f>
        <v/>
      </c>
      <c r="W307" s="8">
        <f>1/(1+EXP(-V307))</f>
        <v/>
      </c>
      <c r="X307" s="9">
        <f>-IF(C307=1,LN(W307),LN(1-W307))</f>
        <v/>
      </c>
      <c r="Y307" s="10">
        <f>IF(W307&gt;$AC$33,1,0)</f>
        <v/>
      </c>
      <c r="Z307">
        <f>IF(Y307=C307,1,0)</f>
        <v/>
      </c>
    </row>
    <row r="308">
      <c r="A308">
        <f>'1 datos preparados'!A301</f>
        <v/>
      </c>
      <c r="B308" s="5">
        <f>'1 datos preparados'!U301</f>
        <v/>
      </c>
      <c r="C308">
        <f>'1 datos preparados'!B301</f>
        <v/>
      </c>
      <c r="D308" s="7">
        <f>'1 datos preparados'!C301</f>
        <v/>
      </c>
      <c r="E308" s="7">
        <f>'1 datos preparados'!D301</f>
        <v/>
      </c>
      <c r="F308" s="7">
        <f>'1 datos preparados'!E301</f>
        <v/>
      </c>
      <c r="G308" s="7">
        <f>'1 datos preparados'!F301</f>
        <v/>
      </c>
      <c r="H308" s="7">
        <f>'1 datos preparados'!G301</f>
        <v/>
      </c>
      <c r="I308" s="7">
        <f>'1 datos preparados'!H301</f>
        <v/>
      </c>
      <c r="J308" s="7">
        <f>'1 datos preparados'!I301</f>
        <v/>
      </c>
      <c r="K308" s="7">
        <f>'1 datos preparados'!J301</f>
        <v/>
      </c>
      <c r="L308" s="7">
        <f>'1 datos preparados'!K301</f>
        <v/>
      </c>
      <c r="M308" s="7">
        <f>'1 datos preparados'!L301</f>
        <v/>
      </c>
      <c r="N308" s="7">
        <f>'1 datos preparados'!M301</f>
        <v/>
      </c>
      <c r="O308" s="7">
        <f>'1 datos preparados'!N301</f>
        <v/>
      </c>
      <c r="P308" s="7">
        <f>'1 datos preparados'!O301</f>
        <v/>
      </c>
      <c r="Q308" s="7">
        <f>'1 datos preparados'!P301</f>
        <v/>
      </c>
      <c r="R308" s="7">
        <f>'1 datos preparados'!Q301</f>
        <v/>
      </c>
      <c r="S308" s="7">
        <f>'1 datos preparados'!R301</f>
        <v/>
      </c>
      <c r="T308" s="7">
        <f>'1 datos preparados'!S301</f>
        <v/>
      </c>
      <c r="U308" s="7">
        <f>'1 datos preparados'!T301</f>
        <v/>
      </c>
      <c r="V308" s="8">
        <f>$AC$12+D308*$AC$13+E308*$AC$14+F308*$AC$15+G308*$AC$16+H308*$AC$17+I308*$AC$18+J308*$AC$19+K308*$AC$20+L308*$AC$21+M308*$AC$22+N308*$AC$23+O308*$AC$24+P308*$AC$25+Q308*$AC$26+R308*$AC$27+S308*$AC$28+T308*$AC$29+U308*$AC$30</f>
        <v/>
      </c>
      <c r="W308" s="8">
        <f>1/(1+EXP(-V308))</f>
        <v/>
      </c>
      <c r="X308" s="9">
        <f>-IF(C308=1,LN(W308),LN(1-W308))</f>
        <v/>
      </c>
      <c r="Y308" s="10">
        <f>IF(W308&gt;$AC$33,1,0)</f>
        <v/>
      </c>
      <c r="Z308">
        <f>IF(Y308=C308,1,0)</f>
        <v/>
      </c>
    </row>
    <row r="309">
      <c r="A309">
        <f>'1 datos preparados'!A302</f>
        <v/>
      </c>
      <c r="B309" s="5">
        <f>'1 datos preparados'!U302</f>
        <v/>
      </c>
      <c r="C309">
        <f>'1 datos preparados'!B302</f>
        <v/>
      </c>
      <c r="D309" s="7">
        <f>'1 datos preparados'!C302</f>
        <v/>
      </c>
      <c r="E309" s="7">
        <f>'1 datos preparados'!D302</f>
        <v/>
      </c>
      <c r="F309" s="7">
        <f>'1 datos preparados'!E302</f>
        <v/>
      </c>
      <c r="G309" s="7">
        <f>'1 datos preparados'!F302</f>
        <v/>
      </c>
      <c r="H309" s="7">
        <f>'1 datos preparados'!G302</f>
        <v/>
      </c>
      <c r="I309" s="7">
        <f>'1 datos preparados'!H302</f>
        <v/>
      </c>
      <c r="J309" s="7">
        <f>'1 datos preparados'!I302</f>
        <v/>
      </c>
      <c r="K309" s="7">
        <f>'1 datos preparados'!J302</f>
        <v/>
      </c>
      <c r="L309" s="7">
        <f>'1 datos preparados'!K302</f>
        <v/>
      </c>
      <c r="M309" s="7">
        <f>'1 datos preparados'!L302</f>
        <v/>
      </c>
      <c r="N309" s="7">
        <f>'1 datos preparados'!M302</f>
        <v/>
      </c>
      <c r="O309" s="7">
        <f>'1 datos preparados'!N302</f>
        <v/>
      </c>
      <c r="P309" s="7">
        <f>'1 datos preparados'!O302</f>
        <v/>
      </c>
      <c r="Q309" s="7">
        <f>'1 datos preparados'!P302</f>
        <v/>
      </c>
      <c r="R309" s="7">
        <f>'1 datos preparados'!Q302</f>
        <v/>
      </c>
      <c r="S309" s="7">
        <f>'1 datos preparados'!R302</f>
        <v/>
      </c>
      <c r="T309" s="7">
        <f>'1 datos preparados'!S302</f>
        <v/>
      </c>
      <c r="U309" s="7">
        <f>'1 datos preparados'!T302</f>
        <v/>
      </c>
      <c r="V309" s="8">
        <f>$AC$12+D309*$AC$13+E309*$AC$14+F309*$AC$15+G309*$AC$16+H309*$AC$17+I309*$AC$18+J309*$AC$19+K309*$AC$20+L309*$AC$21+M309*$AC$22+N309*$AC$23+O309*$AC$24+P309*$AC$25+Q309*$AC$26+R309*$AC$27+S309*$AC$28+T309*$AC$29+U309*$AC$30</f>
        <v/>
      </c>
      <c r="W309" s="8">
        <f>1/(1+EXP(-V309))</f>
        <v/>
      </c>
      <c r="X309" s="9">
        <f>-IF(C309=1,LN(W309),LN(1-W309))</f>
        <v/>
      </c>
      <c r="Y309" s="10">
        <f>IF(W309&gt;$AC$33,1,0)</f>
        <v/>
      </c>
      <c r="Z309">
        <f>IF(Y309=C309,1,0)</f>
        <v/>
      </c>
    </row>
    <row r="310">
      <c r="A310">
        <f>'1 datos preparados'!A303</f>
        <v/>
      </c>
      <c r="B310" s="5">
        <f>'1 datos preparados'!U303</f>
        <v/>
      </c>
      <c r="C310">
        <f>'1 datos preparados'!B303</f>
        <v/>
      </c>
      <c r="D310" s="7">
        <f>'1 datos preparados'!C303</f>
        <v/>
      </c>
      <c r="E310" s="7">
        <f>'1 datos preparados'!D303</f>
        <v/>
      </c>
      <c r="F310" s="7">
        <f>'1 datos preparados'!E303</f>
        <v/>
      </c>
      <c r="G310" s="7">
        <f>'1 datos preparados'!F303</f>
        <v/>
      </c>
      <c r="H310" s="7">
        <f>'1 datos preparados'!G303</f>
        <v/>
      </c>
      <c r="I310" s="7">
        <f>'1 datos preparados'!H303</f>
        <v/>
      </c>
      <c r="J310" s="7">
        <f>'1 datos preparados'!I303</f>
        <v/>
      </c>
      <c r="K310" s="7">
        <f>'1 datos preparados'!J303</f>
        <v/>
      </c>
      <c r="L310" s="7">
        <f>'1 datos preparados'!K303</f>
        <v/>
      </c>
      <c r="M310" s="7">
        <f>'1 datos preparados'!L303</f>
        <v/>
      </c>
      <c r="N310" s="7">
        <f>'1 datos preparados'!M303</f>
        <v/>
      </c>
      <c r="O310" s="7">
        <f>'1 datos preparados'!N303</f>
        <v/>
      </c>
      <c r="P310" s="7">
        <f>'1 datos preparados'!O303</f>
        <v/>
      </c>
      <c r="Q310" s="7">
        <f>'1 datos preparados'!P303</f>
        <v/>
      </c>
      <c r="R310" s="7">
        <f>'1 datos preparados'!Q303</f>
        <v/>
      </c>
      <c r="S310" s="7">
        <f>'1 datos preparados'!R303</f>
        <v/>
      </c>
      <c r="T310" s="7">
        <f>'1 datos preparados'!S303</f>
        <v/>
      </c>
      <c r="U310" s="7">
        <f>'1 datos preparados'!T303</f>
        <v/>
      </c>
      <c r="V310" s="8">
        <f>$AC$12+D310*$AC$13+E310*$AC$14+F310*$AC$15+G310*$AC$16+H310*$AC$17+I310*$AC$18+J310*$AC$19+K310*$AC$20+L310*$AC$21+M310*$AC$22+N310*$AC$23+O310*$AC$24+P310*$AC$25+Q310*$AC$26+R310*$AC$27+S310*$AC$28+T310*$AC$29+U310*$AC$30</f>
        <v/>
      </c>
      <c r="W310" s="8">
        <f>1/(1+EXP(-V310))</f>
        <v/>
      </c>
      <c r="X310" s="9">
        <f>-IF(C310=1,LN(W310),LN(1-W310))</f>
        <v/>
      </c>
      <c r="Y310" s="10">
        <f>IF(W310&gt;$AC$33,1,0)</f>
        <v/>
      </c>
      <c r="Z310">
        <f>IF(Y310=C310,1,0)</f>
        <v/>
      </c>
    </row>
    <row r="311">
      <c r="A311">
        <f>'1 datos preparados'!A304</f>
        <v/>
      </c>
      <c r="B311" s="5">
        <f>'1 datos preparados'!U304</f>
        <v/>
      </c>
      <c r="C311">
        <f>'1 datos preparados'!B304</f>
        <v/>
      </c>
      <c r="D311" s="7">
        <f>'1 datos preparados'!C304</f>
        <v/>
      </c>
      <c r="E311" s="7">
        <f>'1 datos preparados'!D304</f>
        <v/>
      </c>
      <c r="F311" s="7">
        <f>'1 datos preparados'!E304</f>
        <v/>
      </c>
      <c r="G311" s="7">
        <f>'1 datos preparados'!F304</f>
        <v/>
      </c>
      <c r="H311" s="7">
        <f>'1 datos preparados'!G304</f>
        <v/>
      </c>
      <c r="I311" s="7">
        <f>'1 datos preparados'!H304</f>
        <v/>
      </c>
      <c r="J311" s="7">
        <f>'1 datos preparados'!I304</f>
        <v/>
      </c>
      <c r="K311" s="7">
        <f>'1 datos preparados'!J304</f>
        <v/>
      </c>
      <c r="L311" s="7">
        <f>'1 datos preparados'!K304</f>
        <v/>
      </c>
      <c r="M311" s="7">
        <f>'1 datos preparados'!L304</f>
        <v/>
      </c>
      <c r="N311" s="7">
        <f>'1 datos preparados'!M304</f>
        <v/>
      </c>
      <c r="O311" s="7">
        <f>'1 datos preparados'!N304</f>
        <v/>
      </c>
      <c r="P311" s="7">
        <f>'1 datos preparados'!O304</f>
        <v/>
      </c>
      <c r="Q311" s="7">
        <f>'1 datos preparados'!P304</f>
        <v/>
      </c>
      <c r="R311" s="7">
        <f>'1 datos preparados'!Q304</f>
        <v/>
      </c>
      <c r="S311" s="7">
        <f>'1 datos preparados'!R304</f>
        <v/>
      </c>
      <c r="T311" s="7">
        <f>'1 datos preparados'!S304</f>
        <v/>
      </c>
      <c r="U311" s="7">
        <f>'1 datos preparados'!T304</f>
        <v/>
      </c>
      <c r="V311" s="8">
        <f>$AC$12+D311*$AC$13+E311*$AC$14+F311*$AC$15+G311*$AC$16+H311*$AC$17+I311*$AC$18+J311*$AC$19+K311*$AC$20+L311*$AC$21+M311*$AC$22+N311*$AC$23+O311*$AC$24+P311*$AC$25+Q311*$AC$26+R311*$AC$27+S311*$AC$28+T311*$AC$29+U311*$AC$30</f>
        <v/>
      </c>
      <c r="W311" s="8">
        <f>1/(1+EXP(-V311))</f>
        <v/>
      </c>
      <c r="X311" s="9">
        <f>-IF(C311=1,LN(W311),LN(1-W311))</f>
        <v/>
      </c>
      <c r="Y311" s="10">
        <f>IF(W311&gt;$AC$33,1,0)</f>
        <v/>
      </c>
      <c r="Z311">
        <f>IF(Y311=C311,1,0)</f>
        <v/>
      </c>
    </row>
    <row r="312">
      <c r="A312">
        <f>'1 datos preparados'!A305</f>
        <v/>
      </c>
      <c r="B312" s="5">
        <f>'1 datos preparados'!U305</f>
        <v/>
      </c>
      <c r="C312">
        <f>'1 datos preparados'!B305</f>
        <v/>
      </c>
      <c r="D312" s="7">
        <f>'1 datos preparados'!C305</f>
        <v/>
      </c>
      <c r="E312" s="7">
        <f>'1 datos preparados'!D305</f>
        <v/>
      </c>
      <c r="F312" s="7">
        <f>'1 datos preparados'!E305</f>
        <v/>
      </c>
      <c r="G312" s="7">
        <f>'1 datos preparados'!F305</f>
        <v/>
      </c>
      <c r="H312" s="7">
        <f>'1 datos preparados'!G305</f>
        <v/>
      </c>
      <c r="I312" s="7">
        <f>'1 datos preparados'!H305</f>
        <v/>
      </c>
      <c r="J312" s="7">
        <f>'1 datos preparados'!I305</f>
        <v/>
      </c>
      <c r="K312" s="7">
        <f>'1 datos preparados'!J305</f>
        <v/>
      </c>
      <c r="L312" s="7">
        <f>'1 datos preparados'!K305</f>
        <v/>
      </c>
      <c r="M312" s="7">
        <f>'1 datos preparados'!L305</f>
        <v/>
      </c>
      <c r="N312" s="7">
        <f>'1 datos preparados'!M305</f>
        <v/>
      </c>
      <c r="O312" s="7">
        <f>'1 datos preparados'!N305</f>
        <v/>
      </c>
      <c r="P312" s="7">
        <f>'1 datos preparados'!O305</f>
        <v/>
      </c>
      <c r="Q312" s="7">
        <f>'1 datos preparados'!P305</f>
        <v/>
      </c>
      <c r="R312" s="7">
        <f>'1 datos preparados'!Q305</f>
        <v/>
      </c>
      <c r="S312" s="7">
        <f>'1 datos preparados'!R305</f>
        <v/>
      </c>
      <c r="T312" s="7">
        <f>'1 datos preparados'!S305</f>
        <v/>
      </c>
      <c r="U312" s="7">
        <f>'1 datos preparados'!T305</f>
        <v/>
      </c>
      <c r="V312" s="8">
        <f>$AC$12+D312*$AC$13+E312*$AC$14+F312*$AC$15+G312*$AC$16+H312*$AC$17+I312*$AC$18+J312*$AC$19+K312*$AC$20+L312*$AC$21+M312*$AC$22+N312*$AC$23+O312*$AC$24+P312*$AC$25+Q312*$AC$26+R312*$AC$27+S312*$AC$28+T312*$AC$29+U312*$AC$30</f>
        <v/>
      </c>
      <c r="W312" s="8">
        <f>1/(1+EXP(-V312))</f>
        <v/>
      </c>
      <c r="X312" s="9">
        <f>-IF(C312=1,LN(W312),LN(1-W312))</f>
        <v/>
      </c>
      <c r="Y312" s="10">
        <f>IF(W312&gt;$AC$33,1,0)</f>
        <v/>
      </c>
      <c r="Z312">
        <f>IF(Y312=C312,1,0)</f>
        <v/>
      </c>
    </row>
    <row r="313">
      <c r="A313">
        <f>'1 datos preparados'!A306</f>
        <v/>
      </c>
      <c r="B313" s="5">
        <f>'1 datos preparados'!U306</f>
        <v/>
      </c>
      <c r="C313">
        <f>'1 datos preparados'!B306</f>
        <v/>
      </c>
      <c r="D313" s="7">
        <f>'1 datos preparados'!C306</f>
        <v/>
      </c>
      <c r="E313" s="7">
        <f>'1 datos preparados'!D306</f>
        <v/>
      </c>
      <c r="F313" s="7">
        <f>'1 datos preparados'!E306</f>
        <v/>
      </c>
      <c r="G313" s="7">
        <f>'1 datos preparados'!F306</f>
        <v/>
      </c>
      <c r="H313" s="7">
        <f>'1 datos preparados'!G306</f>
        <v/>
      </c>
      <c r="I313" s="7">
        <f>'1 datos preparados'!H306</f>
        <v/>
      </c>
      <c r="J313" s="7">
        <f>'1 datos preparados'!I306</f>
        <v/>
      </c>
      <c r="K313" s="7">
        <f>'1 datos preparados'!J306</f>
        <v/>
      </c>
      <c r="L313" s="7">
        <f>'1 datos preparados'!K306</f>
        <v/>
      </c>
      <c r="M313" s="7">
        <f>'1 datos preparados'!L306</f>
        <v/>
      </c>
      <c r="N313" s="7">
        <f>'1 datos preparados'!M306</f>
        <v/>
      </c>
      <c r="O313" s="7">
        <f>'1 datos preparados'!N306</f>
        <v/>
      </c>
      <c r="P313" s="7">
        <f>'1 datos preparados'!O306</f>
        <v/>
      </c>
      <c r="Q313" s="7">
        <f>'1 datos preparados'!P306</f>
        <v/>
      </c>
      <c r="R313" s="7">
        <f>'1 datos preparados'!Q306</f>
        <v/>
      </c>
      <c r="S313" s="7">
        <f>'1 datos preparados'!R306</f>
        <v/>
      </c>
      <c r="T313" s="7">
        <f>'1 datos preparados'!S306</f>
        <v/>
      </c>
      <c r="U313" s="7">
        <f>'1 datos preparados'!T306</f>
        <v/>
      </c>
      <c r="V313" s="8">
        <f>$AC$12+D313*$AC$13+E313*$AC$14+F313*$AC$15+G313*$AC$16+H313*$AC$17+I313*$AC$18+J313*$AC$19+K313*$AC$20+L313*$AC$21+M313*$AC$22+N313*$AC$23+O313*$AC$24+P313*$AC$25+Q313*$AC$26+R313*$AC$27+S313*$AC$28+T313*$AC$29+U313*$AC$30</f>
        <v/>
      </c>
      <c r="W313" s="8">
        <f>1/(1+EXP(-V313))</f>
        <v/>
      </c>
      <c r="X313" s="9">
        <f>-IF(C313=1,LN(W313),LN(1-W313))</f>
        <v/>
      </c>
      <c r="Y313" s="10">
        <f>IF(W313&gt;$AC$33,1,0)</f>
        <v/>
      </c>
      <c r="Z313">
        <f>IF(Y313=C313,1,0)</f>
        <v/>
      </c>
    </row>
    <row r="314">
      <c r="A314">
        <f>'1 datos preparados'!A307</f>
        <v/>
      </c>
      <c r="B314" s="5">
        <f>'1 datos preparados'!U307</f>
        <v/>
      </c>
      <c r="C314">
        <f>'1 datos preparados'!B307</f>
        <v/>
      </c>
      <c r="D314" s="7">
        <f>'1 datos preparados'!C307</f>
        <v/>
      </c>
      <c r="E314" s="7">
        <f>'1 datos preparados'!D307</f>
        <v/>
      </c>
      <c r="F314" s="7">
        <f>'1 datos preparados'!E307</f>
        <v/>
      </c>
      <c r="G314" s="7">
        <f>'1 datos preparados'!F307</f>
        <v/>
      </c>
      <c r="H314" s="7">
        <f>'1 datos preparados'!G307</f>
        <v/>
      </c>
      <c r="I314" s="7">
        <f>'1 datos preparados'!H307</f>
        <v/>
      </c>
      <c r="J314" s="7">
        <f>'1 datos preparados'!I307</f>
        <v/>
      </c>
      <c r="K314" s="7">
        <f>'1 datos preparados'!J307</f>
        <v/>
      </c>
      <c r="L314" s="7">
        <f>'1 datos preparados'!K307</f>
        <v/>
      </c>
      <c r="M314" s="7">
        <f>'1 datos preparados'!L307</f>
        <v/>
      </c>
      <c r="N314" s="7">
        <f>'1 datos preparados'!M307</f>
        <v/>
      </c>
      <c r="O314" s="7">
        <f>'1 datos preparados'!N307</f>
        <v/>
      </c>
      <c r="P314" s="7">
        <f>'1 datos preparados'!O307</f>
        <v/>
      </c>
      <c r="Q314" s="7">
        <f>'1 datos preparados'!P307</f>
        <v/>
      </c>
      <c r="R314" s="7">
        <f>'1 datos preparados'!Q307</f>
        <v/>
      </c>
      <c r="S314" s="7">
        <f>'1 datos preparados'!R307</f>
        <v/>
      </c>
      <c r="T314" s="7">
        <f>'1 datos preparados'!S307</f>
        <v/>
      </c>
      <c r="U314" s="7">
        <f>'1 datos preparados'!T307</f>
        <v/>
      </c>
      <c r="V314" s="8">
        <f>$AC$12+D314*$AC$13+E314*$AC$14+F314*$AC$15+G314*$AC$16+H314*$AC$17+I314*$AC$18+J314*$AC$19+K314*$AC$20+L314*$AC$21+M314*$AC$22+N314*$AC$23+O314*$AC$24+P314*$AC$25+Q314*$AC$26+R314*$AC$27+S314*$AC$28+T314*$AC$29+U314*$AC$30</f>
        <v/>
      </c>
      <c r="W314" s="8">
        <f>1/(1+EXP(-V314))</f>
        <v/>
      </c>
      <c r="X314" s="9">
        <f>-IF(C314=1,LN(W314),LN(1-W314))</f>
        <v/>
      </c>
      <c r="Y314" s="10">
        <f>IF(W314&gt;$AC$33,1,0)</f>
        <v/>
      </c>
      <c r="Z314">
        <f>IF(Y314=C314,1,0)</f>
        <v/>
      </c>
    </row>
    <row r="315">
      <c r="A315">
        <f>'1 datos preparados'!A308</f>
        <v/>
      </c>
      <c r="B315" s="5">
        <f>'1 datos preparados'!U308</f>
        <v/>
      </c>
      <c r="C315">
        <f>'1 datos preparados'!B308</f>
        <v/>
      </c>
      <c r="D315" s="7">
        <f>'1 datos preparados'!C308</f>
        <v/>
      </c>
      <c r="E315" s="7">
        <f>'1 datos preparados'!D308</f>
        <v/>
      </c>
      <c r="F315" s="7">
        <f>'1 datos preparados'!E308</f>
        <v/>
      </c>
      <c r="G315" s="7">
        <f>'1 datos preparados'!F308</f>
        <v/>
      </c>
      <c r="H315" s="7">
        <f>'1 datos preparados'!G308</f>
        <v/>
      </c>
      <c r="I315" s="7">
        <f>'1 datos preparados'!H308</f>
        <v/>
      </c>
      <c r="J315" s="7">
        <f>'1 datos preparados'!I308</f>
        <v/>
      </c>
      <c r="K315" s="7">
        <f>'1 datos preparados'!J308</f>
        <v/>
      </c>
      <c r="L315" s="7">
        <f>'1 datos preparados'!K308</f>
        <v/>
      </c>
      <c r="M315" s="7">
        <f>'1 datos preparados'!L308</f>
        <v/>
      </c>
      <c r="N315" s="7">
        <f>'1 datos preparados'!M308</f>
        <v/>
      </c>
      <c r="O315" s="7">
        <f>'1 datos preparados'!N308</f>
        <v/>
      </c>
      <c r="P315" s="7">
        <f>'1 datos preparados'!O308</f>
        <v/>
      </c>
      <c r="Q315" s="7">
        <f>'1 datos preparados'!P308</f>
        <v/>
      </c>
      <c r="R315" s="7">
        <f>'1 datos preparados'!Q308</f>
        <v/>
      </c>
      <c r="S315" s="7">
        <f>'1 datos preparados'!R308</f>
        <v/>
      </c>
      <c r="T315" s="7">
        <f>'1 datos preparados'!S308</f>
        <v/>
      </c>
      <c r="U315" s="7">
        <f>'1 datos preparados'!T308</f>
        <v/>
      </c>
      <c r="V315" s="8">
        <f>$AC$12+D315*$AC$13+E315*$AC$14+F315*$AC$15+G315*$AC$16+H315*$AC$17+I315*$AC$18+J315*$AC$19+K315*$AC$20+L315*$AC$21+M315*$AC$22+N315*$AC$23+O315*$AC$24+P315*$AC$25+Q315*$AC$26+R315*$AC$27+S315*$AC$28+T315*$AC$29+U315*$AC$30</f>
        <v/>
      </c>
      <c r="W315" s="8">
        <f>1/(1+EXP(-V315))</f>
        <v/>
      </c>
      <c r="X315" s="9">
        <f>-IF(C315=1,LN(W315),LN(1-W315))</f>
        <v/>
      </c>
      <c r="Y315" s="10">
        <f>IF(W315&gt;$AC$33,1,0)</f>
        <v/>
      </c>
      <c r="Z315">
        <f>IF(Y315=C315,1,0)</f>
        <v/>
      </c>
    </row>
    <row r="316">
      <c r="A316">
        <f>'1 datos preparados'!A309</f>
        <v/>
      </c>
      <c r="B316" s="5">
        <f>'1 datos preparados'!U309</f>
        <v/>
      </c>
      <c r="C316">
        <f>'1 datos preparados'!B309</f>
        <v/>
      </c>
      <c r="D316" s="7">
        <f>'1 datos preparados'!C309</f>
        <v/>
      </c>
      <c r="E316" s="7">
        <f>'1 datos preparados'!D309</f>
        <v/>
      </c>
      <c r="F316" s="7">
        <f>'1 datos preparados'!E309</f>
        <v/>
      </c>
      <c r="G316" s="7">
        <f>'1 datos preparados'!F309</f>
        <v/>
      </c>
      <c r="H316" s="7">
        <f>'1 datos preparados'!G309</f>
        <v/>
      </c>
      <c r="I316" s="7">
        <f>'1 datos preparados'!H309</f>
        <v/>
      </c>
      <c r="J316" s="7">
        <f>'1 datos preparados'!I309</f>
        <v/>
      </c>
      <c r="K316" s="7">
        <f>'1 datos preparados'!J309</f>
        <v/>
      </c>
      <c r="L316" s="7">
        <f>'1 datos preparados'!K309</f>
        <v/>
      </c>
      <c r="M316" s="7">
        <f>'1 datos preparados'!L309</f>
        <v/>
      </c>
      <c r="N316" s="7">
        <f>'1 datos preparados'!M309</f>
        <v/>
      </c>
      <c r="O316" s="7">
        <f>'1 datos preparados'!N309</f>
        <v/>
      </c>
      <c r="P316" s="7">
        <f>'1 datos preparados'!O309</f>
        <v/>
      </c>
      <c r="Q316" s="7">
        <f>'1 datos preparados'!P309</f>
        <v/>
      </c>
      <c r="R316" s="7">
        <f>'1 datos preparados'!Q309</f>
        <v/>
      </c>
      <c r="S316" s="7">
        <f>'1 datos preparados'!R309</f>
        <v/>
      </c>
      <c r="T316" s="7">
        <f>'1 datos preparados'!S309</f>
        <v/>
      </c>
      <c r="U316" s="7">
        <f>'1 datos preparados'!T309</f>
        <v/>
      </c>
      <c r="V316" s="8">
        <f>$AC$12+D316*$AC$13+E316*$AC$14+F316*$AC$15+G316*$AC$16+H316*$AC$17+I316*$AC$18+J316*$AC$19+K316*$AC$20+L316*$AC$21+M316*$AC$22+N316*$AC$23+O316*$AC$24+P316*$AC$25+Q316*$AC$26+R316*$AC$27+S316*$AC$28+T316*$AC$29+U316*$AC$30</f>
        <v/>
      </c>
      <c r="W316" s="8">
        <f>1/(1+EXP(-V316))</f>
        <v/>
      </c>
      <c r="X316" s="9">
        <f>-IF(C316=1,LN(W316),LN(1-W316))</f>
        <v/>
      </c>
      <c r="Y316" s="10">
        <f>IF(W316&gt;$AC$33,1,0)</f>
        <v/>
      </c>
      <c r="Z316">
        <f>IF(Y316=C316,1,0)</f>
        <v/>
      </c>
    </row>
    <row r="317">
      <c r="A317">
        <f>'1 datos preparados'!A310</f>
        <v/>
      </c>
      <c r="B317" s="5">
        <f>'1 datos preparados'!U310</f>
        <v/>
      </c>
      <c r="C317">
        <f>'1 datos preparados'!B310</f>
        <v/>
      </c>
      <c r="D317" s="7">
        <f>'1 datos preparados'!C310</f>
        <v/>
      </c>
      <c r="E317" s="7">
        <f>'1 datos preparados'!D310</f>
        <v/>
      </c>
      <c r="F317" s="7">
        <f>'1 datos preparados'!E310</f>
        <v/>
      </c>
      <c r="G317" s="7">
        <f>'1 datos preparados'!F310</f>
        <v/>
      </c>
      <c r="H317" s="7">
        <f>'1 datos preparados'!G310</f>
        <v/>
      </c>
      <c r="I317" s="7">
        <f>'1 datos preparados'!H310</f>
        <v/>
      </c>
      <c r="J317" s="7">
        <f>'1 datos preparados'!I310</f>
        <v/>
      </c>
      <c r="K317" s="7">
        <f>'1 datos preparados'!J310</f>
        <v/>
      </c>
      <c r="L317" s="7">
        <f>'1 datos preparados'!K310</f>
        <v/>
      </c>
      <c r="M317" s="7">
        <f>'1 datos preparados'!L310</f>
        <v/>
      </c>
      <c r="N317" s="7">
        <f>'1 datos preparados'!M310</f>
        <v/>
      </c>
      <c r="O317" s="7">
        <f>'1 datos preparados'!N310</f>
        <v/>
      </c>
      <c r="P317" s="7">
        <f>'1 datos preparados'!O310</f>
        <v/>
      </c>
      <c r="Q317" s="7">
        <f>'1 datos preparados'!P310</f>
        <v/>
      </c>
      <c r="R317" s="7">
        <f>'1 datos preparados'!Q310</f>
        <v/>
      </c>
      <c r="S317" s="7">
        <f>'1 datos preparados'!R310</f>
        <v/>
      </c>
      <c r="T317" s="7">
        <f>'1 datos preparados'!S310</f>
        <v/>
      </c>
      <c r="U317" s="7">
        <f>'1 datos preparados'!T310</f>
        <v/>
      </c>
      <c r="V317" s="8">
        <f>$AC$12+D317*$AC$13+E317*$AC$14+F317*$AC$15+G317*$AC$16+H317*$AC$17+I317*$AC$18+J317*$AC$19+K317*$AC$20+L317*$AC$21+M317*$AC$22+N317*$AC$23+O317*$AC$24+P317*$AC$25+Q317*$AC$26+R317*$AC$27+S317*$AC$28+T317*$AC$29+U317*$AC$30</f>
        <v/>
      </c>
      <c r="W317" s="8">
        <f>1/(1+EXP(-V317))</f>
        <v/>
      </c>
      <c r="X317" s="9">
        <f>-IF(C317=1,LN(W317),LN(1-W317))</f>
        <v/>
      </c>
      <c r="Y317" s="10">
        <f>IF(W317&gt;$AC$33,1,0)</f>
        <v/>
      </c>
      <c r="Z317">
        <f>IF(Y317=C317,1,0)</f>
        <v/>
      </c>
    </row>
    <row r="318">
      <c r="A318">
        <f>'1 datos preparados'!A311</f>
        <v/>
      </c>
      <c r="B318" s="5">
        <f>'1 datos preparados'!U311</f>
        <v/>
      </c>
      <c r="C318">
        <f>'1 datos preparados'!B311</f>
        <v/>
      </c>
      <c r="D318" s="7">
        <f>'1 datos preparados'!C311</f>
        <v/>
      </c>
      <c r="E318" s="7">
        <f>'1 datos preparados'!D311</f>
        <v/>
      </c>
      <c r="F318" s="7">
        <f>'1 datos preparados'!E311</f>
        <v/>
      </c>
      <c r="G318" s="7">
        <f>'1 datos preparados'!F311</f>
        <v/>
      </c>
      <c r="H318" s="7">
        <f>'1 datos preparados'!G311</f>
        <v/>
      </c>
      <c r="I318" s="7">
        <f>'1 datos preparados'!H311</f>
        <v/>
      </c>
      <c r="J318" s="7">
        <f>'1 datos preparados'!I311</f>
        <v/>
      </c>
      <c r="K318" s="7">
        <f>'1 datos preparados'!J311</f>
        <v/>
      </c>
      <c r="L318" s="7">
        <f>'1 datos preparados'!K311</f>
        <v/>
      </c>
      <c r="M318" s="7">
        <f>'1 datos preparados'!L311</f>
        <v/>
      </c>
      <c r="N318" s="7">
        <f>'1 datos preparados'!M311</f>
        <v/>
      </c>
      <c r="O318" s="7">
        <f>'1 datos preparados'!N311</f>
        <v/>
      </c>
      <c r="P318" s="7">
        <f>'1 datos preparados'!O311</f>
        <v/>
      </c>
      <c r="Q318" s="7">
        <f>'1 datos preparados'!P311</f>
        <v/>
      </c>
      <c r="R318" s="7">
        <f>'1 datos preparados'!Q311</f>
        <v/>
      </c>
      <c r="S318" s="7">
        <f>'1 datos preparados'!R311</f>
        <v/>
      </c>
      <c r="T318" s="7">
        <f>'1 datos preparados'!S311</f>
        <v/>
      </c>
      <c r="U318" s="7">
        <f>'1 datos preparados'!T311</f>
        <v/>
      </c>
      <c r="V318" s="8">
        <f>$AC$12+D318*$AC$13+E318*$AC$14+F318*$AC$15+G318*$AC$16+H318*$AC$17+I318*$AC$18+J318*$AC$19+K318*$AC$20+L318*$AC$21+M318*$AC$22+N318*$AC$23+O318*$AC$24+P318*$AC$25+Q318*$AC$26+R318*$AC$27+S318*$AC$28+T318*$AC$29+U318*$AC$30</f>
        <v/>
      </c>
      <c r="W318" s="8">
        <f>1/(1+EXP(-V318))</f>
        <v/>
      </c>
      <c r="X318" s="9">
        <f>-IF(C318=1,LN(W318),LN(1-W318))</f>
        <v/>
      </c>
      <c r="Y318" s="10">
        <f>IF(W318&gt;$AC$33,1,0)</f>
        <v/>
      </c>
      <c r="Z318">
        <f>IF(Y318=C318,1,0)</f>
        <v/>
      </c>
    </row>
    <row r="319">
      <c r="A319">
        <f>'1 datos preparados'!A312</f>
        <v/>
      </c>
      <c r="B319" s="5">
        <f>'1 datos preparados'!U312</f>
        <v/>
      </c>
      <c r="C319">
        <f>'1 datos preparados'!B312</f>
        <v/>
      </c>
      <c r="D319" s="7">
        <f>'1 datos preparados'!C312</f>
        <v/>
      </c>
      <c r="E319" s="7">
        <f>'1 datos preparados'!D312</f>
        <v/>
      </c>
      <c r="F319" s="7">
        <f>'1 datos preparados'!E312</f>
        <v/>
      </c>
      <c r="G319" s="7">
        <f>'1 datos preparados'!F312</f>
        <v/>
      </c>
      <c r="H319" s="7">
        <f>'1 datos preparados'!G312</f>
        <v/>
      </c>
      <c r="I319" s="7">
        <f>'1 datos preparados'!H312</f>
        <v/>
      </c>
      <c r="J319" s="7">
        <f>'1 datos preparados'!I312</f>
        <v/>
      </c>
      <c r="K319" s="7">
        <f>'1 datos preparados'!J312</f>
        <v/>
      </c>
      <c r="L319" s="7">
        <f>'1 datos preparados'!K312</f>
        <v/>
      </c>
      <c r="M319" s="7">
        <f>'1 datos preparados'!L312</f>
        <v/>
      </c>
      <c r="N319" s="7">
        <f>'1 datos preparados'!M312</f>
        <v/>
      </c>
      <c r="O319" s="7">
        <f>'1 datos preparados'!N312</f>
        <v/>
      </c>
      <c r="P319" s="7">
        <f>'1 datos preparados'!O312</f>
        <v/>
      </c>
      <c r="Q319" s="7">
        <f>'1 datos preparados'!P312</f>
        <v/>
      </c>
      <c r="R319" s="7">
        <f>'1 datos preparados'!Q312</f>
        <v/>
      </c>
      <c r="S319" s="7">
        <f>'1 datos preparados'!R312</f>
        <v/>
      </c>
      <c r="T319" s="7">
        <f>'1 datos preparados'!S312</f>
        <v/>
      </c>
      <c r="U319" s="7">
        <f>'1 datos preparados'!T312</f>
        <v/>
      </c>
      <c r="V319" s="8">
        <f>$AC$12+D319*$AC$13+E319*$AC$14+F319*$AC$15+G319*$AC$16+H319*$AC$17+I319*$AC$18+J319*$AC$19+K319*$AC$20+L319*$AC$21+M319*$AC$22+N319*$AC$23+O319*$AC$24+P319*$AC$25+Q319*$AC$26+R319*$AC$27+S319*$AC$28+T319*$AC$29+U319*$AC$30</f>
        <v/>
      </c>
      <c r="W319" s="8">
        <f>1/(1+EXP(-V319))</f>
        <v/>
      </c>
      <c r="X319" s="9">
        <f>-IF(C319=1,LN(W319),LN(1-W319))</f>
        <v/>
      </c>
      <c r="Y319" s="10">
        <f>IF(W319&gt;$AC$33,1,0)</f>
        <v/>
      </c>
      <c r="Z319">
        <f>IF(Y319=C319,1,0)</f>
        <v/>
      </c>
    </row>
    <row r="320">
      <c r="A320">
        <f>'1 datos preparados'!A313</f>
        <v/>
      </c>
      <c r="B320" s="5">
        <f>'1 datos preparados'!U313</f>
        <v/>
      </c>
      <c r="C320">
        <f>'1 datos preparados'!B313</f>
        <v/>
      </c>
      <c r="D320" s="7">
        <f>'1 datos preparados'!C313</f>
        <v/>
      </c>
      <c r="E320" s="7">
        <f>'1 datos preparados'!D313</f>
        <v/>
      </c>
      <c r="F320" s="7">
        <f>'1 datos preparados'!E313</f>
        <v/>
      </c>
      <c r="G320" s="7">
        <f>'1 datos preparados'!F313</f>
        <v/>
      </c>
      <c r="H320" s="7">
        <f>'1 datos preparados'!G313</f>
        <v/>
      </c>
      <c r="I320" s="7">
        <f>'1 datos preparados'!H313</f>
        <v/>
      </c>
      <c r="J320" s="7">
        <f>'1 datos preparados'!I313</f>
        <v/>
      </c>
      <c r="K320" s="7">
        <f>'1 datos preparados'!J313</f>
        <v/>
      </c>
      <c r="L320" s="7">
        <f>'1 datos preparados'!K313</f>
        <v/>
      </c>
      <c r="M320" s="7">
        <f>'1 datos preparados'!L313</f>
        <v/>
      </c>
      <c r="N320" s="7">
        <f>'1 datos preparados'!M313</f>
        <v/>
      </c>
      <c r="O320" s="7">
        <f>'1 datos preparados'!N313</f>
        <v/>
      </c>
      <c r="P320" s="7">
        <f>'1 datos preparados'!O313</f>
        <v/>
      </c>
      <c r="Q320" s="7">
        <f>'1 datos preparados'!P313</f>
        <v/>
      </c>
      <c r="R320" s="7">
        <f>'1 datos preparados'!Q313</f>
        <v/>
      </c>
      <c r="S320" s="7">
        <f>'1 datos preparados'!R313</f>
        <v/>
      </c>
      <c r="T320" s="7">
        <f>'1 datos preparados'!S313</f>
        <v/>
      </c>
      <c r="U320" s="7">
        <f>'1 datos preparados'!T313</f>
        <v/>
      </c>
      <c r="V320" s="8">
        <f>$AC$12+D320*$AC$13+E320*$AC$14+F320*$AC$15+G320*$AC$16+H320*$AC$17+I320*$AC$18+J320*$AC$19+K320*$AC$20+L320*$AC$21+M320*$AC$22+N320*$AC$23+O320*$AC$24+P320*$AC$25+Q320*$AC$26+R320*$AC$27+S320*$AC$28+T320*$AC$29+U320*$AC$30</f>
        <v/>
      </c>
      <c r="W320" s="8">
        <f>1/(1+EXP(-V320))</f>
        <v/>
      </c>
      <c r="X320" s="9">
        <f>-IF(C320=1,LN(W320),LN(1-W320))</f>
        <v/>
      </c>
      <c r="Y320" s="10">
        <f>IF(W320&gt;$AC$33,1,0)</f>
        <v/>
      </c>
      <c r="Z320">
        <f>IF(Y320=C320,1,0)</f>
        <v/>
      </c>
    </row>
    <row r="321">
      <c r="A321">
        <f>'1 datos preparados'!A314</f>
        <v/>
      </c>
      <c r="B321" s="5">
        <f>'1 datos preparados'!U314</f>
        <v/>
      </c>
      <c r="C321">
        <f>'1 datos preparados'!B314</f>
        <v/>
      </c>
      <c r="D321" s="7">
        <f>'1 datos preparados'!C314</f>
        <v/>
      </c>
      <c r="E321" s="7">
        <f>'1 datos preparados'!D314</f>
        <v/>
      </c>
      <c r="F321" s="7">
        <f>'1 datos preparados'!E314</f>
        <v/>
      </c>
      <c r="G321" s="7">
        <f>'1 datos preparados'!F314</f>
        <v/>
      </c>
      <c r="H321" s="7">
        <f>'1 datos preparados'!G314</f>
        <v/>
      </c>
      <c r="I321" s="7">
        <f>'1 datos preparados'!H314</f>
        <v/>
      </c>
      <c r="J321" s="7">
        <f>'1 datos preparados'!I314</f>
        <v/>
      </c>
      <c r="K321" s="7">
        <f>'1 datos preparados'!J314</f>
        <v/>
      </c>
      <c r="L321" s="7">
        <f>'1 datos preparados'!K314</f>
        <v/>
      </c>
      <c r="M321" s="7">
        <f>'1 datos preparados'!L314</f>
        <v/>
      </c>
      <c r="N321" s="7">
        <f>'1 datos preparados'!M314</f>
        <v/>
      </c>
      <c r="O321" s="7">
        <f>'1 datos preparados'!N314</f>
        <v/>
      </c>
      <c r="P321" s="7">
        <f>'1 datos preparados'!O314</f>
        <v/>
      </c>
      <c r="Q321" s="7">
        <f>'1 datos preparados'!P314</f>
        <v/>
      </c>
      <c r="R321" s="7">
        <f>'1 datos preparados'!Q314</f>
        <v/>
      </c>
      <c r="S321" s="7">
        <f>'1 datos preparados'!R314</f>
        <v/>
      </c>
      <c r="T321" s="7">
        <f>'1 datos preparados'!S314</f>
        <v/>
      </c>
      <c r="U321" s="7">
        <f>'1 datos preparados'!T314</f>
        <v/>
      </c>
      <c r="V321" s="8">
        <f>$AC$12+D321*$AC$13+E321*$AC$14+F321*$AC$15+G321*$AC$16+H321*$AC$17+I321*$AC$18+J321*$AC$19+K321*$AC$20+L321*$AC$21+M321*$AC$22+N321*$AC$23+O321*$AC$24+P321*$AC$25+Q321*$AC$26+R321*$AC$27+S321*$AC$28+T321*$AC$29+U321*$AC$30</f>
        <v/>
      </c>
      <c r="W321" s="8">
        <f>1/(1+EXP(-V321))</f>
        <v/>
      </c>
      <c r="X321" s="9">
        <f>-IF(C321=1,LN(W321),LN(1-W321))</f>
        <v/>
      </c>
      <c r="Y321" s="10">
        <f>IF(W321&gt;$AC$33,1,0)</f>
        <v/>
      </c>
      <c r="Z321">
        <f>IF(Y321=C321,1,0)</f>
        <v/>
      </c>
    </row>
    <row r="322">
      <c r="A322">
        <f>'1 datos preparados'!A315</f>
        <v/>
      </c>
      <c r="B322" s="5">
        <f>'1 datos preparados'!U315</f>
        <v/>
      </c>
      <c r="C322">
        <f>'1 datos preparados'!B315</f>
        <v/>
      </c>
      <c r="D322" s="7">
        <f>'1 datos preparados'!C315</f>
        <v/>
      </c>
      <c r="E322" s="7">
        <f>'1 datos preparados'!D315</f>
        <v/>
      </c>
      <c r="F322" s="7">
        <f>'1 datos preparados'!E315</f>
        <v/>
      </c>
      <c r="G322" s="7">
        <f>'1 datos preparados'!F315</f>
        <v/>
      </c>
      <c r="H322" s="7">
        <f>'1 datos preparados'!G315</f>
        <v/>
      </c>
      <c r="I322" s="7">
        <f>'1 datos preparados'!H315</f>
        <v/>
      </c>
      <c r="J322" s="7">
        <f>'1 datos preparados'!I315</f>
        <v/>
      </c>
      <c r="K322" s="7">
        <f>'1 datos preparados'!J315</f>
        <v/>
      </c>
      <c r="L322" s="7">
        <f>'1 datos preparados'!K315</f>
        <v/>
      </c>
      <c r="M322" s="7">
        <f>'1 datos preparados'!L315</f>
        <v/>
      </c>
      <c r="N322" s="7">
        <f>'1 datos preparados'!M315</f>
        <v/>
      </c>
      <c r="O322" s="7">
        <f>'1 datos preparados'!N315</f>
        <v/>
      </c>
      <c r="P322" s="7">
        <f>'1 datos preparados'!O315</f>
        <v/>
      </c>
      <c r="Q322" s="7">
        <f>'1 datos preparados'!P315</f>
        <v/>
      </c>
      <c r="R322" s="7">
        <f>'1 datos preparados'!Q315</f>
        <v/>
      </c>
      <c r="S322" s="7">
        <f>'1 datos preparados'!R315</f>
        <v/>
      </c>
      <c r="T322" s="7">
        <f>'1 datos preparados'!S315</f>
        <v/>
      </c>
      <c r="U322" s="7">
        <f>'1 datos preparados'!T315</f>
        <v/>
      </c>
      <c r="V322" s="8">
        <f>$AC$12+D322*$AC$13+E322*$AC$14+F322*$AC$15+G322*$AC$16+H322*$AC$17+I322*$AC$18+J322*$AC$19+K322*$AC$20+L322*$AC$21+M322*$AC$22+N322*$AC$23+O322*$AC$24+P322*$AC$25+Q322*$AC$26+R322*$AC$27+S322*$AC$28+T322*$AC$29+U322*$AC$30</f>
        <v/>
      </c>
      <c r="W322" s="8">
        <f>1/(1+EXP(-V322))</f>
        <v/>
      </c>
      <c r="X322" s="9">
        <f>-IF(C322=1,LN(W322),LN(1-W322))</f>
        <v/>
      </c>
      <c r="Y322" s="10">
        <f>IF(W322&gt;$AC$33,1,0)</f>
        <v/>
      </c>
      <c r="Z322">
        <f>IF(Y322=C322,1,0)</f>
        <v/>
      </c>
    </row>
    <row r="323">
      <c r="A323">
        <f>'1 datos preparados'!A316</f>
        <v/>
      </c>
      <c r="B323" s="5">
        <f>'1 datos preparados'!U316</f>
        <v/>
      </c>
      <c r="C323">
        <f>'1 datos preparados'!B316</f>
        <v/>
      </c>
      <c r="D323" s="7">
        <f>'1 datos preparados'!C316</f>
        <v/>
      </c>
      <c r="E323" s="7">
        <f>'1 datos preparados'!D316</f>
        <v/>
      </c>
      <c r="F323" s="7">
        <f>'1 datos preparados'!E316</f>
        <v/>
      </c>
      <c r="G323" s="7">
        <f>'1 datos preparados'!F316</f>
        <v/>
      </c>
      <c r="H323" s="7">
        <f>'1 datos preparados'!G316</f>
        <v/>
      </c>
      <c r="I323" s="7">
        <f>'1 datos preparados'!H316</f>
        <v/>
      </c>
      <c r="J323" s="7">
        <f>'1 datos preparados'!I316</f>
        <v/>
      </c>
      <c r="K323" s="7">
        <f>'1 datos preparados'!J316</f>
        <v/>
      </c>
      <c r="L323" s="7">
        <f>'1 datos preparados'!K316</f>
        <v/>
      </c>
      <c r="M323" s="7">
        <f>'1 datos preparados'!L316</f>
        <v/>
      </c>
      <c r="N323" s="7">
        <f>'1 datos preparados'!M316</f>
        <v/>
      </c>
      <c r="O323" s="7">
        <f>'1 datos preparados'!N316</f>
        <v/>
      </c>
      <c r="P323" s="7">
        <f>'1 datos preparados'!O316</f>
        <v/>
      </c>
      <c r="Q323" s="7">
        <f>'1 datos preparados'!P316</f>
        <v/>
      </c>
      <c r="R323" s="7">
        <f>'1 datos preparados'!Q316</f>
        <v/>
      </c>
      <c r="S323" s="7">
        <f>'1 datos preparados'!R316</f>
        <v/>
      </c>
      <c r="T323" s="7">
        <f>'1 datos preparados'!S316</f>
        <v/>
      </c>
      <c r="U323" s="7">
        <f>'1 datos preparados'!T316</f>
        <v/>
      </c>
      <c r="V323" s="8">
        <f>$AC$12+D323*$AC$13+E323*$AC$14+F323*$AC$15+G323*$AC$16+H323*$AC$17+I323*$AC$18+J323*$AC$19+K323*$AC$20+L323*$AC$21+M323*$AC$22+N323*$AC$23+O323*$AC$24+P323*$AC$25+Q323*$AC$26+R323*$AC$27+S323*$AC$28+T323*$AC$29+U323*$AC$30</f>
        <v/>
      </c>
      <c r="W323" s="8">
        <f>1/(1+EXP(-V323))</f>
        <v/>
      </c>
      <c r="X323" s="9">
        <f>-IF(C323=1,LN(W323),LN(1-W323))</f>
        <v/>
      </c>
      <c r="Y323" s="10">
        <f>IF(W323&gt;$AC$33,1,0)</f>
        <v/>
      </c>
      <c r="Z323">
        <f>IF(Y323=C323,1,0)</f>
        <v/>
      </c>
    </row>
    <row r="324">
      <c r="A324">
        <f>'1 datos preparados'!A317</f>
        <v/>
      </c>
      <c r="B324" s="5">
        <f>'1 datos preparados'!U317</f>
        <v/>
      </c>
      <c r="C324">
        <f>'1 datos preparados'!B317</f>
        <v/>
      </c>
      <c r="D324" s="7">
        <f>'1 datos preparados'!C317</f>
        <v/>
      </c>
      <c r="E324" s="7">
        <f>'1 datos preparados'!D317</f>
        <v/>
      </c>
      <c r="F324" s="7">
        <f>'1 datos preparados'!E317</f>
        <v/>
      </c>
      <c r="G324" s="7">
        <f>'1 datos preparados'!F317</f>
        <v/>
      </c>
      <c r="H324" s="7">
        <f>'1 datos preparados'!G317</f>
        <v/>
      </c>
      <c r="I324" s="7">
        <f>'1 datos preparados'!H317</f>
        <v/>
      </c>
      <c r="J324" s="7">
        <f>'1 datos preparados'!I317</f>
        <v/>
      </c>
      <c r="K324" s="7">
        <f>'1 datos preparados'!J317</f>
        <v/>
      </c>
      <c r="L324" s="7">
        <f>'1 datos preparados'!K317</f>
        <v/>
      </c>
      <c r="M324" s="7">
        <f>'1 datos preparados'!L317</f>
        <v/>
      </c>
      <c r="N324" s="7">
        <f>'1 datos preparados'!M317</f>
        <v/>
      </c>
      <c r="O324" s="7">
        <f>'1 datos preparados'!N317</f>
        <v/>
      </c>
      <c r="P324" s="7">
        <f>'1 datos preparados'!O317</f>
        <v/>
      </c>
      <c r="Q324" s="7">
        <f>'1 datos preparados'!P317</f>
        <v/>
      </c>
      <c r="R324" s="7">
        <f>'1 datos preparados'!Q317</f>
        <v/>
      </c>
      <c r="S324" s="7">
        <f>'1 datos preparados'!R317</f>
        <v/>
      </c>
      <c r="T324" s="7">
        <f>'1 datos preparados'!S317</f>
        <v/>
      </c>
      <c r="U324" s="7">
        <f>'1 datos preparados'!T317</f>
        <v/>
      </c>
      <c r="V324" s="8">
        <f>$AC$12+D324*$AC$13+E324*$AC$14+F324*$AC$15+G324*$AC$16+H324*$AC$17+I324*$AC$18+J324*$AC$19+K324*$AC$20+L324*$AC$21+M324*$AC$22+N324*$AC$23+O324*$AC$24+P324*$AC$25+Q324*$AC$26+R324*$AC$27+S324*$AC$28+T324*$AC$29+U324*$AC$30</f>
        <v/>
      </c>
      <c r="W324" s="8">
        <f>1/(1+EXP(-V324))</f>
        <v/>
      </c>
      <c r="X324" s="9">
        <f>-IF(C324=1,LN(W324),LN(1-W324))</f>
        <v/>
      </c>
      <c r="Y324" s="10">
        <f>IF(W324&gt;$AC$33,1,0)</f>
        <v/>
      </c>
      <c r="Z324">
        <f>IF(Y324=C324,1,0)</f>
        <v/>
      </c>
    </row>
    <row r="325">
      <c r="A325">
        <f>'1 datos preparados'!A318</f>
        <v/>
      </c>
      <c r="B325" s="5">
        <f>'1 datos preparados'!U318</f>
        <v/>
      </c>
      <c r="C325">
        <f>'1 datos preparados'!B318</f>
        <v/>
      </c>
      <c r="D325" s="7">
        <f>'1 datos preparados'!C318</f>
        <v/>
      </c>
      <c r="E325" s="7">
        <f>'1 datos preparados'!D318</f>
        <v/>
      </c>
      <c r="F325" s="7">
        <f>'1 datos preparados'!E318</f>
        <v/>
      </c>
      <c r="G325" s="7">
        <f>'1 datos preparados'!F318</f>
        <v/>
      </c>
      <c r="H325" s="7">
        <f>'1 datos preparados'!G318</f>
        <v/>
      </c>
      <c r="I325" s="7">
        <f>'1 datos preparados'!H318</f>
        <v/>
      </c>
      <c r="J325" s="7">
        <f>'1 datos preparados'!I318</f>
        <v/>
      </c>
      <c r="K325" s="7">
        <f>'1 datos preparados'!J318</f>
        <v/>
      </c>
      <c r="L325" s="7">
        <f>'1 datos preparados'!K318</f>
        <v/>
      </c>
      <c r="M325" s="7">
        <f>'1 datos preparados'!L318</f>
        <v/>
      </c>
      <c r="N325" s="7">
        <f>'1 datos preparados'!M318</f>
        <v/>
      </c>
      <c r="O325" s="7">
        <f>'1 datos preparados'!N318</f>
        <v/>
      </c>
      <c r="P325" s="7">
        <f>'1 datos preparados'!O318</f>
        <v/>
      </c>
      <c r="Q325" s="7">
        <f>'1 datos preparados'!P318</f>
        <v/>
      </c>
      <c r="R325" s="7">
        <f>'1 datos preparados'!Q318</f>
        <v/>
      </c>
      <c r="S325" s="7">
        <f>'1 datos preparados'!R318</f>
        <v/>
      </c>
      <c r="T325" s="7">
        <f>'1 datos preparados'!S318</f>
        <v/>
      </c>
      <c r="U325" s="7">
        <f>'1 datos preparados'!T318</f>
        <v/>
      </c>
      <c r="V325" s="8">
        <f>$AC$12+D325*$AC$13+E325*$AC$14+F325*$AC$15+G325*$AC$16+H325*$AC$17+I325*$AC$18+J325*$AC$19+K325*$AC$20+L325*$AC$21+M325*$AC$22+N325*$AC$23+O325*$AC$24+P325*$AC$25+Q325*$AC$26+R325*$AC$27+S325*$AC$28+T325*$AC$29+U325*$AC$30</f>
        <v/>
      </c>
      <c r="W325" s="8">
        <f>1/(1+EXP(-V325))</f>
        <v/>
      </c>
      <c r="X325" s="9">
        <f>-IF(C325=1,LN(W325),LN(1-W325))</f>
        <v/>
      </c>
      <c r="Y325" s="10">
        <f>IF(W325&gt;$AC$33,1,0)</f>
        <v/>
      </c>
      <c r="Z325">
        <f>IF(Y325=C325,1,0)</f>
        <v/>
      </c>
    </row>
    <row r="326">
      <c r="A326">
        <f>'1 datos preparados'!A319</f>
        <v/>
      </c>
      <c r="B326" s="5">
        <f>'1 datos preparados'!U319</f>
        <v/>
      </c>
      <c r="C326">
        <f>'1 datos preparados'!B319</f>
        <v/>
      </c>
      <c r="D326" s="7">
        <f>'1 datos preparados'!C319</f>
        <v/>
      </c>
      <c r="E326" s="7">
        <f>'1 datos preparados'!D319</f>
        <v/>
      </c>
      <c r="F326" s="7">
        <f>'1 datos preparados'!E319</f>
        <v/>
      </c>
      <c r="G326" s="7">
        <f>'1 datos preparados'!F319</f>
        <v/>
      </c>
      <c r="H326" s="7">
        <f>'1 datos preparados'!G319</f>
        <v/>
      </c>
      <c r="I326" s="7">
        <f>'1 datos preparados'!H319</f>
        <v/>
      </c>
      <c r="J326" s="7">
        <f>'1 datos preparados'!I319</f>
        <v/>
      </c>
      <c r="K326" s="7">
        <f>'1 datos preparados'!J319</f>
        <v/>
      </c>
      <c r="L326" s="7">
        <f>'1 datos preparados'!K319</f>
        <v/>
      </c>
      <c r="M326" s="7">
        <f>'1 datos preparados'!L319</f>
        <v/>
      </c>
      <c r="N326" s="7">
        <f>'1 datos preparados'!M319</f>
        <v/>
      </c>
      <c r="O326" s="7">
        <f>'1 datos preparados'!N319</f>
        <v/>
      </c>
      <c r="P326" s="7">
        <f>'1 datos preparados'!O319</f>
        <v/>
      </c>
      <c r="Q326" s="7">
        <f>'1 datos preparados'!P319</f>
        <v/>
      </c>
      <c r="R326" s="7">
        <f>'1 datos preparados'!Q319</f>
        <v/>
      </c>
      <c r="S326" s="7">
        <f>'1 datos preparados'!R319</f>
        <v/>
      </c>
      <c r="T326" s="7">
        <f>'1 datos preparados'!S319</f>
        <v/>
      </c>
      <c r="U326" s="7">
        <f>'1 datos preparados'!T319</f>
        <v/>
      </c>
      <c r="V326" s="8">
        <f>$AC$12+D326*$AC$13+E326*$AC$14+F326*$AC$15+G326*$AC$16+H326*$AC$17+I326*$AC$18+J326*$AC$19+K326*$AC$20+L326*$AC$21+M326*$AC$22+N326*$AC$23+O326*$AC$24+P326*$AC$25+Q326*$AC$26+R326*$AC$27+S326*$AC$28+T326*$AC$29+U326*$AC$30</f>
        <v/>
      </c>
      <c r="W326" s="8">
        <f>1/(1+EXP(-V326))</f>
        <v/>
      </c>
      <c r="X326" s="9">
        <f>-IF(C326=1,LN(W326),LN(1-W326))</f>
        <v/>
      </c>
      <c r="Y326" s="10">
        <f>IF(W326&gt;$AC$33,1,0)</f>
        <v/>
      </c>
      <c r="Z326">
        <f>IF(Y326=C326,1,0)</f>
        <v/>
      </c>
    </row>
    <row r="327">
      <c r="A327">
        <f>'1 datos preparados'!A320</f>
        <v/>
      </c>
      <c r="B327" s="5">
        <f>'1 datos preparados'!U320</f>
        <v/>
      </c>
      <c r="C327">
        <f>'1 datos preparados'!B320</f>
        <v/>
      </c>
      <c r="D327" s="7">
        <f>'1 datos preparados'!C320</f>
        <v/>
      </c>
      <c r="E327" s="7">
        <f>'1 datos preparados'!D320</f>
        <v/>
      </c>
      <c r="F327" s="7">
        <f>'1 datos preparados'!E320</f>
        <v/>
      </c>
      <c r="G327" s="7">
        <f>'1 datos preparados'!F320</f>
        <v/>
      </c>
      <c r="H327" s="7">
        <f>'1 datos preparados'!G320</f>
        <v/>
      </c>
      <c r="I327" s="7">
        <f>'1 datos preparados'!H320</f>
        <v/>
      </c>
      <c r="J327" s="7">
        <f>'1 datos preparados'!I320</f>
        <v/>
      </c>
      <c r="K327" s="7">
        <f>'1 datos preparados'!J320</f>
        <v/>
      </c>
      <c r="L327" s="7">
        <f>'1 datos preparados'!K320</f>
        <v/>
      </c>
      <c r="M327" s="7">
        <f>'1 datos preparados'!L320</f>
        <v/>
      </c>
      <c r="N327" s="7">
        <f>'1 datos preparados'!M320</f>
        <v/>
      </c>
      <c r="O327" s="7">
        <f>'1 datos preparados'!N320</f>
        <v/>
      </c>
      <c r="P327" s="7">
        <f>'1 datos preparados'!O320</f>
        <v/>
      </c>
      <c r="Q327" s="7">
        <f>'1 datos preparados'!P320</f>
        <v/>
      </c>
      <c r="R327" s="7">
        <f>'1 datos preparados'!Q320</f>
        <v/>
      </c>
      <c r="S327" s="7">
        <f>'1 datos preparados'!R320</f>
        <v/>
      </c>
      <c r="T327" s="7">
        <f>'1 datos preparados'!S320</f>
        <v/>
      </c>
      <c r="U327" s="7">
        <f>'1 datos preparados'!T320</f>
        <v/>
      </c>
      <c r="V327" s="8">
        <f>$AC$12+D327*$AC$13+E327*$AC$14+F327*$AC$15+G327*$AC$16+H327*$AC$17+I327*$AC$18+J327*$AC$19+K327*$AC$20+L327*$AC$21+M327*$AC$22+N327*$AC$23+O327*$AC$24+P327*$AC$25+Q327*$AC$26+R327*$AC$27+S327*$AC$28+T327*$AC$29+U327*$AC$30</f>
        <v/>
      </c>
      <c r="W327" s="8">
        <f>1/(1+EXP(-V327))</f>
        <v/>
      </c>
      <c r="X327" s="9">
        <f>-IF(C327=1,LN(W327),LN(1-W327))</f>
        <v/>
      </c>
      <c r="Y327" s="10">
        <f>IF(W327&gt;$AC$33,1,0)</f>
        <v/>
      </c>
      <c r="Z327">
        <f>IF(Y327=C327,1,0)</f>
        <v/>
      </c>
    </row>
    <row r="328">
      <c r="A328">
        <f>'1 datos preparados'!A321</f>
        <v/>
      </c>
      <c r="B328" s="5">
        <f>'1 datos preparados'!U321</f>
        <v/>
      </c>
      <c r="C328">
        <f>'1 datos preparados'!B321</f>
        <v/>
      </c>
      <c r="D328" s="7">
        <f>'1 datos preparados'!C321</f>
        <v/>
      </c>
      <c r="E328" s="7">
        <f>'1 datos preparados'!D321</f>
        <v/>
      </c>
      <c r="F328" s="7">
        <f>'1 datos preparados'!E321</f>
        <v/>
      </c>
      <c r="G328" s="7">
        <f>'1 datos preparados'!F321</f>
        <v/>
      </c>
      <c r="H328" s="7">
        <f>'1 datos preparados'!G321</f>
        <v/>
      </c>
      <c r="I328" s="7">
        <f>'1 datos preparados'!H321</f>
        <v/>
      </c>
      <c r="J328" s="7">
        <f>'1 datos preparados'!I321</f>
        <v/>
      </c>
      <c r="K328" s="7">
        <f>'1 datos preparados'!J321</f>
        <v/>
      </c>
      <c r="L328" s="7">
        <f>'1 datos preparados'!K321</f>
        <v/>
      </c>
      <c r="M328" s="7">
        <f>'1 datos preparados'!L321</f>
        <v/>
      </c>
      <c r="N328" s="7">
        <f>'1 datos preparados'!M321</f>
        <v/>
      </c>
      <c r="O328" s="7">
        <f>'1 datos preparados'!N321</f>
        <v/>
      </c>
      <c r="P328" s="7">
        <f>'1 datos preparados'!O321</f>
        <v/>
      </c>
      <c r="Q328" s="7">
        <f>'1 datos preparados'!P321</f>
        <v/>
      </c>
      <c r="R328" s="7">
        <f>'1 datos preparados'!Q321</f>
        <v/>
      </c>
      <c r="S328" s="7">
        <f>'1 datos preparados'!R321</f>
        <v/>
      </c>
      <c r="T328" s="7">
        <f>'1 datos preparados'!S321</f>
        <v/>
      </c>
      <c r="U328" s="7">
        <f>'1 datos preparados'!T321</f>
        <v/>
      </c>
      <c r="V328" s="8">
        <f>$AC$12+D328*$AC$13+E328*$AC$14+F328*$AC$15+G328*$AC$16+H328*$AC$17+I328*$AC$18+J328*$AC$19+K328*$AC$20+L328*$AC$21+M328*$AC$22+N328*$AC$23+O328*$AC$24+P328*$AC$25+Q328*$AC$26+R328*$AC$27+S328*$AC$28+T328*$AC$29+U328*$AC$30</f>
        <v/>
      </c>
      <c r="W328" s="8">
        <f>1/(1+EXP(-V328))</f>
        <v/>
      </c>
      <c r="X328" s="9">
        <f>-IF(C328=1,LN(W328),LN(1-W328))</f>
        <v/>
      </c>
      <c r="Y328" s="10">
        <f>IF(W328&gt;$AC$33,1,0)</f>
        <v/>
      </c>
      <c r="Z328">
        <f>IF(Y328=C328,1,0)</f>
        <v/>
      </c>
    </row>
    <row r="329">
      <c r="A329">
        <f>'1 datos preparados'!A322</f>
        <v/>
      </c>
      <c r="B329" s="5">
        <f>'1 datos preparados'!U322</f>
        <v/>
      </c>
      <c r="C329">
        <f>'1 datos preparados'!B322</f>
        <v/>
      </c>
      <c r="D329" s="7">
        <f>'1 datos preparados'!C322</f>
        <v/>
      </c>
      <c r="E329" s="7">
        <f>'1 datos preparados'!D322</f>
        <v/>
      </c>
      <c r="F329" s="7">
        <f>'1 datos preparados'!E322</f>
        <v/>
      </c>
      <c r="G329" s="7">
        <f>'1 datos preparados'!F322</f>
        <v/>
      </c>
      <c r="H329" s="7">
        <f>'1 datos preparados'!G322</f>
        <v/>
      </c>
      <c r="I329" s="7">
        <f>'1 datos preparados'!H322</f>
        <v/>
      </c>
      <c r="J329" s="7">
        <f>'1 datos preparados'!I322</f>
        <v/>
      </c>
      <c r="K329" s="7">
        <f>'1 datos preparados'!J322</f>
        <v/>
      </c>
      <c r="L329" s="7">
        <f>'1 datos preparados'!K322</f>
        <v/>
      </c>
      <c r="M329" s="7">
        <f>'1 datos preparados'!L322</f>
        <v/>
      </c>
      <c r="N329" s="7">
        <f>'1 datos preparados'!M322</f>
        <v/>
      </c>
      <c r="O329" s="7">
        <f>'1 datos preparados'!N322</f>
        <v/>
      </c>
      <c r="P329" s="7">
        <f>'1 datos preparados'!O322</f>
        <v/>
      </c>
      <c r="Q329" s="7">
        <f>'1 datos preparados'!P322</f>
        <v/>
      </c>
      <c r="R329" s="7">
        <f>'1 datos preparados'!Q322</f>
        <v/>
      </c>
      <c r="S329" s="7">
        <f>'1 datos preparados'!R322</f>
        <v/>
      </c>
      <c r="T329" s="7">
        <f>'1 datos preparados'!S322</f>
        <v/>
      </c>
      <c r="U329" s="7">
        <f>'1 datos preparados'!T322</f>
        <v/>
      </c>
      <c r="V329" s="8">
        <f>$AC$12+D329*$AC$13+E329*$AC$14+F329*$AC$15+G329*$AC$16+H329*$AC$17+I329*$AC$18+J329*$AC$19+K329*$AC$20+L329*$AC$21+M329*$AC$22+N329*$AC$23+O329*$AC$24+P329*$AC$25+Q329*$AC$26+R329*$AC$27+S329*$AC$28+T329*$AC$29+U329*$AC$30</f>
        <v/>
      </c>
      <c r="W329" s="8">
        <f>1/(1+EXP(-V329))</f>
        <v/>
      </c>
      <c r="X329" s="9">
        <f>-IF(C329=1,LN(W329),LN(1-W329))</f>
        <v/>
      </c>
      <c r="Y329" s="10">
        <f>IF(W329&gt;$AC$33,1,0)</f>
        <v/>
      </c>
      <c r="Z329">
        <f>IF(Y329=C329,1,0)</f>
        <v/>
      </c>
    </row>
    <row r="330">
      <c r="A330">
        <f>'1 datos preparados'!A323</f>
        <v/>
      </c>
      <c r="B330" s="5">
        <f>'1 datos preparados'!U323</f>
        <v/>
      </c>
      <c r="C330">
        <f>'1 datos preparados'!B323</f>
        <v/>
      </c>
      <c r="D330" s="7">
        <f>'1 datos preparados'!C323</f>
        <v/>
      </c>
      <c r="E330" s="7">
        <f>'1 datos preparados'!D323</f>
        <v/>
      </c>
      <c r="F330" s="7">
        <f>'1 datos preparados'!E323</f>
        <v/>
      </c>
      <c r="G330" s="7">
        <f>'1 datos preparados'!F323</f>
        <v/>
      </c>
      <c r="H330" s="7">
        <f>'1 datos preparados'!G323</f>
        <v/>
      </c>
      <c r="I330" s="7">
        <f>'1 datos preparados'!H323</f>
        <v/>
      </c>
      <c r="J330" s="7">
        <f>'1 datos preparados'!I323</f>
        <v/>
      </c>
      <c r="K330" s="7">
        <f>'1 datos preparados'!J323</f>
        <v/>
      </c>
      <c r="L330" s="7">
        <f>'1 datos preparados'!K323</f>
        <v/>
      </c>
      <c r="M330" s="7">
        <f>'1 datos preparados'!L323</f>
        <v/>
      </c>
      <c r="N330" s="7">
        <f>'1 datos preparados'!M323</f>
        <v/>
      </c>
      <c r="O330" s="7">
        <f>'1 datos preparados'!N323</f>
        <v/>
      </c>
      <c r="P330" s="7">
        <f>'1 datos preparados'!O323</f>
        <v/>
      </c>
      <c r="Q330" s="7">
        <f>'1 datos preparados'!P323</f>
        <v/>
      </c>
      <c r="R330" s="7">
        <f>'1 datos preparados'!Q323</f>
        <v/>
      </c>
      <c r="S330" s="7">
        <f>'1 datos preparados'!R323</f>
        <v/>
      </c>
      <c r="T330" s="7">
        <f>'1 datos preparados'!S323</f>
        <v/>
      </c>
      <c r="U330" s="7">
        <f>'1 datos preparados'!T323</f>
        <v/>
      </c>
      <c r="V330" s="8">
        <f>$AC$12+D330*$AC$13+E330*$AC$14+F330*$AC$15+G330*$AC$16+H330*$AC$17+I330*$AC$18+J330*$AC$19+K330*$AC$20+L330*$AC$21+M330*$AC$22+N330*$AC$23+O330*$AC$24+P330*$AC$25+Q330*$AC$26+R330*$AC$27+S330*$AC$28+T330*$AC$29+U330*$AC$30</f>
        <v/>
      </c>
      <c r="W330" s="8">
        <f>1/(1+EXP(-V330))</f>
        <v/>
      </c>
      <c r="X330" s="9">
        <f>-IF(C330=1,LN(W330),LN(1-W330))</f>
        <v/>
      </c>
      <c r="Y330" s="10">
        <f>IF(W330&gt;$AC$33,1,0)</f>
        <v/>
      </c>
      <c r="Z330">
        <f>IF(Y330=C330,1,0)</f>
        <v/>
      </c>
    </row>
    <row r="331">
      <c r="A331">
        <f>'1 datos preparados'!A324</f>
        <v/>
      </c>
      <c r="B331" s="5">
        <f>'1 datos preparados'!U324</f>
        <v/>
      </c>
      <c r="C331">
        <f>'1 datos preparados'!B324</f>
        <v/>
      </c>
      <c r="D331" s="7">
        <f>'1 datos preparados'!C324</f>
        <v/>
      </c>
      <c r="E331" s="7">
        <f>'1 datos preparados'!D324</f>
        <v/>
      </c>
      <c r="F331" s="7">
        <f>'1 datos preparados'!E324</f>
        <v/>
      </c>
      <c r="G331" s="7">
        <f>'1 datos preparados'!F324</f>
        <v/>
      </c>
      <c r="H331" s="7">
        <f>'1 datos preparados'!G324</f>
        <v/>
      </c>
      <c r="I331" s="7">
        <f>'1 datos preparados'!H324</f>
        <v/>
      </c>
      <c r="J331" s="7">
        <f>'1 datos preparados'!I324</f>
        <v/>
      </c>
      <c r="K331" s="7">
        <f>'1 datos preparados'!J324</f>
        <v/>
      </c>
      <c r="L331" s="7">
        <f>'1 datos preparados'!K324</f>
        <v/>
      </c>
      <c r="M331" s="7">
        <f>'1 datos preparados'!L324</f>
        <v/>
      </c>
      <c r="N331" s="7">
        <f>'1 datos preparados'!M324</f>
        <v/>
      </c>
      <c r="O331" s="7">
        <f>'1 datos preparados'!N324</f>
        <v/>
      </c>
      <c r="P331" s="7">
        <f>'1 datos preparados'!O324</f>
        <v/>
      </c>
      <c r="Q331" s="7">
        <f>'1 datos preparados'!P324</f>
        <v/>
      </c>
      <c r="R331" s="7">
        <f>'1 datos preparados'!Q324</f>
        <v/>
      </c>
      <c r="S331" s="7">
        <f>'1 datos preparados'!R324</f>
        <v/>
      </c>
      <c r="T331" s="7">
        <f>'1 datos preparados'!S324</f>
        <v/>
      </c>
      <c r="U331" s="7">
        <f>'1 datos preparados'!T324</f>
        <v/>
      </c>
      <c r="V331" s="8">
        <f>$AC$12+D331*$AC$13+E331*$AC$14+F331*$AC$15+G331*$AC$16+H331*$AC$17+I331*$AC$18+J331*$AC$19+K331*$AC$20+L331*$AC$21+M331*$AC$22+N331*$AC$23+O331*$AC$24+P331*$AC$25+Q331*$AC$26+R331*$AC$27+S331*$AC$28+T331*$AC$29+U331*$AC$30</f>
        <v/>
      </c>
      <c r="W331" s="8">
        <f>1/(1+EXP(-V331))</f>
        <v/>
      </c>
      <c r="X331" s="9">
        <f>-IF(C331=1,LN(W331),LN(1-W331))</f>
        <v/>
      </c>
      <c r="Y331" s="10">
        <f>IF(W331&gt;$AC$33,1,0)</f>
        <v/>
      </c>
      <c r="Z331">
        <f>IF(Y331=C331,1,0)</f>
        <v/>
      </c>
    </row>
    <row r="332">
      <c r="A332">
        <f>'1 datos preparados'!A325</f>
        <v/>
      </c>
      <c r="B332" s="5">
        <f>'1 datos preparados'!U325</f>
        <v/>
      </c>
      <c r="C332">
        <f>'1 datos preparados'!B325</f>
        <v/>
      </c>
      <c r="D332" s="7">
        <f>'1 datos preparados'!C325</f>
        <v/>
      </c>
      <c r="E332" s="7">
        <f>'1 datos preparados'!D325</f>
        <v/>
      </c>
      <c r="F332" s="7">
        <f>'1 datos preparados'!E325</f>
        <v/>
      </c>
      <c r="G332" s="7">
        <f>'1 datos preparados'!F325</f>
        <v/>
      </c>
      <c r="H332" s="7">
        <f>'1 datos preparados'!G325</f>
        <v/>
      </c>
      <c r="I332" s="7">
        <f>'1 datos preparados'!H325</f>
        <v/>
      </c>
      <c r="J332" s="7">
        <f>'1 datos preparados'!I325</f>
        <v/>
      </c>
      <c r="K332" s="7">
        <f>'1 datos preparados'!J325</f>
        <v/>
      </c>
      <c r="L332" s="7">
        <f>'1 datos preparados'!K325</f>
        <v/>
      </c>
      <c r="M332" s="7">
        <f>'1 datos preparados'!L325</f>
        <v/>
      </c>
      <c r="N332" s="7">
        <f>'1 datos preparados'!M325</f>
        <v/>
      </c>
      <c r="O332" s="7">
        <f>'1 datos preparados'!N325</f>
        <v/>
      </c>
      <c r="P332" s="7">
        <f>'1 datos preparados'!O325</f>
        <v/>
      </c>
      <c r="Q332" s="7">
        <f>'1 datos preparados'!P325</f>
        <v/>
      </c>
      <c r="R332" s="7">
        <f>'1 datos preparados'!Q325</f>
        <v/>
      </c>
      <c r="S332" s="7">
        <f>'1 datos preparados'!R325</f>
        <v/>
      </c>
      <c r="T332" s="7">
        <f>'1 datos preparados'!S325</f>
        <v/>
      </c>
      <c r="U332" s="7">
        <f>'1 datos preparados'!T325</f>
        <v/>
      </c>
      <c r="V332" s="8">
        <f>$AC$12+D332*$AC$13+E332*$AC$14+F332*$AC$15+G332*$AC$16+H332*$AC$17+I332*$AC$18+J332*$AC$19+K332*$AC$20+L332*$AC$21+M332*$AC$22+N332*$AC$23+O332*$AC$24+P332*$AC$25+Q332*$AC$26+R332*$AC$27+S332*$AC$28+T332*$AC$29+U332*$AC$30</f>
        <v/>
      </c>
      <c r="W332" s="8">
        <f>1/(1+EXP(-V332))</f>
        <v/>
      </c>
      <c r="X332" s="9">
        <f>-IF(C332=1,LN(W332),LN(1-W332))</f>
        <v/>
      </c>
      <c r="Y332" s="10">
        <f>IF(W332&gt;$AC$33,1,0)</f>
        <v/>
      </c>
      <c r="Z332">
        <f>IF(Y332=C332,1,0)</f>
        <v/>
      </c>
    </row>
    <row r="333">
      <c r="A333">
        <f>'1 datos preparados'!A326</f>
        <v/>
      </c>
      <c r="B333" s="5">
        <f>'1 datos preparados'!U326</f>
        <v/>
      </c>
      <c r="C333">
        <f>'1 datos preparados'!B326</f>
        <v/>
      </c>
      <c r="D333" s="7">
        <f>'1 datos preparados'!C326</f>
        <v/>
      </c>
      <c r="E333" s="7">
        <f>'1 datos preparados'!D326</f>
        <v/>
      </c>
      <c r="F333" s="7">
        <f>'1 datos preparados'!E326</f>
        <v/>
      </c>
      <c r="G333" s="7">
        <f>'1 datos preparados'!F326</f>
        <v/>
      </c>
      <c r="H333" s="7">
        <f>'1 datos preparados'!G326</f>
        <v/>
      </c>
      <c r="I333" s="7">
        <f>'1 datos preparados'!H326</f>
        <v/>
      </c>
      <c r="J333" s="7">
        <f>'1 datos preparados'!I326</f>
        <v/>
      </c>
      <c r="K333" s="7">
        <f>'1 datos preparados'!J326</f>
        <v/>
      </c>
      <c r="L333" s="7">
        <f>'1 datos preparados'!K326</f>
        <v/>
      </c>
      <c r="M333" s="7">
        <f>'1 datos preparados'!L326</f>
        <v/>
      </c>
      <c r="N333" s="7">
        <f>'1 datos preparados'!M326</f>
        <v/>
      </c>
      <c r="O333" s="7">
        <f>'1 datos preparados'!N326</f>
        <v/>
      </c>
      <c r="P333" s="7">
        <f>'1 datos preparados'!O326</f>
        <v/>
      </c>
      <c r="Q333" s="7">
        <f>'1 datos preparados'!P326</f>
        <v/>
      </c>
      <c r="R333" s="7">
        <f>'1 datos preparados'!Q326</f>
        <v/>
      </c>
      <c r="S333" s="7">
        <f>'1 datos preparados'!R326</f>
        <v/>
      </c>
      <c r="T333" s="7">
        <f>'1 datos preparados'!S326</f>
        <v/>
      </c>
      <c r="U333" s="7">
        <f>'1 datos preparados'!T326</f>
        <v/>
      </c>
      <c r="V333" s="8">
        <f>$AC$12+D333*$AC$13+E333*$AC$14+F333*$AC$15+G333*$AC$16+H333*$AC$17+I333*$AC$18+J333*$AC$19+K333*$AC$20+L333*$AC$21+M333*$AC$22+N333*$AC$23+O333*$AC$24+P333*$AC$25+Q333*$AC$26+R333*$AC$27+S333*$AC$28+T333*$AC$29+U333*$AC$30</f>
        <v/>
      </c>
      <c r="W333" s="8">
        <f>1/(1+EXP(-V333))</f>
        <v/>
      </c>
      <c r="X333" s="9">
        <f>-IF(C333=1,LN(W333),LN(1-W333))</f>
        <v/>
      </c>
      <c r="Y333" s="10">
        <f>IF(W333&gt;$AC$33,1,0)</f>
        <v/>
      </c>
      <c r="Z333">
        <f>IF(Y333=C333,1,0)</f>
        <v/>
      </c>
    </row>
    <row r="334">
      <c r="A334">
        <f>'1 datos preparados'!A327</f>
        <v/>
      </c>
      <c r="B334" s="5">
        <f>'1 datos preparados'!U327</f>
        <v/>
      </c>
      <c r="C334">
        <f>'1 datos preparados'!B327</f>
        <v/>
      </c>
      <c r="D334" s="7">
        <f>'1 datos preparados'!C327</f>
        <v/>
      </c>
      <c r="E334" s="7">
        <f>'1 datos preparados'!D327</f>
        <v/>
      </c>
      <c r="F334" s="7">
        <f>'1 datos preparados'!E327</f>
        <v/>
      </c>
      <c r="G334" s="7">
        <f>'1 datos preparados'!F327</f>
        <v/>
      </c>
      <c r="H334" s="7">
        <f>'1 datos preparados'!G327</f>
        <v/>
      </c>
      <c r="I334" s="7">
        <f>'1 datos preparados'!H327</f>
        <v/>
      </c>
      <c r="J334" s="7">
        <f>'1 datos preparados'!I327</f>
        <v/>
      </c>
      <c r="K334" s="7">
        <f>'1 datos preparados'!J327</f>
        <v/>
      </c>
      <c r="L334" s="7">
        <f>'1 datos preparados'!K327</f>
        <v/>
      </c>
      <c r="M334" s="7">
        <f>'1 datos preparados'!L327</f>
        <v/>
      </c>
      <c r="N334" s="7">
        <f>'1 datos preparados'!M327</f>
        <v/>
      </c>
      <c r="O334" s="7">
        <f>'1 datos preparados'!N327</f>
        <v/>
      </c>
      <c r="P334" s="7">
        <f>'1 datos preparados'!O327</f>
        <v/>
      </c>
      <c r="Q334" s="7">
        <f>'1 datos preparados'!P327</f>
        <v/>
      </c>
      <c r="R334" s="7">
        <f>'1 datos preparados'!Q327</f>
        <v/>
      </c>
      <c r="S334" s="7">
        <f>'1 datos preparados'!R327</f>
        <v/>
      </c>
      <c r="T334" s="7">
        <f>'1 datos preparados'!S327</f>
        <v/>
      </c>
      <c r="U334" s="7">
        <f>'1 datos preparados'!T327</f>
        <v/>
      </c>
      <c r="V334" s="8">
        <f>$AC$12+D334*$AC$13+E334*$AC$14+F334*$AC$15+G334*$AC$16+H334*$AC$17+I334*$AC$18+J334*$AC$19+K334*$AC$20+L334*$AC$21+M334*$AC$22+N334*$AC$23+O334*$AC$24+P334*$AC$25+Q334*$AC$26+R334*$AC$27+S334*$AC$28+T334*$AC$29+U334*$AC$30</f>
        <v/>
      </c>
      <c r="W334" s="8">
        <f>1/(1+EXP(-V334))</f>
        <v/>
      </c>
      <c r="X334" s="9">
        <f>-IF(C334=1,LN(W334),LN(1-W334))</f>
        <v/>
      </c>
      <c r="Y334" s="10">
        <f>IF(W334&gt;$AC$33,1,0)</f>
        <v/>
      </c>
      <c r="Z334">
        <f>IF(Y334=C334,1,0)</f>
        <v/>
      </c>
    </row>
    <row r="335">
      <c r="A335">
        <f>'1 datos preparados'!A328</f>
        <v/>
      </c>
      <c r="B335" s="5">
        <f>'1 datos preparados'!U328</f>
        <v/>
      </c>
      <c r="C335">
        <f>'1 datos preparados'!B328</f>
        <v/>
      </c>
      <c r="D335" s="7">
        <f>'1 datos preparados'!C328</f>
        <v/>
      </c>
      <c r="E335" s="7">
        <f>'1 datos preparados'!D328</f>
        <v/>
      </c>
      <c r="F335" s="7">
        <f>'1 datos preparados'!E328</f>
        <v/>
      </c>
      <c r="G335" s="7">
        <f>'1 datos preparados'!F328</f>
        <v/>
      </c>
      <c r="H335" s="7">
        <f>'1 datos preparados'!G328</f>
        <v/>
      </c>
      <c r="I335" s="7">
        <f>'1 datos preparados'!H328</f>
        <v/>
      </c>
      <c r="J335" s="7">
        <f>'1 datos preparados'!I328</f>
        <v/>
      </c>
      <c r="K335" s="7">
        <f>'1 datos preparados'!J328</f>
        <v/>
      </c>
      <c r="L335" s="7">
        <f>'1 datos preparados'!K328</f>
        <v/>
      </c>
      <c r="M335" s="7">
        <f>'1 datos preparados'!L328</f>
        <v/>
      </c>
      <c r="N335" s="7">
        <f>'1 datos preparados'!M328</f>
        <v/>
      </c>
      <c r="O335" s="7">
        <f>'1 datos preparados'!N328</f>
        <v/>
      </c>
      <c r="P335" s="7">
        <f>'1 datos preparados'!O328</f>
        <v/>
      </c>
      <c r="Q335" s="7">
        <f>'1 datos preparados'!P328</f>
        <v/>
      </c>
      <c r="R335" s="7">
        <f>'1 datos preparados'!Q328</f>
        <v/>
      </c>
      <c r="S335" s="7">
        <f>'1 datos preparados'!R328</f>
        <v/>
      </c>
      <c r="T335" s="7">
        <f>'1 datos preparados'!S328</f>
        <v/>
      </c>
      <c r="U335" s="7">
        <f>'1 datos preparados'!T328</f>
        <v/>
      </c>
      <c r="V335" s="8">
        <f>$AC$12+D335*$AC$13+E335*$AC$14+F335*$AC$15+G335*$AC$16+H335*$AC$17+I335*$AC$18+J335*$AC$19+K335*$AC$20+L335*$AC$21+M335*$AC$22+N335*$AC$23+O335*$AC$24+P335*$AC$25+Q335*$AC$26+R335*$AC$27+S335*$AC$28+T335*$AC$29+U335*$AC$30</f>
        <v/>
      </c>
      <c r="W335" s="8">
        <f>1/(1+EXP(-V335))</f>
        <v/>
      </c>
      <c r="X335" s="9">
        <f>-IF(C335=1,LN(W335),LN(1-W335))</f>
        <v/>
      </c>
      <c r="Y335" s="10">
        <f>IF(W335&gt;$AC$33,1,0)</f>
        <v/>
      </c>
      <c r="Z335">
        <f>IF(Y335=C335,1,0)</f>
        <v/>
      </c>
    </row>
    <row r="336">
      <c r="A336">
        <f>'1 datos preparados'!A329</f>
        <v/>
      </c>
      <c r="B336" s="5">
        <f>'1 datos preparados'!U329</f>
        <v/>
      </c>
      <c r="C336">
        <f>'1 datos preparados'!B329</f>
        <v/>
      </c>
      <c r="D336" s="7">
        <f>'1 datos preparados'!C329</f>
        <v/>
      </c>
      <c r="E336" s="7">
        <f>'1 datos preparados'!D329</f>
        <v/>
      </c>
      <c r="F336" s="7">
        <f>'1 datos preparados'!E329</f>
        <v/>
      </c>
      <c r="G336" s="7">
        <f>'1 datos preparados'!F329</f>
        <v/>
      </c>
      <c r="H336" s="7">
        <f>'1 datos preparados'!G329</f>
        <v/>
      </c>
      <c r="I336" s="7">
        <f>'1 datos preparados'!H329</f>
        <v/>
      </c>
      <c r="J336" s="7">
        <f>'1 datos preparados'!I329</f>
        <v/>
      </c>
      <c r="K336" s="7">
        <f>'1 datos preparados'!J329</f>
        <v/>
      </c>
      <c r="L336" s="7">
        <f>'1 datos preparados'!K329</f>
        <v/>
      </c>
      <c r="M336" s="7">
        <f>'1 datos preparados'!L329</f>
        <v/>
      </c>
      <c r="N336" s="7">
        <f>'1 datos preparados'!M329</f>
        <v/>
      </c>
      <c r="O336" s="7">
        <f>'1 datos preparados'!N329</f>
        <v/>
      </c>
      <c r="P336" s="7">
        <f>'1 datos preparados'!O329</f>
        <v/>
      </c>
      <c r="Q336" s="7">
        <f>'1 datos preparados'!P329</f>
        <v/>
      </c>
      <c r="R336" s="7">
        <f>'1 datos preparados'!Q329</f>
        <v/>
      </c>
      <c r="S336" s="7">
        <f>'1 datos preparados'!R329</f>
        <v/>
      </c>
      <c r="T336" s="7">
        <f>'1 datos preparados'!S329</f>
        <v/>
      </c>
      <c r="U336" s="7">
        <f>'1 datos preparados'!T329</f>
        <v/>
      </c>
      <c r="V336" s="8">
        <f>$AC$12+D336*$AC$13+E336*$AC$14+F336*$AC$15+G336*$AC$16+H336*$AC$17+I336*$AC$18+J336*$AC$19+K336*$AC$20+L336*$AC$21+M336*$AC$22+N336*$AC$23+O336*$AC$24+P336*$AC$25+Q336*$AC$26+R336*$AC$27+S336*$AC$28+T336*$AC$29+U336*$AC$30</f>
        <v/>
      </c>
      <c r="W336" s="8">
        <f>1/(1+EXP(-V336))</f>
        <v/>
      </c>
      <c r="X336" s="9">
        <f>-IF(C336=1,LN(W336),LN(1-W336))</f>
        <v/>
      </c>
      <c r="Y336" s="10">
        <f>IF(W336&gt;$AC$33,1,0)</f>
        <v/>
      </c>
      <c r="Z336">
        <f>IF(Y336=C336,1,0)</f>
        <v/>
      </c>
    </row>
    <row r="337">
      <c r="A337">
        <f>'1 datos preparados'!A330</f>
        <v/>
      </c>
      <c r="B337" s="5">
        <f>'1 datos preparados'!U330</f>
        <v/>
      </c>
      <c r="C337">
        <f>'1 datos preparados'!B330</f>
        <v/>
      </c>
      <c r="D337" s="7">
        <f>'1 datos preparados'!C330</f>
        <v/>
      </c>
      <c r="E337" s="7">
        <f>'1 datos preparados'!D330</f>
        <v/>
      </c>
      <c r="F337" s="7">
        <f>'1 datos preparados'!E330</f>
        <v/>
      </c>
      <c r="G337" s="7">
        <f>'1 datos preparados'!F330</f>
        <v/>
      </c>
      <c r="H337" s="7">
        <f>'1 datos preparados'!G330</f>
        <v/>
      </c>
      <c r="I337" s="7">
        <f>'1 datos preparados'!H330</f>
        <v/>
      </c>
      <c r="J337" s="7">
        <f>'1 datos preparados'!I330</f>
        <v/>
      </c>
      <c r="K337" s="7">
        <f>'1 datos preparados'!J330</f>
        <v/>
      </c>
      <c r="L337" s="7">
        <f>'1 datos preparados'!K330</f>
        <v/>
      </c>
      <c r="M337" s="7">
        <f>'1 datos preparados'!L330</f>
        <v/>
      </c>
      <c r="N337" s="7">
        <f>'1 datos preparados'!M330</f>
        <v/>
      </c>
      <c r="O337" s="7">
        <f>'1 datos preparados'!N330</f>
        <v/>
      </c>
      <c r="P337" s="7">
        <f>'1 datos preparados'!O330</f>
        <v/>
      </c>
      <c r="Q337" s="7">
        <f>'1 datos preparados'!P330</f>
        <v/>
      </c>
      <c r="R337" s="7">
        <f>'1 datos preparados'!Q330</f>
        <v/>
      </c>
      <c r="S337" s="7">
        <f>'1 datos preparados'!R330</f>
        <v/>
      </c>
      <c r="T337" s="7">
        <f>'1 datos preparados'!S330</f>
        <v/>
      </c>
      <c r="U337" s="7">
        <f>'1 datos preparados'!T330</f>
        <v/>
      </c>
      <c r="V337" s="8">
        <f>$AC$12+D337*$AC$13+E337*$AC$14+F337*$AC$15+G337*$AC$16+H337*$AC$17+I337*$AC$18+J337*$AC$19+K337*$AC$20+L337*$AC$21+M337*$AC$22+N337*$AC$23+O337*$AC$24+P337*$AC$25+Q337*$AC$26+R337*$AC$27+S337*$AC$28+T337*$AC$29+U337*$AC$30</f>
        <v/>
      </c>
      <c r="W337" s="8">
        <f>1/(1+EXP(-V337))</f>
        <v/>
      </c>
      <c r="X337" s="9">
        <f>-IF(C337=1,LN(W337),LN(1-W337))</f>
        <v/>
      </c>
      <c r="Y337" s="10">
        <f>IF(W337&gt;$AC$33,1,0)</f>
        <v/>
      </c>
      <c r="Z337">
        <f>IF(Y337=C337,1,0)</f>
        <v/>
      </c>
    </row>
    <row r="338">
      <c r="A338">
        <f>'1 datos preparados'!A331</f>
        <v/>
      </c>
      <c r="B338" s="5">
        <f>'1 datos preparados'!U331</f>
        <v/>
      </c>
      <c r="C338">
        <f>'1 datos preparados'!B331</f>
        <v/>
      </c>
      <c r="D338" s="7">
        <f>'1 datos preparados'!C331</f>
        <v/>
      </c>
      <c r="E338" s="7">
        <f>'1 datos preparados'!D331</f>
        <v/>
      </c>
      <c r="F338" s="7">
        <f>'1 datos preparados'!E331</f>
        <v/>
      </c>
      <c r="G338" s="7">
        <f>'1 datos preparados'!F331</f>
        <v/>
      </c>
      <c r="H338" s="7">
        <f>'1 datos preparados'!G331</f>
        <v/>
      </c>
      <c r="I338" s="7">
        <f>'1 datos preparados'!H331</f>
        <v/>
      </c>
      <c r="J338" s="7">
        <f>'1 datos preparados'!I331</f>
        <v/>
      </c>
      <c r="K338" s="7">
        <f>'1 datos preparados'!J331</f>
        <v/>
      </c>
      <c r="L338" s="7">
        <f>'1 datos preparados'!K331</f>
        <v/>
      </c>
      <c r="M338" s="7">
        <f>'1 datos preparados'!L331</f>
        <v/>
      </c>
      <c r="N338" s="7">
        <f>'1 datos preparados'!M331</f>
        <v/>
      </c>
      <c r="O338" s="7">
        <f>'1 datos preparados'!N331</f>
        <v/>
      </c>
      <c r="P338" s="7">
        <f>'1 datos preparados'!O331</f>
        <v/>
      </c>
      <c r="Q338" s="7">
        <f>'1 datos preparados'!P331</f>
        <v/>
      </c>
      <c r="R338" s="7">
        <f>'1 datos preparados'!Q331</f>
        <v/>
      </c>
      <c r="S338" s="7">
        <f>'1 datos preparados'!R331</f>
        <v/>
      </c>
      <c r="T338" s="7">
        <f>'1 datos preparados'!S331</f>
        <v/>
      </c>
      <c r="U338" s="7">
        <f>'1 datos preparados'!T331</f>
        <v/>
      </c>
      <c r="V338" s="8">
        <f>$AC$12+D338*$AC$13+E338*$AC$14+F338*$AC$15+G338*$AC$16+H338*$AC$17+I338*$AC$18+J338*$AC$19+K338*$AC$20+L338*$AC$21+M338*$AC$22+N338*$AC$23+O338*$AC$24+P338*$AC$25+Q338*$AC$26+R338*$AC$27+S338*$AC$28+T338*$AC$29+U338*$AC$30</f>
        <v/>
      </c>
      <c r="W338" s="8">
        <f>1/(1+EXP(-V338))</f>
        <v/>
      </c>
      <c r="X338" s="9">
        <f>-IF(C338=1,LN(W338),LN(1-W338))</f>
        <v/>
      </c>
      <c r="Y338" s="10">
        <f>IF(W338&gt;$AC$33,1,0)</f>
        <v/>
      </c>
      <c r="Z338">
        <f>IF(Y338=C338,1,0)</f>
        <v/>
      </c>
    </row>
    <row r="339">
      <c r="A339">
        <f>'1 datos preparados'!A332</f>
        <v/>
      </c>
      <c r="B339" s="5">
        <f>'1 datos preparados'!U332</f>
        <v/>
      </c>
      <c r="C339">
        <f>'1 datos preparados'!B332</f>
        <v/>
      </c>
      <c r="D339" s="7">
        <f>'1 datos preparados'!C332</f>
        <v/>
      </c>
      <c r="E339" s="7">
        <f>'1 datos preparados'!D332</f>
        <v/>
      </c>
      <c r="F339" s="7">
        <f>'1 datos preparados'!E332</f>
        <v/>
      </c>
      <c r="G339" s="7">
        <f>'1 datos preparados'!F332</f>
        <v/>
      </c>
      <c r="H339" s="7">
        <f>'1 datos preparados'!G332</f>
        <v/>
      </c>
      <c r="I339" s="7">
        <f>'1 datos preparados'!H332</f>
        <v/>
      </c>
      <c r="J339" s="7">
        <f>'1 datos preparados'!I332</f>
        <v/>
      </c>
      <c r="K339" s="7">
        <f>'1 datos preparados'!J332</f>
        <v/>
      </c>
      <c r="L339" s="7">
        <f>'1 datos preparados'!K332</f>
        <v/>
      </c>
      <c r="M339" s="7">
        <f>'1 datos preparados'!L332</f>
        <v/>
      </c>
      <c r="N339" s="7">
        <f>'1 datos preparados'!M332</f>
        <v/>
      </c>
      <c r="O339" s="7">
        <f>'1 datos preparados'!N332</f>
        <v/>
      </c>
      <c r="P339" s="7">
        <f>'1 datos preparados'!O332</f>
        <v/>
      </c>
      <c r="Q339" s="7">
        <f>'1 datos preparados'!P332</f>
        <v/>
      </c>
      <c r="R339" s="7">
        <f>'1 datos preparados'!Q332</f>
        <v/>
      </c>
      <c r="S339" s="7">
        <f>'1 datos preparados'!R332</f>
        <v/>
      </c>
      <c r="T339" s="7">
        <f>'1 datos preparados'!S332</f>
        <v/>
      </c>
      <c r="U339" s="7">
        <f>'1 datos preparados'!T332</f>
        <v/>
      </c>
      <c r="V339" s="8">
        <f>$AC$12+D339*$AC$13+E339*$AC$14+F339*$AC$15+G339*$AC$16+H339*$AC$17+I339*$AC$18+J339*$AC$19+K339*$AC$20+L339*$AC$21+M339*$AC$22+N339*$AC$23+O339*$AC$24+P339*$AC$25+Q339*$AC$26+R339*$AC$27+S339*$AC$28+T339*$AC$29+U339*$AC$30</f>
        <v/>
      </c>
      <c r="W339" s="8">
        <f>1/(1+EXP(-V339))</f>
        <v/>
      </c>
      <c r="X339" s="9">
        <f>-IF(C339=1,LN(W339),LN(1-W339))</f>
        <v/>
      </c>
      <c r="Y339" s="10">
        <f>IF(W339&gt;$AC$33,1,0)</f>
        <v/>
      </c>
      <c r="Z339">
        <f>IF(Y339=C339,1,0)</f>
        <v/>
      </c>
    </row>
    <row r="340">
      <c r="A340">
        <f>'1 datos preparados'!A333</f>
        <v/>
      </c>
      <c r="B340" s="5">
        <f>'1 datos preparados'!U333</f>
        <v/>
      </c>
      <c r="C340">
        <f>'1 datos preparados'!B333</f>
        <v/>
      </c>
      <c r="D340" s="7">
        <f>'1 datos preparados'!C333</f>
        <v/>
      </c>
      <c r="E340" s="7">
        <f>'1 datos preparados'!D333</f>
        <v/>
      </c>
      <c r="F340" s="7">
        <f>'1 datos preparados'!E333</f>
        <v/>
      </c>
      <c r="G340" s="7">
        <f>'1 datos preparados'!F333</f>
        <v/>
      </c>
      <c r="H340" s="7">
        <f>'1 datos preparados'!G333</f>
        <v/>
      </c>
      <c r="I340" s="7">
        <f>'1 datos preparados'!H333</f>
        <v/>
      </c>
      <c r="J340" s="7">
        <f>'1 datos preparados'!I333</f>
        <v/>
      </c>
      <c r="K340" s="7">
        <f>'1 datos preparados'!J333</f>
        <v/>
      </c>
      <c r="L340" s="7">
        <f>'1 datos preparados'!K333</f>
        <v/>
      </c>
      <c r="M340" s="7">
        <f>'1 datos preparados'!L333</f>
        <v/>
      </c>
      <c r="N340" s="7">
        <f>'1 datos preparados'!M333</f>
        <v/>
      </c>
      <c r="O340" s="7">
        <f>'1 datos preparados'!N333</f>
        <v/>
      </c>
      <c r="P340" s="7">
        <f>'1 datos preparados'!O333</f>
        <v/>
      </c>
      <c r="Q340" s="7">
        <f>'1 datos preparados'!P333</f>
        <v/>
      </c>
      <c r="R340" s="7">
        <f>'1 datos preparados'!Q333</f>
        <v/>
      </c>
      <c r="S340" s="7">
        <f>'1 datos preparados'!R333</f>
        <v/>
      </c>
      <c r="T340" s="7">
        <f>'1 datos preparados'!S333</f>
        <v/>
      </c>
      <c r="U340" s="7">
        <f>'1 datos preparados'!T333</f>
        <v/>
      </c>
      <c r="V340" s="8">
        <f>$AC$12+D340*$AC$13+E340*$AC$14+F340*$AC$15+G340*$AC$16+H340*$AC$17+I340*$AC$18+J340*$AC$19+K340*$AC$20+L340*$AC$21+M340*$AC$22+N340*$AC$23+O340*$AC$24+P340*$AC$25+Q340*$AC$26+R340*$AC$27+S340*$AC$28+T340*$AC$29+U340*$AC$30</f>
        <v/>
      </c>
      <c r="W340" s="8">
        <f>1/(1+EXP(-V340))</f>
        <v/>
      </c>
      <c r="X340" s="9">
        <f>-IF(C340=1,LN(W340),LN(1-W340))</f>
        <v/>
      </c>
      <c r="Y340" s="10">
        <f>IF(W340&gt;$AC$33,1,0)</f>
        <v/>
      </c>
      <c r="Z340">
        <f>IF(Y340=C340,1,0)</f>
        <v/>
      </c>
    </row>
    <row r="341">
      <c r="A341">
        <f>'1 datos preparados'!A334</f>
        <v/>
      </c>
      <c r="B341" s="5">
        <f>'1 datos preparados'!U334</f>
        <v/>
      </c>
      <c r="C341">
        <f>'1 datos preparados'!B334</f>
        <v/>
      </c>
      <c r="D341" s="7">
        <f>'1 datos preparados'!C334</f>
        <v/>
      </c>
      <c r="E341" s="7">
        <f>'1 datos preparados'!D334</f>
        <v/>
      </c>
      <c r="F341" s="7">
        <f>'1 datos preparados'!E334</f>
        <v/>
      </c>
      <c r="G341" s="7">
        <f>'1 datos preparados'!F334</f>
        <v/>
      </c>
      <c r="H341" s="7">
        <f>'1 datos preparados'!G334</f>
        <v/>
      </c>
      <c r="I341" s="7">
        <f>'1 datos preparados'!H334</f>
        <v/>
      </c>
      <c r="J341" s="7">
        <f>'1 datos preparados'!I334</f>
        <v/>
      </c>
      <c r="K341" s="7">
        <f>'1 datos preparados'!J334</f>
        <v/>
      </c>
      <c r="L341" s="7">
        <f>'1 datos preparados'!K334</f>
        <v/>
      </c>
      <c r="M341" s="7">
        <f>'1 datos preparados'!L334</f>
        <v/>
      </c>
      <c r="N341" s="7">
        <f>'1 datos preparados'!M334</f>
        <v/>
      </c>
      <c r="O341" s="7">
        <f>'1 datos preparados'!N334</f>
        <v/>
      </c>
      <c r="P341" s="7">
        <f>'1 datos preparados'!O334</f>
        <v/>
      </c>
      <c r="Q341" s="7">
        <f>'1 datos preparados'!P334</f>
        <v/>
      </c>
      <c r="R341" s="7">
        <f>'1 datos preparados'!Q334</f>
        <v/>
      </c>
      <c r="S341" s="7">
        <f>'1 datos preparados'!R334</f>
        <v/>
      </c>
      <c r="T341" s="7">
        <f>'1 datos preparados'!S334</f>
        <v/>
      </c>
      <c r="U341" s="7">
        <f>'1 datos preparados'!T334</f>
        <v/>
      </c>
      <c r="V341" s="8">
        <f>$AC$12+D341*$AC$13+E341*$AC$14+F341*$AC$15+G341*$AC$16+H341*$AC$17+I341*$AC$18+J341*$AC$19+K341*$AC$20+L341*$AC$21+M341*$AC$22+N341*$AC$23+O341*$AC$24+P341*$AC$25+Q341*$AC$26+R341*$AC$27+S341*$AC$28+T341*$AC$29+U341*$AC$30</f>
        <v/>
      </c>
      <c r="W341" s="8">
        <f>1/(1+EXP(-V341))</f>
        <v/>
      </c>
      <c r="X341" s="9">
        <f>-IF(C341=1,LN(W341),LN(1-W341))</f>
        <v/>
      </c>
      <c r="Y341" s="10">
        <f>IF(W341&gt;$AC$33,1,0)</f>
        <v/>
      </c>
      <c r="Z341">
        <f>IF(Y341=C341,1,0)</f>
        <v/>
      </c>
    </row>
    <row r="342">
      <c r="A342">
        <f>'1 datos preparados'!A335</f>
        <v/>
      </c>
      <c r="B342" s="5">
        <f>'1 datos preparados'!U335</f>
        <v/>
      </c>
      <c r="C342">
        <f>'1 datos preparados'!B335</f>
        <v/>
      </c>
      <c r="D342" s="7">
        <f>'1 datos preparados'!C335</f>
        <v/>
      </c>
      <c r="E342" s="7">
        <f>'1 datos preparados'!D335</f>
        <v/>
      </c>
      <c r="F342" s="7">
        <f>'1 datos preparados'!E335</f>
        <v/>
      </c>
      <c r="G342" s="7">
        <f>'1 datos preparados'!F335</f>
        <v/>
      </c>
      <c r="H342" s="7">
        <f>'1 datos preparados'!G335</f>
        <v/>
      </c>
      <c r="I342" s="7">
        <f>'1 datos preparados'!H335</f>
        <v/>
      </c>
      <c r="J342" s="7">
        <f>'1 datos preparados'!I335</f>
        <v/>
      </c>
      <c r="K342" s="7">
        <f>'1 datos preparados'!J335</f>
        <v/>
      </c>
      <c r="L342" s="7">
        <f>'1 datos preparados'!K335</f>
        <v/>
      </c>
      <c r="M342" s="7">
        <f>'1 datos preparados'!L335</f>
        <v/>
      </c>
      <c r="N342" s="7">
        <f>'1 datos preparados'!M335</f>
        <v/>
      </c>
      <c r="O342" s="7">
        <f>'1 datos preparados'!N335</f>
        <v/>
      </c>
      <c r="P342" s="7">
        <f>'1 datos preparados'!O335</f>
        <v/>
      </c>
      <c r="Q342" s="7">
        <f>'1 datos preparados'!P335</f>
        <v/>
      </c>
      <c r="R342" s="7">
        <f>'1 datos preparados'!Q335</f>
        <v/>
      </c>
      <c r="S342" s="7">
        <f>'1 datos preparados'!R335</f>
        <v/>
      </c>
      <c r="T342" s="7">
        <f>'1 datos preparados'!S335</f>
        <v/>
      </c>
      <c r="U342" s="7">
        <f>'1 datos preparados'!T335</f>
        <v/>
      </c>
      <c r="V342" s="8">
        <f>$AC$12+D342*$AC$13+E342*$AC$14+F342*$AC$15+G342*$AC$16+H342*$AC$17+I342*$AC$18+J342*$AC$19+K342*$AC$20+L342*$AC$21+M342*$AC$22+N342*$AC$23+O342*$AC$24+P342*$AC$25+Q342*$AC$26+R342*$AC$27+S342*$AC$28+T342*$AC$29+U342*$AC$30</f>
        <v/>
      </c>
      <c r="W342" s="8">
        <f>1/(1+EXP(-V342))</f>
        <v/>
      </c>
      <c r="X342" s="9">
        <f>-IF(C342=1,LN(W342),LN(1-W342))</f>
        <v/>
      </c>
      <c r="Y342" s="10">
        <f>IF(W342&gt;$AC$33,1,0)</f>
        <v/>
      </c>
      <c r="Z342">
        <f>IF(Y342=C342,1,0)</f>
        <v/>
      </c>
    </row>
    <row r="343">
      <c r="A343">
        <f>'1 datos preparados'!A336</f>
        <v/>
      </c>
      <c r="B343" s="5">
        <f>'1 datos preparados'!U336</f>
        <v/>
      </c>
      <c r="C343">
        <f>'1 datos preparados'!B336</f>
        <v/>
      </c>
      <c r="D343" s="7">
        <f>'1 datos preparados'!C336</f>
        <v/>
      </c>
      <c r="E343" s="7">
        <f>'1 datos preparados'!D336</f>
        <v/>
      </c>
      <c r="F343" s="7">
        <f>'1 datos preparados'!E336</f>
        <v/>
      </c>
      <c r="G343" s="7">
        <f>'1 datos preparados'!F336</f>
        <v/>
      </c>
      <c r="H343" s="7">
        <f>'1 datos preparados'!G336</f>
        <v/>
      </c>
      <c r="I343" s="7">
        <f>'1 datos preparados'!H336</f>
        <v/>
      </c>
      <c r="J343" s="7">
        <f>'1 datos preparados'!I336</f>
        <v/>
      </c>
      <c r="K343" s="7">
        <f>'1 datos preparados'!J336</f>
        <v/>
      </c>
      <c r="L343" s="7">
        <f>'1 datos preparados'!K336</f>
        <v/>
      </c>
      <c r="M343" s="7">
        <f>'1 datos preparados'!L336</f>
        <v/>
      </c>
      <c r="N343" s="7">
        <f>'1 datos preparados'!M336</f>
        <v/>
      </c>
      <c r="O343" s="7">
        <f>'1 datos preparados'!N336</f>
        <v/>
      </c>
      <c r="P343" s="7">
        <f>'1 datos preparados'!O336</f>
        <v/>
      </c>
      <c r="Q343" s="7">
        <f>'1 datos preparados'!P336</f>
        <v/>
      </c>
      <c r="R343" s="7">
        <f>'1 datos preparados'!Q336</f>
        <v/>
      </c>
      <c r="S343" s="7">
        <f>'1 datos preparados'!R336</f>
        <v/>
      </c>
      <c r="T343" s="7">
        <f>'1 datos preparados'!S336</f>
        <v/>
      </c>
      <c r="U343" s="7">
        <f>'1 datos preparados'!T336</f>
        <v/>
      </c>
      <c r="V343" s="8">
        <f>$AC$12+D343*$AC$13+E343*$AC$14+F343*$AC$15+G343*$AC$16+H343*$AC$17+I343*$AC$18+J343*$AC$19+K343*$AC$20+L343*$AC$21+M343*$AC$22+N343*$AC$23+O343*$AC$24+P343*$AC$25+Q343*$AC$26+R343*$AC$27+S343*$AC$28+T343*$AC$29+U343*$AC$30</f>
        <v/>
      </c>
      <c r="W343" s="8">
        <f>1/(1+EXP(-V343))</f>
        <v/>
      </c>
      <c r="X343" s="9">
        <f>-IF(C343=1,LN(W343),LN(1-W343))</f>
        <v/>
      </c>
      <c r="Y343" s="10">
        <f>IF(W343&gt;$AC$33,1,0)</f>
        <v/>
      </c>
      <c r="Z343">
        <f>IF(Y343=C343,1,0)</f>
        <v/>
      </c>
    </row>
    <row r="344">
      <c r="A344">
        <f>'1 datos preparados'!A337</f>
        <v/>
      </c>
      <c r="B344" s="5">
        <f>'1 datos preparados'!U337</f>
        <v/>
      </c>
      <c r="C344">
        <f>'1 datos preparados'!B337</f>
        <v/>
      </c>
      <c r="D344" s="7">
        <f>'1 datos preparados'!C337</f>
        <v/>
      </c>
      <c r="E344" s="7">
        <f>'1 datos preparados'!D337</f>
        <v/>
      </c>
      <c r="F344" s="7">
        <f>'1 datos preparados'!E337</f>
        <v/>
      </c>
      <c r="G344" s="7">
        <f>'1 datos preparados'!F337</f>
        <v/>
      </c>
      <c r="H344" s="7">
        <f>'1 datos preparados'!G337</f>
        <v/>
      </c>
      <c r="I344" s="7">
        <f>'1 datos preparados'!H337</f>
        <v/>
      </c>
      <c r="J344" s="7">
        <f>'1 datos preparados'!I337</f>
        <v/>
      </c>
      <c r="K344" s="7">
        <f>'1 datos preparados'!J337</f>
        <v/>
      </c>
      <c r="L344" s="7">
        <f>'1 datos preparados'!K337</f>
        <v/>
      </c>
      <c r="M344" s="7">
        <f>'1 datos preparados'!L337</f>
        <v/>
      </c>
      <c r="N344" s="7">
        <f>'1 datos preparados'!M337</f>
        <v/>
      </c>
      <c r="O344" s="7">
        <f>'1 datos preparados'!N337</f>
        <v/>
      </c>
      <c r="P344" s="7">
        <f>'1 datos preparados'!O337</f>
        <v/>
      </c>
      <c r="Q344" s="7">
        <f>'1 datos preparados'!P337</f>
        <v/>
      </c>
      <c r="R344" s="7">
        <f>'1 datos preparados'!Q337</f>
        <v/>
      </c>
      <c r="S344" s="7">
        <f>'1 datos preparados'!R337</f>
        <v/>
      </c>
      <c r="T344" s="7">
        <f>'1 datos preparados'!S337</f>
        <v/>
      </c>
      <c r="U344" s="7">
        <f>'1 datos preparados'!T337</f>
        <v/>
      </c>
      <c r="V344" s="8">
        <f>$AC$12+D344*$AC$13+E344*$AC$14+F344*$AC$15+G344*$AC$16+H344*$AC$17+I344*$AC$18+J344*$AC$19+K344*$AC$20+L344*$AC$21+M344*$AC$22+N344*$AC$23+O344*$AC$24+P344*$AC$25+Q344*$AC$26+R344*$AC$27+S344*$AC$28+T344*$AC$29+U344*$AC$30</f>
        <v/>
      </c>
      <c r="W344" s="8">
        <f>1/(1+EXP(-V344))</f>
        <v/>
      </c>
      <c r="X344" s="9">
        <f>-IF(C344=1,LN(W344),LN(1-W344))</f>
        <v/>
      </c>
      <c r="Y344" s="10">
        <f>IF(W344&gt;$AC$33,1,0)</f>
        <v/>
      </c>
      <c r="Z344">
        <f>IF(Y344=C344,1,0)</f>
        <v/>
      </c>
    </row>
    <row r="345">
      <c r="A345">
        <f>'1 datos preparados'!A338</f>
        <v/>
      </c>
      <c r="B345" s="5">
        <f>'1 datos preparados'!U338</f>
        <v/>
      </c>
      <c r="C345">
        <f>'1 datos preparados'!B338</f>
        <v/>
      </c>
      <c r="D345" s="7">
        <f>'1 datos preparados'!C338</f>
        <v/>
      </c>
      <c r="E345" s="7">
        <f>'1 datos preparados'!D338</f>
        <v/>
      </c>
      <c r="F345" s="7">
        <f>'1 datos preparados'!E338</f>
        <v/>
      </c>
      <c r="G345" s="7">
        <f>'1 datos preparados'!F338</f>
        <v/>
      </c>
      <c r="H345" s="7">
        <f>'1 datos preparados'!G338</f>
        <v/>
      </c>
      <c r="I345" s="7">
        <f>'1 datos preparados'!H338</f>
        <v/>
      </c>
      <c r="J345" s="7">
        <f>'1 datos preparados'!I338</f>
        <v/>
      </c>
      <c r="K345" s="7">
        <f>'1 datos preparados'!J338</f>
        <v/>
      </c>
      <c r="L345" s="7">
        <f>'1 datos preparados'!K338</f>
        <v/>
      </c>
      <c r="M345" s="7">
        <f>'1 datos preparados'!L338</f>
        <v/>
      </c>
      <c r="N345" s="7">
        <f>'1 datos preparados'!M338</f>
        <v/>
      </c>
      <c r="O345" s="7">
        <f>'1 datos preparados'!N338</f>
        <v/>
      </c>
      <c r="P345" s="7">
        <f>'1 datos preparados'!O338</f>
        <v/>
      </c>
      <c r="Q345" s="7">
        <f>'1 datos preparados'!P338</f>
        <v/>
      </c>
      <c r="R345" s="7">
        <f>'1 datos preparados'!Q338</f>
        <v/>
      </c>
      <c r="S345" s="7">
        <f>'1 datos preparados'!R338</f>
        <v/>
      </c>
      <c r="T345" s="7">
        <f>'1 datos preparados'!S338</f>
        <v/>
      </c>
      <c r="U345" s="7">
        <f>'1 datos preparados'!T338</f>
        <v/>
      </c>
      <c r="V345" s="8">
        <f>$AC$12+D345*$AC$13+E345*$AC$14+F345*$AC$15+G345*$AC$16+H345*$AC$17+I345*$AC$18+J345*$AC$19+K345*$AC$20+L345*$AC$21+M345*$AC$22+N345*$AC$23+O345*$AC$24+P345*$AC$25+Q345*$AC$26+R345*$AC$27+S345*$AC$28+T345*$AC$29+U345*$AC$30</f>
        <v/>
      </c>
      <c r="W345" s="8">
        <f>1/(1+EXP(-V345))</f>
        <v/>
      </c>
      <c r="X345" s="9">
        <f>-IF(C345=1,LN(W345),LN(1-W345))</f>
        <v/>
      </c>
      <c r="Y345" s="10">
        <f>IF(W345&gt;$AC$33,1,0)</f>
        <v/>
      </c>
      <c r="Z345">
        <f>IF(Y345=C345,1,0)</f>
        <v/>
      </c>
    </row>
    <row r="346">
      <c r="A346">
        <f>'1 datos preparados'!A339</f>
        <v/>
      </c>
      <c r="B346" s="5">
        <f>'1 datos preparados'!U339</f>
        <v/>
      </c>
      <c r="C346">
        <f>'1 datos preparados'!B339</f>
        <v/>
      </c>
      <c r="D346" s="7">
        <f>'1 datos preparados'!C339</f>
        <v/>
      </c>
      <c r="E346" s="7">
        <f>'1 datos preparados'!D339</f>
        <v/>
      </c>
      <c r="F346" s="7">
        <f>'1 datos preparados'!E339</f>
        <v/>
      </c>
      <c r="G346" s="7">
        <f>'1 datos preparados'!F339</f>
        <v/>
      </c>
      <c r="H346" s="7">
        <f>'1 datos preparados'!G339</f>
        <v/>
      </c>
      <c r="I346" s="7">
        <f>'1 datos preparados'!H339</f>
        <v/>
      </c>
      <c r="J346" s="7">
        <f>'1 datos preparados'!I339</f>
        <v/>
      </c>
      <c r="K346" s="7">
        <f>'1 datos preparados'!J339</f>
        <v/>
      </c>
      <c r="L346" s="7">
        <f>'1 datos preparados'!K339</f>
        <v/>
      </c>
      <c r="M346" s="7">
        <f>'1 datos preparados'!L339</f>
        <v/>
      </c>
      <c r="N346" s="7">
        <f>'1 datos preparados'!M339</f>
        <v/>
      </c>
      <c r="O346" s="7">
        <f>'1 datos preparados'!N339</f>
        <v/>
      </c>
      <c r="P346" s="7">
        <f>'1 datos preparados'!O339</f>
        <v/>
      </c>
      <c r="Q346" s="7">
        <f>'1 datos preparados'!P339</f>
        <v/>
      </c>
      <c r="R346" s="7">
        <f>'1 datos preparados'!Q339</f>
        <v/>
      </c>
      <c r="S346" s="7">
        <f>'1 datos preparados'!R339</f>
        <v/>
      </c>
      <c r="T346" s="7">
        <f>'1 datos preparados'!S339</f>
        <v/>
      </c>
      <c r="U346" s="7">
        <f>'1 datos preparados'!T339</f>
        <v/>
      </c>
      <c r="V346" s="8">
        <f>$AC$12+D346*$AC$13+E346*$AC$14+F346*$AC$15+G346*$AC$16+H346*$AC$17+I346*$AC$18+J346*$AC$19+K346*$AC$20+L346*$AC$21+M346*$AC$22+N346*$AC$23+O346*$AC$24+P346*$AC$25+Q346*$AC$26+R346*$AC$27+S346*$AC$28+T346*$AC$29+U346*$AC$30</f>
        <v/>
      </c>
      <c r="W346" s="8">
        <f>1/(1+EXP(-V346))</f>
        <v/>
      </c>
      <c r="X346" s="9">
        <f>-IF(C346=1,LN(W346),LN(1-W346))</f>
        <v/>
      </c>
      <c r="Y346" s="10">
        <f>IF(W346&gt;$AC$33,1,0)</f>
        <v/>
      </c>
      <c r="Z346">
        <f>IF(Y346=C346,1,0)</f>
        <v/>
      </c>
    </row>
    <row r="347">
      <c r="A347">
        <f>'1 datos preparados'!A340</f>
        <v/>
      </c>
      <c r="B347" s="5">
        <f>'1 datos preparados'!U340</f>
        <v/>
      </c>
      <c r="C347">
        <f>'1 datos preparados'!B340</f>
        <v/>
      </c>
      <c r="D347" s="7">
        <f>'1 datos preparados'!C340</f>
        <v/>
      </c>
      <c r="E347" s="7">
        <f>'1 datos preparados'!D340</f>
        <v/>
      </c>
      <c r="F347" s="7">
        <f>'1 datos preparados'!E340</f>
        <v/>
      </c>
      <c r="G347" s="7">
        <f>'1 datos preparados'!F340</f>
        <v/>
      </c>
      <c r="H347" s="7">
        <f>'1 datos preparados'!G340</f>
        <v/>
      </c>
      <c r="I347" s="7">
        <f>'1 datos preparados'!H340</f>
        <v/>
      </c>
      <c r="J347" s="7">
        <f>'1 datos preparados'!I340</f>
        <v/>
      </c>
      <c r="K347" s="7">
        <f>'1 datos preparados'!J340</f>
        <v/>
      </c>
      <c r="L347" s="7">
        <f>'1 datos preparados'!K340</f>
        <v/>
      </c>
      <c r="M347" s="7">
        <f>'1 datos preparados'!L340</f>
        <v/>
      </c>
      <c r="N347" s="7">
        <f>'1 datos preparados'!M340</f>
        <v/>
      </c>
      <c r="O347" s="7">
        <f>'1 datos preparados'!N340</f>
        <v/>
      </c>
      <c r="P347" s="7">
        <f>'1 datos preparados'!O340</f>
        <v/>
      </c>
      <c r="Q347" s="7">
        <f>'1 datos preparados'!P340</f>
        <v/>
      </c>
      <c r="R347" s="7">
        <f>'1 datos preparados'!Q340</f>
        <v/>
      </c>
      <c r="S347" s="7">
        <f>'1 datos preparados'!R340</f>
        <v/>
      </c>
      <c r="T347" s="7">
        <f>'1 datos preparados'!S340</f>
        <v/>
      </c>
      <c r="U347" s="7">
        <f>'1 datos preparados'!T340</f>
        <v/>
      </c>
      <c r="V347" s="8">
        <f>$AC$12+D347*$AC$13+E347*$AC$14+F347*$AC$15+G347*$AC$16+H347*$AC$17+I347*$AC$18+J347*$AC$19+K347*$AC$20+L347*$AC$21+M347*$AC$22+N347*$AC$23+O347*$AC$24+P347*$AC$25+Q347*$AC$26+R347*$AC$27+S347*$AC$28+T347*$AC$29+U347*$AC$30</f>
        <v/>
      </c>
      <c r="W347" s="8">
        <f>1/(1+EXP(-V347))</f>
        <v/>
      </c>
      <c r="X347" s="9">
        <f>-IF(C347=1,LN(W347),LN(1-W347))</f>
        <v/>
      </c>
      <c r="Y347" s="10">
        <f>IF(W347&gt;$AC$33,1,0)</f>
        <v/>
      </c>
      <c r="Z347">
        <f>IF(Y347=C347,1,0)</f>
        <v/>
      </c>
    </row>
    <row r="348">
      <c r="A348">
        <f>'1 datos preparados'!A341</f>
        <v/>
      </c>
      <c r="B348" s="5">
        <f>'1 datos preparados'!U341</f>
        <v/>
      </c>
      <c r="C348">
        <f>'1 datos preparados'!B341</f>
        <v/>
      </c>
      <c r="D348" s="7">
        <f>'1 datos preparados'!C341</f>
        <v/>
      </c>
      <c r="E348" s="7">
        <f>'1 datos preparados'!D341</f>
        <v/>
      </c>
      <c r="F348" s="7">
        <f>'1 datos preparados'!E341</f>
        <v/>
      </c>
      <c r="G348" s="7">
        <f>'1 datos preparados'!F341</f>
        <v/>
      </c>
      <c r="H348" s="7">
        <f>'1 datos preparados'!G341</f>
        <v/>
      </c>
      <c r="I348" s="7">
        <f>'1 datos preparados'!H341</f>
        <v/>
      </c>
      <c r="J348" s="7">
        <f>'1 datos preparados'!I341</f>
        <v/>
      </c>
      <c r="K348" s="7">
        <f>'1 datos preparados'!J341</f>
        <v/>
      </c>
      <c r="L348" s="7">
        <f>'1 datos preparados'!K341</f>
        <v/>
      </c>
      <c r="M348" s="7">
        <f>'1 datos preparados'!L341</f>
        <v/>
      </c>
      <c r="N348" s="7">
        <f>'1 datos preparados'!M341</f>
        <v/>
      </c>
      <c r="O348" s="7">
        <f>'1 datos preparados'!N341</f>
        <v/>
      </c>
      <c r="P348" s="7">
        <f>'1 datos preparados'!O341</f>
        <v/>
      </c>
      <c r="Q348" s="7">
        <f>'1 datos preparados'!P341</f>
        <v/>
      </c>
      <c r="R348" s="7">
        <f>'1 datos preparados'!Q341</f>
        <v/>
      </c>
      <c r="S348" s="7">
        <f>'1 datos preparados'!R341</f>
        <v/>
      </c>
      <c r="T348" s="7">
        <f>'1 datos preparados'!S341</f>
        <v/>
      </c>
      <c r="U348" s="7">
        <f>'1 datos preparados'!T341</f>
        <v/>
      </c>
      <c r="V348" s="8">
        <f>$AC$12+D348*$AC$13+E348*$AC$14+F348*$AC$15+G348*$AC$16+H348*$AC$17+I348*$AC$18+J348*$AC$19+K348*$AC$20+L348*$AC$21+M348*$AC$22+N348*$AC$23+O348*$AC$24+P348*$AC$25+Q348*$AC$26+R348*$AC$27+S348*$AC$28+T348*$AC$29+U348*$AC$30</f>
        <v/>
      </c>
      <c r="W348" s="8">
        <f>1/(1+EXP(-V348))</f>
        <v/>
      </c>
      <c r="X348" s="9">
        <f>-IF(C348=1,LN(W348),LN(1-W348))</f>
        <v/>
      </c>
      <c r="Y348" s="10">
        <f>IF(W348&gt;$AC$33,1,0)</f>
        <v/>
      </c>
      <c r="Z348">
        <f>IF(Y348=C348,1,0)</f>
        <v/>
      </c>
    </row>
    <row r="349">
      <c r="A349">
        <f>'1 datos preparados'!A342</f>
        <v/>
      </c>
      <c r="B349" s="5">
        <f>'1 datos preparados'!U342</f>
        <v/>
      </c>
      <c r="C349">
        <f>'1 datos preparados'!B342</f>
        <v/>
      </c>
      <c r="D349" s="7">
        <f>'1 datos preparados'!C342</f>
        <v/>
      </c>
      <c r="E349" s="7">
        <f>'1 datos preparados'!D342</f>
        <v/>
      </c>
      <c r="F349" s="7">
        <f>'1 datos preparados'!E342</f>
        <v/>
      </c>
      <c r="G349" s="7">
        <f>'1 datos preparados'!F342</f>
        <v/>
      </c>
      <c r="H349" s="7">
        <f>'1 datos preparados'!G342</f>
        <v/>
      </c>
      <c r="I349" s="7">
        <f>'1 datos preparados'!H342</f>
        <v/>
      </c>
      <c r="J349" s="7">
        <f>'1 datos preparados'!I342</f>
        <v/>
      </c>
      <c r="K349" s="7">
        <f>'1 datos preparados'!J342</f>
        <v/>
      </c>
      <c r="L349" s="7">
        <f>'1 datos preparados'!K342</f>
        <v/>
      </c>
      <c r="M349" s="7">
        <f>'1 datos preparados'!L342</f>
        <v/>
      </c>
      <c r="N349" s="7">
        <f>'1 datos preparados'!M342</f>
        <v/>
      </c>
      <c r="O349" s="7">
        <f>'1 datos preparados'!N342</f>
        <v/>
      </c>
      <c r="P349" s="7">
        <f>'1 datos preparados'!O342</f>
        <v/>
      </c>
      <c r="Q349" s="7">
        <f>'1 datos preparados'!P342</f>
        <v/>
      </c>
      <c r="R349" s="7">
        <f>'1 datos preparados'!Q342</f>
        <v/>
      </c>
      <c r="S349" s="7">
        <f>'1 datos preparados'!R342</f>
        <v/>
      </c>
      <c r="T349" s="7">
        <f>'1 datos preparados'!S342</f>
        <v/>
      </c>
      <c r="U349" s="7">
        <f>'1 datos preparados'!T342</f>
        <v/>
      </c>
      <c r="V349" s="8">
        <f>$AC$12+D349*$AC$13+E349*$AC$14+F349*$AC$15+G349*$AC$16+H349*$AC$17+I349*$AC$18+J349*$AC$19+K349*$AC$20+L349*$AC$21+M349*$AC$22+N349*$AC$23+O349*$AC$24+P349*$AC$25+Q349*$AC$26+R349*$AC$27+S349*$AC$28+T349*$AC$29+U349*$AC$30</f>
        <v/>
      </c>
      <c r="W349" s="8">
        <f>1/(1+EXP(-V349))</f>
        <v/>
      </c>
      <c r="X349" s="9">
        <f>-IF(C349=1,LN(W349),LN(1-W349))</f>
        <v/>
      </c>
      <c r="Y349" s="10">
        <f>IF(W349&gt;$AC$33,1,0)</f>
        <v/>
      </c>
      <c r="Z349">
        <f>IF(Y349=C349,1,0)</f>
        <v/>
      </c>
    </row>
    <row r="350">
      <c r="A350">
        <f>'1 datos preparados'!A343</f>
        <v/>
      </c>
      <c r="B350" s="5">
        <f>'1 datos preparados'!U343</f>
        <v/>
      </c>
      <c r="C350">
        <f>'1 datos preparados'!B343</f>
        <v/>
      </c>
      <c r="D350" s="7">
        <f>'1 datos preparados'!C343</f>
        <v/>
      </c>
      <c r="E350" s="7">
        <f>'1 datos preparados'!D343</f>
        <v/>
      </c>
      <c r="F350" s="7">
        <f>'1 datos preparados'!E343</f>
        <v/>
      </c>
      <c r="G350" s="7">
        <f>'1 datos preparados'!F343</f>
        <v/>
      </c>
      <c r="H350" s="7">
        <f>'1 datos preparados'!G343</f>
        <v/>
      </c>
      <c r="I350" s="7">
        <f>'1 datos preparados'!H343</f>
        <v/>
      </c>
      <c r="J350" s="7">
        <f>'1 datos preparados'!I343</f>
        <v/>
      </c>
      <c r="K350" s="7">
        <f>'1 datos preparados'!J343</f>
        <v/>
      </c>
      <c r="L350" s="7">
        <f>'1 datos preparados'!K343</f>
        <v/>
      </c>
      <c r="M350" s="7">
        <f>'1 datos preparados'!L343</f>
        <v/>
      </c>
      <c r="N350" s="7">
        <f>'1 datos preparados'!M343</f>
        <v/>
      </c>
      <c r="O350" s="7">
        <f>'1 datos preparados'!N343</f>
        <v/>
      </c>
      <c r="P350" s="7">
        <f>'1 datos preparados'!O343</f>
        <v/>
      </c>
      <c r="Q350" s="7">
        <f>'1 datos preparados'!P343</f>
        <v/>
      </c>
      <c r="R350" s="7">
        <f>'1 datos preparados'!Q343</f>
        <v/>
      </c>
      <c r="S350" s="7">
        <f>'1 datos preparados'!R343</f>
        <v/>
      </c>
      <c r="T350" s="7">
        <f>'1 datos preparados'!S343</f>
        <v/>
      </c>
      <c r="U350" s="7">
        <f>'1 datos preparados'!T343</f>
        <v/>
      </c>
      <c r="V350" s="8">
        <f>$AC$12+D350*$AC$13+E350*$AC$14+F350*$AC$15+G350*$AC$16+H350*$AC$17+I350*$AC$18+J350*$AC$19+K350*$AC$20+L350*$AC$21+M350*$AC$22+N350*$AC$23+O350*$AC$24+P350*$AC$25+Q350*$AC$26+R350*$AC$27+S350*$AC$28+T350*$AC$29+U350*$AC$30</f>
        <v/>
      </c>
      <c r="W350" s="8">
        <f>1/(1+EXP(-V350))</f>
        <v/>
      </c>
      <c r="X350" s="9">
        <f>-IF(C350=1,LN(W350),LN(1-W350))</f>
        <v/>
      </c>
      <c r="Y350" s="10">
        <f>IF(W350&gt;$AC$33,1,0)</f>
        <v/>
      </c>
      <c r="Z350">
        <f>IF(Y350=C350,1,0)</f>
        <v/>
      </c>
    </row>
    <row r="351">
      <c r="A351">
        <f>'1 datos preparados'!A344</f>
        <v/>
      </c>
      <c r="B351" s="5">
        <f>'1 datos preparados'!U344</f>
        <v/>
      </c>
      <c r="C351">
        <f>'1 datos preparados'!B344</f>
        <v/>
      </c>
      <c r="D351" s="7">
        <f>'1 datos preparados'!C344</f>
        <v/>
      </c>
      <c r="E351" s="7">
        <f>'1 datos preparados'!D344</f>
        <v/>
      </c>
      <c r="F351" s="7">
        <f>'1 datos preparados'!E344</f>
        <v/>
      </c>
      <c r="G351" s="7">
        <f>'1 datos preparados'!F344</f>
        <v/>
      </c>
      <c r="H351" s="7">
        <f>'1 datos preparados'!G344</f>
        <v/>
      </c>
      <c r="I351" s="7">
        <f>'1 datos preparados'!H344</f>
        <v/>
      </c>
      <c r="J351" s="7">
        <f>'1 datos preparados'!I344</f>
        <v/>
      </c>
      <c r="K351" s="7">
        <f>'1 datos preparados'!J344</f>
        <v/>
      </c>
      <c r="L351" s="7">
        <f>'1 datos preparados'!K344</f>
        <v/>
      </c>
      <c r="M351" s="7">
        <f>'1 datos preparados'!L344</f>
        <v/>
      </c>
      <c r="N351" s="7">
        <f>'1 datos preparados'!M344</f>
        <v/>
      </c>
      <c r="O351" s="7">
        <f>'1 datos preparados'!N344</f>
        <v/>
      </c>
      <c r="P351" s="7">
        <f>'1 datos preparados'!O344</f>
        <v/>
      </c>
      <c r="Q351" s="7">
        <f>'1 datos preparados'!P344</f>
        <v/>
      </c>
      <c r="R351" s="7">
        <f>'1 datos preparados'!Q344</f>
        <v/>
      </c>
      <c r="S351" s="7">
        <f>'1 datos preparados'!R344</f>
        <v/>
      </c>
      <c r="T351" s="7">
        <f>'1 datos preparados'!S344</f>
        <v/>
      </c>
      <c r="U351" s="7">
        <f>'1 datos preparados'!T344</f>
        <v/>
      </c>
      <c r="V351" s="8">
        <f>$AC$12+D351*$AC$13+E351*$AC$14+F351*$AC$15+G351*$AC$16+H351*$AC$17+I351*$AC$18+J351*$AC$19+K351*$AC$20+L351*$AC$21+M351*$AC$22+N351*$AC$23+O351*$AC$24+P351*$AC$25+Q351*$AC$26+R351*$AC$27+S351*$AC$28+T351*$AC$29+U351*$AC$30</f>
        <v/>
      </c>
      <c r="W351" s="8">
        <f>1/(1+EXP(-V351))</f>
        <v/>
      </c>
      <c r="X351" s="9">
        <f>-IF(C351=1,LN(W351),LN(1-W351))</f>
        <v/>
      </c>
      <c r="Y351" s="10">
        <f>IF(W351&gt;$AC$33,1,0)</f>
        <v/>
      </c>
      <c r="Z351">
        <f>IF(Y351=C351,1,0)</f>
        <v/>
      </c>
    </row>
    <row r="352">
      <c r="A352">
        <f>'1 datos preparados'!A345</f>
        <v/>
      </c>
      <c r="B352" s="5">
        <f>'1 datos preparados'!U345</f>
        <v/>
      </c>
      <c r="C352">
        <f>'1 datos preparados'!B345</f>
        <v/>
      </c>
      <c r="D352" s="7">
        <f>'1 datos preparados'!C345</f>
        <v/>
      </c>
      <c r="E352" s="7">
        <f>'1 datos preparados'!D345</f>
        <v/>
      </c>
      <c r="F352" s="7">
        <f>'1 datos preparados'!E345</f>
        <v/>
      </c>
      <c r="G352" s="7">
        <f>'1 datos preparados'!F345</f>
        <v/>
      </c>
      <c r="H352" s="7">
        <f>'1 datos preparados'!G345</f>
        <v/>
      </c>
      <c r="I352" s="7">
        <f>'1 datos preparados'!H345</f>
        <v/>
      </c>
      <c r="J352" s="7">
        <f>'1 datos preparados'!I345</f>
        <v/>
      </c>
      <c r="K352" s="7">
        <f>'1 datos preparados'!J345</f>
        <v/>
      </c>
      <c r="L352" s="7">
        <f>'1 datos preparados'!K345</f>
        <v/>
      </c>
      <c r="M352" s="7">
        <f>'1 datos preparados'!L345</f>
        <v/>
      </c>
      <c r="N352" s="7">
        <f>'1 datos preparados'!M345</f>
        <v/>
      </c>
      <c r="O352" s="7">
        <f>'1 datos preparados'!N345</f>
        <v/>
      </c>
      <c r="P352" s="7">
        <f>'1 datos preparados'!O345</f>
        <v/>
      </c>
      <c r="Q352" s="7">
        <f>'1 datos preparados'!P345</f>
        <v/>
      </c>
      <c r="R352" s="7">
        <f>'1 datos preparados'!Q345</f>
        <v/>
      </c>
      <c r="S352" s="7">
        <f>'1 datos preparados'!R345</f>
        <v/>
      </c>
      <c r="T352" s="7">
        <f>'1 datos preparados'!S345</f>
        <v/>
      </c>
      <c r="U352" s="7">
        <f>'1 datos preparados'!T345</f>
        <v/>
      </c>
      <c r="V352" s="8">
        <f>$AC$12+D352*$AC$13+E352*$AC$14+F352*$AC$15+G352*$AC$16+H352*$AC$17+I352*$AC$18+J352*$AC$19+K352*$AC$20+L352*$AC$21+M352*$AC$22+N352*$AC$23+O352*$AC$24+P352*$AC$25+Q352*$AC$26+R352*$AC$27+S352*$AC$28+T352*$AC$29+U352*$AC$30</f>
        <v/>
      </c>
      <c r="W352" s="8">
        <f>1/(1+EXP(-V352))</f>
        <v/>
      </c>
      <c r="X352" s="9">
        <f>-IF(C352=1,LN(W352),LN(1-W352))</f>
        <v/>
      </c>
      <c r="Y352" s="10">
        <f>IF(W352&gt;$AC$33,1,0)</f>
        <v/>
      </c>
      <c r="Z352">
        <f>IF(Y352=C352,1,0)</f>
        <v/>
      </c>
    </row>
    <row r="353">
      <c r="A353">
        <f>'1 datos preparados'!A346</f>
        <v/>
      </c>
      <c r="B353" s="5">
        <f>'1 datos preparados'!U346</f>
        <v/>
      </c>
      <c r="C353">
        <f>'1 datos preparados'!B346</f>
        <v/>
      </c>
      <c r="D353" s="7">
        <f>'1 datos preparados'!C346</f>
        <v/>
      </c>
      <c r="E353" s="7">
        <f>'1 datos preparados'!D346</f>
        <v/>
      </c>
      <c r="F353" s="7">
        <f>'1 datos preparados'!E346</f>
        <v/>
      </c>
      <c r="G353" s="7">
        <f>'1 datos preparados'!F346</f>
        <v/>
      </c>
      <c r="H353" s="7">
        <f>'1 datos preparados'!G346</f>
        <v/>
      </c>
      <c r="I353" s="7">
        <f>'1 datos preparados'!H346</f>
        <v/>
      </c>
      <c r="J353" s="7">
        <f>'1 datos preparados'!I346</f>
        <v/>
      </c>
      <c r="K353" s="7">
        <f>'1 datos preparados'!J346</f>
        <v/>
      </c>
      <c r="L353" s="7">
        <f>'1 datos preparados'!K346</f>
        <v/>
      </c>
      <c r="M353" s="7">
        <f>'1 datos preparados'!L346</f>
        <v/>
      </c>
      <c r="N353" s="7">
        <f>'1 datos preparados'!M346</f>
        <v/>
      </c>
      <c r="O353" s="7">
        <f>'1 datos preparados'!N346</f>
        <v/>
      </c>
      <c r="P353" s="7">
        <f>'1 datos preparados'!O346</f>
        <v/>
      </c>
      <c r="Q353" s="7">
        <f>'1 datos preparados'!P346</f>
        <v/>
      </c>
      <c r="R353" s="7">
        <f>'1 datos preparados'!Q346</f>
        <v/>
      </c>
      <c r="S353" s="7">
        <f>'1 datos preparados'!R346</f>
        <v/>
      </c>
      <c r="T353" s="7">
        <f>'1 datos preparados'!S346</f>
        <v/>
      </c>
      <c r="U353" s="7">
        <f>'1 datos preparados'!T346</f>
        <v/>
      </c>
      <c r="V353" s="8">
        <f>$AC$12+D353*$AC$13+E353*$AC$14+F353*$AC$15+G353*$AC$16+H353*$AC$17+I353*$AC$18+J353*$AC$19+K353*$AC$20+L353*$AC$21+M353*$AC$22+N353*$AC$23+O353*$AC$24+P353*$AC$25+Q353*$AC$26+R353*$AC$27+S353*$AC$28+T353*$AC$29+U353*$AC$30</f>
        <v/>
      </c>
      <c r="W353" s="8">
        <f>1/(1+EXP(-V353))</f>
        <v/>
      </c>
      <c r="X353" s="9">
        <f>-IF(C353=1,LN(W353),LN(1-W353))</f>
        <v/>
      </c>
      <c r="Y353" s="10">
        <f>IF(W353&gt;$AC$33,1,0)</f>
        <v/>
      </c>
      <c r="Z353">
        <f>IF(Y353=C353,1,0)</f>
        <v/>
      </c>
    </row>
    <row r="354">
      <c r="A354">
        <f>'1 datos preparados'!A347</f>
        <v/>
      </c>
      <c r="B354" s="5">
        <f>'1 datos preparados'!U347</f>
        <v/>
      </c>
      <c r="C354">
        <f>'1 datos preparados'!B347</f>
        <v/>
      </c>
      <c r="D354" s="7">
        <f>'1 datos preparados'!C347</f>
        <v/>
      </c>
      <c r="E354" s="7">
        <f>'1 datos preparados'!D347</f>
        <v/>
      </c>
      <c r="F354" s="7">
        <f>'1 datos preparados'!E347</f>
        <v/>
      </c>
      <c r="G354" s="7">
        <f>'1 datos preparados'!F347</f>
        <v/>
      </c>
      <c r="H354" s="7">
        <f>'1 datos preparados'!G347</f>
        <v/>
      </c>
      <c r="I354" s="7">
        <f>'1 datos preparados'!H347</f>
        <v/>
      </c>
      <c r="J354" s="7">
        <f>'1 datos preparados'!I347</f>
        <v/>
      </c>
      <c r="K354" s="7">
        <f>'1 datos preparados'!J347</f>
        <v/>
      </c>
      <c r="L354" s="7">
        <f>'1 datos preparados'!K347</f>
        <v/>
      </c>
      <c r="M354" s="7">
        <f>'1 datos preparados'!L347</f>
        <v/>
      </c>
      <c r="N354" s="7">
        <f>'1 datos preparados'!M347</f>
        <v/>
      </c>
      <c r="O354" s="7">
        <f>'1 datos preparados'!N347</f>
        <v/>
      </c>
      <c r="P354" s="7">
        <f>'1 datos preparados'!O347</f>
        <v/>
      </c>
      <c r="Q354" s="7">
        <f>'1 datos preparados'!P347</f>
        <v/>
      </c>
      <c r="R354" s="7">
        <f>'1 datos preparados'!Q347</f>
        <v/>
      </c>
      <c r="S354" s="7">
        <f>'1 datos preparados'!R347</f>
        <v/>
      </c>
      <c r="T354" s="7">
        <f>'1 datos preparados'!S347</f>
        <v/>
      </c>
      <c r="U354" s="7">
        <f>'1 datos preparados'!T347</f>
        <v/>
      </c>
      <c r="V354" s="8">
        <f>$AC$12+D354*$AC$13+E354*$AC$14+F354*$AC$15+G354*$AC$16+H354*$AC$17+I354*$AC$18+J354*$AC$19+K354*$AC$20+L354*$AC$21+M354*$AC$22+N354*$AC$23+O354*$AC$24+P354*$AC$25+Q354*$AC$26+R354*$AC$27+S354*$AC$28+T354*$AC$29+U354*$AC$30</f>
        <v/>
      </c>
      <c r="W354" s="8">
        <f>1/(1+EXP(-V354))</f>
        <v/>
      </c>
      <c r="X354" s="9">
        <f>-IF(C354=1,LN(W354),LN(1-W354))</f>
        <v/>
      </c>
      <c r="Y354" s="10">
        <f>IF(W354&gt;$AC$33,1,0)</f>
        <v/>
      </c>
      <c r="Z354">
        <f>IF(Y354=C354,1,0)</f>
        <v/>
      </c>
    </row>
    <row r="355">
      <c r="A355">
        <f>'1 datos preparados'!A348</f>
        <v/>
      </c>
      <c r="B355" s="5">
        <f>'1 datos preparados'!U348</f>
        <v/>
      </c>
      <c r="C355">
        <f>'1 datos preparados'!B348</f>
        <v/>
      </c>
      <c r="D355" s="7">
        <f>'1 datos preparados'!C348</f>
        <v/>
      </c>
      <c r="E355" s="7">
        <f>'1 datos preparados'!D348</f>
        <v/>
      </c>
      <c r="F355" s="7">
        <f>'1 datos preparados'!E348</f>
        <v/>
      </c>
      <c r="G355" s="7">
        <f>'1 datos preparados'!F348</f>
        <v/>
      </c>
      <c r="H355" s="7">
        <f>'1 datos preparados'!G348</f>
        <v/>
      </c>
      <c r="I355" s="7">
        <f>'1 datos preparados'!H348</f>
        <v/>
      </c>
      <c r="J355" s="7">
        <f>'1 datos preparados'!I348</f>
        <v/>
      </c>
      <c r="K355" s="7">
        <f>'1 datos preparados'!J348</f>
        <v/>
      </c>
      <c r="L355" s="7">
        <f>'1 datos preparados'!K348</f>
        <v/>
      </c>
      <c r="M355" s="7">
        <f>'1 datos preparados'!L348</f>
        <v/>
      </c>
      <c r="N355" s="7">
        <f>'1 datos preparados'!M348</f>
        <v/>
      </c>
      <c r="O355" s="7">
        <f>'1 datos preparados'!N348</f>
        <v/>
      </c>
      <c r="P355" s="7">
        <f>'1 datos preparados'!O348</f>
        <v/>
      </c>
      <c r="Q355" s="7">
        <f>'1 datos preparados'!P348</f>
        <v/>
      </c>
      <c r="R355" s="7">
        <f>'1 datos preparados'!Q348</f>
        <v/>
      </c>
      <c r="S355" s="7">
        <f>'1 datos preparados'!R348</f>
        <v/>
      </c>
      <c r="T355" s="7">
        <f>'1 datos preparados'!S348</f>
        <v/>
      </c>
      <c r="U355" s="7">
        <f>'1 datos preparados'!T348</f>
        <v/>
      </c>
      <c r="V355" s="8">
        <f>$AC$12+D355*$AC$13+E355*$AC$14+F355*$AC$15+G355*$AC$16+H355*$AC$17+I355*$AC$18+J355*$AC$19+K355*$AC$20+L355*$AC$21+M355*$AC$22+N355*$AC$23+O355*$AC$24+P355*$AC$25+Q355*$AC$26+R355*$AC$27+S355*$AC$28+T355*$AC$29+U355*$AC$30</f>
        <v/>
      </c>
      <c r="W355" s="8">
        <f>1/(1+EXP(-V355))</f>
        <v/>
      </c>
      <c r="X355" s="9">
        <f>-IF(C355=1,LN(W355),LN(1-W355))</f>
        <v/>
      </c>
      <c r="Y355" s="10">
        <f>IF(W355&gt;$AC$33,1,0)</f>
        <v/>
      </c>
      <c r="Z355">
        <f>IF(Y355=C355,1,0)</f>
        <v/>
      </c>
    </row>
    <row r="356">
      <c r="A356">
        <f>'1 datos preparados'!A349</f>
        <v/>
      </c>
      <c r="B356" s="5">
        <f>'1 datos preparados'!U349</f>
        <v/>
      </c>
      <c r="C356">
        <f>'1 datos preparados'!B349</f>
        <v/>
      </c>
      <c r="D356" s="7">
        <f>'1 datos preparados'!C349</f>
        <v/>
      </c>
      <c r="E356" s="7">
        <f>'1 datos preparados'!D349</f>
        <v/>
      </c>
      <c r="F356" s="7">
        <f>'1 datos preparados'!E349</f>
        <v/>
      </c>
      <c r="G356" s="7">
        <f>'1 datos preparados'!F349</f>
        <v/>
      </c>
      <c r="H356" s="7">
        <f>'1 datos preparados'!G349</f>
        <v/>
      </c>
      <c r="I356" s="7">
        <f>'1 datos preparados'!H349</f>
        <v/>
      </c>
      <c r="J356" s="7">
        <f>'1 datos preparados'!I349</f>
        <v/>
      </c>
      <c r="K356" s="7">
        <f>'1 datos preparados'!J349</f>
        <v/>
      </c>
      <c r="L356" s="7">
        <f>'1 datos preparados'!K349</f>
        <v/>
      </c>
      <c r="M356" s="7">
        <f>'1 datos preparados'!L349</f>
        <v/>
      </c>
      <c r="N356" s="7">
        <f>'1 datos preparados'!M349</f>
        <v/>
      </c>
      <c r="O356" s="7">
        <f>'1 datos preparados'!N349</f>
        <v/>
      </c>
      <c r="P356" s="7">
        <f>'1 datos preparados'!O349</f>
        <v/>
      </c>
      <c r="Q356" s="7">
        <f>'1 datos preparados'!P349</f>
        <v/>
      </c>
      <c r="R356" s="7">
        <f>'1 datos preparados'!Q349</f>
        <v/>
      </c>
      <c r="S356" s="7">
        <f>'1 datos preparados'!R349</f>
        <v/>
      </c>
      <c r="T356" s="7">
        <f>'1 datos preparados'!S349</f>
        <v/>
      </c>
      <c r="U356" s="7">
        <f>'1 datos preparados'!T349</f>
        <v/>
      </c>
      <c r="V356" s="8">
        <f>$AC$12+D356*$AC$13+E356*$AC$14+F356*$AC$15+G356*$AC$16+H356*$AC$17+I356*$AC$18+J356*$AC$19+K356*$AC$20+L356*$AC$21+M356*$AC$22+N356*$AC$23+O356*$AC$24+P356*$AC$25+Q356*$AC$26+R356*$AC$27+S356*$AC$28+T356*$AC$29+U356*$AC$30</f>
        <v/>
      </c>
      <c r="W356" s="8">
        <f>1/(1+EXP(-V356))</f>
        <v/>
      </c>
      <c r="X356" s="9">
        <f>-IF(C356=1,LN(W356),LN(1-W356))</f>
        <v/>
      </c>
      <c r="Y356" s="10">
        <f>IF(W356&gt;$AC$33,1,0)</f>
        <v/>
      </c>
      <c r="Z356">
        <f>IF(Y356=C356,1,0)</f>
        <v/>
      </c>
    </row>
    <row r="357">
      <c r="A357">
        <f>'1 datos preparados'!A350</f>
        <v/>
      </c>
      <c r="B357" s="5">
        <f>'1 datos preparados'!U350</f>
        <v/>
      </c>
      <c r="C357">
        <f>'1 datos preparados'!B350</f>
        <v/>
      </c>
      <c r="D357" s="7">
        <f>'1 datos preparados'!C350</f>
        <v/>
      </c>
      <c r="E357" s="7">
        <f>'1 datos preparados'!D350</f>
        <v/>
      </c>
      <c r="F357" s="7">
        <f>'1 datos preparados'!E350</f>
        <v/>
      </c>
      <c r="G357" s="7">
        <f>'1 datos preparados'!F350</f>
        <v/>
      </c>
      <c r="H357" s="7">
        <f>'1 datos preparados'!G350</f>
        <v/>
      </c>
      <c r="I357" s="7">
        <f>'1 datos preparados'!H350</f>
        <v/>
      </c>
      <c r="J357" s="7">
        <f>'1 datos preparados'!I350</f>
        <v/>
      </c>
      <c r="K357" s="7">
        <f>'1 datos preparados'!J350</f>
        <v/>
      </c>
      <c r="L357" s="7">
        <f>'1 datos preparados'!K350</f>
        <v/>
      </c>
      <c r="M357" s="7">
        <f>'1 datos preparados'!L350</f>
        <v/>
      </c>
      <c r="N357" s="7">
        <f>'1 datos preparados'!M350</f>
        <v/>
      </c>
      <c r="O357" s="7">
        <f>'1 datos preparados'!N350</f>
        <v/>
      </c>
      <c r="P357" s="7">
        <f>'1 datos preparados'!O350</f>
        <v/>
      </c>
      <c r="Q357" s="7">
        <f>'1 datos preparados'!P350</f>
        <v/>
      </c>
      <c r="R357" s="7">
        <f>'1 datos preparados'!Q350</f>
        <v/>
      </c>
      <c r="S357" s="7">
        <f>'1 datos preparados'!R350</f>
        <v/>
      </c>
      <c r="T357" s="7">
        <f>'1 datos preparados'!S350</f>
        <v/>
      </c>
      <c r="U357" s="7">
        <f>'1 datos preparados'!T350</f>
        <v/>
      </c>
      <c r="V357" s="8">
        <f>$AC$12+D357*$AC$13+E357*$AC$14+F357*$AC$15+G357*$AC$16+H357*$AC$17+I357*$AC$18+J357*$AC$19+K357*$AC$20+L357*$AC$21+M357*$AC$22+N357*$AC$23+O357*$AC$24+P357*$AC$25+Q357*$AC$26+R357*$AC$27+S357*$AC$28+T357*$AC$29+U357*$AC$30</f>
        <v/>
      </c>
      <c r="W357" s="8">
        <f>1/(1+EXP(-V357))</f>
        <v/>
      </c>
      <c r="X357" s="9">
        <f>-IF(C357=1,LN(W357),LN(1-W357))</f>
        <v/>
      </c>
      <c r="Y357" s="10">
        <f>IF(W357&gt;$AC$33,1,0)</f>
        <v/>
      </c>
      <c r="Z357">
        <f>IF(Y357=C357,1,0)</f>
        <v/>
      </c>
    </row>
    <row r="358">
      <c r="A358">
        <f>'1 datos preparados'!A351</f>
        <v/>
      </c>
      <c r="B358" s="5">
        <f>'1 datos preparados'!U351</f>
        <v/>
      </c>
      <c r="C358">
        <f>'1 datos preparados'!B351</f>
        <v/>
      </c>
      <c r="D358" s="7">
        <f>'1 datos preparados'!C351</f>
        <v/>
      </c>
      <c r="E358" s="7">
        <f>'1 datos preparados'!D351</f>
        <v/>
      </c>
      <c r="F358" s="7">
        <f>'1 datos preparados'!E351</f>
        <v/>
      </c>
      <c r="G358" s="7">
        <f>'1 datos preparados'!F351</f>
        <v/>
      </c>
      <c r="H358" s="7">
        <f>'1 datos preparados'!G351</f>
        <v/>
      </c>
      <c r="I358" s="7">
        <f>'1 datos preparados'!H351</f>
        <v/>
      </c>
      <c r="J358" s="7">
        <f>'1 datos preparados'!I351</f>
        <v/>
      </c>
      <c r="K358" s="7">
        <f>'1 datos preparados'!J351</f>
        <v/>
      </c>
      <c r="L358" s="7">
        <f>'1 datos preparados'!K351</f>
        <v/>
      </c>
      <c r="M358" s="7">
        <f>'1 datos preparados'!L351</f>
        <v/>
      </c>
      <c r="N358" s="7">
        <f>'1 datos preparados'!M351</f>
        <v/>
      </c>
      <c r="O358" s="7">
        <f>'1 datos preparados'!N351</f>
        <v/>
      </c>
      <c r="P358" s="7">
        <f>'1 datos preparados'!O351</f>
        <v/>
      </c>
      <c r="Q358" s="7">
        <f>'1 datos preparados'!P351</f>
        <v/>
      </c>
      <c r="R358" s="7">
        <f>'1 datos preparados'!Q351</f>
        <v/>
      </c>
      <c r="S358" s="7">
        <f>'1 datos preparados'!R351</f>
        <v/>
      </c>
      <c r="T358" s="7">
        <f>'1 datos preparados'!S351</f>
        <v/>
      </c>
      <c r="U358" s="7">
        <f>'1 datos preparados'!T351</f>
        <v/>
      </c>
      <c r="V358" s="8">
        <f>$AC$12+D358*$AC$13+E358*$AC$14+F358*$AC$15+G358*$AC$16+H358*$AC$17+I358*$AC$18+J358*$AC$19+K358*$AC$20+L358*$AC$21+M358*$AC$22+N358*$AC$23+O358*$AC$24+P358*$AC$25+Q358*$AC$26+R358*$AC$27+S358*$AC$28+T358*$AC$29+U358*$AC$30</f>
        <v/>
      </c>
      <c r="W358" s="8">
        <f>1/(1+EXP(-V358))</f>
        <v/>
      </c>
      <c r="X358" s="9">
        <f>-IF(C358=1,LN(W358),LN(1-W358))</f>
        <v/>
      </c>
      <c r="Y358" s="10">
        <f>IF(W358&gt;$AC$33,1,0)</f>
        <v/>
      </c>
      <c r="Z358">
        <f>IF(Y358=C358,1,0)</f>
        <v/>
      </c>
    </row>
    <row r="359">
      <c r="A359">
        <f>'1 datos preparados'!A352</f>
        <v/>
      </c>
      <c r="B359" s="5">
        <f>'1 datos preparados'!U352</f>
        <v/>
      </c>
      <c r="C359">
        <f>'1 datos preparados'!B352</f>
        <v/>
      </c>
      <c r="D359" s="7">
        <f>'1 datos preparados'!C352</f>
        <v/>
      </c>
      <c r="E359" s="7">
        <f>'1 datos preparados'!D352</f>
        <v/>
      </c>
      <c r="F359" s="7">
        <f>'1 datos preparados'!E352</f>
        <v/>
      </c>
      <c r="G359" s="7">
        <f>'1 datos preparados'!F352</f>
        <v/>
      </c>
      <c r="H359" s="7">
        <f>'1 datos preparados'!G352</f>
        <v/>
      </c>
      <c r="I359" s="7">
        <f>'1 datos preparados'!H352</f>
        <v/>
      </c>
      <c r="J359" s="7">
        <f>'1 datos preparados'!I352</f>
        <v/>
      </c>
      <c r="K359" s="7">
        <f>'1 datos preparados'!J352</f>
        <v/>
      </c>
      <c r="L359" s="7">
        <f>'1 datos preparados'!K352</f>
        <v/>
      </c>
      <c r="M359" s="7">
        <f>'1 datos preparados'!L352</f>
        <v/>
      </c>
      <c r="N359" s="7">
        <f>'1 datos preparados'!M352</f>
        <v/>
      </c>
      <c r="O359" s="7">
        <f>'1 datos preparados'!N352</f>
        <v/>
      </c>
      <c r="P359" s="7">
        <f>'1 datos preparados'!O352</f>
        <v/>
      </c>
      <c r="Q359" s="7">
        <f>'1 datos preparados'!P352</f>
        <v/>
      </c>
      <c r="R359" s="7">
        <f>'1 datos preparados'!Q352</f>
        <v/>
      </c>
      <c r="S359" s="7">
        <f>'1 datos preparados'!R352</f>
        <v/>
      </c>
      <c r="T359" s="7">
        <f>'1 datos preparados'!S352</f>
        <v/>
      </c>
      <c r="U359" s="7">
        <f>'1 datos preparados'!T352</f>
        <v/>
      </c>
      <c r="V359" s="8">
        <f>$AC$12+D359*$AC$13+E359*$AC$14+F359*$AC$15+G359*$AC$16+H359*$AC$17+I359*$AC$18+J359*$AC$19+K359*$AC$20+L359*$AC$21+M359*$AC$22+N359*$AC$23+O359*$AC$24+P359*$AC$25+Q359*$AC$26+R359*$AC$27+S359*$AC$28+T359*$AC$29+U359*$AC$30</f>
        <v/>
      </c>
      <c r="W359" s="8">
        <f>1/(1+EXP(-V359))</f>
        <v/>
      </c>
      <c r="X359" s="9">
        <f>-IF(C359=1,LN(W359),LN(1-W359))</f>
        <v/>
      </c>
      <c r="Y359" s="10">
        <f>IF(W359&gt;$AC$33,1,0)</f>
        <v/>
      </c>
      <c r="Z359">
        <f>IF(Y359=C359,1,0)</f>
        <v/>
      </c>
    </row>
    <row r="360">
      <c r="A360">
        <f>'1 datos preparados'!A353</f>
        <v/>
      </c>
      <c r="B360" s="5">
        <f>'1 datos preparados'!U353</f>
        <v/>
      </c>
      <c r="C360">
        <f>'1 datos preparados'!B353</f>
        <v/>
      </c>
      <c r="D360" s="7">
        <f>'1 datos preparados'!C353</f>
        <v/>
      </c>
      <c r="E360" s="7">
        <f>'1 datos preparados'!D353</f>
        <v/>
      </c>
      <c r="F360" s="7">
        <f>'1 datos preparados'!E353</f>
        <v/>
      </c>
      <c r="G360" s="7">
        <f>'1 datos preparados'!F353</f>
        <v/>
      </c>
      <c r="H360" s="7">
        <f>'1 datos preparados'!G353</f>
        <v/>
      </c>
      <c r="I360" s="7">
        <f>'1 datos preparados'!H353</f>
        <v/>
      </c>
      <c r="J360" s="7">
        <f>'1 datos preparados'!I353</f>
        <v/>
      </c>
      <c r="K360" s="7">
        <f>'1 datos preparados'!J353</f>
        <v/>
      </c>
      <c r="L360" s="7">
        <f>'1 datos preparados'!K353</f>
        <v/>
      </c>
      <c r="M360" s="7">
        <f>'1 datos preparados'!L353</f>
        <v/>
      </c>
      <c r="N360" s="7">
        <f>'1 datos preparados'!M353</f>
        <v/>
      </c>
      <c r="O360" s="7">
        <f>'1 datos preparados'!N353</f>
        <v/>
      </c>
      <c r="P360" s="7">
        <f>'1 datos preparados'!O353</f>
        <v/>
      </c>
      <c r="Q360" s="7">
        <f>'1 datos preparados'!P353</f>
        <v/>
      </c>
      <c r="R360" s="7">
        <f>'1 datos preparados'!Q353</f>
        <v/>
      </c>
      <c r="S360" s="7">
        <f>'1 datos preparados'!R353</f>
        <v/>
      </c>
      <c r="T360" s="7">
        <f>'1 datos preparados'!S353</f>
        <v/>
      </c>
      <c r="U360" s="7">
        <f>'1 datos preparados'!T353</f>
        <v/>
      </c>
      <c r="V360" s="8">
        <f>$AC$12+D360*$AC$13+E360*$AC$14+F360*$AC$15+G360*$AC$16+H360*$AC$17+I360*$AC$18+J360*$AC$19+K360*$AC$20+L360*$AC$21+M360*$AC$22+N360*$AC$23+O360*$AC$24+P360*$AC$25+Q360*$AC$26+R360*$AC$27+S360*$AC$28+T360*$AC$29+U360*$AC$30</f>
        <v/>
      </c>
      <c r="W360" s="8">
        <f>1/(1+EXP(-V360))</f>
        <v/>
      </c>
      <c r="X360" s="9">
        <f>-IF(C360=1,LN(W360),LN(1-W360))</f>
        <v/>
      </c>
      <c r="Y360" s="10">
        <f>IF(W360&gt;$AC$33,1,0)</f>
        <v/>
      </c>
      <c r="Z360">
        <f>IF(Y360=C360,1,0)</f>
        <v/>
      </c>
    </row>
    <row r="361">
      <c r="A361">
        <f>'1 datos preparados'!A354</f>
        <v/>
      </c>
      <c r="B361" s="5">
        <f>'1 datos preparados'!U354</f>
        <v/>
      </c>
      <c r="C361">
        <f>'1 datos preparados'!B354</f>
        <v/>
      </c>
      <c r="D361" s="7">
        <f>'1 datos preparados'!C354</f>
        <v/>
      </c>
      <c r="E361" s="7">
        <f>'1 datos preparados'!D354</f>
        <v/>
      </c>
      <c r="F361" s="7">
        <f>'1 datos preparados'!E354</f>
        <v/>
      </c>
      <c r="G361" s="7">
        <f>'1 datos preparados'!F354</f>
        <v/>
      </c>
      <c r="H361" s="7">
        <f>'1 datos preparados'!G354</f>
        <v/>
      </c>
      <c r="I361" s="7">
        <f>'1 datos preparados'!H354</f>
        <v/>
      </c>
      <c r="J361" s="7">
        <f>'1 datos preparados'!I354</f>
        <v/>
      </c>
      <c r="K361" s="7">
        <f>'1 datos preparados'!J354</f>
        <v/>
      </c>
      <c r="L361" s="7">
        <f>'1 datos preparados'!K354</f>
        <v/>
      </c>
      <c r="M361" s="7">
        <f>'1 datos preparados'!L354</f>
        <v/>
      </c>
      <c r="N361" s="7">
        <f>'1 datos preparados'!M354</f>
        <v/>
      </c>
      <c r="O361" s="7">
        <f>'1 datos preparados'!N354</f>
        <v/>
      </c>
      <c r="P361" s="7">
        <f>'1 datos preparados'!O354</f>
        <v/>
      </c>
      <c r="Q361" s="7">
        <f>'1 datos preparados'!P354</f>
        <v/>
      </c>
      <c r="R361" s="7">
        <f>'1 datos preparados'!Q354</f>
        <v/>
      </c>
      <c r="S361" s="7">
        <f>'1 datos preparados'!R354</f>
        <v/>
      </c>
      <c r="T361" s="7">
        <f>'1 datos preparados'!S354</f>
        <v/>
      </c>
      <c r="U361" s="7">
        <f>'1 datos preparados'!T354</f>
        <v/>
      </c>
      <c r="V361" s="8">
        <f>$AC$12+D361*$AC$13+E361*$AC$14+F361*$AC$15+G361*$AC$16+H361*$AC$17+I361*$AC$18+J361*$AC$19+K361*$AC$20+L361*$AC$21+M361*$AC$22+N361*$AC$23+O361*$AC$24+P361*$AC$25+Q361*$AC$26+R361*$AC$27+S361*$AC$28+T361*$AC$29+U361*$AC$30</f>
        <v/>
      </c>
      <c r="W361" s="8">
        <f>1/(1+EXP(-V361))</f>
        <v/>
      </c>
      <c r="X361" s="9">
        <f>-IF(C361=1,LN(W361),LN(1-W361))</f>
        <v/>
      </c>
      <c r="Y361" s="10">
        <f>IF(W361&gt;$AC$33,1,0)</f>
        <v/>
      </c>
      <c r="Z361">
        <f>IF(Y361=C361,1,0)</f>
        <v/>
      </c>
    </row>
    <row r="362">
      <c r="A362">
        <f>'1 datos preparados'!A355</f>
        <v/>
      </c>
      <c r="B362" s="5">
        <f>'1 datos preparados'!U355</f>
        <v/>
      </c>
      <c r="C362">
        <f>'1 datos preparados'!B355</f>
        <v/>
      </c>
      <c r="D362" s="7">
        <f>'1 datos preparados'!C355</f>
        <v/>
      </c>
      <c r="E362" s="7">
        <f>'1 datos preparados'!D355</f>
        <v/>
      </c>
      <c r="F362" s="7">
        <f>'1 datos preparados'!E355</f>
        <v/>
      </c>
      <c r="G362" s="7">
        <f>'1 datos preparados'!F355</f>
        <v/>
      </c>
      <c r="H362" s="7">
        <f>'1 datos preparados'!G355</f>
        <v/>
      </c>
      <c r="I362" s="7">
        <f>'1 datos preparados'!H355</f>
        <v/>
      </c>
      <c r="J362" s="7">
        <f>'1 datos preparados'!I355</f>
        <v/>
      </c>
      <c r="K362" s="7">
        <f>'1 datos preparados'!J355</f>
        <v/>
      </c>
      <c r="L362" s="7">
        <f>'1 datos preparados'!K355</f>
        <v/>
      </c>
      <c r="M362" s="7">
        <f>'1 datos preparados'!L355</f>
        <v/>
      </c>
      <c r="N362" s="7">
        <f>'1 datos preparados'!M355</f>
        <v/>
      </c>
      <c r="O362" s="7">
        <f>'1 datos preparados'!N355</f>
        <v/>
      </c>
      <c r="P362" s="7">
        <f>'1 datos preparados'!O355</f>
        <v/>
      </c>
      <c r="Q362" s="7">
        <f>'1 datos preparados'!P355</f>
        <v/>
      </c>
      <c r="R362" s="7">
        <f>'1 datos preparados'!Q355</f>
        <v/>
      </c>
      <c r="S362" s="7">
        <f>'1 datos preparados'!R355</f>
        <v/>
      </c>
      <c r="T362" s="7">
        <f>'1 datos preparados'!S355</f>
        <v/>
      </c>
      <c r="U362" s="7">
        <f>'1 datos preparados'!T355</f>
        <v/>
      </c>
      <c r="V362" s="8">
        <f>$AC$12+D362*$AC$13+E362*$AC$14+F362*$AC$15+G362*$AC$16+H362*$AC$17+I362*$AC$18+J362*$AC$19+K362*$AC$20+L362*$AC$21+M362*$AC$22+N362*$AC$23+O362*$AC$24+P362*$AC$25+Q362*$AC$26+R362*$AC$27+S362*$AC$28+T362*$AC$29+U362*$AC$30</f>
        <v/>
      </c>
      <c r="W362" s="8">
        <f>1/(1+EXP(-V362))</f>
        <v/>
      </c>
      <c r="X362" s="9">
        <f>-IF(C362=1,LN(W362),LN(1-W362))</f>
        <v/>
      </c>
      <c r="Y362" s="10">
        <f>IF(W362&gt;$AC$33,1,0)</f>
        <v/>
      </c>
      <c r="Z362">
        <f>IF(Y362=C362,1,0)</f>
        <v/>
      </c>
    </row>
    <row r="363">
      <c r="A363">
        <f>'1 datos preparados'!A356</f>
        <v/>
      </c>
      <c r="B363" s="5">
        <f>'1 datos preparados'!U356</f>
        <v/>
      </c>
      <c r="C363">
        <f>'1 datos preparados'!B356</f>
        <v/>
      </c>
      <c r="D363" s="7">
        <f>'1 datos preparados'!C356</f>
        <v/>
      </c>
      <c r="E363" s="7">
        <f>'1 datos preparados'!D356</f>
        <v/>
      </c>
      <c r="F363" s="7">
        <f>'1 datos preparados'!E356</f>
        <v/>
      </c>
      <c r="G363" s="7">
        <f>'1 datos preparados'!F356</f>
        <v/>
      </c>
      <c r="H363" s="7">
        <f>'1 datos preparados'!G356</f>
        <v/>
      </c>
      <c r="I363" s="7">
        <f>'1 datos preparados'!H356</f>
        <v/>
      </c>
      <c r="J363" s="7">
        <f>'1 datos preparados'!I356</f>
        <v/>
      </c>
      <c r="K363" s="7">
        <f>'1 datos preparados'!J356</f>
        <v/>
      </c>
      <c r="L363" s="7">
        <f>'1 datos preparados'!K356</f>
        <v/>
      </c>
      <c r="M363" s="7">
        <f>'1 datos preparados'!L356</f>
        <v/>
      </c>
      <c r="N363" s="7">
        <f>'1 datos preparados'!M356</f>
        <v/>
      </c>
      <c r="O363" s="7">
        <f>'1 datos preparados'!N356</f>
        <v/>
      </c>
      <c r="P363" s="7">
        <f>'1 datos preparados'!O356</f>
        <v/>
      </c>
      <c r="Q363" s="7">
        <f>'1 datos preparados'!P356</f>
        <v/>
      </c>
      <c r="R363" s="7">
        <f>'1 datos preparados'!Q356</f>
        <v/>
      </c>
      <c r="S363" s="7">
        <f>'1 datos preparados'!R356</f>
        <v/>
      </c>
      <c r="T363" s="7">
        <f>'1 datos preparados'!S356</f>
        <v/>
      </c>
      <c r="U363" s="7">
        <f>'1 datos preparados'!T356</f>
        <v/>
      </c>
      <c r="V363" s="8">
        <f>$AC$12+D363*$AC$13+E363*$AC$14+F363*$AC$15+G363*$AC$16+H363*$AC$17+I363*$AC$18+J363*$AC$19+K363*$AC$20+L363*$AC$21+M363*$AC$22+N363*$AC$23+O363*$AC$24+P363*$AC$25+Q363*$AC$26+R363*$AC$27+S363*$AC$28+T363*$AC$29+U363*$AC$30</f>
        <v/>
      </c>
      <c r="W363" s="8">
        <f>1/(1+EXP(-V363))</f>
        <v/>
      </c>
      <c r="X363" s="9">
        <f>-IF(C363=1,LN(W363),LN(1-W363))</f>
        <v/>
      </c>
      <c r="Y363" s="10">
        <f>IF(W363&gt;$AC$33,1,0)</f>
        <v/>
      </c>
      <c r="Z363">
        <f>IF(Y363=C363,1,0)</f>
        <v/>
      </c>
    </row>
    <row r="364">
      <c r="A364">
        <f>'1 datos preparados'!A357</f>
        <v/>
      </c>
      <c r="B364" s="5">
        <f>'1 datos preparados'!U357</f>
        <v/>
      </c>
      <c r="C364">
        <f>'1 datos preparados'!B357</f>
        <v/>
      </c>
      <c r="D364" s="7">
        <f>'1 datos preparados'!C357</f>
        <v/>
      </c>
      <c r="E364" s="7">
        <f>'1 datos preparados'!D357</f>
        <v/>
      </c>
      <c r="F364" s="7">
        <f>'1 datos preparados'!E357</f>
        <v/>
      </c>
      <c r="G364" s="7">
        <f>'1 datos preparados'!F357</f>
        <v/>
      </c>
      <c r="H364" s="7">
        <f>'1 datos preparados'!G357</f>
        <v/>
      </c>
      <c r="I364" s="7">
        <f>'1 datos preparados'!H357</f>
        <v/>
      </c>
      <c r="J364" s="7">
        <f>'1 datos preparados'!I357</f>
        <v/>
      </c>
      <c r="K364" s="7">
        <f>'1 datos preparados'!J357</f>
        <v/>
      </c>
      <c r="L364" s="7">
        <f>'1 datos preparados'!K357</f>
        <v/>
      </c>
      <c r="M364" s="7">
        <f>'1 datos preparados'!L357</f>
        <v/>
      </c>
      <c r="N364" s="7">
        <f>'1 datos preparados'!M357</f>
        <v/>
      </c>
      <c r="O364" s="7">
        <f>'1 datos preparados'!N357</f>
        <v/>
      </c>
      <c r="P364" s="7">
        <f>'1 datos preparados'!O357</f>
        <v/>
      </c>
      <c r="Q364" s="7">
        <f>'1 datos preparados'!P357</f>
        <v/>
      </c>
      <c r="R364" s="7">
        <f>'1 datos preparados'!Q357</f>
        <v/>
      </c>
      <c r="S364" s="7">
        <f>'1 datos preparados'!R357</f>
        <v/>
      </c>
      <c r="T364" s="7">
        <f>'1 datos preparados'!S357</f>
        <v/>
      </c>
      <c r="U364" s="7">
        <f>'1 datos preparados'!T357</f>
        <v/>
      </c>
      <c r="V364" s="8">
        <f>$AC$12+D364*$AC$13+E364*$AC$14+F364*$AC$15+G364*$AC$16+H364*$AC$17+I364*$AC$18+J364*$AC$19+K364*$AC$20+L364*$AC$21+M364*$AC$22+N364*$AC$23+O364*$AC$24+P364*$AC$25+Q364*$AC$26+R364*$AC$27+S364*$AC$28+T364*$AC$29+U364*$AC$30</f>
        <v/>
      </c>
      <c r="W364" s="8">
        <f>1/(1+EXP(-V364))</f>
        <v/>
      </c>
      <c r="X364" s="9">
        <f>-IF(C364=1,LN(W364),LN(1-W364))</f>
        <v/>
      </c>
      <c r="Y364" s="10">
        <f>IF(W364&gt;$AC$33,1,0)</f>
        <v/>
      </c>
      <c r="Z364">
        <f>IF(Y364=C364,1,0)</f>
        <v/>
      </c>
    </row>
    <row r="365">
      <c r="A365">
        <f>'1 datos preparados'!A358</f>
        <v/>
      </c>
      <c r="B365" s="5">
        <f>'1 datos preparados'!U358</f>
        <v/>
      </c>
      <c r="C365">
        <f>'1 datos preparados'!B358</f>
        <v/>
      </c>
      <c r="D365" s="7">
        <f>'1 datos preparados'!C358</f>
        <v/>
      </c>
      <c r="E365" s="7">
        <f>'1 datos preparados'!D358</f>
        <v/>
      </c>
      <c r="F365" s="7">
        <f>'1 datos preparados'!E358</f>
        <v/>
      </c>
      <c r="G365" s="7">
        <f>'1 datos preparados'!F358</f>
        <v/>
      </c>
      <c r="H365" s="7">
        <f>'1 datos preparados'!G358</f>
        <v/>
      </c>
      <c r="I365" s="7">
        <f>'1 datos preparados'!H358</f>
        <v/>
      </c>
      <c r="J365" s="7">
        <f>'1 datos preparados'!I358</f>
        <v/>
      </c>
      <c r="K365" s="7">
        <f>'1 datos preparados'!J358</f>
        <v/>
      </c>
      <c r="L365" s="7">
        <f>'1 datos preparados'!K358</f>
        <v/>
      </c>
      <c r="M365" s="7">
        <f>'1 datos preparados'!L358</f>
        <v/>
      </c>
      <c r="N365" s="7">
        <f>'1 datos preparados'!M358</f>
        <v/>
      </c>
      <c r="O365" s="7">
        <f>'1 datos preparados'!N358</f>
        <v/>
      </c>
      <c r="P365" s="7">
        <f>'1 datos preparados'!O358</f>
        <v/>
      </c>
      <c r="Q365" s="7">
        <f>'1 datos preparados'!P358</f>
        <v/>
      </c>
      <c r="R365" s="7">
        <f>'1 datos preparados'!Q358</f>
        <v/>
      </c>
      <c r="S365" s="7">
        <f>'1 datos preparados'!R358</f>
        <v/>
      </c>
      <c r="T365" s="7">
        <f>'1 datos preparados'!S358</f>
        <v/>
      </c>
      <c r="U365" s="7">
        <f>'1 datos preparados'!T358</f>
        <v/>
      </c>
      <c r="V365" s="8">
        <f>$AC$12+D365*$AC$13+E365*$AC$14+F365*$AC$15+G365*$AC$16+H365*$AC$17+I365*$AC$18+J365*$AC$19+K365*$AC$20+L365*$AC$21+M365*$AC$22+N365*$AC$23+O365*$AC$24+P365*$AC$25+Q365*$AC$26+R365*$AC$27+S365*$AC$28+T365*$AC$29+U365*$AC$30</f>
        <v/>
      </c>
      <c r="W365" s="8">
        <f>1/(1+EXP(-V365))</f>
        <v/>
      </c>
      <c r="X365" s="9">
        <f>-IF(C365=1,LN(W365),LN(1-W365))</f>
        <v/>
      </c>
      <c r="Y365" s="10">
        <f>IF(W365&gt;$AC$33,1,0)</f>
        <v/>
      </c>
      <c r="Z365">
        <f>IF(Y365=C365,1,0)</f>
        <v/>
      </c>
    </row>
    <row r="366">
      <c r="A366">
        <f>'1 datos preparados'!A359</f>
        <v/>
      </c>
      <c r="B366" s="5">
        <f>'1 datos preparados'!U359</f>
        <v/>
      </c>
      <c r="C366">
        <f>'1 datos preparados'!B359</f>
        <v/>
      </c>
      <c r="D366" s="7">
        <f>'1 datos preparados'!C359</f>
        <v/>
      </c>
      <c r="E366" s="7">
        <f>'1 datos preparados'!D359</f>
        <v/>
      </c>
      <c r="F366" s="7">
        <f>'1 datos preparados'!E359</f>
        <v/>
      </c>
      <c r="G366" s="7">
        <f>'1 datos preparados'!F359</f>
        <v/>
      </c>
      <c r="H366" s="7">
        <f>'1 datos preparados'!G359</f>
        <v/>
      </c>
      <c r="I366" s="7">
        <f>'1 datos preparados'!H359</f>
        <v/>
      </c>
      <c r="J366" s="7">
        <f>'1 datos preparados'!I359</f>
        <v/>
      </c>
      <c r="K366" s="7">
        <f>'1 datos preparados'!J359</f>
        <v/>
      </c>
      <c r="L366" s="7">
        <f>'1 datos preparados'!K359</f>
        <v/>
      </c>
      <c r="M366" s="7">
        <f>'1 datos preparados'!L359</f>
        <v/>
      </c>
      <c r="N366" s="7">
        <f>'1 datos preparados'!M359</f>
        <v/>
      </c>
      <c r="O366" s="7">
        <f>'1 datos preparados'!N359</f>
        <v/>
      </c>
      <c r="P366" s="7">
        <f>'1 datos preparados'!O359</f>
        <v/>
      </c>
      <c r="Q366" s="7">
        <f>'1 datos preparados'!P359</f>
        <v/>
      </c>
      <c r="R366" s="7">
        <f>'1 datos preparados'!Q359</f>
        <v/>
      </c>
      <c r="S366" s="7">
        <f>'1 datos preparados'!R359</f>
        <v/>
      </c>
      <c r="T366" s="7">
        <f>'1 datos preparados'!S359</f>
        <v/>
      </c>
      <c r="U366" s="7">
        <f>'1 datos preparados'!T359</f>
        <v/>
      </c>
      <c r="V366" s="8">
        <f>$AC$12+D366*$AC$13+E366*$AC$14+F366*$AC$15+G366*$AC$16+H366*$AC$17+I366*$AC$18+J366*$AC$19+K366*$AC$20+L366*$AC$21+M366*$AC$22+N366*$AC$23+O366*$AC$24+P366*$AC$25+Q366*$AC$26+R366*$AC$27+S366*$AC$28+T366*$AC$29+U366*$AC$30</f>
        <v/>
      </c>
      <c r="W366" s="8">
        <f>1/(1+EXP(-V366))</f>
        <v/>
      </c>
      <c r="X366" s="9">
        <f>-IF(C366=1,LN(W366),LN(1-W366))</f>
        <v/>
      </c>
      <c r="Y366" s="10">
        <f>IF(W366&gt;$AC$33,1,0)</f>
        <v/>
      </c>
      <c r="Z366">
        <f>IF(Y366=C366,1,0)</f>
        <v/>
      </c>
    </row>
    <row r="367">
      <c r="A367">
        <f>'1 datos preparados'!A360</f>
        <v/>
      </c>
      <c r="B367" s="5">
        <f>'1 datos preparados'!U360</f>
        <v/>
      </c>
      <c r="C367">
        <f>'1 datos preparados'!B360</f>
        <v/>
      </c>
      <c r="D367" s="7">
        <f>'1 datos preparados'!C360</f>
        <v/>
      </c>
      <c r="E367" s="7">
        <f>'1 datos preparados'!D360</f>
        <v/>
      </c>
      <c r="F367" s="7">
        <f>'1 datos preparados'!E360</f>
        <v/>
      </c>
      <c r="G367" s="7">
        <f>'1 datos preparados'!F360</f>
        <v/>
      </c>
      <c r="H367" s="7">
        <f>'1 datos preparados'!G360</f>
        <v/>
      </c>
      <c r="I367" s="7">
        <f>'1 datos preparados'!H360</f>
        <v/>
      </c>
      <c r="J367" s="7">
        <f>'1 datos preparados'!I360</f>
        <v/>
      </c>
      <c r="K367" s="7">
        <f>'1 datos preparados'!J360</f>
        <v/>
      </c>
      <c r="L367" s="7">
        <f>'1 datos preparados'!K360</f>
        <v/>
      </c>
      <c r="M367" s="7">
        <f>'1 datos preparados'!L360</f>
        <v/>
      </c>
      <c r="N367" s="7">
        <f>'1 datos preparados'!M360</f>
        <v/>
      </c>
      <c r="O367" s="7">
        <f>'1 datos preparados'!N360</f>
        <v/>
      </c>
      <c r="P367" s="7">
        <f>'1 datos preparados'!O360</f>
        <v/>
      </c>
      <c r="Q367" s="7">
        <f>'1 datos preparados'!P360</f>
        <v/>
      </c>
      <c r="R367" s="7">
        <f>'1 datos preparados'!Q360</f>
        <v/>
      </c>
      <c r="S367" s="7">
        <f>'1 datos preparados'!R360</f>
        <v/>
      </c>
      <c r="T367" s="7">
        <f>'1 datos preparados'!S360</f>
        <v/>
      </c>
      <c r="U367" s="7">
        <f>'1 datos preparados'!T360</f>
        <v/>
      </c>
      <c r="V367" s="8">
        <f>$AC$12+D367*$AC$13+E367*$AC$14+F367*$AC$15+G367*$AC$16+H367*$AC$17+I367*$AC$18+J367*$AC$19+K367*$AC$20+L367*$AC$21+M367*$AC$22+N367*$AC$23+O367*$AC$24+P367*$AC$25+Q367*$AC$26+R367*$AC$27+S367*$AC$28+T367*$AC$29+U367*$AC$30</f>
        <v/>
      </c>
      <c r="W367" s="8">
        <f>1/(1+EXP(-V367))</f>
        <v/>
      </c>
      <c r="X367" s="9">
        <f>-IF(C367=1,LN(W367),LN(1-W367))</f>
        <v/>
      </c>
      <c r="Y367" s="10">
        <f>IF(W367&gt;$AC$33,1,0)</f>
        <v/>
      </c>
      <c r="Z367">
        <f>IF(Y367=C367,1,0)</f>
        <v/>
      </c>
    </row>
    <row r="368">
      <c r="A368">
        <f>'1 datos preparados'!A361</f>
        <v/>
      </c>
      <c r="B368" s="5">
        <f>'1 datos preparados'!U361</f>
        <v/>
      </c>
      <c r="C368">
        <f>'1 datos preparados'!B361</f>
        <v/>
      </c>
      <c r="D368" s="7">
        <f>'1 datos preparados'!C361</f>
        <v/>
      </c>
      <c r="E368" s="7">
        <f>'1 datos preparados'!D361</f>
        <v/>
      </c>
      <c r="F368" s="7">
        <f>'1 datos preparados'!E361</f>
        <v/>
      </c>
      <c r="G368" s="7">
        <f>'1 datos preparados'!F361</f>
        <v/>
      </c>
      <c r="H368" s="7">
        <f>'1 datos preparados'!G361</f>
        <v/>
      </c>
      <c r="I368" s="7">
        <f>'1 datos preparados'!H361</f>
        <v/>
      </c>
      <c r="J368" s="7">
        <f>'1 datos preparados'!I361</f>
        <v/>
      </c>
      <c r="K368" s="7">
        <f>'1 datos preparados'!J361</f>
        <v/>
      </c>
      <c r="L368" s="7">
        <f>'1 datos preparados'!K361</f>
        <v/>
      </c>
      <c r="M368" s="7">
        <f>'1 datos preparados'!L361</f>
        <v/>
      </c>
      <c r="N368" s="7">
        <f>'1 datos preparados'!M361</f>
        <v/>
      </c>
      <c r="O368" s="7">
        <f>'1 datos preparados'!N361</f>
        <v/>
      </c>
      <c r="P368" s="7">
        <f>'1 datos preparados'!O361</f>
        <v/>
      </c>
      <c r="Q368" s="7">
        <f>'1 datos preparados'!P361</f>
        <v/>
      </c>
      <c r="R368" s="7">
        <f>'1 datos preparados'!Q361</f>
        <v/>
      </c>
      <c r="S368" s="7">
        <f>'1 datos preparados'!R361</f>
        <v/>
      </c>
      <c r="T368" s="7">
        <f>'1 datos preparados'!S361</f>
        <v/>
      </c>
      <c r="U368" s="7">
        <f>'1 datos preparados'!T361</f>
        <v/>
      </c>
      <c r="V368" s="8">
        <f>$AC$12+D368*$AC$13+E368*$AC$14+F368*$AC$15+G368*$AC$16+H368*$AC$17+I368*$AC$18+J368*$AC$19+K368*$AC$20+L368*$AC$21+M368*$AC$22+N368*$AC$23+O368*$AC$24+P368*$AC$25+Q368*$AC$26+R368*$AC$27+S368*$AC$28+T368*$AC$29+U368*$AC$30</f>
        <v/>
      </c>
      <c r="W368" s="8">
        <f>1/(1+EXP(-V368))</f>
        <v/>
      </c>
      <c r="X368" s="9">
        <f>-IF(C368=1,LN(W368),LN(1-W368))</f>
        <v/>
      </c>
      <c r="Y368" s="10">
        <f>IF(W368&gt;$AC$33,1,0)</f>
        <v/>
      </c>
      <c r="Z368">
        <f>IF(Y368=C368,1,0)</f>
        <v/>
      </c>
    </row>
    <row r="369">
      <c r="A369">
        <f>'1 datos preparados'!A362</f>
        <v/>
      </c>
      <c r="B369" s="5">
        <f>'1 datos preparados'!U362</f>
        <v/>
      </c>
      <c r="C369">
        <f>'1 datos preparados'!B362</f>
        <v/>
      </c>
      <c r="D369" s="7">
        <f>'1 datos preparados'!C362</f>
        <v/>
      </c>
      <c r="E369" s="7">
        <f>'1 datos preparados'!D362</f>
        <v/>
      </c>
      <c r="F369" s="7">
        <f>'1 datos preparados'!E362</f>
        <v/>
      </c>
      <c r="G369" s="7">
        <f>'1 datos preparados'!F362</f>
        <v/>
      </c>
      <c r="H369" s="7">
        <f>'1 datos preparados'!G362</f>
        <v/>
      </c>
      <c r="I369" s="7">
        <f>'1 datos preparados'!H362</f>
        <v/>
      </c>
      <c r="J369" s="7">
        <f>'1 datos preparados'!I362</f>
        <v/>
      </c>
      <c r="K369" s="7">
        <f>'1 datos preparados'!J362</f>
        <v/>
      </c>
      <c r="L369" s="7">
        <f>'1 datos preparados'!K362</f>
        <v/>
      </c>
      <c r="M369" s="7">
        <f>'1 datos preparados'!L362</f>
        <v/>
      </c>
      <c r="N369" s="7">
        <f>'1 datos preparados'!M362</f>
        <v/>
      </c>
      <c r="O369" s="7">
        <f>'1 datos preparados'!N362</f>
        <v/>
      </c>
      <c r="P369" s="7">
        <f>'1 datos preparados'!O362</f>
        <v/>
      </c>
      <c r="Q369" s="7">
        <f>'1 datos preparados'!P362</f>
        <v/>
      </c>
      <c r="R369" s="7">
        <f>'1 datos preparados'!Q362</f>
        <v/>
      </c>
      <c r="S369" s="7">
        <f>'1 datos preparados'!R362</f>
        <v/>
      </c>
      <c r="T369" s="7">
        <f>'1 datos preparados'!S362</f>
        <v/>
      </c>
      <c r="U369" s="7">
        <f>'1 datos preparados'!T362</f>
        <v/>
      </c>
      <c r="V369" s="8">
        <f>$AC$12+D369*$AC$13+E369*$AC$14+F369*$AC$15+G369*$AC$16+H369*$AC$17+I369*$AC$18+J369*$AC$19+K369*$AC$20+L369*$AC$21+M369*$AC$22+N369*$AC$23+O369*$AC$24+P369*$AC$25+Q369*$AC$26+R369*$AC$27+S369*$AC$28+T369*$AC$29+U369*$AC$30</f>
        <v/>
      </c>
      <c r="W369" s="8">
        <f>1/(1+EXP(-V369))</f>
        <v/>
      </c>
      <c r="X369" s="9">
        <f>-IF(C369=1,LN(W369),LN(1-W369))</f>
        <v/>
      </c>
      <c r="Y369" s="10">
        <f>IF(W369&gt;$AC$33,1,0)</f>
        <v/>
      </c>
      <c r="Z369">
        <f>IF(Y369=C369,1,0)</f>
        <v/>
      </c>
    </row>
    <row r="370">
      <c r="A370">
        <f>'1 datos preparados'!A363</f>
        <v/>
      </c>
      <c r="B370" s="5">
        <f>'1 datos preparados'!U363</f>
        <v/>
      </c>
      <c r="C370">
        <f>'1 datos preparados'!B363</f>
        <v/>
      </c>
      <c r="D370" s="7">
        <f>'1 datos preparados'!C363</f>
        <v/>
      </c>
      <c r="E370" s="7">
        <f>'1 datos preparados'!D363</f>
        <v/>
      </c>
      <c r="F370" s="7">
        <f>'1 datos preparados'!E363</f>
        <v/>
      </c>
      <c r="G370" s="7">
        <f>'1 datos preparados'!F363</f>
        <v/>
      </c>
      <c r="H370" s="7">
        <f>'1 datos preparados'!G363</f>
        <v/>
      </c>
      <c r="I370" s="7">
        <f>'1 datos preparados'!H363</f>
        <v/>
      </c>
      <c r="J370" s="7">
        <f>'1 datos preparados'!I363</f>
        <v/>
      </c>
      <c r="K370" s="7">
        <f>'1 datos preparados'!J363</f>
        <v/>
      </c>
      <c r="L370" s="7">
        <f>'1 datos preparados'!K363</f>
        <v/>
      </c>
      <c r="M370" s="7">
        <f>'1 datos preparados'!L363</f>
        <v/>
      </c>
      <c r="N370" s="7">
        <f>'1 datos preparados'!M363</f>
        <v/>
      </c>
      <c r="O370" s="7">
        <f>'1 datos preparados'!N363</f>
        <v/>
      </c>
      <c r="P370" s="7">
        <f>'1 datos preparados'!O363</f>
        <v/>
      </c>
      <c r="Q370" s="7">
        <f>'1 datos preparados'!P363</f>
        <v/>
      </c>
      <c r="R370" s="7">
        <f>'1 datos preparados'!Q363</f>
        <v/>
      </c>
      <c r="S370" s="7">
        <f>'1 datos preparados'!R363</f>
        <v/>
      </c>
      <c r="T370" s="7">
        <f>'1 datos preparados'!S363</f>
        <v/>
      </c>
      <c r="U370" s="7">
        <f>'1 datos preparados'!T363</f>
        <v/>
      </c>
      <c r="V370" s="8">
        <f>$AC$12+D370*$AC$13+E370*$AC$14+F370*$AC$15+G370*$AC$16+H370*$AC$17+I370*$AC$18+J370*$AC$19+K370*$AC$20+L370*$AC$21+M370*$AC$22+N370*$AC$23+O370*$AC$24+P370*$AC$25+Q370*$AC$26+R370*$AC$27+S370*$AC$28+T370*$AC$29+U370*$AC$30</f>
        <v/>
      </c>
      <c r="W370" s="8">
        <f>1/(1+EXP(-V370))</f>
        <v/>
      </c>
      <c r="X370" s="9">
        <f>-IF(C370=1,LN(W370),LN(1-W370))</f>
        <v/>
      </c>
      <c r="Y370" s="10">
        <f>IF(W370&gt;$AC$33,1,0)</f>
        <v/>
      </c>
      <c r="Z370">
        <f>IF(Y370=C370,1,0)</f>
        <v/>
      </c>
    </row>
    <row r="371">
      <c r="A371">
        <f>'1 datos preparados'!A364</f>
        <v/>
      </c>
      <c r="B371" s="5">
        <f>'1 datos preparados'!U364</f>
        <v/>
      </c>
      <c r="C371">
        <f>'1 datos preparados'!B364</f>
        <v/>
      </c>
      <c r="D371" s="7">
        <f>'1 datos preparados'!C364</f>
        <v/>
      </c>
      <c r="E371" s="7">
        <f>'1 datos preparados'!D364</f>
        <v/>
      </c>
      <c r="F371" s="7">
        <f>'1 datos preparados'!E364</f>
        <v/>
      </c>
      <c r="G371" s="7">
        <f>'1 datos preparados'!F364</f>
        <v/>
      </c>
      <c r="H371" s="7">
        <f>'1 datos preparados'!G364</f>
        <v/>
      </c>
      <c r="I371" s="7">
        <f>'1 datos preparados'!H364</f>
        <v/>
      </c>
      <c r="J371" s="7">
        <f>'1 datos preparados'!I364</f>
        <v/>
      </c>
      <c r="K371" s="7">
        <f>'1 datos preparados'!J364</f>
        <v/>
      </c>
      <c r="L371" s="7">
        <f>'1 datos preparados'!K364</f>
        <v/>
      </c>
      <c r="M371" s="7">
        <f>'1 datos preparados'!L364</f>
        <v/>
      </c>
      <c r="N371" s="7">
        <f>'1 datos preparados'!M364</f>
        <v/>
      </c>
      <c r="O371" s="7">
        <f>'1 datos preparados'!N364</f>
        <v/>
      </c>
      <c r="P371" s="7">
        <f>'1 datos preparados'!O364</f>
        <v/>
      </c>
      <c r="Q371" s="7">
        <f>'1 datos preparados'!P364</f>
        <v/>
      </c>
      <c r="R371" s="7">
        <f>'1 datos preparados'!Q364</f>
        <v/>
      </c>
      <c r="S371" s="7">
        <f>'1 datos preparados'!R364</f>
        <v/>
      </c>
      <c r="T371" s="7">
        <f>'1 datos preparados'!S364</f>
        <v/>
      </c>
      <c r="U371" s="7">
        <f>'1 datos preparados'!T364</f>
        <v/>
      </c>
      <c r="V371" s="8">
        <f>$AC$12+D371*$AC$13+E371*$AC$14+F371*$AC$15+G371*$AC$16+H371*$AC$17+I371*$AC$18+J371*$AC$19+K371*$AC$20+L371*$AC$21+M371*$AC$22+N371*$AC$23+O371*$AC$24+P371*$AC$25+Q371*$AC$26+R371*$AC$27+S371*$AC$28+T371*$AC$29+U371*$AC$30</f>
        <v/>
      </c>
      <c r="W371" s="8">
        <f>1/(1+EXP(-V371))</f>
        <v/>
      </c>
      <c r="X371" s="9">
        <f>-IF(C371=1,LN(W371),LN(1-W371))</f>
        <v/>
      </c>
      <c r="Y371" s="10">
        <f>IF(W371&gt;$AC$33,1,0)</f>
        <v/>
      </c>
      <c r="Z371">
        <f>IF(Y371=C371,1,0)</f>
        <v/>
      </c>
    </row>
    <row r="372">
      <c r="A372">
        <f>'1 datos preparados'!A365</f>
        <v/>
      </c>
      <c r="B372" s="5">
        <f>'1 datos preparados'!U365</f>
        <v/>
      </c>
      <c r="C372">
        <f>'1 datos preparados'!B365</f>
        <v/>
      </c>
      <c r="D372" s="7">
        <f>'1 datos preparados'!C365</f>
        <v/>
      </c>
      <c r="E372" s="7">
        <f>'1 datos preparados'!D365</f>
        <v/>
      </c>
      <c r="F372" s="7">
        <f>'1 datos preparados'!E365</f>
        <v/>
      </c>
      <c r="G372" s="7">
        <f>'1 datos preparados'!F365</f>
        <v/>
      </c>
      <c r="H372" s="7">
        <f>'1 datos preparados'!G365</f>
        <v/>
      </c>
      <c r="I372" s="7">
        <f>'1 datos preparados'!H365</f>
        <v/>
      </c>
      <c r="J372" s="7">
        <f>'1 datos preparados'!I365</f>
        <v/>
      </c>
      <c r="K372" s="7">
        <f>'1 datos preparados'!J365</f>
        <v/>
      </c>
      <c r="L372" s="7">
        <f>'1 datos preparados'!K365</f>
        <v/>
      </c>
      <c r="M372" s="7">
        <f>'1 datos preparados'!L365</f>
        <v/>
      </c>
      <c r="N372" s="7">
        <f>'1 datos preparados'!M365</f>
        <v/>
      </c>
      <c r="O372" s="7">
        <f>'1 datos preparados'!N365</f>
        <v/>
      </c>
      <c r="P372" s="7">
        <f>'1 datos preparados'!O365</f>
        <v/>
      </c>
      <c r="Q372" s="7">
        <f>'1 datos preparados'!P365</f>
        <v/>
      </c>
      <c r="R372" s="7">
        <f>'1 datos preparados'!Q365</f>
        <v/>
      </c>
      <c r="S372" s="7">
        <f>'1 datos preparados'!R365</f>
        <v/>
      </c>
      <c r="T372" s="7">
        <f>'1 datos preparados'!S365</f>
        <v/>
      </c>
      <c r="U372" s="7">
        <f>'1 datos preparados'!T365</f>
        <v/>
      </c>
      <c r="V372" s="8">
        <f>$AC$12+D372*$AC$13+E372*$AC$14+F372*$AC$15+G372*$AC$16+H372*$AC$17+I372*$AC$18+J372*$AC$19+K372*$AC$20+L372*$AC$21+M372*$AC$22+N372*$AC$23+O372*$AC$24+P372*$AC$25+Q372*$AC$26+R372*$AC$27+S372*$AC$28+T372*$AC$29+U372*$AC$30</f>
        <v/>
      </c>
      <c r="W372" s="8">
        <f>1/(1+EXP(-V372))</f>
        <v/>
      </c>
      <c r="X372" s="9">
        <f>-IF(C372=1,LN(W372),LN(1-W372))</f>
        <v/>
      </c>
      <c r="Y372" s="10">
        <f>IF(W372&gt;$AC$33,1,0)</f>
        <v/>
      </c>
      <c r="Z372">
        <f>IF(Y372=C372,1,0)</f>
        <v/>
      </c>
    </row>
    <row r="373">
      <c r="A373">
        <f>'1 datos preparados'!A366</f>
        <v/>
      </c>
      <c r="B373" s="5">
        <f>'1 datos preparados'!U366</f>
        <v/>
      </c>
      <c r="C373">
        <f>'1 datos preparados'!B366</f>
        <v/>
      </c>
      <c r="D373" s="7">
        <f>'1 datos preparados'!C366</f>
        <v/>
      </c>
      <c r="E373" s="7">
        <f>'1 datos preparados'!D366</f>
        <v/>
      </c>
      <c r="F373" s="7">
        <f>'1 datos preparados'!E366</f>
        <v/>
      </c>
      <c r="G373" s="7">
        <f>'1 datos preparados'!F366</f>
        <v/>
      </c>
      <c r="H373" s="7">
        <f>'1 datos preparados'!G366</f>
        <v/>
      </c>
      <c r="I373" s="7">
        <f>'1 datos preparados'!H366</f>
        <v/>
      </c>
      <c r="J373" s="7">
        <f>'1 datos preparados'!I366</f>
        <v/>
      </c>
      <c r="K373" s="7">
        <f>'1 datos preparados'!J366</f>
        <v/>
      </c>
      <c r="L373" s="7">
        <f>'1 datos preparados'!K366</f>
        <v/>
      </c>
      <c r="M373" s="7">
        <f>'1 datos preparados'!L366</f>
        <v/>
      </c>
      <c r="N373" s="7">
        <f>'1 datos preparados'!M366</f>
        <v/>
      </c>
      <c r="O373" s="7">
        <f>'1 datos preparados'!N366</f>
        <v/>
      </c>
      <c r="P373" s="7">
        <f>'1 datos preparados'!O366</f>
        <v/>
      </c>
      <c r="Q373" s="7">
        <f>'1 datos preparados'!P366</f>
        <v/>
      </c>
      <c r="R373" s="7">
        <f>'1 datos preparados'!Q366</f>
        <v/>
      </c>
      <c r="S373" s="7">
        <f>'1 datos preparados'!R366</f>
        <v/>
      </c>
      <c r="T373" s="7">
        <f>'1 datos preparados'!S366</f>
        <v/>
      </c>
      <c r="U373" s="7">
        <f>'1 datos preparados'!T366</f>
        <v/>
      </c>
      <c r="V373" s="8">
        <f>$AC$12+D373*$AC$13+E373*$AC$14+F373*$AC$15+G373*$AC$16+H373*$AC$17+I373*$AC$18+J373*$AC$19+K373*$AC$20+L373*$AC$21+M373*$AC$22+N373*$AC$23+O373*$AC$24+P373*$AC$25+Q373*$AC$26+R373*$AC$27+S373*$AC$28+T373*$AC$29+U373*$AC$30</f>
        <v/>
      </c>
      <c r="W373" s="8">
        <f>1/(1+EXP(-V373))</f>
        <v/>
      </c>
      <c r="X373" s="9">
        <f>-IF(C373=1,LN(W373),LN(1-W373))</f>
        <v/>
      </c>
      <c r="Y373" s="10">
        <f>IF(W373&gt;$AC$33,1,0)</f>
        <v/>
      </c>
      <c r="Z373">
        <f>IF(Y373=C373,1,0)</f>
        <v/>
      </c>
    </row>
    <row r="374">
      <c r="A374">
        <f>'1 datos preparados'!A367</f>
        <v/>
      </c>
      <c r="B374" s="5">
        <f>'1 datos preparados'!U367</f>
        <v/>
      </c>
      <c r="C374">
        <f>'1 datos preparados'!B367</f>
        <v/>
      </c>
      <c r="D374" s="7">
        <f>'1 datos preparados'!C367</f>
        <v/>
      </c>
      <c r="E374" s="7">
        <f>'1 datos preparados'!D367</f>
        <v/>
      </c>
      <c r="F374" s="7">
        <f>'1 datos preparados'!E367</f>
        <v/>
      </c>
      <c r="G374" s="7">
        <f>'1 datos preparados'!F367</f>
        <v/>
      </c>
      <c r="H374" s="7">
        <f>'1 datos preparados'!G367</f>
        <v/>
      </c>
      <c r="I374" s="7">
        <f>'1 datos preparados'!H367</f>
        <v/>
      </c>
      <c r="J374" s="7">
        <f>'1 datos preparados'!I367</f>
        <v/>
      </c>
      <c r="K374" s="7">
        <f>'1 datos preparados'!J367</f>
        <v/>
      </c>
      <c r="L374" s="7">
        <f>'1 datos preparados'!K367</f>
        <v/>
      </c>
      <c r="M374" s="7">
        <f>'1 datos preparados'!L367</f>
        <v/>
      </c>
      <c r="N374" s="7">
        <f>'1 datos preparados'!M367</f>
        <v/>
      </c>
      <c r="O374" s="7">
        <f>'1 datos preparados'!N367</f>
        <v/>
      </c>
      <c r="P374" s="7">
        <f>'1 datos preparados'!O367</f>
        <v/>
      </c>
      <c r="Q374" s="7">
        <f>'1 datos preparados'!P367</f>
        <v/>
      </c>
      <c r="R374" s="7">
        <f>'1 datos preparados'!Q367</f>
        <v/>
      </c>
      <c r="S374" s="7">
        <f>'1 datos preparados'!R367</f>
        <v/>
      </c>
      <c r="T374" s="7">
        <f>'1 datos preparados'!S367</f>
        <v/>
      </c>
      <c r="U374" s="7">
        <f>'1 datos preparados'!T367</f>
        <v/>
      </c>
      <c r="V374" s="8">
        <f>$AC$12+D374*$AC$13+E374*$AC$14+F374*$AC$15+G374*$AC$16+H374*$AC$17+I374*$AC$18+J374*$AC$19+K374*$AC$20+L374*$AC$21+M374*$AC$22+N374*$AC$23+O374*$AC$24+P374*$AC$25+Q374*$AC$26+R374*$AC$27+S374*$AC$28+T374*$AC$29+U374*$AC$30</f>
        <v/>
      </c>
      <c r="W374" s="8">
        <f>1/(1+EXP(-V374))</f>
        <v/>
      </c>
      <c r="X374" s="9">
        <f>-IF(C374=1,LN(W374),LN(1-W374))</f>
        <v/>
      </c>
      <c r="Y374" s="10">
        <f>IF(W374&gt;$AC$33,1,0)</f>
        <v/>
      </c>
      <c r="Z374">
        <f>IF(Y374=C374,1,0)</f>
        <v/>
      </c>
    </row>
    <row r="375">
      <c r="A375">
        <f>'1 datos preparados'!A368</f>
        <v/>
      </c>
      <c r="B375" s="5">
        <f>'1 datos preparados'!U368</f>
        <v/>
      </c>
      <c r="C375">
        <f>'1 datos preparados'!B368</f>
        <v/>
      </c>
      <c r="D375" s="7">
        <f>'1 datos preparados'!C368</f>
        <v/>
      </c>
      <c r="E375" s="7">
        <f>'1 datos preparados'!D368</f>
        <v/>
      </c>
      <c r="F375" s="7">
        <f>'1 datos preparados'!E368</f>
        <v/>
      </c>
      <c r="G375" s="7">
        <f>'1 datos preparados'!F368</f>
        <v/>
      </c>
      <c r="H375" s="7">
        <f>'1 datos preparados'!G368</f>
        <v/>
      </c>
      <c r="I375" s="7">
        <f>'1 datos preparados'!H368</f>
        <v/>
      </c>
      <c r="J375" s="7">
        <f>'1 datos preparados'!I368</f>
        <v/>
      </c>
      <c r="K375" s="7">
        <f>'1 datos preparados'!J368</f>
        <v/>
      </c>
      <c r="L375" s="7">
        <f>'1 datos preparados'!K368</f>
        <v/>
      </c>
      <c r="M375" s="7">
        <f>'1 datos preparados'!L368</f>
        <v/>
      </c>
      <c r="N375" s="7">
        <f>'1 datos preparados'!M368</f>
        <v/>
      </c>
      <c r="O375" s="7">
        <f>'1 datos preparados'!N368</f>
        <v/>
      </c>
      <c r="P375" s="7">
        <f>'1 datos preparados'!O368</f>
        <v/>
      </c>
      <c r="Q375" s="7">
        <f>'1 datos preparados'!P368</f>
        <v/>
      </c>
      <c r="R375" s="7">
        <f>'1 datos preparados'!Q368</f>
        <v/>
      </c>
      <c r="S375" s="7">
        <f>'1 datos preparados'!R368</f>
        <v/>
      </c>
      <c r="T375" s="7">
        <f>'1 datos preparados'!S368</f>
        <v/>
      </c>
      <c r="U375" s="7">
        <f>'1 datos preparados'!T368</f>
        <v/>
      </c>
      <c r="V375" s="8">
        <f>$AC$12+D375*$AC$13+E375*$AC$14+F375*$AC$15+G375*$AC$16+H375*$AC$17+I375*$AC$18+J375*$AC$19+K375*$AC$20+L375*$AC$21+M375*$AC$22+N375*$AC$23+O375*$AC$24+P375*$AC$25+Q375*$AC$26+R375*$AC$27+S375*$AC$28+T375*$AC$29+U375*$AC$30</f>
        <v/>
      </c>
      <c r="W375" s="8">
        <f>1/(1+EXP(-V375))</f>
        <v/>
      </c>
      <c r="X375" s="9">
        <f>-IF(C375=1,LN(W375),LN(1-W375))</f>
        <v/>
      </c>
      <c r="Y375" s="10">
        <f>IF(W375&gt;$AC$33,1,0)</f>
        <v/>
      </c>
      <c r="Z375">
        <f>IF(Y375=C375,1,0)</f>
        <v/>
      </c>
    </row>
    <row r="376">
      <c r="A376">
        <f>'1 datos preparados'!A369</f>
        <v/>
      </c>
      <c r="B376" s="5">
        <f>'1 datos preparados'!U369</f>
        <v/>
      </c>
      <c r="C376">
        <f>'1 datos preparados'!B369</f>
        <v/>
      </c>
      <c r="D376" s="7">
        <f>'1 datos preparados'!C369</f>
        <v/>
      </c>
      <c r="E376" s="7">
        <f>'1 datos preparados'!D369</f>
        <v/>
      </c>
      <c r="F376" s="7">
        <f>'1 datos preparados'!E369</f>
        <v/>
      </c>
      <c r="G376" s="7">
        <f>'1 datos preparados'!F369</f>
        <v/>
      </c>
      <c r="H376" s="7">
        <f>'1 datos preparados'!G369</f>
        <v/>
      </c>
      <c r="I376" s="7">
        <f>'1 datos preparados'!H369</f>
        <v/>
      </c>
      <c r="J376" s="7">
        <f>'1 datos preparados'!I369</f>
        <v/>
      </c>
      <c r="K376" s="7">
        <f>'1 datos preparados'!J369</f>
        <v/>
      </c>
      <c r="L376" s="7">
        <f>'1 datos preparados'!K369</f>
        <v/>
      </c>
      <c r="M376" s="7">
        <f>'1 datos preparados'!L369</f>
        <v/>
      </c>
      <c r="N376" s="7">
        <f>'1 datos preparados'!M369</f>
        <v/>
      </c>
      <c r="O376" s="7">
        <f>'1 datos preparados'!N369</f>
        <v/>
      </c>
      <c r="P376" s="7">
        <f>'1 datos preparados'!O369</f>
        <v/>
      </c>
      <c r="Q376" s="7">
        <f>'1 datos preparados'!P369</f>
        <v/>
      </c>
      <c r="R376" s="7">
        <f>'1 datos preparados'!Q369</f>
        <v/>
      </c>
      <c r="S376" s="7">
        <f>'1 datos preparados'!R369</f>
        <v/>
      </c>
      <c r="T376" s="7">
        <f>'1 datos preparados'!S369</f>
        <v/>
      </c>
      <c r="U376" s="7">
        <f>'1 datos preparados'!T369</f>
        <v/>
      </c>
      <c r="V376" s="8">
        <f>$AC$12+D376*$AC$13+E376*$AC$14+F376*$AC$15+G376*$AC$16+H376*$AC$17+I376*$AC$18+J376*$AC$19+K376*$AC$20+L376*$AC$21+M376*$AC$22+N376*$AC$23+O376*$AC$24+P376*$AC$25+Q376*$AC$26+R376*$AC$27+S376*$AC$28+T376*$AC$29+U376*$AC$30</f>
        <v/>
      </c>
      <c r="W376" s="8">
        <f>1/(1+EXP(-V376))</f>
        <v/>
      </c>
      <c r="X376" s="9">
        <f>-IF(C376=1,LN(W376),LN(1-W376))</f>
        <v/>
      </c>
      <c r="Y376" s="10">
        <f>IF(W376&gt;$AC$33,1,0)</f>
        <v/>
      </c>
      <c r="Z376">
        <f>IF(Y376=C376,1,0)</f>
        <v/>
      </c>
    </row>
    <row r="377">
      <c r="A377">
        <f>'1 datos preparados'!A370</f>
        <v/>
      </c>
      <c r="B377" s="5">
        <f>'1 datos preparados'!U370</f>
        <v/>
      </c>
      <c r="C377">
        <f>'1 datos preparados'!B370</f>
        <v/>
      </c>
      <c r="D377" s="7">
        <f>'1 datos preparados'!C370</f>
        <v/>
      </c>
      <c r="E377" s="7">
        <f>'1 datos preparados'!D370</f>
        <v/>
      </c>
      <c r="F377" s="7">
        <f>'1 datos preparados'!E370</f>
        <v/>
      </c>
      <c r="G377" s="7">
        <f>'1 datos preparados'!F370</f>
        <v/>
      </c>
      <c r="H377" s="7">
        <f>'1 datos preparados'!G370</f>
        <v/>
      </c>
      <c r="I377" s="7">
        <f>'1 datos preparados'!H370</f>
        <v/>
      </c>
      <c r="J377" s="7">
        <f>'1 datos preparados'!I370</f>
        <v/>
      </c>
      <c r="K377" s="7">
        <f>'1 datos preparados'!J370</f>
        <v/>
      </c>
      <c r="L377" s="7">
        <f>'1 datos preparados'!K370</f>
        <v/>
      </c>
      <c r="M377" s="7">
        <f>'1 datos preparados'!L370</f>
        <v/>
      </c>
      <c r="N377" s="7">
        <f>'1 datos preparados'!M370</f>
        <v/>
      </c>
      <c r="O377" s="7">
        <f>'1 datos preparados'!N370</f>
        <v/>
      </c>
      <c r="P377" s="7">
        <f>'1 datos preparados'!O370</f>
        <v/>
      </c>
      <c r="Q377" s="7">
        <f>'1 datos preparados'!P370</f>
        <v/>
      </c>
      <c r="R377" s="7">
        <f>'1 datos preparados'!Q370</f>
        <v/>
      </c>
      <c r="S377" s="7">
        <f>'1 datos preparados'!R370</f>
        <v/>
      </c>
      <c r="T377" s="7">
        <f>'1 datos preparados'!S370</f>
        <v/>
      </c>
      <c r="U377" s="7">
        <f>'1 datos preparados'!T370</f>
        <v/>
      </c>
      <c r="V377" s="8">
        <f>$AC$12+D377*$AC$13+E377*$AC$14+F377*$AC$15+G377*$AC$16+H377*$AC$17+I377*$AC$18+J377*$AC$19+K377*$AC$20+L377*$AC$21+M377*$AC$22+N377*$AC$23+O377*$AC$24+P377*$AC$25+Q377*$AC$26+R377*$AC$27+S377*$AC$28+T377*$AC$29+U377*$AC$30</f>
        <v/>
      </c>
      <c r="W377" s="8">
        <f>1/(1+EXP(-V377))</f>
        <v/>
      </c>
      <c r="X377" s="9">
        <f>-IF(C377=1,LN(W377),LN(1-W377))</f>
        <v/>
      </c>
      <c r="Y377" s="10">
        <f>IF(W377&gt;$AC$33,1,0)</f>
        <v/>
      </c>
      <c r="Z377">
        <f>IF(Y377=C377,1,0)</f>
        <v/>
      </c>
    </row>
    <row r="378">
      <c r="A378">
        <f>'1 datos preparados'!A371</f>
        <v/>
      </c>
      <c r="B378" s="5">
        <f>'1 datos preparados'!U371</f>
        <v/>
      </c>
      <c r="C378">
        <f>'1 datos preparados'!B371</f>
        <v/>
      </c>
      <c r="D378" s="7">
        <f>'1 datos preparados'!C371</f>
        <v/>
      </c>
      <c r="E378" s="7">
        <f>'1 datos preparados'!D371</f>
        <v/>
      </c>
      <c r="F378" s="7">
        <f>'1 datos preparados'!E371</f>
        <v/>
      </c>
      <c r="G378" s="7">
        <f>'1 datos preparados'!F371</f>
        <v/>
      </c>
      <c r="H378" s="7">
        <f>'1 datos preparados'!G371</f>
        <v/>
      </c>
      <c r="I378" s="7">
        <f>'1 datos preparados'!H371</f>
        <v/>
      </c>
      <c r="J378" s="7">
        <f>'1 datos preparados'!I371</f>
        <v/>
      </c>
      <c r="K378" s="7">
        <f>'1 datos preparados'!J371</f>
        <v/>
      </c>
      <c r="L378" s="7">
        <f>'1 datos preparados'!K371</f>
        <v/>
      </c>
      <c r="M378" s="7">
        <f>'1 datos preparados'!L371</f>
        <v/>
      </c>
      <c r="N378" s="7">
        <f>'1 datos preparados'!M371</f>
        <v/>
      </c>
      <c r="O378" s="7">
        <f>'1 datos preparados'!N371</f>
        <v/>
      </c>
      <c r="P378" s="7">
        <f>'1 datos preparados'!O371</f>
        <v/>
      </c>
      <c r="Q378" s="7">
        <f>'1 datos preparados'!P371</f>
        <v/>
      </c>
      <c r="R378" s="7">
        <f>'1 datos preparados'!Q371</f>
        <v/>
      </c>
      <c r="S378" s="7">
        <f>'1 datos preparados'!R371</f>
        <v/>
      </c>
      <c r="T378" s="7">
        <f>'1 datos preparados'!S371</f>
        <v/>
      </c>
      <c r="U378" s="7">
        <f>'1 datos preparados'!T371</f>
        <v/>
      </c>
      <c r="V378" s="8">
        <f>$AC$12+D378*$AC$13+E378*$AC$14+F378*$AC$15+G378*$AC$16+H378*$AC$17+I378*$AC$18+J378*$AC$19+K378*$AC$20+L378*$AC$21+M378*$AC$22+N378*$AC$23+O378*$AC$24+P378*$AC$25+Q378*$AC$26+R378*$AC$27+S378*$AC$28+T378*$AC$29+U378*$AC$30</f>
        <v/>
      </c>
      <c r="W378" s="8">
        <f>1/(1+EXP(-V378))</f>
        <v/>
      </c>
      <c r="X378" s="9">
        <f>-IF(C378=1,LN(W378),LN(1-W378))</f>
        <v/>
      </c>
      <c r="Y378" s="10">
        <f>IF(W378&gt;$AC$33,1,0)</f>
        <v/>
      </c>
      <c r="Z378">
        <f>IF(Y378=C378,1,0)</f>
        <v/>
      </c>
    </row>
    <row r="379">
      <c r="A379">
        <f>'1 datos preparados'!A372</f>
        <v/>
      </c>
      <c r="B379" s="5">
        <f>'1 datos preparados'!U372</f>
        <v/>
      </c>
      <c r="C379">
        <f>'1 datos preparados'!B372</f>
        <v/>
      </c>
      <c r="D379" s="7">
        <f>'1 datos preparados'!C372</f>
        <v/>
      </c>
      <c r="E379" s="7">
        <f>'1 datos preparados'!D372</f>
        <v/>
      </c>
      <c r="F379" s="7">
        <f>'1 datos preparados'!E372</f>
        <v/>
      </c>
      <c r="G379" s="7">
        <f>'1 datos preparados'!F372</f>
        <v/>
      </c>
      <c r="H379" s="7">
        <f>'1 datos preparados'!G372</f>
        <v/>
      </c>
      <c r="I379" s="7">
        <f>'1 datos preparados'!H372</f>
        <v/>
      </c>
      <c r="J379" s="7">
        <f>'1 datos preparados'!I372</f>
        <v/>
      </c>
      <c r="K379" s="7">
        <f>'1 datos preparados'!J372</f>
        <v/>
      </c>
      <c r="L379" s="7">
        <f>'1 datos preparados'!K372</f>
        <v/>
      </c>
      <c r="M379" s="7">
        <f>'1 datos preparados'!L372</f>
        <v/>
      </c>
      <c r="N379" s="7">
        <f>'1 datos preparados'!M372</f>
        <v/>
      </c>
      <c r="O379" s="7">
        <f>'1 datos preparados'!N372</f>
        <v/>
      </c>
      <c r="P379" s="7">
        <f>'1 datos preparados'!O372</f>
        <v/>
      </c>
      <c r="Q379" s="7">
        <f>'1 datos preparados'!P372</f>
        <v/>
      </c>
      <c r="R379" s="7">
        <f>'1 datos preparados'!Q372</f>
        <v/>
      </c>
      <c r="S379" s="7">
        <f>'1 datos preparados'!R372</f>
        <v/>
      </c>
      <c r="T379" s="7">
        <f>'1 datos preparados'!S372</f>
        <v/>
      </c>
      <c r="U379" s="7">
        <f>'1 datos preparados'!T372</f>
        <v/>
      </c>
      <c r="V379" s="8">
        <f>$AC$12+D379*$AC$13+E379*$AC$14+F379*$AC$15+G379*$AC$16+H379*$AC$17+I379*$AC$18+J379*$AC$19+K379*$AC$20+L379*$AC$21+M379*$AC$22+N379*$AC$23+O379*$AC$24+P379*$AC$25+Q379*$AC$26+R379*$AC$27+S379*$AC$28+T379*$AC$29+U379*$AC$30</f>
        <v/>
      </c>
      <c r="W379" s="8">
        <f>1/(1+EXP(-V379))</f>
        <v/>
      </c>
      <c r="X379" s="9">
        <f>-IF(C379=1,LN(W379),LN(1-W379))</f>
        <v/>
      </c>
      <c r="Y379" s="10">
        <f>IF(W379&gt;$AC$33,1,0)</f>
        <v/>
      </c>
      <c r="Z379">
        <f>IF(Y379=C379,1,0)</f>
        <v/>
      </c>
    </row>
    <row r="380">
      <c r="A380">
        <f>'1 datos preparados'!A373</f>
        <v/>
      </c>
      <c r="B380" s="5">
        <f>'1 datos preparados'!U373</f>
        <v/>
      </c>
      <c r="C380">
        <f>'1 datos preparados'!B373</f>
        <v/>
      </c>
      <c r="D380" s="7">
        <f>'1 datos preparados'!C373</f>
        <v/>
      </c>
      <c r="E380" s="7">
        <f>'1 datos preparados'!D373</f>
        <v/>
      </c>
      <c r="F380" s="7">
        <f>'1 datos preparados'!E373</f>
        <v/>
      </c>
      <c r="G380" s="7">
        <f>'1 datos preparados'!F373</f>
        <v/>
      </c>
      <c r="H380" s="7">
        <f>'1 datos preparados'!G373</f>
        <v/>
      </c>
      <c r="I380" s="7">
        <f>'1 datos preparados'!H373</f>
        <v/>
      </c>
      <c r="J380" s="7">
        <f>'1 datos preparados'!I373</f>
        <v/>
      </c>
      <c r="K380" s="7">
        <f>'1 datos preparados'!J373</f>
        <v/>
      </c>
      <c r="L380" s="7">
        <f>'1 datos preparados'!K373</f>
        <v/>
      </c>
      <c r="M380" s="7">
        <f>'1 datos preparados'!L373</f>
        <v/>
      </c>
      <c r="N380" s="7">
        <f>'1 datos preparados'!M373</f>
        <v/>
      </c>
      <c r="O380" s="7">
        <f>'1 datos preparados'!N373</f>
        <v/>
      </c>
      <c r="P380" s="7">
        <f>'1 datos preparados'!O373</f>
        <v/>
      </c>
      <c r="Q380" s="7">
        <f>'1 datos preparados'!P373</f>
        <v/>
      </c>
      <c r="R380" s="7">
        <f>'1 datos preparados'!Q373</f>
        <v/>
      </c>
      <c r="S380" s="7">
        <f>'1 datos preparados'!R373</f>
        <v/>
      </c>
      <c r="T380" s="7">
        <f>'1 datos preparados'!S373</f>
        <v/>
      </c>
      <c r="U380" s="7">
        <f>'1 datos preparados'!T373</f>
        <v/>
      </c>
      <c r="V380" s="8">
        <f>$AC$12+D380*$AC$13+E380*$AC$14+F380*$AC$15+G380*$AC$16+H380*$AC$17+I380*$AC$18+J380*$AC$19+K380*$AC$20+L380*$AC$21+M380*$AC$22+N380*$AC$23+O380*$AC$24+P380*$AC$25+Q380*$AC$26+R380*$AC$27+S380*$AC$28+T380*$AC$29+U380*$AC$30</f>
        <v/>
      </c>
      <c r="W380" s="8">
        <f>1/(1+EXP(-V380))</f>
        <v/>
      </c>
      <c r="X380" s="9">
        <f>-IF(C380=1,LN(W380),LN(1-W380))</f>
        <v/>
      </c>
      <c r="Y380" s="10">
        <f>IF(W380&gt;$AC$33,1,0)</f>
        <v/>
      </c>
      <c r="Z380">
        <f>IF(Y380=C380,1,0)</f>
        <v/>
      </c>
    </row>
    <row r="381">
      <c r="A381">
        <f>'1 datos preparados'!A374</f>
        <v/>
      </c>
      <c r="B381" s="5">
        <f>'1 datos preparados'!U374</f>
        <v/>
      </c>
      <c r="C381">
        <f>'1 datos preparados'!B374</f>
        <v/>
      </c>
      <c r="D381" s="7">
        <f>'1 datos preparados'!C374</f>
        <v/>
      </c>
      <c r="E381" s="7">
        <f>'1 datos preparados'!D374</f>
        <v/>
      </c>
      <c r="F381" s="7">
        <f>'1 datos preparados'!E374</f>
        <v/>
      </c>
      <c r="G381" s="7">
        <f>'1 datos preparados'!F374</f>
        <v/>
      </c>
      <c r="H381" s="7">
        <f>'1 datos preparados'!G374</f>
        <v/>
      </c>
      <c r="I381" s="7">
        <f>'1 datos preparados'!H374</f>
        <v/>
      </c>
      <c r="J381" s="7">
        <f>'1 datos preparados'!I374</f>
        <v/>
      </c>
      <c r="K381" s="7">
        <f>'1 datos preparados'!J374</f>
        <v/>
      </c>
      <c r="L381" s="7">
        <f>'1 datos preparados'!K374</f>
        <v/>
      </c>
      <c r="M381" s="7">
        <f>'1 datos preparados'!L374</f>
        <v/>
      </c>
      <c r="N381" s="7">
        <f>'1 datos preparados'!M374</f>
        <v/>
      </c>
      <c r="O381" s="7">
        <f>'1 datos preparados'!N374</f>
        <v/>
      </c>
      <c r="P381" s="7">
        <f>'1 datos preparados'!O374</f>
        <v/>
      </c>
      <c r="Q381" s="7">
        <f>'1 datos preparados'!P374</f>
        <v/>
      </c>
      <c r="R381" s="7">
        <f>'1 datos preparados'!Q374</f>
        <v/>
      </c>
      <c r="S381" s="7">
        <f>'1 datos preparados'!R374</f>
        <v/>
      </c>
      <c r="T381" s="7">
        <f>'1 datos preparados'!S374</f>
        <v/>
      </c>
      <c r="U381" s="7">
        <f>'1 datos preparados'!T374</f>
        <v/>
      </c>
      <c r="V381" s="8">
        <f>$AC$12+D381*$AC$13+E381*$AC$14+F381*$AC$15+G381*$AC$16+H381*$AC$17+I381*$AC$18+J381*$AC$19+K381*$AC$20+L381*$AC$21+M381*$AC$22+N381*$AC$23+O381*$AC$24+P381*$AC$25+Q381*$AC$26+R381*$AC$27+S381*$AC$28+T381*$AC$29+U381*$AC$30</f>
        <v/>
      </c>
      <c r="W381" s="8">
        <f>1/(1+EXP(-V381))</f>
        <v/>
      </c>
      <c r="X381" s="9">
        <f>-IF(C381=1,LN(W381),LN(1-W381))</f>
        <v/>
      </c>
      <c r="Y381" s="10">
        <f>IF(W381&gt;$AC$33,1,0)</f>
        <v/>
      </c>
      <c r="Z381">
        <f>IF(Y381=C381,1,0)</f>
        <v/>
      </c>
    </row>
    <row r="382">
      <c r="A382">
        <f>'1 datos preparados'!A375</f>
        <v/>
      </c>
      <c r="B382" s="5">
        <f>'1 datos preparados'!U375</f>
        <v/>
      </c>
      <c r="C382">
        <f>'1 datos preparados'!B375</f>
        <v/>
      </c>
      <c r="D382" s="7">
        <f>'1 datos preparados'!C375</f>
        <v/>
      </c>
      <c r="E382" s="7">
        <f>'1 datos preparados'!D375</f>
        <v/>
      </c>
      <c r="F382" s="7">
        <f>'1 datos preparados'!E375</f>
        <v/>
      </c>
      <c r="G382" s="7">
        <f>'1 datos preparados'!F375</f>
        <v/>
      </c>
      <c r="H382" s="7">
        <f>'1 datos preparados'!G375</f>
        <v/>
      </c>
      <c r="I382" s="7">
        <f>'1 datos preparados'!H375</f>
        <v/>
      </c>
      <c r="J382" s="7">
        <f>'1 datos preparados'!I375</f>
        <v/>
      </c>
      <c r="K382" s="7">
        <f>'1 datos preparados'!J375</f>
        <v/>
      </c>
      <c r="L382" s="7">
        <f>'1 datos preparados'!K375</f>
        <v/>
      </c>
      <c r="M382" s="7">
        <f>'1 datos preparados'!L375</f>
        <v/>
      </c>
      <c r="N382" s="7">
        <f>'1 datos preparados'!M375</f>
        <v/>
      </c>
      <c r="O382" s="7">
        <f>'1 datos preparados'!N375</f>
        <v/>
      </c>
      <c r="P382" s="7">
        <f>'1 datos preparados'!O375</f>
        <v/>
      </c>
      <c r="Q382" s="7">
        <f>'1 datos preparados'!P375</f>
        <v/>
      </c>
      <c r="R382" s="7">
        <f>'1 datos preparados'!Q375</f>
        <v/>
      </c>
      <c r="S382" s="7">
        <f>'1 datos preparados'!R375</f>
        <v/>
      </c>
      <c r="T382" s="7">
        <f>'1 datos preparados'!S375</f>
        <v/>
      </c>
      <c r="U382" s="7">
        <f>'1 datos preparados'!T375</f>
        <v/>
      </c>
      <c r="V382" s="8">
        <f>$AC$12+D382*$AC$13+E382*$AC$14+F382*$AC$15+G382*$AC$16+H382*$AC$17+I382*$AC$18+J382*$AC$19+K382*$AC$20+L382*$AC$21+M382*$AC$22+N382*$AC$23+O382*$AC$24+P382*$AC$25+Q382*$AC$26+R382*$AC$27+S382*$AC$28+T382*$AC$29+U382*$AC$30</f>
        <v/>
      </c>
      <c r="W382" s="8">
        <f>1/(1+EXP(-V382))</f>
        <v/>
      </c>
      <c r="X382" s="9">
        <f>-IF(C382=1,LN(W382),LN(1-W382))</f>
        <v/>
      </c>
      <c r="Y382" s="10">
        <f>IF(W382&gt;$AC$33,1,0)</f>
        <v/>
      </c>
      <c r="Z382">
        <f>IF(Y382=C382,1,0)</f>
        <v/>
      </c>
    </row>
    <row r="383">
      <c r="A383">
        <f>'1 datos preparados'!A376</f>
        <v/>
      </c>
      <c r="B383" s="5">
        <f>'1 datos preparados'!U376</f>
        <v/>
      </c>
      <c r="C383">
        <f>'1 datos preparados'!B376</f>
        <v/>
      </c>
      <c r="D383" s="7">
        <f>'1 datos preparados'!C376</f>
        <v/>
      </c>
      <c r="E383" s="7">
        <f>'1 datos preparados'!D376</f>
        <v/>
      </c>
      <c r="F383" s="7">
        <f>'1 datos preparados'!E376</f>
        <v/>
      </c>
      <c r="G383" s="7">
        <f>'1 datos preparados'!F376</f>
        <v/>
      </c>
      <c r="H383" s="7">
        <f>'1 datos preparados'!G376</f>
        <v/>
      </c>
      <c r="I383" s="7">
        <f>'1 datos preparados'!H376</f>
        <v/>
      </c>
      <c r="J383" s="7">
        <f>'1 datos preparados'!I376</f>
        <v/>
      </c>
      <c r="K383" s="7">
        <f>'1 datos preparados'!J376</f>
        <v/>
      </c>
      <c r="L383" s="7">
        <f>'1 datos preparados'!K376</f>
        <v/>
      </c>
      <c r="M383" s="7">
        <f>'1 datos preparados'!L376</f>
        <v/>
      </c>
      <c r="N383" s="7">
        <f>'1 datos preparados'!M376</f>
        <v/>
      </c>
      <c r="O383" s="7">
        <f>'1 datos preparados'!N376</f>
        <v/>
      </c>
      <c r="P383" s="7">
        <f>'1 datos preparados'!O376</f>
        <v/>
      </c>
      <c r="Q383" s="7">
        <f>'1 datos preparados'!P376</f>
        <v/>
      </c>
      <c r="R383" s="7">
        <f>'1 datos preparados'!Q376</f>
        <v/>
      </c>
      <c r="S383" s="7">
        <f>'1 datos preparados'!R376</f>
        <v/>
      </c>
      <c r="T383" s="7">
        <f>'1 datos preparados'!S376</f>
        <v/>
      </c>
      <c r="U383" s="7">
        <f>'1 datos preparados'!T376</f>
        <v/>
      </c>
      <c r="V383" s="8">
        <f>$AC$12+D383*$AC$13+E383*$AC$14+F383*$AC$15+G383*$AC$16+H383*$AC$17+I383*$AC$18+J383*$AC$19+K383*$AC$20+L383*$AC$21+M383*$AC$22+N383*$AC$23+O383*$AC$24+P383*$AC$25+Q383*$AC$26+R383*$AC$27+S383*$AC$28+T383*$AC$29+U383*$AC$30</f>
        <v/>
      </c>
      <c r="W383" s="8">
        <f>1/(1+EXP(-V383))</f>
        <v/>
      </c>
      <c r="X383" s="9">
        <f>-IF(C383=1,LN(W383),LN(1-W383))</f>
        <v/>
      </c>
      <c r="Y383" s="10">
        <f>IF(W383&gt;$AC$33,1,0)</f>
        <v/>
      </c>
      <c r="Z383">
        <f>IF(Y383=C383,1,0)</f>
        <v/>
      </c>
    </row>
    <row r="384">
      <c r="A384">
        <f>'1 datos preparados'!A377</f>
        <v/>
      </c>
      <c r="B384" s="5">
        <f>'1 datos preparados'!U377</f>
        <v/>
      </c>
      <c r="C384">
        <f>'1 datos preparados'!B377</f>
        <v/>
      </c>
      <c r="D384" s="7">
        <f>'1 datos preparados'!C377</f>
        <v/>
      </c>
      <c r="E384" s="7">
        <f>'1 datos preparados'!D377</f>
        <v/>
      </c>
      <c r="F384" s="7">
        <f>'1 datos preparados'!E377</f>
        <v/>
      </c>
      <c r="G384" s="7">
        <f>'1 datos preparados'!F377</f>
        <v/>
      </c>
      <c r="H384" s="7">
        <f>'1 datos preparados'!G377</f>
        <v/>
      </c>
      <c r="I384" s="7">
        <f>'1 datos preparados'!H377</f>
        <v/>
      </c>
      <c r="J384" s="7">
        <f>'1 datos preparados'!I377</f>
        <v/>
      </c>
      <c r="K384" s="7">
        <f>'1 datos preparados'!J377</f>
        <v/>
      </c>
      <c r="L384" s="7">
        <f>'1 datos preparados'!K377</f>
        <v/>
      </c>
      <c r="M384" s="7">
        <f>'1 datos preparados'!L377</f>
        <v/>
      </c>
      <c r="N384" s="7">
        <f>'1 datos preparados'!M377</f>
        <v/>
      </c>
      <c r="O384" s="7">
        <f>'1 datos preparados'!N377</f>
        <v/>
      </c>
      <c r="P384" s="7">
        <f>'1 datos preparados'!O377</f>
        <v/>
      </c>
      <c r="Q384" s="7">
        <f>'1 datos preparados'!P377</f>
        <v/>
      </c>
      <c r="R384" s="7">
        <f>'1 datos preparados'!Q377</f>
        <v/>
      </c>
      <c r="S384" s="7">
        <f>'1 datos preparados'!R377</f>
        <v/>
      </c>
      <c r="T384" s="7">
        <f>'1 datos preparados'!S377</f>
        <v/>
      </c>
      <c r="U384" s="7">
        <f>'1 datos preparados'!T377</f>
        <v/>
      </c>
      <c r="V384" s="8">
        <f>$AC$12+D384*$AC$13+E384*$AC$14+F384*$AC$15+G384*$AC$16+H384*$AC$17+I384*$AC$18+J384*$AC$19+K384*$AC$20+L384*$AC$21+M384*$AC$22+N384*$AC$23+O384*$AC$24+P384*$AC$25+Q384*$AC$26+R384*$AC$27+S384*$AC$28+T384*$AC$29+U384*$AC$30</f>
        <v/>
      </c>
      <c r="W384" s="8">
        <f>1/(1+EXP(-V384))</f>
        <v/>
      </c>
      <c r="X384" s="9">
        <f>-IF(C384=1,LN(W384),LN(1-W384))</f>
        <v/>
      </c>
      <c r="Y384" s="10">
        <f>IF(W384&gt;$AC$33,1,0)</f>
        <v/>
      </c>
      <c r="Z384">
        <f>IF(Y384=C384,1,0)</f>
        <v/>
      </c>
    </row>
    <row r="385">
      <c r="A385">
        <f>'1 datos preparados'!A378</f>
        <v/>
      </c>
      <c r="B385" s="5">
        <f>'1 datos preparados'!U378</f>
        <v/>
      </c>
      <c r="C385">
        <f>'1 datos preparados'!B378</f>
        <v/>
      </c>
      <c r="D385" s="7">
        <f>'1 datos preparados'!C378</f>
        <v/>
      </c>
      <c r="E385" s="7">
        <f>'1 datos preparados'!D378</f>
        <v/>
      </c>
      <c r="F385" s="7">
        <f>'1 datos preparados'!E378</f>
        <v/>
      </c>
      <c r="G385" s="7">
        <f>'1 datos preparados'!F378</f>
        <v/>
      </c>
      <c r="H385" s="7">
        <f>'1 datos preparados'!G378</f>
        <v/>
      </c>
      <c r="I385" s="7">
        <f>'1 datos preparados'!H378</f>
        <v/>
      </c>
      <c r="J385" s="7">
        <f>'1 datos preparados'!I378</f>
        <v/>
      </c>
      <c r="K385" s="7">
        <f>'1 datos preparados'!J378</f>
        <v/>
      </c>
      <c r="L385" s="7">
        <f>'1 datos preparados'!K378</f>
        <v/>
      </c>
      <c r="M385" s="7">
        <f>'1 datos preparados'!L378</f>
        <v/>
      </c>
      <c r="N385" s="7">
        <f>'1 datos preparados'!M378</f>
        <v/>
      </c>
      <c r="O385" s="7">
        <f>'1 datos preparados'!N378</f>
        <v/>
      </c>
      <c r="P385" s="7">
        <f>'1 datos preparados'!O378</f>
        <v/>
      </c>
      <c r="Q385" s="7">
        <f>'1 datos preparados'!P378</f>
        <v/>
      </c>
      <c r="R385" s="7">
        <f>'1 datos preparados'!Q378</f>
        <v/>
      </c>
      <c r="S385" s="7">
        <f>'1 datos preparados'!R378</f>
        <v/>
      </c>
      <c r="T385" s="7">
        <f>'1 datos preparados'!S378</f>
        <v/>
      </c>
      <c r="U385" s="7">
        <f>'1 datos preparados'!T378</f>
        <v/>
      </c>
      <c r="V385" s="8">
        <f>$AC$12+D385*$AC$13+E385*$AC$14+F385*$AC$15+G385*$AC$16+H385*$AC$17+I385*$AC$18+J385*$AC$19+K385*$AC$20+L385*$AC$21+M385*$AC$22+N385*$AC$23+O385*$AC$24+P385*$AC$25+Q385*$AC$26+R385*$AC$27+S385*$AC$28+T385*$AC$29+U385*$AC$30</f>
        <v/>
      </c>
      <c r="W385" s="8">
        <f>1/(1+EXP(-V385))</f>
        <v/>
      </c>
      <c r="X385" s="9">
        <f>-IF(C385=1,LN(W385),LN(1-W385))</f>
        <v/>
      </c>
      <c r="Y385" s="10">
        <f>IF(W385&gt;$AC$33,1,0)</f>
        <v/>
      </c>
      <c r="Z385">
        <f>IF(Y385=C385,1,0)</f>
        <v/>
      </c>
    </row>
    <row r="386">
      <c r="A386">
        <f>'1 datos preparados'!A379</f>
        <v/>
      </c>
      <c r="B386" s="5">
        <f>'1 datos preparados'!U379</f>
        <v/>
      </c>
      <c r="C386">
        <f>'1 datos preparados'!B379</f>
        <v/>
      </c>
      <c r="D386" s="7">
        <f>'1 datos preparados'!C379</f>
        <v/>
      </c>
      <c r="E386" s="7">
        <f>'1 datos preparados'!D379</f>
        <v/>
      </c>
      <c r="F386" s="7">
        <f>'1 datos preparados'!E379</f>
        <v/>
      </c>
      <c r="G386" s="7">
        <f>'1 datos preparados'!F379</f>
        <v/>
      </c>
      <c r="H386" s="7">
        <f>'1 datos preparados'!G379</f>
        <v/>
      </c>
      <c r="I386" s="7">
        <f>'1 datos preparados'!H379</f>
        <v/>
      </c>
      <c r="J386" s="7">
        <f>'1 datos preparados'!I379</f>
        <v/>
      </c>
      <c r="K386" s="7">
        <f>'1 datos preparados'!J379</f>
        <v/>
      </c>
      <c r="L386" s="7">
        <f>'1 datos preparados'!K379</f>
        <v/>
      </c>
      <c r="M386" s="7">
        <f>'1 datos preparados'!L379</f>
        <v/>
      </c>
      <c r="N386" s="7">
        <f>'1 datos preparados'!M379</f>
        <v/>
      </c>
      <c r="O386" s="7">
        <f>'1 datos preparados'!N379</f>
        <v/>
      </c>
      <c r="P386" s="7">
        <f>'1 datos preparados'!O379</f>
        <v/>
      </c>
      <c r="Q386" s="7">
        <f>'1 datos preparados'!P379</f>
        <v/>
      </c>
      <c r="R386" s="7">
        <f>'1 datos preparados'!Q379</f>
        <v/>
      </c>
      <c r="S386" s="7">
        <f>'1 datos preparados'!R379</f>
        <v/>
      </c>
      <c r="T386" s="7">
        <f>'1 datos preparados'!S379</f>
        <v/>
      </c>
      <c r="U386" s="7">
        <f>'1 datos preparados'!T379</f>
        <v/>
      </c>
      <c r="V386" s="8">
        <f>$AC$12+D386*$AC$13+E386*$AC$14+F386*$AC$15+G386*$AC$16+H386*$AC$17+I386*$AC$18+J386*$AC$19+K386*$AC$20+L386*$AC$21+M386*$AC$22+N386*$AC$23+O386*$AC$24+P386*$AC$25+Q386*$AC$26+R386*$AC$27+S386*$AC$28+T386*$AC$29+U386*$AC$30</f>
        <v/>
      </c>
      <c r="W386" s="8">
        <f>1/(1+EXP(-V386))</f>
        <v/>
      </c>
      <c r="X386" s="9">
        <f>-IF(C386=1,LN(W386),LN(1-W386))</f>
        <v/>
      </c>
      <c r="Y386" s="10">
        <f>IF(W386&gt;$AC$33,1,0)</f>
        <v/>
      </c>
      <c r="Z386">
        <f>IF(Y386=C386,1,0)</f>
        <v/>
      </c>
    </row>
    <row r="387">
      <c r="A387">
        <f>'1 datos preparados'!A380</f>
        <v/>
      </c>
      <c r="B387" s="5">
        <f>'1 datos preparados'!U380</f>
        <v/>
      </c>
      <c r="C387">
        <f>'1 datos preparados'!B380</f>
        <v/>
      </c>
      <c r="D387" s="7">
        <f>'1 datos preparados'!C380</f>
        <v/>
      </c>
      <c r="E387" s="7">
        <f>'1 datos preparados'!D380</f>
        <v/>
      </c>
      <c r="F387" s="7">
        <f>'1 datos preparados'!E380</f>
        <v/>
      </c>
      <c r="G387" s="7">
        <f>'1 datos preparados'!F380</f>
        <v/>
      </c>
      <c r="H387" s="7">
        <f>'1 datos preparados'!G380</f>
        <v/>
      </c>
      <c r="I387" s="7">
        <f>'1 datos preparados'!H380</f>
        <v/>
      </c>
      <c r="J387" s="7">
        <f>'1 datos preparados'!I380</f>
        <v/>
      </c>
      <c r="K387" s="7">
        <f>'1 datos preparados'!J380</f>
        <v/>
      </c>
      <c r="L387" s="7">
        <f>'1 datos preparados'!K380</f>
        <v/>
      </c>
      <c r="M387" s="7">
        <f>'1 datos preparados'!L380</f>
        <v/>
      </c>
      <c r="N387" s="7">
        <f>'1 datos preparados'!M380</f>
        <v/>
      </c>
      <c r="O387" s="7">
        <f>'1 datos preparados'!N380</f>
        <v/>
      </c>
      <c r="P387" s="7">
        <f>'1 datos preparados'!O380</f>
        <v/>
      </c>
      <c r="Q387" s="7">
        <f>'1 datos preparados'!P380</f>
        <v/>
      </c>
      <c r="R387" s="7">
        <f>'1 datos preparados'!Q380</f>
        <v/>
      </c>
      <c r="S387" s="7">
        <f>'1 datos preparados'!R380</f>
        <v/>
      </c>
      <c r="T387" s="7">
        <f>'1 datos preparados'!S380</f>
        <v/>
      </c>
      <c r="U387" s="7">
        <f>'1 datos preparados'!T380</f>
        <v/>
      </c>
      <c r="V387" s="8">
        <f>$AC$12+D387*$AC$13+E387*$AC$14+F387*$AC$15+G387*$AC$16+H387*$AC$17+I387*$AC$18+J387*$AC$19+K387*$AC$20+L387*$AC$21+M387*$AC$22+N387*$AC$23+O387*$AC$24+P387*$AC$25+Q387*$AC$26+R387*$AC$27+S387*$AC$28+T387*$AC$29+U387*$AC$30</f>
        <v/>
      </c>
      <c r="W387" s="8">
        <f>1/(1+EXP(-V387))</f>
        <v/>
      </c>
      <c r="X387" s="9">
        <f>-IF(C387=1,LN(W387),LN(1-W387))</f>
        <v/>
      </c>
      <c r="Y387" s="10">
        <f>IF(W387&gt;$AC$33,1,0)</f>
        <v/>
      </c>
      <c r="Z387">
        <f>IF(Y387=C387,1,0)</f>
        <v/>
      </c>
    </row>
    <row r="388">
      <c r="A388">
        <f>'1 datos preparados'!A381</f>
        <v/>
      </c>
      <c r="B388" s="5">
        <f>'1 datos preparados'!U381</f>
        <v/>
      </c>
      <c r="C388">
        <f>'1 datos preparados'!B381</f>
        <v/>
      </c>
      <c r="D388" s="7">
        <f>'1 datos preparados'!C381</f>
        <v/>
      </c>
      <c r="E388" s="7">
        <f>'1 datos preparados'!D381</f>
        <v/>
      </c>
      <c r="F388" s="7">
        <f>'1 datos preparados'!E381</f>
        <v/>
      </c>
      <c r="G388" s="7">
        <f>'1 datos preparados'!F381</f>
        <v/>
      </c>
      <c r="H388" s="7">
        <f>'1 datos preparados'!G381</f>
        <v/>
      </c>
      <c r="I388" s="7">
        <f>'1 datos preparados'!H381</f>
        <v/>
      </c>
      <c r="J388" s="7">
        <f>'1 datos preparados'!I381</f>
        <v/>
      </c>
      <c r="K388" s="7">
        <f>'1 datos preparados'!J381</f>
        <v/>
      </c>
      <c r="L388" s="7">
        <f>'1 datos preparados'!K381</f>
        <v/>
      </c>
      <c r="M388" s="7">
        <f>'1 datos preparados'!L381</f>
        <v/>
      </c>
      <c r="N388" s="7">
        <f>'1 datos preparados'!M381</f>
        <v/>
      </c>
      <c r="O388" s="7">
        <f>'1 datos preparados'!N381</f>
        <v/>
      </c>
      <c r="P388" s="7">
        <f>'1 datos preparados'!O381</f>
        <v/>
      </c>
      <c r="Q388" s="7">
        <f>'1 datos preparados'!P381</f>
        <v/>
      </c>
      <c r="R388" s="7">
        <f>'1 datos preparados'!Q381</f>
        <v/>
      </c>
      <c r="S388" s="7">
        <f>'1 datos preparados'!R381</f>
        <v/>
      </c>
      <c r="T388" s="7">
        <f>'1 datos preparados'!S381</f>
        <v/>
      </c>
      <c r="U388" s="7">
        <f>'1 datos preparados'!T381</f>
        <v/>
      </c>
      <c r="V388" s="8">
        <f>$AC$12+D388*$AC$13+E388*$AC$14+F388*$AC$15+G388*$AC$16+H388*$AC$17+I388*$AC$18+J388*$AC$19+K388*$AC$20+L388*$AC$21+M388*$AC$22+N388*$AC$23+O388*$AC$24+P388*$AC$25+Q388*$AC$26+R388*$AC$27+S388*$AC$28+T388*$AC$29+U388*$AC$30</f>
        <v/>
      </c>
      <c r="W388" s="8">
        <f>1/(1+EXP(-V388))</f>
        <v/>
      </c>
      <c r="X388" s="9">
        <f>-IF(C388=1,LN(W388),LN(1-W388))</f>
        <v/>
      </c>
      <c r="Y388" s="10">
        <f>IF(W388&gt;$AC$33,1,0)</f>
        <v/>
      </c>
      <c r="Z388">
        <f>IF(Y388=C388,1,0)</f>
        <v/>
      </c>
    </row>
    <row r="389">
      <c r="A389">
        <f>'1 datos preparados'!A382</f>
        <v/>
      </c>
      <c r="B389" s="5">
        <f>'1 datos preparados'!U382</f>
        <v/>
      </c>
      <c r="C389">
        <f>'1 datos preparados'!B382</f>
        <v/>
      </c>
      <c r="D389" s="7">
        <f>'1 datos preparados'!C382</f>
        <v/>
      </c>
      <c r="E389" s="7">
        <f>'1 datos preparados'!D382</f>
        <v/>
      </c>
      <c r="F389" s="7">
        <f>'1 datos preparados'!E382</f>
        <v/>
      </c>
      <c r="G389" s="7">
        <f>'1 datos preparados'!F382</f>
        <v/>
      </c>
      <c r="H389" s="7">
        <f>'1 datos preparados'!G382</f>
        <v/>
      </c>
      <c r="I389" s="7">
        <f>'1 datos preparados'!H382</f>
        <v/>
      </c>
      <c r="J389" s="7">
        <f>'1 datos preparados'!I382</f>
        <v/>
      </c>
      <c r="K389" s="7">
        <f>'1 datos preparados'!J382</f>
        <v/>
      </c>
      <c r="L389" s="7">
        <f>'1 datos preparados'!K382</f>
        <v/>
      </c>
      <c r="M389" s="7">
        <f>'1 datos preparados'!L382</f>
        <v/>
      </c>
      <c r="N389" s="7">
        <f>'1 datos preparados'!M382</f>
        <v/>
      </c>
      <c r="O389" s="7">
        <f>'1 datos preparados'!N382</f>
        <v/>
      </c>
      <c r="P389" s="7">
        <f>'1 datos preparados'!O382</f>
        <v/>
      </c>
      <c r="Q389" s="7">
        <f>'1 datos preparados'!P382</f>
        <v/>
      </c>
      <c r="R389" s="7">
        <f>'1 datos preparados'!Q382</f>
        <v/>
      </c>
      <c r="S389" s="7">
        <f>'1 datos preparados'!R382</f>
        <v/>
      </c>
      <c r="T389" s="7">
        <f>'1 datos preparados'!S382</f>
        <v/>
      </c>
      <c r="U389" s="7">
        <f>'1 datos preparados'!T382</f>
        <v/>
      </c>
      <c r="V389" s="8">
        <f>$AC$12+D389*$AC$13+E389*$AC$14+F389*$AC$15+G389*$AC$16+H389*$AC$17+I389*$AC$18+J389*$AC$19+K389*$AC$20+L389*$AC$21+M389*$AC$22+N389*$AC$23+O389*$AC$24+P389*$AC$25+Q389*$AC$26+R389*$AC$27+S389*$AC$28+T389*$AC$29+U389*$AC$30</f>
        <v/>
      </c>
      <c r="W389" s="8">
        <f>1/(1+EXP(-V389))</f>
        <v/>
      </c>
      <c r="X389" s="9">
        <f>-IF(C389=1,LN(W389),LN(1-W389))</f>
        <v/>
      </c>
      <c r="Y389" s="10">
        <f>IF(W389&gt;$AC$33,1,0)</f>
        <v/>
      </c>
      <c r="Z389">
        <f>IF(Y389=C389,1,0)</f>
        <v/>
      </c>
    </row>
    <row r="390">
      <c r="A390">
        <f>'1 datos preparados'!A383</f>
        <v/>
      </c>
      <c r="B390" s="5">
        <f>'1 datos preparados'!U383</f>
        <v/>
      </c>
      <c r="C390">
        <f>'1 datos preparados'!B383</f>
        <v/>
      </c>
      <c r="D390" s="7">
        <f>'1 datos preparados'!C383</f>
        <v/>
      </c>
      <c r="E390" s="7">
        <f>'1 datos preparados'!D383</f>
        <v/>
      </c>
      <c r="F390" s="7">
        <f>'1 datos preparados'!E383</f>
        <v/>
      </c>
      <c r="G390" s="7">
        <f>'1 datos preparados'!F383</f>
        <v/>
      </c>
      <c r="H390" s="7">
        <f>'1 datos preparados'!G383</f>
        <v/>
      </c>
      <c r="I390" s="7">
        <f>'1 datos preparados'!H383</f>
        <v/>
      </c>
      <c r="J390" s="7">
        <f>'1 datos preparados'!I383</f>
        <v/>
      </c>
      <c r="K390" s="7">
        <f>'1 datos preparados'!J383</f>
        <v/>
      </c>
      <c r="L390" s="7">
        <f>'1 datos preparados'!K383</f>
        <v/>
      </c>
      <c r="M390" s="7">
        <f>'1 datos preparados'!L383</f>
        <v/>
      </c>
      <c r="N390" s="7">
        <f>'1 datos preparados'!M383</f>
        <v/>
      </c>
      <c r="O390" s="7">
        <f>'1 datos preparados'!N383</f>
        <v/>
      </c>
      <c r="P390" s="7">
        <f>'1 datos preparados'!O383</f>
        <v/>
      </c>
      <c r="Q390" s="7">
        <f>'1 datos preparados'!P383</f>
        <v/>
      </c>
      <c r="R390" s="7">
        <f>'1 datos preparados'!Q383</f>
        <v/>
      </c>
      <c r="S390" s="7">
        <f>'1 datos preparados'!R383</f>
        <v/>
      </c>
      <c r="T390" s="7">
        <f>'1 datos preparados'!S383</f>
        <v/>
      </c>
      <c r="U390" s="7">
        <f>'1 datos preparados'!T383</f>
        <v/>
      </c>
      <c r="V390" s="8">
        <f>$AC$12+D390*$AC$13+E390*$AC$14+F390*$AC$15+G390*$AC$16+H390*$AC$17+I390*$AC$18+J390*$AC$19+K390*$AC$20+L390*$AC$21+M390*$AC$22+N390*$AC$23+O390*$AC$24+P390*$AC$25+Q390*$AC$26+R390*$AC$27+S390*$AC$28+T390*$AC$29+U390*$AC$30</f>
        <v/>
      </c>
      <c r="W390" s="8">
        <f>1/(1+EXP(-V390))</f>
        <v/>
      </c>
      <c r="X390" s="9">
        <f>-IF(C390=1,LN(W390),LN(1-W390))</f>
        <v/>
      </c>
      <c r="Y390" s="10">
        <f>IF(W390&gt;$AC$33,1,0)</f>
        <v/>
      </c>
      <c r="Z390">
        <f>IF(Y390=C390,1,0)</f>
        <v/>
      </c>
    </row>
    <row r="391">
      <c r="A391">
        <f>'1 datos preparados'!A384</f>
        <v/>
      </c>
      <c r="B391" s="5">
        <f>'1 datos preparados'!U384</f>
        <v/>
      </c>
      <c r="C391">
        <f>'1 datos preparados'!B384</f>
        <v/>
      </c>
      <c r="D391" s="7">
        <f>'1 datos preparados'!C384</f>
        <v/>
      </c>
      <c r="E391" s="7">
        <f>'1 datos preparados'!D384</f>
        <v/>
      </c>
      <c r="F391" s="7">
        <f>'1 datos preparados'!E384</f>
        <v/>
      </c>
      <c r="G391" s="7">
        <f>'1 datos preparados'!F384</f>
        <v/>
      </c>
      <c r="H391" s="7">
        <f>'1 datos preparados'!G384</f>
        <v/>
      </c>
      <c r="I391" s="7">
        <f>'1 datos preparados'!H384</f>
        <v/>
      </c>
      <c r="J391" s="7">
        <f>'1 datos preparados'!I384</f>
        <v/>
      </c>
      <c r="K391" s="7">
        <f>'1 datos preparados'!J384</f>
        <v/>
      </c>
      <c r="L391" s="7">
        <f>'1 datos preparados'!K384</f>
        <v/>
      </c>
      <c r="M391" s="7">
        <f>'1 datos preparados'!L384</f>
        <v/>
      </c>
      <c r="N391" s="7">
        <f>'1 datos preparados'!M384</f>
        <v/>
      </c>
      <c r="O391" s="7">
        <f>'1 datos preparados'!N384</f>
        <v/>
      </c>
      <c r="P391" s="7">
        <f>'1 datos preparados'!O384</f>
        <v/>
      </c>
      <c r="Q391" s="7">
        <f>'1 datos preparados'!P384</f>
        <v/>
      </c>
      <c r="R391" s="7">
        <f>'1 datos preparados'!Q384</f>
        <v/>
      </c>
      <c r="S391" s="7">
        <f>'1 datos preparados'!R384</f>
        <v/>
      </c>
      <c r="T391" s="7">
        <f>'1 datos preparados'!S384</f>
        <v/>
      </c>
      <c r="U391" s="7">
        <f>'1 datos preparados'!T384</f>
        <v/>
      </c>
      <c r="V391" s="8">
        <f>$AC$12+D391*$AC$13+E391*$AC$14+F391*$AC$15+G391*$AC$16+H391*$AC$17+I391*$AC$18+J391*$AC$19+K391*$AC$20+L391*$AC$21+M391*$AC$22+N391*$AC$23+O391*$AC$24+P391*$AC$25+Q391*$AC$26+R391*$AC$27+S391*$AC$28+T391*$AC$29+U391*$AC$30</f>
        <v/>
      </c>
      <c r="W391" s="8">
        <f>1/(1+EXP(-V391))</f>
        <v/>
      </c>
      <c r="X391" s="9">
        <f>-IF(C391=1,LN(W391),LN(1-W391))</f>
        <v/>
      </c>
      <c r="Y391" s="10">
        <f>IF(W391&gt;$AC$33,1,0)</f>
        <v/>
      </c>
      <c r="Z391">
        <f>IF(Y391=C391,1,0)</f>
        <v/>
      </c>
    </row>
    <row r="392">
      <c r="A392">
        <f>'1 datos preparados'!A385</f>
        <v/>
      </c>
      <c r="B392" s="5">
        <f>'1 datos preparados'!U385</f>
        <v/>
      </c>
      <c r="C392">
        <f>'1 datos preparados'!B385</f>
        <v/>
      </c>
      <c r="D392" s="7">
        <f>'1 datos preparados'!C385</f>
        <v/>
      </c>
      <c r="E392" s="7">
        <f>'1 datos preparados'!D385</f>
        <v/>
      </c>
      <c r="F392" s="7">
        <f>'1 datos preparados'!E385</f>
        <v/>
      </c>
      <c r="G392" s="7">
        <f>'1 datos preparados'!F385</f>
        <v/>
      </c>
      <c r="H392" s="7">
        <f>'1 datos preparados'!G385</f>
        <v/>
      </c>
      <c r="I392" s="7">
        <f>'1 datos preparados'!H385</f>
        <v/>
      </c>
      <c r="J392" s="7">
        <f>'1 datos preparados'!I385</f>
        <v/>
      </c>
      <c r="K392" s="7">
        <f>'1 datos preparados'!J385</f>
        <v/>
      </c>
      <c r="L392" s="7">
        <f>'1 datos preparados'!K385</f>
        <v/>
      </c>
      <c r="M392" s="7">
        <f>'1 datos preparados'!L385</f>
        <v/>
      </c>
      <c r="N392" s="7">
        <f>'1 datos preparados'!M385</f>
        <v/>
      </c>
      <c r="O392" s="7">
        <f>'1 datos preparados'!N385</f>
        <v/>
      </c>
      <c r="P392" s="7">
        <f>'1 datos preparados'!O385</f>
        <v/>
      </c>
      <c r="Q392" s="7">
        <f>'1 datos preparados'!P385</f>
        <v/>
      </c>
      <c r="R392" s="7">
        <f>'1 datos preparados'!Q385</f>
        <v/>
      </c>
      <c r="S392" s="7">
        <f>'1 datos preparados'!R385</f>
        <v/>
      </c>
      <c r="T392" s="7">
        <f>'1 datos preparados'!S385</f>
        <v/>
      </c>
      <c r="U392" s="7">
        <f>'1 datos preparados'!T385</f>
        <v/>
      </c>
      <c r="V392" s="8">
        <f>$AC$12+D392*$AC$13+E392*$AC$14+F392*$AC$15+G392*$AC$16+H392*$AC$17+I392*$AC$18+J392*$AC$19+K392*$AC$20+L392*$AC$21+M392*$AC$22+N392*$AC$23+O392*$AC$24+P392*$AC$25+Q392*$AC$26+R392*$AC$27+S392*$AC$28+T392*$AC$29+U392*$AC$30</f>
        <v/>
      </c>
      <c r="W392" s="8">
        <f>1/(1+EXP(-V392))</f>
        <v/>
      </c>
      <c r="X392" s="9">
        <f>-IF(C392=1,LN(W392),LN(1-W392))</f>
        <v/>
      </c>
      <c r="Y392" s="10">
        <f>IF(W392&gt;$AC$33,1,0)</f>
        <v/>
      </c>
      <c r="Z392">
        <f>IF(Y392=C392,1,0)</f>
        <v/>
      </c>
    </row>
    <row r="393">
      <c r="A393">
        <f>'1 datos preparados'!A386</f>
        <v/>
      </c>
      <c r="B393" s="5">
        <f>'1 datos preparados'!U386</f>
        <v/>
      </c>
      <c r="C393">
        <f>'1 datos preparados'!B386</f>
        <v/>
      </c>
      <c r="D393" s="7">
        <f>'1 datos preparados'!C386</f>
        <v/>
      </c>
      <c r="E393" s="7">
        <f>'1 datos preparados'!D386</f>
        <v/>
      </c>
      <c r="F393" s="7">
        <f>'1 datos preparados'!E386</f>
        <v/>
      </c>
      <c r="G393" s="7">
        <f>'1 datos preparados'!F386</f>
        <v/>
      </c>
      <c r="H393" s="7">
        <f>'1 datos preparados'!G386</f>
        <v/>
      </c>
      <c r="I393" s="7">
        <f>'1 datos preparados'!H386</f>
        <v/>
      </c>
      <c r="J393" s="7">
        <f>'1 datos preparados'!I386</f>
        <v/>
      </c>
      <c r="K393" s="7">
        <f>'1 datos preparados'!J386</f>
        <v/>
      </c>
      <c r="L393" s="7">
        <f>'1 datos preparados'!K386</f>
        <v/>
      </c>
      <c r="M393" s="7">
        <f>'1 datos preparados'!L386</f>
        <v/>
      </c>
      <c r="N393" s="7">
        <f>'1 datos preparados'!M386</f>
        <v/>
      </c>
      <c r="O393" s="7">
        <f>'1 datos preparados'!N386</f>
        <v/>
      </c>
      <c r="P393" s="7">
        <f>'1 datos preparados'!O386</f>
        <v/>
      </c>
      <c r="Q393" s="7">
        <f>'1 datos preparados'!P386</f>
        <v/>
      </c>
      <c r="R393" s="7">
        <f>'1 datos preparados'!Q386</f>
        <v/>
      </c>
      <c r="S393" s="7">
        <f>'1 datos preparados'!R386</f>
        <v/>
      </c>
      <c r="T393" s="7">
        <f>'1 datos preparados'!S386</f>
        <v/>
      </c>
      <c r="U393" s="7">
        <f>'1 datos preparados'!T386</f>
        <v/>
      </c>
      <c r="V393" s="8">
        <f>$AC$12+D393*$AC$13+E393*$AC$14+F393*$AC$15+G393*$AC$16+H393*$AC$17+I393*$AC$18+J393*$AC$19+K393*$AC$20+L393*$AC$21+M393*$AC$22+N393*$AC$23+O393*$AC$24+P393*$AC$25+Q393*$AC$26+R393*$AC$27+S393*$AC$28+T393*$AC$29+U393*$AC$30</f>
        <v/>
      </c>
      <c r="W393" s="8">
        <f>1/(1+EXP(-V393))</f>
        <v/>
      </c>
      <c r="X393" s="9">
        <f>-IF(C393=1,LN(W393),LN(1-W393))</f>
        <v/>
      </c>
      <c r="Y393" s="10">
        <f>IF(W393&gt;$AC$33,1,0)</f>
        <v/>
      </c>
      <c r="Z393">
        <f>IF(Y393=C393,1,0)</f>
        <v/>
      </c>
    </row>
    <row r="394">
      <c r="A394">
        <f>'1 datos preparados'!A387</f>
        <v/>
      </c>
      <c r="B394" s="5">
        <f>'1 datos preparados'!U387</f>
        <v/>
      </c>
      <c r="C394">
        <f>'1 datos preparados'!B387</f>
        <v/>
      </c>
      <c r="D394" s="7">
        <f>'1 datos preparados'!C387</f>
        <v/>
      </c>
      <c r="E394" s="7">
        <f>'1 datos preparados'!D387</f>
        <v/>
      </c>
      <c r="F394" s="7">
        <f>'1 datos preparados'!E387</f>
        <v/>
      </c>
      <c r="G394" s="7">
        <f>'1 datos preparados'!F387</f>
        <v/>
      </c>
      <c r="H394" s="7">
        <f>'1 datos preparados'!G387</f>
        <v/>
      </c>
      <c r="I394" s="7">
        <f>'1 datos preparados'!H387</f>
        <v/>
      </c>
      <c r="J394" s="7">
        <f>'1 datos preparados'!I387</f>
        <v/>
      </c>
      <c r="K394" s="7">
        <f>'1 datos preparados'!J387</f>
        <v/>
      </c>
      <c r="L394" s="7">
        <f>'1 datos preparados'!K387</f>
        <v/>
      </c>
      <c r="M394" s="7">
        <f>'1 datos preparados'!L387</f>
        <v/>
      </c>
      <c r="N394" s="7">
        <f>'1 datos preparados'!M387</f>
        <v/>
      </c>
      <c r="O394" s="7">
        <f>'1 datos preparados'!N387</f>
        <v/>
      </c>
      <c r="P394" s="7">
        <f>'1 datos preparados'!O387</f>
        <v/>
      </c>
      <c r="Q394" s="7">
        <f>'1 datos preparados'!P387</f>
        <v/>
      </c>
      <c r="R394" s="7">
        <f>'1 datos preparados'!Q387</f>
        <v/>
      </c>
      <c r="S394" s="7">
        <f>'1 datos preparados'!R387</f>
        <v/>
      </c>
      <c r="T394" s="7">
        <f>'1 datos preparados'!S387</f>
        <v/>
      </c>
      <c r="U394" s="7">
        <f>'1 datos preparados'!T387</f>
        <v/>
      </c>
      <c r="V394" s="8">
        <f>$AC$12+D394*$AC$13+E394*$AC$14+F394*$AC$15+G394*$AC$16+H394*$AC$17+I394*$AC$18+J394*$AC$19+K394*$AC$20+L394*$AC$21+M394*$AC$22+N394*$AC$23+O394*$AC$24+P394*$AC$25+Q394*$AC$26+R394*$AC$27+S394*$AC$28+T394*$AC$29+U394*$AC$30</f>
        <v/>
      </c>
      <c r="W394" s="8">
        <f>1/(1+EXP(-V394))</f>
        <v/>
      </c>
      <c r="X394" s="9">
        <f>-IF(C394=1,LN(W394),LN(1-W394))</f>
        <v/>
      </c>
      <c r="Y394" s="10">
        <f>IF(W394&gt;$AC$33,1,0)</f>
        <v/>
      </c>
      <c r="Z394">
        <f>IF(Y394=C394,1,0)</f>
        <v/>
      </c>
    </row>
    <row r="395">
      <c r="A395">
        <f>'1 datos preparados'!A388</f>
        <v/>
      </c>
      <c r="B395" s="5">
        <f>'1 datos preparados'!U388</f>
        <v/>
      </c>
      <c r="C395">
        <f>'1 datos preparados'!B388</f>
        <v/>
      </c>
      <c r="D395" s="7">
        <f>'1 datos preparados'!C388</f>
        <v/>
      </c>
      <c r="E395" s="7">
        <f>'1 datos preparados'!D388</f>
        <v/>
      </c>
      <c r="F395" s="7">
        <f>'1 datos preparados'!E388</f>
        <v/>
      </c>
      <c r="G395" s="7">
        <f>'1 datos preparados'!F388</f>
        <v/>
      </c>
      <c r="H395" s="7">
        <f>'1 datos preparados'!G388</f>
        <v/>
      </c>
      <c r="I395" s="7">
        <f>'1 datos preparados'!H388</f>
        <v/>
      </c>
      <c r="J395" s="7">
        <f>'1 datos preparados'!I388</f>
        <v/>
      </c>
      <c r="K395" s="7">
        <f>'1 datos preparados'!J388</f>
        <v/>
      </c>
      <c r="L395" s="7">
        <f>'1 datos preparados'!K388</f>
        <v/>
      </c>
      <c r="M395" s="7">
        <f>'1 datos preparados'!L388</f>
        <v/>
      </c>
      <c r="N395" s="7">
        <f>'1 datos preparados'!M388</f>
        <v/>
      </c>
      <c r="O395" s="7">
        <f>'1 datos preparados'!N388</f>
        <v/>
      </c>
      <c r="P395" s="7">
        <f>'1 datos preparados'!O388</f>
        <v/>
      </c>
      <c r="Q395" s="7">
        <f>'1 datos preparados'!P388</f>
        <v/>
      </c>
      <c r="R395" s="7">
        <f>'1 datos preparados'!Q388</f>
        <v/>
      </c>
      <c r="S395" s="7">
        <f>'1 datos preparados'!R388</f>
        <v/>
      </c>
      <c r="T395" s="7">
        <f>'1 datos preparados'!S388</f>
        <v/>
      </c>
      <c r="U395" s="7">
        <f>'1 datos preparados'!T388</f>
        <v/>
      </c>
      <c r="V395" s="8">
        <f>$AC$12+D395*$AC$13+E395*$AC$14+F395*$AC$15+G395*$AC$16+H395*$AC$17+I395*$AC$18+J395*$AC$19+K395*$AC$20+L395*$AC$21+M395*$AC$22+N395*$AC$23+O395*$AC$24+P395*$AC$25+Q395*$AC$26+R395*$AC$27+S395*$AC$28+T395*$AC$29+U395*$AC$30</f>
        <v/>
      </c>
      <c r="W395" s="8">
        <f>1/(1+EXP(-V395))</f>
        <v/>
      </c>
      <c r="X395" s="9">
        <f>-IF(C395=1,LN(W395),LN(1-W395))</f>
        <v/>
      </c>
      <c r="Y395" s="10">
        <f>IF(W395&gt;$AC$33,1,0)</f>
        <v/>
      </c>
      <c r="Z395">
        <f>IF(Y395=C395,1,0)</f>
        <v/>
      </c>
    </row>
    <row r="396">
      <c r="A396">
        <f>'1 datos preparados'!A389</f>
        <v/>
      </c>
      <c r="B396" s="5">
        <f>'1 datos preparados'!U389</f>
        <v/>
      </c>
      <c r="C396">
        <f>'1 datos preparados'!B389</f>
        <v/>
      </c>
      <c r="D396" s="7">
        <f>'1 datos preparados'!C389</f>
        <v/>
      </c>
      <c r="E396" s="7">
        <f>'1 datos preparados'!D389</f>
        <v/>
      </c>
      <c r="F396" s="7">
        <f>'1 datos preparados'!E389</f>
        <v/>
      </c>
      <c r="G396" s="7">
        <f>'1 datos preparados'!F389</f>
        <v/>
      </c>
      <c r="H396" s="7">
        <f>'1 datos preparados'!G389</f>
        <v/>
      </c>
      <c r="I396" s="7">
        <f>'1 datos preparados'!H389</f>
        <v/>
      </c>
      <c r="J396" s="7">
        <f>'1 datos preparados'!I389</f>
        <v/>
      </c>
      <c r="K396" s="7">
        <f>'1 datos preparados'!J389</f>
        <v/>
      </c>
      <c r="L396" s="7">
        <f>'1 datos preparados'!K389</f>
        <v/>
      </c>
      <c r="M396" s="7">
        <f>'1 datos preparados'!L389</f>
        <v/>
      </c>
      <c r="N396" s="7">
        <f>'1 datos preparados'!M389</f>
        <v/>
      </c>
      <c r="O396" s="7">
        <f>'1 datos preparados'!N389</f>
        <v/>
      </c>
      <c r="P396" s="7">
        <f>'1 datos preparados'!O389</f>
        <v/>
      </c>
      <c r="Q396" s="7">
        <f>'1 datos preparados'!P389</f>
        <v/>
      </c>
      <c r="R396" s="7">
        <f>'1 datos preparados'!Q389</f>
        <v/>
      </c>
      <c r="S396" s="7">
        <f>'1 datos preparados'!R389</f>
        <v/>
      </c>
      <c r="T396" s="7">
        <f>'1 datos preparados'!S389</f>
        <v/>
      </c>
      <c r="U396" s="7">
        <f>'1 datos preparados'!T389</f>
        <v/>
      </c>
      <c r="V396" s="8">
        <f>$AC$12+D396*$AC$13+E396*$AC$14+F396*$AC$15+G396*$AC$16+H396*$AC$17+I396*$AC$18+J396*$AC$19+K396*$AC$20+L396*$AC$21+M396*$AC$22+N396*$AC$23+O396*$AC$24+P396*$AC$25+Q396*$AC$26+R396*$AC$27+S396*$AC$28+T396*$AC$29+U396*$AC$30</f>
        <v/>
      </c>
      <c r="W396" s="8">
        <f>1/(1+EXP(-V396))</f>
        <v/>
      </c>
      <c r="X396" s="9">
        <f>-IF(C396=1,LN(W396),LN(1-W396))</f>
        <v/>
      </c>
      <c r="Y396" s="10">
        <f>IF(W396&gt;$AC$33,1,0)</f>
        <v/>
      </c>
      <c r="Z396">
        <f>IF(Y396=C396,1,0)</f>
        <v/>
      </c>
    </row>
    <row r="397">
      <c r="A397">
        <f>'1 datos preparados'!A390</f>
        <v/>
      </c>
      <c r="B397" s="5">
        <f>'1 datos preparados'!U390</f>
        <v/>
      </c>
      <c r="C397">
        <f>'1 datos preparados'!B390</f>
        <v/>
      </c>
      <c r="D397" s="7">
        <f>'1 datos preparados'!C390</f>
        <v/>
      </c>
      <c r="E397" s="7">
        <f>'1 datos preparados'!D390</f>
        <v/>
      </c>
      <c r="F397" s="7">
        <f>'1 datos preparados'!E390</f>
        <v/>
      </c>
      <c r="G397" s="7">
        <f>'1 datos preparados'!F390</f>
        <v/>
      </c>
      <c r="H397" s="7">
        <f>'1 datos preparados'!G390</f>
        <v/>
      </c>
      <c r="I397" s="7">
        <f>'1 datos preparados'!H390</f>
        <v/>
      </c>
      <c r="J397" s="7">
        <f>'1 datos preparados'!I390</f>
        <v/>
      </c>
      <c r="K397" s="7">
        <f>'1 datos preparados'!J390</f>
        <v/>
      </c>
      <c r="L397" s="7">
        <f>'1 datos preparados'!K390</f>
        <v/>
      </c>
      <c r="M397" s="7">
        <f>'1 datos preparados'!L390</f>
        <v/>
      </c>
      <c r="N397" s="7">
        <f>'1 datos preparados'!M390</f>
        <v/>
      </c>
      <c r="O397" s="7">
        <f>'1 datos preparados'!N390</f>
        <v/>
      </c>
      <c r="P397" s="7">
        <f>'1 datos preparados'!O390</f>
        <v/>
      </c>
      <c r="Q397" s="7">
        <f>'1 datos preparados'!P390</f>
        <v/>
      </c>
      <c r="R397" s="7">
        <f>'1 datos preparados'!Q390</f>
        <v/>
      </c>
      <c r="S397" s="7">
        <f>'1 datos preparados'!R390</f>
        <v/>
      </c>
      <c r="T397" s="7">
        <f>'1 datos preparados'!S390</f>
        <v/>
      </c>
      <c r="U397" s="7">
        <f>'1 datos preparados'!T390</f>
        <v/>
      </c>
      <c r="V397" s="8">
        <f>$AC$12+D397*$AC$13+E397*$AC$14+F397*$AC$15+G397*$AC$16+H397*$AC$17+I397*$AC$18+J397*$AC$19+K397*$AC$20+L397*$AC$21+M397*$AC$22+N397*$AC$23+O397*$AC$24+P397*$AC$25+Q397*$AC$26+R397*$AC$27+S397*$AC$28+T397*$AC$29+U397*$AC$30</f>
        <v/>
      </c>
      <c r="W397" s="8">
        <f>1/(1+EXP(-V397))</f>
        <v/>
      </c>
      <c r="X397" s="9">
        <f>-IF(C397=1,LN(W397),LN(1-W397))</f>
        <v/>
      </c>
      <c r="Y397" s="10">
        <f>IF(W397&gt;$AC$33,1,0)</f>
        <v/>
      </c>
      <c r="Z397">
        <f>IF(Y397=C397,1,0)</f>
        <v/>
      </c>
    </row>
    <row r="398">
      <c r="A398">
        <f>'1 datos preparados'!A391</f>
        <v/>
      </c>
      <c r="B398" s="5">
        <f>'1 datos preparados'!U391</f>
        <v/>
      </c>
      <c r="C398">
        <f>'1 datos preparados'!B391</f>
        <v/>
      </c>
      <c r="D398" s="7">
        <f>'1 datos preparados'!C391</f>
        <v/>
      </c>
      <c r="E398" s="7">
        <f>'1 datos preparados'!D391</f>
        <v/>
      </c>
      <c r="F398" s="7">
        <f>'1 datos preparados'!E391</f>
        <v/>
      </c>
      <c r="G398" s="7">
        <f>'1 datos preparados'!F391</f>
        <v/>
      </c>
      <c r="H398" s="7">
        <f>'1 datos preparados'!G391</f>
        <v/>
      </c>
      <c r="I398" s="7">
        <f>'1 datos preparados'!H391</f>
        <v/>
      </c>
      <c r="J398" s="7">
        <f>'1 datos preparados'!I391</f>
        <v/>
      </c>
      <c r="K398" s="7">
        <f>'1 datos preparados'!J391</f>
        <v/>
      </c>
      <c r="L398" s="7">
        <f>'1 datos preparados'!K391</f>
        <v/>
      </c>
      <c r="M398" s="7">
        <f>'1 datos preparados'!L391</f>
        <v/>
      </c>
      <c r="N398" s="7">
        <f>'1 datos preparados'!M391</f>
        <v/>
      </c>
      <c r="O398" s="7">
        <f>'1 datos preparados'!N391</f>
        <v/>
      </c>
      <c r="P398" s="7">
        <f>'1 datos preparados'!O391</f>
        <v/>
      </c>
      <c r="Q398" s="7">
        <f>'1 datos preparados'!P391</f>
        <v/>
      </c>
      <c r="R398" s="7">
        <f>'1 datos preparados'!Q391</f>
        <v/>
      </c>
      <c r="S398" s="7">
        <f>'1 datos preparados'!R391</f>
        <v/>
      </c>
      <c r="T398" s="7">
        <f>'1 datos preparados'!S391</f>
        <v/>
      </c>
      <c r="U398" s="7">
        <f>'1 datos preparados'!T391</f>
        <v/>
      </c>
      <c r="V398" s="8">
        <f>$AC$12+D398*$AC$13+E398*$AC$14+F398*$AC$15+G398*$AC$16+H398*$AC$17+I398*$AC$18+J398*$AC$19+K398*$AC$20+L398*$AC$21+M398*$AC$22+N398*$AC$23+O398*$AC$24+P398*$AC$25+Q398*$AC$26+R398*$AC$27+S398*$AC$28+T398*$AC$29+U398*$AC$30</f>
        <v/>
      </c>
      <c r="W398" s="8">
        <f>1/(1+EXP(-V398))</f>
        <v/>
      </c>
      <c r="X398" s="9">
        <f>-IF(C398=1,LN(W398),LN(1-W398))</f>
        <v/>
      </c>
      <c r="Y398" s="10">
        <f>IF(W398&gt;$AC$33,1,0)</f>
        <v/>
      </c>
      <c r="Z398">
        <f>IF(Y398=C398,1,0)</f>
        <v/>
      </c>
    </row>
    <row r="399">
      <c r="A399">
        <f>'1 datos preparados'!A392</f>
        <v/>
      </c>
      <c r="B399" s="5">
        <f>'1 datos preparados'!U392</f>
        <v/>
      </c>
      <c r="C399">
        <f>'1 datos preparados'!B392</f>
        <v/>
      </c>
      <c r="D399" s="7">
        <f>'1 datos preparados'!C392</f>
        <v/>
      </c>
      <c r="E399" s="7">
        <f>'1 datos preparados'!D392</f>
        <v/>
      </c>
      <c r="F399" s="7">
        <f>'1 datos preparados'!E392</f>
        <v/>
      </c>
      <c r="G399" s="7">
        <f>'1 datos preparados'!F392</f>
        <v/>
      </c>
      <c r="H399" s="7">
        <f>'1 datos preparados'!G392</f>
        <v/>
      </c>
      <c r="I399" s="7">
        <f>'1 datos preparados'!H392</f>
        <v/>
      </c>
      <c r="J399" s="7">
        <f>'1 datos preparados'!I392</f>
        <v/>
      </c>
      <c r="K399" s="7">
        <f>'1 datos preparados'!J392</f>
        <v/>
      </c>
      <c r="L399" s="7">
        <f>'1 datos preparados'!K392</f>
        <v/>
      </c>
      <c r="M399" s="7">
        <f>'1 datos preparados'!L392</f>
        <v/>
      </c>
      <c r="N399" s="7">
        <f>'1 datos preparados'!M392</f>
        <v/>
      </c>
      <c r="O399" s="7">
        <f>'1 datos preparados'!N392</f>
        <v/>
      </c>
      <c r="P399" s="7">
        <f>'1 datos preparados'!O392</f>
        <v/>
      </c>
      <c r="Q399" s="7">
        <f>'1 datos preparados'!P392</f>
        <v/>
      </c>
      <c r="R399" s="7">
        <f>'1 datos preparados'!Q392</f>
        <v/>
      </c>
      <c r="S399" s="7">
        <f>'1 datos preparados'!R392</f>
        <v/>
      </c>
      <c r="T399" s="7">
        <f>'1 datos preparados'!S392</f>
        <v/>
      </c>
      <c r="U399" s="7">
        <f>'1 datos preparados'!T392</f>
        <v/>
      </c>
      <c r="V399" s="8">
        <f>$AC$12+D399*$AC$13+E399*$AC$14+F399*$AC$15+G399*$AC$16+H399*$AC$17+I399*$AC$18+J399*$AC$19+K399*$AC$20+L399*$AC$21+M399*$AC$22+N399*$AC$23+O399*$AC$24+P399*$AC$25+Q399*$AC$26+R399*$AC$27+S399*$AC$28+T399*$AC$29+U399*$AC$30</f>
        <v/>
      </c>
      <c r="W399" s="8">
        <f>1/(1+EXP(-V399))</f>
        <v/>
      </c>
      <c r="X399" s="9">
        <f>-IF(C399=1,LN(W399),LN(1-W399))</f>
        <v/>
      </c>
      <c r="Y399" s="10">
        <f>IF(W399&gt;$AC$33,1,0)</f>
        <v/>
      </c>
      <c r="Z399">
        <f>IF(Y399=C399,1,0)</f>
        <v/>
      </c>
    </row>
    <row r="400">
      <c r="A400">
        <f>'1 datos preparados'!A393</f>
        <v/>
      </c>
      <c r="B400" s="5">
        <f>'1 datos preparados'!U393</f>
        <v/>
      </c>
      <c r="C400">
        <f>'1 datos preparados'!B393</f>
        <v/>
      </c>
      <c r="D400" s="7">
        <f>'1 datos preparados'!C393</f>
        <v/>
      </c>
      <c r="E400" s="7">
        <f>'1 datos preparados'!D393</f>
        <v/>
      </c>
      <c r="F400" s="7">
        <f>'1 datos preparados'!E393</f>
        <v/>
      </c>
      <c r="G400" s="7">
        <f>'1 datos preparados'!F393</f>
        <v/>
      </c>
      <c r="H400" s="7">
        <f>'1 datos preparados'!G393</f>
        <v/>
      </c>
      <c r="I400" s="7">
        <f>'1 datos preparados'!H393</f>
        <v/>
      </c>
      <c r="J400" s="7">
        <f>'1 datos preparados'!I393</f>
        <v/>
      </c>
      <c r="K400" s="7">
        <f>'1 datos preparados'!J393</f>
        <v/>
      </c>
      <c r="L400" s="7">
        <f>'1 datos preparados'!K393</f>
        <v/>
      </c>
      <c r="M400" s="7">
        <f>'1 datos preparados'!L393</f>
        <v/>
      </c>
      <c r="N400" s="7">
        <f>'1 datos preparados'!M393</f>
        <v/>
      </c>
      <c r="O400" s="7">
        <f>'1 datos preparados'!N393</f>
        <v/>
      </c>
      <c r="P400" s="7">
        <f>'1 datos preparados'!O393</f>
        <v/>
      </c>
      <c r="Q400" s="7">
        <f>'1 datos preparados'!P393</f>
        <v/>
      </c>
      <c r="R400" s="7">
        <f>'1 datos preparados'!Q393</f>
        <v/>
      </c>
      <c r="S400" s="7">
        <f>'1 datos preparados'!R393</f>
        <v/>
      </c>
      <c r="T400" s="7">
        <f>'1 datos preparados'!S393</f>
        <v/>
      </c>
      <c r="U400" s="7">
        <f>'1 datos preparados'!T393</f>
        <v/>
      </c>
      <c r="V400" s="8">
        <f>$AC$12+D400*$AC$13+E400*$AC$14+F400*$AC$15+G400*$AC$16+H400*$AC$17+I400*$AC$18+J400*$AC$19+K400*$AC$20+L400*$AC$21+M400*$AC$22+N400*$AC$23+O400*$AC$24+P400*$AC$25+Q400*$AC$26+R400*$AC$27+S400*$AC$28+T400*$AC$29+U400*$AC$30</f>
        <v/>
      </c>
      <c r="W400" s="8">
        <f>1/(1+EXP(-V400))</f>
        <v/>
      </c>
      <c r="X400" s="9">
        <f>-IF(C400=1,LN(W400),LN(1-W400))</f>
        <v/>
      </c>
      <c r="Y400" s="10">
        <f>IF(W400&gt;$AC$33,1,0)</f>
        <v/>
      </c>
      <c r="Z400">
        <f>IF(Y400=C400,1,0)</f>
        <v/>
      </c>
    </row>
    <row r="401">
      <c r="A401">
        <f>'1 datos preparados'!A394</f>
        <v/>
      </c>
      <c r="B401" s="5">
        <f>'1 datos preparados'!U394</f>
        <v/>
      </c>
      <c r="C401">
        <f>'1 datos preparados'!B394</f>
        <v/>
      </c>
      <c r="D401" s="7">
        <f>'1 datos preparados'!C394</f>
        <v/>
      </c>
      <c r="E401" s="7">
        <f>'1 datos preparados'!D394</f>
        <v/>
      </c>
      <c r="F401" s="7">
        <f>'1 datos preparados'!E394</f>
        <v/>
      </c>
      <c r="G401" s="7">
        <f>'1 datos preparados'!F394</f>
        <v/>
      </c>
      <c r="H401" s="7">
        <f>'1 datos preparados'!G394</f>
        <v/>
      </c>
      <c r="I401" s="7">
        <f>'1 datos preparados'!H394</f>
        <v/>
      </c>
      <c r="J401" s="7">
        <f>'1 datos preparados'!I394</f>
        <v/>
      </c>
      <c r="K401" s="7">
        <f>'1 datos preparados'!J394</f>
        <v/>
      </c>
      <c r="L401" s="7">
        <f>'1 datos preparados'!K394</f>
        <v/>
      </c>
      <c r="M401" s="7">
        <f>'1 datos preparados'!L394</f>
        <v/>
      </c>
      <c r="N401" s="7">
        <f>'1 datos preparados'!M394</f>
        <v/>
      </c>
      <c r="O401" s="7">
        <f>'1 datos preparados'!N394</f>
        <v/>
      </c>
      <c r="P401" s="7">
        <f>'1 datos preparados'!O394</f>
        <v/>
      </c>
      <c r="Q401" s="7">
        <f>'1 datos preparados'!P394</f>
        <v/>
      </c>
      <c r="R401" s="7">
        <f>'1 datos preparados'!Q394</f>
        <v/>
      </c>
      <c r="S401" s="7">
        <f>'1 datos preparados'!R394</f>
        <v/>
      </c>
      <c r="T401" s="7">
        <f>'1 datos preparados'!S394</f>
        <v/>
      </c>
      <c r="U401" s="7">
        <f>'1 datos preparados'!T394</f>
        <v/>
      </c>
      <c r="V401" s="8">
        <f>$AC$12+D401*$AC$13+E401*$AC$14+F401*$AC$15+G401*$AC$16+H401*$AC$17+I401*$AC$18+J401*$AC$19+K401*$AC$20+L401*$AC$21+M401*$AC$22+N401*$AC$23+O401*$AC$24+P401*$AC$25+Q401*$AC$26+R401*$AC$27+S401*$AC$28+T401*$AC$29+U401*$AC$30</f>
        <v/>
      </c>
      <c r="W401" s="8">
        <f>1/(1+EXP(-V401))</f>
        <v/>
      </c>
      <c r="X401" s="9">
        <f>-IF(C401=1,LN(W401),LN(1-W401))</f>
        <v/>
      </c>
      <c r="Y401" s="10">
        <f>IF(W401&gt;$AC$33,1,0)</f>
        <v/>
      </c>
      <c r="Z401">
        <f>IF(Y401=C401,1,0)</f>
        <v/>
      </c>
    </row>
    <row r="402">
      <c r="A402">
        <f>'1 datos preparados'!A395</f>
        <v/>
      </c>
      <c r="B402" s="5">
        <f>'1 datos preparados'!U395</f>
        <v/>
      </c>
      <c r="C402">
        <f>'1 datos preparados'!B395</f>
        <v/>
      </c>
      <c r="D402" s="7">
        <f>'1 datos preparados'!C395</f>
        <v/>
      </c>
      <c r="E402" s="7">
        <f>'1 datos preparados'!D395</f>
        <v/>
      </c>
      <c r="F402" s="7">
        <f>'1 datos preparados'!E395</f>
        <v/>
      </c>
      <c r="G402" s="7">
        <f>'1 datos preparados'!F395</f>
        <v/>
      </c>
      <c r="H402" s="7">
        <f>'1 datos preparados'!G395</f>
        <v/>
      </c>
      <c r="I402" s="7">
        <f>'1 datos preparados'!H395</f>
        <v/>
      </c>
      <c r="J402" s="7">
        <f>'1 datos preparados'!I395</f>
        <v/>
      </c>
      <c r="K402" s="7">
        <f>'1 datos preparados'!J395</f>
        <v/>
      </c>
      <c r="L402" s="7">
        <f>'1 datos preparados'!K395</f>
        <v/>
      </c>
      <c r="M402" s="7">
        <f>'1 datos preparados'!L395</f>
        <v/>
      </c>
      <c r="N402" s="7">
        <f>'1 datos preparados'!M395</f>
        <v/>
      </c>
      <c r="O402" s="7">
        <f>'1 datos preparados'!N395</f>
        <v/>
      </c>
      <c r="P402" s="7">
        <f>'1 datos preparados'!O395</f>
        <v/>
      </c>
      <c r="Q402" s="7">
        <f>'1 datos preparados'!P395</f>
        <v/>
      </c>
      <c r="R402" s="7">
        <f>'1 datos preparados'!Q395</f>
        <v/>
      </c>
      <c r="S402" s="7">
        <f>'1 datos preparados'!R395</f>
        <v/>
      </c>
      <c r="T402" s="7">
        <f>'1 datos preparados'!S395</f>
        <v/>
      </c>
      <c r="U402" s="7">
        <f>'1 datos preparados'!T395</f>
        <v/>
      </c>
      <c r="V402" s="8">
        <f>$AC$12+D402*$AC$13+E402*$AC$14+F402*$AC$15+G402*$AC$16+H402*$AC$17+I402*$AC$18+J402*$AC$19+K402*$AC$20+L402*$AC$21+M402*$AC$22+N402*$AC$23+O402*$AC$24+P402*$AC$25+Q402*$AC$26+R402*$AC$27+S402*$AC$28+T402*$AC$29+U402*$AC$30</f>
        <v/>
      </c>
      <c r="W402" s="8">
        <f>1/(1+EXP(-V402))</f>
        <v/>
      </c>
      <c r="X402" s="9">
        <f>-IF(C402=1,LN(W402),LN(1-W402))</f>
        <v/>
      </c>
      <c r="Y402" s="10">
        <f>IF(W402&gt;$AC$33,1,0)</f>
        <v/>
      </c>
      <c r="Z402">
        <f>IF(Y402=C402,1,0)</f>
        <v/>
      </c>
    </row>
    <row r="403">
      <c r="A403">
        <f>'1 datos preparados'!A396</f>
        <v/>
      </c>
      <c r="B403" s="5">
        <f>'1 datos preparados'!U396</f>
        <v/>
      </c>
      <c r="C403">
        <f>'1 datos preparados'!B396</f>
        <v/>
      </c>
      <c r="D403" s="7">
        <f>'1 datos preparados'!C396</f>
        <v/>
      </c>
      <c r="E403" s="7">
        <f>'1 datos preparados'!D396</f>
        <v/>
      </c>
      <c r="F403" s="7">
        <f>'1 datos preparados'!E396</f>
        <v/>
      </c>
      <c r="G403" s="7">
        <f>'1 datos preparados'!F396</f>
        <v/>
      </c>
      <c r="H403" s="7">
        <f>'1 datos preparados'!G396</f>
        <v/>
      </c>
      <c r="I403" s="7">
        <f>'1 datos preparados'!H396</f>
        <v/>
      </c>
      <c r="J403" s="7">
        <f>'1 datos preparados'!I396</f>
        <v/>
      </c>
      <c r="K403" s="7">
        <f>'1 datos preparados'!J396</f>
        <v/>
      </c>
      <c r="L403" s="7">
        <f>'1 datos preparados'!K396</f>
        <v/>
      </c>
      <c r="M403" s="7">
        <f>'1 datos preparados'!L396</f>
        <v/>
      </c>
      <c r="N403" s="7">
        <f>'1 datos preparados'!M396</f>
        <v/>
      </c>
      <c r="O403" s="7">
        <f>'1 datos preparados'!N396</f>
        <v/>
      </c>
      <c r="P403" s="7">
        <f>'1 datos preparados'!O396</f>
        <v/>
      </c>
      <c r="Q403" s="7">
        <f>'1 datos preparados'!P396</f>
        <v/>
      </c>
      <c r="R403" s="7">
        <f>'1 datos preparados'!Q396</f>
        <v/>
      </c>
      <c r="S403" s="7">
        <f>'1 datos preparados'!R396</f>
        <v/>
      </c>
      <c r="T403" s="7">
        <f>'1 datos preparados'!S396</f>
        <v/>
      </c>
      <c r="U403" s="7">
        <f>'1 datos preparados'!T396</f>
        <v/>
      </c>
      <c r="V403" s="8">
        <f>$AC$12+D403*$AC$13+E403*$AC$14+F403*$AC$15+G403*$AC$16+H403*$AC$17+I403*$AC$18+J403*$AC$19+K403*$AC$20+L403*$AC$21+M403*$AC$22+N403*$AC$23+O403*$AC$24+P403*$AC$25+Q403*$AC$26+R403*$AC$27+S403*$AC$28+T403*$AC$29+U403*$AC$30</f>
        <v/>
      </c>
      <c r="W403" s="8">
        <f>1/(1+EXP(-V403))</f>
        <v/>
      </c>
      <c r="X403" s="9">
        <f>-IF(C403=1,LN(W403),LN(1-W403))</f>
        <v/>
      </c>
      <c r="Y403" s="10">
        <f>IF(W403&gt;$AC$33,1,0)</f>
        <v/>
      </c>
      <c r="Z403">
        <f>IF(Y403=C403,1,0)</f>
        <v/>
      </c>
    </row>
    <row r="404">
      <c r="A404">
        <f>'1 datos preparados'!A397</f>
        <v/>
      </c>
      <c r="B404" s="5">
        <f>'1 datos preparados'!U397</f>
        <v/>
      </c>
      <c r="C404">
        <f>'1 datos preparados'!B397</f>
        <v/>
      </c>
      <c r="D404" s="7">
        <f>'1 datos preparados'!C397</f>
        <v/>
      </c>
      <c r="E404" s="7">
        <f>'1 datos preparados'!D397</f>
        <v/>
      </c>
      <c r="F404" s="7">
        <f>'1 datos preparados'!E397</f>
        <v/>
      </c>
      <c r="G404" s="7">
        <f>'1 datos preparados'!F397</f>
        <v/>
      </c>
      <c r="H404" s="7">
        <f>'1 datos preparados'!G397</f>
        <v/>
      </c>
      <c r="I404" s="7">
        <f>'1 datos preparados'!H397</f>
        <v/>
      </c>
      <c r="J404" s="7">
        <f>'1 datos preparados'!I397</f>
        <v/>
      </c>
      <c r="K404" s="7">
        <f>'1 datos preparados'!J397</f>
        <v/>
      </c>
      <c r="L404" s="7">
        <f>'1 datos preparados'!K397</f>
        <v/>
      </c>
      <c r="M404" s="7">
        <f>'1 datos preparados'!L397</f>
        <v/>
      </c>
      <c r="N404" s="7">
        <f>'1 datos preparados'!M397</f>
        <v/>
      </c>
      <c r="O404" s="7">
        <f>'1 datos preparados'!N397</f>
        <v/>
      </c>
      <c r="P404" s="7">
        <f>'1 datos preparados'!O397</f>
        <v/>
      </c>
      <c r="Q404" s="7">
        <f>'1 datos preparados'!P397</f>
        <v/>
      </c>
      <c r="R404" s="7">
        <f>'1 datos preparados'!Q397</f>
        <v/>
      </c>
      <c r="S404" s="7">
        <f>'1 datos preparados'!R397</f>
        <v/>
      </c>
      <c r="T404" s="7">
        <f>'1 datos preparados'!S397</f>
        <v/>
      </c>
      <c r="U404" s="7">
        <f>'1 datos preparados'!T397</f>
        <v/>
      </c>
      <c r="V404" s="8">
        <f>$AC$12+D404*$AC$13+E404*$AC$14+F404*$AC$15+G404*$AC$16+H404*$AC$17+I404*$AC$18+J404*$AC$19+K404*$AC$20+L404*$AC$21+M404*$AC$22+N404*$AC$23+O404*$AC$24+P404*$AC$25+Q404*$AC$26+R404*$AC$27+S404*$AC$28+T404*$AC$29+U404*$AC$30</f>
        <v/>
      </c>
      <c r="W404" s="8">
        <f>1/(1+EXP(-V404))</f>
        <v/>
      </c>
      <c r="X404" s="9">
        <f>-IF(C404=1,LN(W404),LN(1-W404))</f>
        <v/>
      </c>
      <c r="Y404" s="10">
        <f>IF(W404&gt;$AC$33,1,0)</f>
        <v/>
      </c>
      <c r="Z404">
        <f>IF(Y404=C404,1,0)</f>
        <v/>
      </c>
    </row>
    <row r="405">
      <c r="A405">
        <f>'1 datos preparados'!A398</f>
        <v/>
      </c>
      <c r="B405" s="5">
        <f>'1 datos preparados'!U398</f>
        <v/>
      </c>
      <c r="C405">
        <f>'1 datos preparados'!B398</f>
        <v/>
      </c>
      <c r="D405" s="7">
        <f>'1 datos preparados'!C398</f>
        <v/>
      </c>
      <c r="E405" s="7">
        <f>'1 datos preparados'!D398</f>
        <v/>
      </c>
      <c r="F405" s="7">
        <f>'1 datos preparados'!E398</f>
        <v/>
      </c>
      <c r="G405" s="7">
        <f>'1 datos preparados'!F398</f>
        <v/>
      </c>
      <c r="H405" s="7">
        <f>'1 datos preparados'!G398</f>
        <v/>
      </c>
      <c r="I405" s="7">
        <f>'1 datos preparados'!H398</f>
        <v/>
      </c>
      <c r="J405" s="7">
        <f>'1 datos preparados'!I398</f>
        <v/>
      </c>
      <c r="K405" s="7">
        <f>'1 datos preparados'!J398</f>
        <v/>
      </c>
      <c r="L405" s="7">
        <f>'1 datos preparados'!K398</f>
        <v/>
      </c>
      <c r="M405" s="7">
        <f>'1 datos preparados'!L398</f>
        <v/>
      </c>
      <c r="N405" s="7">
        <f>'1 datos preparados'!M398</f>
        <v/>
      </c>
      <c r="O405" s="7">
        <f>'1 datos preparados'!N398</f>
        <v/>
      </c>
      <c r="P405" s="7">
        <f>'1 datos preparados'!O398</f>
        <v/>
      </c>
      <c r="Q405" s="7">
        <f>'1 datos preparados'!P398</f>
        <v/>
      </c>
      <c r="R405" s="7">
        <f>'1 datos preparados'!Q398</f>
        <v/>
      </c>
      <c r="S405" s="7">
        <f>'1 datos preparados'!R398</f>
        <v/>
      </c>
      <c r="T405" s="7">
        <f>'1 datos preparados'!S398</f>
        <v/>
      </c>
      <c r="U405" s="7">
        <f>'1 datos preparados'!T398</f>
        <v/>
      </c>
      <c r="V405" s="8">
        <f>$AC$12+D405*$AC$13+E405*$AC$14+F405*$AC$15+G405*$AC$16+H405*$AC$17+I405*$AC$18+J405*$AC$19+K405*$AC$20+L405*$AC$21+M405*$AC$22+N405*$AC$23+O405*$AC$24+P405*$AC$25+Q405*$AC$26+R405*$AC$27+S405*$AC$28+T405*$AC$29+U405*$AC$30</f>
        <v/>
      </c>
      <c r="W405" s="8">
        <f>1/(1+EXP(-V405))</f>
        <v/>
      </c>
      <c r="X405" s="9">
        <f>-IF(C405=1,LN(W405),LN(1-W405))</f>
        <v/>
      </c>
      <c r="Y405" s="10">
        <f>IF(W405&gt;$AC$33,1,0)</f>
        <v/>
      </c>
      <c r="Z405">
        <f>IF(Y405=C405,1,0)</f>
        <v/>
      </c>
    </row>
    <row r="406">
      <c r="A406">
        <f>'1 datos preparados'!A399</f>
        <v/>
      </c>
      <c r="B406" s="5">
        <f>'1 datos preparados'!U399</f>
        <v/>
      </c>
      <c r="C406">
        <f>'1 datos preparados'!B399</f>
        <v/>
      </c>
      <c r="D406" s="7">
        <f>'1 datos preparados'!C399</f>
        <v/>
      </c>
      <c r="E406" s="7">
        <f>'1 datos preparados'!D399</f>
        <v/>
      </c>
      <c r="F406" s="7">
        <f>'1 datos preparados'!E399</f>
        <v/>
      </c>
      <c r="G406" s="7">
        <f>'1 datos preparados'!F399</f>
        <v/>
      </c>
      <c r="H406" s="7">
        <f>'1 datos preparados'!G399</f>
        <v/>
      </c>
      <c r="I406" s="7">
        <f>'1 datos preparados'!H399</f>
        <v/>
      </c>
      <c r="J406" s="7">
        <f>'1 datos preparados'!I399</f>
        <v/>
      </c>
      <c r="K406" s="7">
        <f>'1 datos preparados'!J399</f>
        <v/>
      </c>
      <c r="L406" s="7">
        <f>'1 datos preparados'!K399</f>
        <v/>
      </c>
      <c r="M406" s="7">
        <f>'1 datos preparados'!L399</f>
        <v/>
      </c>
      <c r="N406" s="7">
        <f>'1 datos preparados'!M399</f>
        <v/>
      </c>
      <c r="O406" s="7">
        <f>'1 datos preparados'!N399</f>
        <v/>
      </c>
      <c r="P406" s="7">
        <f>'1 datos preparados'!O399</f>
        <v/>
      </c>
      <c r="Q406" s="7">
        <f>'1 datos preparados'!P399</f>
        <v/>
      </c>
      <c r="R406" s="7">
        <f>'1 datos preparados'!Q399</f>
        <v/>
      </c>
      <c r="S406" s="7">
        <f>'1 datos preparados'!R399</f>
        <v/>
      </c>
      <c r="T406" s="7">
        <f>'1 datos preparados'!S399</f>
        <v/>
      </c>
      <c r="U406" s="7">
        <f>'1 datos preparados'!T399</f>
        <v/>
      </c>
      <c r="V406" s="8">
        <f>$AC$12+D406*$AC$13+E406*$AC$14+F406*$AC$15+G406*$AC$16+H406*$AC$17+I406*$AC$18+J406*$AC$19+K406*$AC$20+L406*$AC$21+M406*$AC$22+N406*$AC$23+O406*$AC$24+P406*$AC$25+Q406*$AC$26+R406*$AC$27+S406*$AC$28+T406*$AC$29+U406*$AC$30</f>
        <v/>
      </c>
      <c r="W406" s="8">
        <f>1/(1+EXP(-V406))</f>
        <v/>
      </c>
      <c r="X406" s="9">
        <f>-IF(C406=1,LN(W406),LN(1-W406))</f>
        <v/>
      </c>
      <c r="Y406" s="10">
        <f>IF(W406&gt;$AC$33,1,0)</f>
        <v/>
      </c>
      <c r="Z406">
        <f>IF(Y406=C406,1,0)</f>
        <v/>
      </c>
    </row>
    <row r="407">
      <c r="A407">
        <f>'1 datos preparados'!A400</f>
        <v/>
      </c>
      <c r="B407" s="5">
        <f>'1 datos preparados'!U400</f>
        <v/>
      </c>
      <c r="C407">
        <f>'1 datos preparados'!B400</f>
        <v/>
      </c>
      <c r="D407" s="7">
        <f>'1 datos preparados'!C400</f>
        <v/>
      </c>
      <c r="E407" s="7">
        <f>'1 datos preparados'!D400</f>
        <v/>
      </c>
      <c r="F407" s="7">
        <f>'1 datos preparados'!E400</f>
        <v/>
      </c>
      <c r="G407" s="7">
        <f>'1 datos preparados'!F400</f>
        <v/>
      </c>
      <c r="H407" s="7">
        <f>'1 datos preparados'!G400</f>
        <v/>
      </c>
      <c r="I407" s="7">
        <f>'1 datos preparados'!H400</f>
        <v/>
      </c>
      <c r="J407" s="7">
        <f>'1 datos preparados'!I400</f>
        <v/>
      </c>
      <c r="K407" s="7">
        <f>'1 datos preparados'!J400</f>
        <v/>
      </c>
      <c r="L407" s="7">
        <f>'1 datos preparados'!K400</f>
        <v/>
      </c>
      <c r="M407" s="7">
        <f>'1 datos preparados'!L400</f>
        <v/>
      </c>
      <c r="N407" s="7">
        <f>'1 datos preparados'!M400</f>
        <v/>
      </c>
      <c r="O407" s="7">
        <f>'1 datos preparados'!N400</f>
        <v/>
      </c>
      <c r="P407" s="7">
        <f>'1 datos preparados'!O400</f>
        <v/>
      </c>
      <c r="Q407" s="7">
        <f>'1 datos preparados'!P400</f>
        <v/>
      </c>
      <c r="R407" s="7">
        <f>'1 datos preparados'!Q400</f>
        <v/>
      </c>
      <c r="S407" s="7">
        <f>'1 datos preparados'!R400</f>
        <v/>
      </c>
      <c r="T407" s="7">
        <f>'1 datos preparados'!S400</f>
        <v/>
      </c>
      <c r="U407" s="7">
        <f>'1 datos preparados'!T400</f>
        <v/>
      </c>
      <c r="V407" s="8">
        <f>$AC$12+D407*$AC$13+E407*$AC$14+F407*$AC$15+G407*$AC$16+H407*$AC$17+I407*$AC$18+J407*$AC$19+K407*$AC$20+L407*$AC$21+M407*$AC$22+N407*$AC$23+O407*$AC$24+P407*$AC$25+Q407*$AC$26+R407*$AC$27+S407*$AC$28+T407*$AC$29+U407*$AC$30</f>
        <v/>
      </c>
      <c r="W407" s="8">
        <f>1/(1+EXP(-V407))</f>
        <v/>
      </c>
      <c r="X407" s="9">
        <f>-IF(C407=1,LN(W407),LN(1-W407))</f>
        <v/>
      </c>
      <c r="Y407" s="10">
        <f>IF(W407&gt;$AC$33,1,0)</f>
        <v/>
      </c>
      <c r="Z407">
        <f>IF(Y407=C407,1,0)</f>
        <v/>
      </c>
    </row>
    <row r="408">
      <c r="A408">
        <f>'1 datos preparados'!A401</f>
        <v/>
      </c>
      <c r="B408" s="5">
        <f>'1 datos preparados'!U401</f>
        <v/>
      </c>
      <c r="C408">
        <f>'1 datos preparados'!B401</f>
        <v/>
      </c>
      <c r="D408" s="7">
        <f>'1 datos preparados'!C401</f>
        <v/>
      </c>
      <c r="E408" s="7">
        <f>'1 datos preparados'!D401</f>
        <v/>
      </c>
      <c r="F408" s="7">
        <f>'1 datos preparados'!E401</f>
        <v/>
      </c>
      <c r="G408" s="7">
        <f>'1 datos preparados'!F401</f>
        <v/>
      </c>
      <c r="H408" s="7">
        <f>'1 datos preparados'!G401</f>
        <v/>
      </c>
      <c r="I408" s="7">
        <f>'1 datos preparados'!H401</f>
        <v/>
      </c>
      <c r="J408" s="7">
        <f>'1 datos preparados'!I401</f>
        <v/>
      </c>
      <c r="K408" s="7">
        <f>'1 datos preparados'!J401</f>
        <v/>
      </c>
      <c r="L408" s="7">
        <f>'1 datos preparados'!K401</f>
        <v/>
      </c>
      <c r="M408" s="7">
        <f>'1 datos preparados'!L401</f>
        <v/>
      </c>
      <c r="N408" s="7">
        <f>'1 datos preparados'!M401</f>
        <v/>
      </c>
      <c r="O408" s="7">
        <f>'1 datos preparados'!N401</f>
        <v/>
      </c>
      <c r="P408" s="7">
        <f>'1 datos preparados'!O401</f>
        <v/>
      </c>
      <c r="Q408" s="7">
        <f>'1 datos preparados'!P401</f>
        <v/>
      </c>
      <c r="R408" s="7">
        <f>'1 datos preparados'!Q401</f>
        <v/>
      </c>
      <c r="S408" s="7">
        <f>'1 datos preparados'!R401</f>
        <v/>
      </c>
      <c r="T408" s="7">
        <f>'1 datos preparados'!S401</f>
        <v/>
      </c>
      <c r="U408" s="7">
        <f>'1 datos preparados'!T401</f>
        <v/>
      </c>
      <c r="V408" s="8">
        <f>$AC$12+D408*$AC$13+E408*$AC$14+F408*$AC$15+G408*$AC$16+H408*$AC$17+I408*$AC$18+J408*$AC$19+K408*$AC$20+L408*$AC$21+M408*$AC$22+N408*$AC$23+O408*$AC$24+P408*$AC$25+Q408*$AC$26+R408*$AC$27+S408*$AC$28+T408*$AC$29+U408*$AC$30</f>
        <v/>
      </c>
      <c r="W408" s="8">
        <f>1/(1+EXP(-V408))</f>
        <v/>
      </c>
      <c r="X408" s="9">
        <f>-IF(C408=1,LN(W408),LN(1-W408))</f>
        <v/>
      </c>
      <c r="Y408" s="10">
        <f>IF(W408&gt;$AC$33,1,0)</f>
        <v/>
      </c>
      <c r="Z408">
        <f>IF(Y408=C408,1,0)</f>
        <v/>
      </c>
    </row>
    <row r="409">
      <c r="A409">
        <f>'1 datos preparados'!A402</f>
        <v/>
      </c>
      <c r="B409" s="5">
        <f>'1 datos preparados'!U402</f>
        <v/>
      </c>
      <c r="C409">
        <f>'1 datos preparados'!B402</f>
        <v/>
      </c>
      <c r="D409" s="7">
        <f>'1 datos preparados'!C402</f>
        <v/>
      </c>
      <c r="E409" s="7">
        <f>'1 datos preparados'!D402</f>
        <v/>
      </c>
      <c r="F409" s="7">
        <f>'1 datos preparados'!E402</f>
        <v/>
      </c>
      <c r="G409" s="7">
        <f>'1 datos preparados'!F402</f>
        <v/>
      </c>
      <c r="H409" s="7">
        <f>'1 datos preparados'!G402</f>
        <v/>
      </c>
      <c r="I409" s="7">
        <f>'1 datos preparados'!H402</f>
        <v/>
      </c>
      <c r="J409" s="7">
        <f>'1 datos preparados'!I402</f>
        <v/>
      </c>
      <c r="K409" s="7">
        <f>'1 datos preparados'!J402</f>
        <v/>
      </c>
      <c r="L409" s="7">
        <f>'1 datos preparados'!K402</f>
        <v/>
      </c>
      <c r="M409" s="7">
        <f>'1 datos preparados'!L402</f>
        <v/>
      </c>
      <c r="N409" s="7">
        <f>'1 datos preparados'!M402</f>
        <v/>
      </c>
      <c r="O409" s="7">
        <f>'1 datos preparados'!N402</f>
        <v/>
      </c>
      <c r="P409" s="7">
        <f>'1 datos preparados'!O402</f>
        <v/>
      </c>
      <c r="Q409" s="7">
        <f>'1 datos preparados'!P402</f>
        <v/>
      </c>
      <c r="R409" s="7">
        <f>'1 datos preparados'!Q402</f>
        <v/>
      </c>
      <c r="S409" s="7">
        <f>'1 datos preparados'!R402</f>
        <v/>
      </c>
      <c r="T409" s="7">
        <f>'1 datos preparados'!S402</f>
        <v/>
      </c>
      <c r="U409" s="7">
        <f>'1 datos preparados'!T402</f>
        <v/>
      </c>
      <c r="V409" s="8">
        <f>$AC$12+D409*$AC$13+E409*$AC$14+F409*$AC$15+G409*$AC$16+H409*$AC$17+I409*$AC$18+J409*$AC$19+K409*$AC$20+L409*$AC$21+M409*$AC$22+N409*$AC$23+O409*$AC$24+P409*$AC$25+Q409*$AC$26+R409*$AC$27+S409*$AC$28+T409*$AC$29+U409*$AC$30</f>
        <v/>
      </c>
      <c r="W409" s="8">
        <f>1/(1+EXP(-V409))</f>
        <v/>
      </c>
      <c r="X409" s="9">
        <f>-IF(C409=1,LN(W409),LN(1-W409))</f>
        <v/>
      </c>
      <c r="Y409" s="10">
        <f>IF(W409&gt;$AC$33,1,0)</f>
        <v/>
      </c>
      <c r="Z409">
        <f>IF(Y409=C409,1,0)</f>
        <v/>
      </c>
    </row>
    <row r="410">
      <c r="A410">
        <f>'1 datos preparados'!A403</f>
        <v/>
      </c>
      <c r="B410" s="5">
        <f>'1 datos preparados'!U403</f>
        <v/>
      </c>
      <c r="C410">
        <f>'1 datos preparados'!B403</f>
        <v/>
      </c>
      <c r="D410" s="7">
        <f>'1 datos preparados'!C403</f>
        <v/>
      </c>
      <c r="E410" s="7">
        <f>'1 datos preparados'!D403</f>
        <v/>
      </c>
      <c r="F410" s="7">
        <f>'1 datos preparados'!E403</f>
        <v/>
      </c>
      <c r="G410" s="7">
        <f>'1 datos preparados'!F403</f>
        <v/>
      </c>
      <c r="H410" s="7">
        <f>'1 datos preparados'!G403</f>
        <v/>
      </c>
      <c r="I410" s="7">
        <f>'1 datos preparados'!H403</f>
        <v/>
      </c>
      <c r="J410" s="7">
        <f>'1 datos preparados'!I403</f>
        <v/>
      </c>
      <c r="K410" s="7">
        <f>'1 datos preparados'!J403</f>
        <v/>
      </c>
      <c r="L410" s="7">
        <f>'1 datos preparados'!K403</f>
        <v/>
      </c>
      <c r="M410" s="7">
        <f>'1 datos preparados'!L403</f>
        <v/>
      </c>
      <c r="N410" s="7">
        <f>'1 datos preparados'!M403</f>
        <v/>
      </c>
      <c r="O410" s="7">
        <f>'1 datos preparados'!N403</f>
        <v/>
      </c>
      <c r="P410" s="7">
        <f>'1 datos preparados'!O403</f>
        <v/>
      </c>
      <c r="Q410" s="7">
        <f>'1 datos preparados'!P403</f>
        <v/>
      </c>
      <c r="R410" s="7">
        <f>'1 datos preparados'!Q403</f>
        <v/>
      </c>
      <c r="S410" s="7">
        <f>'1 datos preparados'!R403</f>
        <v/>
      </c>
      <c r="T410" s="7">
        <f>'1 datos preparados'!S403</f>
        <v/>
      </c>
      <c r="U410" s="7">
        <f>'1 datos preparados'!T403</f>
        <v/>
      </c>
      <c r="V410" s="8">
        <f>$AC$12+D410*$AC$13+E410*$AC$14+F410*$AC$15+G410*$AC$16+H410*$AC$17+I410*$AC$18+J410*$AC$19+K410*$AC$20+L410*$AC$21+M410*$AC$22+N410*$AC$23+O410*$AC$24+P410*$AC$25+Q410*$AC$26+R410*$AC$27+S410*$AC$28+T410*$AC$29+U410*$AC$30</f>
        <v/>
      </c>
      <c r="W410" s="8">
        <f>1/(1+EXP(-V410))</f>
        <v/>
      </c>
      <c r="X410" s="9">
        <f>-IF(C410=1,LN(W410),LN(1-W410))</f>
        <v/>
      </c>
      <c r="Y410" s="10">
        <f>IF(W410&gt;$AC$33,1,0)</f>
        <v/>
      </c>
      <c r="Z410">
        <f>IF(Y410=C410,1,0)</f>
        <v/>
      </c>
    </row>
    <row r="411">
      <c r="A411">
        <f>'1 datos preparados'!A404</f>
        <v/>
      </c>
      <c r="B411" s="5">
        <f>'1 datos preparados'!U404</f>
        <v/>
      </c>
      <c r="C411">
        <f>'1 datos preparados'!B404</f>
        <v/>
      </c>
      <c r="D411" s="7">
        <f>'1 datos preparados'!C404</f>
        <v/>
      </c>
      <c r="E411" s="7">
        <f>'1 datos preparados'!D404</f>
        <v/>
      </c>
      <c r="F411" s="7">
        <f>'1 datos preparados'!E404</f>
        <v/>
      </c>
      <c r="G411" s="7">
        <f>'1 datos preparados'!F404</f>
        <v/>
      </c>
      <c r="H411" s="7">
        <f>'1 datos preparados'!G404</f>
        <v/>
      </c>
      <c r="I411" s="7">
        <f>'1 datos preparados'!H404</f>
        <v/>
      </c>
      <c r="J411" s="7">
        <f>'1 datos preparados'!I404</f>
        <v/>
      </c>
      <c r="K411" s="7">
        <f>'1 datos preparados'!J404</f>
        <v/>
      </c>
      <c r="L411" s="7">
        <f>'1 datos preparados'!K404</f>
        <v/>
      </c>
      <c r="M411" s="7">
        <f>'1 datos preparados'!L404</f>
        <v/>
      </c>
      <c r="N411" s="7">
        <f>'1 datos preparados'!M404</f>
        <v/>
      </c>
      <c r="O411" s="7">
        <f>'1 datos preparados'!N404</f>
        <v/>
      </c>
      <c r="P411" s="7">
        <f>'1 datos preparados'!O404</f>
        <v/>
      </c>
      <c r="Q411" s="7">
        <f>'1 datos preparados'!P404</f>
        <v/>
      </c>
      <c r="R411" s="7">
        <f>'1 datos preparados'!Q404</f>
        <v/>
      </c>
      <c r="S411" s="7">
        <f>'1 datos preparados'!R404</f>
        <v/>
      </c>
      <c r="T411" s="7">
        <f>'1 datos preparados'!S404</f>
        <v/>
      </c>
      <c r="U411" s="7">
        <f>'1 datos preparados'!T404</f>
        <v/>
      </c>
      <c r="V411" s="8">
        <f>$AC$12+D411*$AC$13+E411*$AC$14+F411*$AC$15+G411*$AC$16+H411*$AC$17+I411*$AC$18+J411*$AC$19+K411*$AC$20+L411*$AC$21+M411*$AC$22+N411*$AC$23+O411*$AC$24+P411*$AC$25+Q411*$AC$26+R411*$AC$27+S411*$AC$28+T411*$AC$29+U411*$AC$30</f>
        <v/>
      </c>
      <c r="W411" s="8">
        <f>1/(1+EXP(-V411))</f>
        <v/>
      </c>
      <c r="X411" s="9">
        <f>-IF(C411=1,LN(W411),LN(1-W411))</f>
        <v/>
      </c>
      <c r="Y411" s="10">
        <f>IF(W411&gt;$AC$33,1,0)</f>
        <v/>
      </c>
      <c r="Z411">
        <f>IF(Y411=C411,1,0)</f>
        <v/>
      </c>
    </row>
    <row r="412">
      <c r="A412">
        <f>'1 datos preparados'!A405</f>
        <v/>
      </c>
      <c r="B412" s="5">
        <f>'1 datos preparados'!U405</f>
        <v/>
      </c>
      <c r="C412">
        <f>'1 datos preparados'!B405</f>
        <v/>
      </c>
      <c r="D412" s="7">
        <f>'1 datos preparados'!C405</f>
        <v/>
      </c>
      <c r="E412" s="7">
        <f>'1 datos preparados'!D405</f>
        <v/>
      </c>
      <c r="F412" s="7">
        <f>'1 datos preparados'!E405</f>
        <v/>
      </c>
      <c r="G412" s="7">
        <f>'1 datos preparados'!F405</f>
        <v/>
      </c>
      <c r="H412" s="7">
        <f>'1 datos preparados'!G405</f>
        <v/>
      </c>
      <c r="I412" s="7">
        <f>'1 datos preparados'!H405</f>
        <v/>
      </c>
      <c r="J412" s="7">
        <f>'1 datos preparados'!I405</f>
        <v/>
      </c>
      <c r="K412" s="7">
        <f>'1 datos preparados'!J405</f>
        <v/>
      </c>
      <c r="L412" s="7">
        <f>'1 datos preparados'!K405</f>
        <v/>
      </c>
      <c r="M412" s="7">
        <f>'1 datos preparados'!L405</f>
        <v/>
      </c>
      <c r="N412" s="7">
        <f>'1 datos preparados'!M405</f>
        <v/>
      </c>
      <c r="O412" s="7">
        <f>'1 datos preparados'!N405</f>
        <v/>
      </c>
      <c r="P412" s="7">
        <f>'1 datos preparados'!O405</f>
        <v/>
      </c>
      <c r="Q412" s="7">
        <f>'1 datos preparados'!P405</f>
        <v/>
      </c>
      <c r="R412" s="7">
        <f>'1 datos preparados'!Q405</f>
        <v/>
      </c>
      <c r="S412" s="7">
        <f>'1 datos preparados'!R405</f>
        <v/>
      </c>
      <c r="T412" s="7">
        <f>'1 datos preparados'!S405</f>
        <v/>
      </c>
      <c r="U412" s="7">
        <f>'1 datos preparados'!T405</f>
        <v/>
      </c>
      <c r="V412" s="8">
        <f>$AC$12+D412*$AC$13+E412*$AC$14+F412*$AC$15+G412*$AC$16+H412*$AC$17+I412*$AC$18+J412*$AC$19+K412*$AC$20+L412*$AC$21+M412*$AC$22+N412*$AC$23+O412*$AC$24+P412*$AC$25+Q412*$AC$26+R412*$AC$27+S412*$AC$28+T412*$AC$29+U412*$AC$30</f>
        <v/>
      </c>
      <c r="W412" s="8">
        <f>1/(1+EXP(-V412))</f>
        <v/>
      </c>
      <c r="X412" s="9">
        <f>-IF(C412=1,LN(W412),LN(1-W412))</f>
        <v/>
      </c>
      <c r="Y412" s="10">
        <f>IF(W412&gt;$AC$33,1,0)</f>
        <v/>
      </c>
      <c r="Z412">
        <f>IF(Y412=C412,1,0)</f>
        <v/>
      </c>
    </row>
    <row r="413">
      <c r="A413">
        <f>'1 datos preparados'!A406</f>
        <v/>
      </c>
      <c r="B413" s="5">
        <f>'1 datos preparados'!U406</f>
        <v/>
      </c>
      <c r="C413">
        <f>'1 datos preparados'!B406</f>
        <v/>
      </c>
      <c r="D413" s="7">
        <f>'1 datos preparados'!C406</f>
        <v/>
      </c>
      <c r="E413" s="7">
        <f>'1 datos preparados'!D406</f>
        <v/>
      </c>
      <c r="F413" s="7">
        <f>'1 datos preparados'!E406</f>
        <v/>
      </c>
      <c r="G413" s="7">
        <f>'1 datos preparados'!F406</f>
        <v/>
      </c>
      <c r="H413" s="7">
        <f>'1 datos preparados'!G406</f>
        <v/>
      </c>
      <c r="I413" s="7">
        <f>'1 datos preparados'!H406</f>
        <v/>
      </c>
      <c r="J413" s="7">
        <f>'1 datos preparados'!I406</f>
        <v/>
      </c>
      <c r="K413" s="7">
        <f>'1 datos preparados'!J406</f>
        <v/>
      </c>
      <c r="L413" s="7">
        <f>'1 datos preparados'!K406</f>
        <v/>
      </c>
      <c r="M413" s="7">
        <f>'1 datos preparados'!L406</f>
        <v/>
      </c>
      <c r="N413" s="7">
        <f>'1 datos preparados'!M406</f>
        <v/>
      </c>
      <c r="O413" s="7">
        <f>'1 datos preparados'!N406</f>
        <v/>
      </c>
      <c r="P413" s="7">
        <f>'1 datos preparados'!O406</f>
        <v/>
      </c>
      <c r="Q413" s="7">
        <f>'1 datos preparados'!P406</f>
        <v/>
      </c>
      <c r="R413" s="7">
        <f>'1 datos preparados'!Q406</f>
        <v/>
      </c>
      <c r="S413" s="7">
        <f>'1 datos preparados'!R406</f>
        <v/>
      </c>
      <c r="T413" s="7">
        <f>'1 datos preparados'!S406</f>
        <v/>
      </c>
      <c r="U413" s="7">
        <f>'1 datos preparados'!T406</f>
        <v/>
      </c>
      <c r="V413" s="8">
        <f>$AC$12+D413*$AC$13+E413*$AC$14+F413*$AC$15+G413*$AC$16+H413*$AC$17+I413*$AC$18+J413*$AC$19+K413*$AC$20+L413*$AC$21+M413*$AC$22+N413*$AC$23+O413*$AC$24+P413*$AC$25+Q413*$AC$26+R413*$AC$27+S413*$AC$28+T413*$AC$29+U413*$AC$30</f>
        <v/>
      </c>
      <c r="W413" s="8">
        <f>1/(1+EXP(-V413))</f>
        <v/>
      </c>
      <c r="X413" s="9">
        <f>-IF(C413=1,LN(W413),LN(1-W413))</f>
        <v/>
      </c>
      <c r="Y413" s="10">
        <f>IF(W413&gt;$AC$33,1,0)</f>
        <v/>
      </c>
      <c r="Z413">
        <f>IF(Y413=C413,1,0)</f>
        <v/>
      </c>
    </row>
    <row r="414">
      <c r="A414">
        <f>'1 datos preparados'!A407</f>
        <v/>
      </c>
      <c r="B414" s="5">
        <f>'1 datos preparados'!U407</f>
        <v/>
      </c>
      <c r="C414">
        <f>'1 datos preparados'!B407</f>
        <v/>
      </c>
      <c r="D414" s="7">
        <f>'1 datos preparados'!C407</f>
        <v/>
      </c>
      <c r="E414" s="7">
        <f>'1 datos preparados'!D407</f>
        <v/>
      </c>
      <c r="F414" s="7">
        <f>'1 datos preparados'!E407</f>
        <v/>
      </c>
      <c r="G414" s="7">
        <f>'1 datos preparados'!F407</f>
        <v/>
      </c>
      <c r="H414" s="7">
        <f>'1 datos preparados'!G407</f>
        <v/>
      </c>
      <c r="I414" s="7">
        <f>'1 datos preparados'!H407</f>
        <v/>
      </c>
      <c r="J414" s="7">
        <f>'1 datos preparados'!I407</f>
        <v/>
      </c>
      <c r="K414" s="7">
        <f>'1 datos preparados'!J407</f>
        <v/>
      </c>
      <c r="L414" s="7">
        <f>'1 datos preparados'!K407</f>
        <v/>
      </c>
      <c r="M414" s="7">
        <f>'1 datos preparados'!L407</f>
        <v/>
      </c>
      <c r="N414" s="7">
        <f>'1 datos preparados'!M407</f>
        <v/>
      </c>
      <c r="O414" s="7">
        <f>'1 datos preparados'!N407</f>
        <v/>
      </c>
      <c r="P414" s="7">
        <f>'1 datos preparados'!O407</f>
        <v/>
      </c>
      <c r="Q414" s="7">
        <f>'1 datos preparados'!P407</f>
        <v/>
      </c>
      <c r="R414" s="7">
        <f>'1 datos preparados'!Q407</f>
        <v/>
      </c>
      <c r="S414" s="7">
        <f>'1 datos preparados'!R407</f>
        <v/>
      </c>
      <c r="T414" s="7">
        <f>'1 datos preparados'!S407</f>
        <v/>
      </c>
      <c r="U414" s="7">
        <f>'1 datos preparados'!T407</f>
        <v/>
      </c>
      <c r="V414" s="8">
        <f>$AC$12+D414*$AC$13+E414*$AC$14+F414*$AC$15+G414*$AC$16+H414*$AC$17+I414*$AC$18+J414*$AC$19+K414*$AC$20+L414*$AC$21+M414*$AC$22+N414*$AC$23+O414*$AC$24+P414*$AC$25+Q414*$AC$26+R414*$AC$27+S414*$AC$28+T414*$AC$29+U414*$AC$30</f>
        <v/>
      </c>
      <c r="W414" s="8">
        <f>1/(1+EXP(-V414))</f>
        <v/>
      </c>
      <c r="X414" s="9">
        <f>-IF(C414=1,LN(W414),LN(1-W414))</f>
        <v/>
      </c>
      <c r="Y414" s="10">
        <f>IF(W414&gt;$AC$33,1,0)</f>
        <v/>
      </c>
      <c r="Z414">
        <f>IF(Y414=C414,1,0)</f>
        <v/>
      </c>
    </row>
    <row r="415">
      <c r="A415">
        <f>'1 datos preparados'!A408</f>
        <v/>
      </c>
      <c r="B415" s="5">
        <f>'1 datos preparados'!U408</f>
        <v/>
      </c>
      <c r="C415">
        <f>'1 datos preparados'!B408</f>
        <v/>
      </c>
      <c r="D415" s="7">
        <f>'1 datos preparados'!C408</f>
        <v/>
      </c>
      <c r="E415" s="7">
        <f>'1 datos preparados'!D408</f>
        <v/>
      </c>
      <c r="F415" s="7">
        <f>'1 datos preparados'!E408</f>
        <v/>
      </c>
      <c r="G415" s="7">
        <f>'1 datos preparados'!F408</f>
        <v/>
      </c>
      <c r="H415" s="7">
        <f>'1 datos preparados'!G408</f>
        <v/>
      </c>
      <c r="I415" s="7">
        <f>'1 datos preparados'!H408</f>
        <v/>
      </c>
      <c r="J415" s="7">
        <f>'1 datos preparados'!I408</f>
        <v/>
      </c>
      <c r="K415" s="7">
        <f>'1 datos preparados'!J408</f>
        <v/>
      </c>
      <c r="L415" s="7">
        <f>'1 datos preparados'!K408</f>
        <v/>
      </c>
      <c r="M415" s="7">
        <f>'1 datos preparados'!L408</f>
        <v/>
      </c>
      <c r="N415" s="7">
        <f>'1 datos preparados'!M408</f>
        <v/>
      </c>
      <c r="O415" s="7">
        <f>'1 datos preparados'!N408</f>
        <v/>
      </c>
      <c r="P415" s="7">
        <f>'1 datos preparados'!O408</f>
        <v/>
      </c>
      <c r="Q415" s="7">
        <f>'1 datos preparados'!P408</f>
        <v/>
      </c>
      <c r="R415" s="7">
        <f>'1 datos preparados'!Q408</f>
        <v/>
      </c>
      <c r="S415" s="7">
        <f>'1 datos preparados'!R408</f>
        <v/>
      </c>
      <c r="T415" s="7">
        <f>'1 datos preparados'!S408</f>
        <v/>
      </c>
      <c r="U415" s="7">
        <f>'1 datos preparados'!T408</f>
        <v/>
      </c>
      <c r="V415" s="8">
        <f>$AC$12+D415*$AC$13+E415*$AC$14+F415*$AC$15+G415*$AC$16+H415*$AC$17+I415*$AC$18+J415*$AC$19+K415*$AC$20+L415*$AC$21+M415*$AC$22+N415*$AC$23+O415*$AC$24+P415*$AC$25+Q415*$AC$26+R415*$AC$27+S415*$AC$28+T415*$AC$29+U415*$AC$30</f>
        <v/>
      </c>
      <c r="W415" s="8">
        <f>1/(1+EXP(-V415))</f>
        <v/>
      </c>
      <c r="X415" s="9">
        <f>-IF(C415=1,LN(W415),LN(1-W415))</f>
        <v/>
      </c>
      <c r="Y415" s="10">
        <f>IF(W415&gt;$AC$33,1,0)</f>
        <v/>
      </c>
      <c r="Z415">
        <f>IF(Y415=C415,1,0)</f>
        <v/>
      </c>
    </row>
    <row r="416">
      <c r="A416">
        <f>'1 datos preparados'!A409</f>
        <v/>
      </c>
      <c r="B416" s="5">
        <f>'1 datos preparados'!U409</f>
        <v/>
      </c>
      <c r="C416">
        <f>'1 datos preparados'!B409</f>
        <v/>
      </c>
      <c r="D416" s="7">
        <f>'1 datos preparados'!C409</f>
        <v/>
      </c>
      <c r="E416" s="7">
        <f>'1 datos preparados'!D409</f>
        <v/>
      </c>
      <c r="F416" s="7">
        <f>'1 datos preparados'!E409</f>
        <v/>
      </c>
      <c r="G416" s="7">
        <f>'1 datos preparados'!F409</f>
        <v/>
      </c>
      <c r="H416" s="7">
        <f>'1 datos preparados'!G409</f>
        <v/>
      </c>
      <c r="I416" s="7">
        <f>'1 datos preparados'!H409</f>
        <v/>
      </c>
      <c r="J416" s="7">
        <f>'1 datos preparados'!I409</f>
        <v/>
      </c>
      <c r="K416" s="7">
        <f>'1 datos preparados'!J409</f>
        <v/>
      </c>
      <c r="L416" s="7">
        <f>'1 datos preparados'!K409</f>
        <v/>
      </c>
      <c r="M416" s="7">
        <f>'1 datos preparados'!L409</f>
        <v/>
      </c>
      <c r="N416" s="7">
        <f>'1 datos preparados'!M409</f>
        <v/>
      </c>
      <c r="O416" s="7">
        <f>'1 datos preparados'!N409</f>
        <v/>
      </c>
      <c r="P416" s="7">
        <f>'1 datos preparados'!O409</f>
        <v/>
      </c>
      <c r="Q416" s="7">
        <f>'1 datos preparados'!P409</f>
        <v/>
      </c>
      <c r="R416" s="7">
        <f>'1 datos preparados'!Q409</f>
        <v/>
      </c>
      <c r="S416" s="7">
        <f>'1 datos preparados'!R409</f>
        <v/>
      </c>
      <c r="T416" s="7">
        <f>'1 datos preparados'!S409</f>
        <v/>
      </c>
      <c r="U416" s="7">
        <f>'1 datos preparados'!T409</f>
        <v/>
      </c>
      <c r="V416" s="8">
        <f>$AC$12+D416*$AC$13+E416*$AC$14+F416*$AC$15+G416*$AC$16+H416*$AC$17+I416*$AC$18+J416*$AC$19+K416*$AC$20+L416*$AC$21+M416*$AC$22+N416*$AC$23+O416*$AC$24+P416*$AC$25+Q416*$AC$26+R416*$AC$27+S416*$AC$28+T416*$AC$29+U416*$AC$30</f>
        <v/>
      </c>
      <c r="W416" s="8">
        <f>1/(1+EXP(-V416))</f>
        <v/>
      </c>
      <c r="X416" s="9">
        <f>-IF(C416=1,LN(W416),LN(1-W416))</f>
        <v/>
      </c>
      <c r="Y416" s="10">
        <f>IF(W416&gt;$AC$33,1,0)</f>
        <v/>
      </c>
      <c r="Z416">
        <f>IF(Y416=C416,1,0)</f>
        <v/>
      </c>
    </row>
    <row r="417">
      <c r="A417">
        <f>'1 datos preparados'!A410</f>
        <v/>
      </c>
      <c r="B417" s="5">
        <f>'1 datos preparados'!U410</f>
        <v/>
      </c>
      <c r="C417">
        <f>'1 datos preparados'!B410</f>
        <v/>
      </c>
      <c r="D417" s="7">
        <f>'1 datos preparados'!C410</f>
        <v/>
      </c>
      <c r="E417" s="7">
        <f>'1 datos preparados'!D410</f>
        <v/>
      </c>
      <c r="F417" s="7">
        <f>'1 datos preparados'!E410</f>
        <v/>
      </c>
      <c r="G417" s="7">
        <f>'1 datos preparados'!F410</f>
        <v/>
      </c>
      <c r="H417" s="7">
        <f>'1 datos preparados'!G410</f>
        <v/>
      </c>
      <c r="I417" s="7">
        <f>'1 datos preparados'!H410</f>
        <v/>
      </c>
      <c r="J417" s="7">
        <f>'1 datos preparados'!I410</f>
        <v/>
      </c>
      <c r="K417" s="7">
        <f>'1 datos preparados'!J410</f>
        <v/>
      </c>
      <c r="L417" s="7">
        <f>'1 datos preparados'!K410</f>
        <v/>
      </c>
      <c r="M417" s="7">
        <f>'1 datos preparados'!L410</f>
        <v/>
      </c>
      <c r="N417" s="7">
        <f>'1 datos preparados'!M410</f>
        <v/>
      </c>
      <c r="O417" s="7">
        <f>'1 datos preparados'!N410</f>
        <v/>
      </c>
      <c r="P417" s="7">
        <f>'1 datos preparados'!O410</f>
        <v/>
      </c>
      <c r="Q417" s="7">
        <f>'1 datos preparados'!P410</f>
        <v/>
      </c>
      <c r="R417" s="7">
        <f>'1 datos preparados'!Q410</f>
        <v/>
      </c>
      <c r="S417" s="7">
        <f>'1 datos preparados'!R410</f>
        <v/>
      </c>
      <c r="T417" s="7">
        <f>'1 datos preparados'!S410</f>
        <v/>
      </c>
      <c r="U417" s="7">
        <f>'1 datos preparados'!T410</f>
        <v/>
      </c>
      <c r="V417" s="8">
        <f>$AC$12+D417*$AC$13+E417*$AC$14+F417*$AC$15+G417*$AC$16+H417*$AC$17+I417*$AC$18+J417*$AC$19+K417*$AC$20+L417*$AC$21+M417*$AC$22+N417*$AC$23+O417*$AC$24+P417*$AC$25+Q417*$AC$26+R417*$AC$27+S417*$AC$28+T417*$AC$29+U417*$AC$30</f>
        <v/>
      </c>
      <c r="W417" s="8">
        <f>1/(1+EXP(-V417))</f>
        <v/>
      </c>
      <c r="X417" s="9">
        <f>-IF(C417=1,LN(W417),LN(1-W417))</f>
        <v/>
      </c>
      <c r="Y417" s="10">
        <f>IF(W417&gt;$AC$33,1,0)</f>
        <v/>
      </c>
      <c r="Z417">
        <f>IF(Y417=C417,1,0)</f>
        <v/>
      </c>
    </row>
    <row r="418">
      <c r="A418">
        <f>'1 datos preparados'!A411</f>
        <v/>
      </c>
      <c r="B418" s="5">
        <f>'1 datos preparados'!U411</f>
        <v/>
      </c>
      <c r="C418">
        <f>'1 datos preparados'!B411</f>
        <v/>
      </c>
      <c r="D418" s="7">
        <f>'1 datos preparados'!C411</f>
        <v/>
      </c>
      <c r="E418" s="7">
        <f>'1 datos preparados'!D411</f>
        <v/>
      </c>
      <c r="F418" s="7">
        <f>'1 datos preparados'!E411</f>
        <v/>
      </c>
      <c r="G418" s="7">
        <f>'1 datos preparados'!F411</f>
        <v/>
      </c>
      <c r="H418" s="7">
        <f>'1 datos preparados'!G411</f>
        <v/>
      </c>
      <c r="I418" s="7">
        <f>'1 datos preparados'!H411</f>
        <v/>
      </c>
      <c r="J418" s="7">
        <f>'1 datos preparados'!I411</f>
        <v/>
      </c>
      <c r="K418" s="7">
        <f>'1 datos preparados'!J411</f>
        <v/>
      </c>
      <c r="L418" s="7">
        <f>'1 datos preparados'!K411</f>
        <v/>
      </c>
      <c r="M418" s="7">
        <f>'1 datos preparados'!L411</f>
        <v/>
      </c>
      <c r="N418" s="7">
        <f>'1 datos preparados'!M411</f>
        <v/>
      </c>
      <c r="O418" s="7">
        <f>'1 datos preparados'!N411</f>
        <v/>
      </c>
      <c r="P418" s="7">
        <f>'1 datos preparados'!O411</f>
        <v/>
      </c>
      <c r="Q418" s="7">
        <f>'1 datos preparados'!P411</f>
        <v/>
      </c>
      <c r="R418" s="7">
        <f>'1 datos preparados'!Q411</f>
        <v/>
      </c>
      <c r="S418" s="7">
        <f>'1 datos preparados'!R411</f>
        <v/>
      </c>
      <c r="T418" s="7">
        <f>'1 datos preparados'!S411</f>
        <v/>
      </c>
      <c r="U418" s="7">
        <f>'1 datos preparados'!T411</f>
        <v/>
      </c>
      <c r="V418" s="8">
        <f>$AC$12+D418*$AC$13+E418*$AC$14+F418*$AC$15+G418*$AC$16+H418*$AC$17+I418*$AC$18+J418*$AC$19+K418*$AC$20+L418*$AC$21+M418*$AC$22+N418*$AC$23+O418*$AC$24+P418*$AC$25+Q418*$AC$26+R418*$AC$27+S418*$AC$28+T418*$AC$29+U418*$AC$30</f>
        <v/>
      </c>
      <c r="W418" s="8">
        <f>1/(1+EXP(-V418))</f>
        <v/>
      </c>
      <c r="X418" s="9">
        <f>-IF(C418=1,LN(W418),LN(1-W418))</f>
        <v/>
      </c>
      <c r="Y418" s="10">
        <f>IF(W418&gt;$AC$33,1,0)</f>
        <v/>
      </c>
      <c r="Z418">
        <f>IF(Y418=C418,1,0)</f>
        <v/>
      </c>
    </row>
    <row r="419">
      <c r="A419">
        <f>'1 datos preparados'!A412</f>
        <v/>
      </c>
      <c r="B419" s="5">
        <f>'1 datos preparados'!U412</f>
        <v/>
      </c>
      <c r="C419">
        <f>'1 datos preparados'!B412</f>
        <v/>
      </c>
      <c r="D419" s="7">
        <f>'1 datos preparados'!C412</f>
        <v/>
      </c>
      <c r="E419" s="7">
        <f>'1 datos preparados'!D412</f>
        <v/>
      </c>
      <c r="F419" s="7">
        <f>'1 datos preparados'!E412</f>
        <v/>
      </c>
      <c r="G419" s="7">
        <f>'1 datos preparados'!F412</f>
        <v/>
      </c>
      <c r="H419" s="7">
        <f>'1 datos preparados'!G412</f>
        <v/>
      </c>
      <c r="I419" s="7">
        <f>'1 datos preparados'!H412</f>
        <v/>
      </c>
      <c r="J419" s="7">
        <f>'1 datos preparados'!I412</f>
        <v/>
      </c>
      <c r="K419" s="7">
        <f>'1 datos preparados'!J412</f>
        <v/>
      </c>
      <c r="L419" s="7">
        <f>'1 datos preparados'!K412</f>
        <v/>
      </c>
      <c r="M419" s="7">
        <f>'1 datos preparados'!L412</f>
        <v/>
      </c>
      <c r="N419" s="7">
        <f>'1 datos preparados'!M412</f>
        <v/>
      </c>
      <c r="O419" s="7">
        <f>'1 datos preparados'!N412</f>
        <v/>
      </c>
      <c r="P419" s="7">
        <f>'1 datos preparados'!O412</f>
        <v/>
      </c>
      <c r="Q419" s="7">
        <f>'1 datos preparados'!P412</f>
        <v/>
      </c>
      <c r="R419" s="7">
        <f>'1 datos preparados'!Q412</f>
        <v/>
      </c>
      <c r="S419" s="7">
        <f>'1 datos preparados'!R412</f>
        <v/>
      </c>
      <c r="T419" s="7">
        <f>'1 datos preparados'!S412</f>
        <v/>
      </c>
      <c r="U419" s="7">
        <f>'1 datos preparados'!T412</f>
        <v/>
      </c>
      <c r="V419" s="8">
        <f>$AC$12+D419*$AC$13+E419*$AC$14+F419*$AC$15+G419*$AC$16+H419*$AC$17+I419*$AC$18+J419*$AC$19+K419*$AC$20+L419*$AC$21+M419*$AC$22+N419*$AC$23+O419*$AC$24+P419*$AC$25+Q419*$AC$26+R419*$AC$27+S419*$AC$28+T419*$AC$29+U419*$AC$30</f>
        <v/>
      </c>
      <c r="W419" s="8">
        <f>1/(1+EXP(-V419))</f>
        <v/>
      </c>
      <c r="X419" s="9">
        <f>-IF(C419=1,LN(W419),LN(1-W419))</f>
        <v/>
      </c>
      <c r="Y419" s="10">
        <f>IF(W419&gt;$AC$33,1,0)</f>
        <v/>
      </c>
      <c r="Z419">
        <f>IF(Y419=C419,1,0)</f>
        <v/>
      </c>
    </row>
    <row r="420">
      <c r="A420">
        <f>'1 datos preparados'!A413</f>
        <v/>
      </c>
      <c r="B420" s="5">
        <f>'1 datos preparados'!U413</f>
        <v/>
      </c>
      <c r="C420">
        <f>'1 datos preparados'!B413</f>
        <v/>
      </c>
      <c r="D420" s="7">
        <f>'1 datos preparados'!C413</f>
        <v/>
      </c>
      <c r="E420" s="7">
        <f>'1 datos preparados'!D413</f>
        <v/>
      </c>
      <c r="F420" s="7">
        <f>'1 datos preparados'!E413</f>
        <v/>
      </c>
      <c r="G420" s="7">
        <f>'1 datos preparados'!F413</f>
        <v/>
      </c>
      <c r="H420" s="7">
        <f>'1 datos preparados'!G413</f>
        <v/>
      </c>
      <c r="I420" s="7">
        <f>'1 datos preparados'!H413</f>
        <v/>
      </c>
      <c r="J420" s="7">
        <f>'1 datos preparados'!I413</f>
        <v/>
      </c>
      <c r="K420" s="7">
        <f>'1 datos preparados'!J413</f>
        <v/>
      </c>
      <c r="L420" s="7">
        <f>'1 datos preparados'!K413</f>
        <v/>
      </c>
      <c r="M420" s="7">
        <f>'1 datos preparados'!L413</f>
        <v/>
      </c>
      <c r="N420" s="7">
        <f>'1 datos preparados'!M413</f>
        <v/>
      </c>
      <c r="O420" s="7">
        <f>'1 datos preparados'!N413</f>
        <v/>
      </c>
      <c r="P420" s="7">
        <f>'1 datos preparados'!O413</f>
        <v/>
      </c>
      <c r="Q420" s="7">
        <f>'1 datos preparados'!P413</f>
        <v/>
      </c>
      <c r="R420" s="7">
        <f>'1 datos preparados'!Q413</f>
        <v/>
      </c>
      <c r="S420" s="7">
        <f>'1 datos preparados'!R413</f>
        <v/>
      </c>
      <c r="T420" s="7">
        <f>'1 datos preparados'!S413</f>
        <v/>
      </c>
      <c r="U420" s="7">
        <f>'1 datos preparados'!T413</f>
        <v/>
      </c>
      <c r="V420" s="8">
        <f>$AC$12+D420*$AC$13+E420*$AC$14+F420*$AC$15+G420*$AC$16+H420*$AC$17+I420*$AC$18+J420*$AC$19+K420*$AC$20+L420*$AC$21+M420*$AC$22+N420*$AC$23+O420*$AC$24+P420*$AC$25+Q420*$AC$26+R420*$AC$27+S420*$AC$28+T420*$AC$29+U420*$AC$30</f>
        <v/>
      </c>
      <c r="W420" s="8">
        <f>1/(1+EXP(-V420))</f>
        <v/>
      </c>
      <c r="X420" s="9">
        <f>-IF(C420=1,LN(W420),LN(1-W420))</f>
        <v/>
      </c>
      <c r="Y420" s="10">
        <f>IF(W420&gt;$AC$33,1,0)</f>
        <v/>
      </c>
      <c r="Z420">
        <f>IF(Y420=C420,1,0)</f>
        <v/>
      </c>
    </row>
    <row r="421">
      <c r="A421">
        <f>'1 datos preparados'!A414</f>
        <v/>
      </c>
      <c r="B421" s="5">
        <f>'1 datos preparados'!U414</f>
        <v/>
      </c>
      <c r="C421">
        <f>'1 datos preparados'!B414</f>
        <v/>
      </c>
      <c r="D421" s="7">
        <f>'1 datos preparados'!C414</f>
        <v/>
      </c>
      <c r="E421" s="7">
        <f>'1 datos preparados'!D414</f>
        <v/>
      </c>
      <c r="F421" s="7">
        <f>'1 datos preparados'!E414</f>
        <v/>
      </c>
      <c r="G421" s="7">
        <f>'1 datos preparados'!F414</f>
        <v/>
      </c>
      <c r="H421" s="7">
        <f>'1 datos preparados'!G414</f>
        <v/>
      </c>
      <c r="I421" s="7">
        <f>'1 datos preparados'!H414</f>
        <v/>
      </c>
      <c r="J421" s="7">
        <f>'1 datos preparados'!I414</f>
        <v/>
      </c>
      <c r="K421" s="7">
        <f>'1 datos preparados'!J414</f>
        <v/>
      </c>
      <c r="L421" s="7">
        <f>'1 datos preparados'!K414</f>
        <v/>
      </c>
      <c r="M421" s="7">
        <f>'1 datos preparados'!L414</f>
        <v/>
      </c>
      <c r="N421" s="7">
        <f>'1 datos preparados'!M414</f>
        <v/>
      </c>
      <c r="O421" s="7">
        <f>'1 datos preparados'!N414</f>
        <v/>
      </c>
      <c r="P421" s="7">
        <f>'1 datos preparados'!O414</f>
        <v/>
      </c>
      <c r="Q421" s="7">
        <f>'1 datos preparados'!P414</f>
        <v/>
      </c>
      <c r="R421" s="7">
        <f>'1 datos preparados'!Q414</f>
        <v/>
      </c>
      <c r="S421" s="7">
        <f>'1 datos preparados'!R414</f>
        <v/>
      </c>
      <c r="T421" s="7">
        <f>'1 datos preparados'!S414</f>
        <v/>
      </c>
      <c r="U421" s="7">
        <f>'1 datos preparados'!T414</f>
        <v/>
      </c>
      <c r="V421" s="8">
        <f>$AC$12+D421*$AC$13+E421*$AC$14+F421*$AC$15+G421*$AC$16+H421*$AC$17+I421*$AC$18+J421*$AC$19+K421*$AC$20+L421*$AC$21+M421*$AC$22+N421*$AC$23+O421*$AC$24+P421*$AC$25+Q421*$AC$26+R421*$AC$27+S421*$AC$28+T421*$AC$29+U421*$AC$30</f>
        <v/>
      </c>
      <c r="W421" s="8">
        <f>1/(1+EXP(-V421))</f>
        <v/>
      </c>
      <c r="X421" s="9">
        <f>-IF(C421=1,LN(W421),LN(1-W421))</f>
        <v/>
      </c>
      <c r="Y421" s="10">
        <f>IF(W421&gt;$AC$33,1,0)</f>
        <v/>
      </c>
      <c r="Z421">
        <f>IF(Y421=C421,1,0)</f>
        <v/>
      </c>
    </row>
    <row r="422">
      <c r="A422">
        <f>'1 datos preparados'!A415</f>
        <v/>
      </c>
      <c r="B422" s="5">
        <f>'1 datos preparados'!U415</f>
        <v/>
      </c>
      <c r="C422">
        <f>'1 datos preparados'!B415</f>
        <v/>
      </c>
      <c r="D422" s="7">
        <f>'1 datos preparados'!C415</f>
        <v/>
      </c>
      <c r="E422" s="7">
        <f>'1 datos preparados'!D415</f>
        <v/>
      </c>
      <c r="F422" s="7">
        <f>'1 datos preparados'!E415</f>
        <v/>
      </c>
      <c r="G422" s="7">
        <f>'1 datos preparados'!F415</f>
        <v/>
      </c>
      <c r="H422" s="7">
        <f>'1 datos preparados'!G415</f>
        <v/>
      </c>
      <c r="I422" s="7">
        <f>'1 datos preparados'!H415</f>
        <v/>
      </c>
      <c r="J422" s="7">
        <f>'1 datos preparados'!I415</f>
        <v/>
      </c>
      <c r="K422" s="7">
        <f>'1 datos preparados'!J415</f>
        <v/>
      </c>
      <c r="L422" s="7">
        <f>'1 datos preparados'!K415</f>
        <v/>
      </c>
      <c r="M422" s="7">
        <f>'1 datos preparados'!L415</f>
        <v/>
      </c>
      <c r="N422" s="7">
        <f>'1 datos preparados'!M415</f>
        <v/>
      </c>
      <c r="O422" s="7">
        <f>'1 datos preparados'!N415</f>
        <v/>
      </c>
      <c r="P422" s="7">
        <f>'1 datos preparados'!O415</f>
        <v/>
      </c>
      <c r="Q422" s="7">
        <f>'1 datos preparados'!P415</f>
        <v/>
      </c>
      <c r="R422" s="7">
        <f>'1 datos preparados'!Q415</f>
        <v/>
      </c>
      <c r="S422" s="7">
        <f>'1 datos preparados'!R415</f>
        <v/>
      </c>
      <c r="T422" s="7">
        <f>'1 datos preparados'!S415</f>
        <v/>
      </c>
      <c r="U422" s="7">
        <f>'1 datos preparados'!T415</f>
        <v/>
      </c>
      <c r="V422" s="8">
        <f>$AC$12+D422*$AC$13+E422*$AC$14+F422*$AC$15+G422*$AC$16+H422*$AC$17+I422*$AC$18+J422*$AC$19+K422*$AC$20+L422*$AC$21+M422*$AC$22+N422*$AC$23+O422*$AC$24+P422*$AC$25+Q422*$AC$26+R422*$AC$27+S422*$AC$28+T422*$AC$29+U422*$AC$30</f>
        <v/>
      </c>
      <c r="W422" s="8">
        <f>1/(1+EXP(-V422))</f>
        <v/>
      </c>
      <c r="X422" s="9">
        <f>-IF(C422=1,LN(W422),LN(1-W422))</f>
        <v/>
      </c>
      <c r="Y422" s="10">
        <f>IF(W422&gt;$AC$33,1,0)</f>
        <v/>
      </c>
      <c r="Z422">
        <f>IF(Y422=C422,1,0)</f>
        <v/>
      </c>
    </row>
    <row r="423">
      <c r="A423">
        <f>'1 datos preparados'!A416</f>
        <v/>
      </c>
      <c r="B423" s="5">
        <f>'1 datos preparados'!U416</f>
        <v/>
      </c>
      <c r="C423">
        <f>'1 datos preparados'!B416</f>
        <v/>
      </c>
      <c r="D423" s="7">
        <f>'1 datos preparados'!C416</f>
        <v/>
      </c>
      <c r="E423" s="7">
        <f>'1 datos preparados'!D416</f>
        <v/>
      </c>
      <c r="F423" s="7">
        <f>'1 datos preparados'!E416</f>
        <v/>
      </c>
      <c r="G423" s="7">
        <f>'1 datos preparados'!F416</f>
        <v/>
      </c>
      <c r="H423" s="7">
        <f>'1 datos preparados'!G416</f>
        <v/>
      </c>
      <c r="I423" s="7">
        <f>'1 datos preparados'!H416</f>
        <v/>
      </c>
      <c r="J423" s="7">
        <f>'1 datos preparados'!I416</f>
        <v/>
      </c>
      <c r="K423" s="7">
        <f>'1 datos preparados'!J416</f>
        <v/>
      </c>
      <c r="L423" s="7">
        <f>'1 datos preparados'!K416</f>
        <v/>
      </c>
      <c r="M423" s="7">
        <f>'1 datos preparados'!L416</f>
        <v/>
      </c>
      <c r="N423" s="7">
        <f>'1 datos preparados'!M416</f>
        <v/>
      </c>
      <c r="O423" s="7">
        <f>'1 datos preparados'!N416</f>
        <v/>
      </c>
      <c r="P423" s="7">
        <f>'1 datos preparados'!O416</f>
        <v/>
      </c>
      <c r="Q423" s="7">
        <f>'1 datos preparados'!P416</f>
        <v/>
      </c>
      <c r="R423" s="7">
        <f>'1 datos preparados'!Q416</f>
        <v/>
      </c>
      <c r="S423" s="7">
        <f>'1 datos preparados'!R416</f>
        <v/>
      </c>
      <c r="T423" s="7">
        <f>'1 datos preparados'!S416</f>
        <v/>
      </c>
      <c r="U423" s="7">
        <f>'1 datos preparados'!T416</f>
        <v/>
      </c>
      <c r="V423" s="8">
        <f>$AC$12+D423*$AC$13+E423*$AC$14+F423*$AC$15+G423*$AC$16+H423*$AC$17+I423*$AC$18+J423*$AC$19+K423*$AC$20+L423*$AC$21+M423*$AC$22+N423*$AC$23+O423*$AC$24+P423*$AC$25+Q423*$AC$26+R423*$AC$27+S423*$AC$28+T423*$AC$29+U423*$AC$30</f>
        <v/>
      </c>
      <c r="W423" s="8">
        <f>1/(1+EXP(-V423))</f>
        <v/>
      </c>
      <c r="X423" s="9">
        <f>-IF(C423=1,LN(W423),LN(1-W423))</f>
        <v/>
      </c>
      <c r="Y423" s="10">
        <f>IF(W423&gt;$AC$33,1,0)</f>
        <v/>
      </c>
      <c r="Z423">
        <f>IF(Y423=C423,1,0)</f>
        <v/>
      </c>
    </row>
    <row r="424">
      <c r="A424">
        <f>'1 datos preparados'!A417</f>
        <v/>
      </c>
      <c r="B424" s="5">
        <f>'1 datos preparados'!U417</f>
        <v/>
      </c>
      <c r="C424">
        <f>'1 datos preparados'!B417</f>
        <v/>
      </c>
      <c r="D424" s="7">
        <f>'1 datos preparados'!C417</f>
        <v/>
      </c>
      <c r="E424" s="7">
        <f>'1 datos preparados'!D417</f>
        <v/>
      </c>
      <c r="F424" s="7">
        <f>'1 datos preparados'!E417</f>
        <v/>
      </c>
      <c r="G424" s="7">
        <f>'1 datos preparados'!F417</f>
        <v/>
      </c>
      <c r="H424" s="7">
        <f>'1 datos preparados'!G417</f>
        <v/>
      </c>
      <c r="I424" s="7">
        <f>'1 datos preparados'!H417</f>
        <v/>
      </c>
      <c r="J424" s="7">
        <f>'1 datos preparados'!I417</f>
        <v/>
      </c>
      <c r="K424" s="7">
        <f>'1 datos preparados'!J417</f>
        <v/>
      </c>
      <c r="L424" s="7">
        <f>'1 datos preparados'!K417</f>
        <v/>
      </c>
      <c r="M424" s="7">
        <f>'1 datos preparados'!L417</f>
        <v/>
      </c>
      <c r="N424" s="7">
        <f>'1 datos preparados'!M417</f>
        <v/>
      </c>
      <c r="O424" s="7">
        <f>'1 datos preparados'!N417</f>
        <v/>
      </c>
      <c r="P424" s="7">
        <f>'1 datos preparados'!O417</f>
        <v/>
      </c>
      <c r="Q424" s="7">
        <f>'1 datos preparados'!P417</f>
        <v/>
      </c>
      <c r="R424" s="7">
        <f>'1 datos preparados'!Q417</f>
        <v/>
      </c>
      <c r="S424" s="7">
        <f>'1 datos preparados'!R417</f>
        <v/>
      </c>
      <c r="T424" s="7">
        <f>'1 datos preparados'!S417</f>
        <v/>
      </c>
      <c r="U424" s="7">
        <f>'1 datos preparados'!T417</f>
        <v/>
      </c>
      <c r="V424" s="8">
        <f>$AC$12+D424*$AC$13+E424*$AC$14+F424*$AC$15+G424*$AC$16+H424*$AC$17+I424*$AC$18+J424*$AC$19+K424*$AC$20+L424*$AC$21+M424*$AC$22+N424*$AC$23+O424*$AC$24+P424*$AC$25+Q424*$AC$26+R424*$AC$27+S424*$AC$28+T424*$AC$29+U424*$AC$30</f>
        <v/>
      </c>
      <c r="W424" s="8">
        <f>1/(1+EXP(-V424))</f>
        <v/>
      </c>
      <c r="X424" s="9">
        <f>-IF(C424=1,LN(W424),LN(1-W424))</f>
        <v/>
      </c>
      <c r="Y424" s="10">
        <f>IF(W424&gt;$AC$33,1,0)</f>
        <v/>
      </c>
      <c r="Z424">
        <f>IF(Y424=C424,1,0)</f>
        <v/>
      </c>
    </row>
    <row r="425">
      <c r="A425">
        <f>'1 datos preparados'!A418</f>
        <v/>
      </c>
      <c r="B425" s="5">
        <f>'1 datos preparados'!U418</f>
        <v/>
      </c>
      <c r="C425">
        <f>'1 datos preparados'!B418</f>
        <v/>
      </c>
      <c r="D425" s="7">
        <f>'1 datos preparados'!C418</f>
        <v/>
      </c>
      <c r="E425" s="7">
        <f>'1 datos preparados'!D418</f>
        <v/>
      </c>
      <c r="F425" s="7">
        <f>'1 datos preparados'!E418</f>
        <v/>
      </c>
      <c r="G425" s="7">
        <f>'1 datos preparados'!F418</f>
        <v/>
      </c>
      <c r="H425" s="7">
        <f>'1 datos preparados'!G418</f>
        <v/>
      </c>
      <c r="I425" s="7">
        <f>'1 datos preparados'!H418</f>
        <v/>
      </c>
      <c r="J425" s="7">
        <f>'1 datos preparados'!I418</f>
        <v/>
      </c>
      <c r="K425" s="7">
        <f>'1 datos preparados'!J418</f>
        <v/>
      </c>
      <c r="L425" s="7">
        <f>'1 datos preparados'!K418</f>
        <v/>
      </c>
      <c r="M425" s="7">
        <f>'1 datos preparados'!L418</f>
        <v/>
      </c>
      <c r="N425" s="7">
        <f>'1 datos preparados'!M418</f>
        <v/>
      </c>
      <c r="O425" s="7">
        <f>'1 datos preparados'!N418</f>
        <v/>
      </c>
      <c r="P425" s="7">
        <f>'1 datos preparados'!O418</f>
        <v/>
      </c>
      <c r="Q425" s="7">
        <f>'1 datos preparados'!P418</f>
        <v/>
      </c>
      <c r="R425" s="7">
        <f>'1 datos preparados'!Q418</f>
        <v/>
      </c>
      <c r="S425" s="7">
        <f>'1 datos preparados'!R418</f>
        <v/>
      </c>
      <c r="T425" s="7">
        <f>'1 datos preparados'!S418</f>
        <v/>
      </c>
      <c r="U425" s="7">
        <f>'1 datos preparados'!T418</f>
        <v/>
      </c>
      <c r="V425" s="8">
        <f>$AC$12+D425*$AC$13+E425*$AC$14+F425*$AC$15+G425*$AC$16+H425*$AC$17+I425*$AC$18+J425*$AC$19+K425*$AC$20+L425*$AC$21+M425*$AC$22+N425*$AC$23+O425*$AC$24+P425*$AC$25+Q425*$AC$26+R425*$AC$27+S425*$AC$28+T425*$AC$29+U425*$AC$30</f>
        <v/>
      </c>
      <c r="W425" s="8">
        <f>1/(1+EXP(-V425))</f>
        <v/>
      </c>
      <c r="X425" s="9">
        <f>-IF(C425=1,LN(W425),LN(1-W425))</f>
        <v/>
      </c>
      <c r="Y425" s="10">
        <f>IF(W425&gt;$AC$33,1,0)</f>
        <v/>
      </c>
      <c r="Z425">
        <f>IF(Y425=C425,1,0)</f>
        <v/>
      </c>
    </row>
    <row r="426">
      <c r="A426">
        <f>'1 datos preparados'!A419</f>
        <v/>
      </c>
      <c r="B426" s="5">
        <f>'1 datos preparados'!U419</f>
        <v/>
      </c>
      <c r="C426">
        <f>'1 datos preparados'!B419</f>
        <v/>
      </c>
      <c r="D426" s="7">
        <f>'1 datos preparados'!C419</f>
        <v/>
      </c>
      <c r="E426" s="7">
        <f>'1 datos preparados'!D419</f>
        <v/>
      </c>
      <c r="F426" s="7">
        <f>'1 datos preparados'!E419</f>
        <v/>
      </c>
      <c r="G426" s="7">
        <f>'1 datos preparados'!F419</f>
        <v/>
      </c>
      <c r="H426" s="7">
        <f>'1 datos preparados'!G419</f>
        <v/>
      </c>
      <c r="I426" s="7">
        <f>'1 datos preparados'!H419</f>
        <v/>
      </c>
      <c r="J426" s="7">
        <f>'1 datos preparados'!I419</f>
        <v/>
      </c>
      <c r="K426" s="7">
        <f>'1 datos preparados'!J419</f>
        <v/>
      </c>
      <c r="L426" s="7">
        <f>'1 datos preparados'!K419</f>
        <v/>
      </c>
      <c r="M426" s="7">
        <f>'1 datos preparados'!L419</f>
        <v/>
      </c>
      <c r="N426" s="7">
        <f>'1 datos preparados'!M419</f>
        <v/>
      </c>
      <c r="O426" s="7">
        <f>'1 datos preparados'!N419</f>
        <v/>
      </c>
      <c r="P426" s="7">
        <f>'1 datos preparados'!O419</f>
        <v/>
      </c>
      <c r="Q426" s="7">
        <f>'1 datos preparados'!P419</f>
        <v/>
      </c>
      <c r="R426" s="7">
        <f>'1 datos preparados'!Q419</f>
        <v/>
      </c>
      <c r="S426" s="7">
        <f>'1 datos preparados'!R419</f>
        <v/>
      </c>
      <c r="T426" s="7">
        <f>'1 datos preparados'!S419</f>
        <v/>
      </c>
      <c r="U426" s="7">
        <f>'1 datos preparados'!T419</f>
        <v/>
      </c>
      <c r="V426" s="8">
        <f>$AC$12+D426*$AC$13+E426*$AC$14+F426*$AC$15+G426*$AC$16+H426*$AC$17+I426*$AC$18+J426*$AC$19+K426*$AC$20+L426*$AC$21+M426*$AC$22+N426*$AC$23+O426*$AC$24+P426*$AC$25+Q426*$AC$26+R426*$AC$27+S426*$AC$28+T426*$AC$29+U426*$AC$30</f>
        <v/>
      </c>
      <c r="W426" s="8">
        <f>1/(1+EXP(-V426))</f>
        <v/>
      </c>
      <c r="X426" s="9">
        <f>-IF(C426=1,LN(W426),LN(1-W426))</f>
        <v/>
      </c>
      <c r="Y426" s="10">
        <f>IF(W426&gt;$AC$33,1,0)</f>
        <v/>
      </c>
      <c r="Z426">
        <f>IF(Y426=C426,1,0)</f>
        <v/>
      </c>
    </row>
    <row r="427">
      <c r="A427">
        <f>'1 datos preparados'!A420</f>
        <v/>
      </c>
      <c r="B427" s="5">
        <f>'1 datos preparados'!U420</f>
        <v/>
      </c>
      <c r="C427">
        <f>'1 datos preparados'!B420</f>
        <v/>
      </c>
      <c r="D427" s="7">
        <f>'1 datos preparados'!C420</f>
        <v/>
      </c>
      <c r="E427" s="7">
        <f>'1 datos preparados'!D420</f>
        <v/>
      </c>
      <c r="F427" s="7">
        <f>'1 datos preparados'!E420</f>
        <v/>
      </c>
      <c r="G427" s="7">
        <f>'1 datos preparados'!F420</f>
        <v/>
      </c>
      <c r="H427" s="7">
        <f>'1 datos preparados'!G420</f>
        <v/>
      </c>
      <c r="I427" s="7">
        <f>'1 datos preparados'!H420</f>
        <v/>
      </c>
      <c r="J427" s="7">
        <f>'1 datos preparados'!I420</f>
        <v/>
      </c>
      <c r="K427" s="7">
        <f>'1 datos preparados'!J420</f>
        <v/>
      </c>
      <c r="L427" s="7">
        <f>'1 datos preparados'!K420</f>
        <v/>
      </c>
      <c r="M427" s="7">
        <f>'1 datos preparados'!L420</f>
        <v/>
      </c>
      <c r="N427" s="7">
        <f>'1 datos preparados'!M420</f>
        <v/>
      </c>
      <c r="O427" s="7">
        <f>'1 datos preparados'!N420</f>
        <v/>
      </c>
      <c r="P427" s="7">
        <f>'1 datos preparados'!O420</f>
        <v/>
      </c>
      <c r="Q427" s="7">
        <f>'1 datos preparados'!P420</f>
        <v/>
      </c>
      <c r="R427" s="7">
        <f>'1 datos preparados'!Q420</f>
        <v/>
      </c>
      <c r="S427" s="7">
        <f>'1 datos preparados'!R420</f>
        <v/>
      </c>
      <c r="T427" s="7">
        <f>'1 datos preparados'!S420</f>
        <v/>
      </c>
      <c r="U427" s="7">
        <f>'1 datos preparados'!T420</f>
        <v/>
      </c>
      <c r="V427" s="8">
        <f>$AC$12+D427*$AC$13+E427*$AC$14+F427*$AC$15+G427*$AC$16+H427*$AC$17+I427*$AC$18+J427*$AC$19+K427*$AC$20+L427*$AC$21+M427*$AC$22+N427*$AC$23+O427*$AC$24+P427*$AC$25+Q427*$AC$26+R427*$AC$27+S427*$AC$28+T427*$AC$29+U427*$AC$30</f>
        <v/>
      </c>
      <c r="W427" s="8">
        <f>1/(1+EXP(-V427))</f>
        <v/>
      </c>
      <c r="X427" s="9">
        <f>-IF(C427=1,LN(W427),LN(1-W427))</f>
        <v/>
      </c>
      <c r="Y427" s="10">
        <f>IF(W427&gt;$AC$33,1,0)</f>
        <v/>
      </c>
      <c r="Z427">
        <f>IF(Y427=C427,1,0)</f>
        <v/>
      </c>
    </row>
    <row r="428">
      <c r="A428">
        <f>'1 datos preparados'!A421</f>
        <v/>
      </c>
      <c r="B428" s="5">
        <f>'1 datos preparados'!U421</f>
        <v/>
      </c>
      <c r="C428">
        <f>'1 datos preparados'!B421</f>
        <v/>
      </c>
      <c r="D428" s="7">
        <f>'1 datos preparados'!C421</f>
        <v/>
      </c>
      <c r="E428" s="7">
        <f>'1 datos preparados'!D421</f>
        <v/>
      </c>
      <c r="F428" s="7">
        <f>'1 datos preparados'!E421</f>
        <v/>
      </c>
      <c r="G428" s="7">
        <f>'1 datos preparados'!F421</f>
        <v/>
      </c>
      <c r="H428" s="7">
        <f>'1 datos preparados'!G421</f>
        <v/>
      </c>
      <c r="I428" s="7">
        <f>'1 datos preparados'!H421</f>
        <v/>
      </c>
      <c r="J428" s="7">
        <f>'1 datos preparados'!I421</f>
        <v/>
      </c>
      <c r="K428" s="7">
        <f>'1 datos preparados'!J421</f>
        <v/>
      </c>
      <c r="L428" s="7">
        <f>'1 datos preparados'!K421</f>
        <v/>
      </c>
      <c r="M428" s="7">
        <f>'1 datos preparados'!L421</f>
        <v/>
      </c>
      <c r="N428" s="7">
        <f>'1 datos preparados'!M421</f>
        <v/>
      </c>
      <c r="O428" s="7">
        <f>'1 datos preparados'!N421</f>
        <v/>
      </c>
      <c r="P428" s="7">
        <f>'1 datos preparados'!O421</f>
        <v/>
      </c>
      <c r="Q428" s="7">
        <f>'1 datos preparados'!P421</f>
        <v/>
      </c>
      <c r="R428" s="7">
        <f>'1 datos preparados'!Q421</f>
        <v/>
      </c>
      <c r="S428" s="7">
        <f>'1 datos preparados'!R421</f>
        <v/>
      </c>
      <c r="T428" s="7">
        <f>'1 datos preparados'!S421</f>
        <v/>
      </c>
      <c r="U428" s="7">
        <f>'1 datos preparados'!T421</f>
        <v/>
      </c>
      <c r="V428" s="8">
        <f>$AC$12+D428*$AC$13+E428*$AC$14+F428*$AC$15+G428*$AC$16+H428*$AC$17+I428*$AC$18+J428*$AC$19+K428*$AC$20+L428*$AC$21+M428*$AC$22+N428*$AC$23+O428*$AC$24+P428*$AC$25+Q428*$AC$26+R428*$AC$27+S428*$AC$28+T428*$AC$29+U428*$AC$30</f>
        <v/>
      </c>
      <c r="W428" s="8">
        <f>1/(1+EXP(-V428))</f>
        <v/>
      </c>
      <c r="X428" s="9">
        <f>-IF(C428=1,LN(W428),LN(1-W428))</f>
        <v/>
      </c>
      <c r="Y428" s="10">
        <f>IF(W428&gt;$AC$33,1,0)</f>
        <v/>
      </c>
      <c r="Z428">
        <f>IF(Y428=C428,1,0)</f>
        <v/>
      </c>
    </row>
    <row r="429">
      <c r="A429">
        <f>'1 datos preparados'!A422</f>
        <v/>
      </c>
      <c r="B429" s="5">
        <f>'1 datos preparados'!U422</f>
        <v/>
      </c>
      <c r="C429">
        <f>'1 datos preparados'!B422</f>
        <v/>
      </c>
      <c r="D429" s="7">
        <f>'1 datos preparados'!C422</f>
        <v/>
      </c>
      <c r="E429" s="7">
        <f>'1 datos preparados'!D422</f>
        <v/>
      </c>
      <c r="F429" s="7">
        <f>'1 datos preparados'!E422</f>
        <v/>
      </c>
      <c r="G429" s="7">
        <f>'1 datos preparados'!F422</f>
        <v/>
      </c>
      <c r="H429" s="7">
        <f>'1 datos preparados'!G422</f>
        <v/>
      </c>
      <c r="I429" s="7">
        <f>'1 datos preparados'!H422</f>
        <v/>
      </c>
      <c r="J429" s="7">
        <f>'1 datos preparados'!I422</f>
        <v/>
      </c>
      <c r="K429" s="7">
        <f>'1 datos preparados'!J422</f>
        <v/>
      </c>
      <c r="L429" s="7">
        <f>'1 datos preparados'!K422</f>
        <v/>
      </c>
      <c r="M429" s="7">
        <f>'1 datos preparados'!L422</f>
        <v/>
      </c>
      <c r="N429" s="7">
        <f>'1 datos preparados'!M422</f>
        <v/>
      </c>
      <c r="O429" s="7">
        <f>'1 datos preparados'!N422</f>
        <v/>
      </c>
      <c r="P429" s="7">
        <f>'1 datos preparados'!O422</f>
        <v/>
      </c>
      <c r="Q429" s="7">
        <f>'1 datos preparados'!P422</f>
        <v/>
      </c>
      <c r="R429" s="7">
        <f>'1 datos preparados'!Q422</f>
        <v/>
      </c>
      <c r="S429" s="7">
        <f>'1 datos preparados'!R422</f>
        <v/>
      </c>
      <c r="T429" s="7">
        <f>'1 datos preparados'!S422</f>
        <v/>
      </c>
      <c r="U429" s="7">
        <f>'1 datos preparados'!T422</f>
        <v/>
      </c>
      <c r="V429" s="8">
        <f>$AC$12+D429*$AC$13+E429*$AC$14+F429*$AC$15+G429*$AC$16+H429*$AC$17+I429*$AC$18+J429*$AC$19+K429*$AC$20+L429*$AC$21+M429*$AC$22+N429*$AC$23+O429*$AC$24+P429*$AC$25+Q429*$AC$26+R429*$AC$27+S429*$AC$28+T429*$AC$29+U429*$AC$30</f>
        <v/>
      </c>
      <c r="W429" s="8">
        <f>1/(1+EXP(-V429))</f>
        <v/>
      </c>
      <c r="X429" s="9">
        <f>-IF(C429=1,LN(W429),LN(1-W429))</f>
        <v/>
      </c>
      <c r="Y429" s="10">
        <f>IF(W429&gt;$AC$33,1,0)</f>
        <v/>
      </c>
      <c r="Z429">
        <f>IF(Y429=C429,1,0)</f>
        <v/>
      </c>
    </row>
    <row r="430">
      <c r="A430">
        <f>'1 datos preparados'!A423</f>
        <v/>
      </c>
      <c r="B430" s="5">
        <f>'1 datos preparados'!U423</f>
        <v/>
      </c>
      <c r="C430">
        <f>'1 datos preparados'!B423</f>
        <v/>
      </c>
      <c r="D430" s="7">
        <f>'1 datos preparados'!C423</f>
        <v/>
      </c>
      <c r="E430" s="7">
        <f>'1 datos preparados'!D423</f>
        <v/>
      </c>
      <c r="F430" s="7">
        <f>'1 datos preparados'!E423</f>
        <v/>
      </c>
      <c r="G430" s="7">
        <f>'1 datos preparados'!F423</f>
        <v/>
      </c>
      <c r="H430" s="7">
        <f>'1 datos preparados'!G423</f>
        <v/>
      </c>
      <c r="I430" s="7">
        <f>'1 datos preparados'!H423</f>
        <v/>
      </c>
      <c r="J430" s="7">
        <f>'1 datos preparados'!I423</f>
        <v/>
      </c>
      <c r="K430" s="7">
        <f>'1 datos preparados'!J423</f>
        <v/>
      </c>
      <c r="L430" s="7">
        <f>'1 datos preparados'!K423</f>
        <v/>
      </c>
      <c r="M430" s="7">
        <f>'1 datos preparados'!L423</f>
        <v/>
      </c>
      <c r="N430" s="7">
        <f>'1 datos preparados'!M423</f>
        <v/>
      </c>
      <c r="O430" s="7">
        <f>'1 datos preparados'!N423</f>
        <v/>
      </c>
      <c r="P430" s="7">
        <f>'1 datos preparados'!O423</f>
        <v/>
      </c>
      <c r="Q430" s="7">
        <f>'1 datos preparados'!P423</f>
        <v/>
      </c>
      <c r="R430" s="7">
        <f>'1 datos preparados'!Q423</f>
        <v/>
      </c>
      <c r="S430" s="7">
        <f>'1 datos preparados'!R423</f>
        <v/>
      </c>
      <c r="T430" s="7">
        <f>'1 datos preparados'!S423</f>
        <v/>
      </c>
      <c r="U430" s="7">
        <f>'1 datos preparados'!T423</f>
        <v/>
      </c>
      <c r="V430" s="8">
        <f>$AC$12+D430*$AC$13+E430*$AC$14+F430*$AC$15+G430*$AC$16+H430*$AC$17+I430*$AC$18+J430*$AC$19+K430*$AC$20+L430*$AC$21+M430*$AC$22+N430*$AC$23+O430*$AC$24+P430*$AC$25+Q430*$AC$26+R430*$AC$27+S430*$AC$28+T430*$AC$29+U430*$AC$30</f>
        <v/>
      </c>
      <c r="W430" s="8">
        <f>1/(1+EXP(-V430))</f>
        <v/>
      </c>
      <c r="X430" s="9">
        <f>-IF(C430=1,LN(W430),LN(1-W430))</f>
        <v/>
      </c>
      <c r="Y430" s="10">
        <f>IF(W430&gt;$AC$33,1,0)</f>
        <v/>
      </c>
      <c r="Z430">
        <f>IF(Y430=C430,1,0)</f>
        <v/>
      </c>
    </row>
    <row r="431">
      <c r="A431">
        <f>'1 datos preparados'!A424</f>
        <v/>
      </c>
      <c r="B431" s="5">
        <f>'1 datos preparados'!U424</f>
        <v/>
      </c>
      <c r="C431">
        <f>'1 datos preparados'!B424</f>
        <v/>
      </c>
      <c r="D431" s="7">
        <f>'1 datos preparados'!C424</f>
        <v/>
      </c>
      <c r="E431" s="7">
        <f>'1 datos preparados'!D424</f>
        <v/>
      </c>
      <c r="F431" s="7">
        <f>'1 datos preparados'!E424</f>
        <v/>
      </c>
      <c r="G431" s="7">
        <f>'1 datos preparados'!F424</f>
        <v/>
      </c>
      <c r="H431" s="7">
        <f>'1 datos preparados'!G424</f>
        <v/>
      </c>
      <c r="I431" s="7">
        <f>'1 datos preparados'!H424</f>
        <v/>
      </c>
      <c r="J431" s="7">
        <f>'1 datos preparados'!I424</f>
        <v/>
      </c>
      <c r="K431" s="7">
        <f>'1 datos preparados'!J424</f>
        <v/>
      </c>
      <c r="L431" s="7">
        <f>'1 datos preparados'!K424</f>
        <v/>
      </c>
      <c r="M431" s="7">
        <f>'1 datos preparados'!L424</f>
        <v/>
      </c>
      <c r="N431" s="7">
        <f>'1 datos preparados'!M424</f>
        <v/>
      </c>
      <c r="O431" s="7">
        <f>'1 datos preparados'!N424</f>
        <v/>
      </c>
      <c r="P431" s="7">
        <f>'1 datos preparados'!O424</f>
        <v/>
      </c>
      <c r="Q431" s="7">
        <f>'1 datos preparados'!P424</f>
        <v/>
      </c>
      <c r="R431" s="7">
        <f>'1 datos preparados'!Q424</f>
        <v/>
      </c>
      <c r="S431" s="7">
        <f>'1 datos preparados'!R424</f>
        <v/>
      </c>
      <c r="T431" s="7">
        <f>'1 datos preparados'!S424</f>
        <v/>
      </c>
      <c r="U431" s="7">
        <f>'1 datos preparados'!T424</f>
        <v/>
      </c>
      <c r="V431" s="8">
        <f>$AC$12+D431*$AC$13+E431*$AC$14+F431*$AC$15+G431*$AC$16+H431*$AC$17+I431*$AC$18+J431*$AC$19+K431*$AC$20+L431*$AC$21+M431*$AC$22+N431*$AC$23+O431*$AC$24+P431*$AC$25+Q431*$AC$26+R431*$AC$27+S431*$AC$28+T431*$AC$29+U431*$AC$30</f>
        <v/>
      </c>
      <c r="W431" s="8">
        <f>1/(1+EXP(-V431))</f>
        <v/>
      </c>
      <c r="X431" s="9">
        <f>-IF(C431=1,LN(W431),LN(1-W431))</f>
        <v/>
      </c>
      <c r="Y431" s="10">
        <f>IF(W431&gt;$AC$33,1,0)</f>
        <v/>
      </c>
      <c r="Z431">
        <f>IF(Y431=C431,1,0)</f>
        <v/>
      </c>
    </row>
    <row r="432">
      <c r="A432">
        <f>'1 datos preparados'!A425</f>
        <v/>
      </c>
      <c r="B432" s="5">
        <f>'1 datos preparados'!U425</f>
        <v/>
      </c>
      <c r="C432">
        <f>'1 datos preparados'!B425</f>
        <v/>
      </c>
      <c r="D432" s="7">
        <f>'1 datos preparados'!C425</f>
        <v/>
      </c>
      <c r="E432" s="7">
        <f>'1 datos preparados'!D425</f>
        <v/>
      </c>
      <c r="F432" s="7">
        <f>'1 datos preparados'!E425</f>
        <v/>
      </c>
      <c r="G432" s="7">
        <f>'1 datos preparados'!F425</f>
        <v/>
      </c>
      <c r="H432" s="7">
        <f>'1 datos preparados'!G425</f>
        <v/>
      </c>
      <c r="I432" s="7">
        <f>'1 datos preparados'!H425</f>
        <v/>
      </c>
      <c r="J432" s="7">
        <f>'1 datos preparados'!I425</f>
        <v/>
      </c>
      <c r="K432" s="7">
        <f>'1 datos preparados'!J425</f>
        <v/>
      </c>
      <c r="L432" s="7">
        <f>'1 datos preparados'!K425</f>
        <v/>
      </c>
      <c r="M432" s="7">
        <f>'1 datos preparados'!L425</f>
        <v/>
      </c>
      <c r="N432" s="7">
        <f>'1 datos preparados'!M425</f>
        <v/>
      </c>
      <c r="O432" s="7">
        <f>'1 datos preparados'!N425</f>
        <v/>
      </c>
      <c r="P432" s="7">
        <f>'1 datos preparados'!O425</f>
        <v/>
      </c>
      <c r="Q432" s="7">
        <f>'1 datos preparados'!P425</f>
        <v/>
      </c>
      <c r="R432" s="7">
        <f>'1 datos preparados'!Q425</f>
        <v/>
      </c>
      <c r="S432" s="7">
        <f>'1 datos preparados'!R425</f>
        <v/>
      </c>
      <c r="T432" s="7">
        <f>'1 datos preparados'!S425</f>
        <v/>
      </c>
      <c r="U432" s="7">
        <f>'1 datos preparados'!T425</f>
        <v/>
      </c>
      <c r="V432" s="8">
        <f>$AC$12+D432*$AC$13+E432*$AC$14+F432*$AC$15+G432*$AC$16+H432*$AC$17+I432*$AC$18+J432*$AC$19+K432*$AC$20+L432*$AC$21+M432*$AC$22+N432*$AC$23+O432*$AC$24+P432*$AC$25+Q432*$AC$26+R432*$AC$27+S432*$AC$28+T432*$AC$29+U432*$AC$30</f>
        <v/>
      </c>
      <c r="W432" s="8">
        <f>1/(1+EXP(-V432))</f>
        <v/>
      </c>
      <c r="X432" s="9">
        <f>-IF(C432=1,LN(W432),LN(1-W432))</f>
        <v/>
      </c>
      <c r="Y432" s="10">
        <f>IF(W432&gt;$AC$33,1,0)</f>
        <v/>
      </c>
      <c r="Z432">
        <f>IF(Y432=C432,1,0)</f>
        <v/>
      </c>
    </row>
    <row r="433">
      <c r="A433">
        <f>'1 datos preparados'!A426</f>
        <v/>
      </c>
      <c r="B433" s="5">
        <f>'1 datos preparados'!U426</f>
        <v/>
      </c>
      <c r="C433">
        <f>'1 datos preparados'!B426</f>
        <v/>
      </c>
      <c r="D433" s="7">
        <f>'1 datos preparados'!C426</f>
        <v/>
      </c>
      <c r="E433" s="7">
        <f>'1 datos preparados'!D426</f>
        <v/>
      </c>
      <c r="F433" s="7">
        <f>'1 datos preparados'!E426</f>
        <v/>
      </c>
      <c r="G433" s="7">
        <f>'1 datos preparados'!F426</f>
        <v/>
      </c>
      <c r="H433" s="7">
        <f>'1 datos preparados'!G426</f>
        <v/>
      </c>
      <c r="I433" s="7">
        <f>'1 datos preparados'!H426</f>
        <v/>
      </c>
      <c r="J433" s="7">
        <f>'1 datos preparados'!I426</f>
        <v/>
      </c>
      <c r="K433" s="7">
        <f>'1 datos preparados'!J426</f>
        <v/>
      </c>
      <c r="L433" s="7">
        <f>'1 datos preparados'!K426</f>
        <v/>
      </c>
      <c r="M433" s="7">
        <f>'1 datos preparados'!L426</f>
        <v/>
      </c>
      <c r="N433" s="7">
        <f>'1 datos preparados'!M426</f>
        <v/>
      </c>
      <c r="O433" s="7">
        <f>'1 datos preparados'!N426</f>
        <v/>
      </c>
      <c r="P433" s="7">
        <f>'1 datos preparados'!O426</f>
        <v/>
      </c>
      <c r="Q433" s="7">
        <f>'1 datos preparados'!P426</f>
        <v/>
      </c>
      <c r="R433" s="7">
        <f>'1 datos preparados'!Q426</f>
        <v/>
      </c>
      <c r="S433" s="7">
        <f>'1 datos preparados'!R426</f>
        <v/>
      </c>
      <c r="T433" s="7">
        <f>'1 datos preparados'!S426</f>
        <v/>
      </c>
      <c r="U433" s="7">
        <f>'1 datos preparados'!T426</f>
        <v/>
      </c>
      <c r="V433" s="8">
        <f>$AC$12+D433*$AC$13+E433*$AC$14+F433*$AC$15+G433*$AC$16+H433*$AC$17+I433*$AC$18+J433*$AC$19+K433*$AC$20+L433*$AC$21+M433*$AC$22+N433*$AC$23+O433*$AC$24+P433*$AC$25+Q433*$AC$26+R433*$AC$27+S433*$AC$28+T433*$AC$29+U433*$AC$30</f>
        <v/>
      </c>
      <c r="W433" s="8">
        <f>1/(1+EXP(-V433))</f>
        <v/>
      </c>
      <c r="X433" s="9">
        <f>-IF(C433=1,LN(W433),LN(1-W433))</f>
        <v/>
      </c>
      <c r="Y433" s="10">
        <f>IF(W433&gt;$AC$33,1,0)</f>
        <v/>
      </c>
      <c r="Z433">
        <f>IF(Y433=C433,1,0)</f>
        <v/>
      </c>
    </row>
    <row r="434">
      <c r="A434">
        <f>'1 datos preparados'!A427</f>
        <v/>
      </c>
      <c r="B434" s="5">
        <f>'1 datos preparados'!U427</f>
        <v/>
      </c>
      <c r="C434">
        <f>'1 datos preparados'!B427</f>
        <v/>
      </c>
      <c r="D434" s="7">
        <f>'1 datos preparados'!C427</f>
        <v/>
      </c>
      <c r="E434" s="7">
        <f>'1 datos preparados'!D427</f>
        <v/>
      </c>
      <c r="F434" s="7">
        <f>'1 datos preparados'!E427</f>
        <v/>
      </c>
      <c r="G434" s="7">
        <f>'1 datos preparados'!F427</f>
        <v/>
      </c>
      <c r="H434" s="7">
        <f>'1 datos preparados'!G427</f>
        <v/>
      </c>
      <c r="I434" s="7">
        <f>'1 datos preparados'!H427</f>
        <v/>
      </c>
      <c r="J434" s="7">
        <f>'1 datos preparados'!I427</f>
        <v/>
      </c>
      <c r="K434" s="7">
        <f>'1 datos preparados'!J427</f>
        <v/>
      </c>
      <c r="L434" s="7">
        <f>'1 datos preparados'!K427</f>
        <v/>
      </c>
      <c r="M434" s="7">
        <f>'1 datos preparados'!L427</f>
        <v/>
      </c>
      <c r="N434" s="7">
        <f>'1 datos preparados'!M427</f>
        <v/>
      </c>
      <c r="O434" s="7">
        <f>'1 datos preparados'!N427</f>
        <v/>
      </c>
      <c r="P434" s="7">
        <f>'1 datos preparados'!O427</f>
        <v/>
      </c>
      <c r="Q434" s="7">
        <f>'1 datos preparados'!P427</f>
        <v/>
      </c>
      <c r="R434" s="7">
        <f>'1 datos preparados'!Q427</f>
        <v/>
      </c>
      <c r="S434" s="7">
        <f>'1 datos preparados'!R427</f>
        <v/>
      </c>
      <c r="T434" s="7">
        <f>'1 datos preparados'!S427</f>
        <v/>
      </c>
      <c r="U434" s="7">
        <f>'1 datos preparados'!T427</f>
        <v/>
      </c>
      <c r="V434" s="8">
        <f>$AC$12+D434*$AC$13+E434*$AC$14+F434*$AC$15+G434*$AC$16+H434*$AC$17+I434*$AC$18+J434*$AC$19+K434*$AC$20+L434*$AC$21+M434*$AC$22+N434*$AC$23+O434*$AC$24+P434*$AC$25+Q434*$AC$26+R434*$AC$27+S434*$AC$28+T434*$AC$29+U434*$AC$30</f>
        <v/>
      </c>
      <c r="W434" s="8">
        <f>1/(1+EXP(-V434))</f>
        <v/>
      </c>
      <c r="X434" s="9">
        <f>-IF(C434=1,LN(W434),LN(1-W434))</f>
        <v/>
      </c>
      <c r="Y434" s="10">
        <f>IF(W434&gt;$AC$33,1,0)</f>
        <v/>
      </c>
      <c r="Z434">
        <f>IF(Y434=C434,1,0)</f>
        <v/>
      </c>
    </row>
    <row r="435">
      <c r="A435">
        <f>'1 datos preparados'!A428</f>
        <v/>
      </c>
      <c r="B435" s="5">
        <f>'1 datos preparados'!U428</f>
        <v/>
      </c>
      <c r="C435">
        <f>'1 datos preparados'!B428</f>
        <v/>
      </c>
      <c r="D435" s="7">
        <f>'1 datos preparados'!C428</f>
        <v/>
      </c>
      <c r="E435" s="7">
        <f>'1 datos preparados'!D428</f>
        <v/>
      </c>
      <c r="F435" s="7">
        <f>'1 datos preparados'!E428</f>
        <v/>
      </c>
      <c r="G435" s="7">
        <f>'1 datos preparados'!F428</f>
        <v/>
      </c>
      <c r="H435" s="7">
        <f>'1 datos preparados'!G428</f>
        <v/>
      </c>
      <c r="I435" s="7">
        <f>'1 datos preparados'!H428</f>
        <v/>
      </c>
      <c r="J435" s="7">
        <f>'1 datos preparados'!I428</f>
        <v/>
      </c>
      <c r="K435" s="7">
        <f>'1 datos preparados'!J428</f>
        <v/>
      </c>
      <c r="L435" s="7">
        <f>'1 datos preparados'!K428</f>
        <v/>
      </c>
      <c r="M435" s="7">
        <f>'1 datos preparados'!L428</f>
        <v/>
      </c>
      <c r="N435" s="7">
        <f>'1 datos preparados'!M428</f>
        <v/>
      </c>
      <c r="O435" s="7">
        <f>'1 datos preparados'!N428</f>
        <v/>
      </c>
      <c r="P435" s="7">
        <f>'1 datos preparados'!O428</f>
        <v/>
      </c>
      <c r="Q435" s="7">
        <f>'1 datos preparados'!P428</f>
        <v/>
      </c>
      <c r="R435" s="7">
        <f>'1 datos preparados'!Q428</f>
        <v/>
      </c>
      <c r="S435" s="7">
        <f>'1 datos preparados'!R428</f>
        <v/>
      </c>
      <c r="T435" s="7">
        <f>'1 datos preparados'!S428</f>
        <v/>
      </c>
      <c r="U435" s="7">
        <f>'1 datos preparados'!T428</f>
        <v/>
      </c>
      <c r="V435" s="8">
        <f>$AC$12+D435*$AC$13+E435*$AC$14+F435*$AC$15+G435*$AC$16+H435*$AC$17+I435*$AC$18+J435*$AC$19+K435*$AC$20+L435*$AC$21+M435*$AC$22+N435*$AC$23+O435*$AC$24+P435*$AC$25+Q435*$AC$26+R435*$AC$27+S435*$AC$28+T435*$AC$29+U435*$AC$30</f>
        <v/>
      </c>
      <c r="W435" s="8">
        <f>1/(1+EXP(-V435))</f>
        <v/>
      </c>
      <c r="X435" s="9">
        <f>-IF(C435=1,LN(W435),LN(1-W435))</f>
        <v/>
      </c>
      <c r="Y435" s="10">
        <f>IF(W435&gt;$AC$33,1,0)</f>
        <v/>
      </c>
      <c r="Z435">
        <f>IF(Y435=C435,1,0)</f>
        <v/>
      </c>
    </row>
    <row r="436">
      <c r="A436">
        <f>'1 datos preparados'!A429</f>
        <v/>
      </c>
      <c r="B436" s="5">
        <f>'1 datos preparados'!U429</f>
        <v/>
      </c>
      <c r="C436">
        <f>'1 datos preparados'!B429</f>
        <v/>
      </c>
      <c r="D436" s="7">
        <f>'1 datos preparados'!C429</f>
        <v/>
      </c>
      <c r="E436" s="7">
        <f>'1 datos preparados'!D429</f>
        <v/>
      </c>
      <c r="F436" s="7">
        <f>'1 datos preparados'!E429</f>
        <v/>
      </c>
      <c r="G436" s="7">
        <f>'1 datos preparados'!F429</f>
        <v/>
      </c>
      <c r="H436" s="7">
        <f>'1 datos preparados'!G429</f>
        <v/>
      </c>
      <c r="I436" s="7">
        <f>'1 datos preparados'!H429</f>
        <v/>
      </c>
      <c r="J436" s="7">
        <f>'1 datos preparados'!I429</f>
        <v/>
      </c>
      <c r="K436" s="7">
        <f>'1 datos preparados'!J429</f>
        <v/>
      </c>
      <c r="L436" s="7">
        <f>'1 datos preparados'!K429</f>
        <v/>
      </c>
      <c r="M436" s="7">
        <f>'1 datos preparados'!L429</f>
        <v/>
      </c>
      <c r="N436" s="7">
        <f>'1 datos preparados'!M429</f>
        <v/>
      </c>
      <c r="O436" s="7">
        <f>'1 datos preparados'!N429</f>
        <v/>
      </c>
      <c r="P436" s="7">
        <f>'1 datos preparados'!O429</f>
        <v/>
      </c>
      <c r="Q436" s="7">
        <f>'1 datos preparados'!P429</f>
        <v/>
      </c>
      <c r="R436" s="7">
        <f>'1 datos preparados'!Q429</f>
        <v/>
      </c>
      <c r="S436" s="7">
        <f>'1 datos preparados'!R429</f>
        <v/>
      </c>
      <c r="T436" s="7">
        <f>'1 datos preparados'!S429</f>
        <v/>
      </c>
      <c r="U436" s="7">
        <f>'1 datos preparados'!T429</f>
        <v/>
      </c>
      <c r="V436" s="8">
        <f>$AC$12+D436*$AC$13+E436*$AC$14+F436*$AC$15+G436*$AC$16+H436*$AC$17+I436*$AC$18+J436*$AC$19+K436*$AC$20+L436*$AC$21+M436*$AC$22+N436*$AC$23+O436*$AC$24+P436*$AC$25+Q436*$AC$26+R436*$AC$27+S436*$AC$28+T436*$AC$29+U436*$AC$30</f>
        <v/>
      </c>
      <c r="W436" s="8">
        <f>1/(1+EXP(-V436))</f>
        <v/>
      </c>
      <c r="X436" s="9">
        <f>-IF(C436=1,LN(W436),LN(1-W436))</f>
        <v/>
      </c>
      <c r="Y436" s="10">
        <f>IF(W436&gt;$AC$33,1,0)</f>
        <v/>
      </c>
      <c r="Z436">
        <f>IF(Y436=C436,1,0)</f>
        <v/>
      </c>
    </row>
    <row r="437">
      <c r="A437">
        <f>'1 datos preparados'!A430</f>
        <v/>
      </c>
      <c r="B437" s="5">
        <f>'1 datos preparados'!U430</f>
        <v/>
      </c>
      <c r="C437">
        <f>'1 datos preparados'!B430</f>
        <v/>
      </c>
      <c r="D437" s="7">
        <f>'1 datos preparados'!C430</f>
        <v/>
      </c>
      <c r="E437" s="7">
        <f>'1 datos preparados'!D430</f>
        <v/>
      </c>
      <c r="F437" s="7">
        <f>'1 datos preparados'!E430</f>
        <v/>
      </c>
      <c r="G437" s="7">
        <f>'1 datos preparados'!F430</f>
        <v/>
      </c>
      <c r="H437" s="7">
        <f>'1 datos preparados'!G430</f>
        <v/>
      </c>
      <c r="I437" s="7">
        <f>'1 datos preparados'!H430</f>
        <v/>
      </c>
      <c r="J437" s="7">
        <f>'1 datos preparados'!I430</f>
        <v/>
      </c>
      <c r="K437" s="7">
        <f>'1 datos preparados'!J430</f>
        <v/>
      </c>
      <c r="L437" s="7">
        <f>'1 datos preparados'!K430</f>
        <v/>
      </c>
      <c r="M437" s="7">
        <f>'1 datos preparados'!L430</f>
        <v/>
      </c>
      <c r="N437" s="7">
        <f>'1 datos preparados'!M430</f>
        <v/>
      </c>
      <c r="O437" s="7">
        <f>'1 datos preparados'!N430</f>
        <v/>
      </c>
      <c r="P437" s="7">
        <f>'1 datos preparados'!O430</f>
        <v/>
      </c>
      <c r="Q437" s="7">
        <f>'1 datos preparados'!P430</f>
        <v/>
      </c>
      <c r="R437" s="7">
        <f>'1 datos preparados'!Q430</f>
        <v/>
      </c>
      <c r="S437" s="7">
        <f>'1 datos preparados'!R430</f>
        <v/>
      </c>
      <c r="T437" s="7">
        <f>'1 datos preparados'!S430</f>
        <v/>
      </c>
      <c r="U437" s="7">
        <f>'1 datos preparados'!T430</f>
        <v/>
      </c>
      <c r="V437" s="8">
        <f>$AC$12+D437*$AC$13+E437*$AC$14+F437*$AC$15+G437*$AC$16+H437*$AC$17+I437*$AC$18+J437*$AC$19+K437*$AC$20+L437*$AC$21+M437*$AC$22+N437*$AC$23+O437*$AC$24+P437*$AC$25+Q437*$AC$26+R437*$AC$27+S437*$AC$28+T437*$AC$29+U437*$AC$30</f>
        <v/>
      </c>
      <c r="W437" s="8">
        <f>1/(1+EXP(-V437))</f>
        <v/>
      </c>
      <c r="X437" s="9">
        <f>-IF(C437=1,LN(W437),LN(1-W437))</f>
        <v/>
      </c>
      <c r="Y437" s="10">
        <f>IF(W437&gt;$AC$33,1,0)</f>
        <v/>
      </c>
      <c r="Z437">
        <f>IF(Y437=C437,1,0)</f>
        <v/>
      </c>
    </row>
    <row r="438">
      <c r="A438">
        <f>'1 datos preparados'!A431</f>
        <v/>
      </c>
      <c r="B438" s="5">
        <f>'1 datos preparados'!U431</f>
        <v/>
      </c>
      <c r="C438">
        <f>'1 datos preparados'!B431</f>
        <v/>
      </c>
      <c r="D438" s="7">
        <f>'1 datos preparados'!C431</f>
        <v/>
      </c>
      <c r="E438" s="7">
        <f>'1 datos preparados'!D431</f>
        <v/>
      </c>
      <c r="F438" s="7">
        <f>'1 datos preparados'!E431</f>
        <v/>
      </c>
      <c r="G438" s="7">
        <f>'1 datos preparados'!F431</f>
        <v/>
      </c>
      <c r="H438" s="7">
        <f>'1 datos preparados'!G431</f>
        <v/>
      </c>
      <c r="I438" s="7">
        <f>'1 datos preparados'!H431</f>
        <v/>
      </c>
      <c r="J438" s="7">
        <f>'1 datos preparados'!I431</f>
        <v/>
      </c>
      <c r="K438" s="7">
        <f>'1 datos preparados'!J431</f>
        <v/>
      </c>
      <c r="L438" s="7">
        <f>'1 datos preparados'!K431</f>
        <v/>
      </c>
      <c r="M438" s="7">
        <f>'1 datos preparados'!L431</f>
        <v/>
      </c>
      <c r="N438" s="7">
        <f>'1 datos preparados'!M431</f>
        <v/>
      </c>
      <c r="O438" s="7">
        <f>'1 datos preparados'!N431</f>
        <v/>
      </c>
      <c r="P438" s="7">
        <f>'1 datos preparados'!O431</f>
        <v/>
      </c>
      <c r="Q438" s="7">
        <f>'1 datos preparados'!P431</f>
        <v/>
      </c>
      <c r="R438" s="7">
        <f>'1 datos preparados'!Q431</f>
        <v/>
      </c>
      <c r="S438" s="7">
        <f>'1 datos preparados'!R431</f>
        <v/>
      </c>
      <c r="T438" s="7">
        <f>'1 datos preparados'!S431</f>
        <v/>
      </c>
      <c r="U438" s="7">
        <f>'1 datos preparados'!T431</f>
        <v/>
      </c>
      <c r="V438" s="8">
        <f>$AC$12+D438*$AC$13+E438*$AC$14+F438*$AC$15+G438*$AC$16+H438*$AC$17+I438*$AC$18+J438*$AC$19+K438*$AC$20+L438*$AC$21+M438*$AC$22+N438*$AC$23+O438*$AC$24+P438*$AC$25+Q438*$AC$26+R438*$AC$27+S438*$AC$28+T438*$AC$29+U438*$AC$30</f>
        <v/>
      </c>
      <c r="W438" s="8">
        <f>1/(1+EXP(-V438))</f>
        <v/>
      </c>
      <c r="X438" s="9">
        <f>-IF(C438=1,LN(W438),LN(1-W438))</f>
        <v/>
      </c>
      <c r="Y438" s="10">
        <f>IF(W438&gt;$AC$33,1,0)</f>
        <v/>
      </c>
      <c r="Z438">
        <f>IF(Y438=C438,1,0)</f>
        <v/>
      </c>
    </row>
    <row r="439">
      <c r="A439">
        <f>'1 datos preparados'!A432</f>
        <v/>
      </c>
      <c r="B439" s="5">
        <f>'1 datos preparados'!U432</f>
        <v/>
      </c>
      <c r="C439">
        <f>'1 datos preparados'!B432</f>
        <v/>
      </c>
      <c r="D439" s="7">
        <f>'1 datos preparados'!C432</f>
        <v/>
      </c>
      <c r="E439" s="7">
        <f>'1 datos preparados'!D432</f>
        <v/>
      </c>
      <c r="F439" s="7">
        <f>'1 datos preparados'!E432</f>
        <v/>
      </c>
      <c r="G439" s="7">
        <f>'1 datos preparados'!F432</f>
        <v/>
      </c>
      <c r="H439" s="7">
        <f>'1 datos preparados'!G432</f>
        <v/>
      </c>
      <c r="I439" s="7">
        <f>'1 datos preparados'!H432</f>
        <v/>
      </c>
      <c r="J439" s="7">
        <f>'1 datos preparados'!I432</f>
        <v/>
      </c>
      <c r="K439" s="7">
        <f>'1 datos preparados'!J432</f>
        <v/>
      </c>
      <c r="L439" s="7">
        <f>'1 datos preparados'!K432</f>
        <v/>
      </c>
      <c r="M439" s="7">
        <f>'1 datos preparados'!L432</f>
        <v/>
      </c>
      <c r="N439" s="7">
        <f>'1 datos preparados'!M432</f>
        <v/>
      </c>
      <c r="O439" s="7">
        <f>'1 datos preparados'!N432</f>
        <v/>
      </c>
      <c r="P439" s="7">
        <f>'1 datos preparados'!O432</f>
        <v/>
      </c>
      <c r="Q439" s="7">
        <f>'1 datos preparados'!P432</f>
        <v/>
      </c>
      <c r="R439" s="7">
        <f>'1 datos preparados'!Q432</f>
        <v/>
      </c>
      <c r="S439" s="7">
        <f>'1 datos preparados'!R432</f>
        <v/>
      </c>
      <c r="T439" s="7">
        <f>'1 datos preparados'!S432</f>
        <v/>
      </c>
      <c r="U439" s="7">
        <f>'1 datos preparados'!T432</f>
        <v/>
      </c>
      <c r="V439" s="8">
        <f>$AC$12+D439*$AC$13+E439*$AC$14+F439*$AC$15+G439*$AC$16+H439*$AC$17+I439*$AC$18+J439*$AC$19+K439*$AC$20+L439*$AC$21+M439*$AC$22+N439*$AC$23+O439*$AC$24+P439*$AC$25+Q439*$AC$26+R439*$AC$27+S439*$AC$28+T439*$AC$29+U439*$AC$30</f>
        <v/>
      </c>
      <c r="W439" s="8">
        <f>1/(1+EXP(-V439))</f>
        <v/>
      </c>
      <c r="X439" s="9">
        <f>-IF(C439=1,LN(W439),LN(1-W439))</f>
        <v/>
      </c>
      <c r="Y439" s="10">
        <f>IF(W439&gt;$AC$33,1,0)</f>
        <v/>
      </c>
      <c r="Z439">
        <f>IF(Y439=C439,1,0)</f>
        <v/>
      </c>
    </row>
    <row r="440">
      <c r="A440">
        <f>'1 datos preparados'!A433</f>
        <v/>
      </c>
      <c r="B440" s="5">
        <f>'1 datos preparados'!U433</f>
        <v/>
      </c>
      <c r="C440">
        <f>'1 datos preparados'!B433</f>
        <v/>
      </c>
      <c r="D440" s="7">
        <f>'1 datos preparados'!C433</f>
        <v/>
      </c>
      <c r="E440" s="7">
        <f>'1 datos preparados'!D433</f>
        <v/>
      </c>
      <c r="F440" s="7">
        <f>'1 datos preparados'!E433</f>
        <v/>
      </c>
      <c r="G440" s="7">
        <f>'1 datos preparados'!F433</f>
        <v/>
      </c>
      <c r="H440" s="7">
        <f>'1 datos preparados'!G433</f>
        <v/>
      </c>
      <c r="I440" s="7">
        <f>'1 datos preparados'!H433</f>
        <v/>
      </c>
      <c r="J440" s="7">
        <f>'1 datos preparados'!I433</f>
        <v/>
      </c>
      <c r="K440" s="7">
        <f>'1 datos preparados'!J433</f>
        <v/>
      </c>
      <c r="L440" s="7">
        <f>'1 datos preparados'!K433</f>
        <v/>
      </c>
      <c r="M440" s="7">
        <f>'1 datos preparados'!L433</f>
        <v/>
      </c>
      <c r="N440" s="7">
        <f>'1 datos preparados'!M433</f>
        <v/>
      </c>
      <c r="O440" s="7">
        <f>'1 datos preparados'!N433</f>
        <v/>
      </c>
      <c r="P440" s="7">
        <f>'1 datos preparados'!O433</f>
        <v/>
      </c>
      <c r="Q440" s="7">
        <f>'1 datos preparados'!P433</f>
        <v/>
      </c>
      <c r="R440" s="7">
        <f>'1 datos preparados'!Q433</f>
        <v/>
      </c>
      <c r="S440" s="7">
        <f>'1 datos preparados'!R433</f>
        <v/>
      </c>
      <c r="T440" s="7">
        <f>'1 datos preparados'!S433</f>
        <v/>
      </c>
      <c r="U440" s="7">
        <f>'1 datos preparados'!T433</f>
        <v/>
      </c>
      <c r="V440" s="8">
        <f>$AC$12+D440*$AC$13+E440*$AC$14+F440*$AC$15+G440*$AC$16+H440*$AC$17+I440*$AC$18+J440*$AC$19+K440*$AC$20+L440*$AC$21+M440*$AC$22+N440*$AC$23+O440*$AC$24+P440*$AC$25+Q440*$AC$26+R440*$AC$27+S440*$AC$28+T440*$AC$29+U440*$AC$30</f>
        <v/>
      </c>
      <c r="W440" s="8">
        <f>1/(1+EXP(-V440))</f>
        <v/>
      </c>
      <c r="X440" s="9">
        <f>-IF(C440=1,LN(W440),LN(1-W440))</f>
        <v/>
      </c>
      <c r="Y440" s="10">
        <f>IF(W440&gt;$AC$33,1,0)</f>
        <v/>
      </c>
      <c r="Z440">
        <f>IF(Y440=C440,1,0)</f>
        <v/>
      </c>
    </row>
    <row r="441">
      <c r="A441">
        <f>'1 datos preparados'!A434</f>
        <v/>
      </c>
      <c r="B441" s="5">
        <f>'1 datos preparados'!U434</f>
        <v/>
      </c>
      <c r="C441">
        <f>'1 datos preparados'!B434</f>
        <v/>
      </c>
      <c r="D441" s="7">
        <f>'1 datos preparados'!C434</f>
        <v/>
      </c>
      <c r="E441" s="7">
        <f>'1 datos preparados'!D434</f>
        <v/>
      </c>
      <c r="F441" s="7">
        <f>'1 datos preparados'!E434</f>
        <v/>
      </c>
      <c r="G441" s="7">
        <f>'1 datos preparados'!F434</f>
        <v/>
      </c>
      <c r="H441" s="7">
        <f>'1 datos preparados'!G434</f>
        <v/>
      </c>
      <c r="I441" s="7">
        <f>'1 datos preparados'!H434</f>
        <v/>
      </c>
      <c r="J441" s="7">
        <f>'1 datos preparados'!I434</f>
        <v/>
      </c>
      <c r="K441" s="7">
        <f>'1 datos preparados'!J434</f>
        <v/>
      </c>
      <c r="L441" s="7">
        <f>'1 datos preparados'!K434</f>
        <v/>
      </c>
      <c r="M441" s="7">
        <f>'1 datos preparados'!L434</f>
        <v/>
      </c>
      <c r="N441" s="7">
        <f>'1 datos preparados'!M434</f>
        <v/>
      </c>
      <c r="O441" s="7">
        <f>'1 datos preparados'!N434</f>
        <v/>
      </c>
      <c r="P441" s="7">
        <f>'1 datos preparados'!O434</f>
        <v/>
      </c>
      <c r="Q441" s="7">
        <f>'1 datos preparados'!P434</f>
        <v/>
      </c>
      <c r="R441" s="7">
        <f>'1 datos preparados'!Q434</f>
        <v/>
      </c>
      <c r="S441" s="7">
        <f>'1 datos preparados'!R434</f>
        <v/>
      </c>
      <c r="T441" s="7">
        <f>'1 datos preparados'!S434</f>
        <v/>
      </c>
      <c r="U441" s="7">
        <f>'1 datos preparados'!T434</f>
        <v/>
      </c>
      <c r="V441" s="8">
        <f>$AC$12+D441*$AC$13+E441*$AC$14+F441*$AC$15+G441*$AC$16+H441*$AC$17+I441*$AC$18+J441*$AC$19+K441*$AC$20+L441*$AC$21+M441*$AC$22+N441*$AC$23+O441*$AC$24+P441*$AC$25+Q441*$AC$26+R441*$AC$27+S441*$AC$28+T441*$AC$29+U441*$AC$30</f>
        <v/>
      </c>
      <c r="W441" s="8">
        <f>1/(1+EXP(-V441))</f>
        <v/>
      </c>
      <c r="X441" s="9">
        <f>-IF(C441=1,LN(W441),LN(1-W441))</f>
        <v/>
      </c>
      <c r="Y441" s="10">
        <f>IF(W441&gt;$AC$33,1,0)</f>
        <v/>
      </c>
      <c r="Z441">
        <f>IF(Y441=C441,1,0)</f>
        <v/>
      </c>
    </row>
    <row r="442">
      <c r="A442">
        <f>'1 datos preparados'!A435</f>
        <v/>
      </c>
      <c r="B442" s="5">
        <f>'1 datos preparados'!U435</f>
        <v/>
      </c>
      <c r="C442">
        <f>'1 datos preparados'!B435</f>
        <v/>
      </c>
      <c r="D442" s="7">
        <f>'1 datos preparados'!C435</f>
        <v/>
      </c>
      <c r="E442" s="7">
        <f>'1 datos preparados'!D435</f>
        <v/>
      </c>
      <c r="F442" s="7">
        <f>'1 datos preparados'!E435</f>
        <v/>
      </c>
      <c r="G442" s="7">
        <f>'1 datos preparados'!F435</f>
        <v/>
      </c>
      <c r="H442" s="7">
        <f>'1 datos preparados'!G435</f>
        <v/>
      </c>
      <c r="I442" s="7">
        <f>'1 datos preparados'!H435</f>
        <v/>
      </c>
      <c r="J442" s="7">
        <f>'1 datos preparados'!I435</f>
        <v/>
      </c>
      <c r="K442" s="7">
        <f>'1 datos preparados'!J435</f>
        <v/>
      </c>
      <c r="L442" s="7">
        <f>'1 datos preparados'!K435</f>
        <v/>
      </c>
      <c r="M442" s="7">
        <f>'1 datos preparados'!L435</f>
        <v/>
      </c>
      <c r="N442" s="7">
        <f>'1 datos preparados'!M435</f>
        <v/>
      </c>
      <c r="O442" s="7">
        <f>'1 datos preparados'!N435</f>
        <v/>
      </c>
      <c r="P442" s="7">
        <f>'1 datos preparados'!O435</f>
        <v/>
      </c>
      <c r="Q442" s="7">
        <f>'1 datos preparados'!P435</f>
        <v/>
      </c>
      <c r="R442" s="7">
        <f>'1 datos preparados'!Q435</f>
        <v/>
      </c>
      <c r="S442" s="7">
        <f>'1 datos preparados'!R435</f>
        <v/>
      </c>
      <c r="T442" s="7">
        <f>'1 datos preparados'!S435</f>
        <v/>
      </c>
      <c r="U442" s="7">
        <f>'1 datos preparados'!T435</f>
        <v/>
      </c>
      <c r="V442" s="8">
        <f>$AC$12+D442*$AC$13+E442*$AC$14+F442*$AC$15+G442*$AC$16+H442*$AC$17+I442*$AC$18+J442*$AC$19+K442*$AC$20+L442*$AC$21+M442*$AC$22+N442*$AC$23+O442*$AC$24+P442*$AC$25+Q442*$AC$26+R442*$AC$27+S442*$AC$28+T442*$AC$29+U442*$AC$30</f>
        <v/>
      </c>
      <c r="W442" s="8">
        <f>1/(1+EXP(-V442))</f>
        <v/>
      </c>
      <c r="X442" s="9">
        <f>-IF(C442=1,LN(W442),LN(1-W442))</f>
        <v/>
      </c>
      <c r="Y442" s="10">
        <f>IF(W442&gt;$AC$33,1,0)</f>
        <v/>
      </c>
      <c r="Z442">
        <f>IF(Y442=C442,1,0)</f>
        <v/>
      </c>
    </row>
    <row r="443">
      <c r="A443">
        <f>'1 datos preparados'!A436</f>
        <v/>
      </c>
      <c r="B443" s="5">
        <f>'1 datos preparados'!U436</f>
        <v/>
      </c>
      <c r="C443">
        <f>'1 datos preparados'!B436</f>
        <v/>
      </c>
      <c r="D443" s="7">
        <f>'1 datos preparados'!C436</f>
        <v/>
      </c>
      <c r="E443" s="7">
        <f>'1 datos preparados'!D436</f>
        <v/>
      </c>
      <c r="F443" s="7">
        <f>'1 datos preparados'!E436</f>
        <v/>
      </c>
      <c r="G443" s="7">
        <f>'1 datos preparados'!F436</f>
        <v/>
      </c>
      <c r="H443" s="7">
        <f>'1 datos preparados'!G436</f>
        <v/>
      </c>
      <c r="I443" s="7">
        <f>'1 datos preparados'!H436</f>
        <v/>
      </c>
      <c r="J443" s="7">
        <f>'1 datos preparados'!I436</f>
        <v/>
      </c>
      <c r="K443" s="7">
        <f>'1 datos preparados'!J436</f>
        <v/>
      </c>
      <c r="L443" s="7">
        <f>'1 datos preparados'!K436</f>
        <v/>
      </c>
      <c r="M443" s="7">
        <f>'1 datos preparados'!L436</f>
        <v/>
      </c>
      <c r="N443" s="7">
        <f>'1 datos preparados'!M436</f>
        <v/>
      </c>
      <c r="O443" s="7">
        <f>'1 datos preparados'!N436</f>
        <v/>
      </c>
      <c r="P443" s="7">
        <f>'1 datos preparados'!O436</f>
        <v/>
      </c>
      <c r="Q443" s="7">
        <f>'1 datos preparados'!P436</f>
        <v/>
      </c>
      <c r="R443" s="7">
        <f>'1 datos preparados'!Q436</f>
        <v/>
      </c>
      <c r="S443" s="7">
        <f>'1 datos preparados'!R436</f>
        <v/>
      </c>
      <c r="T443" s="7">
        <f>'1 datos preparados'!S436</f>
        <v/>
      </c>
      <c r="U443" s="7">
        <f>'1 datos preparados'!T436</f>
        <v/>
      </c>
      <c r="V443" s="8">
        <f>$AC$12+D443*$AC$13+E443*$AC$14+F443*$AC$15+G443*$AC$16+H443*$AC$17+I443*$AC$18+J443*$AC$19+K443*$AC$20+L443*$AC$21+M443*$AC$22+N443*$AC$23+O443*$AC$24+P443*$AC$25+Q443*$AC$26+R443*$AC$27+S443*$AC$28+T443*$AC$29+U443*$AC$30</f>
        <v/>
      </c>
      <c r="W443" s="8">
        <f>1/(1+EXP(-V443))</f>
        <v/>
      </c>
      <c r="X443" s="9">
        <f>-IF(C443=1,LN(W443),LN(1-W443))</f>
        <v/>
      </c>
      <c r="Y443" s="10">
        <f>IF(W443&gt;$AC$33,1,0)</f>
        <v/>
      </c>
      <c r="Z443">
        <f>IF(Y443=C443,1,0)</f>
        <v/>
      </c>
    </row>
    <row r="444">
      <c r="A444">
        <f>'1 datos preparados'!A437</f>
        <v/>
      </c>
      <c r="B444" s="5">
        <f>'1 datos preparados'!U437</f>
        <v/>
      </c>
      <c r="C444">
        <f>'1 datos preparados'!B437</f>
        <v/>
      </c>
      <c r="D444" s="7">
        <f>'1 datos preparados'!C437</f>
        <v/>
      </c>
      <c r="E444" s="7">
        <f>'1 datos preparados'!D437</f>
        <v/>
      </c>
      <c r="F444" s="7">
        <f>'1 datos preparados'!E437</f>
        <v/>
      </c>
      <c r="G444" s="7">
        <f>'1 datos preparados'!F437</f>
        <v/>
      </c>
      <c r="H444" s="7">
        <f>'1 datos preparados'!G437</f>
        <v/>
      </c>
      <c r="I444" s="7">
        <f>'1 datos preparados'!H437</f>
        <v/>
      </c>
      <c r="J444" s="7">
        <f>'1 datos preparados'!I437</f>
        <v/>
      </c>
      <c r="K444" s="7">
        <f>'1 datos preparados'!J437</f>
        <v/>
      </c>
      <c r="L444" s="7">
        <f>'1 datos preparados'!K437</f>
        <v/>
      </c>
      <c r="M444" s="7">
        <f>'1 datos preparados'!L437</f>
        <v/>
      </c>
      <c r="N444" s="7">
        <f>'1 datos preparados'!M437</f>
        <v/>
      </c>
      <c r="O444" s="7">
        <f>'1 datos preparados'!N437</f>
        <v/>
      </c>
      <c r="P444" s="7">
        <f>'1 datos preparados'!O437</f>
        <v/>
      </c>
      <c r="Q444" s="7">
        <f>'1 datos preparados'!P437</f>
        <v/>
      </c>
      <c r="R444" s="7">
        <f>'1 datos preparados'!Q437</f>
        <v/>
      </c>
      <c r="S444" s="7">
        <f>'1 datos preparados'!R437</f>
        <v/>
      </c>
      <c r="T444" s="7">
        <f>'1 datos preparados'!S437</f>
        <v/>
      </c>
      <c r="U444" s="7">
        <f>'1 datos preparados'!T437</f>
        <v/>
      </c>
      <c r="V444" s="8">
        <f>$AC$12+D444*$AC$13+E444*$AC$14+F444*$AC$15+G444*$AC$16+H444*$AC$17+I444*$AC$18+J444*$AC$19+K444*$AC$20+L444*$AC$21+M444*$AC$22+N444*$AC$23+O444*$AC$24+P444*$AC$25+Q444*$AC$26+R444*$AC$27+S444*$AC$28+T444*$AC$29+U444*$AC$30</f>
        <v/>
      </c>
      <c r="W444" s="8">
        <f>1/(1+EXP(-V444))</f>
        <v/>
      </c>
      <c r="X444" s="9">
        <f>-IF(C444=1,LN(W444),LN(1-W444))</f>
        <v/>
      </c>
      <c r="Y444" s="10">
        <f>IF(W444&gt;$AC$33,1,0)</f>
        <v/>
      </c>
      <c r="Z444">
        <f>IF(Y444=C444,1,0)</f>
        <v/>
      </c>
    </row>
    <row r="445">
      <c r="A445">
        <f>'1 datos preparados'!A438</f>
        <v/>
      </c>
      <c r="B445" s="5">
        <f>'1 datos preparados'!U438</f>
        <v/>
      </c>
      <c r="C445">
        <f>'1 datos preparados'!B438</f>
        <v/>
      </c>
      <c r="D445" s="7">
        <f>'1 datos preparados'!C438</f>
        <v/>
      </c>
      <c r="E445" s="7">
        <f>'1 datos preparados'!D438</f>
        <v/>
      </c>
      <c r="F445" s="7">
        <f>'1 datos preparados'!E438</f>
        <v/>
      </c>
      <c r="G445" s="7">
        <f>'1 datos preparados'!F438</f>
        <v/>
      </c>
      <c r="H445" s="7">
        <f>'1 datos preparados'!G438</f>
        <v/>
      </c>
      <c r="I445" s="7">
        <f>'1 datos preparados'!H438</f>
        <v/>
      </c>
      <c r="J445" s="7">
        <f>'1 datos preparados'!I438</f>
        <v/>
      </c>
      <c r="K445" s="7">
        <f>'1 datos preparados'!J438</f>
        <v/>
      </c>
      <c r="L445" s="7">
        <f>'1 datos preparados'!K438</f>
        <v/>
      </c>
      <c r="M445" s="7">
        <f>'1 datos preparados'!L438</f>
        <v/>
      </c>
      <c r="N445" s="7">
        <f>'1 datos preparados'!M438</f>
        <v/>
      </c>
      <c r="O445" s="7">
        <f>'1 datos preparados'!N438</f>
        <v/>
      </c>
      <c r="P445" s="7">
        <f>'1 datos preparados'!O438</f>
        <v/>
      </c>
      <c r="Q445" s="7">
        <f>'1 datos preparados'!P438</f>
        <v/>
      </c>
      <c r="R445" s="7">
        <f>'1 datos preparados'!Q438</f>
        <v/>
      </c>
      <c r="S445" s="7">
        <f>'1 datos preparados'!R438</f>
        <v/>
      </c>
      <c r="T445" s="7">
        <f>'1 datos preparados'!S438</f>
        <v/>
      </c>
      <c r="U445" s="7">
        <f>'1 datos preparados'!T438</f>
        <v/>
      </c>
      <c r="V445" s="8">
        <f>$AC$12+D445*$AC$13+E445*$AC$14+F445*$AC$15+G445*$AC$16+H445*$AC$17+I445*$AC$18+J445*$AC$19+K445*$AC$20+L445*$AC$21+M445*$AC$22+N445*$AC$23+O445*$AC$24+P445*$AC$25+Q445*$AC$26+R445*$AC$27+S445*$AC$28+T445*$AC$29+U445*$AC$30</f>
        <v/>
      </c>
      <c r="W445" s="8">
        <f>1/(1+EXP(-V445))</f>
        <v/>
      </c>
      <c r="X445" s="9">
        <f>-IF(C445=1,LN(W445),LN(1-W445))</f>
        <v/>
      </c>
      <c r="Y445" s="10">
        <f>IF(W445&gt;$AC$33,1,0)</f>
        <v/>
      </c>
      <c r="Z445">
        <f>IF(Y445=C445,1,0)</f>
        <v/>
      </c>
    </row>
    <row r="446">
      <c r="A446">
        <f>'1 datos preparados'!A439</f>
        <v/>
      </c>
      <c r="B446" s="5">
        <f>'1 datos preparados'!U439</f>
        <v/>
      </c>
      <c r="C446">
        <f>'1 datos preparados'!B439</f>
        <v/>
      </c>
      <c r="D446" s="7">
        <f>'1 datos preparados'!C439</f>
        <v/>
      </c>
      <c r="E446" s="7">
        <f>'1 datos preparados'!D439</f>
        <v/>
      </c>
      <c r="F446" s="7">
        <f>'1 datos preparados'!E439</f>
        <v/>
      </c>
      <c r="G446" s="7">
        <f>'1 datos preparados'!F439</f>
        <v/>
      </c>
      <c r="H446" s="7">
        <f>'1 datos preparados'!G439</f>
        <v/>
      </c>
      <c r="I446" s="7">
        <f>'1 datos preparados'!H439</f>
        <v/>
      </c>
      <c r="J446" s="7">
        <f>'1 datos preparados'!I439</f>
        <v/>
      </c>
      <c r="K446" s="7">
        <f>'1 datos preparados'!J439</f>
        <v/>
      </c>
      <c r="L446" s="7">
        <f>'1 datos preparados'!K439</f>
        <v/>
      </c>
      <c r="M446" s="7">
        <f>'1 datos preparados'!L439</f>
        <v/>
      </c>
      <c r="N446" s="7">
        <f>'1 datos preparados'!M439</f>
        <v/>
      </c>
      <c r="O446" s="7">
        <f>'1 datos preparados'!N439</f>
        <v/>
      </c>
      <c r="P446" s="7">
        <f>'1 datos preparados'!O439</f>
        <v/>
      </c>
      <c r="Q446" s="7">
        <f>'1 datos preparados'!P439</f>
        <v/>
      </c>
      <c r="R446" s="7">
        <f>'1 datos preparados'!Q439</f>
        <v/>
      </c>
      <c r="S446" s="7">
        <f>'1 datos preparados'!R439</f>
        <v/>
      </c>
      <c r="T446" s="7">
        <f>'1 datos preparados'!S439</f>
        <v/>
      </c>
      <c r="U446" s="7">
        <f>'1 datos preparados'!T439</f>
        <v/>
      </c>
      <c r="V446" s="8">
        <f>$AC$12+D446*$AC$13+E446*$AC$14+F446*$AC$15+G446*$AC$16+H446*$AC$17+I446*$AC$18+J446*$AC$19+K446*$AC$20+L446*$AC$21+M446*$AC$22+N446*$AC$23+O446*$AC$24+P446*$AC$25+Q446*$AC$26+R446*$AC$27+S446*$AC$28+T446*$AC$29+U446*$AC$30</f>
        <v/>
      </c>
      <c r="W446" s="8">
        <f>1/(1+EXP(-V446))</f>
        <v/>
      </c>
      <c r="X446" s="9">
        <f>-IF(C446=1,LN(W446),LN(1-W446))</f>
        <v/>
      </c>
      <c r="Y446" s="10">
        <f>IF(W446&gt;$AC$33,1,0)</f>
        <v/>
      </c>
      <c r="Z446">
        <f>IF(Y446=C446,1,0)</f>
        <v/>
      </c>
    </row>
    <row r="447">
      <c r="A447">
        <f>'1 datos preparados'!A440</f>
        <v/>
      </c>
      <c r="B447" s="5">
        <f>'1 datos preparados'!U440</f>
        <v/>
      </c>
      <c r="C447">
        <f>'1 datos preparados'!B440</f>
        <v/>
      </c>
      <c r="D447" s="7">
        <f>'1 datos preparados'!C440</f>
        <v/>
      </c>
      <c r="E447" s="7">
        <f>'1 datos preparados'!D440</f>
        <v/>
      </c>
      <c r="F447" s="7">
        <f>'1 datos preparados'!E440</f>
        <v/>
      </c>
      <c r="G447" s="7">
        <f>'1 datos preparados'!F440</f>
        <v/>
      </c>
      <c r="H447" s="7">
        <f>'1 datos preparados'!G440</f>
        <v/>
      </c>
      <c r="I447" s="7">
        <f>'1 datos preparados'!H440</f>
        <v/>
      </c>
      <c r="J447" s="7">
        <f>'1 datos preparados'!I440</f>
        <v/>
      </c>
      <c r="K447" s="7">
        <f>'1 datos preparados'!J440</f>
        <v/>
      </c>
      <c r="L447" s="7">
        <f>'1 datos preparados'!K440</f>
        <v/>
      </c>
      <c r="M447" s="7">
        <f>'1 datos preparados'!L440</f>
        <v/>
      </c>
      <c r="N447" s="7">
        <f>'1 datos preparados'!M440</f>
        <v/>
      </c>
      <c r="O447" s="7">
        <f>'1 datos preparados'!N440</f>
        <v/>
      </c>
      <c r="P447" s="7">
        <f>'1 datos preparados'!O440</f>
        <v/>
      </c>
      <c r="Q447" s="7">
        <f>'1 datos preparados'!P440</f>
        <v/>
      </c>
      <c r="R447" s="7">
        <f>'1 datos preparados'!Q440</f>
        <v/>
      </c>
      <c r="S447" s="7">
        <f>'1 datos preparados'!R440</f>
        <v/>
      </c>
      <c r="T447" s="7">
        <f>'1 datos preparados'!S440</f>
        <v/>
      </c>
      <c r="U447" s="7">
        <f>'1 datos preparados'!T440</f>
        <v/>
      </c>
      <c r="V447" s="8">
        <f>$AC$12+D447*$AC$13+E447*$AC$14+F447*$AC$15+G447*$AC$16+H447*$AC$17+I447*$AC$18+J447*$AC$19+K447*$AC$20+L447*$AC$21+M447*$AC$22+N447*$AC$23+O447*$AC$24+P447*$AC$25+Q447*$AC$26+R447*$AC$27+S447*$AC$28+T447*$AC$29+U447*$AC$30</f>
        <v/>
      </c>
      <c r="W447" s="8">
        <f>1/(1+EXP(-V447))</f>
        <v/>
      </c>
      <c r="X447" s="9">
        <f>-IF(C447=1,LN(W447),LN(1-W447))</f>
        <v/>
      </c>
      <c r="Y447" s="10">
        <f>IF(W447&gt;$AC$33,1,0)</f>
        <v/>
      </c>
      <c r="Z447">
        <f>IF(Y447=C447,1,0)</f>
        <v/>
      </c>
    </row>
    <row r="448">
      <c r="A448">
        <f>'1 datos preparados'!A441</f>
        <v/>
      </c>
      <c r="B448" s="5">
        <f>'1 datos preparados'!U441</f>
        <v/>
      </c>
      <c r="C448">
        <f>'1 datos preparados'!B441</f>
        <v/>
      </c>
      <c r="D448" s="7">
        <f>'1 datos preparados'!C441</f>
        <v/>
      </c>
      <c r="E448" s="7">
        <f>'1 datos preparados'!D441</f>
        <v/>
      </c>
      <c r="F448" s="7">
        <f>'1 datos preparados'!E441</f>
        <v/>
      </c>
      <c r="G448" s="7">
        <f>'1 datos preparados'!F441</f>
        <v/>
      </c>
      <c r="H448" s="7">
        <f>'1 datos preparados'!G441</f>
        <v/>
      </c>
      <c r="I448" s="7">
        <f>'1 datos preparados'!H441</f>
        <v/>
      </c>
      <c r="J448" s="7">
        <f>'1 datos preparados'!I441</f>
        <v/>
      </c>
      <c r="K448" s="7">
        <f>'1 datos preparados'!J441</f>
        <v/>
      </c>
      <c r="L448" s="7">
        <f>'1 datos preparados'!K441</f>
        <v/>
      </c>
      <c r="M448" s="7">
        <f>'1 datos preparados'!L441</f>
        <v/>
      </c>
      <c r="N448" s="7">
        <f>'1 datos preparados'!M441</f>
        <v/>
      </c>
      <c r="O448" s="7">
        <f>'1 datos preparados'!N441</f>
        <v/>
      </c>
      <c r="P448" s="7">
        <f>'1 datos preparados'!O441</f>
        <v/>
      </c>
      <c r="Q448" s="7">
        <f>'1 datos preparados'!P441</f>
        <v/>
      </c>
      <c r="R448" s="7">
        <f>'1 datos preparados'!Q441</f>
        <v/>
      </c>
      <c r="S448" s="7">
        <f>'1 datos preparados'!R441</f>
        <v/>
      </c>
      <c r="T448" s="7">
        <f>'1 datos preparados'!S441</f>
        <v/>
      </c>
      <c r="U448" s="7">
        <f>'1 datos preparados'!T441</f>
        <v/>
      </c>
      <c r="V448" s="8">
        <f>$AC$12+D448*$AC$13+E448*$AC$14+F448*$AC$15+G448*$AC$16+H448*$AC$17+I448*$AC$18+J448*$AC$19+K448*$AC$20+L448*$AC$21+M448*$AC$22+N448*$AC$23+O448*$AC$24+P448*$AC$25+Q448*$AC$26+R448*$AC$27+S448*$AC$28+T448*$AC$29+U448*$AC$30</f>
        <v/>
      </c>
      <c r="W448" s="8">
        <f>1/(1+EXP(-V448))</f>
        <v/>
      </c>
      <c r="X448" s="9">
        <f>-IF(C448=1,LN(W448),LN(1-W448))</f>
        <v/>
      </c>
      <c r="Y448" s="10">
        <f>IF(W448&gt;$AC$33,1,0)</f>
        <v/>
      </c>
      <c r="Z448">
        <f>IF(Y448=C448,1,0)</f>
        <v/>
      </c>
    </row>
    <row r="449">
      <c r="A449">
        <f>'1 datos preparados'!A442</f>
        <v/>
      </c>
      <c r="B449" s="5">
        <f>'1 datos preparados'!U442</f>
        <v/>
      </c>
      <c r="C449">
        <f>'1 datos preparados'!B442</f>
        <v/>
      </c>
      <c r="D449" s="7">
        <f>'1 datos preparados'!C442</f>
        <v/>
      </c>
      <c r="E449" s="7">
        <f>'1 datos preparados'!D442</f>
        <v/>
      </c>
      <c r="F449" s="7">
        <f>'1 datos preparados'!E442</f>
        <v/>
      </c>
      <c r="G449" s="7">
        <f>'1 datos preparados'!F442</f>
        <v/>
      </c>
      <c r="H449" s="7">
        <f>'1 datos preparados'!G442</f>
        <v/>
      </c>
      <c r="I449" s="7">
        <f>'1 datos preparados'!H442</f>
        <v/>
      </c>
      <c r="J449" s="7">
        <f>'1 datos preparados'!I442</f>
        <v/>
      </c>
      <c r="K449" s="7">
        <f>'1 datos preparados'!J442</f>
        <v/>
      </c>
      <c r="L449" s="7">
        <f>'1 datos preparados'!K442</f>
        <v/>
      </c>
      <c r="M449" s="7">
        <f>'1 datos preparados'!L442</f>
        <v/>
      </c>
      <c r="N449" s="7">
        <f>'1 datos preparados'!M442</f>
        <v/>
      </c>
      <c r="O449" s="7">
        <f>'1 datos preparados'!N442</f>
        <v/>
      </c>
      <c r="P449" s="7">
        <f>'1 datos preparados'!O442</f>
        <v/>
      </c>
      <c r="Q449" s="7">
        <f>'1 datos preparados'!P442</f>
        <v/>
      </c>
      <c r="R449" s="7">
        <f>'1 datos preparados'!Q442</f>
        <v/>
      </c>
      <c r="S449" s="7">
        <f>'1 datos preparados'!R442</f>
        <v/>
      </c>
      <c r="T449" s="7">
        <f>'1 datos preparados'!S442</f>
        <v/>
      </c>
      <c r="U449" s="7">
        <f>'1 datos preparados'!T442</f>
        <v/>
      </c>
      <c r="V449" s="8">
        <f>$AC$12+D449*$AC$13+E449*$AC$14+F449*$AC$15+G449*$AC$16+H449*$AC$17+I449*$AC$18+J449*$AC$19+K449*$AC$20+L449*$AC$21+M449*$AC$22+N449*$AC$23+O449*$AC$24+P449*$AC$25+Q449*$AC$26+R449*$AC$27+S449*$AC$28+T449*$AC$29+U449*$AC$30</f>
        <v/>
      </c>
      <c r="W449" s="8">
        <f>1/(1+EXP(-V449))</f>
        <v/>
      </c>
      <c r="X449" s="9">
        <f>-IF(C449=1,LN(W449),LN(1-W449))</f>
        <v/>
      </c>
      <c r="Y449" s="10">
        <f>IF(W449&gt;$AC$33,1,0)</f>
        <v/>
      </c>
      <c r="Z449">
        <f>IF(Y449=C449,1,0)</f>
        <v/>
      </c>
    </row>
    <row r="450">
      <c r="A450">
        <f>'1 datos preparados'!A443</f>
        <v/>
      </c>
      <c r="B450" s="5">
        <f>'1 datos preparados'!U443</f>
        <v/>
      </c>
      <c r="C450">
        <f>'1 datos preparados'!B443</f>
        <v/>
      </c>
      <c r="D450" s="7">
        <f>'1 datos preparados'!C443</f>
        <v/>
      </c>
      <c r="E450" s="7">
        <f>'1 datos preparados'!D443</f>
        <v/>
      </c>
      <c r="F450" s="7">
        <f>'1 datos preparados'!E443</f>
        <v/>
      </c>
      <c r="G450" s="7">
        <f>'1 datos preparados'!F443</f>
        <v/>
      </c>
      <c r="H450" s="7">
        <f>'1 datos preparados'!G443</f>
        <v/>
      </c>
      <c r="I450" s="7">
        <f>'1 datos preparados'!H443</f>
        <v/>
      </c>
      <c r="J450" s="7">
        <f>'1 datos preparados'!I443</f>
        <v/>
      </c>
      <c r="K450" s="7">
        <f>'1 datos preparados'!J443</f>
        <v/>
      </c>
      <c r="L450" s="7">
        <f>'1 datos preparados'!K443</f>
        <v/>
      </c>
      <c r="M450" s="7">
        <f>'1 datos preparados'!L443</f>
        <v/>
      </c>
      <c r="N450" s="7">
        <f>'1 datos preparados'!M443</f>
        <v/>
      </c>
      <c r="O450" s="7">
        <f>'1 datos preparados'!N443</f>
        <v/>
      </c>
      <c r="P450" s="7">
        <f>'1 datos preparados'!O443</f>
        <v/>
      </c>
      <c r="Q450" s="7">
        <f>'1 datos preparados'!P443</f>
        <v/>
      </c>
      <c r="R450" s="7">
        <f>'1 datos preparados'!Q443</f>
        <v/>
      </c>
      <c r="S450" s="7">
        <f>'1 datos preparados'!R443</f>
        <v/>
      </c>
      <c r="T450" s="7">
        <f>'1 datos preparados'!S443</f>
        <v/>
      </c>
      <c r="U450" s="7">
        <f>'1 datos preparados'!T443</f>
        <v/>
      </c>
      <c r="V450" s="8">
        <f>$AC$12+D450*$AC$13+E450*$AC$14+F450*$AC$15+G450*$AC$16+H450*$AC$17+I450*$AC$18+J450*$AC$19+K450*$AC$20+L450*$AC$21+M450*$AC$22+N450*$AC$23+O450*$AC$24+P450*$AC$25+Q450*$AC$26+R450*$AC$27+S450*$AC$28+T450*$AC$29+U450*$AC$30</f>
        <v/>
      </c>
      <c r="W450" s="8">
        <f>1/(1+EXP(-V450))</f>
        <v/>
      </c>
      <c r="X450" s="9">
        <f>-IF(C450=1,LN(W450),LN(1-W450))</f>
        <v/>
      </c>
      <c r="Y450" s="10">
        <f>IF(W450&gt;$AC$33,1,0)</f>
        <v/>
      </c>
      <c r="Z450">
        <f>IF(Y450=C450,1,0)</f>
        <v/>
      </c>
    </row>
    <row r="451">
      <c r="A451">
        <f>'1 datos preparados'!A444</f>
        <v/>
      </c>
      <c r="B451" s="5">
        <f>'1 datos preparados'!U444</f>
        <v/>
      </c>
      <c r="C451">
        <f>'1 datos preparados'!B444</f>
        <v/>
      </c>
      <c r="D451" s="7">
        <f>'1 datos preparados'!C444</f>
        <v/>
      </c>
      <c r="E451" s="7">
        <f>'1 datos preparados'!D444</f>
        <v/>
      </c>
      <c r="F451" s="7">
        <f>'1 datos preparados'!E444</f>
        <v/>
      </c>
      <c r="G451" s="7">
        <f>'1 datos preparados'!F444</f>
        <v/>
      </c>
      <c r="H451" s="7">
        <f>'1 datos preparados'!G444</f>
        <v/>
      </c>
      <c r="I451" s="7">
        <f>'1 datos preparados'!H444</f>
        <v/>
      </c>
      <c r="J451" s="7">
        <f>'1 datos preparados'!I444</f>
        <v/>
      </c>
      <c r="K451" s="7">
        <f>'1 datos preparados'!J444</f>
        <v/>
      </c>
      <c r="L451" s="7">
        <f>'1 datos preparados'!K444</f>
        <v/>
      </c>
      <c r="M451" s="7">
        <f>'1 datos preparados'!L444</f>
        <v/>
      </c>
      <c r="N451" s="7">
        <f>'1 datos preparados'!M444</f>
        <v/>
      </c>
      <c r="O451" s="7">
        <f>'1 datos preparados'!N444</f>
        <v/>
      </c>
      <c r="P451" s="7">
        <f>'1 datos preparados'!O444</f>
        <v/>
      </c>
      <c r="Q451" s="7">
        <f>'1 datos preparados'!P444</f>
        <v/>
      </c>
      <c r="R451" s="7">
        <f>'1 datos preparados'!Q444</f>
        <v/>
      </c>
      <c r="S451" s="7">
        <f>'1 datos preparados'!R444</f>
        <v/>
      </c>
      <c r="T451" s="7">
        <f>'1 datos preparados'!S444</f>
        <v/>
      </c>
      <c r="U451" s="7">
        <f>'1 datos preparados'!T444</f>
        <v/>
      </c>
      <c r="V451" s="8">
        <f>$AC$12+D451*$AC$13+E451*$AC$14+F451*$AC$15+G451*$AC$16+H451*$AC$17+I451*$AC$18+J451*$AC$19+K451*$AC$20+L451*$AC$21+M451*$AC$22+N451*$AC$23+O451*$AC$24+P451*$AC$25+Q451*$AC$26+R451*$AC$27+S451*$AC$28+T451*$AC$29+U451*$AC$30</f>
        <v/>
      </c>
      <c r="W451" s="8">
        <f>1/(1+EXP(-V451))</f>
        <v/>
      </c>
      <c r="X451" s="9">
        <f>-IF(C451=1,LN(W451),LN(1-W451))</f>
        <v/>
      </c>
      <c r="Y451" s="10">
        <f>IF(W451&gt;$AC$33,1,0)</f>
        <v/>
      </c>
      <c r="Z451">
        <f>IF(Y451=C451,1,0)</f>
        <v/>
      </c>
    </row>
    <row r="452">
      <c r="A452">
        <f>'1 datos preparados'!A445</f>
        <v/>
      </c>
      <c r="B452" s="5">
        <f>'1 datos preparados'!U445</f>
        <v/>
      </c>
      <c r="C452">
        <f>'1 datos preparados'!B445</f>
        <v/>
      </c>
      <c r="D452" s="7">
        <f>'1 datos preparados'!C445</f>
        <v/>
      </c>
      <c r="E452" s="7">
        <f>'1 datos preparados'!D445</f>
        <v/>
      </c>
      <c r="F452" s="7">
        <f>'1 datos preparados'!E445</f>
        <v/>
      </c>
      <c r="G452" s="7">
        <f>'1 datos preparados'!F445</f>
        <v/>
      </c>
      <c r="H452" s="7">
        <f>'1 datos preparados'!G445</f>
        <v/>
      </c>
      <c r="I452" s="7">
        <f>'1 datos preparados'!H445</f>
        <v/>
      </c>
      <c r="J452" s="7">
        <f>'1 datos preparados'!I445</f>
        <v/>
      </c>
      <c r="K452" s="7">
        <f>'1 datos preparados'!J445</f>
        <v/>
      </c>
      <c r="L452" s="7">
        <f>'1 datos preparados'!K445</f>
        <v/>
      </c>
      <c r="M452" s="7">
        <f>'1 datos preparados'!L445</f>
        <v/>
      </c>
      <c r="N452" s="7">
        <f>'1 datos preparados'!M445</f>
        <v/>
      </c>
      <c r="O452" s="7">
        <f>'1 datos preparados'!N445</f>
        <v/>
      </c>
      <c r="P452" s="7">
        <f>'1 datos preparados'!O445</f>
        <v/>
      </c>
      <c r="Q452" s="7">
        <f>'1 datos preparados'!P445</f>
        <v/>
      </c>
      <c r="R452" s="7">
        <f>'1 datos preparados'!Q445</f>
        <v/>
      </c>
      <c r="S452" s="7">
        <f>'1 datos preparados'!R445</f>
        <v/>
      </c>
      <c r="T452" s="7">
        <f>'1 datos preparados'!S445</f>
        <v/>
      </c>
      <c r="U452" s="7">
        <f>'1 datos preparados'!T445</f>
        <v/>
      </c>
      <c r="V452" s="8">
        <f>$AC$12+D452*$AC$13+E452*$AC$14+F452*$AC$15+G452*$AC$16+H452*$AC$17+I452*$AC$18+J452*$AC$19+K452*$AC$20+L452*$AC$21+M452*$AC$22+N452*$AC$23+O452*$AC$24+P452*$AC$25+Q452*$AC$26+R452*$AC$27+S452*$AC$28+T452*$AC$29+U452*$AC$30</f>
        <v/>
      </c>
      <c r="W452" s="8">
        <f>1/(1+EXP(-V452))</f>
        <v/>
      </c>
      <c r="X452" s="9">
        <f>-IF(C452=1,LN(W452),LN(1-W452))</f>
        <v/>
      </c>
      <c r="Y452" s="10">
        <f>IF(W452&gt;$AC$33,1,0)</f>
        <v/>
      </c>
      <c r="Z452">
        <f>IF(Y452=C452,1,0)</f>
        <v/>
      </c>
    </row>
    <row r="453">
      <c r="A453">
        <f>'1 datos preparados'!A446</f>
        <v/>
      </c>
      <c r="B453" s="5">
        <f>'1 datos preparados'!U446</f>
        <v/>
      </c>
      <c r="C453">
        <f>'1 datos preparados'!B446</f>
        <v/>
      </c>
      <c r="D453" s="7">
        <f>'1 datos preparados'!C446</f>
        <v/>
      </c>
      <c r="E453" s="7">
        <f>'1 datos preparados'!D446</f>
        <v/>
      </c>
      <c r="F453" s="7">
        <f>'1 datos preparados'!E446</f>
        <v/>
      </c>
      <c r="G453" s="7">
        <f>'1 datos preparados'!F446</f>
        <v/>
      </c>
      <c r="H453" s="7">
        <f>'1 datos preparados'!G446</f>
        <v/>
      </c>
      <c r="I453" s="7">
        <f>'1 datos preparados'!H446</f>
        <v/>
      </c>
      <c r="J453" s="7">
        <f>'1 datos preparados'!I446</f>
        <v/>
      </c>
      <c r="K453" s="7">
        <f>'1 datos preparados'!J446</f>
        <v/>
      </c>
      <c r="L453" s="7">
        <f>'1 datos preparados'!K446</f>
        <v/>
      </c>
      <c r="M453" s="7">
        <f>'1 datos preparados'!L446</f>
        <v/>
      </c>
      <c r="N453" s="7">
        <f>'1 datos preparados'!M446</f>
        <v/>
      </c>
      <c r="O453" s="7">
        <f>'1 datos preparados'!N446</f>
        <v/>
      </c>
      <c r="P453" s="7">
        <f>'1 datos preparados'!O446</f>
        <v/>
      </c>
      <c r="Q453" s="7">
        <f>'1 datos preparados'!P446</f>
        <v/>
      </c>
      <c r="R453" s="7">
        <f>'1 datos preparados'!Q446</f>
        <v/>
      </c>
      <c r="S453" s="7">
        <f>'1 datos preparados'!R446</f>
        <v/>
      </c>
      <c r="T453" s="7">
        <f>'1 datos preparados'!S446</f>
        <v/>
      </c>
      <c r="U453" s="7">
        <f>'1 datos preparados'!T446</f>
        <v/>
      </c>
      <c r="V453" s="8">
        <f>$AC$12+D453*$AC$13+E453*$AC$14+F453*$AC$15+G453*$AC$16+H453*$AC$17+I453*$AC$18+J453*$AC$19+K453*$AC$20+L453*$AC$21+M453*$AC$22+N453*$AC$23+O453*$AC$24+P453*$AC$25+Q453*$AC$26+R453*$AC$27+S453*$AC$28+T453*$AC$29+U453*$AC$30</f>
        <v/>
      </c>
      <c r="W453" s="8">
        <f>1/(1+EXP(-V453))</f>
        <v/>
      </c>
      <c r="X453" s="9">
        <f>-IF(C453=1,LN(W453),LN(1-W453))</f>
        <v/>
      </c>
      <c r="Y453" s="10">
        <f>IF(W453&gt;$AC$33,1,0)</f>
        <v/>
      </c>
      <c r="Z453">
        <f>IF(Y453=C453,1,0)</f>
        <v/>
      </c>
    </row>
    <row r="454">
      <c r="A454">
        <f>'1 datos preparados'!A447</f>
        <v/>
      </c>
      <c r="B454" s="5">
        <f>'1 datos preparados'!U447</f>
        <v/>
      </c>
      <c r="C454">
        <f>'1 datos preparados'!B447</f>
        <v/>
      </c>
      <c r="D454" s="7">
        <f>'1 datos preparados'!C447</f>
        <v/>
      </c>
      <c r="E454" s="7">
        <f>'1 datos preparados'!D447</f>
        <v/>
      </c>
      <c r="F454" s="7">
        <f>'1 datos preparados'!E447</f>
        <v/>
      </c>
      <c r="G454" s="7">
        <f>'1 datos preparados'!F447</f>
        <v/>
      </c>
      <c r="H454" s="7">
        <f>'1 datos preparados'!G447</f>
        <v/>
      </c>
      <c r="I454" s="7">
        <f>'1 datos preparados'!H447</f>
        <v/>
      </c>
      <c r="J454" s="7">
        <f>'1 datos preparados'!I447</f>
        <v/>
      </c>
      <c r="K454" s="7">
        <f>'1 datos preparados'!J447</f>
        <v/>
      </c>
      <c r="L454" s="7">
        <f>'1 datos preparados'!K447</f>
        <v/>
      </c>
      <c r="M454" s="7">
        <f>'1 datos preparados'!L447</f>
        <v/>
      </c>
      <c r="N454" s="7">
        <f>'1 datos preparados'!M447</f>
        <v/>
      </c>
      <c r="O454" s="7">
        <f>'1 datos preparados'!N447</f>
        <v/>
      </c>
      <c r="P454" s="7">
        <f>'1 datos preparados'!O447</f>
        <v/>
      </c>
      <c r="Q454" s="7">
        <f>'1 datos preparados'!P447</f>
        <v/>
      </c>
      <c r="R454" s="7">
        <f>'1 datos preparados'!Q447</f>
        <v/>
      </c>
      <c r="S454" s="7">
        <f>'1 datos preparados'!R447</f>
        <v/>
      </c>
      <c r="T454" s="7">
        <f>'1 datos preparados'!S447</f>
        <v/>
      </c>
      <c r="U454" s="7">
        <f>'1 datos preparados'!T447</f>
        <v/>
      </c>
      <c r="V454" s="8">
        <f>$AC$12+D454*$AC$13+E454*$AC$14+F454*$AC$15+G454*$AC$16+H454*$AC$17+I454*$AC$18+J454*$AC$19+K454*$AC$20+L454*$AC$21+M454*$AC$22+N454*$AC$23+O454*$AC$24+P454*$AC$25+Q454*$AC$26+R454*$AC$27+S454*$AC$28+T454*$AC$29+U454*$AC$30</f>
        <v/>
      </c>
      <c r="W454" s="8">
        <f>1/(1+EXP(-V454))</f>
        <v/>
      </c>
      <c r="X454" s="9">
        <f>-IF(C454=1,LN(W454),LN(1-W454))</f>
        <v/>
      </c>
      <c r="Y454" s="10">
        <f>IF(W454&gt;$AC$33,1,0)</f>
        <v/>
      </c>
      <c r="Z454">
        <f>IF(Y454=C454,1,0)</f>
        <v/>
      </c>
    </row>
    <row r="455">
      <c r="A455">
        <f>'1 datos preparados'!A448</f>
        <v/>
      </c>
      <c r="B455" s="5">
        <f>'1 datos preparados'!U448</f>
        <v/>
      </c>
      <c r="C455">
        <f>'1 datos preparados'!B448</f>
        <v/>
      </c>
      <c r="D455" s="7">
        <f>'1 datos preparados'!C448</f>
        <v/>
      </c>
      <c r="E455" s="7">
        <f>'1 datos preparados'!D448</f>
        <v/>
      </c>
      <c r="F455" s="7">
        <f>'1 datos preparados'!E448</f>
        <v/>
      </c>
      <c r="G455" s="7">
        <f>'1 datos preparados'!F448</f>
        <v/>
      </c>
      <c r="H455" s="7">
        <f>'1 datos preparados'!G448</f>
        <v/>
      </c>
      <c r="I455" s="7">
        <f>'1 datos preparados'!H448</f>
        <v/>
      </c>
      <c r="J455" s="7">
        <f>'1 datos preparados'!I448</f>
        <v/>
      </c>
      <c r="K455" s="7">
        <f>'1 datos preparados'!J448</f>
        <v/>
      </c>
      <c r="L455" s="7">
        <f>'1 datos preparados'!K448</f>
        <v/>
      </c>
      <c r="M455" s="7">
        <f>'1 datos preparados'!L448</f>
        <v/>
      </c>
      <c r="N455" s="7">
        <f>'1 datos preparados'!M448</f>
        <v/>
      </c>
      <c r="O455" s="7">
        <f>'1 datos preparados'!N448</f>
        <v/>
      </c>
      <c r="P455" s="7">
        <f>'1 datos preparados'!O448</f>
        <v/>
      </c>
      <c r="Q455" s="7">
        <f>'1 datos preparados'!P448</f>
        <v/>
      </c>
      <c r="R455" s="7">
        <f>'1 datos preparados'!Q448</f>
        <v/>
      </c>
      <c r="S455" s="7">
        <f>'1 datos preparados'!R448</f>
        <v/>
      </c>
      <c r="T455" s="7">
        <f>'1 datos preparados'!S448</f>
        <v/>
      </c>
      <c r="U455" s="7">
        <f>'1 datos preparados'!T448</f>
        <v/>
      </c>
      <c r="V455" s="8">
        <f>$AC$12+D455*$AC$13+E455*$AC$14+F455*$AC$15+G455*$AC$16+H455*$AC$17+I455*$AC$18+J455*$AC$19+K455*$AC$20+L455*$AC$21+M455*$AC$22+N455*$AC$23+O455*$AC$24+P455*$AC$25+Q455*$AC$26+R455*$AC$27+S455*$AC$28+T455*$AC$29+U455*$AC$30</f>
        <v/>
      </c>
      <c r="W455" s="8">
        <f>1/(1+EXP(-V455))</f>
        <v/>
      </c>
      <c r="X455" s="9">
        <f>-IF(C455=1,LN(W455),LN(1-W455))</f>
        <v/>
      </c>
      <c r="Y455" s="10">
        <f>IF(W455&gt;$AC$33,1,0)</f>
        <v/>
      </c>
      <c r="Z455">
        <f>IF(Y455=C455,1,0)</f>
        <v/>
      </c>
    </row>
    <row r="456">
      <c r="A456">
        <f>'1 datos preparados'!A449</f>
        <v/>
      </c>
      <c r="B456" s="5">
        <f>'1 datos preparados'!U449</f>
        <v/>
      </c>
      <c r="C456">
        <f>'1 datos preparados'!B449</f>
        <v/>
      </c>
      <c r="D456" s="7">
        <f>'1 datos preparados'!C449</f>
        <v/>
      </c>
      <c r="E456" s="7">
        <f>'1 datos preparados'!D449</f>
        <v/>
      </c>
      <c r="F456" s="7">
        <f>'1 datos preparados'!E449</f>
        <v/>
      </c>
      <c r="G456" s="7">
        <f>'1 datos preparados'!F449</f>
        <v/>
      </c>
      <c r="H456" s="7">
        <f>'1 datos preparados'!G449</f>
        <v/>
      </c>
      <c r="I456" s="7">
        <f>'1 datos preparados'!H449</f>
        <v/>
      </c>
      <c r="J456" s="7">
        <f>'1 datos preparados'!I449</f>
        <v/>
      </c>
      <c r="K456" s="7">
        <f>'1 datos preparados'!J449</f>
        <v/>
      </c>
      <c r="L456" s="7">
        <f>'1 datos preparados'!K449</f>
        <v/>
      </c>
      <c r="M456" s="7">
        <f>'1 datos preparados'!L449</f>
        <v/>
      </c>
      <c r="N456" s="7">
        <f>'1 datos preparados'!M449</f>
        <v/>
      </c>
      <c r="O456" s="7">
        <f>'1 datos preparados'!N449</f>
        <v/>
      </c>
      <c r="P456" s="7">
        <f>'1 datos preparados'!O449</f>
        <v/>
      </c>
      <c r="Q456" s="7">
        <f>'1 datos preparados'!P449</f>
        <v/>
      </c>
      <c r="R456" s="7">
        <f>'1 datos preparados'!Q449</f>
        <v/>
      </c>
      <c r="S456" s="7">
        <f>'1 datos preparados'!R449</f>
        <v/>
      </c>
      <c r="T456" s="7">
        <f>'1 datos preparados'!S449</f>
        <v/>
      </c>
      <c r="U456" s="7">
        <f>'1 datos preparados'!T449</f>
        <v/>
      </c>
      <c r="V456" s="8">
        <f>$AC$12+D456*$AC$13+E456*$AC$14+F456*$AC$15+G456*$AC$16+H456*$AC$17+I456*$AC$18+J456*$AC$19+K456*$AC$20+L456*$AC$21+M456*$AC$22+N456*$AC$23+O456*$AC$24+P456*$AC$25+Q456*$AC$26+R456*$AC$27+S456*$AC$28+T456*$AC$29+U456*$AC$30</f>
        <v/>
      </c>
      <c r="W456" s="8">
        <f>1/(1+EXP(-V456))</f>
        <v/>
      </c>
      <c r="X456" s="9">
        <f>-IF(C456=1,LN(W456),LN(1-W456))</f>
        <v/>
      </c>
      <c r="Y456" s="10">
        <f>IF(W456&gt;$AC$33,1,0)</f>
        <v/>
      </c>
      <c r="Z456">
        <f>IF(Y456=C456,1,0)</f>
        <v/>
      </c>
    </row>
    <row r="457">
      <c r="A457">
        <f>'1 datos preparados'!A450</f>
        <v/>
      </c>
      <c r="B457" s="5">
        <f>'1 datos preparados'!U450</f>
        <v/>
      </c>
      <c r="C457">
        <f>'1 datos preparados'!B450</f>
        <v/>
      </c>
      <c r="D457" s="7">
        <f>'1 datos preparados'!C450</f>
        <v/>
      </c>
      <c r="E457" s="7">
        <f>'1 datos preparados'!D450</f>
        <v/>
      </c>
      <c r="F457" s="7">
        <f>'1 datos preparados'!E450</f>
        <v/>
      </c>
      <c r="G457" s="7">
        <f>'1 datos preparados'!F450</f>
        <v/>
      </c>
      <c r="H457" s="7">
        <f>'1 datos preparados'!G450</f>
        <v/>
      </c>
      <c r="I457" s="7">
        <f>'1 datos preparados'!H450</f>
        <v/>
      </c>
      <c r="J457" s="7">
        <f>'1 datos preparados'!I450</f>
        <v/>
      </c>
      <c r="K457" s="7">
        <f>'1 datos preparados'!J450</f>
        <v/>
      </c>
      <c r="L457" s="7">
        <f>'1 datos preparados'!K450</f>
        <v/>
      </c>
      <c r="M457" s="7">
        <f>'1 datos preparados'!L450</f>
        <v/>
      </c>
      <c r="N457" s="7">
        <f>'1 datos preparados'!M450</f>
        <v/>
      </c>
      <c r="O457" s="7">
        <f>'1 datos preparados'!N450</f>
        <v/>
      </c>
      <c r="P457" s="7">
        <f>'1 datos preparados'!O450</f>
        <v/>
      </c>
      <c r="Q457" s="7">
        <f>'1 datos preparados'!P450</f>
        <v/>
      </c>
      <c r="R457" s="7">
        <f>'1 datos preparados'!Q450</f>
        <v/>
      </c>
      <c r="S457" s="7">
        <f>'1 datos preparados'!R450</f>
        <v/>
      </c>
      <c r="T457" s="7">
        <f>'1 datos preparados'!S450</f>
        <v/>
      </c>
      <c r="U457" s="7">
        <f>'1 datos preparados'!T450</f>
        <v/>
      </c>
      <c r="V457" s="8">
        <f>$AC$12+D457*$AC$13+E457*$AC$14+F457*$AC$15+G457*$AC$16+H457*$AC$17+I457*$AC$18+J457*$AC$19+K457*$AC$20+L457*$AC$21+M457*$AC$22+N457*$AC$23+O457*$AC$24+P457*$AC$25+Q457*$AC$26+R457*$AC$27+S457*$AC$28+T457*$AC$29+U457*$AC$30</f>
        <v/>
      </c>
      <c r="W457" s="8">
        <f>1/(1+EXP(-V457))</f>
        <v/>
      </c>
      <c r="X457" s="9">
        <f>-IF(C457=1,LN(W457),LN(1-W457))</f>
        <v/>
      </c>
      <c r="Y457" s="10">
        <f>IF(W457&gt;$AC$33,1,0)</f>
        <v/>
      </c>
      <c r="Z457">
        <f>IF(Y457=C457,1,0)</f>
        <v/>
      </c>
    </row>
    <row r="458">
      <c r="A458">
        <f>'1 datos preparados'!A451</f>
        <v/>
      </c>
      <c r="B458" s="5">
        <f>'1 datos preparados'!U451</f>
        <v/>
      </c>
      <c r="C458">
        <f>'1 datos preparados'!B451</f>
        <v/>
      </c>
      <c r="D458" s="7">
        <f>'1 datos preparados'!C451</f>
        <v/>
      </c>
      <c r="E458" s="7">
        <f>'1 datos preparados'!D451</f>
        <v/>
      </c>
      <c r="F458" s="7">
        <f>'1 datos preparados'!E451</f>
        <v/>
      </c>
      <c r="G458" s="7">
        <f>'1 datos preparados'!F451</f>
        <v/>
      </c>
      <c r="H458" s="7">
        <f>'1 datos preparados'!G451</f>
        <v/>
      </c>
      <c r="I458" s="7">
        <f>'1 datos preparados'!H451</f>
        <v/>
      </c>
      <c r="J458" s="7">
        <f>'1 datos preparados'!I451</f>
        <v/>
      </c>
      <c r="K458" s="7">
        <f>'1 datos preparados'!J451</f>
        <v/>
      </c>
      <c r="L458" s="7">
        <f>'1 datos preparados'!K451</f>
        <v/>
      </c>
      <c r="M458" s="7">
        <f>'1 datos preparados'!L451</f>
        <v/>
      </c>
      <c r="N458" s="7">
        <f>'1 datos preparados'!M451</f>
        <v/>
      </c>
      <c r="O458" s="7">
        <f>'1 datos preparados'!N451</f>
        <v/>
      </c>
      <c r="P458" s="7">
        <f>'1 datos preparados'!O451</f>
        <v/>
      </c>
      <c r="Q458" s="7">
        <f>'1 datos preparados'!P451</f>
        <v/>
      </c>
      <c r="R458" s="7">
        <f>'1 datos preparados'!Q451</f>
        <v/>
      </c>
      <c r="S458" s="7">
        <f>'1 datos preparados'!R451</f>
        <v/>
      </c>
      <c r="T458" s="7">
        <f>'1 datos preparados'!S451</f>
        <v/>
      </c>
      <c r="U458" s="7">
        <f>'1 datos preparados'!T451</f>
        <v/>
      </c>
      <c r="V458" s="8">
        <f>$AC$12+D458*$AC$13+E458*$AC$14+F458*$AC$15+G458*$AC$16+H458*$AC$17+I458*$AC$18+J458*$AC$19+K458*$AC$20+L458*$AC$21+M458*$AC$22+N458*$AC$23+O458*$AC$24+P458*$AC$25+Q458*$AC$26+R458*$AC$27+S458*$AC$28+T458*$AC$29+U458*$AC$30</f>
        <v/>
      </c>
      <c r="W458" s="8">
        <f>1/(1+EXP(-V458))</f>
        <v/>
      </c>
      <c r="X458" s="9">
        <f>-IF(C458=1,LN(W458),LN(1-W458))</f>
        <v/>
      </c>
      <c r="Y458" s="10">
        <f>IF(W458&gt;$AC$33,1,0)</f>
        <v/>
      </c>
      <c r="Z458">
        <f>IF(Y458=C458,1,0)</f>
        <v/>
      </c>
    </row>
    <row r="459">
      <c r="A459">
        <f>'1 datos preparados'!A452</f>
        <v/>
      </c>
      <c r="B459" s="5">
        <f>'1 datos preparados'!U452</f>
        <v/>
      </c>
      <c r="C459">
        <f>'1 datos preparados'!B452</f>
        <v/>
      </c>
      <c r="D459" s="7">
        <f>'1 datos preparados'!C452</f>
        <v/>
      </c>
      <c r="E459" s="7">
        <f>'1 datos preparados'!D452</f>
        <v/>
      </c>
      <c r="F459" s="7">
        <f>'1 datos preparados'!E452</f>
        <v/>
      </c>
      <c r="G459" s="7">
        <f>'1 datos preparados'!F452</f>
        <v/>
      </c>
      <c r="H459" s="7">
        <f>'1 datos preparados'!G452</f>
        <v/>
      </c>
      <c r="I459" s="7">
        <f>'1 datos preparados'!H452</f>
        <v/>
      </c>
      <c r="J459" s="7">
        <f>'1 datos preparados'!I452</f>
        <v/>
      </c>
      <c r="K459" s="7">
        <f>'1 datos preparados'!J452</f>
        <v/>
      </c>
      <c r="L459" s="7">
        <f>'1 datos preparados'!K452</f>
        <v/>
      </c>
      <c r="M459" s="7">
        <f>'1 datos preparados'!L452</f>
        <v/>
      </c>
      <c r="N459" s="7">
        <f>'1 datos preparados'!M452</f>
        <v/>
      </c>
      <c r="O459" s="7">
        <f>'1 datos preparados'!N452</f>
        <v/>
      </c>
      <c r="P459" s="7">
        <f>'1 datos preparados'!O452</f>
        <v/>
      </c>
      <c r="Q459" s="7">
        <f>'1 datos preparados'!P452</f>
        <v/>
      </c>
      <c r="R459" s="7">
        <f>'1 datos preparados'!Q452</f>
        <v/>
      </c>
      <c r="S459" s="7">
        <f>'1 datos preparados'!R452</f>
        <v/>
      </c>
      <c r="T459" s="7">
        <f>'1 datos preparados'!S452</f>
        <v/>
      </c>
      <c r="U459" s="7">
        <f>'1 datos preparados'!T452</f>
        <v/>
      </c>
      <c r="V459" s="8">
        <f>$AC$12+D459*$AC$13+E459*$AC$14+F459*$AC$15+G459*$AC$16+H459*$AC$17+I459*$AC$18+J459*$AC$19+K459*$AC$20+L459*$AC$21+M459*$AC$22+N459*$AC$23+O459*$AC$24+P459*$AC$25+Q459*$AC$26+R459*$AC$27+S459*$AC$28+T459*$AC$29+U459*$AC$30</f>
        <v/>
      </c>
      <c r="W459" s="8">
        <f>1/(1+EXP(-V459))</f>
        <v/>
      </c>
      <c r="X459" s="9">
        <f>-IF(C459=1,LN(W459),LN(1-W459))</f>
        <v/>
      </c>
      <c r="Y459" s="10">
        <f>IF(W459&gt;$AC$33,1,0)</f>
        <v/>
      </c>
      <c r="Z459">
        <f>IF(Y459=C459,1,0)</f>
        <v/>
      </c>
    </row>
    <row r="460">
      <c r="A460">
        <f>'1 datos preparados'!A453</f>
        <v/>
      </c>
      <c r="B460" s="5">
        <f>'1 datos preparados'!U453</f>
        <v/>
      </c>
      <c r="C460">
        <f>'1 datos preparados'!B453</f>
        <v/>
      </c>
      <c r="D460" s="7">
        <f>'1 datos preparados'!C453</f>
        <v/>
      </c>
      <c r="E460" s="7">
        <f>'1 datos preparados'!D453</f>
        <v/>
      </c>
      <c r="F460" s="7">
        <f>'1 datos preparados'!E453</f>
        <v/>
      </c>
      <c r="G460" s="7">
        <f>'1 datos preparados'!F453</f>
        <v/>
      </c>
      <c r="H460" s="7">
        <f>'1 datos preparados'!G453</f>
        <v/>
      </c>
      <c r="I460" s="7">
        <f>'1 datos preparados'!H453</f>
        <v/>
      </c>
      <c r="J460" s="7">
        <f>'1 datos preparados'!I453</f>
        <v/>
      </c>
      <c r="K460" s="7">
        <f>'1 datos preparados'!J453</f>
        <v/>
      </c>
      <c r="L460" s="7">
        <f>'1 datos preparados'!K453</f>
        <v/>
      </c>
      <c r="M460" s="7">
        <f>'1 datos preparados'!L453</f>
        <v/>
      </c>
      <c r="N460" s="7">
        <f>'1 datos preparados'!M453</f>
        <v/>
      </c>
      <c r="O460" s="7">
        <f>'1 datos preparados'!N453</f>
        <v/>
      </c>
      <c r="P460" s="7">
        <f>'1 datos preparados'!O453</f>
        <v/>
      </c>
      <c r="Q460" s="7">
        <f>'1 datos preparados'!P453</f>
        <v/>
      </c>
      <c r="R460" s="7">
        <f>'1 datos preparados'!Q453</f>
        <v/>
      </c>
      <c r="S460" s="7">
        <f>'1 datos preparados'!R453</f>
        <v/>
      </c>
      <c r="T460" s="7">
        <f>'1 datos preparados'!S453</f>
        <v/>
      </c>
      <c r="U460" s="7">
        <f>'1 datos preparados'!T453</f>
        <v/>
      </c>
      <c r="V460" s="8">
        <f>$AC$12+D460*$AC$13+E460*$AC$14+F460*$AC$15+G460*$AC$16+H460*$AC$17+I460*$AC$18+J460*$AC$19+K460*$AC$20+L460*$AC$21+M460*$AC$22+N460*$AC$23+O460*$AC$24+P460*$AC$25+Q460*$AC$26+R460*$AC$27+S460*$AC$28+T460*$AC$29+U460*$AC$30</f>
        <v/>
      </c>
      <c r="W460" s="8">
        <f>1/(1+EXP(-V460))</f>
        <v/>
      </c>
      <c r="X460" s="9">
        <f>-IF(C460=1,LN(W460),LN(1-W460))</f>
        <v/>
      </c>
      <c r="Y460" s="10">
        <f>IF(W460&gt;$AC$33,1,0)</f>
        <v/>
      </c>
      <c r="Z460">
        <f>IF(Y460=C460,1,0)</f>
        <v/>
      </c>
    </row>
    <row r="461">
      <c r="A461">
        <f>'1 datos preparados'!A454</f>
        <v/>
      </c>
      <c r="B461" s="5">
        <f>'1 datos preparados'!U454</f>
        <v/>
      </c>
      <c r="C461">
        <f>'1 datos preparados'!B454</f>
        <v/>
      </c>
      <c r="D461" s="7">
        <f>'1 datos preparados'!C454</f>
        <v/>
      </c>
      <c r="E461" s="7">
        <f>'1 datos preparados'!D454</f>
        <v/>
      </c>
      <c r="F461" s="7">
        <f>'1 datos preparados'!E454</f>
        <v/>
      </c>
      <c r="G461" s="7">
        <f>'1 datos preparados'!F454</f>
        <v/>
      </c>
      <c r="H461" s="7">
        <f>'1 datos preparados'!G454</f>
        <v/>
      </c>
      <c r="I461" s="7">
        <f>'1 datos preparados'!H454</f>
        <v/>
      </c>
      <c r="J461" s="7">
        <f>'1 datos preparados'!I454</f>
        <v/>
      </c>
      <c r="K461" s="7">
        <f>'1 datos preparados'!J454</f>
        <v/>
      </c>
      <c r="L461" s="7">
        <f>'1 datos preparados'!K454</f>
        <v/>
      </c>
      <c r="M461" s="7">
        <f>'1 datos preparados'!L454</f>
        <v/>
      </c>
      <c r="N461" s="7">
        <f>'1 datos preparados'!M454</f>
        <v/>
      </c>
      <c r="O461" s="7">
        <f>'1 datos preparados'!N454</f>
        <v/>
      </c>
      <c r="P461" s="7">
        <f>'1 datos preparados'!O454</f>
        <v/>
      </c>
      <c r="Q461" s="7">
        <f>'1 datos preparados'!P454</f>
        <v/>
      </c>
      <c r="R461" s="7">
        <f>'1 datos preparados'!Q454</f>
        <v/>
      </c>
      <c r="S461" s="7">
        <f>'1 datos preparados'!R454</f>
        <v/>
      </c>
      <c r="T461" s="7">
        <f>'1 datos preparados'!S454</f>
        <v/>
      </c>
      <c r="U461" s="7">
        <f>'1 datos preparados'!T454</f>
        <v/>
      </c>
      <c r="V461" s="8">
        <f>$AC$12+D461*$AC$13+E461*$AC$14+F461*$AC$15+G461*$AC$16+H461*$AC$17+I461*$AC$18+J461*$AC$19+K461*$AC$20+L461*$AC$21+M461*$AC$22+N461*$AC$23+O461*$AC$24+P461*$AC$25+Q461*$AC$26+R461*$AC$27+S461*$AC$28+T461*$AC$29+U461*$AC$30</f>
        <v/>
      </c>
      <c r="W461" s="8">
        <f>1/(1+EXP(-V461))</f>
        <v/>
      </c>
      <c r="X461" s="9">
        <f>-IF(C461=1,LN(W461),LN(1-W461))</f>
        <v/>
      </c>
      <c r="Y461" s="10">
        <f>IF(W461&gt;$AC$33,1,0)</f>
        <v/>
      </c>
      <c r="Z461">
        <f>IF(Y461=C461,1,0)</f>
        <v/>
      </c>
    </row>
    <row r="462">
      <c r="A462">
        <f>'1 datos preparados'!A455</f>
        <v/>
      </c>
      <c r="B462" s="5">
        <f>'1 datos preparados'!U455</f>
        <v/>
      </c>
      <c r="C462">
        <f>'1 datos preparados'!B455</f>
        <v/>
      </c>
      <c r="D462" s="7">
        <f>'1 datos preparados'!C455</f>
        <v/>
      </c>
      <c r="E462" s="7">
        <f>'1 datos preparados'!D455</f>
        <v/>
      </c>
      <c r="F462" s="7">
        <f>'1 datos preparados'!E455</f>
        <v/>
      </c>
      <c r="G462" s="7">
        <f>'1 datos preparados'!F455</f>
        <v/>
      </c>
      <c r="H462" s="7">
        <f>'1 datos preparados'!G455</f>
        <v/>
      </c>
      <c r="I462" s="7">
        <f>'1 datos preparados'!H455</f>
        <v/>
      </c>
      <c r="J462" s="7">
        <f>'1 datos preparados'!I455</f>
        <v/>
      </c>
      <c r="K462" s="7">
        <f>'1 datos preparados'!J455</f>
        <v/>
      </c>
      <c r="L462" s="7">
        <f>'1 datos preparados'!K455</f>
        <v/>
      </c>
      <c r="M462" s="7">
        <f>'1 datos preparados'!L455</f>
        <v/>
      </c>
      <c r="N462" s="7">
        <f>'1 datos preparados'!M455</f>
        <v/>
      </c>
      <c r="O462" s="7">
        <f>'1 datos preparados'!N455</f>
        <v/>
      </c>
      <c r="P462" s="7">
        <f>'1 datos preparados'!O455</f>
        <v/>
      </c>
      <c r="Q462" s="7">
        <f>'1 datos preparados'!P455</f>
        <v/>
      </c>
      <c r="R462" s="7">
        <f>'1 datos preparados'!Q455</f>
        <v/>
      </c>
      <c r="S462" s="7">
        <f>'1 datos preparados'!R455</f>
        <v/>
      </c>
      <c r="T462" s="7">
        <f>'1 datos preparados'!S455</f>
        <v/>
      </c>
      <c r="U462" s="7">
        <f>'1 datos preparados'!T455</f>
        <v/>
      </c>
      <c r="V462" s="8">
        <f>$AC$12+D462*$AC$13+E462*$AC$14+F462*$AC$15+G462*$AC$16+H462*$AC$17+I462*$AC$18+J462*$AC$19+K462*$AC$20+L462*$AC$21+M462*$AC$22+N462*$AC$23+O462*$AC$24+P462*$AC$25+Q462*$AC$26+R462*$AC$27+S462*$AC$28+T462*$AC$29+U462*$AC$30</f>
        <v/>
      </c>
      <c r="W462" s="8">
        <f>1/(1+EXP(-V462))</f>
        <v/>
      </c>
      <c r="X462" s="9">
        <f>-IF(C462=1,LN(W462),LN(1-W462))</f>
        <v/>
      </c>
      <c r="Y462" s="10">
        <f>IF(W462&gt;$AC$33,1,0)</f>
        <v/>
      </c>
      <c r="Z462">
        <f>IF(Y462=C462,1,0)</f>
        <v/>
      </c>
    </row>
    <row r="463">
      <c r="A463">
        <f>'1 datos preparados'!A456</f>
        <v/>
      </c>
      <c r="B463" s="5">
        <f>'1 datos preparados'!U456</f>
        <v/>
      </c>
      <c r="C463">
        <f>'1 datos preparados'!B456</f>
        <v/>
      </c>
      <c r="D463" s="7">
        <f>'1 datos preparados'!C456</f>
        <v/>
      </c>
      <c r="E463" s="7">
        <f>'1 datos preparados'!D456</f>
        <v/>
      </c>
      <c r="F463" s="7">
        <f>'1 datos preparados'!E456</f>
        <v/>
      </c>
      <c r="G463" s="7">
        <f>'1 datos preparados'!F456</f>
        <v/>
      </c>
      <c r="H463" s="7">
        <f>'1 datos preparados'!G456</f>
        <v/>
      </c>
      <c r="I463" s="7">
        <f>'1 datos preparados'!H456</f>
        <v/>
      </c>
      <c r="J463" s="7">
        <f>'1 datos preparados'!I456</f>
        <v/>
      </c>
      <c r="K463" s="7">
        <f>'1 datos preparados'!J456</f>
        <v/>
      </c>
      <c r="L463" s="7">
        <f>'1 datos preparados'!K456</f>
        <v/>
      </c>
      <c r="M463" s="7">
        <f>'1 datos preparados'!L456</f>
        <v/>
      </c>
      <c r="N463" s="7">
        <f>'1 datos preparados'!M456</f>
        <v/>
      </c>
      <c r="O463" s="7">
        <f>'1 datos preparados'!N456</f>
        <v/>
      </c>
      <c r="P463" s="7">
        <f>'1 datos preparados'!O456</f>
        <v/>
      </c>
      <c r="Q463" s="7">
        <f>'1 datos preparados'!P456</f>
        <v/>
      </c>
      <c r="R463" s="7">
        <f>'1 datos preparados'!Q456</f>
        <v/>
      </c>
      <c r="S463" s="7">
        <f>'1 datos preparados'!R456</f>
        <v/>
      </c>
      <c r="T463" s="7">
        <f>'1 datos preparados'!S456</f>
        <v/>
      </c>
      <c r="U463" s="7">
        <f>'1 datos preparados'!T456</f>
        <v/>
      </c>
      <c r="V463" s="8">
        <f>$AC$12+D463*$AC$13+E463*$AC$14+F463*$AC$15+G463*$AC$16+H463*$AC$17+I463*$AC$18+J463*$AC$19+K463*$AC$20+L463*$AC$21+M463*$AC$22+N463*$AC$23+O463*$AC$24+P463*$AC$25+Q463*$AC$26+R463*$AC$27+S463*$AC$28+T463*$AC$29+U463*$AC$30</f>
        <v/>
      </c>
      <c r="W463" s="8">
        <f>1/(1+EXP(-V463))</f>
        <v/>
      </c>
      <c r="X463" s="9">
        <f>-IF(C463=1,LN(W463),LN(1-W463))</f>
        <v/>
      </c>
      <c r="Y463" s="10">
        <f>IF(W463&gt;$AC$33,1,0)</f>
        <v/>
      </c>
      <c r="Z463">
        <f>IF(Y463=C463,1,0)</f>
        <v/>
      </c>
    </row>
    <row r="464">
      <c r="A464">
        <f>'1 datos preparados'!A457</f>
        <v/>
      </c>
      <c r="B464" s="5">
        <f>'1 datos preparados'!U457</f>
        <v/>
      </c>
      <c r="C464">
        <f>'1 datos preparados'!B457</f>
        <v/>
      </c>
      <c r="D464" s="7">
        <f>'1 datos preparados'!C457</f>
        <v/>
      </c>
      <c r="E464" s="7">
        <f>'1 datos preparados'!D457</f>
        <v/>
      </c>
      <c r="F464" s="7">
        <f>'1 datos preparados'!E457</f>
        <v/>
      </c>
      <c r="G464" s="7">
        <f>'1 datos preparados'!F457</f>
        <v/>
      </c>
      <c r="H464" s="7">
        <f>'1 datos preparados'!G457</f>
        <v/>
      </c>
      <c r="I464" s="7">
        <f>'1 datos preparados'!H457</f>
        <v/>
      </c>
      <c r="J464" s="7">
        <f>'1 datos preparados'!I457</f>
        <v/>
      </c>
      <c r="K464" s="7">
        <f>'1 datos preparados'!J457</f>
        <v/>
      </c>
      <c r="L464" s="7">
        <f>'1 datos preparados'!K457</f>
        <v/>
      </c>
      <c r="M464" s="7">
        <f>'1 datos preparados'!L457</f>
        <v/>
      </c>
      <c r="N464" s="7">
        <f>'1 datos preparados'!M457</f>
        <v/>
      </c>
      <c r="O464" s="7">
        <f>'1 datos preparados'!N457</f>
        <v/>
      </c>
      <c r="P464" s="7">
        <f>'1 datos preparados'!O457</f>
        <v/>
      </c>
      <c r="Q464" s="7">
        <f>'1 datos preparados'!P457</f>
        <v/>
      </c>
      <c r="R464" s="7">
        <f>'1 datos preparados'!Q457</f>
        <v/>
      </c>
      <c r="S464" s="7">
        <f>'1 datos preparados'!R457</f>
        <v/>
      </c>
      <c r="T464" s="7">
        <f>'1 datos preparados'!S457</f>
        <v/>
      </c>
      <c r="U464" s="7">
        <f>'1 datos preparados'!T457</f>
        <v/>
      </c>
      <c r="V464" s="8">
        <f>$AC$12+D464*$AC$13+E464*$AC$14+F464*$AC$15+G464*$AC$16+H464*$AC$17+I464*$AC$18+J464*$AC$19+K464*$AC$20+L464*$AC$21+M464*$AC$22+N464*$AC$23+O464*$AC$24+P464*$AC$25+Q464*$AC$26+R464*$AC$27+S464*$AC$28+T464*$AC$29+U464*$AC$30</f>
        <v/>
      </c>
      <c r="W464" s="8">
        <f>1/(1+EXP(-V464))</f>
        <v/>
      </c>
      <c r="X464" s="9">
        <f>-IF(C464=1,LN(W464),LN(1-W464))</f>
        <v/>
      </c>
      <c r="Y464" s="10">
        <f>IF(W464&gt;$AC$33,1,0)</f>
        <v/>
      </c>
      <c r="Z464">
        <f>IF(Y464=C464,1,0)</f>
        <v/>
      </c>
    </row>
    <row r="465">
      <c r="A465">
        <f>'1 datos preparados'!A458</f>
        <v/>
      </c>
      <c r="B465" s="5">
        <f>'1 datos preparados'!U458</f>
        <v/>
      </c>
      <c r="C465">
        <f>'1 datos preparados'!B458</f>
        <v/>
      </c>
      <c r="D465" s="7">
        <f>'1 datos preparados'!C458</f>
        <v/>
      </c>
      <c r="E465" s="7">
        <f>'1 datos preparados'!D458</f>
        <v/>
      </c>
      <c r="F465" s="7">
        <f>'1 datos preparados'!E458</f>
        <v/>
      </c>
      <c r="G465" s="7">
        <f>'1 datos preparados'!F458</f>
        <v/>
      </c>
      <c r="H465" s="7">
        <f>'1 datos preparados'!G458</f>
        <v/>
      </c>
      <c r="I465" s="7">
        <f>'1 datos preparados'!H458</f>
        <v/>
      </c>
      <c r="J465" s="7">
        <f>'1 datos preparados'!I458</f>
        <v/>
      </c>
      <c r="K465" s="7">
        <f>'1 datos preparados'!J458</f>
        <v/>
      </c>
      <c r="L465" s="7">
        <f>'1 datos preparados'!K458</f>
        <v/>
      </c>
      <c r="M465" s="7">
        <f>'1 datos preparados'!L458</f>
        <v/>
      </c>
      <c r="N465" s="7">
        <f>'1 datos preparados'!M458</f>
        <v/>
      </c>
      <c r="O465" s="7">
        <f>'1 datos preparados'!N458</f>
        <v/>
      </c>
      <c r="P465" s="7">
        <f>'1 datos preparados'!O458</f>
        <v/>
      </c>
      <c r="Q465" s="7">
        <f>'1 datos preparados'!P458</f>
        <v/>
      </c>
      <c r="R465" s="7">
        <f>'1 datos preparados'!Q458</f>
        <v/>
      </c>
      <c r="S465" s="7">
        <f>'1 datos preparados'!R458</f>
        <v/>
      </c>
      <c r="T465" s="7">
        <f>'1 datos preparados'!S458</f>
        <v/>
      </c>
      <c r="U465" s="7">
        <f>'1 datos preparados'!T458</f>
        <v/>
      </c>
      <c r="V465" s="8">
        <f>$AC$12+D465*$AC$13+E465*$AC$14+F465*$AC$15+G465*$AC$16+H465*$AC$17+I465*$AC$18+J465*$AC$19+K465*$AC$20+L465*$AC$21+M465*$AC$22+N465*$AC$23+O465*$AC$24+P465*$AC$25+Q465*$AC$26+R465*$AC$27+S465*$AC$28+T465*$AC$29+U465*$AC$30</f>
        <v/>
      </c>
      <c r="W465" s="8">
        <f>1/(1+EXP(-V465))</f>
        <v/>
      </c>
      <c r="X465" s="9">
        <f>-IF(C465=1,LN(W465),LN(1-W465))</f>
        <v/>
      </c>
      <c r="Y465" s="10">
        <f>IF(W465&gt;$AC$33,1,0)</f>
        <v/>
      </c>
      <c r="Z465">
        <f>IF(Y465=C465,1,0)</f>
        <v/>
      </c>
    </row>
    <row r="466">
      <c r="A466">
        <f>'1 datos preparados'!A459</f>
        <v/>
      </c>
      <c r="B466" s="5">
        <f>'1 datos preparados'!U459</f>
        <v/>
      </c>
      <c r="C466">
        <f>'1 datos preparados'!B459</f>
        <v/>
      </c>
      <c r="D466" s="7">
        <f>'1 datos preparados'!C459</f>
        <v/>
      </c>
      <c r="E466" s="7">
        <f>'1 datos preparados'!D459</f>
        <v/>
      </c>
      <c r="F466" s="7">
        <f>'1 datos preparados'!E459</f>
        <v/>
      </c>
      <c r="G466" s="7">
        <f>'1 datos preparados'!F459</f>
        <v/>
      </c>
      <c r="H466" s="7">
        <f>'1 datos preparados'!G459</f>
        <v/>
      </c>
      <c r="I466" s="7">
        <f>'1 datos preparados'!H459</f>
        <v/>
      </c>
      <c r="J466" s="7">
        <f>'1 datos preparados'!I459</f>
        <v/>
      </c>
      <c r="K466" s="7">
        <f>'1 datos preparados'!J459</f>
        <v/>
      </c>
      <c r="L466" s="7">
        <f>'1 datos preparados'!K459</f>
        <v/>
      </c>
      <c r="M466" s="7">
        <f>'1 datos preparados'!L459</f>
        <v/>
      </c>
      <c r="N466" s="7">
        <f>'1 datos preparados'!M459</f>
        <v/>
      </c>
      <c r="O466" s="7">
        <f>'1 datos preparados'!N459</f>
        <v/>
      </c>
      <c r="P466" s="7">
        <f>'1 datos preparados'!O459</f>
        <v/>
      </c>
      <c r="Q466" s="7">
        <f>'1 datos preparados'!P459</f>
        <v/>
      </c>
      <c r="R466" s="7">
        <f>'1 datos preparados'!Q459</f>
        <v/>
      </c>
      <c r="S466" s="7">
        <f>'1 datos preparados'!R459</f>
        <v/>
      </c>
      <c r="T466" s="7">
        <f>'1 datos preparados'!S459</f>
        <v/>
      </c>
      <c r="U466" s="7">
        <f>'1 datos preparados'!T459</f>
        <v/>
      </c>
      <c r="V466" s="8">
        <f>$AC$12+D466*$AC$13+E466*$AC$14+F466*$AC$15+G466*$AC$16+H466*$AC$17+I466*$AC$18+J466*$AC$19+K466*$AC$20+L466*$AC$21+M466*$AC$22+N466*$AC$23+O466*$AC$24+P466*$AC$25+Q466*$AC$26+R466*$AC$27+S466*$AC$28+T466*$AC$29+U466*$AC$30</f>
        <v/>
      </c>
      <c r="W466" s="8">
        <f>1/(1+EXP(-V466))</f>
        <v/>
      </c>
      <c r="X466" s="9">
        <f>-IF(C466=1,LN(W466),LN(1-W466))</f>
        <v/>
      </c>
      <c r="Y466" s="10">
        <f>IF(W466&gt;$AC$33,1,0)</f>
        <v/>
      </c>
      <c r="Z466">
        <f>IF(Y466=C466,1,0)</f>
        <v/>
      </c>
    </row>
    <row r="467">
      <c r="A467">
        <f>'1 datos preparados'!A460</f>
        <v/>
      </c>
      <c r="B467" s="5">
        <f>'1 datos preparados'!U460</f>
        <v/>
      </c>
      <c r="C467">
        <f>'1 datos preparados'!B460</f>
        <v/>
      </c>
      <c r="D467" s="7">
        <f>'1 datos preparados'!C460</f>
        <v/>
      </c>
      <c r="E467" s="7">
        <f>'1 datos preparados'!D460</f>
        <v/>
      </c>
      <c r="F467" s="7">
        <f>'1 datos preparados'!E460</f>
        <v/>
      </c>
      <c r="G467" s="7">
        <f>'1 datos preparados'!F460</f>
        <v/>
      </c>
      <c r="H467" s="7">
        <f>'1 datos preparados'!G460</f>
        <v/>
      </c>
      <c r="I467" s="7">
        <f>'1 datos preparados'!H460</f>
        <v/>
      </c>
      <c r="J467" s="7">
        <f>'1 datos preparados'!I460</f>
        <v/>
      </c>
      <c r="K467" s="7">
        <f>'1 datos preparados'!J460</f>
        <v/>
      </c>
      <c r="L467" s="7">
        <f>'1 datos preparados'!K460</f>
        <v/>
      </c>
      <c r="M467" s="7">
        <f>'1 datos preparados'!L460</f>
        <v/>
      </c>
      <c r="N467" s="7">
        <f>'1 datos preparados'!M460</f>
        <v/>
      </c>
      <c r="O467" s="7">
        <f>'1 datos preparados'!N460</f>
        <v/>
      </c>
      <c r="P467" s="7">
        <f>'1 datos preparados'!O460</f>
        <v/>
      </c>
      <c r="Q467" s="7">
        <f>'1 datos preparados'!P460</f>
        <v/>
      </c>
      <c r="R467" s="7">
        <f>'1 datos preparados'!Q460</f>
        <v/>
      </c>
      <c r="S467" s="7">
        <f>'1 datos preparados'!R460</f>
        <v/>
      </c>
      <c r="T467" s="7">
        <f>'1 datos preparados'!S460</f>
        <v/>
      </c>
      <c r="U467" s="7">
        <f>'1 datos preparados'!T460</f>
        <v/>
      </c>
      <c r="V467" s="8">
        <f>$AC$12+D467*$AC$13+E467*$AC$14+F467*$AC$15+G467*$AC$16+H467*$AC$17+I467*$AC$18+J467*$AC$19+K467*$AC$20+L467*$AC$21+M467*$AC$22+N467*$AC$23+O467*$AC$24+P467*$AC$25+Q467*$AC$26+R467*$AC$27+S467*$AC$28+T467*$AC$29+U467*$AC$30</f>
        <v/>
      </c>
      <c r="W467" s="8">
        <f>1/(1+EXP(-V467))</f>
        <v/>
      </c>
      <c r="X467" s="9">
        <f>-IF(C467=1,LN(W467),LN(1-W467))</f>
        <v/>
      </c>
      <c r="Y467" s="10">
        <f>IF(W467&gt;$AC$33,1,0)</f>
        <v/>
      </c>
      <c r="Z467">
        <f>IF(Y467=C467,1,0)</f>
        <v/>
      </c>
    </row>
    <row r="468">
      <c r="A468">
        <f>'1 datos preparados'!A461</f>
        <v/>
      </c>
      <c r="B468" s="5">
        <f>'1 datos preparados'!U461</f>
        <v/>
      </c>
      <c r="C468">
        <f>'1 datos preparados'!B461</f>
        <v/>
      </c>
      <c r="D468" s="7">
        <f>'1 datos preparados'!C461</f>
        <v/>
      </c>
      <c r="E468" s="7">
        <f>'1 datos preparados'!D461</f>
        <v/>
      </c>
      <c r="F468" s="7">
        <f>'1 datos preparados'!E461</f>
        <v/>
      </c>
      <c r="G468" s="7">
        <f>'1 datos preparados'!F461</f>
        <v/>
      </c>
      <c r="H468" s="7">
        <f>'1 datos preparados'!G461</f>
        <v/>
      </c>
      <c r="I468" s="7">
        <f>'1 datos preparados'!H461</f>
        <v/>
      </c>
      <c r="J468" s="7">
        <f>'1 datos preparados'!I461</f>
        <v/>
      </c>
      <c r="K468" s="7">
        <f>'1 datos preparados'!J461</f>
        <v/>
      </c>
      <c r="L468" s="7">
        <f>'1 datos preparados'!K461</f>
        <v/>
      </c>
      <c r="M468" s="7">
        <f>'1 datos preparados'!L461</f>
        <v/>
      </c>
      <c r="N468" s="7">
        <f>'1 datos preparados'!M461</f>
        <v/>
      </c>
      <c r="O468" s="7">
        <f>'1 datos preparados'!N461</f>
        <v/>
      </c>
      <c r="P468" s="7">
        <f>'1 datos preparados'!O461</f>
        <v/>
      </c>
      <c r="Q468" s="7">
        <f>'1 datos preparados'!P461</f>
        <v/>
      </c>
      <c r="R468" s="7">
        <f>'1 datos preparados'!Q461</f>
        <v/>
      </c>
      <c r="S468" s="7">
        <f>'1 datos preparados'!R461</f>
        <v/>
      </c>
      <c r="T468" s="7">
        <f>'1 datos preparados'!S461</f>
        <v/>
      </c>
      <c r="U468" s="7">
        <f>'1 datos preparados'!T461</f>
        <v/>
      </c>
      <c r="V468" s="8">
        <f>$AC$12+D468*$AC$13+E468*$AC$14+F468*$AC$15+G468*$AC$16+H468*$AC$17+I468*$AC$18+J468*$AC$19+K468*$AC$20+L468*$AC$21+M468*$AC$22+N468*$AC$23+O468*$AC$24+P468*$AC$25+Q468*$AC$26+R468*$AC$27+S468*$AC$28+T468*$AC$29+U468*$AC$30</f>
        <v/>
      </c>
      <c r="W468" s="8">
        <f>1/(1+EXP(-V468))</f>
        <v/>
      </c>
      <c r="X468" s="9">
        <f>-IF(C468=1,LN(W468),LN(1-W468))</f>
        <v/>
      </c>
      <c r="Y468" s="10">
        <f>IF(W468&gt;$AC$33,1,0)</f>
        <v/>
      </c>
      <c r="Z468">
        <f>IF(Y468=C468,1,0)</f>
        <v/>
      </c>
    </row>
    <row r="469">
      <c r="A469">
        <f>'1 datos preparados'!A462</f>
        <v/>
      </c>
      <c r="B469" s="5">
        <f>'1 datos preparados'!U462</f>
        <v/>
      </c>
      <c r="C469">
        <f>'1 datos preparados'!B462</f>
        <v/>
      </c>
      <c r="D469" s="7">
        <f>'1 datos preparados'!C462</f>
        <v/>
      </c>
      <c r="E469" s="7">
        <f>'1 datos preparados'!D462</f>
        <v/>
      </c>
      <c r="F469" s="7">
        <f>'1 datos preparados'!E462</f>
        <v/>
      </c>
      <c r="G469" s="7">
        <f>'1 datos preparados'!F462</f>
        <v/>
      </c>
      <c r="H469" s="7">
        <f>'1 datos preparados'!G462</f>
        <v/>
      </c>
      <c r="I469" s="7">
        <f>'1 datos preparados'!H462</f>
        <v/>
      </c>
      <c r="J469" s="7">
        <f>'1 datos preparados'!I462</f>
        <v/>
      </c>
      <c r="K469" s="7">
        <f>'1 datos preparados'!J462</f>
        <v/>
      </c>
      <c r="L469" s="7">
        <f>'1 datos preparados'!K462</f>
        <v/>
      </c>
      <c r="M469" s="7">
        <f>'1 datos preparados'!L462</f>
        <v/>
      </c>
      <c r="N469" s="7">
        <f>'1 datos preparados'!M462</f>
        <v/>
      </c>
      <c r="O469" s="7">
        <f>'1 datos preparados'!N462</f>
        <v/>
      </c>
      <c r="P469" s="7">
        <f>'1 datos preparados'!O462</f>
        <v/>
      </c>
      <c r="Q469" s="7">
        <f>'1 datos preparados'!P462</f>
        <v/>
      </c>
      <c r="R469" s="7">
        <f>'1 datos preparados'!Q462</f>
        <v/>
      </c>
      <c r="S469" s="7">
        <f>'1 datos preparados'!R462</f>
        <v/>
      </c>
      <c r="T469" s="7">
        <f>'1 datos preparados'!S462</f>
        <v/>
      </c>
      <c r="U469" s="7">
        <f>'1 datos preparados'!T462</f>
        <v/>
      </c>
      <c r="V469" s="8">
        <f>$AC$12+D469*$AC$13+E469*$AC$14+F469*$AC$15+G469*$AC$16+H469*$AC$17+I469*$AC$18+J469*$AC$19+K469*$AC$20+L469*$AC$21+M469*$AC$22+N469*$AC$23+O469*$AC$24+P469*$AC$25+Q469*$AC$26+R469*$AC$27+S469*$AC$28+T469*$AC$29+U469*$AC$30</f>
        <v/>
      </c>
      <c r="W469" s="8">
        <f>1/(1+EXP(-V469))</f>
        <v/>
      </c>
      <c r="X469" s="9">
        <f>-IF(C469=1,LN(W469),LN(1-W469))</f>
        <v/>
      </c>
      <c r="Y469" s="10">
        <f>IF(W469&gt;$AC$33,1,0)</f>
        <v/>
      </c>
      <c r="Z469">
        <f>IF(Y469=C469,1,0)</f>
        <v/>
      </c>
    </row>
    <row r="470">
      <c r="A470">
        <f>'1 datos preparados'!A463</f>
        <v/>
      </c>
      <c r="B470" s="5">
        <f>'1 datos preparados'!U463</f>
        <v/>
      </c>
      <c r="C470">
        <f>'1 datos preparados'!B463</f>
        <v/>
      </c>
      <c r="D470" s="7">
        <f>'1 datos preparados'!C463</f>
        <v/>
      </c>
      <c r="E470" s="7">
        <f>'1 datos preparados'!D463</f>
        <v/>
      </c>
      <c r="F470" s="7">
        <f>'1 datos preparados'!E463</f>
        <v/>
      </c>
      <c r="G470" s="7">
        <f>'1 datos preparados'!F463</f>
        <v/>
      </c>
      <c r="H470" s="7">
        <f>'1 datos preparados'!G463</f>
        <v/>
      </c>
      <c r="I470" s="7">
        <f>'1 datos preparados'!H463</f>
        <v/>
      </c>
      <c r="J470" s="7">
        <f>'1 datos preparados'!I463</f>
        <v/>
      </c>
      <c r="K470" s="7">
        <f>'1 datos preparados'!J463</f>
        <v/>
      </c>
      <c r="L470" s="7">
        <f>'1 datos preparados'!K463</f>
        <v/>
      </c>
      <c r="M470" s="7">
        <f>'1 datos preparados'!L463</f>
        <v/>
      </c>
      <c r="N470" s="7">
        <f>'1 datos preparados'!M463</f>
        <v/>
      </c>
      <c r="O470" s="7">
        <f>'1 datos preparados'!N463</f>
        <v/>
      </c>
      <c r="P470" s="7">
        <f>'1 datos preparados'!O463</f>
        <v/>
      </c>
      <c r="Q470" s="7">
        <f>'1 datos preparados'!P463</f>
        <v/>
      </c>
      <c r="R470" s="7">
        <f>'1 datos preparados'!Q463</f>
        <v/>
      </c>
      <c r="S470" s="7">
        <f>'1 datos preparados'!R463</f>
        <v/>
      </c>
      <c r="T470" s="7">
        <f>'1 datos preparados'!S463</f>
        <v/>
      </c>
      <c r="U470" s="7">
        <f>'1 datos preparados'!T463</f>
        <v/>
      </c>
      <c r="V470" s="8">
        <f>$AC$12+D470*$AC$13+E470*$AC$14+F470*$AC$15+G470*$AC$16+H470*$AC$17+I470*$AC$18+J470*$AC$19+K470*$AC$20+L470*$AC$21+M470*$AC$22+N470*$AC$23+O470*$AC$24+P470*$AC$25+Q470*$AC$26+R470*$AC$27+S470*$AC$28+T470*$AC$29+U470*$AC$30</f>
        <v/>
      </c>
      <c r="W470" s="8">
        <f>1/(1+EXP(-V470))</f>
        <v/>
      </c>
      <c r="X470" s="9">
        <f>-IF(C470=1,LN(W470),LN(1-W470))</f>
        <v/>
      </c>
      <c r="Y470" s="10">
        <f>IF(W470&gt;$AC$33,1,0)</f>
        <v/>
      </c>
      <c r="Z470">
        <f>IF(Y470=C470,1,0)</f>
        <v/>
      </c>
    </row>
    <row r="471">
      <c r="A471">
        <f>'1 datos preparados'!A464</f>
        <v/>
      </c>
      <c r="B471" s="5">
        <f>'1 datos preparados'!U464</f>
        <v/>
      </c>
      <c r="C471">
        <f>'1 datos preparados'!B464</f>
        <v/>
      </c>
      <c r="D471" s="7">
        <f>'1 datos preparados'!C464</f>
        <v/>
      </c>
      <c r="E471" s="7">
        <f>'1 datos preparados'!D464</f>
        <v/>
      </c>
      <c r="F471" s="7">
        <f>'1 datos preparados'!E464</f>
        <v/>
      </c>
      <c r="G471" s="7">
        <f>'1 datos preparados'!F464</f>
        <v/>
      </c>
      <c r="H471" s="7">
        <f>'1 datos preparados'!G464</f>
        <v/>
      </c>
      <c r="I471" s="7">
        <f>'1 datos preparados'!H464</f>
        <v/>
      </c>
      <c r="J471" s="7">
        <f>'1 datos preparados'!I464</f>
        <v/>
      </c>
      <c r="K471" s="7">
        <f>'1 datos preparados'!J464</f>
        <v/>
      </c>
      <c r="L471" s="7">
        <f>'1 datos preparados'!K464</f>
        <v/>
      </c>
      <c r="M471" s="7">
        <f>'1 datos preparados'!L464</f>
        <v/>
      </c>
      <c r="N471" s="7">
        <f>'1 datos preparados'!M464</f>
        <v/>
      </c>
      <c r="O471" s="7">
        <f>'1 datos preparados'!N464</f>
        <v/>
      </c>
      <c r="P471" s="7">
        <f>'1 datos preparados'!O464</f>
        <v/>
      </c>
      <c r="Q471" s="7">
        <f>'1 datos preparados'!P464</f>
        <v/>
      </c>
      <c r="R471" s="7">
        <f>'1 datos preparados'!Q464</f>
        <v/>
      </c>
      <c r="S471" s="7">
        <f>'1 datos preparados'!R464</f>
        <v/>
      </c>
      <c r="T471" s="7">
        <f>'1 datos preparados'!S464</f>
        <v/>
      </c>
      <c r="U471" s="7">
        <f>'1 datos preparados'!T464</f>
        <v/>
      </c>
      <c r="V471" s="8">
        <f>$AC$12+D471*$AC$13+E471*$AC$14+F471*$AC$15+G471*$AC$16+H471*$AC$17+I471*$AC$18+J471*$AC$19+K471*$AC$20+L471*$AC$21+M471*$AC$22+N471*$AC$23+O471*$AC$24+P471*$AC$25+Q471*$AC$26+R471*$AC$27+S471*$AC$28+T471*$AC$29+U471*$AC$30</f>
        <v/>
      </c>
      <c r="W471" s="8">
        <f>1/(1+EXP(-V471))</f>
        <v/>
      </c>
      <c r="X471" s="9">
        <f>-IF(C471=1,LN(W471),LN(1-W471))</f>
        <v/>
      </c>
      <c r="Y471" s="10">
        <f>IF(W471&gt;$AC$33,1,0)</f>
        <v/>
      </c>
      <c r="Z471">
        <f>IF(Y471=C471,1,0)</f>
        <v/>
      </c>
    </row>
    <row r="472">
      <c r="A472">
        <f>'1 datos preparados'!A465</f>
        <v/>
      </c>
      <c r="B472" s="5">
        <f>'1 datos preparados'!U465</f>
        <v/>
      </c>
      <c r="C472">
        <f>'1 datos preparados'!B465</f>
        <v/>
      </c>
      <c r="D472" s="7">
        <f>'1 datos preparados'!C465</f>
        <v/>
      </c>
      <c r="E472" s="7">
        <f>'1 datos preparados'!D465</f>
        <v/>
      </c>
      <c r="F472" s="7">
        <f>'1 datos preparados'!E465</f>
        <v/>
      </c>
      <c r="G472" s="7">
        <f>'1 datos preparados'!F465</f>
        <v/>
      </c>
      <c r="H472" s="7">
        <f>'1 datos preparados'!G465</f>
        <v/>
      </c>
      <c r="I472" s="7">
        <f>'1 datos preparados'!H465</f>
        <v/>
      </c>
      <c r="J472" s="7">
        <f>'1 datos preparados'!I465</f>
        <v/>
      </c>
      <c r="K472" s="7">
        <f>'1 datos preparados'!J465</f>
        <v/>
      </c>
      <c r="L472" s="7">
        <f>'1 datos preparados'!K465</f>
        <v/>
      </c>
      <c r="M472" s="7">
        <f>'1 datos preparados'!L465</f>
        <v/>
      </c>
      <c r="N472" s="7">
        <f>'1 datos preparados'!M465</f>
        <v/>
      </c>
      <c r="O472" s="7">
        <f>'1 datos preparados'!N465</f>
        <v/>
      </c>
      <c r="P472" s="7">
        <f>'1 datos preparados'!O465</f>
        <v/>
      </c>
      <c r="Q472" s="7">
        <f>'1 datos preparados'!P465</f>
        <v/>
      </c>
      <c r="R472" s="7">
        <f>'1 datos preparados'!Q465</f>
        <v/>
      </c>
      <c r="S472" s="7">
        <f>'1 datos preparados'!R465</f>
        <v/>
      </c>
      <c r="T472" s="7">
        <f>'1 datos preparados'!S465</f>
        <v/>
      </c>
      <c r="U472" s="7">
        <f>'1 datos preparados'!T465</f>
        <v/>
      </c>
      <c r="V472" s="8">
        <f>$AC$12+D472*$AC$13+E472*$AC$14+F472*$AC$15+G472*$AC$16+H472*$AC$17+I472*$AC$18+J472*$AC$19+K472*$AC$20+L472*$AC$21+M472*$AC$22+N472*$AC$23+O472*$AC$24+P472*$AC$25+Q472*$AC$26+R472*$AC$27+S472*$AC$28+T472*$AC$29+U472*$AC$30</f>
        <v/>
      </c>
      <c r="W472" s="8">
        <f>1/(1+EXP(-V472))</f>
        <v/>
      </c>
      <c r="X472" s="9">
        <f>-IF(C472=1,LN(W472),LN(1-W472))</f>
        <v/>
      </c>
      <c r="Y472" s="10">
        <f>IF(W472&gt;$AC$33,1,0)</f>
        <v/>
      </c>
      <c r="Z472">
        <f>IF(Y472=C472,1,0)</f>
        <v/>
      </c>
    </row>
    <row r="473">
      <c r="A473">
        <f>'1 datos preparados'!A466</f>
        <v/>
      </c>
      <c r="B473" s="5">
        <f>'1 datos preparados'!U466</f>
        <v/>
      </c>
      <c r="C473">
        <f>'1 datos preparados'!B466</f>
        <v/>
      </c>
      <c r="D473" s="7">
        <f>'1 datos preparados'!C466</f>
        <v/>
      </c>
      <c r="E473" s="7">
        <f>'1 datos preparados'!D466</f>
        <v/>
      </c>
      <c r="F473" s="7">
        <f>'1 datos preparados'!E466</f>
        <v/>
      </c>
      <c r="G473" s="7">
        <f>'1 datos preparados'!F466</f>
        <v/>
      </c>
      <c r="H473" s="7">
        <f>'1 datos preparados'!G466</f>
        <v/>
      </c>
      <c r="I473" s="7">
        <f>'1 datos preparados'!H466</f>
        <v/>
      </c>
      <c r="J473" s="7">
        <f>'1 datos preparados'!I466</f>
        <v/>
      </c>
      <c r="K473" s="7">
        <f>'1 datos preparados'!J466</f>
        <v/>
      </c>
      <c r="L473" s="7">
        <f>'1 datos preparados'!K466</f>
        <v/>
      </c>
      <c r="M473" s="7">
        <f>'1 datos preparados'!L466</f>
        <v/>
      </c>
      <c r="N473" s="7">
        <f>'1 datos preparados'!M466</f>
        <v/>
      </c>
      <c r="O473" s="7">
        <f>'1 datos preparados'!N466</f>
        <v/>
      </c>
      <c r="P473" s="7">
        <f>'1 datos preparados'!O466</f>
        <v/>
      </c>
      <c r="Q473" s="7">
        <f>'1 datos preparados'!P466</f>
        <v/>
      </c>
      <c r="R473" s="7">
        <f>'1 datos preparados'!Q466</f>
        <v/>
      </c>
      <c r="S473" s="7">
        <f>'1 datos preparados'!R466</f>
        <v/>
      </c>
      <c r="T473" s="7">
        <f>'1 datos preparados'!S466</f>
        <v/>
      </c>
      <c r="U473" s="7">
        <f>'1 datos preparados'!T466</f>
        <v/>
      </c>
      <c r="V473" s="8">
        <f>$AC$12+D473*$AC$13+E473*$AC$14+F473*$AC$15+G473*$AC$16+H473*$AC$17+I473*$AC$18+J473*$AC$19+K473*$AC$20+L473*$AC$21+M473*$AC$22+N473*$AC$23+O473*$AC$24+P473*$AC$25+Q473*$AC$26+R473*$AC$27+S473*$AC$28+T473*$AC$29+U473*$AC$30</f>
        <v/>
      </c>
      <c r="W473" s="8">
        <f>1/(1+EXP(-V473))</f>
        <v/>
      </c>
      <c r="X473" s="9">
        <f>-IF(C473=1,LN(W473),LN(1-W473))</f>
        <v/>
      </c>
      <c r="Y473" s="10">
        <f>IF(W473&gt;$AC$33,1,0)</f>
        <v/>
      </c>
      <c r="Z473">
        <f>IF(Y473=C473,1,0)</f>
        <v/>
      </c>
    </row>
    <row r="474">
      <c r="A474">
        <f>'1 datos preparados'!A467</f>
        <v/>
      </c>
      <c r="B474" s="5">
        <f>'1 datos preparados'!U467</f>
        <v/>
      </c>
      <c r="C474">
        <f>'1 datos preparados'!B467</f>
        <v/>
      </c>
      <c r="D474" s="7">
        <f>'1 datos preparados'!C467</f>
        <v/>
      </c>
      <c r="E474" s="7">
        <f>'1 datos preparados'!D467</f>
        <v/>
      </c>
      <c r="F474" s="7">
        <f>'1 datos preparados'!E467</f>
        <v/>
      </c>
      <c r="G474" s="7">
        <f>'1 datos preparados'!F467</f>
        <v/>
      </c>
      <c r="H474" s="7">
        <f>'1 datos preparados'!G467</f>
        <v/>
      </c>
      <c r="I474" s="7">
        <f>'1 datos preparados'!H467</f>
        <v/>
      </c>
      <c r="J474" s="7">
        <f>'1 datos preparados'!I467</f>
        <v/>
      </c>
      <c r="K474" s="7">
        <f>'1 datos preparados'!J467</f>
        <v/>
      </c>
      <c r="L474" s="7">
        <f>'1 datos preparados'!K467</f>
        <v/>
      </c>
      <c r="M474" s="7">
        <f>'1 datos preparados'!L467</f>
        <v/>
      </c>
      <c r="N474" s="7">
        <f>'1 datos preparados'!M467</f>
        <v/>
      </c>
      <c r="O474" s="7">
        <f>'1 datos preparados'!N467</f>
        <v/>
      </c>
      <c r="P474" s="7">
        <f>'1 datos preparados'!O467</f>
        <v/>
      </c>
      <c r="Q474" s="7">
        <f>'1 datos preparados'!P467</f>
        <v/>
      </c>
      <c r="R474" s="7">
        <f>'1 datos preparados'!Q467</f>
        <v/>
      </c>
      <c r="S474" s="7">
        <f>'1 datos preparados'!R467</f>
        <v/>
      </c>
      <c r="T474" s="7">
        <f>'1 datos preparados'!S467</f>
        <v/>
      </c>
      <c r="U474" s="7">
        <f>'1 datos preparados'!T467</f>
        <v/>
      </c>
      <c r="V474" s="8">
        <f>$AC$12+D474*$AC$13+E474*$AC$14+F474*$AC$15+G474*$AC$16+H474*$AC$17+I474*$AC$18+J474*$AC$19+K474*$AC$20+L474*$AC$21+M474*$AC$22+N474*$AC$23+O474*$AC$24+P474*$AC$25+Q474*$AC$26+R474*$AC$27+S474*$AC$28+T474*$AC$29+U474*$AC$30</f>
        <v/>
      </c>
      <c r="W474" s="8">
        <f>1/(1+EXP(-V474))</f>
        <v/>
      </c>
      <c r="X474" s="9">
        <f>-IF(C474=1,LN(W474),LN(1-W474))</f>
        <v/>
      </c>
      <c r="Y474" s="10">
        <f>IF(W474&gt;$AC$33,1,0)</f>
        <v/>
      </c>
      <c r="Z474">
        <f>IF(Y474=C474,1,0)</f>
        <v/>
      </c>
    </row>
    <row r="475">
      <c r="A475">
        <f>'1 datos preparados'!A468</f>
        <v/>
      </c>
      <c r="B475" s="5">
        <f>'1 datos preparados'!U468</f>
        <v/>
      </c>
      <c r="C475">
        <f>'1 datos preparados'!B468</f>
        <v/>
      </c>
      <c r="D475" s="7">
        <f>'1 datos preparados'!C468</f>
        <v/>
      </c>
      <c r="E475" s="7">
        <f>'1 datos preparados'!D468</f>
        <v/>
      </c>
      <c r="F475" s="7">
        <f>'1 datos preparados'!E468</f>
        <v/>
      </c>
      <c r="G475" s="7">
        <f>'1 datos preparados'!F468</f>
        <v/>
      </c>
      <c r="H475" s="7">
        <f>'1 datos preparados'!G468</f>
        <v/>
      </c>
      <c r="I475" s="7">
        <f>'1 datos preparados'!H468</f>
        <v/>
      </c>
      <c r="J475" s="7">
        <f>'1 datos preparados'!I468</f>
        <v/>
      </c>
      <c r="K475" s="7">
        <f>'1 datos preparados'!J468</f>
        <v/>
      </c>
      <c r="L475" s="7">
        <f>'1 datos preparados'!K468</f>
        <v/>
      </c>
      <c r="M475" s="7">
        <f>'1 datos preparados'!L468</f>
        <v/>
      </c>
      <c r="N475" s="7">
        <f>'1 datos preparados'!M468</f>
        <v/>
      </c>
      <c r="O475" s="7">
        <f>'1 datos preparados'!N468</f>
        <v/>
      </c>
      <c r="P475" s="7">
        <f>'1 datos preparados'!O468</f>
        <v/>
      </c>
      <c r="Q475" s="7">
        <f>'1 datos preparados'!P468</f>
        <v/>
      </c>
      <c r="R475" s="7">
        <f>'1 datos preparados'!Q468</f>
        <v/>
      </c>
      <c r="S475" s="7">
        <f>'1 datos preparados'!R468</f>
        <v/>
      </c>
      <c r="T475" s="7">
        <f>'1 datos preparados'!S468</f>
        <v/>
      </c>
      <c r="U475" s="7">
        <f>'1 datos preparados'!T468</f>
        <v/>
      </c>
      <c r="V475" s="8">
        <f>$AC$12+D475*$AC$13+E475*$AC$14+F475*$AC$15+G475*$AC$16+H475*$AC$17+I475*$AC$18+J475*$AC$19+K475*$AC$20+L475*$AC$21+M475*$AC$22+N475*$AC$23+O475*$AC$24+P475*$AC$25+Q475*$AC$26+R475*$AC$27+S475*$AC$28+T475*$AC$29+U475*$AC$30</f>
        <v/>
      </c>
      <c r="W475" s="8">
        <f>1/(1+EXP(-V475))</f>
        <v/>
      </c>
      <c r="X475" s="9">
        <f>-IF(C475=1,LN(W475),LN(1-W475))</f>
        <v/>
      </c>
      <c r="Y475" s="10">
        <f>IF(W475&gt;$AC$33,1,0)</f>
        <v/>
      </c>
      <c r="Z475">
        <f>IF(Y475=C475,1,0)</f>
        <v/>
      </c>
    </row>
    <row r="476">
      <c r="A476">
        <f>'1 datos preparados'!A469</f>
        <v/>
      </c>
      <c r="B476" s="5">
        <f>'1 datos preparados'!U469</f>
        <v/>
      </c>
      <c r="C476">
        <f>'1 datos preparados'!B469</f>
        <v/>
      </c>
      <c r="D476" s="7">
        <f>'1 datos preparados'!C469</f>
        <v/>
      </c>
      <c r="E476" s="7">
        <f>'1 datos preparados'!D469</f>
        <v/>
      </c>
      <c r="F476" s="7">
        <f>'1 datos preparados'!E469</f>
        <v/>
      </c>
      <c r="G476" s="7">
        <f>'1 datos preparados'!F469</f>
        <v/>
      </c>
      <c r="H476" s="7">
        <f>'1 datos preparados'!G469</f>
        <v/>
      </c>
      <c r="I476" s="7">
        <f>'1 datos preparados'!H469</f>
        <v/>
      </c>
      <c r="J476" s="7">
        <f>'1 datos preparados'!I469</f>
        <v/>
      </c>
      <c r="K476" s="7">
        <f>'1 datos preparados'!J469</f>
        <v/>
      </c>
      <c r="L476" s="7">
        <f>'1 datos preparados'!K469</f>
        <v/>
      </c>
      <c r="M476" s="7">
        <f>'1 datos preparados'!L469</f>
        <v/>
      </c>
      <c r="N476" s="7">
        <f>'1 datos preparados'!M469</f>
        <v/>
      </c>
      <c r="O476" s="7">
        <f>'1 datos preparados'!N469</f>
        <v/>
      </c>
      <c r="P476" s="7">
        <f>'1 datos preparados'!O469</f>
        <v/>
      </c>
      <c r="Q476" s="7">
        <f>'1 datos preparados'!P469</f>
        <v/>
      </c>
      <c r="R476" s="7">
        <f>'1 datos preparados'!Q469</f>
        <v/>
      </c>
      <c r="S476" s="7">
        <f>'1 datos preparados'!R469</f>
        <v/>
      </c>
      <c r="T476" s="7">
        <f>'1 datos preparados'!S469</f>
        <v/>
      </c>
      <c r="U476" s="7">
        <f>'1 datos preparados'!T469</f>
        <v/>
      </c>
      <c r="V476" s="8">
        <f>$AC$12+D476*$AC$13+E476*$AC$14+F476*$AC$15+G476*$AC$16+H476*$AC$17+I476*$AC$18+J476*$AC$19+K476*$AC$20+L476*$AC$21+M476*$AC$22+N476*$AC$23+O476*$AC$24+P476*$AC$25+Q476*$AC$26+R476*$AC$27+S476*$AC$28+T476*$AC$29+U476*$AC$30</f>
        <v/>
      </c>
      <c r="W476" s="8">
        <f>1/(1+EXP(-V476))</f>
        <v/>
      </c>
      <c r="X476" s="9">
        <f>-IF(C476=1,LN(W476),LN(1-W476))</f>
        <v/>
      </c>
      <c r="Y476" s="10">
        <f>IF(W476&gt;$AC$33,1,0)</f>
        <v/>
      </c>
      <c r="Z476">
        <f>IF(Y476=C476,1,0)</f>
        <v/>
      </c>
    </row>
    <row r="477">
      <c r="A477">
        <f>'1 datos preparados'!A470</f>
        <v/>
      </c>
      <c r="B477" s="5">
        <f>'1 datos preparados'!U470</f>
        <v/>
      </c>
      <c r="C477">
        <f>'1 datos preparados'!B470</f>
        <v/>
      </c>
      <c r="D477" s="7">
        <f>'1 datos preparados'!C470</f>
        <v/>
      </c>
      <c r="E477" s="7">
        <f>'1 datos preparados'!D470</f>
        <v/>
      </c>
      <c r="F477" s="7">
        <f>'1 datos preparados'!E470</f>
        <v/>
      </c>
      <c r="G477" s="7">
        <f>'1 datos preparados'!F470</f>
        <v/>
      </c>
      <c r="H477" s="7">
        <f>'1 datos preparados'!G470</f>
        <v/>
      </c>
      <c r="I477" s="7">
        <f>'1 datos preparados'!H470</f>
        <v/>
      </c>
      <c r="J477" s="7">
        <f>'1 datos preparados'!I470</f>
        <v/>
      </c>
      <c r="K477" s="7">
        <f>'1 datos preparados'!J470</f>
        <v/>
      </c>
      <c r="L477" s="7">
        <f>'1 datos preparados'!K470</f>
        <v/>
      </c>
      <c r="M477" s="7">
        <f>'1 datos preparados'!L470</f>
        <v/>
      </c>
      <c r="N477" s="7">
        <f>'1 datos preparados'!M470</f>
        <v/>
      </c>
      <c r="O477" s="7">
        <f>'1 datos preparados'!N470</f>
        <v/>
      </c>
      <c r="P477" s="7">
        <f>'1 datos preparados'!O470</f>
        <v/>
      </c>
      <c r="Q477" s="7">
        <f>'1 datos preparados'!P470</f>
        <v/>
      </c>
      <c r="R477" s="7">
        <f>'1 datos preparados'!Q470</f>
        <v/>
      </c>
      <c r="S477" s="7">
        <f>'1 datos preparados'!R470</f>
        <v/>
      </c>
      <c r="T477" s="7">
        <f>'1 datos preparados'!S470</f>
        <v/>
      </c>
      <c r="U477" s="7">
        <f>'1 datos preparados'!T470</f>
        <v/>
      </c>
      <c r="V477" s="8">
        <f>$AC$12+D477*$AC$13+E477*$AC$14+F477*$AC$15+G477*$AC$16+H477*$AC$17+I477*$AC$18+J477*$AC$19+K477*$AC$20+L477*$AC$21+M477*$AC$22+N477*$AC$23+O477*$AC$24+P477*$AC$25+Q477*$AC$26+R477*$AC$27+S477*$AC$28+T477*$AC$29+U477*$AC$30</f>
        <v/>
      </c>
      <c r="W477" s="8">
        <f>1/(1+EXP(-V477))</f>
        <v/>
      </c>
      <c r="X477" s="9">
        <f>-IF(C477=1,LN(W477),LN(1-W477))</f>
        <v/>
      </c>
      <c r="Y477" s="10">
        <f>IF(W477&gt;$AC$33,1,0)</f>
        <v/>
      </c>
      <c r="Z477">
        <f>IF(Y477=C477,1,0)</f>
        <v/>
      </c>
    </row>
    <row r="478">
      <c r="A478">
        <f>'1 datos preparados'!A471</f>
        <v/>
      </c>
      <c r="B478" s="5">
        <f>'1 datos preparados'!U471</f>
        <v/>
      </c>
      <c r="C478">
        <f>'1 datos preparados'!B471</f>
        <v/>
      </c>
      <c r="D478" s="7">
        <f>'1 datos preparados'!C471</f>
        <v/>
      </c>
      <c r="E478" s="7">
        <f>'1 datos preparados'!D471</f>
        <v/>
      </c>
      <c r="F478" s="7">
        <f>'1 datos preparados'!E471</f>
        <v/>
      </c>
      <c r="G478" s="7">
        <f>'1 datos preparados'!F471</f>
        <v/>
      </c>
      <c r="H478" s="7">
        <f>'1 datos preparados'!G471</f>
        <v/>
      </c>
      <c r="I478" s="7">
        <f>'1 datos preparados'!H471</f>
        <v/>
      </c>
      <c r="J478" s="7">
        <f>'1 datos preparados'!I471</f>
        <v/>
      </c>
      <c r="K478" s="7">
        <f>'1 datos preparados'!J471</f>
        <v/>
      </c>
      <c r="L478" s="7">
        <f>'1 datos preparados'!K471</f>
        <v/>
      </c>
      <c r="M478" s="7">
        <f>'1 datos preparados'!L471</f>
        <v/>
      </c>
      <c r="N478" s="7">
        <f>'1 datos preparados'!M471</f>
        <v/>
      </c>
      <c r="O478" s="7">
        <f>'1 datos preparados'!N471</f>
        <v/>
      </c>
      <c r="P478" s="7">
        <f>'1 datos preparados'!O471</f>
        <v/>
      </c>
      <c r="Q478" s="7">
        <f>'1 datos preparados'!P471</f>
        <v/>
      </c>
      <c r="R478" s="7">
        <f>'1 datos preparados'!Q471</f>
        <v/>
      </c>
      <c r="S478" s="7">
        <f>'1 datos preparados'!R471</f>
        <v/>
      </c>
      <c r="T478" s="7">
        <f>'1 datos preparados'!S471</f>
        <v/>
      </c>
      <c r="U478" s="7">
        <f>'1 datos preparados'!T471</f>
        <v/>
      </c>
      <c r="V478" s="8">
        <f>$AC$12+D478*$AC$13+E478*$AC$14+F478*$AC$15+G478*$AC$16+H478*$AC$17+I478*$AC$18+J478*$AC$19+K478*$AC$20+L478*$AC$21+M478*$AC$22+N478*$AC$23+O478*$AC$24+P478*$AC$25+Q478*$AC$26+R478*$AC$27+S478*$AC$28+T478*$AC$29+U478*$AC$30</f>
        <v/>
      </c>
      <c r="W478" s="8">
        <f>1/(1+EXP(-V478))</f>
        <v/>
      </c>
      <c r="X478" s="9">
        <f>-IF(C478=1,LN(W478),LN(1-W478))</f>
        <v/>
      </c>
      <c r="Y478" s="10">
        <f>IF(W478&gt;$AC$33,1,0)</f>
        <v/>
      </c>
      <c r="Z478">
        <f>IF(Y478=C478,1,0)</f>
        <v/>
      </c>
    </row>
    <row r="479">
      <c r="A479">
        <f>'1 datos preparados'!A472</f>
        <v/>
      </c>
      <c r="B479" s="5">
        <f>'1 datos preparados'!U472</f>
        <v/>
      </c>
      <c r="C479">
        <f>'1 datos preparados'!B472</f>
        <v/>
      </c>
      <c r="D479" s="7">
        <f>'1 datos preparados'!C472</f>
        <v/>
      </c>
      <c r="E479" s="7">
        <f>'1 datos preparados'!D472</f>
        <v/>
      </c>
      <c r="F479" s="7">
        <f>'1 datos preparados'!E472</f>
        <v/>
      </c>
      <c r="G479" s="7">
        <f>'1 datos preparados'!F472</f>
        <v/>
      </c>
      <c r="H479" s="7">
        <f>'1 datos preparados'!G472</f>
        <v/>
      </c>
      <c r="I479" s="7">
        <f>'1 datos preparados'!H472</f>
        <v/>
      </c>
      <c r="J479" s="7">
        <f>'1 datos preparados'!I472</f>
        <v/>
      </c>
      <c r="K479" s="7">
        <f>'1 datos preparados'!J472</f>
        <v/>
      </c>
      <c r="L479" s="7">
        <f>'1 datos preparados'!K472</f>
        <v/>
      </c>
      <c r="M479" s="7">
        <f>'1 datos preparados'!L472</f>
        <v/>
      </c>
      <c r="N479" s="7">
        <f>'1 datos preparados'!M472</f>
        <v/>
      </c>
      <c r="O479" s="7">
        <f>'1 datos preparados'!N472</f>
        <v/>
      </c>
      <c r="P479" s="7">
        <f>'1 datos preparados'!O472</f>
        <v/>
      </c>
      <c r="Q479" s="7">
        <f>'1 datos preparados'!P472</f>
        <v/>
      </c>
      <c r="R479" s="7">
        <f>'1 datos preparados'!Q472</f>
        <v/>
      </c>
      <c r="S479" s="7">
        <f>'1 datos preparados'!R472</f>
        <v/>
      </c>
      <c r="T479" s="7">
        <f>'1 datos preparados'!S472</f>
        <v/>
      </c>
      <c r="U479" s="7">
        <f>'1 datos preparados'!T472</f>
        <v/>
      </c>
      <c r="V479" s="8">
        <f>$AC$12+D479*$AC$13+E479*$AC$14+F479*$AC$15+G479*$AC$16+H479*$AC$17+I479*$AC$18+J479*$AC$19+K479*$AC$20+L479*$AC$21+M479*$AC$22+N479*$AC$23+O479*$AC$24+P479*$AC$25+Q479*$AC$26+R479*$AC$27+S479*$AC$28+T479*$AC$29+U479*$AC$30</f>
        <v/>
      </c>
      <c r="W479" s="8">
        <f>1/(1+EXP(-V479))</f>
        <v/>
      </c>
      <c r="X479" s="9">
        <f>-IF(C479=1,LN(W479),LN(1-W479))</f>
        <v/>
      </c>
      <c r="Y479" s="10">
        <f>IF(W479&gt;$AC$33,1,0)</f>
        <v/>
      </c>
      <c r="Z479">
        <f>IF(Y479=C479,1,0)</f>
        <v/>
      </c>
    </row>
    <row r="480">
      <c r="A480">
        <f>'1 datos preparados'!A473</f>
        <v/>
      </c>
      <c r="B480" s="5">
        <f>'1 datos preparados'!U473</f>
        <v/>
      </c>
      <c r="C480">
        <f>'1 datos preparados'!B473</f>
        <v/>
      </c>
      <c r="D480" s="7">
        <f>'1 datos preparados'!C473</f>
        <v/>
      </c>
      <c r="E480" s="7">
        <f>'1 datos preparados'!D473</f>
        <v/>
      </c>
      <c r="F480" s="7">
        <f>'1 datos preparados'!E473</f>
        <v/>
      </c>
      <c r="G480" s="7">
        <f>'1 datos preparados'!F473</f>
        <v/>
      </c>
      <c r="H480" s="7">
        <f>'1 datos preparados'!G473</f>
        <v/>
      </c>
      <c r="I480" s="7">
        <f>'1 datos preparados'!H473</f>
        <v/>
      </c>
      <c r="J480" s="7">
        <f>'1 datos preparados'!I473</f>
        <v/>
      </c>
      <c r="K480" s="7">
        <f>'1 datos preparados'!J473</f>
        <v/>
      </c>
      <c r="L480" s="7">
        <f>'1 datos preparados'!K473</f>
        <v/>
      </c>
      <c r="M480" s="7">
        <f>'1 datos preparados'!L473</f>
        <v/>
      </c>
      <c r="N480" s="7">
        <f>'1 datos preparados'!M473</f>
        <v/>
      </c>
      <c r="O480" s="7">
        <f>'1 datos preparados'!N473</f>
        <v/>
      </c>
      <c r="P480" s="7">
        <f>'1 datos preparados'!O473</f>
        <v/>
      </c>
      <c r="Q480" s="7">
        <f>'1 datos preparados'!P473</f>
        <v/>
      </c>
      <c r="R480" s="7">
        <f>'1 datos preparados'!Q473</f>
        <v/>
      </c>
      <c r="S480" s="7">
        <f>'1 datos preparados'!R473</f>
        <v/>
      </c>
      <c r="T480" s="7">
        <f>'1 datos preparados'!S473</f>
        <v/>
      </c>
      <c r="U480" s="7">
        <f>'1 datos preparados'!T473</f>
        <v/>
      </c>
      <c r="V480" s="8">
        <f>$AC$12+D480*$AC$13+E480*$AC$14+F480*$AC$15+G480*$AC$16+H480*$AC$17+I480*$AC$18+J480*$AC$19+K480*$AC$20+L480*$AC$21+M480*$AC$22+N480*$AC$23+O480*$AC$24+P480*$AC$25+Q480*$AC$26+R480*$AC$27+S480*$AC$28+T480*$AC$29+U480*$AC$30</f>
        <v/>
      </c>
      <c r="W480" s="8">
        <f>1/(1+EXP(-V480))</f>
        <v/>
      </c>
      <c r="X480" s="9">
        <f>-IF(C480=1,LN(W480),LN(1-W480))</f>
        <v/>
      </c>
      <c r="Y480" s="10">
        <f>IF(W480&gt;$AC$33,1,0)</f>
        <v/>
      </c>
      <c r="Z480">
        <f>IF(Y480=C480,1,0)</f>
        <v/>
      </c>
    </row>
    <row r="481">
      <c r="A481">
        <f>'1 datos preparados'!A474</f>
        <v/>
      </c>
      <c r="B481" s="5">
        <f>'1 datos preparados'!U474</f>
        <v/>
      </c>
      <c r="C481">
        <f>'1 datos preparados'!B474</f>
        <v/>
      </c>
      <c r="D481" s="7">
        <f>'1 datos preparados'!C474</f>
        <v/>
      </c>
      <c r="E481" s="7">
        <f>'1 datos preparados'!D474</f>
        <v/>
      </c>
      <c r="F481" s="7">
        <f>'1 datos preparados'!E474</f>
        <v/>
      </c>
      <c r="G481" s="7">
        <f>'1 datos preparados'!F474</f>
        <v/>
      </c>
      <c r="H481" s="7">
        <f>'1 datos preparados'!G474</f>
        <v/>
      </c>
      <c r="I481" s="7">
        <f>'1 datos preparados'!H474</f>
        <v/>
      </c>
      <c r="J481" s="7">
        <f>'1 datos preparados'!I474</f>
        <v/>
      </c>
      <c r="K481" s="7">
        <f>'1 datos preparados'!J474</f>
        <v/>
      </c>
      <c r="L481" s="7">
        <f>'1 datos preparados'!K474</f>
        <v/>
      </c>
      <c r="M481" s="7">
        <f>'1 datos preparados'!L474</f>
        <v/>
      </c>
      <c r="N481" s="7">
        <f>'1 datos preparados'!M474</f>
        <v/>
      </c>
      <c r="O481" s="7">
        <f>'1 datos preparados'!N474</f>
        <v/>
      </c>
      <c r="P481" s="7">
        <f>'1 datos preparados'!O474</f>
        <v/>
      </c>
      <c r="Q481" s="7">
        <f>'1 datos preparados'!P474</f>
        <v/>
      </c>
      <c r="R481" s="7">
        <f>'1 datos preparados'!Q474</f>
        <v/>
      </c>
      <c r="S481" s="7">
        <f>'1 datos preparados'!R474</f>
        <v/>
      </c>
      <c r="T481" s="7">
        <f>'1 datos preparados'!S474</f>
        <v/>
      </c>
      <c r="U481" s="7">
        <f>'1 datos preparados'!T474</f>
        <v/>
      </c>
      <c r="V481" s="8">
        <f>$AC$12+D481*$AC$13+E481*$AC$14+F481*$AC$15+G481*$AC$16+H481*$AC$17+I481*$AC$18+J481*$AC$19+K481*$AC$20+L481*$AC$21+M481*$AC$22+N481*$AC$23+O481*$AC$24+P481*$AC$25+Q481*$AC$26+R481*$AC$27+S481*$AC$28+T481*$AC$29+U481*$AC$30</f>
        <v/>
      </c>
      <c r="W481" s="8">
        <f>1/(1+EXP(-V481))</f>
        <v/>
      </c>
      <c r="X481" s="9">
        <f>-IF(C481=1,LN(W481),LN(1-W481))</f>
        <v/>
      </c>
      <c r="Y481" s="10">
        <f>IF(W481&gt;$AC$33,1,0)</f>
        <v/>
      </c>
      <c r="Z481">
        <f>IF(Y481=C481,1,0)</f>
        <v/>
      </c>
    </row>
    <row r="482">
      <c r="A482">
        <f>'1 datos preparados'!A475</f>
        <v/>
      </c>
      <c r="B482" s="5">
        <f>'1 datos preparados'!U475</f>
        <v/>
      </c>
      <c r="C482">
        <f>'1 datos preparados'!B475</f>
        <v/>
      </c>
      <c r="D482" s="7">
        <f>'1 datos preparados'!C475</f>
        <v/>
      </c>
      <c r="E482" s="7">
        <f>'1 datos preparados'!D475</f>
        <v/>
      </c>
      <c r="F482" s="7">
        <f>'1 datos preparados'!E475</f>
        <v/>
      </c>
      <c r="G482" s="7">
        <f>'1 datos preparados'!F475</f>
        <v/>
      </c>
      <c r="H482" s="7">
        <f>'1 datos preparados'!G475</f>
        <v/>
      </c>
      <c r="I482" s="7">
        <f>'1 datos preparados'!H475</f>
        <v/>
      </c>
      <c r="J482" s="7">
        <f>'1 datos preparados'!I475</f>
        <v/>
      </c>
      <c r="K482" s="7">
        <f>'1 datos preparados'!J475</f>
        <v/>
      </c>
      <c r="L482" s="7">
        <f>'1 datos preparados'!K475</f>
        <v/>
      </c>
      <c r="M482" s="7">
        <f>'1 datos preparados'!L475</f>
        <v/>
      </c>
      <c r="N482" s="7">
        <f>'1 datos preparados'!M475</f>
        <v/>
      </c>
      <c r="O482" s="7">
        <f>'1 datos preparados'!N475</f>
        <v/>
      </c>
      <c r="P482" s="7">
        <f>'1 datos preparados'!O475</f>
        <v/>
      </c>
      <c r="Q482" s="7">
        <f>'1 datos preparados'!P475</f>
        <v/>
      </c>
      <c r="R482" s="7">
        <f>'1 datos preparados'!Q475</f>
        <v/>
      </c>
      <c r="S482" s="7">
        <f>'1 datos preparados'!R475</f>
        <v/>
      </c>
      <c r="T482" s="7">
        <f>'1 datos preparados'!S475</f>
        <v/>
      </c>
      <c r="U482" s="7">
        <f>'1 datos preparados'!T475</f>
        <v/>
      </c>
      <c r="V482" s="8">
        <f>$AC$12+D482*$AC$13+E482*$AC$14+F482*$AC$15+G482*$AC$16+H482*$AC$17+I482*$AC$18+J482*$AC$19+K482*$AC$20+L482*$AC$21+M482*$AC$22+N482*$AC$23+O482*$AC$24+P482*$AC$25+Q482*$AC$26+R482*$AC$27+S482*$AC$28+T482*$AC$29+U482*$AC$30</f>
        <v/>
      </c>
      <c r="W482" s="8">
        <f>1/(1+EXP(-V482))</f>
        <v/>
      </c>
      <c r="X482" s="9">
        <f>-IF(C482=1,LN(W482),LN(1-W482))</f>
        <v/>
      </c>
      <c r="Y482" s="10">
        <f>IF(W482&gt;$AC$33,1,0)</f>
        <v/>
      </c>
      <c r="Z482">
        <f>IF(Y482=C482,1,0)</f>
        <v/>
      </c>
    </row>
    <row r="483">
      <c r="A483">
        <f>'1 datos preparados'!A476</f>
        <v/>
      </c>
      <c r="B483" s="5">
        <f>'1 datos preparados'!U476</f>
        <v/>
      </c>
      <c r="C483">
        <f>'1 datos preparados'!B476</f>
        <v/>
      </c>
      <c r="D483" s="7">
        <f>'1 datos preparados'!C476</f>
        <v/>
      </c>
      <c r="E483" s="7">
        <f>'1 datos preparados'!D476</f>
        <v/>
      </c>
      <c r="F483" s="7">
        <f>'1 datos preparados'!E476</f>
        <v/>
      </c>
      <c r="G483" s="7">
        <f>'1 datos preparados'!F476</f>
        <v/>
      </c>
      <c r="H483" s="7">
        <f>'1 datos preparados'!G476</f>
        <v/>
      </c>
      <c r="I483" s="7">
        <f>'1 datos preparados'!H476</f>
        <v/>
      </c>
      <c r="J483" s="7">
        <f>'1 datos preparados'!I476</f>
        <v/>
      </c>
      <c r="K483" s="7">
        <f>'1 datos preparados'!J476</f>
        <v/>
      </c>
      <c r="L483" s="7">
        <f>'1 datos preparados'!K476</f>
        <v/>
      </c>
      <c r="M483" s="7">
        <f>'1 datos preparados'!L476</f>
        <v/>
      </c>
      <c r="N483" s="7">
        <f>'1 datos preparados'!M476</f>
        <v/>
      </c>
      <c r="O483" s="7">
        <f>'1 datos preparados'!N476</f>
        <v/>
      </c>
      <c r="P483" s="7">
        <f>'1 datos preparados'!O476</f>
        <v/>
      </c>
      <c r="Q483" s="7">
        <f>'1 datos preparados'!P476</f>
        <v/>
      </c>
      <c r="R483" s="7">
        <f>'1 datos preparados'!Q476</f>
        <v/>
      </c>
      <c r="S483" s="7">
        <f>'1 datos preparados'!R476</f>
        <v/>
      </c>
      <c r="T483" s="7">
        <f>'1 datos preparados'!S476</f>
        <v/>
      </c>
      <c r="U483" s="7">
        <f>'1 datos preparados'!T476</f>
        <v/>
      </c>
      <c r="V483" s="8">
        <f>$AC$12+D483*$AC$13+E483*$AC$14+F483*$AC$15+G483*$AC$16+H483*$AC$17+I483*$AC$18+J483*$AC$19+K483*$AC$20+L483*$AC$21+M483*$AC$22+N483*$AC$23+O483*$AC$24+P483*$AC$25+Q483*$AC$26+R483*$AC$27+S483*$AC$28+T483*$AC$29+U483*$AC$30</f>
        <v/>
      </c>
      <c r="W483" s="8">
        <f>1/(1+EXP(-V483))</f>
        <v/>
      </c>
      <c r="X483" s="9">
        <f>-IF(C483=1,LN(W483),LN(1-W483))</f>
        <v/>
      </c>
      <c r="Y483" s="10">
        <f>IF(W483&gt;$AC$33,1,0)</f>
        <v/>
      </c>
      <c r="Z483">
        <f>IF(Y483=C483,1,0)</f>
        <v/>
      </c>
    </row>
    <row r="484">
      <c r="A484">
        <f>'1 datos preparados'!A477</f>
        <v/>
      </c>
      <c r="B484" s="5">
        <f>'1 datos preparados'!U477</f>
        <v/>
      </c>
      <c r="C484">
        <f>'1 datos preparados'!B477</f>
        <v/>
      </c>
      <c r="D484" s="7">
        <f>'1 datos preparados'!C477</f>
        <v/>
      </c>
      <c r="E484" s="7">
        <f>'1 datos preparados'!D477</f>
        <v/>
      </c>
      <c r="F484" s="7">
        <f>'1 datos preparados'!E477</f>
        <v/>
      </c>
      <c r="G484" s="7">
        <f>'1 datos preparados'!F477</f>
        <v/>
      </c>
      <c r="H484" s="7">
        <f>'1 datos preparados'!G477</f>
        <v/>
      </c>
      <c r="I484" s="7">
        <f>'1 datos preparados'!H477</f>
        <v/>
      </c>
      <c r="J484" s="7">
        <f>'1 datos preparados'!I477</f>
        <v/>
      </c>
      <c r="K484" s="7">
        <f>'1 datos preparados'!J477</f>
        <v/>
      </c>
      <c r="L484" s="7">
        <f>'1 datos preparados'!K477</f>
        <v/>
      </c>
      <c r="M484" s="7">
        <f>'1 datos preparados'!L477</f>
        <v/>
      </c>
      <c r="N484" s="7">
        <f>'1 datos preparados'!M477</f>
        <v/>
      </c>
      <c r="O484" s="7">
        <f>'1 datos preparados'!N477</f>
        <v/>
      </c>
      <c r="P484" s="7">
        <f>'1 datos preparados'!O477</f>
        <v/>
      </c>
      <c r="Q484" s="7">
        <f>'1 datos preparados'!P477</f>
        <v/>
      </c>
      <c r="R484" s="7">
        <f>'1 datos preparados'!Q477</f>
        <v/>
      </c>
      <c r="S484" s="7">
        <f>'1 datos preparados'!R477</f>
        <v/>
      </c>
      <c r="T484" s="7">
        <f>'1 datos preparados'!S477</f>
        <v/>
      </c>
      <c r="U484" s="7">
        <f>'1 datos preparados'!T477</f>
        <v/>
      </c>
      <c r="V484" s="8">
        <f>$AC$12+D484*$AC$13+E484*$AC$14+F484*$AC$15+G484*$AC$16+H484*$AC$17+I484*$AC$18+J484*$AC$19+K484*$AC$20+L484*$AC$21+M484*$AC$22+N484*$AC$23+O484*$AC$24+P484*$AC$25+Q484*$AC$26+R484*$AC$27+S484*$AC$28+T484*$AC$29+U484*$AC$30</f>
        <v/>
      </c>
      <c r="W484" s="8">
        <f>1/(1+EXP(-V484))</f>
        <v/>
      </c>
      <c r="X484" s="9">
        <f>-IF(C484=1,LN(W484),LN(1-W484))</f>
        <v/>
      </c>
      <c r="Y484" s="10">
        <f>IF(W484&gt;$AC$33,1,0)</f>
        <v/>
      </c>
      <c r="Z484">
        <f>IF(Y484=C484,1,0)</f>
        <v/>
      </c>
    </row>
    <row r="485">
      <c r="A485">
        <f>'1 datos preparados'!A478</f>
        <v/>
      </c>
      <c r="B485" s="5">
        <f>'1 datos preparados'!U478</f>
        <v/>
      </c>
      <c r="C485">
        <f>'1 datos preparados'!B478</f>
        <v/>
      </c>
      <c r="D485" s="7">
        <f>'1 datos preparados'!C478</f>
        <v/>
      </c>
      <c r="E485" s="7">
        <f>'1 datos preparados'!D478</f>
        <v/>
      </c>
      <c r="F485" s="7">
        <f>'1 datos preparados'!E478</f>
        <v/>
      </c>
      <c r="G485" s="7">
        <f>'1 datos preparados'!F478</f>
        <v/>
      </c>
      <c r="H485" s="7">
        <f>'1 datos preparados'!G478</f>
        <v/>
      </c>
      <c r="I485" s="7">
        <f>'1 datos preparados'!H478</f>
        <v/>
      </c>
      <c r="J485" s="7">
        <f>'1 datos preparados'!I478</f>
        <v/>
      </c>
      <c r="K485" s="7">
        <f>'1 datos preparados'!J478</f>
        <v/>
      </c>
      <c r="L485" s="7">
        <f>'1 datos preparados'!K478</f>
        <v/>
      </c>
      <c r="M485" s="7">
        <f>'1 datos preparados'!L478</f>
        <v/>
      </c>
      <c r="N485" s="7">
        <f>'1 datos preparados'!M478</f>
        <v/>
      </c>
      <c r="O485" s="7">
        <f>'1 datos preparados'!N478</f>
        <v/>
      </c>
      <c r="P485" s="7">
        <f>'1 datos preparados'!O478</f>
        <v/>
      </c>
      <c r="Q485" s="7">
        <f>'1 datos preparados'!P478</f>
        <v/>
      </c>
      <c r="R485" s="7">
        <f>'1 datos preparados'!Q478</f>
        <v/>
      </c>
      <c r="S485" s="7">
        <f>'1 datos preparados'!R478</f>
        <v/>
      </c>
      <c r="T485" s="7">
        <f>'1 datos preparados'!S478</f>
        <v/>
      </c>
      <c r="U485" s="7">
        <f>'1 datos preparados'!T478</f>
        <v/>
      </c>
      <c r="V485" s="8">
        <f>$AC$12+D485*$AC$13+E485*$AC$14+F485*$AC$15+G485*$AC$16+H485*$AC$17+I485*$AC$18+J485*$AC$19+K485*$AC$20+L485*$AC$21+M485*$AC$22+N485*$AC$23+O485*$AC$24+P485*$AC$25+Q485*$AC$26+R485*$AC$27+S485*$AC$28+T485*$AC$29+U485*$AC$30</f>
        <v/>
      </c>
      <c r="W485" s="8">
        <f>1/(1+EXP(-V485))</f>
        <v/>
      </c>
      <c r="X485" s="9">
        <f>-IF(C485=1,LN(W485),LN(1-W485))</f>
        <v/>
      </c>
      <c r="Y485" s="10">
        <f>IF(W485&gt;$AC$33,1,0)</f>
        <v/>
      </c>
      <c r="Z485">
        <f>IF(Y485=C485,1,0)</f>
        <v/>
      </c>
    </row>
    <row r="486">
      <c r="A486">
        <f>'1 datos preparados'!A479</f>
        <v/>
      </c>
      <c r="B486" s="5">
        <f>'1 datos preparados'!U479</f>
        <v/>
      </c>
      <c r="C486">
        <f>'1 datos preparados'!B479</f>
        <v/>
      </c>
      <c r="D486" s="7">
        <f>'1 datos preparados'!C479</f>
        <v/>
      </c>
      <c r="E486" s="7">
        <f>'1 datos preparados'!D479</f>
        <v/>
      </c>
      <c r="F486" s="7">
        <f>'1 datos preparados'!E479</f>
        <v/>
      </c>
      <c r="G486" s="7">
        <f>'1 datos preparados'!F479</f>
        <v/>
      </c>
      <c r="H486" s="7">
        <f>'1 datos preparados'!G479</f>
        <v/>
      </c>
      <c r="I486" s="7">
        <f>'1 datos preparados'!H479</f>
        <v/>
      </c>
      <c r="J486" s="7">
        <f>'1 datos preparados'!I479</f>
        <v/>
      </c>
      <c r="K486" s="7">
        <f>'1 datos preparados'!J479</f>
        <v/>
      </c>
      <c r="L486" s="7">
        <f>'1 datos preparados'!K479</f>
        <v/>
      </c>
      <c r="M486" s="7">
        <f>'1 datos preparados'!L479</f>
        <v/>
      </c>
      <c r="N486" s="7">
        <f>'1 datos preparados'!M479</f>
        <v/>
      </c>
      <c r="O486" s="7">
        <f>'1 datos preparados'!N479</f>
        <v/>
      </c>
      <c r="P486" s="7">
        <f>'1 datos preparados'!O479</f>
        <v/>
      </c>
      <c r="Q486" s="7">
        <f>'1 datos preparados'!P479</f>
        <v/>
      </c>
      <c r="R486" s="7">
        <f>'1 datos preparados'!Q479</f>
        <v/>
      </c>
      <c r="S486" s="7">
        <f>'1 datos preparados'!R479</f>
        <v/>
      </c>
      <c r="T486" s="7">
        <f>'1 datos preparados'!S479</f>
        <v/>
      </c>
      <c r="U486" s="7">
        <f>'1 datos preparados'!T479</f>
        <v/>
      </c>
      <c r="V486" s="8">
        <f>$AC$12+D486*$AC$13+E486*$AC$14+F486*$AC$15+G486*$AC$16+H486*$AC$17+I486*$AC$18+J486*$AC$19+K486*$AC$20+L486*$AC$21+M486*$AC$22+N486*$AC$23+O486*$AC$24+P486*$AC$25+Q486*$AC$26+R486*$AC$27+S486*$AC$28+T486*$AC$29+U486*$AC$30</f>
        <v/>
      </c>
      <c r="W486" s="8">
        <f>1/(1+EXP(-V486))</f>
        <v/>
      </c>
      <c r="X486" s="9">
        <f>-IF(C486=1,LN(W486),LN(1-W486))</f>
        <v/>
      </c>
      <c r="Y486" s="10">
        <f>IF(W486&gt;$AC$33,1,0)</f>
        <v/>
      </c>
      <c r="Z486">
        <f>IF(Y486=C486,1,0)</f>
        <v/>
      </c>
    </row>
    <row r="487">
      <c r="A487">
        <f>'1 datos preparados'!A480</f>
        <v/>
      </c>
      <c r="B487" s="5">
        <f>'1 datos preparados'!U480</f>
        <v/>
      </c>
      <c r="C487">
        <f>'1 datos preparados'!B480</f>
        <v/>
      </c>
      <c r="D487" s="7">
        <f>'1 datos preparados'!C480</f>
        <v/>
      </c>
      <c r="E487" s="7">
        <f>'1 datos preparados'!D480</f>
        <v/>
      </c>
      <c r="F487" s="7">
        <f>'1 datos preparados'!E480</f>
        <v/>
      </c>
      <c r="G487" s="7">
        <f>'1 datos preparados'!F480</f>
        <v/>
      </c>
      <c r="H487" s="7">
        <f>'1 datos preparados'!G480</f>
        <v/>
      </c>
      <c r="I487" s="7">
        <f>'1 datos preparados'!H480</f>
        <v/>
      </c>
      <c r="J487" s="7">
        <f>'1 datos preparados'!I480</f>
        <v/>
      </c>
      <c r="K487" s="7">
        <f>'1 datos preparados'!J480</f>
        <v/>
      </c>
      <c r="L487" s="7">
        <f>'1 datos preparados'!K480</f>
        <v/>
      </c>
      <c r="M487" s="7">
        <f>'1 datos preparados'!L480</f>
        <v/>
      </c>
      <c r="N487" s="7">
        <f>'1 datos preparados'!M480</f>
        <v/>
      </c>
      <c r="O487" s="7">
        <f>'1 datos preparados'!N480</f>
        <v/>
      </c>
      <c r="P487" s="7">
        <f>'1 datos preparados'!O480</f>
        <v/>
      </c>
      <c r="Q487" s="7">
        <f>'1 datos preparados'!P480</f>
        <v/>
      </c>
      <c r="R487" s="7">
        <f>'1 datos preparados'!Q480</f>
        <v/>
      </c>
      <c r="S487" s="7">
        <f>'1 datos preparados'!R480</f>
        <v/>
      </c>
      <c r="T487" s="7">
        <f>'1 datos preparados'!S480</f>
        <v/>
      </c>
      <c r="U487" s="7">
        <f>'1 datos preparados'!T480</f>
        <v/>
      </c>
      <c r="V487" s="8">
        <f>$AC$12+D487*$AC$13+E487*$AC$14+F487*$AC$15+G487*$AC$16+H487*$AC$17+I487*$AC$18+J487*$AC$19+K487*$AC$20+L487*$AC$21+M487*$AC$22+N487*$AC$23+O487*$AC$24+P487*$AC$25+Q487*$AC$26+R487*$AC$27+S487*$AC$28+T487*$AC$29+U487*$AC$30</f>
        <v/>
      </c>
      <c r="W487" s="8">
        <f>1/(1+EXP(-V487))</f>
        <v/>
      </c>
      <c r="X487" s="9">
        <f>-IF(C487=1,LN(W487),LN(1-W487))</f>
        <v/>
      </c>
      <c r="Y487" s="10">
        <f>IF(W487&gt;$AC$33,1,0)</f>
        <v/>
      </c>
      <c r="Z487">
        <f>IF(Y487=C487,1,0)</f>
        <v/>
      </c>
    </row>
    <row r="488">
      <c r="A488">
        <f>'1 datos preparados'!A481</f>
        <v/>
      </c>
      <c r="B488" s="5">
        <f>'1 datos preparados'!U481</f>
        <v/>
      </c>
      <c r="C488">
        <f>'1 datos preparados'!B481</f>
        <v/>
      </c>
      <c r="D488" s="7">
        <f>'1 datos preparados'!C481</f>
        <v/>
      </c>
      <c r="E488" s="7">
        <f>'1 datos preparados'!D481</f>
        <v/>
      </c>
      <c r="F488" s="7">
        <f>'1 datos preparados'!E481</f>
        <v/>
      </c>
      <c r="G488" s="7">
        <f>'1 datos preparados'!F481</f>
        <v/>
      </c>
      <c r="H488" s="7">
        <f>'1 datos preparados'!G481</f>
        <v/>
      </c>
      <c r="I488" s="7">
        <f>'1 datos preparados'!H481</f>
        <v/>
      </c>
      <c r="J488" s="7">
        <f>'1 datos preparados'!I481</f>
        <v/>
      </c>
      <c r="K488" s="7">
        <f>'1 datos preparados'!J481</f>
        <v/>
      </c>
      <c r="L488" s="7">
        <f>'1 datos preparados'!K481</f>
        <v/>
      </c>
      <c r="M488" s="7">
        <f>'1 datos preparados'!L481</f>
        <v/>
      </c>
      <c r="N488" s="7">
        <f>'1 datos preparados'!M481</f>
        <v/>
      </c>
      <c r="O488" s="7">
        <f>'1 datos preparados'!N481</f>
        <v/>
      </c>
      <c r="P488" s="7">
        <f>'1 datos preparados'!O481</f>
        <v/>
      </c>
      <c r="Q488" s="7">
        <f>'1 datos preparados'!P481</f>
        <v/>
      </c>
      <c r="R488" s="7">
        <f>'1 datos preparados'!Q481</f>
        <v/>
      </c>
      <c r="S488" s="7">
        <f>'1 datos preparados'!R481</f>
        <v/>
      </c>
      <c r="T488" s="7">
        <f>'1 datos preparados'!S481</f>
        <v/>
      </c>
      <c r="U488" s="7">
        <f>'1 datos preparados'!T481</f>
        <v/>
      </c>
      <c r="V488" s="8">
        <f>$AC$12+D488*$AC$13+E488*$AC$14+F488*$AC$15+G488*$AC$16+H488*$AC$17+I488*$AC$18+J488*$AC$19+K488*$AC$20+L488*$AC$21+M488*$AC$22+N488*$AC$23+O488*$AC$24+P488*$AC$25+Q488*$AC$26+R488*$AC$27+S488*$AC$28+T488*$AC$29+U488*$AC$30</f>
        <v/>
      </c>
      <c r="W488" s="8">
        <f>1/(1+EXP(-V488))</f>
        <v/>
      </c>
      <c r="X488" s="9">
        <f>-IF(C488=1,LN(W488),LN(1-W488))</f>
        <v/>
      </c>
      <c r="Y488" s="10">
        <f>IF(W488&gt;$AC$33,1,0)</f>
        <v/>
      </c>
      <c r="Z488">
        <f>IF(Y488=C488,1,0)</f>
        <v/>
      </c>
    </row>
    <row r="489">
      <c r="A489">
        <f>'1 datos preparados'!A482</f>
        <v/>
      </c>
      <c r="B489" s="5">
        <f>'1 datos preparados'!U482</f>
        <v/>
      </c>
      <c r="C489">
        <f>'1 datos preparados'!B482</f>
        <v/>
      </c>
      <c r="D489" s="7">
        <f>'1 datos preparados'!C482</f>
        <v/>
      </c>
      <c r="E489" s="7">
        <f>'1 datos preparados'!D482</f>
        <v/>
      </c>
      <c r="F489" s="7">
        <f>'1 datos preparados'!E482</f>
        <v/>
      </c>
      <c r="G489" s="7">
        <f>'1 datos preparados'!F482</f>
        <v/>
      </c>
      <c r="H489" s="7">
        <f>'1 datos preparados'!G482</f>
        <v/>
      </c>
      <c r="I489" s="7">
        <f>'1 datos preparados'!H482</f>
        <v/>
      </c>
      <c r="J489" s="7">
        <f>'1 datos preparados'!I482</f>
        <v/>
      </c>
      <c r="K489" s="7">
        <f>'1 datos preparados'!J482</f>
        <v/>
      </c>
      <c r="L489" s="7">
        <f>'1 datos preparados'!K482</f>
        <v/>
      </c>
      <c r="M489" s="7">
        <f>'1 datos preparados'!L482</f>
        <v/>
      </c>
      <c r="N489" s="7">
        <f>'1 datos preparados'!M482</f>
        <v/>
      </c>
      <c r="O489" s="7">
        <f>'1 datos preparados'!N482</f>
        <v/>
      </c>
      <c r="P489" s="7">
        <f>'1 datos preparados'!O482</f>
        <v/>
      </c>
      <c r="Q489" s="7">
        <f>'1 datos preparados'!P482</f>
        <v/>
      </c>
      <c r="R489" s="7">
        <f>'1 datos preparados'!Q482</f>
        <v/>
      </c>
      <c r="S489" s="7">
        <f>'1 datos preparados'!R482</f>
        <v/>
      </c>
      <c r="T489" s="7">
        <f>'1 datos preparados'!S482</f>
        <v/>
      </c>
      <c r="U489" s="7">
        <f>'1 datos preparados'!T482</f>
        <v/>
      </c>
      <c r="V489" s="8">
        <f>$AC$12+D489*$AC$13+E489*$AC$14+F489*$AC$15+G489*$AC$16+H489*$AC$17+I489*$AC$18+J489*$AC$19+K489*$AC$20+L489*$AC$21+M489*$AC$22+N489*$AC$23+O489*$AC$24+P489*$AC$25+Q489*$AC$26+R489*$AC$27+S489*$AC$28+T489*$AC$29+U489*$AC$30</f>
        <v/>
      </c>
      <c r="W489" s="8">
        <f>1/(1+EXP(-V489))</f>
        <v/>
      </c>
      <c r="X489" s="9">
        <f>-IF(C489=1,LN(W489),LN(1-W489))</f>
        <v/>
      </c>
      <c r="Y489" s="10">
        <f>IF(W489&gt;$AC$33,1,0)</f>
        <v/>
      </c>
      <c r="Z489">
        <f>IF(Y489=C489,1,0)</f>
        <v/>
      </c>
    </row>
    <row r="490">
      <c r="A490">
        <f>'1 datos preparados'!A483</f>
        <v/>
      </c>
      <c r="B490" s="5">
        <f>'1 datos preparados'!U483</f>
        <v/>
      </c>
      <c r="C490">
        <f>'1 datos preparados'!B483</f>
        <v/>
      </c>
      <c r="D490" s="7">
        <f>'1 datos preparados'!C483</f>
        <v/>
      </c>
      <c r="E490" s="7">
        <f>'1 datos preparados'!D483</f>
        <v/>
      </c>
      <c r="F490" s="7">
        <f>'1 datos preparados'!E483</f>
        <v/>
      </c>
      <c r="G490" s="7">
        <f>'1 datos preparados'!F483</f>
        <v/>
      </c>
      <c r="H490" s="7">
        <f>'1 datos preparados'!G483</f>
        <v/>
      </c>
      <c r="I490" s="7">
        <f>'1 datos preparados'!H483</f>
        <v/>
      </c>
      <c r="J490" s="7">
        <f>'1 datos preparados'!I483</f>
        <v/>
      </c>
      <c r="K490" s="7">
        <f>'1 datos preparados'!J483</f>
        <v/>
      </c>
      <c r="L490" s="7">
        <f>'1 datos preparados'!K483</f>
        <v/>
      </c>
      <c r="M490" s="7">
        <f>'1 datos preparados'!L483</f>
        <v/>
      </c>
      <c r="N490" s="7">
        <f>'1 datos preparados'!M483</f>
        <v/>
      </c>
      <c r="O490" s="7">
        <f>'1 datos preparados'!N483</f>
        <v/>
      </c>
      <c r="P490" s="7">
        <f>'1 datos preparados'!O483</f>
        <v/>
      </c>
      <c r="Q490" s="7">
        <f>'1 datos preparados'!P483</f>
        <v/>
      </c>
      <c r="R490" s="7">
        <f>'1 datos preparados'!Q483</f>
        <v/>
      </c>
      <c r="S490" s="7">
        <f>'1 datos preparados'!R483</f>
        <v/>
      </c>
      <c r="T490" s="7">
        <f>'1 datos preparados'!S483</f>
        <v/>
      </c>
      <c r="U490" s="7">
        <f>'1 datos preparados'!T483</f>
        <v/>
      </c>
      <c r="V490" s="8">
        <f>$AC$12+D490*$AC$13+E490*$AC$14+F490*$AC$15+G490*$AC$16+H490*$AC$17+I490*$AC$18+J490*$AC$19+K490*$AC$20+L490*$AC$21+M490*$AC$22+N490*$AC$23+O490*$AC$24+P490*$AC$25+Q490*$AC$26+R490*$AC$27+S490*$AC$28+T490*$AC$29+U490*$AC$30</f>
        <v/>
      </c>
      <c r="W490" s="8">
        <f>1/(1+EXP(-V490))</f>
        <v/>
      </c>
      <c r="X490" s="9">
        <f>-IF(C490=1,LN(W490),LN(1-W490))</f>
        <v/>
      </c>
      <c r="Y490" s="10">
        <f>IF(W490&gt;$AC$33,1,0)</f>
        <v/>
      </c>
      <c r="Z490">
        <f>IF(Y490=C490,1,0)</f>
        <v/>
      </c>
    </row>
    <row r="491">
      <c r="A491">
        <f>'1 datos preparados'!A484</f>
        <v/>
      </c>
      <c r="B491" s="5">
        <f>'1 datos preparados'!U484</f>
        <v/>
      </c>
      <c r="C491">
        <f>'1 datos preparados'!B484</f>
        <v/>
      </c>
      <c r="D491" s="7">
        <f>'1 datos preparados'!C484</f>
        <v/>
      </c>
      <c r="E491" s="7">
        <f>'1 datos preparados'!D484</f>
        <v/>
      </c>
      <c r="F491" s="7">
        <f>'1 datos preparados'!E484</f>
        <v/>
      </c>
      <c r="G491" s="7">
        <f>'1 datos preparados'!F484</f>
        <v/>
      </c>
      <c r="H491" s="7">
        <f>'1 datos preparados'!G484</f>
        <v/>
      </c>
      <c r="I491" s="7">
        <f>'1 datos preparados'!H484</f>
        <v/>
      </c>
      <c r="J491" s="7">
        <f>'1 datos preparados'!I484</f>
        <v/>
      </c>
      <c r="K491" s="7">
        <f>'1 datos preparados'!J484</f>
        <v/>
      </c>
      <c r="L491" s="7">
        <f>'1 datos preparados'!K484</f>
        <v/>
      </c>
      <c r="M491" s="7">
        <f>'1 datos preparados'!L484</f>
        <v/>
      </c>
      <c r="N491" s="7">
        <f>'1 datos preparados'!M484</f>
        <v/>
      </c>
      <c r="O491" s="7">
        <f>'1 datos preparados'!N484</f>
        <v/>
      </c>
      <c r="P491" s="7">
        <f>'1 datos preparados'!O484</f>
        <v/>
      </c>
      <c r="Q491" s="7">
        <f>'1 datos preparados'!P484</f>
        <v/>
      </c>
      <c r="R491" s="7">
        <f>'1 datos preparados'!Q484</f>
        <v/>
      </c>
      <c r="S491" s="7">
        <f>'1 datos preparados'!R484</f>
        <v/>
      </c>
      <c r="T491" s="7">
        <f>'1 datos preparados'!S484</f>
        <v/>
      </c>
      <c r="U491" s="7">
        <f>'1 datos preparados'!T484</f>
        <v/>
      </c>
      <c r="V491" s="8">
        <f>$AC$12+D491*$AC$13+E491*$AC$14+F491*$AC$15+G491*$AC$16+H491*$AC$17+I491*$AC$18+J491*$AC$19+K491*$AC$20+L491*$AC$21+M491*$AC$22+N491*$AC$23+O491*$AC$24+P491*$AC$25+Q491*$AC$26+R491*$AC$27+S491*$AC$28+T491*$AC$29+U491*$AC$30</f>
        <v/>
      </c>
      <c r="W491" s="8">
        <f>1/(1+EXP(-V491))</f>
        <v/>
      </c>
      <c r="X491" s="9">
        <f>-IF(C491=1,LN(W491),LN(1-W491))</f>
        <v/>
      </c>
      <c r="Y491" s="10">
        <f>IF(W491&gt;$AC$33,1,0)</f>
        <v/>
      </c>
      <c r="Z491">
        <f>IF(Y491=C491,1,0)</f>
        <v/>
      </c>
    </row>
    <row r="492">
      <c r="A492">
        <f>'1 datos preparados'!A485</f>
        <v/>
      </c>
      <c r="B492" s="5">
        <f>'1 datos preparados'!U485</f>
        <v/>
      </c>
      <c r="C492">
        <f>'1 datos preparados'!B485</f>
        <v/>
      </c>
      <c r="D492" s="7">
        <f>'1 datos preparados'!C485</f>
        <v/>
      </c>
      <c r="E492" s="7">
        <f>'1 datos preparados'!D485</f>
        <v/>
      </c>
      <c r="F492" s="7">
        <f>'1 datos preparados'!E485</f>
        <v/>
      </c>
      <c r="G492" s="7">
        <f>'1 datos preparados'!F485</f>
        <v/>
      </c>
      <c r="H492" s="7">
        <f>'1 datos preparados'!G485</f>
        <v/>
      </c>
      <c r="I492" s="7">
        <f>'1 datos preparados'!H485</f>
        <v/>
      </c>
      <c r="J492" s="7">
        <f>'1 datos preparados'!I485</f>
        <v/>
      </c>
      <c r="K492" s="7">
        <f>'1 datos preparados'!J485</f>
        <v/>
      </c>
      <c r="L492" s="7">
        <f>'1 datos preparados'!K485</f>
        <v/>
      </c>
      <c r="M492" s="7">
        <f>'1 datos preparados'!L485</f>
        <v/>
      </c>
      <c r="N492" s="7">
        <f>'1 datos preparados'!M485</f>
        <v/>
      </c>
      <c r="O492" s="7">
        <f>'1 datos preparados'!N485</f>
        <v/>
      </c>
      <c r="P492" s="7">
        <f>'1 datos preparados'!O485</f>
        <v/>
      </c>
      <c r="Q492" s="7">
        <f>'1 datos preparados'!P485</f>
        <v/>
      </c>
      <c r="R492" s="7">
        <f>'1 datos preparados'!Q485</f>
        <v/>
      </c>
      <c r="S492" s="7">
        <f>'1 datos preparados'!R485</f>
        <v/>
      </c>
      <c r="T492" s="7">
        <f>'1 datos preparados'!S485</f>
        <v/>
      </c>
      <c r="U492" s="7">
        <f>'1 datos preparados'!T485</f>
        <v/>
      </c>
      <c r="V492" s="8">
        <f>$AC$12+D492*$AC$13+E492*$AC$14+F492*$AC$15+G492*$AC$16+H492*$AC$17+I492*$AC$18+J492*$AC$19+K492*$AC$20+L492*$AC$21+M492*$AC$22+N492*$AC$23+O492*$AC$24+P492*$AC$25+Q492*$AC$26+R492*$AC$27+S492*$AC$28+T492*$AC$29+U492*$AC$30</f>
        <v/>
      </c>
      <c r="W492" s="8">
        <f>1/(1+EXP(-V492))</f>
        <v/>
      </c>
      <c r="X492" s="9">
        <f>-IF(C492=1,LN(W492),LN(1-W492))</f>
        <v/>
      </c>
      <c r="Y492" s="10">
        <f>IF(W492&gt;$AC$33,1,0)</f>
        <v/>
      </c>
      <c r="Z492">
        <f>IF(Y492=C492,1,0)</f>
        <v/>
      </c>
    </row>
    <row r="493">
      <c r="A493">
        <f>'1 datos preparados'!A486</f>
        <v/>
      </c>
      <c r="B493" s="5">
        <f>'1 datos preparados'!U486</f>
        <v/>
      </c>
      <c r="C493">
        <f>'1 datos preparados'!B486</f>
        <v/>
      </c>
      <c r="D493" s="7">
        <f>'1 datos preparados'!C486</f>
        <v/>
      </c>
      <c r="E493" s="7">
        <f>'1 datos preparados'!D486</f>
        <v/>
      </c>
      <c r="F493" s="7">
        <f>'1 datos preparados'!E486</f>
        <v/>
      </c>
      <c r="G493" s="7">
        <f>'1 datos preparados'!F486</f>
        <v/>
      </c>
      <c r="H493" s="7">
        <f>'1 datos preparados'!G486</f>
        <v/>
      </c>
      <c r="I493" s="7">
        <f>'1 datos preparados'!H486</f>
        <v/>
      </c>
      <c r="J493" s="7">
        <f>'1 datos preparados'!I486</f>
        <v/>
      </c>
      <c r="K493" s="7">
        <f>'1 datos preparados'!J486</f>
        <v/>
      </c>
      <c r="L493" s="7">
        <f>'1 datos preparados'!K486</f>
        <v/>
      </c>
      <c r="M493" s="7">
        <f>'1 datos preparados'!L486</f>
        <v/>
      </c>
      <c r="N493" s="7">
        <f>'1 datos preparados'!M486</f>
        <v/>
      </c>
      <c r="O493" s="7">
        <f>'1 datos preparados'!N486</f>
        <v/>
      </c>
      <c r="P493" s="7">
        <f>'1 datos preparados'!O486</f>
        <v/>
      </c>
      <c r="Q493" s="7">
        <f>'1 datos preparados'!P486</f>
        <v/>
      </c>
      <c r="R493" s="7">
        <f>'1 datos preparados'!Q486</f>
        <v/>
      </c>
      <c r="S493" s="7">
        <f>'1 datos preparados'!R486</f>
        <v/>
      </c>
      <c r="T493" s="7">
        <f>'1 datos preparados'!S486</f>
        <v/>
      </c>
      <c r="U493" s="7">
        <f>'1 datos preparados'!T486</f>
        <v/>
      </c>
      <c r="V493" s="8">
        <f>$AC$12+D493*$AC$13+E493*$AC$14+F493*$AC$15+G493*$AC$16+H493*$AC$17+I493*$AC$18+J493*$AC$19+K493*$AC$20+L493*$AC$21+M493*$AC$22+N493*$AC$23+O493*$AC$24+P493*$AC$25+Q493*$AC$26+R493*$AC$27+S493*$AC$28+T493*$AC$29+U493*$AC$30</f>
        <v/>
      </c>
      <c r="W493" s="8">
        <f>1/(1+EXP(-V493))</f>
        <v/>
      </c>
      <c r="X493" s="9">
        <f>-IF(C493=1,LN(W493),LN(1-W493))</f>
        <v/>
      </c>
      <c r="Y493" s="10">
        <f>IF(W493&gt;$AC$33,1,0)</f>
        <v/>
      </c>
      <c r="Z493">
        <f>IF(Y493=C493,1,0)</f>
        <v/>
      </c>
    </row>
    <row r="494">
      <c r="A494">
        <f>'1 datos preparados'!A487</f>
        <v/>
      </c>
      <c r="B494" s="5">
        <f>'1 datos preparados'!U487</f>
        <v/>
      </c>
      <c r="C494">
        <f>'1 datos preparados'!B487</f>
        <v/>
      </c>
      <c r="D494" s="7">
        <f>'1 datos preparados'!C487</f>
        <v/>
      </c>
      <c r="E494" s="7">
        <f>'1 datos preparados'!D487</f>
        <v/>
      </c>
      <c r="F494" s="7">
        <f>'1 datos preparados'!E487</f>
        <v/>
      </c>
      <c r="G494" s="7">
        <f>'1 datos preparados'!F487</f>
        <v/>
      </c>
      <c r="H494" s="7">
        <f>'1 datos preparados'!G487</f>
        <v/>
      </c>
      <c r="I494" s="7">
        <f>'1 datos preparados'!H487</f>
        <v/>
      </c>
      <c r="J494" s="7">
        <f>'1 datos preparados'!I487</f>
        <v/>
      </c>
      <c r="K494" s="7">
        <f>'1 datos preparados'!J487</f>
        <v/>
      </c>
      <c r="L494" s="7">
        <f>'1 datos preparados'!K487</f>
        <v/>
      </c>
      <c r="M494" s="7">
        <f>'1 datos preparados'!L487</f>
        <v/>
      </c>
      <c r="N494" s="7">
        <f>'1 datos preparados'!M487</f>
        <v/>
      </c>
      <c r="O494" s="7">
        <f>'1 datos preparados'!N487</f>
        <v/>
      </c>
      <c r="P494" s="7">
        <f>'1 datos preparados'!O487</f>
        <v/>
      </c>
      <c r="Q494" s="7">
        <f>'1 datos preparados'!P487</f>
        <v/>
      </c>
      <c r="R494" s="7">
        <f>'1 datos preparados'!Q487</f>
        <v/>
      </c>
      <c r="S494" s="7">
        <f>'1 datos preparados'!R487</f>
        <v/>
      </c>
      <c r="T494" s="7">
        <f>'1 datos preparados'!S487</f>
        <v/>
      </c>
      <c r="U494" s="7">
        <f>'1 datos preparados'!T487</f>
        <v/>
      </c>
      <c r="V494" s="8">
        <f>$AC$12+D494*$AC$13+E494*$AC$14+F494*$AC$15+G494*$AC$16+H494*$AC$17+I494*$AC$18+J494*$AC$19+K494*$AC$20+L494*$AC$21+M494*$AC$22+N494*$AC$23+O494*$AC$24+P494*$AC$25+Q494*$AC$26+R494*$AC$27+S494*$AC$28+T494*$AC$29+U494*$AC$30</f>
        <v/>
      </c>
      <c r="W494" s="8">
        <f>1/(1+EXP(-V494))</f>
        <v/>
      </c>
      <c r="X494" s="9">
        <f>-IF(C494=1,LN(W494),LN(1-W494))</f>
        <v/>
      </c>
      <c r="Y494" s="10">
        <f>IF(W494&gt;$AC$33,1,0)</f>
        <v/>
      </c>
      <c r="Z494">
        <f>IF(Y494=C494,1,0)</f>
        <v/>
      </c>
    </row>
    <row r="495">
      <c r="A495">
        <f>'1 datos preparados'!A488</f>
        <v/>
      </c>
      <c r="B495" s="5">
        <f>'1 datos preparados'!U488</f>
        <v/>
      </c>
      <c r="C495">
        <f>'1 datos preparados'!B488</f>
        <v/>
      </c>
      <c r="D495" s="7">
        <f>'1 datos preparados'!C488</f>
        <v/>
      </c>
      <c r="E495" s="7">
        <f>'1 datos preparados'!D488</f>
        <v/>
      </c>
      <c r="F495" s="7">
        <f>'1 datos preparados'!E488</f>
        <v/>
      </c>
      <c r="G495" s="7">
        <f>'1 datos preparados'!F488</f>
        <v/>
      </c>
      <c r="H495" s="7">
        <f>'1 datos preparados'!G488</f>
        <v/>
      </c>
      <c r="I495" s="7">
        <f>'1 datos preparados'!H488</f>
        <v/>
      </c>
      <c r="J495" s="7">
        <f>'1 datos preparados'!I488</f>
        <v/>
      </c>
      <c r="K495" s="7">
        <f>'1 datos preparados'!J488</f>
        <v/>
      </c>
      <c r="L495" s="7">
        <f>'1 datos preparados'!K488</f>
        <v/>
      </c>
      <c r="M495" s="7">
        <f>'1 datos preparados'!L488</f>
        <v/>
      </c>
      <c r="N495" s="7">
        <f>'1 datos preparados'!M488</f>
        <v/>
      </c>
      <c r="O495" s="7">
        <f>'1 datos preparados'!N488</f>
        <v/>
      </c>
      <c r="P495" s="7">
        <f>'1 datos preparados'!O488</f>
        <v/>
      </c>
      <c r="Q495" s="7">
        <f>'1 datos preparados'!P488</f>
        <v/>
      </c>
      <c r="R495" s="7">
        <f>'1 datos preparados'!Q488</f>
        <v/>
      </c>
      <c r="S495" s="7">
        <f>'1 datos preparados'!R488</f>
        <v/>
      </c>
      <c r="T495" s="7">
        <f>'1 datos preparados'!S488</f>
        <v/>
      </c>
      <c r="U495" s="7">
        <f>'1 datos preparados'!T488</f>
        <v/>
      </c>
      <c r="V495" s="8">
        <f>$AC$12+D495*$AC$13+E495*$AC$14+F495*$AC$15+G495*$AC$16+H495*$AC$17+I495*$AC$18+J495*$AC$19+K495*$AC$20+L495*$AC$21+M495*$AC$22+N495*$AC$23+O495*$AC$24+P495*$AC$25+Q495*$AC$26+R495*$AC$27+S495*$AC$28+T495*$AC$29+U495*$AC$30</f>
        <v/>
      </c>
      <c r="W495" s="8">
        <f>1/(1+EXP(-V495))</f>
        <v/>
      </c>
      <c r="X495" s="9">
        <f>-IF(C495=1,LN(W495),LN(1-W495))</f>
        <v/>
      </c>
      <c r="Y495" s="10">
        <f>IF(W495&gt;$AC$33,1,0)</f>
        <v/>
      </c>
      <c r="Z495">
        <f>IF(Y495=C495,1,0)</f>
        <v/>
      </c>
    </row>
    <row r="496">
      <c r="A496">
        <f>'1 datos preparados'!A489</f>
        <v/>
      </c>
      <c r="B496" s="5">
        <f>'1 datos preparados'!U489</f>
        <v/>
      </c>
      <c r="C496">
        <f>'1 datos preparados'!B489</f>
        <v/>
      </c>
      <c r="D496" s="7">
        <f>'1 datos preparados'!C489</f>
        <v/>
      </c>
      <c r="E496" s="7">
        <f>'1 datos preparados'!D489</f>
        <v/>
      </c>
      <c r="F496" s="7">
        <f>'1 datos preparados'!E489</f>
        <v/>
      </c>
      <c r="G496" s="7">
        <f>'1 datos preparados'!F489</f>
        <v/>
      </c>
      <c r="H496" s="7">
        <f>'1 datos preparados'!G489</f>
        <v/>
      </c>
      <c r="I496" s="7">
        <f>'1 datos preparados'!H489</f>
        <v/>
      </c>
      <c r="J496" s="7">
        <f>'1 datos preparados'!I489</f>
        <v/>
      </c>
      <c r="K496" s="7">
        <f>'1 datos preparados'!J489</f>
        <v/>
      </c>
      <c r="L496" s="7">
        <f>'1 datos preparados'!K489</f>
        <v/>
      </c>
      <c r="M496" s="7">
        <f>'1 datos preparados'!L489</f>
        <v/>
      </c>
      <c r="N496" s="7">
        <f>'1 datos preparados'!M489</f>
        <v/>
      </c>
      <c r="O496" s="7">
        <f>'1 datos preparados'!N489</f>
        <v/>
      </c>
      <c r="P496" s="7">
        <f>'1 datos preparados'!O489</f>
        <v/>
      </c>
      <c r="Q496" s="7">
        <f>'1 datos preparados'!P489</f>
        <v/>
      </c>
      <c r="R496" s="7">
        <f>'1 datos preparados'!Q489</f>
        <v/>
      </c>
      <c r="S496" s="7">
        <f>'1 datos preparados'!R489</f>
        <v/>
      </c>
      <c r="T496" s="7">
        <f>'1 datos preparados'!S489</f>
        <v/>
      </c>
      <c r="U496" s="7">
        <f>'1 datos preparados'!T489</f>
        <v/>
      </c>
      <c r="V496" s="8">
        <f>$AC$12+D496*$AC$13+E496*$AC$14+F496*$AC$15+G496*$AC$16+H496*$AC$17+I496*$AC$18+J496*$AC$19+K496*$AC$20+L496*$AC$21+M496*$AC$22+N496*$AC$23+O496*$AC$24+P496*$AC$25+Q496*$AC$26+R496*$AC$27+S496*$AC$28+T496*$AC$29+U496*$AC$30</f>
        <v/>
      </c>
      <c r="W496" s="8">
        <f>1/(1+EXP(-V496))</f>
        <v/>
      </c>
      <c r="X496" s="9">
        <f>-IF(C496=1,LN(W496),LN(1-W496))</f>
        <v/>
      </c>
      <c r="Y496" s="10">
        <f>IF(W496&gt;$AC$33,1,0)</f>
        <v/>
      </c>
      <c r="Z496">
        <f>IF(Y496=C496,1,0)</f>
        <v/>
      </c>
    </row>
    <row r="497">
      <c r="A497">
        <f>'1 datos preparados'!A490</f>
        <v/>
      </c>
      <c r="B497" s="5">
        <f>'1 datos preparados'!U490</f>
        <v/>
      </c>
      <c r="C497">
        <f>'1 datos preparados'!B490</f>
        <v/>
      </c>
      <c r="D497" s="7">
        <f>'1 datos preparados'!C490</f>
        <v/>
      </c>
      <c r="E497" s="7">
        <f>'1 datos preparados'!D490</f>
        <v/>
      </c>
      <c r="F497" s="7">
        <f>'1 datos preparados'!E490</f>
        <v/>
      </c>
      <c r="G497" s="7">
        <f>'1 datos preparados'!F490</f>
        <v/>
      </c>
      <c r="H497" s="7">
        <f>'1 datos preparados'!G490</f>
        <v/>
      </c>
      <c r="I497" s="7">
        <f>'1 datos preparados'!H490</f>
        <v/>
      </c>
      <c r="J497" s="7">
        <f>'1 datos preparados'!I490</f>
        <v/>
      </c>
      <c r="K497" s="7">
        <f>'1 datos preparados'!J490</f>
        <v/>
      </c>
      <c r="L497" s="7">
        <f>'1 datos preparados'!K490</f>
        <v/>
      </c>
      <c r="M497" s="7">
        <f>'1 datos preparados'!L490</f>
        <v/>
      </c>
      <c r="N497" s="7">
        <f>'1 datos preparados'!M490</f>
        <v/>
      </c>
      <c r="O497" s="7">
        <f>'1 datos preparados'!N490</f>
        <v/>
      </c>
      <c r="P497" s="7">
        <f>'1 datos preparados'!O490</f>
        <v/>
      </c>
      <c r="Q497" s="7">
        <f>'1 datos preparados'!P490</f>
        <v/>
      </c>
      <c r="R497" s="7">
        <f>'1 datos preparados'!Q490</f>
        <v/>
      </c>
      <c r="S497" s="7">
        <f>'1 datos preparados'!R490</f>
        <v/>
      </c>
      <c r="T497" s="7">
        <f>'1 datos preparados'!S490</f>
        <v/>
      </c>
      <c r="U497" s="7">
        <f>'1 datos preparados'!T490</f>
        <v/>
      </c>
      <c r="V497" s="8">
        <f>$AC$12+D497*$AC$13+E497*$AC$14+F497*$AC$15+G497*$AC$16+H497*$AC$17+I497*$AC$18+J497*$AC$19+K497*$AC$20+L497*$AC$21+M497*$AC$22+N497*$AC$23+O497*$AC$24+P497*$AC$25+Q497*$AC$26+R497*$AC$27+S497*$AC$28+T497*$AC$29+U497*$AC$30</f>
        <v/>
      </c>
      <c r="W497" s="8">
        <f>1/(1+EXP(-V497))</f>
        <v/>
      </c>
      <c r="X497" s="9">
        <f>-IF(C497=1,LN(W497),LN(1-W497))</f>
        <v/>
      </c>
      <c r="Y497" s="10">
        <f>IF(W497&gt;$AC$33,1,0)</f>
        <v/>
      </c>
      <c r="Z497">
        <f>IF(Y497=C497,1,0)</f>
        <v/>
      </c>
    </row>
    <row r="498">
      <c r="A498">
        <f>'1 datos preparados'!A491</f>
        <v/>
      </c>
      <c r="B498" s="5">
        <f>'1 datos preparados'!U491</f>
        <v/>
      </c>
      <c r="C498">
        <f>'1 datos preparados'!B491</f>
        <v/>
      </c>
      <c r="D498" s="7">
        <f>'1 datos preparados'!C491</f>
        <v/>
      </c>
      <c r="E498" s="7">
        <f>'1 datos preparados'!D491</f>
        <v/>
      </c>
      <c r="F498" s="7">
        <f>'1 datos preparados'!E491</f>
        <v/>
      </c>
      <c r="G498" s="7">
        <f>'1 datos preparados'!F491</f>
        <v/>
      </c>
      <c r="H498" s="7">
        <f>'1 datos preparados'!G491</f>
        <v/>
      </c>
      <c r="I498" s="7">
        <f>'1 datos preparados'!H491</f>
        <v/>
      </c>
      <c r="J498" s="7">
        <f>'1 datos preparados'!I491</f>
        <v/>
      </c>
      <c r="K498" s="7">
        <f>'1 datos preparados'!J491</f>
        <v/>
      </c>
      <c r="L498" s="7">
        <f>'1 datos preparados'!K491</f>
        <v/>
      </c>
      <c r="M498" s="7">
        <f>'1 datos preparados'!L491</f>
        <v/>
      </c>
      <c r="N498" s="7">
        <f>'1 datos preparados'!M491</f>
        <v/>
      </c>
      <c r="O498" s="7">
        <f>'1 datos preparados'!N491</f>
        <v/>
      </c>
      <c r="P498" s="7">
        <f>'1 datos preparados'!O491</f>
        <v/>
      </c>
      <c r="Q498" s="7">
        <f>'1 datos preparados'!P491</f>
        <v/>
      </c>
      <c r="R498" s="7">
        <f>'1 datos preparados'!Q491</f>
        <v/>
      </c>
      <c r="S498" s="7">
        <f>'1 datos preparados'!R491</f>
        <v/>
      </c>
      <c r="T498" s="7">
        <f>'1 datos preparados'!S491</f>
        <v/>
      </c>
      <c r="U498" s="7">
        <f>'1 datos preparados'!T491</f>
        <v/>
      </c>
      <c r="V498" s="8">
        <f>$AC$12+D498*$AC$13+E498*$AC$14+F498*$AC$15+G498*$AC$16+H498*$AC$17+I498*$AC$18+J498*$AC$19+K498*$AC$20+L498*$AC$21+M498*$AC$22+N498*$AC$23+O498*$AC$24+P498*$AC$25+Q498*$AC$26+R498*$AC$27+S498*$AC$28+T498*$AC$29+U498*$AC$30</f>
        <v/>
      </c>
      <c r="W498" s="8">
        <f>1/(1+EXP(-V498))</f>
        <v/>
      </c>
      <c r="X498" s="9">
        <f>-IF(C498=1,LN(W498),LN(1-W498))</f>
        <v/>
      </c>
      <c r="Y498" s="10">
        <f>IF(W498&gt;$AC$33,1,0)</f>
        <v/>
      </c>
      <c r="Z498">
        <f>IF(Y498=C498,1,0)</f>
        <v/>
      </c>
    </row>
    <row r="499">
      <c r="A499">
        <f>'1 datos preparados'!A492</f>
        <v/>
      </c>
      <c r="B499" s="5">
        <f>'1 datos preparados'!U492</f>
        <v/>
      </c>
      <c r="C499">
        <f>'1 datos preparados'!B492</f>
        <v/>
      </c>
      <c r="D499" s="7">
        <f>'1 datos preparados'!C492</f>
        <v/>
      </c>
      <c r="E499" s="7">
        <f>'1 datos preparados'!D492</f>
        <v/>
      </c>
      <c r="F499" s="7">
        <f>'1 datos preparados'!E492</f>
        <v/>
      </c>
      <c r="G499" s="7">
        <f>'1 datos preparados'!F492</f>
        <v/>
      </c>
      <c r="H499" s="7">
        <f>'1 datos preparados'!G492</f>
        <v/>
      </c>
      <c r="I499" s="7">
        <f>'1 datos preparados'!H492</f>
        <v/>
      </c>
      <c r="J499" s="7">
        <f>'1 datos preparados'!I492</f>
        <v/>
      </c>
      <c r="K499" s="7">
        <f>'1 datos preparados'!J492</f>
        <v/>
      </c>
      <c r="L499" s="7">
        <f>'1 datos preparados'!K492</f>
        <v/>
      </c>
      <c r="M499" s="7">
        <f>'1 datos preparados'!L492</f>
        <v/>
      </c>
      <c r="N499" s="7">
        <f>'1 datos preparados'!M492</f>
        <v/>
      </c>
      <c r="O499" s="7">
        <f>'1 datos preparados'!N492</f>
        <v/>
      </c>
      <c r="P499" s="7">
        <f>'1 datos preparados'!O492</f>
        <v/>
      </c>
      <c r="Q499" s="7">
        <f>'1 datos preparados'!P492</f>
        <v/>
      </c>
      <c r="R499" s="7">
        <f>'1 datos preparados'!Q492</f>
        <v/>
      </c>
      <c r="S499" s="7">
        <f>'1 datos preparados'!R492</f>
        <v/>
      </c>
      <c r="T499" s="7">
        <f>'1 datos preparados'!S492</f>
        <v/>
      </c>
      <c r="U499" s="7">
        <f>'1 datos preparados'!T492</f>
        <v/>
      </c>
      <c r="V499" s="8">
        <f>$AC$12+D499*$AC$13+E499*$AC$14+F499*$AC$15+G499*$AC$16+H499*$AC$17+I499*$AC$18+J499*$AC$19+K499*$AC$20+L499*$AC$21+M499*$AC$22+N499*$AC$23+O499*$AC$24+P499*$AC$25+Q499*$AC$26+R499*$AC$27+S499*$AC$28+T499*$AC$29+U499*$AC$30</f>
        <v/>
      </c>
      <c r="W499" s="8">
        <f>1/(1+EXP(-V499))</f>
        <v/>
      </c>
      <c r="X499" s="9">
        <f>-IF(C499=1,LN(W499),LN(1-W499))</f>
        <v/>
      </c>
      <c r="Y499" s="10">
        <f>IF(W499&gt;$AC$33,1,0)</f>
        <v/>
      </c>
      <c r="Z499">
        <f>IF(Y499=C499,1,0)</f>
        <v/>
      </c>
    </row>
    <row r="500">
      <c r="A500">
        <f>'1 datos preparados'!A493</f>
        <v/>
      </c>
      <c r="B500" s="5">
        <f>'1 datos preparados'!U493</f>
        <v/>
      </c>
      <c r="C500">
        <f>'1 datos preparados'!B493</f>
        <v/>
      </c>
      <c r="D500" s="7">
        <f>'1 datos preparados'!C493</f>
        <v/>
      </c>
      <c r="E500" s="7">
        <f>'1 datos preparados'!D493</f>
        <v/>
      </c>
      <c r="F500" s="7">
        <f>'1 datos preparados'!E493</f>
        <v/>
      </c>
      <c r="G500" s="7">
        <f>'1 datos preparados'!F493</f>
        <v/>
      </c>
      <c r="H500" s="7">
        <f>'1 datos preparados'!G493</f>
        <v/>
      </c>
      <c r="I500" s="7">
        <f>'1 datos preparados'!H493</f>
        <v/>
      </c>
      <c r="J500" s="7">
        <f>'1 datos preparados'!I493</f>
        <v/>
      </c>
      <c r="K500" s="7">
        <f>'1 datos preparados'!J493</f>
        <v/>
      </c>
      <c r="L500" s="7">
        <f>'1 datos preparados'!K493</f>
        <v/>
      </c>
      <c r="M500" s="7">
        <f>'1 datos preparados'!L493</f>
        <v/>
      </c>
      <c r="N500" s="7">
        <f>'1 datos preparados'!M493</f>
        <v/>
      </c>
      <c r="O500" s="7">
        <f>'1 datos preparados'!N493</f>
        <v/>
      </c>
      <c r="P500" s="7">
        <f>'1 datos preparados'!O493</f>
        <v/>
      </c>
      <c r="Q500" s="7">
        <f>'1 datos preparados'!P493</f>
        <v/>
      </c>
      <c r="R500" s="7">
        <f>'1 datos preparados'!Q493</f>
        <v/>
      </c>
      <c r="S500" s="7">
        <f>'1 datos preparados'!R493</f>
        <v/>
      </c>
      <c r="T500" s="7">
        <f>'1 datos preparados'!S493</f>
        <v/>
      </c>
      <c r="U500" s="7">
        <f>'1 datos preparados'!T493</f>
        <v/>
      </c>
      <c r="V500" s="8">
        <f>$AC$12+D500*$AC$13+E500*$AC$14+F500*$AC$15+G500*$AC$16+H500*$AC$17+I500*$AC$18+J500*$AC$19+K500*$AC$20+L500*$AC$21+M500*$AC$22+N500*$AC$23+O500*$AC$24+P500*$AC$25+Q500*$AC$26+R500*$AC$27+S500*$AC$28+T500*$AC$29+U500*$AC$30</f>
        <v/>
      </c>
      <c r="W500" s="8">
        <f>1/(1+EXP(-V500))</f>
        <v/>
      </c>
      <c r="X500" s="9">
        <f>-IF(C500=1,LN(W500),LN(1-W500))</f>
        <v/>
      </c>
      <c r="Y500" s="10">
        <f>IF(W500&gt;$AC$33,1,0)</f>
        <v/>
      </c>
      <c r="Z500">
        <f>IF(Y500=C500,1,0)</f>
        <v/>
      </c>
    </row>
    <row r="501">
      <c r="A501">
        <f>'1 datos preparados'!A494</f>
        <v/>
      </c>
      <c r="B501" s="5">
        <f>'1 datos preparados'!U494</f>
        <v/>
      </c>
      <c r="C501">
        <f>'1 datos preparados'!B494</f>
        <v/>
      </c>
      <c r="D501" s="7">
        <f>'1 datos preparados'!C494</f>
        <v/>
      </c>
      <c r="E501" s="7">
        <f>'1 datos preparados'!D494</f>
        <v/>
      </c>
      <c r="F501" s="7">
        <f>'1 datos preparados'!E494</f>
        <v/>
      </c>
      <c r="G501" s="7">
        <f>'1 datos preparados'!F494</f>
        <v/>
      </c>
      <c r="H501" s="7">
        <f>'1 datos preparados'!G494</f>
        <v/>
      </c>
      <c r="I501" s="7">
        <f>'1 datos preparados'!H494</f>
        <v/>
      </c>
      <c r="J501" s="7">
        <f>'1 datos preparados'!I494</f>
        <v/>
      </c>
      <c r="K501" s="7">
        <f>'1 datos preparados'!J494</f>
        <v/>
      </c>
      <c r="L501" s="7">
        <f>'1 datos preparados'!K494</f>
        <v/>
      </c>
      <c r="M501" s="7">
        <f>'1 datos preparados'!L494</f>
        <v/>
      </c>
      <c r="N501" s="7">
        <f>'1 datos preparados'!M494</f>
        <v/>
      </c>
      <c r="O501" s="7">
        <f>'1 datos preparados'!N494</f>
        <v/>
      </c>
      <c r="P501" s="7">
        <f>'1 datos preparados'!O494</f>
        <v/>
      </c>
      <c r="Q501" s="7">
        <f>'1 datos preparados'!P494</f>
        <v/>
      </c>
      <c r="R501" s="7">
        <f>'1 datos preparados'!Q494</f>
        <v/>
      </c>
      <c r="S501" s="7">
        <f>'1 datos preparados'!R494</f>
        <v/>
      </c>
      <c r="T501" s="7">
        <f>'1 datos preparados'!S494</f>
        <v/>
      </c>
      <c r="U501" s="7">
        <f>'1 datos preparados'!T494</f>
        <v/>
      </c>
      <c r="V501" s="8">
        <f>$AC$12+D501*$AC$13+E501*$AC$14+F501*$AC$15+G501*$AC$16+H501*$AC$17+I501*$AC$18+J501*$AC$19+K501*$AC$20+L501*$AC$21+M501*$AC$22+N501*$AC$23+O501*$AC$24+P501*$AC$25+Q501*$AC$26+R501*$AC$27+S501*$AC$28+T501*$AC$29+U501*$AC$30</f>
        <v/>
      </c>
      <c r="W501" s="8">
        <f>1/(1+EXP(-V501))</f>
        <v/>
      </c>
      <c r="X501" s="9">
        <f>-IF(C501=1,LN(W501),LN(1-W501))</f>
        <v/>
      </c>
      <c r="Y501" s="10">
        <f>IF(W501&gt;$AC$33,1,0)</f>
        <v/>
      </c>
      <c r="Z501">
        <f>IF(Y501=C501,1,0)</f>
        <v/>
      </c>
    </row>
    <row r="502">
      <c r="A502">
        <f>'1 datos preparados'!A495</f>
        <v/>
      </c>
      <c r="B502" s="5">
        <f>'1 datos preparados'!U495</f>
        <v/>
      </c>
      <c r="C502">
        <f>'1 datos preparados'!B495</f>
        <v/>
      </c>
      <c r="D502" s="7">
        <f>'1 datos preparados'!C495</f>
        <v/>
      </c>
      <c r="E502" s="7">
        <f>'1 datos preparados'!D495</f>
        <v/>
      </c>
      <c r="F502" s="7">
        <f>'1 datos preparados'!E495</f>
        <v/>
      </c>
      <c r="G502" s="7">
        <f>'1 datos preparados'!F495</f>
        <v/>
      </c>
      <c r="H502" s="7">
        <f>'1 datos preparados'!G495</f>
        <v/>
      </c>
      <c r="I502" s="7">
        <f>'1 datos preparados'!H495</f>
        <v/>
      </c>
      <c r="J502" s="7">
        <f>'1 datos preparados'!I495</f>
        <v/>
      </c>
      <c r="K502" s="7">
        <f>'1 datos preparados'!J495</f>
        <v/>
      </c>
      <c r="L502" s="7">
        <f>'1 datos preparados'!K495</f>
        <v/>
      </c>
      <c r="M502" s="7">
        <f>'1 datos preparados'!L495</f>
        <v/>
      </c>
      <c r="N502" s="7">
        <f>'1 datos preparados'!M495</f>
        <v/>
      </c>
      <c r="O502" s="7">
        <f>'1 datos preparados'!N495</f>
        <v/>
      </c>
      <c r="P502" s="7">
        <f>'1 datos preparados'!O495</f>
        <v/>
      </c>
      <c r="Q502" s="7">
        <f>'1 datos preparados'!P495</f>
        <v/>
      </c>
      <c r="R502" s="7">
        <f>'1 datos preparados'!Q495</f>
        <v/>
      </c>
      <c r="S502" s="7">
        <f>'1 datos preparados'!R495</f>
        <v/>
      </c>
      <c r="T502" s="7">
        <f>'1 datos preparados'!S495</f>
        <v/>
      </c>
      <c r="U502" s="7">
        <f>'1 datos preparados'!T495</f>
        <v/>
      </c>
      <c r="V502" s="8">
        <f>$AC$12+D502*$AC$13+E502*$AC$14+F502*$AC$15+G502*$AC$16+H502*$AC$17+I502*$AC$18+J502*$AC$19+K502*$AC$20+L502*$AC$21+M502*$AC$22+N502*$AC$23+O502*$AC$24+P502*$AC$25+Q502*$AC$26+R502*$AC$27+S502*$AC$28+T502*$AC$29+U502*$AC$30</f>
        <v/>
      </c>
      <c r="W502" s="8">
        <f>1/(1+EXP(-V502))</f>
        <v/>
      </c>
      <c r="X502" s="9">
        <f>-IF(C502=1,LN(W502),LN(1-W502))</f>
        <v/>
      </c>
      <c r="Y502" s="10">
        <f>IF(W502&gt;$AC$33,1,0)</f>
        <v/>
      </c>
      <c r="Z502">
        <f>IF(Y502=C502,1,0)</f>
        <v/>
      </c>
    </row>
    <row r="503">
      <c r="A503">
        <f>'1 datos preparados'!A496</f>
        <v/>
      </c>
      <c r="B503" s="5">
        <f>'1 datos preparados'!U496</f>
        <v/>
      </c>
      <c r="C503">
        <f>'1 datos preparados'!B496</f>
        <v/>
      </c>
      <c r="D503" s="7">
        <f>'1 datos preparados'!C496</f>
        <v/>
      </c>
      <c r="E503" s="7">
        <f>'1 datos preparados'!D496</f>
        <v/>
      </c>
      <c r="F503" s="7">
        <f>'1 datos preparados'!E496</f>
        <v/>
      </c>
      <c r="G503" s="7">
        <f>'1 datos preparados'!F496</f>
        <v/>
      </c>
      <c r="H503" s="7">
        <f>'1 datos preparados'!G496</f>
        <v/>
      </c>
      <c r="I503" s="7">
        <f>'1 datos preparados'!H496</f>
        <v/>
      </c>
      <c r="J503" s="7">
        <f>'1 datos preparados'!I496</f>
        <v/>
      </c>
      <c r="K503" s="7">
        <f>'1 datos preparados'!J496</f>
        <v/>
      </c>
      <c r="L503" s="7">
        <f>'1 datos preparados'!K496</f>
        <v/>
      </c>
      <c r="M503" s="7">
        <f>'1 datos preparados'!L496</f>
        <v/>
      </c>
      <c r="N503" s="7">
        <f>'1 datos preparados'!M496</f>
        <v/>
      </c>
      <c r="O503" s="7">
        <f>'1 datos preparados'!N496</f>
        <v/>
      </c>
      <c r="P503" s="7">
        <f>'1 datos preparados'!O496</f>
        <v/>
      </c>
      <c r="Q503" s="7">
        <f>'1 datos preparados'!P496</f>
        <v/>
      </c>
      <c r="R503" s="7">
        <f>'1 datos preparados'!Q496</f>
        <v/>
      </c>
      <c r="S503" s="7">
        <f>'1 datos preparados'!R496</f>
        <v/>
      </c>
      <c r="T503" s="7">
        <f>'1 datos preparados'!S496</f>
        <v/>
      </c>
      <c r="U503" s="7">
        <f>'1 datos preparados'!T496</f>
        <v/>
      </c>
      <c r="V503" s="8">
        <f>$AC$12+D503*$AC$13+E503*$AC$14+F503*$AC$15+G503*$AC$16+H503*$AC$17+I503*$AC$18+J503*$AC$19+K503*$AC$20+L503*$AC$21+M503*$AC$22+N503*$AC$23+O503*$AC$24+P503*$AC$25+Q503*$AC$26+R503*$AC$27+S503*$AC$28+T503*$AC$29+U503*$AC$30</f>
        <v/>
      </c>
      <c r="W503" s="8">
        <f>1/(1+EXP(-V503))</f>
        <v/>
      </c>
      <c r="X503" s="9">
        <f>-IF(C503=1,LN(W503),LN(1-W503))</f>
        <v/>
      </c>
      <c r="Y503" s="10">
        <f>IF(W503&gt;$AC$33,1,0)</f>
        <v/>
      </c>
      <c r="Z503">
        <f>IF(Y503=C503,1,0)</f>
        <v/>
      </c>
    </row>
    <row r="504">
      <c r="A504">
        <f>'1 datos preparados'!A497</f>
        <v/>
      </c>
      <c r="B504" s="5">
        <f>'1 datos preparados'!U497</f>
        <v/>
      </c>
      <c r="C504">
        <f>'1 datos preparados'!B497</f>
        <v/>
      </c>
      <c r="D504" s="7">
        <f>'1 datos preparados'!C497</f>
        <v/>
      </c>
      <c r="E504" s="7">
        <f>'1 datos preparados'!D497</f>
        <v/>
      </c>
      <c r="F504" s="7">
        <f>'1 datos preparados'!E497</f>
        <v/>
      </c>
      <c r="G504" s="7">
        <f>'1 datos preparados'!F497</f>
        <v/>
      </c>
      <c r="H504" s="7">
        <f>'1 datos preparados'!G497</f>
        <v/>
      </c>
      <c r="I504" s="7">
        <f>'1 datos preparados'!H497</f>
        <v/>
      </c>
      <c r="J504" s="7">
        <f>'1 datos preparados'!I497</f>
        <v/>
      </c>
      <c r="K504" s="7">
        <f>'1 datos preparados'!J497</f>
        <v/>
      </c>
      <c r="L504" s="7">
        <f>'1 datos preparados'!K497</f>
        <v/>
      </c>
      <c r="M504" s="7">
        <f>'1 datos preparados'!L497</f>
        <v/>
      </c>
      <c r="N504" s="7">
        <f>'1 datos preparados'!M497</f>
        <v/>
      </c>
      <c r="O504" s="7">
        <f>'1 datos preparados'!N497</f>
        <v/>
      </c>
      <c r="P504" s="7">
        <f>'1 datos preparados'!O497</f>
        <v/>
      </c>
      <c r="Q504" s="7">
        <f>'1 datos preparados'!P497</f>
        <v/>
      </c>
      <c r="R504" s="7">
        <f>'1 datos preparados'!Q497</f>
        <v/>
      </c>
      <c r="S504" s="7">
        <f>'1 datos preparados'!R497</f>
        <v/>
      </c>
      <c r="T504" s="7">
        <f>'1 datos preparados'!S497</f>
        <v/>
      </c>
      <c r="U504" s="7">
        <f>'1 datos preparados'!T497</f>
        <v/>
      </c>
      <c r="V504" s="8">
        <f>$AC$12+D504*$AC$13+E504*$AC$14+F504*$AC$15+G504*$AC$16+H504*$AC$17+I504*$AC$18+J504*$AC$19+K504*$AC$20+L504*$AC$21+M504*$AC$22+N504*$AC$23+O504*$AC$24+P504*$AC$25+Q504*$AC$26+R504*$AC$27+S504*$AC$28+T504*$AC$29+U504*$AC$30</f>
        <v/>
      </c>
      <c r="W504" s="8">
        <f>1/(1+EXP(-V504))</f>
        <v/>
      </c>
      <c r="X504" s="9">
        <f>-IF(C504=1,LN(W504),LN(1-W504))</f>
        <v/>
      </c>
      <c r="Y504" s="10">
        <f>IF(W504&gt;$AC$33,1,0)</f>
        <v/>
      </c>
      <c r="Z504">
        <f>IF(Y504=C504,1,0)</f>
        <v/>
      </c>
    </row>
    <row r="505">
      <c r="A505">
        <f>'1 datos preparados'!A498</f>
        <v/>
      </c>
      <c r="B505" s="5">
        <f>'1 datos preparados'!U498</f>
        <v/>
      </c>
      <c r="C505">
        <f>'1 datos preparados'!B498</f>
        <v/>
      </c>
      <c r="D505" s="7">
        <f>'1 datos preparados'!C498</f>
        <v/>
      </c>
      <c r="E505" s="7">
        <f>'1 datos preparados'!D498</f>
        <v/>
      </c>
      <c r="F505" s="7">
        <f>'1 datos preparados'!E498</f>
        <v/>
      </c>
      <c r="G505" s="7">
        <f>'1 datos preparados'!F498</f>
        <v/>
      </c>
      <c r="H505" s="7">
        <f>'1 datos preparados'!G498</f>
        <v/>
      </c>
      <c r="I505" s="7">
        <f>'1 datos preparados'!H498</f>
        <v/>
      </c>
      <c r="J505" s="7">
        <f>'1 datos preparados'!I498</f>
        <v/>
      </c>
      <c r="K505" s="7">
        <f>'1 datos preparados'!J498</f>
        <v/>
      </c>
      <c r="L505" s="7">
        <f>'1 datos preparados'!K498</f>
        <v/>
      </c>
      <c r="M505" s="7">
        <f>'1 datos preparados'!L498</f>
        <v/>
      </c>
      <c r="N505" s="7">
        <f>'1 datos preparados'!M498</f>
        <v/>
      </c>
      <c r="O505" s="7">
        <f>'1 datos preparados'!N498</f>
        <v/>
      </c>
      <c r="P505" s="7">
        <f>'1 datos preparados'!O498</f>
        <v/>
      </c>
      <c r="Q505" s="7">
        <f>'1 datos preparados'!P498</f>
        <v/>
      </c>
      <c r="R505" s="7">
        <f>'1 datos preparados'!Q498</f>
        <v/>
      </c>
      <c r="S505" s="7">
        <f>'1 datos preparados'!R498</f>
        <v/>
      </c>
      <c r="T505" s="7">
        <f>'1 datos preparados'!S498</f>
        <v/>
      </c>
      <c r="U505" s="7">
        <f>'1 datos preparados'!T498</f>
        <v/>
      </c>
      <c r="V505" s="8">
        <f>$AC$12+D505*$AC$13+E505*$AC$14+F505*$AC$15+G505*$AC$16+H505*$AC$17+I505*$AC$18+J505*$AC$19+K505*$AC$20+L505*$AC$21+M505*$AC$22+N505*$AC$23+O505*$AC$24+P505*$AC$25+Q505*$AC$26+R505*$AC$27+S505*$AC$28+T505*$AC$29+U505*$AC$30</f>
        <v/>
      </c>
      <c r="W505" s="8">
        <f>1/(1+EXP(-V505))</f>
        <v/>
      </c>
      <c r="X505" s="9">
        <f>-IF(C505=1,LN(W505),LN(1-W505))</f>
        <v/>
      </c>
      <c r="Y505" s="10">
        <f>IF(W505&gt;$AC$33,1,0)</f>
        <v/>
      </c>
      <c r="Z505">
        <f>IF(Y505=C505,1,0)</f>
        <v/>
      </c>
    </row>
    <row r="506">
      <c r="A506">
        <f>'1 datos preparados'!A499</f>
        <v/>
      </c>
      <c r="B506" s="5">
        <f>'1 datos preparados'!U499</f>
        <v/>
      </c>
      <c r="C506">
        <f>'1 datos preparados'!B499</f>
        <v/>
      </c>
      <c r="D506" s="7">
        <f>'1 datos preparados'!C499</f>
        <v/>
      </c>
      <c r="E506" s="7">
        <f>'1 datos preparados'!D499</f>
        <v/>
      </c>
      <c r="F506" s="7">
        <f>'1 datos preparados'!E499</f>
        <v/>
      </c>
      <c r="G506" s="7">
        <f>'1 datos preparados'!F499</f>
        <v/>
      </c>
      <c r="H506" s="7">
        <f>'1 datos preparados'!G499</f>
        <v/>
      </c>
      <c r="I506" s="7">
        <f>'1 datos preparados'!H499</f>
        <v/>
      </c>
      <c r="J506" s="7">
        <f>'1 datos preparados'!I499</f>
        <v/>
      </c>
      <c r="K506" s="7">
        <f>'1 datos preparados'!J499</f>
        <v/>
      </c>
      <c r="L506" s="7">
        <f>'1 datos preparados'!K499</f>
        <v/>
      </c>
      <c r="M506" s="7">
        <f>'1 datos preparados'!L499</f>
        <v/>
      </c>
      <c r="N506" s="7">
        <f>'1 datos preparados'!M499</f>
        <v/>
      </c>
      <c r="O506" s="7">
        <f>'1 datos preparados'!N499</f>
        <v/>
      </c>
      <c r="P506" s="7">
        <f>'1 datos preparados'!O499</f>
        <v/>
      </c>
      <c r="Q506" s="7">
        <f>'1 datos preparados'!P499</f>
        <v/>
      </c>
      <c r="R506" s="7">
        <f>'1 datos preparados'!Q499</f>
        <v/>
      </c>
      <c r="S506" s="7">
        <f>'1 datos preparados'!R499</f>
        <v/>
      </c>
      <c r="T506" s="7">
        <f>'1 datos preparados'!S499</f>
        <v/>
      </c>
      <c r="U506" s="7">
        <f>'1 datos preparados'!T499</f>
        <v/>
      </c>
      <c r="V506" s="8">
        <f>$AC$12+D506*$AC$13+E506*$AC$14+F506*$AC$15+G506*$AC$16+H506*$AC$17+I506*$AC$18+J506*$AC$19+K506*$AC$20+L506*$AC$21+M506*$AC$22+N506*$AC$23+O506*$AC$24+P506*$AC$25+Q506*$AC$26+R506*$AC$27+S506*$AC$28+T506*$AC$29+U506*$AC$30</f>
        <v/>
      </c>
      <c r="W506" s="8">
        <f>1/(1+EXP(-V506))</f>
        <v/>
      </c>
      <c r="X506" s="9">
        <f>-IF(C506=1,LN(W506),LN(1-W506))</f>
        <v/>
      </c>
      <c r="Y506" s="10">
        <f>IF(W506&gt;$AC$33,1,0)</f>
        <v/>
      </c>
      <c r="Z506">
        <f>IF(Y506=C506,1,0)</f>
        <v/>
      </c>
    </row>
    <row r="507">
      <c r="A507">
        <f>'1 datos preparados'!A500</f>
        <v/>
      </c>
      <c r="B507" s="5">
        <f>'1 datos preparados'!U500</f>
        <v/>
      </c>
      <c r="C507">
        <f>'1 datos preparados'!B500</f>
        <v/>
      </c>
      <c r="D507" s="7">
        <f>'1 datos preparados'!C500</f>
        <v/>
      </c>
      <c r="E507" s="7">
        <f>'1 datos preparados'!D500</f>
        <v/>
      </c>
      <c r="F507" s="7">
        <f>'1 datos preparados'!E500</f>
        <v/>
      </c>
      <c r="G507" s="7">
        <f>'1 datos preparados'!F500</f>
        <v/>
      </c>
      <c r="H507" s="7">
        <f>'1 datos preparados'!G500</f>
        <v/>
      </c>
      <c r="I507" s="7">
        <f>'1 datos preparados'!H500</f>
        <v/>
      </c>
      <c r="J507" s="7">
        <f>'1 datos preparados'!I500</f>
        <v/>
      </c>
      <c r="K507" s="7">
        <f>'1 datos preparados'!J500</f>
        <v/>
      </c>
      <c r="L507" s="7">
        <f>'1 datos preparados'!K500</f>
        <v/>
      </c>
      <c r="M507" s="7">
        <f>'1 datos preparados'!L500</f>
        <v/>
      </c>
      <c r="N507" s="7">
        <f>'1 datos preparados'!M500</f>
        <v/>
      </c>
      <c r="O507" s="7">
        <f>'1 datos preparados'!N500</f>
        <v/>
      </c>
      <c r="P507" s="7">
        <f>'1 datos preparados'!O500</f>
        <v/>
      </c>
      <c r="Q507" s="7">
        <f>'1 datos preparados'!P500</f>
        <v/>
      </c>
      <c r="R507" s="7">
        <f>'1 datos preparados'!Q500</f>
        <v/>
      </c>
      <c r="S507" s="7">
        <f>'1 datos preparados'!R500</f>
        <v/>
      </c>
      <c r="T507" s="7">
        <f>'1 datos preparados'!S500</f>
        <v/>
      </c>
      <c r="U507" s="7">
        <f>'1 datos preparados'!T500</f>
        <v/>
      </c>
      <c r="V507" s="8">
        <f>$AC$12+D507*$AC$13+E507*$AC$14+F507*$AC$15+G507*$AC$16+H507*$AC$17+I507*$AC$18+J507*$AC$19+K507*$AC$20+L507*$AC$21+M507*$AC$22+N507*$AC$23+O507*$AC$24+P507*$AC$25+Q507*$AC$26+R507*$AC$27+S507*$AC$28+T507*$AC$29+U507*$AC$30</f>
        <v/>
      </c>
      <c r="W507" s="8">
        <f>1/(1+EXP(-V507))</f>
        <v/>
      </c>
      <c r="X507" s="9">
        <f>-IF(C507=1,LN(W507),LN(1-W507))</f>
        <v/>
      </c>
      <c r="Y507" s="10">
        <f>IF(W507&gt;$AC$33,1,0)</f>
        <v/>
      </c>
      <c r="Z507">
        <f>IF(Y507=C507,1,0)</f>
        <v/>
      </c>
    </row>
    <row r="508">
      <c r="A508">
        <f>'1 datos preparados'!A501</f>
        <v/>
      </c>
      <c r="B508" s="5">
        <f>'1 datos preparados'!U501</f>
        <v/>
      </c>
      <c r="C508">
        <f>'1 datos preparados'!B501</f>
        <v/>
      </c>
      <c r="D508" s="7">
        <f>'1 datos preparados'!C501</f>
        <v/>
      </c>
      <c r="E508" s="7">
        <f>'1 datos preparados'!D501</f>
        <v/>
      </c>
      <c r="F508" s="7">
        <f>'1 datos preparados'!E501</f>
        <v/>
      </c>
      <c r="G508" s="7">
        <f>'1 datos preparados'!F501</f>
        <v/>
      </c>
      <c r="H508" s="7">
        <f>'1 datos preparados'!G501</f>
        <v/>
      </c>
      <c r="I508" s="7">
        <f>'1 datos preparados'!H501</f>
        <v/>
      </c>
      <c r="J508" s="7">
        <f>'1 datos preparados'!I501</f>
        <v/>
      </c>
      <c r="K508" s="7">
        <f>'1 datos preparados'!J501</f>
        <v/>
      </c>
      <c r="L508" s="7">
        <f>'1 datos preparados'!K501</f>
        <v/>
      </c>
      <c r="M508" s="7">
        <f>'1 datos preparados'!L501</f>
        <v/>
      </c>
      <c r="N508" s="7">
        <f>'1 datos preparados'!M501</f>
        <v/>
      </c>
      <c r="O508" s="7">
        <f>'1 datos preparados'!N501</f>
        <v/>
      </c>
      <c r="P508" s="7">
        <f>'1 datos preparados'!O501</f>
        <v/>
      </c>
      <c r="Q508" s="7">
        <f>'1 datos preparados'!P501</f>
        <v/>
      </c>
      <c r="R508" s="7">
        <f>'1 datos preparados'!Q501</f>
        <v/>
      </c>
      <c r="S508" s="7">
        <f>'1 datos preparados'!R501</f>
        <v/>
      </c>
      <c r="T508" s="7">
        <f>'1 datos preparados'!S501</f>
        <v/>
      </c>
      <c r="U508" s="7">
        <f>'1 datos preparados'!T501</f>
        <v/>
      </c>
      <c r="V508" s="8">
        <f>$AC$12+D508*$AC$13+E508*$AC$14+F508*$AC$15+G508*$AC$16+H508*$AC$17+I508*$AC$18+J508*$AC$19+K508*$AC$20+L508*$AC$21+M508*$AC$22+N508*$AC$23+O508*$AC$24+P508*$AC$25+Q508*$AC$26+R508*$AC$27+S508*$AC$28+T508*$AC$29+U508*$AC$30</f>
        <v/>
      </c>
      <c r="W508" s="8">
        <f>1/(1+EXP(-V508))</f>
        <v/>
      </c>
      <c r="X508" s="9">
        <f>-IF(C508=1,LN(W508),LN(1-W508))</f>
        <v/>
      </c>
      <c r="Y508" s="10">
        <f>IF(W508&gt;$AC$33,1,0)</f>
        <v/>
      </c>
      <c r="Z508">
        <f>IF(Y508=C508,1,0)</f>
        <v/>
      </c>
    </row>
    <row r="509">
      <c r="A509">
        <f>'1 datos preparados'!A502</f>
        <v/>
      </c>
      <c r="B509" s="5">
        <f>'1 datos preparados'!U502</f>
        <v/>
      </c>
      <c r="C509">
        <f>'1 datos preparados'!B502</f>
        <v/>
      </c>
      <c r="D509" s="7">
        <f>'1 datos preparados'!C502</f>
        <v/>
      </c>
      <c r="E509" s="7">
        <f>'1 datos preparados'!D502</f>
        <v/>
      </c>
      <c r="F509" s="7">
        <f>'1 datos preparados'!E502</f>
        <v/>
      </c>
      <c r="G509" s="7">
        <f>'1 datos preparados'!F502</f>
        <v/>
      </c>
      <c r="H509" s="7">
        <f>'1 datos preparados'!G502</f>
        <v/>
      </c>
      <c r="I509" s="7">
        <f>'1 datos preparados'!H502</f>
        <v/>
      </c>
      <c r="J509" s="7">
        <f>'1 datos preparados'!I502</f>
        <v/>
      </c>
      <c r="K509" s="7">
        <f>'1 datos preparados'!J502</f>
        <v/>
      </c>
      <c r="L509" s="7">
        <f>'1 datos preparados'!K502</f>
        <v/>
      </c>
      <c r="M509" s="7">
        <f>'1 datos preparados'!L502</f>
        <v/>
      </c>
      <c r="N509" s="7">
        <f>'1 datos preparados'!M502</f>
        <v/>
      </c>
      <c r="O509" s="7">
        <f>'1 datos preparados'!N502</f>
        <v/>
      </c>
      <c r="P509" s="7">
        <f>'1 datos preparados'!O502</f>
        <v/>
      </c>
      <c r="Q509" s="7">
        <f>'1 datos preparados'!P502</f>
        <v/>
      </c>
      <c r="R509" s="7">
        <f>'1 datos preparados'!Q502</f>
        <v/>
      </c>
      <c r="S509" s="7">
        <f>'1 datos preparados'!R502</f>
        <v/>
      </c>
      <c r="T509" s="7">
        <f>'1 datos preparados'!S502</f>
        <v/>
      </c>
      <c r="U509" s="7">
        <f>'1 datos preparados'!T502</f>
        <v/>
      </c>
      <c r="V509" s="8">
        <f>$AC$12+D509*$AC$13+E509*$AC$14+F509*$AC$15+G509*$AC$16+H509*$AC$17+I509*$AC$18+J509*$AC$19+K509*$AC$20+L509*$AC$21+M509*$AC$22+N509*$AC$23+O509*$AC$24+P509*$AC$25+Q509*$AC$26+R509*$AC$27+S509*$AC$28+T509*$AC$29+U509*$AC$30</f>
        <v/>
      </c>
      <c r="W509" s="8">
        <f>1/(1+EXP(-V509))</f>
        <v/>
      </c>
      <c r="X509" s="9">
        <f>-IF(C509=1,LN(W509),LN(1-W509))</f>
        <v/>
      </c>
      <c r="Y509" s="10">
        <f>IF(W509&gt;$AC$33,1,0)</f>
        <v/>
      </c>
      <c r="Z509">
        <f>IF(Y509=C509,1,0)</f>
        <v/>
      </c>
    </row>
    <row r="510">
      <c r="A510">
        <f>'1 datos preparados'!A503</f>
        <v/>
      </c>
      <c r="B510" s="5">
        <f>'1 datos preparados'!U503</f>
        <v/>
      </c>
      <c r="C510">
        <f>'1 datos preparados'!B503</f>
        <v/>
      </c>
      <c r="D510" s="7">
        <f>'1 datos preparados'!C503</f>
        <v/>
      </c>
      <c r="E510" s="7">
        <f>'1 datos preparados'!D503</f>
        <v/>
      </c>
      <c r="F510" s="7">
        <f>'1 datos preparados'!E503</f>
        <v/>
      </c>
      <c r="G510" s="7">
        <f>'1 datos preparados'!F503</f>
        <v/>
      </c>
      <c r="H510" s="7">
        <f>'1 datos preparados'!G503</f>
        <v/>
      </c>
      <c r="I510" s="7">
        <f>'1 datos preparados'!H503</f>
        <v/>
      </c>
      <c r="J510" s="7">
        <f>'1 datos preparados'!I503</f>
        <v/>
      </c>
      <c r="K510" s="7">
        <f>'1 datos preparados'!J503</f>
        <v/>
      </c>
      <c r="L510" s="7">
        <f>'1 datos preparados'!K503</f>
        <v/>
      </c>
      <c r="M510" s="7">
        <f>'1 datos preparados'!L503</f>
        <v/>
      </c>
      <c r="N510" s="7">
        <f>'1 datos preparados'!M503</f>
        <v/>
      </c>
      <c r="O510" s="7">
        <f>'1 datos preparados'!N503</f>
        <v/>
      </c>
      <c r="P510" s="7">
        <f>'1 datos preparados'!O503</f>
        <v/>
      </c>
      <c r="Q510" s="7">
        <f>'1 datos preparados'!P503</f>
        <v/>
      </c>
      <c r="R510" s="7">
        <f>'1 datos preparados'!Q503</f>
        <v/>
      </c>
      <c r="S510" s="7">
        <f>'1 datos preparados'!R503</f>
        <v/>
      </c>
      <c r="T510" s="7">
        <f>'1 datos preparados'!S503</f>
        <v/>
      </c>
      <c r="U510" s="7">
        <f>'1 datos preparados'!T503</f>
        <v/>
      </c>
      <c r="V510" s="8">
        <f>$AC$12+D510*$AC$13+E510*$AC$14+F510*$AC$15+G510*$AC$16+H510*$AC$17+I510*$AC$18+J510*$AC$19+K510*$AC$20+L510*$AC$21+M510*$AC$22+N510*$AC$23+O510*$AC$24+P510*$AC$25+Q510*$AC$26+R510*$AC$27+S510*$AC$28+T510*$AC$29+U510*$AC$30</f>
        <v/>
      </c>
      <c r="W510" s="8">
        <f>1/(1+EXP(-V510))</f>
        <v/>
      </c>
      <c r="X510" s="9">
        <f>-IF(C510=1,LN(W510),LN(1-W510))</f>
        <v/>
      </c>
      <c r="Y510" s="10">
        <f>IF(W510&gt;$AC$33,1,0)</f>
        <v/>
      </c>
      <c r="Z510">
        <f>IF(Y510=C510,1,0)</f>
        <v/>
      </c>
    </row>
    <row r="511">
      <c r="A511">
        <f>'1 datos preparados'!A504</f>
        <v/>
      </c>
      <c r="B511" s="5">
        <f>'1 datos preparados'!U504</f>
        <v/>
      </c>
      <c r="C511">
        <f>'1 datos preparados'!B504</f>
        <v/>
      </c>
      <c r="D511" s="7">
        <f>'1 datos preparados'!C504</f>
        <v/>
      </c>
      <c r="E511" s="7">
        <f>'1 datos preparados'!D504</f>
        <v/>
      </c>
      <c r="F511" s="7">
        <f>'1 datos preparados'!E504</f>
        <v/>
      </c>
      <c r="G511" s="7">
        <f>'1 datos preparados'!F504</f>
        <v/>
      </c>
      <c r="H511" s="7">
        <f>'1 datos preparados'!G504</f>
        <v/>
      </c>
      <c r="I511" s="7">
        <f>'1 datos preparados'!H504</f>
        <v/>
      </c>
      <c r="J511" s="7">
        <f>'1 datos preparados'!I504</f>
        <v/>
      </c>
      <c r="K511" s="7">
        <f>'1 datos preparados'!J504</f>
        <v/>
      </c>
      <c r="L511" s="7">
        <f>'1 datos preparados'!K504</f>
        <v/>
      </c>
      <c r="M511" s="7">
        <f>'1 datos preparados'!L504</f>
        <v/>
      </c>
      <c r="N511" s="7">
        <f>'1 datos preparados'!M504</f>
        <v/>
      </c>
      <c r="O511" s="7">
        <f>'1 datos preparados'!N504</f>
        <v/>
      </c>
      <c r="P511" s="7">
        <f>'1 datos preparados'!O504</f>
        <v/>
      </c>
      <c r="Q511" s="7">
        <f>'1 datos preparados'!P504</f>
        <v/>
      </c>
      <c r="R511" s="7">
        <f>'1 datos preparados'!Q504</f>
        <v/>
      </c>
      <c r="S511" s="7">
        <f>'1 datos preparados'!R504</f>
        <v/>
      </c>
      <c r="T511" s="7">
        <f>'1 datos preparados'!S504</f>
        <v/>
      </c>
      <c r="U511" s="7">
        <f>'1 datos preparados'!T504</f>
        <v/>
      </c>
      <c r="V511" s="8">
        <f>$AC$12+D511*$AC$13+E511*$AC$14+F511*$AC$15+G511*$AC$16+H511*$AC$17+I511*$AC$18+J511*$AC$19+K511*$AC$20+L511*$AC$21+M511*$AC$22+N511*$AC$23+O511*$AC$24+P511*$AC$25+Q511*$AC$26+R511*$AC$27+S511*$AC$28+T511*$AC$29+U511*$AC$30</f>
        <v/>
      </c>
      <c r="W511" s="8">
        <f>1/(1+EXP(-V511))</f>
        <v/>
      </c>
      <c r="X511" s="9">
        <f>-IF(C511=1,LN(W511),LN(1-W511))</f>
        <v/>
      </c>
      <c r="Y511" s="10">
        <f>IF(W511&gt;$AC$33,1,0)</f>
        <v/>
      </c>
      <c r="Z511">
        <f>IF(Y511=C511,1,0)</f>
        <v/>
      </c>
    </row>
    <row r="512">
      <c r="A512">
        <f>'1 datos preparados'!A505</f>
        <v/>
      </c>
      <c r="B512" s="5">
        <f>'1 datos preparados'!U505</f>
        <v/>
      </c>
      <c r="C512">
        <f>'1 datos preparados'!B505</f>
        <v/>
      </c>
      <c r="D512" s="7">
        <f>'1 datos preparados'!C505</f>
        <v/>
      </c>
      <c r="E512" s="7">
        <f>'1 datos preparados'!D505</f>
        <v/>
      </c>
      <c r="F512" s="7">
        <f>'1 datos preparados'!E505</f>
        <v/>
      </c>
      <c r="G512" s="7">
        <f>'1 datos preparados'!F505</f>
        <v/>
      </c>
      <c r="H512" s="7">
        <f>'1 datos preparados'!G505</f>
        <v/>
      </c>
      <c r="I512" s="7">
        <f>'1 datos preparados'!H505</f>
        <v/>
      </c>
      <c r="J512" s="7">
        <f>'1 datos preparados'!I505</f>
        <v/>
      </c>
      <c r="K512" s="7">
        <f>'1 datos preparados'!J505</f>
        <v/>
      </c>
      <c r="L512" s="7">
        <f>'1 datos preparados'!K505</f>
        <v/>
      </c>
      <c r="M512" s="7">
        <f>'1 datos preparados'!L505</f>
        <v/>
      </c>
      <c r="N512" s="7">
        <f>'1 datos preparados'!M505</f>
        <v/>
      </c>
      <c r="O512" s="7">
        <f>'1 datos preparados'!N505</f>
        <v/>
      </c>
      <c r="P512" s="7">
        <f>'1 datos preparados'!O505</f>
        <v/>
      </c>
      <c r="Q512" s="7">
        <f>'1 datos preparados'!P505</f>
        <v/>
      </c>
      <c r="R512" s="7">
        <f>'1 datos preparados'!Q505</f>
        <v/>
      </c>
      <c r="S512" s="7">
        <f>'1 datos preparados'!R505</f>
        <v/>
      </c>
      <c r="T512" s="7">
        <f>'1 datos preparados'!S505</f>
        <v/>
      </c>
      <c r="U512" s="7">
        <f>'1 datos preparados'!T505</f>
        <v/>
      </c>
      <c r="V512" s="8">
        <f>$AC$12+D512*$AC$13+E512*$AC$14+F512*$AC$15+G512*$AC$16+H512*$AC$17+I512*$AC$18+J512*$AC$19+K512*$AC$20+L512*$AC$21+M512*$AC$22+N512*$AC$23+O512*$AC$24+P512*$AC$25+Q512*$AC$26+R512*$AC$27+S512*$AC$28+T512*$AC$29+U512*$AC$30</f>
        <v/>
      </c>
      <c r="W512" s="8">
        <f>1/(1+EXP(-V512))</f>
        <v/>
      </c>
      <c r="X512" s="9">
        <f>-IF(C512=1,LN(W512),LN(1-W512))</f>
        <v/>
      </c>
      <c r="Y512" s="10">
        <f>IF(W512&gt;$AC$33,1,0)</f>
        <v/>
      </c>
      <c r="Z512">
        <f>IF(Y512=C512,1,0)</f>
        <v/>
      </c>
    </row>
    <row r="513">
      <c r="A513">
        <f>'1 datos preparados'!A506</f>
        <v/>
      </c>
      <c r="B513" s="5">
        <f>'1 datos preparados'!U506</f>
        <v/>
      </c>
      <c r="C513">
        <f>'1 datos preparados'!B506</f>
        <v/>
      </c>
      <c r="D513" s="7">
        <f>'1 datos preparados'!C506</f>
        <v/>
      </c>
      <c r="E513" s="7">
        <f>'1 datos preparados'!D506</f>
        <v/>
      </c>
      <c r="F513" s="7">
        <f>'1 datos preparados'!E506</f>
        <v/>
      </c>
      <c r="G513" s="7">
        <f>'1 datos preparados'!F506</f>
        <v/>
      </c>
      <c r="H513" s="7">
        <f>'1 datos preparados'!G506</f>
        <v/>
      </c>
      <c r="I513" s="7">
        <f>'1 datos preparados'!H506</f>
        <v/>
      </c>
      <c r="J513" s="7">
        <f>'1 datos preparados'!I506</f>
        <v/>
      </c>
      <c r="K513" s="7">
        <f>'1 datos preparados'!J506</f>
        <v/>
      </c>
      <c r="L513" s="7">
        <f>'1 datos preparados'!K506</f>
        <v/>
      </c>
      <c r="M513" s="7">
        <f>'1 datos preparados'!L506</f>
        <v/>
      </c>
      <c r="N513" s="7">
        <f>'1 datos preparados'!M506</f>
        <v/>
      </c>
      <c r="O513" s="7">
        <f>'1 datos preparados'!N506</f>
        <v/>
      </c>
      <c r="P513" s="7">
        <f>'1 datos preparados'!O506</f>
        <v/>
      </c>
      <c r="Q513" s="7">
        <f>'1 datos preparados'!P506</f>
        <v/>
      </c>
      <c r="R513" s="7">
        <f>'1 datos preparados'!Q506</f>
        <v/>
      </c>
      <c r="S513" s="7">
        <f>'1 datos preparados'!R506</f>
        <v/>
      </c>
      <c r="T513" s="7">
        <f>'1 datos preparados'!S506</f>
        <v/>
      </c>
      <c r="U513" s="7">
        <f>'1 datos preparados'!T506</f>
        <v/>
      </c>
      <c r="V513" s="8">
        <f>$AC$12+D513*$AC$13+E513*$AC$14+F513*$AC$15+G513*$AC$16+H513*$AC$17+I513*$AC$18+J513*$AC$19+K513*$AC$20+L513*$AC$21+M513*$AC$22+N513*$AC$23+O513*$AC$24+P513*$AC$25+Q513*$AC$26+R513*$AC$27+S513*$AC$28+T513*$AC$29+U513*$AC$30</f>
        <v/>
      </c>
      <c r="W513" s="8">
        <f>1/(1+EXP(-V513))</f>
        <v/>
      </c>
      <c r="X513" s="9">
        <f>-IF(C513=1,LN(W513),LN(1-W513))</f>
        <v/>
      </c>
      <c r="Y513" s="10">
        <f>IF(W513&gt;$AC$33,1,0)</f>
        <v/>
      </c>
      <c r="Z513">
        <f>IF(Y513=C513,1,0)</f>
        <v/>
      </c>
    </row>
    <row r="514">
      <c r="A514">
        <f>'1 datos preparados'!A507</f>
        <v/>
      </c>
      <c r="B514" s="5">
        <f>'1 datos preparados'!U507</f>
        <v/>
      </c>
      <c r="C514">
        <f>'1 datos preparados'!B507</f>
        <v/>
      </c>
      <c r="D514" s="7">
        <f>'1 datos preparados'!C507</f>
        <v/>
      </c>
      <c r="E514" s="7">
        <f>'1 datos preparados'!D507</f>
        <v/>
      </c>
      <c r="F514" s="7">
        <f>'1 datos preparados'!E507</f>
        <v/>
      </c>
      <c r="G514" s="7">
        <f>'1 datos preparados'!F507</f>
        <v/>
      </c>
      <c r="H514" s="7">
        <f>'1 datos preparados'!G507</f>
        <v/>
      </c>
      <c r="I514" s="7">
        <f>'1 datos preparados'!H507</f>
        <v/>
      </c>
      <c r="J514" s="7">
        <f>'1 datos preparados'!I507</f>
        <v/>
      </c>
      <c r="K514" s="7">
        <f>'1 datos preparados'!J507</f>
        <v/>
      </c>
      <c r="L514" s="7">
        <f>'1 datos preparados'!K507</f>
        <v/>
      </c>
      <c r="M514" s="7">
        <f>'1 datos preparados'!L507</f>
        <v/>
      </c>
      <c r="N514" s="7">
        <f>'1 datos preparados'!M507</f>
        <v/>
      </c>
      <c r="O514" s="7">
        <f>'1 datos preparados'!N507</f>
        <v/>
      </c>
      <c r="P514" s="7">
        <f>'1 datos preparados'!O507</f>
        <v/>
      </c>
      <c r="Q514" s="7">
        <f>'1 datos preparados'!P507</f>
        <v/>
      </c>
      <c r="R514" s="7">
        <f>'1 datos preparados'!Q507</f>
        <v/>
      </c>
      <c r="S514" s="7">
        <f>'1 datos preparados'!R507</f>
        <v/>
      </c>
      <c r="T514" s="7">
        <f>'1 datos preparados'!S507</f>
        <v/>
      </c>
      <c r="U514" s="7">
        <f>'1 datos preparados'!T507</f>
        <v/>
      </c>
      <c r="V514" s="8">
        <f>$AC$12+D514*$AC$13+E514*$AC$14+F514*$AC$15+G514*$AC$16+H514*$AC$17+I514*$AC$18+J514*$AC$19+K514*$AC$20+L514*$AC$21+M514*$AC$22+N514*$AC$23+O514*$AC$24+P514*$AC$25+Q514*$AC$26+R514*$AC$27+S514*$AC$28+T514*$AC$29+U514*$AC$30</f>
        <v/>
      </c>
      <c r="W514" s="8">
        <f>1/(1+EXP(-V514))</f>
        <v/>
      </c>
      <c r="X514" s="9">
        <f>-IF(C514=1,LN(W514),LN(1-W514))</f>
        <v/>
      </c>
      <c r="Y514" s="10">
        <f>IF(W514&gt;$AC$33,1,0)</f>
        <v/>
      </c>
      <c r="Z514">
        <f>IF(Y514=C514,1,0)</f>
        <v/>
      </c>
    </row>
    <row r="515">
      <c r="A515">
        <f>'1 datos preparados'!A508</f>
        <v/>
      </c>
      <c r="B515" s="5">
        <f>'1 datos preparados'!U508</f>
        <v/>
      </c>
      <c r="C515">
        <f>'1 datos preparados'!B508</f>
        <v/>
      </c>
      <c r="D515" s="7">
        <f>'1 datos preparados'!C508</f>
        <v/>
      </c>
      <c r="E515" s="7">
        <f>'1 datos preparados'!D508</f>
        <v/>
      </c>
      <c r="F515" s="7">
        <f>'1 datos preparados'!E508</f>
        <v/>
      </c>
      <c r="G515" s="7">
        <f>'1 datos preparados'!F508</f>
        <v/>
      </c>
      <c r="H515" s="7">
        <f>'1 datos preparados'!G508</f>
        <v/>
      </c>
      <c r="I515" s="7">
        <f>'1 datos preparados'!H508</f>
        <v/>
      </c>
      <c r="J515" s="7">
        <f>'1 datos preparados'!I508</f>
        <v/>
      </c>
      <c r="K515" s="7">
        <f>'1 datos preparados'!J508</f>
        <v/>
      </c>
      <c r="L515" s="7">
        <f>'1 datos preparados'!K508</f>
        <v/>
      </c>
      <c r="M515" s="7">
        <f>'1 datos preparados'!L508</f>
        <v/>
      </c>
      <c r="N515" s="7">
        <f>'1 datos preparados'!M508</f>
        <v/>
      </c>
      <c r="O515" s="7">
        <f>'1 datos preparados'!N508</f>
        <v/>
      </c>
      <c r="P515" s="7">
        <f>'1 datos preparados'!O508</f>
        <v/>
      </c>
      <c r="Q515" s="7">
        <f>'1 datos preparados'!P508</f>
        <v/>
      </c>
      <c r="R515" s="7">
        <f>'1 datos preparados'!Q508</f>
        <v/>
      </c>
      <c r="S515" s="7">
        <f>'1 datos preparados'!R508</f>
        <v/>
      </c>
      <c r="T515" s="7">
        <f>'1 datos preparados'!S508</f>
        <v/>
      </c>
      <c r="U515" s="7">
        <f>'1 datos preparados'!T508</f>
        <v/>
      </c>
      <c r="V515" s="8">
        <f>$AC$12+D515*$AC$13+E515*$AC$14+F515*$AC$15+G515*$AC$16+H515*$AC$17+I515*$AC$18+J515*$AC$19+K515*$AC$20+L515*$AC$21+M515*$AC$22+N515*$AC$23+O515*$AC$24+P515*$AC$25+Q515*$AC$26+R515*$AC$27+S515*$AC$28+T515*$AC$29+U515*$AC$30</f>
        <v/>
      </c>
      <c r="W515" s="8">
        <f>1/(1+EXP(-V515))</f>
        <v/>
      </c>
      <c r="X515" s="9">
        <f>-IF(C515=1,LN(W515),LN(1-W515))</f>
        <v/>
      </c>
      <c r="Y515" s="10">
        <f>IF(W515&gt;$AC$33,1,0)</f>
        <v/>
      </c>
      <c r="Z515">
        <f>IF(Y515=C515,1,0)</f>
        <v/>
      </c>
    </row>
    <row r="516">
      <c r="A516">
        <f>'1 datos preparados'!A509</f>
        <v/>
      </c>
      <c r="B516" s="5">
        <f>'1 datos preparados'!U509</f>
        <v/>
      </c>
      <c r="C516">
        <f>'1 datos preparados'!B509</f>
        <v/>
      </c>
      <c r="D516" s="7">
        <f>'1 datos preparados'!C509</f>
        <v/>
      </c>
      <c r="E516" s="7">
        <f>'1 datos preparados'!D509</f>
        <v/>
      </c>
      <c r="F516" s="7">
        <f>'1 datos preparados'!E509</f>
        <v/>
      </c>
      <c r="G516" s="7">
        <f>'1 datos preparados'!F509</f>
        <v/>
      </c>
      <c r="H516" s="7">
        <f>'1 datos preparados'!G509</f>
        <v/>
      </c>
      <c r="I516" s="7">
        <f>'1 datos preparados'!H509</f>
        <v/>
      </c>
      <c r="J516" s="7">
        <f>'1 datos preparados'!I509</f>
        <v/>
      </c>
      <c r="K516" s="7">
        <f>'1 datos preparados'!J509</f>
        <v/>
      </c>
      <c r="L516" s="7">
        <f>'1 datos preparados'!K509</f>
        <v/>
      </c>
      <c r="M516" s="7">
        <f>'1 datos preparados'!L509</f>
        <v/>
      </c>
      <c r="N516" s="7">
        <f>'1 datos preparados'!M509</f>
        <v/>
      </c>
      <c r="O516" s="7">
        <f>'1 datos preparados'!N509</f>
        <v/>
      </c>
      <c r="P516" s="7">
        <f>'1 datos preparados'!O509</f>
        <v/>
      </c>
      <c r="Q516" s="7">
        <f>'1 datos preparados'!P509</f>
        <v/>
      </c>
      <c r="R516" s="7">
        <f>'1 datos preparados'!Q509</f>
        <v/>
      </c>
      <c r="S516" s="7">
        <f>'1 datos preparados'!R509</f>
        <v/>
      </c>
      <c r="T516" s="7">
        <f>'1 datos preparados'!S509</f>
        <v/>
      </c>
      <c r="U516" s="7">
        <f>'1 datos preparados'!T509</f>
        <v/>
      </c>
      <c r="V516" s="8">
        <f>$AC$12+D516*$AC$13+E516*$AC$14+F516*$AC$15+G516*$AC$16+H516*$AC$17+I516*$AC$18+J516*$AC$19+K516*$AC$20+L516*$AC$21+M516*$AC$22+N516*$AC$23+O516*$AC$24+P516*$AC$25+Q516*$AC$26+R516*$AC$27+S516*$AC$28+T516*$AC$29+U516*$AC$30</f>
        <v/>
      </c>
      <c r="W516" s="8">
        <f>1/(1+EXP(-V516))</f>
        <v/>
      </c>
      <c r="X516" s="9">
        <f>-IF(C516=1,LN(W516),LN(1-W516))</f>
        <v/>
      </c>
      <c r="Y516" s="10">
        <f>IF(W516&gt;$AC$33,1,0)</f>
        <v/>
      </c>
      <c r="Z516">
        <f>IF(Y516=C516,1,0)</f>
        <v/>
      </c>
    </row>
    <row r="517">
      <c r="A517">
        <f>'1 datos preparados'!A510</f>
        <v/>
      </c>
      <c r="B517" s="5">
        <f>'1 datos preparados'!U510</f>
        <v/>
      </c>
      <c r="C517">
        <f>'1 datos preparados'!B510</f>
        <v/>
      </c>
      <c r="D517" s="7">
        <f>'1 datos preparados'!C510</f>
        <v/>
      </c>
      <c r="E517" s="7">
        <f>'1 datos preparados'!D510</f>
        <v/>
      </c>
      <c r="F517" s="7">
        <f>'1 datos preparados'!E510</f>
        <v/>
      </c>
      <c r="G517" s="7">
        <f>'1 datos preparados'!F510</f>
        <v/>
      </c>
      <c r="H517" s="7">
        <f>'1 datos preparados'!G510</f>
        <v/>
      </c>
      <c r="I517" s="7">
        <f>'1 datos preparados'!H510</f>
        <v/>
      </c>
      <c r="J517" s="7">
        <f>'1 datos preparados'!I510</f>
        <v/>
      </c>
      <c r="K517" s="7">
        <f>'1 datos preparados'!J510</f>
        <v/>
      </c>
      <c r="L517" s="7">
        <f>'1 datos preparados'!K510</f>
        <v/>
      </c>
      <c r="M517" s="7">
        <f>'1 datos preparados'!L510</f>
        <v/>
      </c>
      <c r="N517" s="7">
        <f>'1 datos preparados'!M510</f>
        <v/>
      </c>
      <c r="O517" s="7">
        <f>'1 datos preparados'!N510</f>
        <v/>
      </c>
      <c r="P517" s="7">
        <f>'1 datos preparados'!O510</f>
        <v/>
      </c>
      <c r="Q517" s="7">
        <f>'1 datos preparados'!P510</f>
        <v/>
      </c>
      <c r="R517" s="7">
        <f>'1 datos preparados'!Q510</f>
        <v/>
      </c>
      <c r="S517" s="7">
        <f>'1 datos preparados'!R510</f>
        <v/>
      </c>
      <c r="T517" s="7">
        <f>'1 datos preparados'!S510</f>
        <v/>
      </c>
      <c r="U517" s="7">
        <f>'1 datos preparados'!T510</f>
        <v/>
      </c>
      <c r="V517" s="8">
        <f>$AC$12+D517*$AC$13+E517*$AC$14+F517*$AC$15+G517*$AC$16+H517*$AC$17+I517*$AC$18+J517*$AC$19+K517*$AC$20+L517*$AC$21+M517*$AC$22+N517*$AC$23+O517*$AC$24+P517*$AC$25+Q517*$AC$26+R517*$AC$27+S517*$AC$28+T517*$AC$29+U517*$AC$30</f>
        <v/>
      </c>
      <c r="W517" s="8">
        <f>1/(1+EXP(-V517))</f>
        <v/>
      </c>
      <c r="X517" s="9">
        <f>-IF(C517=1,LN(W517),LN(1-W517))</f>
        <v/>
      </c>
      <c r="Y517" s="10">
        <f>IF(W517&gt;$AC$33,1,0)</f>
        <v/>
      </c>
      <c r="Z517">
        <f>IF(Y517=C517,1,0)</f>
        <v/>
      </c>
    </row>
    <row r="518">
      <c r="A518">
        <f>'1 datos preparados'!A511</f>
        <v/>
      </c>
      <c r="B518" s="5">
        <f>'1 datos preparados'!U511</f>
        <v/>
      </c>
      <c r="C518">
        <f>'1 datos preparados'!B511</f>
        <v/>
      </c>
      <c r="D518" s="7">
        <f>'1 datos preparados'!C511</f>
        <v/>
      </c>
      <c r="E518" s="7">
        <f>'1 datos preparados'!D511</f>
        <v/>
      </c>
      <c r="F518" s="7">
        <f>'1 datos preparados'!E511</f>
        <v/>
      </c>
      <c r="G518" s="7">
        <f>'1 datos preparados'!F511</f>
        <v/>
      </c>
      <c r="H518" s="7">
        <f>'1 datos preparados'!G511</f>
        <v/>
      </c>
      <c r="I518" s="7">
        <f>'1 datos preparados'!H511</f>
        <v/>
      </c>
      <c r="J518" s="7">
        <f>'1 datos preparados'!I511</f>
        <v/>
      </c>
      <c r="K518" s="7">
        <f>'1 datos preparados'!J511</f>
        <v/>
      </c>
      <c r="L518" s="7">
        <f>'1 datos preparados'!K511</f>
        <v/>
      </c>
      <c r="M518" s="7">
        <f>'1 datos preparados'!L511</f>
        <v/>
      </c>
      <c r="N518" s="7">
        <f>'1 datos preparados'!M511</f>
        <v/>
      </c>
      <c r="O518" s="7">
        <f>'1 datos preparados'!N511</f>
        <v/>
      </c>
      <c r="P518" s="7">
        <f>'1 datos preparados'!O511</f>
        <v/>
      </c>
      <c r="Q518" s="7">
        <f>'1 datos preparados'!P511</f>
        <v/>
      </c>
      <c r="R518" s="7">
        <f>'1 datos preparados'!Q511</f>
        <v/>
      </c>
      <c r="S518" s="7">
        <f>'1 datos preparados'!R511</f>
        <v/>
      </c>
      <c r="T518" s="7">
        <f>'1 datos preparados'!S511</f>
        <v/>
      </c>
      <c r="U518" s="7">
        <f>'1 datos preparados'!T511</f>
        <v/>
      </c>
      <c r="V518" s="8">
        <f>$AC$12+D518*$AC$13+E518*$AC$14+F518*$AC$15+G518*$AC$16+H518*$AC$17+I518*$AC$18+J518*$AC$19+K518*$AC$20+L518*$AC$21+M518*$AC$22+N518*$AC$23+O518*$AC$24+P518*$AC$25+Q518*$AC$26+R518*$AC$27+S518*$AC$28+T518*$AC$29+U518*$AC$30</f>
        <v/>
      </c>
      <c r="W518" s="8">
        <f>1/(1+EXP(-V518))</f>
        <v/>
      </c>
      <c r="X518" s="9">
        <f>-IF(C518=1,LN(W518),LN(1-W518))</f>
        <v/>
      </c>
      <c r="Y518" s="10">
        <f>IF(W518&gt;$AC$33,1,0)</f>
        <v/>
      </c>
      <c r="Z518">
        <f>IF(Y518=C518,1,0)</f>
        <v/>
      </c>
    </row>
    <row r="519">
      <c r="A519">
        <f>'1 datos preparados'!A512</f>
        <v/>
      </c>
      <c r="B519" s="5">
        <f>'1 datos preparados'!U512</f>
        <v/>
      </c>
      <c r="C519">
        <f>'1 datos preparados'!B512</f>
        <v/>
      </c>
      <c r="D519" s="7">
        <f>'1 datos preparados'!C512</f>
        <v/>
      </c>
      <c r="E519" s="7">
        <f>'1 datos preparados'!D512</f>
        <v/>
      </c>
      <c r="F519" s="7">
        <f>'1 datos preparados'!E512</f>
        <v/>
      </c>
      <c r="G519" s="7">
        <f>'1 datos preparados'!F512</f>
        <v/>
      </c>
      <c r="H519" s="7">
        <f>'1 datos preparados'!G512</f>
        <v/>
      </c>
      <c r="I519" s="7">
        <f>'1 datos preparados'!H512</f>
        <v/>
      </c>
      <c r="J519" s="7">
        <f>'1 datos preparados'!I512</f>
        <v/>
      </c>
      <c r="K519" s="7">
        <f>'1 datos preparados'!J512</f>
        <v/>
      </c>
      <c r="L519" s="7">
        <f>'1 datos preparados'!K512</f>
        <v/>
      </c>
      <c r="M519" s="7">
        <f>'1 datos preparados'!L512</f>
        <v/>
      </c>
      <c r="N519" s="7">
        <f>'1 datos preparados'!M512</f>
        <v/>
      </c>
      <c r="O519" s="7">
        <f>'1 datos preparados'!N512</f>
        <v/>
      </c>
      <c r="P519" s="7">
        <f>'1 datos preparados'!O512</f>
        <v/>
      </c>
      <c r="Q519" s="7">
        <f>'1 datos preparados'!P512</f>
        <v/>
      </c>
      <c r="R519" s="7">
        <f>'1 datos preparados'!Q512</f>
        <v/>
      </c>
      <c r="S519" s="7">
        <f>'1 datos preparados'!R512</f>
        <v/>
      </c>
      <c r="T519" s="7">
        <f>'1 datos preparados'!S512</f>
        <v/>
      </c>
      <c r="U519" s="7">
        <f>'1 datos preparados'!T512</f>
        <v/>
      </c>
      <c r="V519" s="8">
        <f>$AC$12+D519*$AC$13+E519*$AC$14+F519*$AC$15+G519*$AC$16+H519*$AC$17+I519*$AC$18+J519*$AC$19+K519*$AC$20+L519*$AC$21+M519*$AC$22+N519*$AC$23+O519*$AC$24+P519*$AC$25+Q519*$AC$26+R519*$AC$27+S519*$AC$28+T519*$AC$29+U519*$AC$30</f>
        <v/>
      </c>
      <c r="W519" s="8">
        <f>1/(1+EXP(-V519))</f>
        <v/>
      </c>
      <c r="X519" s="9">
        <f>-IF(C519=1,LN(W519),LN(1-W519))</f>
        <v/>
      </c>
      <c r="Y519" s="10">
        <f>IF(W519&gt;$AC$33,1,0)</f>
        <v/>
      </c>
      <c r="Z519">
        <f>IF(Y519=C519,1,0)</f>
        <v/>
      </c>
    </row>
    <row r="520">
      <c r="A520">
        <f>'1 datos preparados'!A513</f>
        <v/>
      </c>
      <c r="B520" s="5">
        <f>'1 datos preparados'!U513</f>
        <v/>
      </c>
      <c r="C520">
        <f>'1 datos preparados'!B513</f>
        <v/>
      </c>
      <c r="D520" s="7">
        <f>'1 datos preparados'!C513</f>
        <v/>
      </c>
      <c r="E520" s="7">
        <f>'1 datos preparados'!D513</f>
        <v/>
      </c>
      <c r="F520" s="7">
        <f>'1 datos preparados'!E513</f>
        <v/>
      </c>
      <c r="G520" s="7">
        <f>'1 datos preparados'!F513</f>
        <v/>
      </c>
      <c r="H520" s="7">
        <f>'1 datos preparados'!G513</f>
        <v/>
      </c>
      <c r="I520" s="7">
        <f>'1 datos preparados'!H513</f>
        <v/>
      </c>
      <c r="J520" s="7">
        <f>'1 datos preparados'!I513</f>
        <v/>
      </c>
      <c r="K520" s="7">
        <f>'1 datos preparados'!J513</f>
        <v/>
      </c>
      <c r="L520" s="7">
        <f>'1 datos preparados'!K513</f>
        <v/>
      </c>
      <c r="M520" s="7">
        <f>'1 datos preparados'!L513</f>
        <v/>
      </c>
      <c r="N520" s="7">
        <f>'1 datos preparados'!M513</f>
        <v/>
      </c>
      <c r="O520" s="7">
        <f>'1 datos preparados'!N513</f>
        <v/>
      </c>
      <c r="P520" s="7">
        <f>'1 datos preparados'!O513</f>
        <v/>
      </c>
      <c r="Q520" s="7">
        <f>'1 datos preparados'!P513</f>
        <v/>
      </c>
      <c r="R520" s="7">
        <f>'1 datos preparados'!Q513</f>
        <v/>
      </c>
      <c r="S520" s="7">
        <f>'1 datos preparados'!R513</f>
        <v/>
      </c>
      <c r="T520" s="7">
        <f>'1 datos preparados'!S513</f>
        <v/>
      </c>
      <c r="U520" s="7">
        <f>'1 datos preparados'!T513</f>
        <v/>
      </c>
      <c r="V520" s="8">
        <f>$AC$12+D520*$AC$13+E520*$AC$14+F520*$AC$15+G520*$AC$16+H520*$AC$17+I520*$AC$18+J520*$AC$19+K520*$AC$20+L520*$AC$21+M520*$AC$22+N520*$AC$23+O520*$AC$24+P520*$AC$25+Q520*$AC$26+R520*$AC$27+S520*$AC$28+T520*$AC$29+U520*$AC$30</f>
        <v/>
      </c>
      <c r="W520" s="8">
        <f>1/(1+EXP(-V520))</f>
        <v/>
      </c>
      <c r="X520" s="9">
        <f>-IF(C520=1,LN(W520),LN(1-W520))</f>
        <v/>
      </c>
      <c r="Y520" s="10">
        <f>IF(W520&gt;$AC$33,1,0)</f>
        <v/>
      </c>
      <c r="Z520">
        <f>IF(Y520=C520,1,0)</f>
        <v/>
      </c>
    </row>
    <row r="521">
      <c r="A521">
        <f>'1 datos preparados'!A514</f>
        <v/>
      </c>
      <c r="B521" s="5">
        <f>'1 datos preparados'!U514</f>
        <v/>
      </c>
      <c r="C521">
        <f>'1 datos preparados'!B514</f>
        <v/>
      </c>
      <c r="D521" s="7">
        <f>'1 datos preparados'!C514</f>
        <v/>
      </c>
      <c r="E521" s="7">
        <f>'1 datos preparados'!D514</f>
        <v/>
      </c>
      <c r="F521" s="7">
        <f>'1 datos preparados'!E514</f>
        <v/>
      </c>
      <c r="G521" s="7">
        <f>'1 datos preparados'!F514</f>
        <v/>
      </c>
      <c r="H521" s="7">
        <f>'1 datos preparados'!G514</f>
        <v/>
      </c>
      <c r="I521" s="7">
        <f>'1 datos preparados'!H514</f>
        <v/>
      </c>
      <c r="J521" s="7">
        <f>'1 datos preparados'!I514</f>
        <v/>
      </c>
      <c r="K521" s="7">
        <f>'1 datos preparados'!J514</f>
        <v/>
      </c>
      <c r="L521" s="7">
        <f>'1 datos preparados'!K514</f>
        <v/>
      </c>
      <c r="M521" s="7">
        <f>'1 datos preparados'!L514</f>
        <v/>
      </c>
      <c r="N521" s="7">
        <f>'1 datos preparados'!M514</f>
        <v/>
      </c>
      <c r="O521" s="7">
        <f>'1 datos preparados'!N514</f>
        <v/>
      </c>
      <c r="P521" s="7">
        <f>'1 datos preparados'!O514</f>
        <v/>
      </c>
      <c r="Q521" s="7">
        <f>'1 datos preparados'!P514</f>
        <v/>
      </c>
      <c r="R521" s="7">
        <f>'1 datos preparados'!Q514</f>
        <v/>
      </c>
      <c r="S521" s="7">
        <f>'1 datos preparados'!R514</f>
        <v/>
      </c>
      <c r="T521" s="7">
        <f>'1 datos preparados'!S514</f>
        <v/>
      </c>
      <c r="U521" s="7">
        <f>'1 datos preparados'!T514</f>
        <v/>
      </c>
      <c r="V521" s="8">
        <f>$AC$12+D521*$AC$13+E521*$AC$14+F521*$AC$15+G521*$AC$16+H521*$AC$17+I521*$AC$18+J521*$AC$19+K521*$AC$20+L521*$AC$21+M521*$AC$22+N521*$AC$23+O521*$AC$24+P521*$AC$25+Q521*$AC$26+R521*$AC$27+S521*$AC$28+T521*$AC$29+U521*$AC$30</f>
        <v/>
      </c>
      <c r="W521" s="8">
        <f>1/(1+EXP(-V521))</f>
        <v/>
      </c>
      <c r="X521" s="9">
        <f>-IF(C521=1,LN(W521),LN(1-W521))</f>
        <v/>
      </c>
      <c r="Y521" s="10">
        <f>IF(W521&gt;$AC$33,1,0)</f>
        <v/>
      </c>
      <c r="Z521">
        <f>IF(Y521=C521,1,0)</f>
        <v/>
      </c>
    </row>
    <row r="522">
      <c r="A522">
        <f>'1 datos preparados'!A515</f>
        <v/>
      </c>
      <c r="B522" s="5">
        <f>'1 datos preparados'!U515</f>
        <v/>
      </c>
      <c r="C522">
        <f>'1 datos preparados'!B515</f>
        <v/>
      </c>
      <c r="D522" s="7">
        <f>'1 datos preparados'!C515</f>
        <v/>
      </c>
      <c r="E522" s="7">
        <f>'1 datos preparados'!D515</f>
        <v/>
      </c>
      <c r="F522" s="7">
        <f>'1 datos preparados'!E515</f>
        <v/>
      </c>
      <c r="G522" s="7">
        <f>'1 datos preparados'!F515</f>
        <v/>
      </c>
      <c r="H522" s="7">
        <f>'1 datos preparados'!G515</f>
        <v/>
      </c>
      <c r="I522" s="7">
        <f>'1 datos preparados'!H515</f>
        <v/>
      </c>
      <c r="J522" s="7">
        <f>'1 datos preparados'!I515</f>
        <v/>
      </c>
      <c r="K522" s="7">
        <f>'1 datos preparados'!J515</f>
        <v/>
      </c>
      <c r="L522" s="7">
        <f>'1 datos preparados'!K515</f>
        <v/>
      </c>
      <c r="M522" s="7">
        <f>'1 datos preparados'!L515</f>
        <v/>
      </c>
      <c r="N522" s="7">
        <f>'1 datos preparados'!M515</f>
        <v/>
      </c>
      <c r="O522" s="7">
        <f>'1 datos preparados'!N515</f>
        <v/>
      </c>
      <c r="P522" s="7">
        <f>'1 datos preparados'!O515</f>
        <v/>
      </c>
      <c r="Q522" s="7">
        <f>'1 datos preparados'!P515</f>
        <v/>
      </c>
      <c r="R522" s="7">
        <f>'1 datos preparados'!Q515</f>
        <v/>
      </c>
      <c r="S522" s="7">
        <f>'1 datos preparados'!R515</f>
        <v/>
      </c>
      <c r="T522" s="7">
        <f>'1 datos preparados'!S515</f>
        <v/>
      </c>
      <c r="U522" s="7">
        <f>'1 datos preparados'!T515</f>
        <v/>
      </c>
      <c r="V522" s="8">
        <f>$AC$12+D522*$AC$13+E522*$AC$14+F522*$AC$15+G522*$AC$16+H522*$AC$17+I522*$AC$18+J522*$AC$19+K522*$AC$20+L522*$AC$21+M522*$AC$22+N522*$AC$23+O522*$AC$24+P522*$AC$25+Q522*$AC$26+R522*$AC$27+S522*$AC$28+T522*$AC$29+U522*$AC$30</f>
        <v/>
      </c>
      <c r="W522" s="8">
        <f>1/(1+EXP(-V522))</f>
        <v/>
      </c>
      <c r="X522" s="9">
        <f>-IF(C522=1,LN(W522),LN(1-W522))</f>
        <v/>
      </c>
      <c r="Y522" s="10">
        <f>IF(W522&gt;$AC$33,1,0)</f>
        <v/>
      </c>
      <c r="Z522">
        <f>IF(Y522=C522,1,0)</f>
        <v/>
      </c>
    </row>
    <row r="523">
      <c r="A523">
        <f>'1 datos preparados'!A516</f>
        <v/>
      </c>
      <c r="B523" s="5">
        <f>'1 datos preparados'!U516</f>
        <v/>
      </c>
      <c r="C523">
        <f>'1 datos preparados'!B516</f>
        <v/>
      </c>
      <c r="D523" s="7">
        <f>'1 datos preparados'!C516</f>
        <v/>
      </c>
      <c r="E523" s="7">
        <f>'1 datos preparados'!D516</f>
        <v/>
      </c>
      <c r="F523" s="7">
        <f>'1 datos preparados'!E516</f>
        <v/>
      </c>
      <c r="G523" s="7">
        <f>'1 datos preparados'!F516</f>
        <v/>
      </c>
      <c r="H523" s="7">
        <f>'1 datos preparados'!G516</f>
        <v/>
      </c>
      <c r="I523" s="7">
        <f>'1 datos preparados'!H516</f>
        <v/>
      </c>
      <c r="J523" s="7">
        <f>'1 datos preparados'!I516</f>
        <v/>
      </c>
      <c r="K523" s="7">
        <f>'1 datos preparados'!J516</f>
        <v/>
      </c>
      <c r="L523" s="7">
        <f>'1 datos preparados'!K516</f>
        <v/>
      </c>
      <c r="M523" s="7">
        <f>'1 datos preparados'!L516</f>
        <v/>
      </c>
      <c r="N523" s="7">
        <f>'1 datos preparados'!M516</f>
        <v/>
      </c>
      <c r="O523" s="7">
        <f>'1 datos preparados'!N516</f>
        <v/>
      </c>
      <c r="P523" s="7">
        <f>'1 datos preparados'!O516</f>
        <v/>
      </c>
      <c r="Q523" s="7">
        <f>'1 datos preparados'!P516</f>
        <v/>
      </c>
      <c r="R523" s="7">
        <f>'1 datos preparados'!Q516</f>
        <v/>
      </c>
      <c r="S523" s="7">
        <f>'1 datos preparados'!R516</f>
        <v/>
      </c>
      <c r="T523" s="7">
        <f>'1 datos preparados'!S516</f>
        <v/>
      </c>
      <c r="U523" s="7">
        <f>'1 datos preparados'!T516</f>
        <v/>
      </c>
      <c r="V523" s="8">
        <f>$AC$12+D523*$AC$13+E523*$AC$14+F523*$AC$15+G523*$AC$16+H523*$AC$17+I523*$AC$18+J523*$AC$19+K523*$AC$20+L523*$AC$21+M523*$AC$22+N523*$AC$23+O523*$AC$24+P523*$AC$25+Q523*$AC$26+R523*$AC$27+S523*$AC$28+T523*$AC$29+U523*$AC$30</f>
        <v/>
      </c>
      <c r="W523" s="8">
        <f>1/(1+EXP(-V523))</f>
        <v/>
      </c>
      <c r="X523" s="9">
        <f>-IF(C523=1,LN(W523),LN(1-W523))</f>
        <v/>
      </c>
      <c r="Y523" s="10">
        <f>IF(W523&gt;$AC$33,1,0)</f>
        <v/>
      </c>
      <c r="Z523">
        <f>IF(Y523=C523,1,0)</f>
        <v/>
      </c>
    </row>
    <row r="524">
      <c r="A524">
        <f>'1 datos preparados'!A517</f>
        <v/>
      </c>
      <c r="B524" s="5">
        <f>'1 datos preparados'!U517</f>
        <v/>
      </c>
      <c r="C524">
        <f>'1 datos preparados'!B517</f>
        <v/>
      </c>
      <c r="D524" s="7">
        <f>'1 datos preparados'!C517</f>
        <v/>
      </c>
      <c r="E524" s="7">
        <f>'1 datos preparados'!D517</f>
        <v/>
      </c>
      <c r="F524" s="7">
        <f>'1 datos preparados'!E517</f>
        <v/>
      </c>
      <c r="G524" s="7">
        <f>'1 datos preparados'!F517</f>
        <v/>
      </c>
      <c r="H524" s="7">
        <f>'1 datos preparados'!G517</f>
        <v/>
      </c>
      <c r="I524" s="7">
        <f>'1 datos preparados'!H517</f>
        <v/>
      </c>
      <c r="J524" s="7">
        <f>'1 datos preparados'!I517</f>
        <v/>
      </c>
      <c r="K524" s="7">
        <f>'1 datos preparados'!J517</f>
        <v/>
      </c>
      <c r="L524" s="7">
        <f>'1 datos preparados'!K517</f>
        <v/>
      </c>
      <c r="M524" s="7">
        <f>'1 datos preparados'!L517</f>
        <v/>
      </c>
      <c r="N524" s="7">
        <f>'1 datos preparados'!M517</f>
        <v/>
      </c>
      <c r="O524" s="7">
        <f>'1 datos preparados'!N517</f>
        <v/>
      </c>
      <c r="P524" s="7">
        <f>'1 datos preparados'!O517</f>
        <v/>
      </c>
      <c r="Q524" s="7">
        <f>'1 datos preparados'!P517</f>
        <v/>
      </c>
      <c r="R524" s="7">
        <f>'1 datos preparados'!Q517</f>
        <v/>
      </c>
      <c r="S524" s="7">
        <f>'1 datos preparados'!R517</f>
        <v/>
      </c>
      <c r="T524" s="7">
        <f>'1 datos preparados'!S517</f>
        <v/>
      </c>
      <c r="U524" s="7">
        <f>'1 datos preparados'!T517</f>
        <v/>
      </c>
      <c r="V524" s="8">
        <f>$AC$12+D524*$AC$13+E524*$AC$14+F524*$AC$15+G524*$AC$16+H524*$AC$17+I524*$AC$18+J524*$AC$19+K524*$AC$20+L524*$AC$21+M524*$AC$22+N524*$AC$23+O524*$AC$24+P524*$AC$25+Q524*$AC$26+R524*$AC$27+S524*$AC$28+T524*$AC$29+U524*$AC$30</f>
        <v/>
      </c>
      <c r="W524" s="8">
        <f>1/(1+EXP(-V524))</f>
        <v/>
      </c>
      <c r="X524" s="9">
        <f>-IF(C524=1,LN(W524),LN(1-W524))</f>
        <v/>
      </c>
      <c r="Y524" s="10">
        <f>IF(W524&gt;$AC$33,1,0)</f>
        <v/>
      </c>
      <c r="Z524">
        <f>IF(Y524=C524,1,0)</f>
        <v/>
      </c>
    </row>
    <row r="525">
      <c r="A525">
        <f>'1 datos preparados'!A518</f>
        <v/>
      </c>
      <c r="B525" s="5">
        <f>'1 datos preparados'!U518</f>
        <v/>
      </c>
      <c r="C525">
        <f>'1 datos preparados'!B518</f>
        <v/>
      </c>
      <c r="D525" s="7">
        <f>'1 datos preparados'!C518</f>
        <v/>
      </c>
      <c r="E525" s="7">
        <f>'1 datos preparados'!D518</f>
        <v/>
      </c>
      <c r="F525" s="7">
        <f>'1 datos preparados'!E518</f>
        <v/>
      </c>
      <c r="G525" s="7">
        <f>'1 datos preparados'!F518</f>
        <v/>
      </c>
      <c r="H525" s="7">
        <f>'1 datos preparados'!G518</f>
        <v/>
      </c>
      <c r="I525" s="7">
        <f>'1 datos preparados'!H518</f>
        <v/>
      </c>
      <c r="J525" s="7">
        <f>'1 datos preparados'!I518</f>
        <v/>
      </c>
      <c r="K525" s="7">
        <f>'1 datos preparados'!J518</f>
        <v/>
      </c>
      <c r="L525" s="7">
        <f>'1 datos preparados'!K518</f>
        <v/>
      </c>
      <c r="M525" s="7">
        <f>'1 datos preparados'!L518</f>
        <v/>
      </c>
      <c r="N525" s="7">
        <f>'1 datos preparados'!M518</f>
        <v/>
      </c>
      <c r="O525" s="7">
        <f>'1 datos preparados'!N518</f>
        <v/>
      </c>
      <c r="P525" s="7">
        <f>'1 datos preparados'!O518</f>
        <v/>
      </c>
      <c r="Q525" s="7">
        <f>'1 datos preparados'!P518</f>
        <v/>
      </c>
      <c r="R525" s="7">
        <f>'1 datos preparados'!Q518</f>
        <v/>
      </c>
      <c r="S525" s="7">
        <f>'1 datos preparados'!R518</f>
        <v/>
      </c>
      <c r="T525" s="7">
        <f>'1 datos preparados'!S518</f>
        <v/>
      </c>
      <c r="U525" s="7">
        <f>'1 datos preparados'!T518</f>
        <v/>
      </c>
      <c r="V525" s="8">
        <f>$AC$12+D525*$AC$13+E525*$AC$14+F525*$AC$15+G525*$AC$16+H525*$AC$17+I525*$AC$18+J525*$AC$19+K525*$AC$20+L525*$AC$21+M525*$AC$22+N525*$AC$23+O525*$AC$24+P525*$AC$25+Q525*$AC$26+R525*$AC$27+S525*$AC$28+T525*$AC$29+U525*$AC$30</f>
        <v/>
      </c>
      <c r="W525" s="8">
        <f>1/(1+EXP(-V525))</f>
        <v/>
      </c>
      <c r="X525" s="9">
        <f>-IF(C525=1,LN(W525),LN(1-W525))</f>
        <v/>
      </c>
      <c r="Y525" s="10">
        <f>IF(W525&gt;$AC$33,1,0)</f>
        <v/>
      </c>
      <c r="Z525">
        <f>IF(Y525=C525,1,0)</f>
        <v/>
      </c>
    </row>
    <row r="526">
      <c r="A526">
        <f>'1 datos preparados'!A519</f>
        <v/>
      </c>
      <c r="B526" s="5">
        <f>'1 datos preparados'!U519</f>
        <v/>
      </c>
      <c r="C526">
        <f>'1 datos preparados'!B519</f>
        <v/>
      </c>
      <c r="D526" s="7">
        <f>'1 datos preparados'!C519</f>
        <v/>
      </c>
      <c r="E526" s="7">
        <f>'1 datos preparados'!D519</f>
        <v/>
      </c>
      <c r="F526" s="7">
        <f>'1 datos preparados'!E519</f>
        <v/>
      </c>
      <c r="G526" s="7">
        <f>'1 datos preparados'!F519</f>
        <v/>
      </c>
      <c r="H526" s="7">
        <f>'1 datos preparados'!G519</f>
        <v/>
      </c>
      <c r="I526" s="7">
        <f>'1 datos preparados'!H519</f>
        <v/>
      </c>
      <c r="J526" s="7">
        <f>'1 datos preparados'!I519</f>
        <v/>
      </c>
      <c r="K526" s="7">
        <f>'1 datos preparados'!J519</f>
        <v/>
      </c>
      <c r="L526" s="7">
        <f>'1 datos preparados'!K519</f>
        <v/>
      </c>
      <c r="M526" s="7">
        <f>'1 datos preparados'!L519</f>
        <v/>
      </c>
      <c r="N526" s="7">
        <f>'1 datos preparados'!M519</f>
        <v/>
      </c>
      <c r="O526" s="7">
        <f>'1 datos preparados'!N519</f>
        <v/>
      </c>
      <c r="P526" s="7">
        <f>'1 datos preparados'!O519</f>
        <v/>
      </c>
      <c r="Q526" s="7">
        <f>'1 datos preparados'!P519</f>
        <v/>
      </c>
      <c r="R526" s="7">
        <f>'1 datos preparados'!Q519</f>
        <v/>
      </c>
      <c r="S526" s="7">
        <f>'1 datos preparados'!R519</f>
        <v/>
      </c>
      <c r="T526" s="7">
        <f>'1 datos preparados'!S519</f>
        <v/>
      </c>
      <c r="U526" s="7">
        <f>'1 datos preparados'!T519</f>
        <v/>
      </c>
      <c r="V526" s="8">
        <f>$AC$12+D526*$AC$13+E526*$AC$14+F526*$AC$15+G526*$AC$16+H526*$AC$17+I526*$AC$18+J526*$AC$19+K526*$AC$20+L526*$AC$21+M526*$AC$22+N526*$AC$23+O526*$AC$24+P526*$AC$25+Q526*$AC$26+R526*$AC$27+S526*$AC$28+T526*$AC$29+U526*$AC$30</f>
        <v/>
      </c>
      <c r="W526" s="8">
        <f>1/(1+EXP(-V526))</f>
        <v/>
      </c>
      <c r="X526" s="9">
        <f>-IF(C526=1,LN(W526),LN(1-W526))</f>
        <v/>
      </c>
      <c r="Y526" s="10">
        <f>IF(W526&gt;$AC$33,1,0)</f>
        <v/>
      </c>
      <c r="Z526">
        <f>IF(Y526=C526,1,0)</f>
        <v/>
      </c>
    </row>
    <row r="527">
      <c r="A527">
        <f>'1 datos preparados'!A520</f>
        <v/>
      </c>
      <c r="B527" s="5">
        <f>'1 datos preparados'!U520</f>
        <v/>
      </c>
      <c r="C527">
        <f>'1 datos preparados'!B520</f>
        <v/>
      </c>
      <c r="D527" s="7">
        <f>'1 datos preparados'!C520</f>
        <v/>
      </c>
      <c r="E527" s="7">
        <f>'1 datos preparados'!D520</f>
        <v/>
      </c>
      <c r="F527" s="7">
        <f>'1 datos preparados'!E520</f>
        <v/>
      </c>
      <c r="G527" s="7">
        <f>'1 datos preparados'!F520</f>
        <v/>
      </c>
      <c r="H527" s="7">
        <f>'1 datos preparados'!G520</f>
        <v/>
      </c>
      <c r="I527" s="7">
        <f>'1 datos preparados'!H520</f>
        <v/>
      </c>
      <c r="J527" s="7">
        <f>'1 datos preparados'!I520</f>
        <v/>
      </c>
      <c r="K527" s="7">
        <f>'1 datos preparados'!J520</f>
        <v/>
      </c>
      <c r="L527" s="7">
        <f>'1 datos preparados'!K520</f>
        <v/>
      </c>
      <c r="M527" s="7">
        <f>'1 datos preparados'!L520</f>
        <v/>
      </c>
      <c r="N527" s="7">
        <f>'1 datos preparados'!M520</f>
        <v/>
      </c>
      <c r="O527" s="7">
        <f>'1 datos preparados'!N520</f>
        <v/>
      </c>
      <c r="P527" s="7">
        <f>'1 datos preparados'!O520</f>
        <v/>
      </c>
      <c r="Q527" s="7">
        <f>'1 datos preparados'!P520</f>
        <v/>
      </c>
      <c r="R527" s="7">
        <f>'1 datos preparados'!Q520</f>
        <v/>
      </c>
      <c r="S527" s="7">
        <f>'1 datos preparados'!R520</f>
        <v/>
      </c>
      <c r="T527" s="7">
        <f>'1 datos preparados'!S520</f>
        <v/>
      </c>
      <c r="U527" s="7">
        <f>'1 datos preparados'!T520</f>
        <v/>
      </c>
      <c r="V527" s="8">
        <f>$AC$12+D527*$AC$13+E527*$AC$14+F527*$AC$15+G527*$AC$16+H527*$AC$17+I527*$AC$18+J527*$AC$19+K527*$AC$20+L527*$AC$21+M527*$AC$22+N527*$AC$23+O527*$AC$24+P527*$AC$25+Q527*$AC$26+R527*$AC$27+S527*$AC$28+T527*$AC$29+U527*$AC$30</f>
        <v/>
      </c>
      <c r="W527" s="8">
        <f>1/(1+EXP(-V527))</f>
        <v/>
      </c>
      <c r="X527" s="9">
        <f>-IF(C527=1,LN(W527),LN(1-W527))</f>
        <v/>
      </c>
      <c r="Y527" s="10">
        <f>IF(W527&gt;$AC$33,1,0)</f>
        <v/>
      </c>
      <c r="Z527">
        <f>IF(Y527=C527,1,0)</f>
        <v/>
      </c>
    </row>
    <row r="528">
      <c r="A528">
        <f>'1 datos preparados'!A521</f>
        <v/>
      </c>
      <c r="B528" s="5">
        <f>'1 datos preparados'!U521</f>
        <v/>
      </c>
      <c r="C528">
        <f>'1 datos preparados'!B521</f>
        <v/>
      </c>
      <c r="D528" s="7">
        <f>'1 datos preparados'!C521</f>
        <v/>
      </c>
      <c r="E528" s="7">
        <f>'1 datos preparados'!D521</f>
        <v/>
      </c>
      <c r="F528" s="7">
        <f>'1 datos preparados'!E521</f>
        <v/>
      </c>
      <c r="G528" s="7">
        <f>'1 datos preparados'!F521</f>
        <v/>
      </c>
      <c r="H528" s="7">
        <f>'1 datos preparados'!G521</f>
        <v/>
      </c>
      <c r="I528" s="7">
        <f>'1 datos preparados'!H521</f>
        <v/>
      </c>
      <c r="J528" s="7">
        <f>'1 datos preparados'!I521</f>
        <v/>
      </c>
      <c r="K528" s="7">
        <f>'1 datos preparados'!J521</f>
        <v/>
      </c>
      <c r="L528" s="7">
        <f>'1 datos preparados'!K521</f>
        <v/>
      </c>
      <c r="M528" s="7">
        <f>'1 datos preparados'!L521</f>
        <v/>
      </c>
      <c r="N528" s="7">
        <f>'1 datos preparados'!M521</f>
        <v/>
      </c>
      <c r="O528" s="7">
        <f>'1 datos preparados'!N521</f>
        <v/>
      </c>
      <c r="P528" s="7">
        <f>'1 datos preparados'!O521</f>
        <v/>
      </c>
      <c r="Q528" s="7">
        <f>'1 datos preparados'!P521</f>
        <v/>
      </c>
      <c r="R528" s="7">
        <f>'1 datos preparados'!Q521</f>
        <v/>
      </c>
      <c r="S528" s="7">
        <f>'1 datos preparados'!R521</f>
        <v/>
      </c>
      <c r="T528" s="7">
        <f>'1 datos preparados'!S521</f>
        <v/>
      </c>
      <c r="U528" s="7">
        <f>'1 datos preparados'!T521</f>
        <v/>
      </c>
      <c r="V528" s="8">
        <f>$AC$12+D528*$AC$13+E528*$AC$14+F528*$AC$15+G528*$AC$16+H528*$AC$17+I528*$AC$18+J528*$AC$19+K528*$AC$20+L528*$AC$21+M528*$AC$22+N528*$AC$23+O528*$AC$24+P528*$AC$25+Q528*$AC$26+R528*$AC$27+S528*$AC$28+T528*$AC$29+U528*$AC$30</f>
        <v/>
      </c>
      <c r="W528" s="8">
        <f>1/(1+EXP(-V528))</f>
        <v/>
      </c>
      <c r="X528" s="9">
        <f>-IF(C528=1,LN(W528),LN(1-W528))</f>
        <v/>
      </c>
      <c r="Y528" s="10">
        <f>IF(W528&gt;$AC$33,1,0)</f>
        <v/>
      </c>
      <c r="Z528">
        <f>IF(Y528=C528,1,0)</f>
        <v/>
      </c>
    </row>
    <row r="529">
      <c r="A529">
        <f>'1 datos preparados'!A522</f>
        <v/>
      </c>
      <c r="B529" s="5">
        <f>'1 datos preparados'!U522</f>
        <v/>
      </c>
      <c r="C529">
        <f>'1 datos preparados'!B522</f>
        <v/>
      </c>
      <c r="D529" s="7">
        <f>'1 datos preparados'!C522</f>
        <v/>
      </c>
      <c r="E529" s="7">
        <f>'1 datos preparados'!D522</f>
        <v/>
      </c>
      <c r="F529" s="7">
        <f>'1 datos preparados'!E522</f>
        <v/>
      </c>
      <c r="G529" s="7">
        <f>'1 datos preparados'!F522</f>
        <v/>
      </c>
      <c r="H529" s="7">
        <f>'1 datos preparados'!G522</f>
        <v/>
      </c>
      <c r="I529" s="7">
        <f>'1 datos preparados'!H522</f>
        <v/>
      </c>
      <c r="J529" s="7">
        <f>'1 datos preparados'!I522</f>
        <v/>
      </c>
      <c r="K529" s="7">
        <f>'1 datos preparados'!J522</f>
        <v/>
      </c>
      <c r="L529" s="7">
        <f>'1 datos preparados'!K522</f>
        <v/>
      </c>
      <c r="M529" s="7">
        <f>'1 datos preparados'!L522</f>
        <v/>
      </c>
      <c r="N529" s="7">
        <f>'1 datos preparados'!M522</f>
        <v/>
      </c>
      <c r="O529" s="7">
        <f>'1 datos preparados'!N522</f>
        <v/>
      </c>
      <c r="P529" s="7">
        <f>'1 datos preparados'!O522</f>
        <v/>
      </c>
      <c r="Q529" s="7">
        <f>'1 datos preparados'!P522</f>
        <v/>
      </c>
      <c r="R529" s="7">
        <f>'1 datos preparados'!Q522</f>
        <v/>
      </c>
      <c r="S529" s="7">
        <f>'1 datos preparados'!R522</f>
        <v/>
      </c>
      <c r="T529" s="7">
        <f>'1 datos preparados'!S522</f>
        <v/>
      </c>
      <c r="U529" s="7">
        <f>'1 datos preparados'!T522</f>
        <v/>
      </c>
      <c r="V529" s="8">
        <f>$AC$12+D529*$AC$13+E529*$AC$14+F529*$AC$15+G529*$AC$16+H529*$AC$17+I529*$AC$18+J529*$AC$19+K529*$AC$20+L529*$AC$21+M529*$AC$22+N529*$AC$23+O529*$AC$24+P529*$AC$25+Q529*$AC$26+R529*$AC$27+S529*$AC$28+T529*$AC$29+U529*$AC$30</f>
        <v/>
      </c>
      <c r="W529" s="8">
        <f>1/(1+EXP(-V529))</f>
        <v/>
      </c>
      <c r="X529" s="9">
        <f>-IF(C529=1,LN(W529),LN(1-W529))</f>
        <v/>
      </c>
      <c r="Y529" s="10">
        <f>IF(W529&gt;$AC$33,1,0)</f>
        <v/>
      </c>
      <c r="Z529">
        <f>IF(Y529=C529,1,0)</f>
        <v/>
      </c>
    </row>
    <row r="530">
      <c r="A530">
        <f>'1 datos preparados'!A523</f>
        <v/>
      </c>
      <c r="B530" s="5">
        <f>'1 datos preparados'!U523</f>
        <v/>
      </c>
      <c r="C530">
        <f>'1 datos preparados'!B523</f>
        <v/>
      </c>
      <c r="D530" s="7">
        <f>'1 datos preparados'!C523</f>
        <v/>
      </c>
      <c r="E530" s="7">
        <f>'1 datos preparados'!D523</f>
        <v/>
      </c>
      <c r="F530" s="7">
        <f>'1 datos preparados'!E523</f>
        <v/>
      </c>
      <c r="G530" s="7">
        <f>'1 datos preparados'!F523</f>
        <v/>
      </c>
      <c r="H530" s="7">
        <f>'1 datos preparados'!G523</f>
        <v/>
      </c>
      <c r="I530" s="7">
        <f>'1 datos preparados'!H523</f>
        <v/>
      </c>
      <c r="J530" s="7">
        <f>'1 datos preparados'!I523</f>
        <v/>
      </c>
      <c r="K530" s="7">
        <f>'1 datos preparados'!J523</f>
        <v/>
      </c>
      <c r="L530" s="7">
        <f>'1 datos preparados'!K523</f>
        <v/>
      </c>
      <c r="M530" s="7">
        <f>'1 datos preparados'!L523</f>
        <v/>
      </c>
      <c r="N530" s="7">
        <f>'1 datos preparados'!M523</f>
        <v/>
      </c>
      <c r="O530" s="7">
        <f>'1 datos preparados'!N523</f>
        <v/>
      </c>
      <c r="P530" s="7">
        <f>'1 datos preparados'!O523</f>
        <v/>
      </c>
      <c r="Q530" s="7">
        <f>'1 datos preparados'!P523</f>
        <v/>
      </c>
      <c r="R530" s="7">
        <f>'1 datos preparados'!Q523</f>
        <v/>
      </c>
      <c r="S530" s="7">
        <f>'1 datos preparados'!R523</f>
        <v/>
      </c>
      <c r="T530" s="7">
        <f>'1 datos preparados'!S523</f>
        <v/>
      </c>
      <c r="U530" s="7">
        <f>'1 datos preparados'!T523</f>
        <v/>
      </c>
      <c r="V530" s="8">
        <f>$AC$12+D530*$AC$13+E530*$AC$14+F530*$AC$15+G530*$AC$16+H530*$AC$17+I530*$AC$18+J530*$AC$19+K530*$AC$20+L530*$AC$21+M530*$AC$22+N530*$AC$23+O530*$AC$24+P530*$AC$25+Q530*$AC$26+R530*$AC$27+S530*$AC$28+T530*$AC$29+U530*$AC$30</f>
        <v/>
      </c>
      <c r="W530" s="8">
        <f>1/(1+EXP(-V530))</f>
        <v/>
      </c>
      <c r="X530" s="9">
        <f>-IF(C530=1,LN(W530),LN(1-W530))</f>
        <v/>
      </c>
      <c r="Y530" s="10">
        <f>IF(W530&gt;$AC$33,1,0)</f>
        <v/>
      </c>
      <c r="Z530">
        <f>IF(Y530=C530,1,0)</f>
        <v/>
      </c>
    </row>
    <row r="531">
      <c r="A531">
        <f>'1 datos preparados'!A524</f>
        <v/>
      </c>
      <c r="B531" s="5">
        <f>'1 datos preparados'!U524</f>
        <v/>
      </c>
      <c r="C531">
        <f>'1 datos preparados'!B524</f>
        <v/>
      </c>
      <c r="D531" s="7">
        <f>'1 datos preparados'!C524</f>
        <v/>
      </c>
      <c r="E531" s="7">
        <f>'1 datos preparados'!D524</f>
        <v/>
      </c>
      <c r="F531" s="7">
        <f>'1 datos preparados'!E524</f>
        <v/>
      </c>
      <c r="G531" s="7">
        <f>'1 datos preparados'!F524</f>
        <v/>
      </c>
      <c r="H531" s="7">
        <f>'1 datos preparados'!G524</f>
        <v/>
      </c>
      <c r="I531" s="7">
        <f>'1 datos preparados'!H524</f>
        <v/>
      </c>
      <c r="J531" s="7">
        <f>'1 datos preparados'!I524</f>
        <v/>
      </c>
      <c r="K531" s="7">
        <f>'1 datos preparados'!J524</f>
        <v/>
      </c>
      <c r="L531" s="7">
        <f>'1 datos preparados'!K524</f>
        <v/>
      </c>
      <c r="M531" s="7">
        <f>'1 datos preparados'!L524</f>
        <v/>
      </c>
      <c r="N531" s="7">
        <f>'1 datos preparados'!M524</f>
        <v/>
      </c>
      <c r="O531" s="7">
        <f>'1 datos preparados'!N524</f>
        <v/>
      </c>
      <c r="P531" s="7">
        <f>'1 datos preparados'!O524</f>
        <v/>
      </c>
      <c r="Q531" s="7">
        <f>'1 datos preparados'!P524</f>
        <v/>
      </c>
      <c r="R531" s="7">
        <f>'1 datos preparados'!Q524</f>
        <v/>
      </c>
      <c r="S531" s="7">
        <f>'1 datos preparados'!R524</f>
        <v/>
      </c>
      <c r="T531" s="7">
        <f>'1 datos preparados'!S524</f>
        <v/>
      </c>
      <c r="U531" s="7">
        <f>'1 datos preparados'!T524</f>
        <v/>
      </c>
      <c r="V531" s="8">
        <f>$AC$12+D531*$AC$13+E531*$AC$14+F531*$AC$15+G531*$AC$16+H531*$AC$17+I531*$AC$18+J531*$AC$19+K531*$AC$20+L531*$AC$21+M531*$AC$22+N531*$AC$23+O531*$AC$24+P531*$AC$25+Q531*$AC$26+R531*$AC$27+S531*$AC$28+T531*$AC$29+U531*$AC$30</f>
        <v/>
      </c>
      <c r="W531" s="8">
        <f>1/(1+EXP(-V531))</f>
        <v/>
      </c>
      <c r="X531" s="9">
        <f>-IF(C531=1,LN(W531),LN(1-W531))</f>
        <v/>
      </c>
      <c r="Y531" s="10">
        <f>IF(W531&gt;$AC$33,1,0)</f>
        <v/>
      </c>
      <c r="Z531">
        <f>IF(Y531=C531,1,0)</f>
        <v/>
      </c>
    </row>
    <row r="532">
      <c r="A532">
        <f>'1 datos preparados'!A525</f>
        <v/>
      </c>
      <c r="B532" s="5">
        <f>'1 datos preparados'!U525</f>
        <v/>
      </c>
      <c r="C532">
        <f>'1 datos preparados'!B525</f>
        <v/>
      </c>
      <c r="D532" s="7">
        <f>'1 datos preparados'!C525</f>
        <v/>
      </c>
      <c r="E532" s="7">
        <f>'1 datos preparados'!D525</f>
        <v/>
      </c>
      <c r="F532" s="7">
        <f>'1 datos preparados'!E525</f>
        <v/>
      </c>
      <c r="G532" s="7">
        <f>'1 datos preparados'!F525</f>
        <v/>
      </c>
      <c r="H532" s="7">
        <f>'1 datos preparados'!G525</f>
        <v/>
      </c>
      <c r="I532" s="7">
        <f>'1 datos preparados'!H525</f>
        <v/>
      </c>
      <c r="J532" s="7">
        <f>'1 datos preparados'!I525</f>
        <v/>
      </c>
      <c r="K532" s="7">
        <f>'1 datos preparados'!J525</f>
        <v/>
      </c>
      <c r="L532" s="7">
        <f>'1 datos preparados'!K525</f>
        <v/>
      </c>
      <c r="M532" s="7">
        <f>'1 datos preparados'!L525</f>
        <v/>
      </c>
      <c r="N532" s="7">
        <f>'1 datos preparados'!M525</f>
        <v/>
      </c>
      <c r="O532" s="7">
        <f>'1 datos preparados'!N525</f>
        <v/>
      </c>
      <c r="P532" s="7">
        <f>'1 datos preparados'!O525</f>
        <v/>
      </c>
      <c r="Q532" s="7">
        <f>'1 datos preparados'!P525</f>
        <v/>
      </c>
      <c r="R532" s="7">
        <f>'1 datos preparados'!Q525</f>
        <v/>
      </c>
      <c r="S532" s="7">
        <f>'1 datos preparados'!R525</f>
        <v/>
      </c>
      <c r="T532" s="7">
        <f>'1 datos preparados'!S525</f>
        <v/>
      </c>
      <c r="U532" s="7">
        <f>'1 datos preparados'!T525</f>
        <v/>
      </c>
      <c r="V532" s="8">
        <f>$AC$12+D532*$AC$13+E532*$AC$14+F532*$AC$15+G532*$AC$16+H532*$AC$17+I532*$AC$18+J532*$AC$19+K532*$AC$20+L532*$AC$21+M532*$AC$22+N532*$AC$23+O532*$AC$24+P532*$AC$25+Q532*$AC$26+R532*$AC$27+S532*$AC$28+T532*$AC$29+U532*$AC$30</f>
        <v/>
      </c>
      <c r="W532" s="8">
        <f>1/(1+EXP(-V532))</f>
        <v/>
      </c>
      <c r="X532" s="9">
        <f>-IF(C532=1,LN(W532),LN(1-W532))</f>
        <v/>
      </c>
      <c r="Y532" s="10">
        <f>IF(W532&gt;$AC$33,1,0)</f>
        <v/>
      </c>
      <c r="Z532">
        <f>IF(Y532=C532,1,0)</f>
        <v/>
      </c>
    </row>
    <row r="533">
      <c r="A533">
        <f>'1 datos preparados'!A526</f>
        <v/>
      </c>
      <c r="B533" s="5">
        <f>'1 datos preparados'!U526</f>
        <v/>
      </c>
      <c r="C533">
        <f>'1 datos preparados'!B526</f>
        <v/>
      </c>
      <c r="D533" s="7">
        <f>'1 datos preparados'!C526</f>
        <v/>
      </c>
      <c r="E533" s="7">
        <f>'1 datos preparados'!D526</f>
        <v/>
      </c>
      <c r="F533" s="7">
        <f>'1 datos preparados'!E526</f>
        <v/>
      </c>
      <c r="G533" s="7">
        <f>'1 datos preparados'!F526</f>
        <v/>
      </c>
      <c r="H533" s="7">
        <f>'1 datos preparados'!G526</f>
        <v/>
      </c>
      <c r="I533" s="7">
        <f>'1 datos preparados'!H526</f>
        <v/>
      </c>
      <c r="J533" s="7">
        <f>'1 datos preparados'!I526</f>
        <v/>
      </c>
      <c r="K533" s="7">
        <f>'1 datos preparados'!J526</f>
        <v/>
      </c>
      <c r="L533" s="7">
        <f>'1 datos preparados'!K526</f>
        <v/>
      </c>
      <c r="M533" s="7">
        <f>'1 datos preparados'!L526</f>
        <v/>
      </c>
      <c r="N533" s="7">
        <f>'1 datos preparados'!M526</f>
        <v/>
      </c>
      <c r="O533" s="7">
        <f>'1 datos preparados'!N526</f>
        <v/>
      </c>
      <c r="P533" s="7">
        <f>'1 datos preparados'!O526</f>
        <v/>
      </c>
      <c r="Q533" s="7">
        <f>'1 datos preparados'!P526</f>
        <v/>
      </c>
      <c r="R533" s="7">
        <f>'1 datos preparados'!Q526</f>
        <v/>
      </c>
      <c r="S533" s="7">
        <f>'1 datos preparados'!R526</f>
        <v/>
      </c>
      <c r="T533" s="7">
        <f>'1 datos preparados'!S526</f>
        <v/>
      </c>
      <c r="U533" s="7">
        <f>'1 datos preparados'!T526</f>
        <v/>
      </c>
      <c r="V533" s="8">
        <f>$AC$12+D533*$AC$13+E533*$AC$14+F533*$AC$15+G533*$AC$16+H533*$AC$17+I533*$AC$18+J533*$AC$19+K533*$AC$20+L533*$AC$21+M533*$AC$22+N533*$AC$23+O533*$AC$24+P533*$AC$25+Q533*$AC$26+R533*$AC$27+S533*$AC$28+T533*$AC$29+U533*$AC$30</f>
        <v/>
      </c>
      <c r="W533" s="8">
        <f>1/(1+EXP(-V533))</f>
        <v/>
      </c>
      <c r="X533" s="9">
        <f>-IF(C533=1,LN(W533),LN(1-W533))</f>
        <v/>
      </c>
      <c r="Y533" s="10">
        <f>IF(W533&gt;$AC$33,1,0)</f>
        <v/>
      </c>
      <c r="Z533">
        <f>IF(Y533=C533,1,0)</f>
        <v/>
      </c>
    </row>
    <row r="534">
      <c r="A534">
        <f>'1 datos preparados'!A527</f>
        <v/>
      </c>
      <c r="B534" s="5">
        <f>'1 datos preparados'!U527</f>
        <v/>
      </c>
      <c r="C534">
        <f>'1 datos preparados'!B527</f>
        <v/>
      </c>
      <c r="D534" s="7">
        <f>'1 datos preparados'!C527</f>
        <v/>
      </c>
      <c r="E534" s="7">
        <f>'1 datos preparados'!D527</f>
        <v/>
      </c>
      <c r="F534" s="7">
        <f>'1 datos preparados'!E527</f>
        <v/>
      </c>
      <c r="G534" s="7">
        <f>'1 datos preparados'!F527</f>
        <v/>
      </c>
      <c r="H534" s="7">
        <f>'1 datos preparados'!G527</f>
        <v/>
      </c>
      <c r="I534" s="7">
        <f>'1 datos preparados'!H527</f>
        <v/>
      </c>
      <c r="J534" s="7">
        <f>'1 datos preparados'!I527</f>
        <v/>
      </c>
      <c r="K534" s="7">
        <f>'1 datos preparados'!J527</f>
        <v/>
      </c>
      <c r="L534" s="7">
        <f>'1 datos preparados'!K527</f>
        <v/>
      </c>
      <c r="M534" s="7">
        <f>'1 datos preparados'!L527</f>
        <v/>
      </c>
      <c r="N534" s="7">
        <f>'1 datos preparados'!M527</f>
        <v/>
      </c>
      <c r="O534" s="7">
        <f>'1 datos preparados'!N527</f>
        <v/>
      </c>
      <c r="P534" s="7">
        <f>'1 datos preparados'!O527</f>
        <v/>
      </c>
      <c r="Q534" s="7">
        <f>'1 datos preparados'!P527</f>
        <v/>
      </c>
      <c r="R534" s="7">
        <f>'1 datos preparados'!Q527</f>
        <v/>
      </c>
      <c r="S534" s="7">
        <f>'1 datos preparados'!R527</f>
        <v/>
      </c>
      <c r="T534" s="7">
        <f>'1 datos preparados'!S527</f>
        <v/>
      </c>
      <c r="U534" s="7">
        <f>'1 datos preparados'!T527</f>
        <v/>
      </c>
      <c r="V534" s="8">
        <f>$AC$12+D534*$AC$13+E534*$AC$14+F534*$AC$15+G534*$AC$16+H534*$AC$17+I534*$AC$18+J534*$AC$19+K534*$AC$20+L534*$AC$21+M534*$AC$22+N534*$AC$23+O534*$AC$24+P534*$AC$25+Q534*$AC$26+R534*$AC$27+S534*$AC$28+T534*$AC$29+U534*$AC$30</f>
        <v/>
      </c>
      <c r="W534" s="8">
        <f>1/(1+EXP(-V534))</f>
        <v/>
      </c>
      <c r="X534" s="9">
        <f>-IF(C534=1,LN(W534),LN(1-W534))</f>
        <v/>
      </c>
      <c r="Y534" s="10">
        <f>IF(W534&gt;$AC$33,1,0)</f>
        <v/>
      </c>
      <c r="Z534">
        <f>IF(Y534=C534,1,0)</f>
        <v/>
      </c>
    </row>
    <row r="535">
      <c r="A535">
        <f>'1 datos preparados'!A528</f>
        <v/>
      </c>
      <c r="B535" s="5">
        <f>'1 datos preparados'!U528</f>
        <v/>
      </c>
      <c r="C535">
        <f>'1 datos preparados'!B528</f>
        <v/>
      </c>
      <c r="D535" s="7">
        <f>'1 datos preparados'!C528</f>
        <v/>
      </c>
      <c r="E535" s="7">
        <f>'1 datos preparados'!D528</f>
        <v/>
      </c>
      <c r="F535" s="7">
        <f>'1 datos preparados'!E528</f>
        <v/>
      </c>
      <c r="G535" s="7">
        <f>'1 datos preparados'!F528</f>
        <v/>
      </c>
      <c r="H535" s="7">
        <f>'1 datos preparados'!G528</f>
        <v/>
      </c>
      <c r="I535" s="7">
        <f>'1 datos preparados'!H528</f>
        <v/>
      </c>
      <c r="J535" s="7">
        <f>'1 datos preparados'!I528</f>
        <v/>
      </c>
      <c r="K535" s="7">
        <f>'1 datos preparados'!J528</f>
        <v/>
      </c>
      <c r="L535" s="7">
        <f>'1 datos preparados'!K528</f>
        <v/>
      </c>
      <c r="M535" s="7">
        <f>'1 datos preparados'!L528</f>
        <v/>
      </c>
      <c r="N535" s="7">
        <f>'1 datos preparados'!M528</f>
        <v/>
      </c>
      <c r="O535" s="7">
        <f>'1 datos preparados'!N528</f>
        <v/>
      </c>
      <c r="P535" s="7">
        <f>'1 datos preparados'!O528</f>
        <v/>
      </c>
      <c r="Q535" s="7">
        <f>'1 datos preparados'!P528</f>
        <v/>
      </c>
      <c r="R535" s="7">
        <f>'1 datos preparados'!Q528</f>
        <v/>
      </c>
      <c r="S535" s="7">
        <f>'1 datos preparados'!R528</f>
        <v/>
      </c>
      <c r="T535" s="7">
        <f>'1 datos preparados'!S528</f>
        <v/>
      </c>
      <c r="U535" s="7">
        <f>'1 datos preparados'!T528</f>
        <v/>
      </c>
      <c r="V535" s="8">
        <f>$AC$12+D535*$AC$13+E535*$AC$14+F535*$AC$15+G535*$AC$16+H535*$AC$17+I535*$AC$18+J535*$AC$19+K535*$AC$20+L535*$AC$21+M535*$AC$22+N535*$AC$23+O535*$AC$24+P535*$AC$25+Q535*$AC$26+R535*$AC$27+S535*$AC$28+T535*$AC$29+U535*$AC$30</f>
        <v/>
      </c>
      <c r="W535" s="8">
        <f>1/(1+EXP(-V535))</f>
        <v/>
      </c>
      <c r="X535" s="9">
        <f>-IF(C535=1,LN(W535),LN(1-W535))</f>
        <v/>
      </c>
      <c r="Y535" s="10">
        <f>IF(W535&gt;$AC$33,1,0)</f>
        <v/>
      </c>
      <c r="Z535">
        <f>IF(Y535=C535,1,0)</f>
        <v/>
      </c>
    </row>
    <row r="536">
      <c r="A536">
        <f>'1 datos preparados'!A529</f>
        <v/>
      </c>
      <c r="B536" s="5">
        <f>'1 datos preparados'!U529</f>
        <v/>
      </c>
      <c r="C536">
        <f>'1 datos preparados'!B529</f>
        <v/>
      </c>
      <c r="D536" s="7">
        <f>'1 datos preparados'!C529</f>
        <v/>
      </c>
      <c r="E536" s="7">
        <f>'1 datos preparados'!D529</f>
        <v/>
      </c>
      <c r="F536" s="7">
        <f>'1 datos preparados'!E529</f>
        <v/>
      </c>
      <c r="G536" s="7">
        <f>'1 datos preparados'!F529</f>
        <v/>
      </c>
      <c r="H536" s="7">
        <f>'1 datos preparados'!G529</f>
        <v/>
      </c>
      <c r="I536" s="7">
        <f>'1 datos preparados'!H529</f>
        <v/>
      </c>
      <c r="J536" s="7">
        <f>'1 datos preparados'!I529</f>
        <v/>
      </c>
      <c r="K536" s="7">
        <f>'1 datos preparados'!J529</f>
        <v/>
      </c>
      <c r="L536" s="7">
        <f>'1 datos preparados'!K529</f>
        <v/>
      </c>
      <c r="M536" s="7">
        <f>'1 datos preparados'!L529</f>
        <v/>
      </c>
      <c r="N536" s="7">
        <f>'1 datos preparados'!M529</f>
        <v/>
      </c>
      <c r="O536" s="7">
        <f>'1 datos preparados'!N529</f>
        <v/>
      </c>
      <c r="P536" s="7">
        <f>'1 datos preparados'!O529</f>
        <v/>
      </c>
      <c r="Q536" s="7">
        <f>'1 datos preparados'!P529</f>
        <v/>
      </c>
      <c r="R536" s="7">
        <f>'1 datos preparados'!Q529</f>
        <v/>
      </c>
      <c r="S536" s="7">
        <f>'1 datos preparados'!R529</f>
        <v/>
      </c>
      <c r="T536" s="7">
        <f>'1 datos preparados'!S529</f>
        <v/>
      </c>
      <c r="U536" s="7">
        <f>'1 datos preparados'!T529</f>
        <v/>
      </c>
      <c r="V536" s="8">
        <f>$AC$12+D536*$AC$13+E536*$AC$14+F536*$AC$15+G536*$AC$16+H536*$AC$17+I536*$AC$18+J536*$AC$19+K536*$AC$20+L536*$AC$21+M536*$AC$22+N536*$AC$23+O536*$AC$24+P536*$AC$25+Q536*$AC$26+R536*$AC$27+S536*$AC$28+T536*$AC$29+U536*$AC$30</f>
        <v/>
      </c>
      <c r="W536" s="8">
        <f>1/(1+EXP(-V536))</f>
        <v/>
      </c>
      <c r="X536" s="9">
        <f>-IF(C536=1,LN(W536),LN(1-W536))</f>
        <v/>
      </c>
      <c r="Y536" s="10">
        <f>IF(W536&gt;$AC$33,1,0)</f>
        <v/>
      </c>
      <c r="Z536">
        <f>IF(Y536=C536,1,0)</f>
        <v/>
      </c>
    </row>
    <row r="537">
      <c r="A537">
        <f>'1 datos preparados'!A530</f>
        <v/>
      </c>
      <c r="B537" s="5">
        <f>'1 datos preparados'!U530</f>
        <v/>
      </c>
      <c r="C537">
        <f>'1 datos preparados'!B530</f>
        <v/>
      </c>
      <c r="D537" s="7">
        <f>'1 datos preparados'!C530</f>
        <v/>
      </c>
      <c r="E537" s="7">
        <f>'1 datos preparados'!D530</f>
        <v/>
      </c>
      <c r="F537" s="7">
        <f>'1 datos preparados'!E530</f>
        <v/>
      </c>
      <c r="G537" s="7">
        <f>'1 datos preparados'!F530</f>
        <v/>
      </c>
      <c r="H537" s="7">
        <f>'1 datos preparados'!G530</f>
        <v/>
      </c>
      <c r="I537" s="7">
        <f>'1 datos preparados'!H530</f>
        <v/>
      </c>
      <c r="J537" s="7">
        <f>'1 datos preparados'!I530</f>
        <v/>
      </c>
      <c r="K537" s="7">
        <f>'1 datos preparados'!J530</f>
        <v/>
      </c>
      <c r="L537" s="7">
        <f>'1 datos preparados'!K530</f>
        <v/>
      </c>
      <c r="M537" s="7">
        <f>'1 datos preparados'!L530</f>
        <v/>
      </c>
      <c r="N537" s="7">
        <f>'1 datos preparados'!M530</f>
        <v/>
      </c>
      <c r="O537" s="7">
        <f>'1 datos preparados'!N530</f>
        <v/>
      </c>
      <c r="P537" s="7">
        <f>'1 datos preparados'!O530</f>
        <v/>
      </c>
      <c r="Q537" s="7">
        <f>'1 datos preparados'!P530</f>
        <v/>
      </c>
      <c r="R537" s="7">
        <f>'1 datos preparados'!Q530</f>
        <v/>
      </c>
      <c r="S537" s="7">
        <f>'1 datos preparados'!R530</f>
        <v/>
      </c>
      <c r="T537" s="7">
        <f>'1 datos preparados'!S530</f>
        <v/>
      </c>
      <c r="U537" s="7">
        <f>'1 datos preparados'!T530</f>
        <v/>
      </c>
      <c r="V537" s="8">
        <f>$AC$12+D537*$AC$13+E537*$AC$14+F537*$AC$15+G537*$AC$16+H537*$AC$17+I537*$AC$18+J537*$AC$19+K537*$AC$20+L537*$AC$21+M537*$AC$22+N537*$AC$23+O537*$AC$24+P537*$AC$25+Q537*$AC$26+R537*$AC$27+S537*$AC$28+T537*$AC$29+U537*$AC$30</f>
        <v/>
      </c>
      <c r="W537" s="8">
        <f>1/(1+EXP(-V537))</f>
        <v/>
      </c>
      <c r="X537" s="9">
        <f>-IF(C537=1,LN(W537),LN(1-W537))</f>
        <v/>
      </c>
      <c r="Y537" s="10">
        <f>IF(W537&gt;$AC$33,1,0)</f>
        <v/>
      </c>
      <c r="Z537">
        <f>IF(Y537=C537,1,0)</f>
        <v/>
      </c>
    </row>
    <row r="538">
      <c r="A538">
        <f>'1 datos preparados'!A531</f>
        <v/>
      </c>
      <c r="B538" s="5">
        <f>'1 datos preparados'!U531</f>
        <v/>
      </c>
      <c r="C538">
        <f>'1 datos preparados'!B531</f>
        <v/>
      </c>
      <c r="D538" s="7">
        <f>'1 datos preparados'!C531</f>
        <v/>
      </c>
      <c r="E538" s="7">
        <f>'1 datos preparados'!D531</f>
        <v/>
      </c>
      <c r="F538" s="7">
        <f>'1 datos preparados'!E531</f>
        <v/>
      </c>
      <c r="G538" s="7">
        <f>'1 datos preparados'!F531</f>
        <v/>
      </c>
      <c r="H538" s="7">
        <f>'1 datos preparados'!G531</f>
        <v/>
      </c>
      <c r="I538" s="7">
        <f>'1 datos preparados'!H531</f>
        <v/>
      </c>
      <c r="J538" s="7">
        <f>'1 datos preparados'!I531</f>
        <v/>
      </c>
      <c r="K538" s="7">
        <f>'1 datos preparados'!J531</f>
        <v/>
      </c>
      <c r="L538" s="7">
        <f>'1 datos preparados'!K531</f>
        <v/>
      </c>
      <c r="M538" s="7">
        <f>'1 datos preparados'!L531</f>
        <v/>
      </c>
      <c r="N538" s="7">
        <f>'1 datos preparados'!M531</f>
        <v/>
      </c>
      <c r="O538" s="7">
        <f>'1 datos preparados'!N531</f>
        <v/>
      </c>
      <c r="P538" s="7">
        <f>'1 datos preparados'!O531</f>
        <v/>
      </c>
      <c r="Q538" s="7">
        <f>'1 datos preparados'!P531</f>
        <v/>
      </c>
      <c r="R538" s="7">
        <f>'1 datos preparados'!Q531</f>
        <v/>
      </c>
      <c r="S538" s="7">
        <f>'1 datos preparados'!R531</f>
        <v/>
      </c>
      <c r="T538" s="7">
        <f>'1 datos preparados'!S531</f>
        <v/>
      </c>
      <c r="U538" s="7">
        <f>'1 datos preparados'!T531</f>
        <v/>
      </c>
      <c r="V538" s="8">
        <f>$AC$12+D538*$AC$13+E538*$AC$14+F538*$AC$15+G538*$AC$16+H538*$AC$17+I538*$AC$18+J538*$AC$19+K538*$AC$20+L538*$AC$21+M538*$AC$22+N538*$AC$23+O538*$AC$24+P538*$AC$25+Q538*$AC$26+R538*$AC$27+S538*$AC$28+T538*$AC$29+U538*$AC$30</f>
        <v/>
      </c>
      <c r="W538" s="8">
        <f>1/(1+EXP(-V538))</f>
        <v/>
      </c>
      <c r="X538" s="9">
        <f>-IF(C538=1,LN(W538),LN(1-W538))</f>
        <v/>
      </c>
      <c r="Y538" s="10">
        <f>IF(W538&gt;$AC$33,1,0)</f>
        <v/>
      </c>
      <c r="Z538">
        <f>IF(Y538=C538,1,0)</f>
        <v/>
      </c>
    </row>
    <row r="539">
      <c r="A539">
        <f>'1 datos preparados'!A532</f>
        <v/>
      </c>
      <c r="B539" s="5">
        <f>'1 datos preparados'!U532</f>
        <v/>
      </c>
      <c r="C539">
        <f>'1 datos preparados'!B532</f>
        <v/>
      </c>
      <c r="D539" s="7">
        <f>'1 datos preparados'!C532</f>
        <v/>
      </c>
      <c r="E539" s="7">
        <f>'1 datos preparados'!D532</f>
        <v/>
      </c>
      <c r="F539" s="7">
        <f>'1 datos preparados'!E532</f>
        <v/>
      </c>
      <c r="G539" s="7">
        <f>'1 datos preparados'!F532</f>
        <v/>
      </c>
      <c r="H539" s="7">
        <f>'1 datos preparados'!G532</f>
        <v/>
      </c>
      <c r="I539" s="7">
        <f>'1 datos preparados'!H532</f>
        <v/>
      </c>
      <c r="J539" s="7">
        <f>'1 datos preparados'!I532</f>
        <v/>
      </c>
      <c r="K539" s="7">
        <f>'1 datos preparados'!J532</f>
        <v/>
      </c>
      <c r="L539" s="7">
        <f>'1 datos preparados'!K532</f>
        <v/>
      </c>
      <c r="M539" s="7">
        <f>'1 datos preparados'!L532</f>
        <v/>
      </c>
      <c r="N539" s="7">
        <f>'1 datos preparados'!M532</f>
        <v/>
      </c>
      <c r="O539" s="7">
        <f>'1 datos preparados'!N532</f>
        <v/>
      </c>
      <c r="P539" s="7">
        <f>'1 datos preparados'!O532</f>
        <v/>
      </c>
      <c r="Q539" s="7">
        <f>'1 datos preparados'!P532</f>
        <v/>
      </c>
      <c r="R539" s="7">
        <f>'1 datos preparados'!Q532</f>
        <v/>
      </c>
      <c r="S539" s="7">
        <f>'1 datos preparados'!R532</f>
        <v/>
      </c>
      <c r="T539" s="7">
        <f>'1 datos preparados'!S532</f>
        <v/>
      </c>
      <c r="U539" s="7">
        <f>'1 datos preparados'!T532</f>
        <v/>
      </c>
      <c r="V539" s="8">
        <f>$AC$12+D539*$AC$13+E539*$AC$14+F539*$AC$15+G539*$AC$16+H539*$AC$17+I539*$AC$18+J539*$AC$19+K539*$AC$20+L539*$AC$21+M539*$AC$22+N539*$AC$23+O539*$AC$24+P539*$AC$25+Q539*$AC$26+R539*$AC$27+S539*$AC$28+T539*$AC$29+U539*$AC$30</f>
        <v/>
      </c>
      <c r="W539" s="8">
        <f>1/(1+EXP(-V539))</f>
        <v/>
      </c>
      <c r="X539" s="9">
        <f>-IF(C539=1,LN(W539),LN(1-W539))</f>
        <v/>
      </c>
      <c r="Y539" s="10">
        <f>IF(W539&gt;$AC$33,1,0)</f>
        <v/>
      </c>
      <c r="Z539">
        <f>IF(Y539=C539,1,0)</f>
        <v/>
      </c>
    </row>
    <row r="540">
      <c r="A540">
        <f>'1 datos preparados'!A533</f>
        <v/>
      </c>
      <c r="B540" s="5">
        <f>'1 datos preparados'!U533</f>
        <v/>
      </c>
      <c r="C540">
        <f>'1 datos preparados'!B533</f>
        <v/>
      </c>
      <c r="D540" s="7">
        <f>'1 datos preparados'!C533</f>
        <v/>
      </c>
      <c r="E540" s="7">
        <f>'1 datos preparados'!D533</f>
        <v/>
      </c>
      <c r="F540" s="7">
        <f>'1 datos preparados'!E533</f>
        <v/>
      </c>
      <c r="G540" s="7">
        <f>'1 datos preparados'!F533</f>
        <v/>
      </c>
      <c r="H540" s="7">
        <f>'1 datos preparados'!G533</f>
        <v/>
      </c>
      <c r="I540" s="7">
        <f>'1 datos preparados'!H533</f>
        <v/>
      </c>
      <c r="J540" s="7">
        <f>'1 datos preparados'!I533</f>
        <v/>
      </c>
      <c r="K540" s="7">
        <f>'1 datos preparados'!J533</f>
        <v/>
      </c>
      <c r="L540" s="7">
        <f>'1 datos preparados'!K533</f>
        <v/>
      </c>
      <c r="M540" s="7">
        <f>'1 datos preparados'!L533</f>
        <v/>
      </c>
      <c r="N540" s="7">
        <f>'1 datos preparados'!M533</f>
        <v/>
      </c>
      <c r="O540" s="7">
        <f>'1 datos preparados'!N533</f>
        <v/>
      </c>
      <c r="P540" s="7">
        <f>'1 datos preparados'!O533</f>
        <v/>
      </c>
      <c r="Q540" s="7">
        <f>'1 datos preparados'!P533</f>
        <v/>
      </c>
      <c r="R540" s="7">
        <f>'1 datos preparados'!Q533</f>
        <v/>
      </c>
      <c r="S540" s="7">
        <f>'1 datos preparados'!R533</f>
        <v/>
      </c>
      <c r="T540" s="7">
        <f>'1 datos preparados'!S533</f>
        <v/>
      </c>
      <c r="U540" s="7">
        <f>'1 datos preparados'!T533</f>
        <v/>
      </c>
      <c r="V540" s="8">
        <f>$AC$12+D540*$AC$13+E540*$AC$14+F540*$AC$15+G540*$AC$16+H540*$AC$17+I540*$AC$18+J540*$AC$19+K540*$AC$20+L540*$AC$21+M540*$AC$22+N540*$AC$23+O540*$AC$24+P540*$AC$25+Q540*$AC$26+R540*$AC$27+S540*$AC$28+T540*$AC$29+U540*$AC$30</f>
        <v/>
      </c>
      <c r="W540" s="8">
        <f>1/(1+EXP(-V540))</f>
        <v/>
      </c>
      <c r="X540" s="9">
        <f>-IF(C540=1,LN(W540),LN(1-W540))</f>
        <v/>
      </c>
      <c r="Y540" s="10">
        <f>IF(W540&gt;$AC$33,1,0)</f>
        <v/>
      </c>
      <c r="Z540">
        <f>IF(Y540=C540,1,0)</f>
        <v/>
      </c>
    </row>
    <row r="541">
      <c r="A541">
        <f>'1 datos preparados'!A534</f>
        <v/>
      </c>
      <c r="B541" s="5">
        <f>'1 datos preparados'!U534</f>
        <v/>
      </c>
      <c r="C541">
        <f>'1 datos preparados'!B534</f>
        <v/>
      </c>
      <c r="D541" s="7">
        <f>'1 datos preparados'!C534</f>
        <v/>
      </c>
      <c r="E541" s="7">
        <f>'1 datos preparados'!D534</f>
        <v/>
      </c>
      <c r="F541" s="7">
        <f>'1 datos preparados'!E534</f>
        <v/>
      </c>
      <c r="G541" s="7">
        <f>'1 datos preparados'!F534</f>
        <v/>
      </c>
      <c r="H541" s="7">
        <f>'1 datos preparados'!G534</f>
        <v/>
      </c>
      <c r="I541" s="7">
        <f>'1 datos preparados'!H534</f>
        <v/>
      </c>
      <c r="J541" s="7">
        <f>'1 datos preparados'!I534</f>
        <v/>
      </c>
      <c r="K541" s="7">
        <f>'1 datos preparados'!J534</f>
        <v/>
      </c>
      <c r="L541" s="7">
        <f>'1 datos preparados'!K534</f>
        <v/>
      </c>
      <c r="M541" s="7">
        <f>'1 datos preparados'!L534</f>
        <v/>
      </c>
      <c r="N541" s="7">
        <f>'1 datos preparados'!M534</f>
        <v/>
      </c>
      <c r="O541" s="7">
        <f>'1 datos preparados'!N534</f>
        <v/>
      </c>
      <c r="P541" s="7">
        <f>'1 datos preparados'!O534</f>
        <v/>
      </c>
      <c r="Q541" s="7">
        <f>'1 datos preparados'!P534</f>
        <v/>
      </c>
      <c r="R541" s="7">
        <f>'1 datos preparados'!Q534</f>
        <v/>
      </c>
      <c r="S541" s="7">
        <f>'1 datos preparados'!R534</f>
        <v/>
      </c>
      <c r="T541" s="7">
        <f>'1 datos preparados'!S534</f>
        <v/>
      </c>
      <c r="U541" s="7">
        <f>'1 datos preparados'!T534</f>
        <v/>
      </c>
      <c r="V541" s="8">
        <f>$AC$12+D541*$AC$13+E541*$AC$14+F541*$AC$15+G541*$AC$16+H541*$AC$17+I541*$AC$18+J541*$AC$19+K541*$AC$20+L541*$AC$21+M541*$AC$22+N541*$AC$23+O541*$AC$24+P541*$AC$25+Q541*$AC$26+R541*$AC$27+S541*$AC$28+T541*$AC$29+U541*$AC$30</f>
        <v/>
      </c>
      <c r="W541" s="8">
        <f>1/(1+EXP(-V541))</f>
        <v/>
      </c>
      <c r="X541" s="9">
        <f>-IF(C541=1,LN(W541),LN(1-W541))</f>
        <v/>
      </c>
      <c r="Y541" s="10">
        <f>IF(W541&gt;$AC$33,1,0)</f>
        <v/>
      </c>
      <c r="Z541">
        <f>IF(Y541=C541,1,0)</f>
        <v/>
      </c>
    </row>
    <row r="542">
      <c r="A542">
        <f>'1 datos preparados'!A535</f>
        <v/>
      </c>
      <c r="B542" s="5">
        <f>'1 datos preparados'!U535</f>
        <v/>
      </c>
      <c r="C542">
        <f>'1 datos preparados'!B535</f>
        <v/>
      </c>
      <c r="D542" s="7">
        <f>'1 datos preparados'!C535</f>
        <v/>
      </c>
      <c r="E542" s="7">
        <f>'1 datos preparados'!D535</f>
        <v/>
      </c>
      <c r="F542" s="7">
        <f>'1 datos preparados'!E535</f>
        <v/>
      </c>
      <c r="G542" s="7">
        <f>'1 datos preparados'!F535</f>
        <v/>
      </c>
      <c r="H542" s="7">
        <f>'1 datos preparados'!G535</f>
        <v/>
      </c>
      <c r="I542" s="7">
        <f>'1 datos preparados'!H535</f>
        <v/>
      </c>
      <c r="J542" s="7">
        <f>'1 datos preparados'!I535</f>
        <v/>
      </c>
      <c r="K542" s="7">
        <f>'1 datos preparados'!J535</f>
        <v/>
      </c>
      <c r="L542" s="7">
        <f>'1 datos preparados'!K535</f>
        <v/>
      </c>
      <c r="M542" s="7">
        <f>'1 datos preparados'!L535</f>
        <v/>
      </c>
      <c r="N542" s="7">
        <f>'1 datos preparados'!M535</f>
        <v/>
      </c>
      <c r="O542" s="7">
        <f>'1 datos preparados'!N535</f>
        <v/>
      </c>
      <c r="P542" s="7">
        <f>'1 datos preparados'!O535</f>
        <v/>
      </c>
      <c r="Q542" s="7">
        <f>'1 datos preparados'!P535</f>
        <v/>
      </c>
      <c r="R542" s="7">
        <f>'1 datos preparados'!Q535</f>
        <v/>
      </c>
      <c r="S542" s="7">
        <f>'1 datos preparados'!R535</f>
        <v/>
      </c>
      <c r="T542" s="7">
        <f>'1 datos preparados'!S535</f>
        <v/>
      </c>
      <c r="U542" s="7">
        <f>'1 datos preparados'!T535</f>
        <v/>
      </c>
      <c r="V542" s="8">
        <f>$AC$12+D542*$AC$13+E542*$AC$14+F542*$AC$15+G542*$AC$16+H542*$AC$17+I542*$AC$18+J542*$AC$19+K542*$AC$20+L542*$AC$21+M542*$AC$22+N542*$AC$23+O542*$AC$24+P542*$AC$25+Q542*$AC$26+R542*$AC$27+S542*$AC$28+T542*$AC$29+U542*$AC$30</f>
        <v/>
      </c>
      <c r="W542" s="8">
        <f>1/(1+EXP(-V542))</f>
        <v/>
      </c>
      <c r="X542" s="9">
        <f>-IF(C542=1,LN(W542),LN(1-W542))</f>
        <v/>
      </c>
      <c r="Y542" s="10">
        <f>IF(W542&gt;$AC$33,1,0)</f>
        <v/>
      </c>
      <c r="Z542">
        <f>IF(Y542=C542,1,0)</f>
        <v/>
      </c>
    </row>
    <row r="543">
      <c r="A543">
        <f>'1 datos preparados'!A536</f>
        <v/>
      </c>
      <c r="B543" s="5">
        <f>'1 datos preparados'!U536</f>
        <v/>
      </c>
      <c r="C543">
        <f>'1 datos preparados'!B536</f>
        <v/>
      </c>
      <c r="D543" s="7">
        <f>'1 datos preparados'!C536</f>
        <v/>
      </c>
      <c r="E543" s="7">
        <f>'1 datos preparados'!D536</f>
        <v/>
      </c>
      <c r="F543" s="7">
        <f>'1 datos preparados'!E536</f>
        <v/>
      </c>
      <c r="G543" s="7">
        <f>'1 datos preparados'!F536</f>
        <v/>
      </c>
      <c r="H543" s="7">
        <f>'1 datos preparados'!G536</f>
        <v/>
      </c>
      <c r="I543" s="7">
        <f>'1 datos preparados'!H536</f>
        <v/>
      </c>
      <c r="J543" s="7">
        <f>'1 datos preparados'!I536</f>
        <v/>
      </c>
      <c r="K543" s="7">
        <f>'1 datos preparados'!J536</f>
        <v/>
      </c>
      <c r="L543" s="7">
        <f>'1 datos preparados'!K536</f>
        <v/>
      </c>
      <c r="M543" s="7">
        <f>'1 datos preparados'!L536</f>
        <v/>
      </c>
      <c r="N543" s="7">
        <f>'1 datos preparados'!M536</f>
        <v/>
      </c>
      <c r="O543" s="7">
        <f>'1 datos preparados'!N536</f>
        <v/>
      </c>
      <c r="P543" s="7">
        <f>'1 datos preparados'!O536</f>
        <v/>
      </c>
      <c r="Q543" s="7">
        <f>'1 datos preparados'!P536</f>
        <v/>
      </c>
      <c r="R543" s="7">
        <f>'1 datos preparados'!Q536</f>
        <v/>
      </c>
      <c r="S543" s="7">
        <f>'1 datos preparados'!R536</f>
        <v/>
      </c>
      <c r="T543" s="7">
        <f>'1 datos preparados'!S536</f>
        <v/>
      </c>
      <c r="U543" s="7">
        <f>'1 datos preparados'!T536</f>
        <v/>
      </c>
      <c r="V543" s="8">
        <f>$AC$12+D543*$AC$13+E543*$AC$14+F543*$AC$15+G543*$AC$16+H543*$AC$17+I543*$AC$18+J543*$AC$19+K543*$AC$20+L543*$AC$21+M543*$AC$22+N543*$AC$23+O543*$AC$24+P543*$AC$25+Q543*$AC$26+R543*$AC$27+S543*$AC$28+T543*$AC$29+U543*$AC$30</f>
        <v/>
      </c>
      <c r="W543" s="8">
        <f>1/(1+EXP(-V543))</f>
        <v/>
      </c>
      <c r="X543" s="9">
        <f>-IF(C543=1,LN(W543),LN(1-W543))</f>
        <v/>
      </c>
      <c r="Y543" s="10">
        <f>IF(W543&gt;$AC$33,1,0)</f>
        <v/>
      </c>
      <c r="Z543">
        <f>IF(Y543=C543,1,0)</f>
        <v/>
      </c>
    </row>
    <row r="544">
      <c r="A544">
        <f>'1 datos preparados'!A537</f>
        <v/>
      </c>
      <c r="B544" s="5">
        <f>'1 datos preparados'!U537</f>
        <v/>
      </c>
      <c r="C544">
        <f>'1 datos preparados'!B537</f>
        <v/>
      </c>
      <c r="D544" s="7">
        <f>'1 datos preparados'!C537</f>
        <v/>
      </c>
      <c r="E544" s="7">
        <f>'1 datos preparados'!D537</f>
        <v/>
      </c>
      <c r="F544" s="7">
        <f>'1 datos preparados'!E537</f>
        <v/>
      </c>
      <c r="G544" s="7">
        <f>'1 datos preparados'!F537</f>
        <v/>
      </c>
      <c r="H544" s="7">
        <f>'1 datos preparados'!G537</f>
        <v/>
      </c>
      <c r="I544" s="7">
        <f>'1 datos preparados'!H537</f>
        <v/>
      </c>
      <c r="J544" s="7">
        <f>'1 datos preparados'!I537</f>
        <v/>
      </c>
      <c r="K544" s="7">
        <f>'1 datos preparados'!J537</f>
        <v/>
      </c>
      <c r="L544" s="7">
        <f>'1 datos preparados'!K537</f>
        <v/>
      </c>
      <c r="M544" s="7">
        <f>'1 datos preparados'!L537</f>
        <v/>
      </c>
      <c r="N544" s="7">
        <f>'1 datos preparados'!M537</f>
        <v/>
      </c>
      <c r="O544" s="7">
        <f>'1 datos preparados'!N537</f>
        <v/>
      </c>
      <c r="P544" s="7">
        <f>'1 datos preparados'!O537</f>
        <v/>
      </c>
      <c r="Q544" s="7">
        <f>'1 datos preparados'!P537</f>
        <v/>
      </c>
      <c r="R544" s="7">
        <f>'1 datos preparados'!Q537</f>
        <v/>
      </c>
      <c r="S544" s="7">
        <f>'1 datos preparados'!R537</f>
        <v/>
      </c>
      <c r="T544" s="7">
        <f>'1 datos preparados'!S537</f>
        <v/>
      </c>
      <c r="U544" s="7">
        <f>'1 datos preparados'!T537</f>
        <v/>
      </c>
      <c r="V544" s="8">
        <f>$AC$12+D544*$AC$13+E544*$AC$14+F544*$AC$15+G544*$AC$16+H544*$AC$17+I544*$AC$18+J544*$AC$19+K544*$AC$20+L544*$AC$21+M544*$AC$22+N544*$AC$23+O544*$AC$24+P544*$AC$25+Q544*$AC$26+R544*$AC$27+S544*$AC$28+T544*$AC$29+U544*$AC$30</f>
        <v/>
      </c>
      <c r="W544" s="8">
        <f>1/(1+EXP(-V544))</f>
        <v/>
      </c>
      <c r="X544" s="9">
        <f>-IF(C544=1,LN(W544),LN(1-W544))</f>
        <v/>
      </c>
      <c r="Y544" s="10">
        <f>IF(W544&gt;$AC$33,1,0)</f>
        <v/>
      </c>
      <c r="Z544">
        <f>IF(Y544=C544,1,0)</f>
        <v/>
      </c>
    </row>
    <row r="545">
      <c r="A545">
        <f>'1 datos preparados'!A538</f>
        <v/>
      </c>
      <c r="B545" s="5">
        <f>'1 datos preparados'!U538</f>
        <v/>
      </c>
      <c r="C545">
        <f>'1 datos preparados'!B538</f>
        <v/>
      </c>
      <c r="D545" s="7">
        <f>'1 datos preparados'!C538</f>
        <v/>
      </c>
      <c r="E545" s="7">
        <f>'1 datos preparados'!D538</f>
        <v/>
      </c>
      <c r="F545" s="7">
        <f>'1 datos preparados'!E538</f>
        <v/>
      </c>
      <c r="G545" s="7">
        <f>'1 datos preparados'!F538</f>
        <v/>
      </c>
      <c r="H545" s="7">
        <f>'1 datos preparados'!G538</f>
        <v/>
      </c>
      <c r="I545" s="7">
        <f>'1 datos preparados'!H538</f>
        <v/>
      </c>
      <c r="J545" s="7">
        <f>'1 datos preparados'!I538</f>
        <v/>
      </c>
      <c r="K545" s="7">
        <f>'1 datos preparados'!J538</f>
        <v/>
      </c>
      <c r="L545" s="7">
        <f>'1 datos preparados'!K538</f>
        <v/>
      </c>
      <c r="M545" s="7">
        <f>'1 datos preparados'!L538</f>
        <v/>
      </c>
      <c r="N545" s="7">
        <f>'1 datos preparados'!M538</f>
        <v/>
      </c>
      <c r="O545" s="7">
        <f>'1 datos preparados'!N538</f>
        <v/>
      </c>
      <c r="P545" s="7">
        <f>'1 datos preparados'!O538</f>
        <v/>
      </c>
      <c r="Q545" s="7">
        <f>'1 datos preparados'!P538</f>
        <v/>
      </c>
      <c r="R545" s="7">
        <f>'1 datos preparados'!Q538</f>
        <v/>
      </c>
      <c r="S545" s="7">
        <f>'1 datos preparados'!R538</f>
        <v/>
      </c>
      <c r="T545" s="7">
        <f>'1 datos preparados'!S538</f>
        <v/>
      </c>
      <c r="U545" s="7">
        <f>'1 datos preparados'!T538</f>
        <v/>
      </c>
      <c r="V545" s="8">
        <f>$AC$12+D545*$AC$13+E545*$AC$14+F545*$AC$15+G545*$AC$16+H545*$AC$17+I545*$AC$18+J545*$AC$19+K545*$AC$20+L545*$AC$21+M545*$AC$22+N545*$AC$23+O545*$AC$24+P545*$AC$25+Q545*$AC$26+R545*$AC$27+S545*$AC$28+T545*$AC$29+U545*$AC$30</f>
        <v/>
      </c>
      <c r="W545" s="8">
        <f>1/(1+EXP(-V545))</f>
        <v/>
      </c>
      <c r="X545" s="9">
        <f>-IF(C545=1,LN(W545),LN(1-W545))</f>
        <v/>
      </c>
      <c r="Y545" s="10">
        <f>IF(W545&gt;$AC$33,1,0)</f>
        <v/>
      </c>
      <c r="Z545">
        <f>IF(Y545=C545,1,0)</f>
        <v/>
      </c>
    </row>
    <row r="546">
      <c r="A546">
        <f>'1 datos preparados'!A539</f>
        <v/>
      </c>
      <c r="B546" s="5">
        <f>'1 datos preparados'!U539</f>
        <v/>
      </c>
      <c r="C546">
        <f>'1 datos preparados'!B539</f>
        <v/>
      </c>
      <c r="D546" s="7">
        <f>'1 datos preparados'!C539</f>
        <v/>
      </c>
      <c r="E546" s="7">
        <f>'1 datos preparados'!D539</f>
        <v/>
      </c>
      <c r="F546" s="7">
        <f>'1 datos preparados'!E539</f>
        <v/>
      </c>
      <c r="G546" s="7">
        <f>'1 datos preparados'!F539</f>
        <v/>
      </c>
      <c r="H546" s="7">
        <f>'1 datos preparados'!G539</f>
        <v/>
      </c>
      <c r="I546" s="7">
        <f>'1 datos preparados'!H539</f>
        <v/>
      </c>
      <c r="J546" s="7">
        <f>'1 datos preparados'!I539</f>
        <v/>
      </c>
      <c r="K546" s="7">
        <f>'1 datos preparados'!J539</f>
        <v/>
      </c>
      <c r="L546" s="7">
        <f>'1 datos preparados'!K539</f>
        <v/>
      </c>
      <c r="M546" s="7">
        <f>'1 datos preparados'!L539</f>
        <v/>
      </c>
      <c r="N546" s="7">
        <f>'1 datos preparados'!M539</f>
        <v/>
      </c>
      <c r="O546" s="7">
        <f>'1 datos preparados'!N539</f>
        <v/>
      </c>
      <c r="P546" s="7">
        <f>'1 datos preparados'!O539</f>
        <v/>
      </c>
      <c r="Q546" s="7">
        <f>'1 datos preparados'!P539</f>
        <v/>
      </c>
      <c r="R546" s="7">
        <f>'1 datos preparados'!Q539</f>
        <v/>
      </c>
      <c r="S546" s="7">
        <f>'1 datos preparados'!R539</f>
        <v/>
      </c>
      <c r="T546" s="7">
        <f>'1 datos preparados'!S539</f>
        <v/>
      </c>
      <c r="U546" s="7">
        <f>'1 datos preparados'!T539</f>
        <v/>
      </c>
      <c r="V546" s="8">
        <f>$AC$12+D546*$AC$13+E546*$AC$14+F546*$AC$15+G546*$AC$16+H546*$AC$17+I546*$AC$18+J546*$AC$19+K546*$AC$20+L546*$AC$21+M546*$AC$22+N546*$AC$23+O546*$AC$24+P546*$AC$25+Q546*$AC$26+R546*$AC$27+S546*$AC$28+T546*$AC$29+U546*$AC$30</f>
        <v/>
      </c>
      <c r="W546" s="8">
        <f>1/(1+EXP(-V546))</f>
        <v/>
      </c>
      <c r="X546" s="9">
        <f>-IF(C546=1,LN(W546),LN(1-W546))</f>
        <v/>
      </c>
      <c r="Y546" s="10">
        <f>IF(W546&gt;$AC$33,1,0)</f>
        <v/>
      </c>
      <c r="Z546">
        <f>IF(Y546=C546,1,0)</f>
        <v/>
      </c>
    </row>
    <row r="547">
      <c r="A547">
        <f>'1 datos preparados'!A540</f>
        <v/>
      </c>
      <c r="B547" s="5">
        <f>'1 datos preparados'!U540</f>
        <v/>
      </c>
      <c r="C547">
        <f>'1 datos preparados'!B540</f>
        <v/>
      </c>
      <c r="D547" s="7">
        <f>'1 datos preparados'!C540</f>
        <v/>
      </c>
      <c r="E547" s="7">
        <f>'1 datos preparados'!D540</f>
        <v/>
      </c>
      <c r="F547" s="7">
        <f>'1 datos preparados'!E540</f>
        <v/>
      </c>
      <c r="G547" s="7">
        <f>'1 datos preparados'!F540</f>
        <v/>
      </c>
      <c r="H547" s="7">
        <f>'1 datos preparados'!G540</f>
        <v/>
      </c>
      <c r="I547" s="7">
        <f>'1 datos preparados'!H540</f>
        <v/>
      </c>
      <c r="J547" s="7">
        <f>'1 datos preparados'!I540</f>
        <v/>
      </c>
      <c r="K547" s="7">
        <f>'1 datos preparados'!J540</f>
        <v/>
      </c>
      <c r="L547" s="7">
        <f>'1 datos preparados'!K540</f>
        <v/>
      </c>
      <c r="M547" s="7">
        <f>'1 datos preparados'!L540</f>
        <v/>
      </c>
      <c r="N547" s="7">
        <f>'1 datos preparados'!M540</f>
        <v/>
      </c>
      <c r="O547" s="7">
        <f>'1 datos preparados'!N540</f>
        <v/>
      </c>
      <c r="P547" s="7">
        <f>'1 datos preparados'!O540</f>
        <v/>
      </c>
      <c r="Q547" s="7">
        <f>'1 datos preparados'!P540</f>
        <v/>
      </c>
      <c r="R547" s="7">
        <f>'1 datos preparados'!Q540</f>
        <v/>
      </c>
      <c r="S547" s="7">
        <f>'1 datos preparados'!R540</f>
        <v/>
      </c>
      <c r="T547" s="7">
        <f>'1 datos preparados'!S540</f>
        <v/>
      </c>
      <c r="U547" s="7">
        <f>'1 datos preparados'!T540</f>
        <v/>
      </c>
      <c r="V547" s="8">
        <f>$AC$12+D547*$AC$13+E547*$AC$14+F547*$AC$15+G547*$AC$16+H547*$AC$17+I547*$AC$18+J547*$AC$19+K547*$AC$20+L547*$AC$21+M547*$AC$22+N547*$AC$23+O547*$AC$24+P547*$AC$25+Q547*$AC$26+R547*$AC$27+S547*$AC$28+T547*$AC$29+U547*$AC$30</f>
        <v/>
      </c>
      <c r="W547" s="8">
        <f>1/(1+EXP(-V547))</f>
        <v/>
      </c>
      <c r="X547" s="9">
        <f>-IF(C547=1,LN(W547),LN(1-W547))</f>
        <v/>
      </c>
      <c r="Y547" s="10">
        <f>IF(W547&gt;$AC$33,1,0)</f>
        <v/>
      </c>
      <c r="Z547">
        <f>IF(Y547=C547,1,0)</f>
        <v/>
      </c>
    </row>
    <row r="548">
      <c r="A548">
        <f>'1 datos preparados'!A541</f>
        <v/>
      </c>
      <c r="B548" s="5">
        <f>'1 datos preparados'!U541</f>
        <v/>
      </c>
      <c r="C548">
        <f>'1 datos preparados'!B541</f>
        <v/>
      </c>
      <c r="D548" s="7">
        <f>'1 datos preparados'!C541</f>
        <v/>
      </c>
      <c r="E548" s="7">
        <f>'1 datos preparados'!D541</f>
        <v/>
      </c>
      <c r="F548" s="7">
        <f>'1 datos preparados'!E541</f>
        <v/>
      </c>
      <c r="G548" s="7">
        <f>'1 datos preparados'!F541</f>
        <v/>
      </c>
      <c r="H548" s="7">
        <f>'1 datos preparados'!G541</f>
        <v/>
      </c>
      <c r="I548" s="7">
        <f>'1 datos preparados'!H541</f>
        <v/>
      </c>
      <c r="J548" s="7">
        <f>'1 datos preparados'!I541</f>
        <v/>
      </c>
      <c r="K548" s="7">
        <f>'1 datos preparados'!J541</f>
        <v/>
      </c>
      <c r="L548" s="7">
        <f>'1 datos preparados'!K541</f>
        <v/>
      </c>
      <c r="M548" s="7">
        <f>'1 datos preparados'!L541</f>
        <v/>
      </c>
      <c r="N548" s="7">
        <f>'1 datos preparados'!M541</f>
        <v/>
      </c>
      <c r="O548" s="7">
        <f>'1 datos preparados'!N541</f>
        <v/>
      </c>
      <c r="P548" s="7">
        <f>'1 datos preparados'!O541</f>
        <v/>
      </c>
      <c r="Q548" s="7">
        <f>'1 datos preparados'!P541</f>
        <v/>
      </c>
      <c r="R548" s="7">
        <f>'1 datos preparados'!Q541</f>
        <v/>
      </c>
      <c r="S548" s="7">
        <f>'1 datos preparados'!R541</f>
        <v/>
      </c>
      <c r="T548" s="7">
        <f>'1 datos preparados'!S541</f>
        <v/>
      </c>
      <c r="U548" s="7">
        <f>'1 datos preparados'!T541</f>
        <v/>
      </c>
      <c r="V548" s="8">
        <f>$AC$12+D548*$AC$13+E548*$AC$14+F548*$AC$15+G548*$AC$16+H548*$AC$17+I548*$AC$18+J548*$AC$19+K548*$AC$20+L548*$AC$21+M548*$AC$22+N548*$AC$23+O548*$AC$24+P548*$AC$25+Q548*$AC$26+R548*$AC$27+S548*$AC$28+T548*$AC$29+U548*$AC$30</f>
        <v/>
      </c>
      <c r="W548" s="8">
        <f>1/(1+EXP(-V548))</f>
        <v/>
      </c>
      <c r="X548" s="9">
        <f>-IF(C548=1,LN(W548),LN(1-W548))</f>
        <v/>
      </c>
      <c r="Y548" s="10">
        <f>IF(W548&gt;$AC$33,1,0)</f>
        <v/>
      </c>
      <c r="Z548">
        <f>IF(Y548=C548,1,0)</f>
        <v/>
      </c>
    </row>
    <row r="549">
      <c r="A549">
        <f>'1 datos preparados'!A542</f>
        <v/>
      </c>
      <c r="B549" s="5">
        <f>'1 datos preparados'!U542</f>
        <v/>
      </c>
      <c r="C549">
        <f>'1 datos preparados'!B542</f>
        <v/>
      </c>
      <c r="D549" s="7">
        <f>'1 datos preparados'!C542</f>
        <v/>
      </c>
      <c r="E549" s="7">
        <f>'1 datos preparados'!D542</f>
        <v/>
      </c>
      <c r="F549" s="7">
        <f>'1 datos preparados'!E542</f>
        <v/>
      </c>
      <c r="G549" s="7">
        <f>'1 datos preparados'!F542</f>
        <v/>
      </c>
      <c r="H549" s="7">
        <f>'1 datos preparados'!G542</f>
        <v/>
      </c>
      <c r="I549" s="7">
        <f>'1 datos preparados'!H542</f>
        <v/>
      </c>
      <c r="J549" s="7">
        <f>'1 datos preparados'!I542</f>
        <v/>
      </c>
      <c r="K549" s="7">
        <f>'1 datos preparados'!J542</f>
        <v/>
      </c>
      <c r="L549" s="7">
        <f>'1 datos preparados'!K542</f>
        <v/>
      </c>
      <c r="M549" s="7">
        <f>'1 datos preparados'!L542</f>
        <v/>
      </c>
      <c r="N549" s="7">
        <f>'1 datos preparados'!M542</f>
        <v/>
      </c>
      <c r="O549" s="7">
        <f>'1 datos preparados'!N542</f>
        <v/>
      </c>
      <c r="P549" s="7">
        <f>'1 datos preparados'!O542</f>
        <v/>
      </c>
      <c r="Q549" s="7">
        <f>'1 datos preparados'!P542</f>
        <v/>
      </c>
      <c r="R549" s="7">
        <f>'1 datos preparados'!Q542</f>
        <v/>
      </c>
      <c r="S549" s="7">
        <f>'1 datos preparados'!R542</f>
        <v/>
      </c>
      <c r="T549" s="7">
        <f>'1 datos preparados'!S542</f>
        <v/>
      </c>
      <c r="U549" s="7">
        <f>'1 datos preparados'!T542</f>
        <v/>
      </c>
      <c r="V549" s="8">
        <f>$AC$12+D549*$AC$13+E549*$AC$14+F549*$AC$15+G549*$AC$16+H549*$AC$17+I549*$AC$18+J549*$AC$19+K549*$AC$20+L549*$AC$21+M549*$AC$22+N549*$AC$23+O549*$AC$24+P549*$AC$25+Q549*$AC$26+R549*$AC$27+S549*$AC$28+T549*$AC$29+U549*$AC$30</f>
        <v/>
      </c>
      <c r="W549" s="8">
        <f>1/(1+EXP(-V549))</f>
        <v/>
      </c>
      <c r="X549" s="9">
        <f>-IF(C549=1,LN(W549),LN(1-W549))</f>
        <v/>
      </c>
      <c r="Y549" s="10">
        <f>IF(W549&gt;$AC$33,1,0)</f>
        <v/>
      </c>
      <c r="Z549">
        <f>IF(Y549=C549,1,0)</f>
        <v/>
      </c>
    </row>
    <row r="550">
      <c r="A550">
        <f>'1 datos preparados'!A543</f>
        <v/>
      </c>
      <c r="B550" s="5">
        <f>'1 datos preparados'!U543</f>
        <v/>
      </c>
      <c r="C550">
        <f>'1 datos preparados'!B543</f>
        <v/>
      </c>
      <c r="D550" s="7">
        <f>'1 datos preparados'!C543</f>
        <v/>
      </c>
      <c r="E550" s="7">
        <f>'1 datos preparados'!D543</f>
        <v/>
      </c>
      <c r="F550" s="7">
        <f>'1 datos preparados'!E543</f>
        <v/>
      </c>
      <c r="G550" s="7">
        <f>'1 datos preparados'!F543</f>
        <v/>
      </c>
      <c r="H550" s="7">
        <f>'1 datos preparados'!G543</f>
        <v/>
      </c>
      <c r="I550" s="7">
        <f>'1 datos preparados'!H543</f>
        <v/>
      </c>
      <c r="J550" s="7">
        <f>'1 datos preparados'!I543</f>
        <v/>
      </c>
      <c r="K550" s="7">
        <f>'1 datos preparados'!J543</f>
        <v/>
      </c>
      <c r="L550" s="7">
        <f>'1 datos preparados'!K543</f>
        <v/>
      </c>
      <c r="M550" s="7">
        <f>'1 datos preparados'!L543</f>
        <v/>
      </c>
      <c r="N550" s="7">
        <f>'1 datos preparados'!M543</f>
        <v/>
      </c>
      <c r="O550" s="7">
        <f>'1 datos preparados'!N543</f>
        <v/>
      </c>
      <c r="P550" s="7">
        <f>'1 datos preparados'!O543</f>
        <v/>
      </c>
      <c r="Q550" s="7">
        <f>'1 datos preparados'!P543</f>
        <v/>
      </c>
      <c r="R550" s="7">
        <f>'1 datos preparados'!Q543</f>
        <v/>
      </c>
      <c r="S550" s="7">
        <f>'1 datos preparados'!R543</f>
        <v/>
      </c>
      <c r="T550" s="7">
        <f>'1 datos preparados'!S543</f>
        <v/>
      </c>
      <c r="U550" s="7">
        <f>'1 datos preparados'!T543</f>
        <v/>
      </c>
      <c r="V550" s="8">
        <f>$AC$12+D550*$AC$13+E550*$AC$14+F550*$AC$15+G550*$AC$16+H550*$AC$17+I550*$AC$18+J550*$AC$19+K550*$AC$20+L550*$AC$21+M550*$AC$22+N550*$AC$23+O550*$AC$24+P550*$AC$25+Q550*$AC$26+R550*$AC$27+S550*$AC$28+T550*$AC$29+U550*$AC$30</f>
        <v/>
      </c>
      <c r="W550" s="8">
        <f>1/(1+EXP(-V550))</f>
        <v/>
      </c>
      <c r="X550" s="9">
        <f>-IF(C550=1,LN(W550),LN(1-W550))</f>
        <v/>
      </c>
      <c r="Y550" s="10">
        <f>IF(W550&gt;$AC$33,1,0)</f>
        <v/>
      </c>
      <c r="Z550">
        <f>IF(Y550=C550,1,0)</f>
        <v/>
      </c>
    </row>
    <row r="551">
      <c r="A551">
        <f>'1 datos preparados'!A544</f>
        <v/>
      </c>
      <c r="B551" s="5">
        <f>'1 datos preparados'!U544</f>
        <v/>
      </c>
      <c r="C551">
        <f>'1 datos preparados'!B544</f>
        <v/>
      </c>
      <c r="D551" s="7">
        <f>'1 datos preparados'!C544</f>
        <v/>
      </c>
      <c r="E551" s="7">
        <f>'1 datos preparados'!D544</f>
        <v/>
      </c>
      <c r="F551" s="7">
        <f>'1 datos preparados'!E544</f>
        <v/>
      </c>
      <c r="G551" s="7">
        <f>'1 datos preparados'!F544</f>
        <v/>
      </c>
      <c r="H551" s="7">
        <f>'1 datos preparados'!G544</f>
        <v/>
      </c>
      <c r="I551" s="7">
        <f>'1 datos preparados'!H544</f>
        <v/>
      </c>
      <c r="J551" s="7">
        <f>'1 datos preparados'!I544</f>
        <v/>
      </c>
      <c r="K551" s="7">
        <f>'1 datos preparados'!J544</f>
        <v/>
      </c>
      <c r="L551" s="7">
        <f>'1 datos preparados'!K544</f>
        <v/>
      </c>
      <c r="M551" s="7">
        <f>'1 datos preparados'!L544</f>
        <v/>
      </c>
      <c r="N551" s="7">
        <f>'1 datos preparados'!M544</f>
        <v/>
      </c>
      <c r="O551" s="7">
        <f>'1 datos preparados'!N544</f>
        <v/>
      </c>
      <c r="P551" s="7">
        <f>'1 datos preparados'!O544</f>
        <v/>
      </c>
      <c r="Q551" s="7">
        <f>'1 datos preparados'!P544</f>
        <v/>
      </c>
      <c r="R551" s="7">
        <f>'1 datos preparados'!Q544</f>
        <v/>
      </c>
      <c r="S551" s="7">
        <f>'1 datos preparados'!R544</f>
        <v/>
      </c>
      <c r="T551" s="7">
        <f>'1 datos preparados'!S544</f>
        <v/>
      </c>
      <c r="U551" s="7">
        <f>'1 datos preparados'!T544</f>
        <v/>
      </c>
      <c r="V551" s="8">
        <f>$AC$12+D551*$AC$13+E551*$AC$14+F551*$AC$15+G551*$AC$16+H551*$AC$17+I551*$AC$18+J551*$AC$19+K551*$AC$20+L551*$AC$21+M551*$AC$22+N551*$AC$23+O551*$AC$24+P551*$AC$25+Q551*$AC$26+R551*$AC$27+S551*$AC$28+T551*$AC$29+U551*$AC$30</f>
        <v/>
      </c>
      <c r="W551" s="8">
        <f>1/(1+EXP(-V551))</f>
        <v/>
      </c>
      <c r="X551" s="9">
        <f>-IF(C551=1,LN(W551),LN(1-W551))</f>
        <v/>
      </c>
      <c r="Y551" s="10">
        <f>IF(W551&gt;$AC$33,1,0)</f>
        <v/>
      </c>
      <c r="Z551">
        <f>IF(Y551=C551,1,0)</f>
        <v/>
      </c>
    </row>
    <row r="552">
      <c r="A552">
        <f>'1 datos preparados'!A545</f>
        <v/>
      </c>
      <c r="B552" s="5">
        <f>'1 datos preparados'!U545</f>
        <v/>
      </c>
      <c r="C552">
        <f>'1 datos preparados'!B545</f>
        <v/>
      </c>
      <c r="D552" s="7">
        <f>'1 datos preparados'!C545</f>
        <v/>
      </c>
      <c r="E552" s="7">
        <f>'1 datos preparados'!D545</f>
        <v/>
      </c>
      <c r="F552" s="7">
        <f>'1 datos preparados'!E545</f>
        <v/>
      </c>
      <c r="G552" s="7">
        <f>'1 datos preparados'!F545</f>
        <v/>
      </c>
      <c r="H552" s="7">
        <f>'1 datos preparados'!G545</f>
        <v/>
      </c>
      <c r="I552" s="7">
        <f>'1 datos preparados'!H545</f>
        <v/>
      </c>
      <c r="J552" s="7">
        <f>'1 datos preparados'!I545</f>
        <v/>
      </c>
      <c r="K552" s="7">
        <f>'1 datos preparados'!J545</f>
        <v/>
      </c>
      <c r="L552" s="7">
        <f>'1 datos preparados'!K545</f>
        <v/>
      </c>
      <c r="M552" s="7">
        <f>'1 datos preparados'!L545</f>
        <v/>
      </c>
      <c r="N552" s="7">
        <f>'1 datos preparados'!M545</f>
        <v/>
      </c>
      <c r="O552" s="7">
        <f>'1 datos preparados'!N545</f>
        <v/>
      </c>
      <c r="P552" s="7">
        <f>'1 datos preparados'!O545</f>
        <v/>
      </c>
      <c r="Q552" s="7">
        <f>'1 datos preparados'!P545</f>
        <v/>
      </c>
      <c r="R552" s="7">
        <f>'1 datos preparados'!Q545</f>
        <v/>
      </c>
      <c r="S552" s="7">
        <f>'1 datos preparados'!R545</f>
        <v/>
      </c>
      <c r="T552" s="7">
        <f>'1 datos preparados'!S545</f>
        <v/>
      </c>
      <c r="U552" s="7">
        <f>'1 datos preparados'!T545</f>
        <v/>
      </c>
      <c r="V552" s="8">
        <f>$AC$12+D552*$AC$13+E552*$AC$14+F552*$AC$15+G552*$AC$16+H552*$AC$17+I552*$AC$18+J552*$AC$19+K552*$AC$20+L552*$AC$21+M552*$AC$22+N552*$AC$23+O552*$AC$24+P552*$AC$25+Q552*$AC$26+R552*$AC$27+S552*$AC$28+T552*$AC$29+U552*$AC$30</f>
        <v/>
      </c>
      <c r="W552" s="8">
        <f>1/(1+EXP(-V552))</f>
        <v/>
      </c>
      <c r="X552" s="9">
        <f>-IF(C552=1,LN(W552),LN(1-W552))</f>
        <v/>
      </c>
      <c r="Y552" s="10">
        <f>IF(W552&gt;$AC$33,1,0)</f>
        <v/>
      </c>
      <c r="Z552">
        <f>IF(Y552=C552,1,0)</f>
        <v/>
      </c>
    </row>
    <row r="553">
      <c r="A553">
        <f>'1 datos preparados'!A546</f>
        <v/>
      </c>
      <c r="B553" s="5">
        <f>'1 datos preparados'!U546</f>
        <v/>
      </c>
      <c r="C553">
        <f>'1 datos preparados'!B546</f>
        <v/>
      </c>
      <c r="D553" s="7">
        <f>'1 datos preparados'!C546</f>
        <v/>
      </c>
      <c r="E553" s="7">
        <f>'1 datos preparados'!D546</f>
        <v/>
      </c>
      <c r="F553" s="7">
        <f>'1 datos preparados'!E546</f>
        <v/>
      </c>
      <c r="G553" s="7">
        <f>'1 datos preparados'!F546</f>
        <v/>
      </c>
      <c r="H553" s="7">
        <f>'1 datos preparados'!G546</f>
        <v/>
      </c>
      <c r="I553" s="7">
        <f>'1 datos preparados'!H546</f>
        <v/>
      </c>
      <c r="J553" s="7">
        <f>'1 datos preparados'!I546</f>
        <v/>
      </c>
      <c r="K553" s="7">
        <f>'1 datos preparados'!J546</f>
        <v/>
      </c>
      <c r="L553" s="7">
        <f>'1 datos preparados'!K546</f>
        <v/>
      </c>
      <c r="M553" s="7">
        <f>'1 datos preparados'!L546</f>
        <v/>
      </c>
      <c r="N553" s="7">
        <f>'1 datos preparados'!M546</f>
        <v/>
      </c>
      <c r="O553" s="7">
        <f>'1 datos preparados'!N546</f>
        <v/>
      </c>
      <c r="P553" s="7">
        <f>'1 datos preparados'!O546</f>
        <v/>
      </c>
      <c r="Q553" s="7">
        <f>'1 datos preparados'!P546</f>
        <v/>
      </c>
      <c r="R553" s="7">
        <f>'1 datos preparados'!Q546</f>
        <v/>
      </c>
      <c r="S553" s="7">
        <f>'1 datos preparados'!R546</f>
        <v/>
      </c>
      <c r="T553" s="7">
        <f>'1 datos preparados'!S546</f>
        <v/>
      </c>
      <c r="U553" s="7">
        <f>'1 datos preparados'!T546</f>
        <v/>
      </c>
      <c r="V553" s="8">
        <f>$AC$12+D553*$AC$13+E553*$AC$14+F553*$AC$15+G553*$AC$16+H553*$AC$17+I553*$AC$18+J553*$AC$19+K553*$AC$20+L553*$AC$21+M553*$AC$22+N553*$AC$23+O553*$AC$24+P553*$AC$25+Q553*$AC$26+R553*$AC$27+S553*$AC$28+T553*$AC$29+U553*$AC$30</f>
        <v/>
      </c>
      <c r="W553" s="8">
        <f>1/(1+EXP(-V553))</f>
        <v/>
      </c>
      <c r="X553" s="9">
        <f>-IF(C553=1,LN(W553),LN(1-W553))</f>
        <v/>
      </c>
      <c r="Y553" s="10">
        <f>IF(W553&gt;$AC$33,1,0)</f>
        <v/>
      </c>
      <c r="Z553">
        <f>IF(Y553=C553,1,0)</f>
        <v/>
      </c>
    </row>
    <row r="554">
      <c r="A554">
        <f>'1 datos preparados'!A547</f>
        <v/>
      </c>
      <c r="B554" s="5">
        <f>'1 datos preparados'!U547</f>
        <v/>
      </c>
      <c r="C554">
        <f>'1 datos preparados'!B547</f>
        <v/>
      </c>
      <c r="D554" s="7">
        <f>'1 datos preparados'!C547</f>
        <v/>
      </c>
      <c r="E554" s="7">
        <f>'1 datos preparados'!D547</f>
        <v/>
      </c>
      <c r="F554" s="7">
        <f>'1 datos preparados'!E547</f>
        <v/>
      </c>
      <c r="G554" s="7">
        <f>'1 datos preparados'!F547</f>
        <v/>
      </c>
      <c r="H554" s="7">
        <f>'1 datos preparados'!G547</f>
        <v/>
      </c>
      <c r="I554" s="7">
        <f>'1 datos preparados'!H547</f>
        <v/>
      </c>
      <c r="J554" s="7">
        <f>'1 datos preparados'!I547</f>
        <v/>
      </c>
      <c r="K554" s="7">
        <f>'1 datos preparados'!J547</f>
        <v/>
      </c>
      <c r="L554" s="7">
        <f>'1 datos preparados'!K547</f>
        <v/>
      </c>
      <c r="M554" s="7">
        <f>'1 datos preparados'!L547</f>
        <v/>
      </c>
      <c r="N554" s="7">
        <f>'1 datos preparados'!M547</f>
        <v/>
      </c>
      <c r="O554" s="7">
        <f>'1 datos preparados'!N547</f>
        <v/>
      </c>
      <c r="P554" s="7">
        <f>'1 datos preparados'!O547</f>
        <v/>
      </c>
      <c r="Q554" s="7">
        <f>'1 datos preparados'!P547</f>
        <v/>
      </c>
      <c r="R554" s="7">
        <f>'1 datos preparados'!Q547</f>
        <v/>
      </c>
      <c r="S554" s="7">
        <f>'1 datos preparados'!R547</f>
        <v/>
      </c>
      <c r="T554" s="7">
        <f>'1 datos preparados'!S547</f>
        <v/>
      </c>
      <c r="U554" s="7">
        <f>'1 datos preparados'!T547</f>
        <v/>
      </c>
      <c r="V554" s="8">
        <f>$AC$12+D554*$AC$13+E554*$AC$14+F554*$AC$15+G554*$AC$16+H554*$AC$17+I554*$AC$18+J554*$AC$19+K554*$AC$20+L554*$AC$21+M554*$AC$22+N554*$AC$23+O554*$AC$24+P554*$AC$25+Q554*$AC$26+R554*$AC$27+S554*$AC$28+T554*$AC$29+U554*$AC$30</f>
        <v/>
      </c>
      <c r="W554" s="8">
        <f>1/(1+EXP(-V554))</f>
        <v/>
      </c>
      <c r="X554" s="9">
        <f>-IF(C554=1,LN(W554),LN(1-W554))</f>
        <v/>
      </c>
      <c r="Y554" s="10">
        <f>IF(W554&gt;$AC$33,1,0)</f>
        <v/>
      </c>
      <c r="Z554">
        <f>IF(Y554=C554,1,0)</f>
        <v/>
      </c>
    </row>
    <row r="555">
      <c r="A555">
        <f>'1 datos preparados'!A548</f>
        <v/>
      </c>
      <c r="B555" s="5">
        <f>'1 datos preparados'!U548</f>
        <v/>
      </c>
      <c r="C555">
        <f>'1 datos preparados'!B548</f>
        <v/>
      </c>
      <c r="D555" s="7">
        <f>'1 datos preparados'!C548</f>
        <v/>
      </c>
      <c r="E555" s="7">
        <f>'1 datos preparados'!D548</f>
        <v/>
      </c>
      <c r="F555" s="7">
        <f>'1 datos preparados'!E548</f>
        <v/>
      </c>
      <c r="G555" s="7">
        <f>'1 datos preparados'!F548</f>
        <v/>
      </c>
      <c r="H555" s="7">
        <f>'1 datos preparados'!G548</f>
        <v/>
      </c>
      <c r="I555" s="7">
        <f>'1 datos preparados'!H548</f>
        <v/>
      </c>
      <c r="J555" s="7">
        <f>'1 datos preparados'!I548</f>
        <v/>
      </c>
      <c r="K555" s="7">
        <f>'1 datos preparados'!J548</f>
        <v/>
      </c>
      <c r="L555" s="7">
        <f>'1 datos preparados'!K548</f>
        <v/>
      </c>
      <c r="M555" s="7">
        <f>'1 datos preparados'!L548</f>
        <v/>
      </c>
      <c r="N555" s="7">
        <f>'1 datos preparados'!M548</f>
        <v/>
      </c>
      <c r="O555" s="7">
        <f>'1 datos preparados'!N548</f>
        <v/>
      </c>
      <c r="P555" s="7">
        <f>'1 datos preparados'!O548</f>
        <v/>
      </c>
      <c r="Q555" s="7">
        <f>'1 datos preparados'!P548</f>
        <v/>
      </c>
      <c r="R555" s="7">
        <f>'1 datos preparados'!Q548</f>
        <v/>
      </c>
      <c r="S555" s="7">
        <f>'1 datos preparados'!R548</f>
        <v/>
      </c>
      <c r="T555" s="7">
        <f>'1 datos preparados'!S548</f>
        <v/>
      </c>
      <c r="U555" s="7">
        <f>'1 datos preparados'!T548</f>
        <v/>
      </c>
      <c r="V555" s="8">
        <f>$AC$12+D555*$AC$13+E555*$AC$14+F555*$AC$15+G555*$AC$16+H555*$AC$17+I555*$AC$18+J555*$AC$19+K555*$AC$20+L555*$AC$21+M555*$AC$22+N555*$AC$23+O555*$AC$24+P555*$AC$25+Q555*$AC$26+R555*$AC$27+S555*$AC$28+T555*$AC$29+U555*$AC$30</f>
        <v/>
      </c>
      <c r="W555" s="8">
        <f>1/(1+EXP(-V555))</f>
        <v/>
      </c>
      <c r="X555" s="9">
        <f>-IF(C555=1,LN(W555),LN(1-W555))</f>
        <v/>
      </c>
      <c r="Y555" s="10">
        <f>IF(W555&gt;$AC$33,1,0)</f>
        <v/>
      </c>
      <c r="Z555">
        <f>IF(Y555=C555,1,0)</f>
        <v/>
      </c>
    </row>
    <row r="556">
      <c r="A556">
        <f>'1 datos preparados'!A549</f>
        <v/>
      </c>
      <c r="B556" s="5">
        <f>'1 datos preparados'!U549</f>
        <v/>
      </c>
      <c r="C556">
        <f>'1 datos preparados'!B549</f>
        <v/>
      </c>
      <c r="D556" s="7">
        <f>'1 datos preparados'!C549</f>
        <v/>
      </c>
      <c r="E556" s="7">
        <f>'1 datos preparados'!D549</f>
        <v/>
      </c>
      <c r="F556" s="7">
        <f>'1 datos preparados'!E549</f>
        <v/>
      </c>
      <c r="G556" s="7">
        <f>'1 datos preparados'!F549</f>
        <v/>
      </c>
      <c r="H556" s="7">
        <f>'1 datos preparados'!G549</f>
        <v/>
      </c>
      <c r="I556" s="7">
        <f>'1 datos preparados'!H549</f>
        <v/>
      </c>
      <c r="J556" s="7">
        <f>'1 datos preparados'!I549</f>
        <v/>
      </c>
      <c r="K556" s="7">
        <f>'1 datos preparados'!J549</f>
        <v/>
      </c>
      <c r="L556" s="7">
        <f>'1 datos preparados'!K549</f>
        <v/>
      </c>
      <c r="M556" s="7">
        <f>'1 datos preparados'!L549</f>
        <v/>
      </c>
      <c r="N556" s="7">
        <f>'1 datos preparados'!M549</f>
        <v/>
      </c>
      <c r="O556" s="7">
        <f>'1 datos preparados'!N549</f>
        <v/>
      </c>
      <c r="P556" s="7">
        <f>'1 datos preparados'!O549</f>
        <v/>
      </c>
      <c r="Q556" s="7">
        <f>'1 datos preparados'!P549</f>
        <v/>
      </c>
      <c r="R556" s="7">
        <f>'1 datos preparados'!Q549</f>
        <v/>
      </c>
      <c r="S556" s="7">
        <f>'1 datos preparados'!R549</f>
        <v/>
      </c>
      <c r="T556" s="7">
        <f>'1 datos preparados'!S549</f>
        <v/>
      </c>
      <c r="U556" s="7">
        <f>'1 datos preparados'!T549</f>
        <v/>
      </c>
      <c r="V556" s="8">
        <f>$AC$12+D556*$AC$13+E556*$AC$14+F556*$AC$15+G556*$AC$16+H556*$AC$17+I556*$AC$18+J556*$AC$19+K556*$AC$20+L556*$AC$21+M556*$AC$22+N556*$AC$23+O556*$AC$24+P556*$AC$25+Q556*$AC$26+R556*$AC$27+S556*$AC$28+T556*$AC$29+U556*$AC$30</f>
        <v/>
      </c>
      <c r="W556" s="8">
        <f>1/(1+EXP(-V556))</f>
        <v/>
      </c>
      <c r="X556" s="9">
        <f>-IF(C556=1,LN(W556),LN(1-W556))</f>
        <v/>
      </c>
      <c r="Y556" s="10">
        <f>IF(W556&gt;$AC$33,1,0)</f>
        <v/>
      </c>
      <c r="Z556">
        <f>IF(Y556=C556,1,0)</f>
        <v/>
      </c>
    </row>
    <row r="557">
      <c r="A557">
        <f>'1 datos preparados'!A550</f>
        <v/>
      </c>
      <c r="B557" s="5">
        <f>'1 datos preparados'!U550</f>
        <v/>
      </c>
      <c r="C557">
        <f>'1 datos preparados'!B550</f>
        <v/>
      </c>
      <c r="D557" s="7">
        <f>'1 datos preparados'!C550</f>
        <v/>
      </c>
      <c r="E557" s="7">
        <f>'1 datos preparados'!D550</f>
        <v/>
      </c>
      <c r="F557" s="7">
        <f>'1 datos preparados'!E550</f>
        <v/>
      </c>
      <c r="G557" s="7">
        <f>'1 datos preparados'!F550</f>
        <v/>
      </c>
      <c r="H557" s="7">
        <f>'1 datos preparados'!G550</f>
        <v/>
      </c>
      <c r="I557" s="7">
        <f>'1 datos preparados'!H550</f>
        <v/>
      </c>
      <c r="J557" s="7">
        <f>'1 datos preparados'!I550</f>
        <v/>
      </c>
      <c r="K557" s="7">
        <f>'1 datos preparados'!J550</f>
        <v/>
      </c>
      <c r="L557" s="7">
        <f>'1 datos preparados'!K550</f>
        <v/>
      </c>
      <c r="M557" s="7">
        <f>'1 datos preparados'!L550</f>
        <v/>
      </c>
      <c r="N557" s="7">
        <f>'1 datos preparados'!M550</f>
        <v/>
      </c>
      <c r="O557" s="7">
        <f>'1 datos preparados'!N550</f>
        <v/>
      </c>
      <c r="P557" s="7">
        <f>'1 datos preparados'!O550</f>
        <v/>
      </c>
      <c r="Q557" s="7">
        <f>'1 datos preparados'!P550</f>
        <v/>
      </c>
      <c r="R557" s="7">
        <f>'1 datos preparados'!Q550</f>
        <v/>
      </c>
      <c r="S557" s="7">
        <f>'1 datos preparados'!R550</f>
        <v/>
      </c>
      <c r="T557" s="7">
        <f>'1 datos preparados'!S550</f>
        <v/>
      </c>
      <c r="U557" s="7">
        <f>'1 datos preparados'!T550</f>
        <v/>
      </c>
      <c r="V557" s="8">
        <f>$AC$12+D557*$AC$13+E557*$AC$14+F557*$AC$15+G557*$AC$16+H557*$AC$17+I557*$AC$18+J557*$AC$19+K557*$AC$20+L557*$AC$21+M557*$AC$22+N557*$AC$23+O557*$AC$24+P557*$AC$25+Q557*$AC$26+R557*$AC$27+S557*$AC$28+T557*$AC$29+U557*$AC$30</f>
        <v/>
      </c>
      <c r="W557" s="8">
        <f>1/(1+EXP(-V557))</f>
        <v/>
      </c>
      <c r="X557" s="9">
        <f>-IF(C557=1,LN(W557),LN(1-W557))</f>
        <v/>
      </c>
      <c r="Y557" s="10">
        <f>IF(W557&gt;$AC$33,1,0)</f>
        <v/>
      </c>
      <c r="Z557">
        <f>IF(Y557=C557,1,0)</f>
        <v/>
      </c>
    </row>
    <row r="558">
      <c r="A558">
        <f>'1 datos preparados'!A551</f>
        <v/>
      </c>
      <c r="B558" s="5">
        <f>'1 datos preparados'!U551</f>
        <v/>
      </c>
      <c r="C558">
        <f>'1 datos preparados'!B551</f>
        <v/>
      </c>
      <c r="D558" s="7">
        <f>'1 datos preparados'!C551</f>
        <v/>
      </c>
      <c r="E558" s="7">
        <f>'1 datos preparados'!D551</f>
        <v/>
      </c>
      <c r="F558" s="7">
        <f>'1 datos preparados'!E551</f>
        <v/>
      </c>
      <c r="G558" s="7">
        <f>'1 datos preparados'!F551</f>
        <v/>
      </c>
      <c r="H558" s="7">
        <f>'1 datos preparados'!G551</f>
        <v/>
      </c>
      <c r="I558" s="7">
        <f>'1 datos preparados'!H551</f>
        <v/>
      </c>
      <c r="J558" s="7">
        <f>'1 datos preparados'!I551</f>
        <v/>
      </c>
      <c r="K558" s="7">
        <f>'1 datos preparados'!J551</f>
        <v/>
      </c>
      <c r="L558" s="7">
        <f>'1 datos preparados'!K551</f>
        <v/>
      </c>
      <c r="M558" s="7">
        <f>'1 datos preparados'!L551</f>
        <v/>
      </c>
      <c r="N558" s="7">
        <f>'1 datos preparados'!M551</f>
        <v/>
      </c>
      <c r="O558" s="7">
        <f>'1 datos preparados'!N551</f>
        <v/>
      </c>
      <c r="P558" s="7">
        <f>'1 datos preparados'!O551</f>
        <v/>
      </c>
      <c r="Q558" s="7">
        <f>'1 datos preparados'!P551</f>
        <v/>
      </c>
      <c r="R558" s="7">
        <f>'1 datos preparados'!Q551</f>
        <v/>
      </c>
      <c r="S558" s="7">
        <f>'1 datos preparados'!R551</f>
        <v/>
      </c>
      <c r="T558" s="7">
        <f>'1 datos preparados'!S551</f>
        <v/>
      </c>
      <c r="U558" s="7">
        <f>'1 datos preparados'!T551</f>
        <v/>
      </c>
      <c r="V558" s="8">
        <f>$AC$12+D558*$AC$13+E558*$AC$14+F558*$AC$15+G558*$AC$16+H558*$AC$17+I558*$AC$18+J558*$AC$19+K558*$AC$20+L558*$AC$21+M558*$AC$22+N558*$AC$23+O558*$AC$24+P558*$AC$25+Q558*$AC$26+R558*$AC$27+S558*$AC$28+T558*$AC$29+U558*$AC$30</f>
        <v/>
      </c>
      <c r="W558" s="8">
        <f>1/(1+EXP(-V558))</f>
        <v/>
      </c>
      <c r="X558" s="9">
        <f>-IF(C558=1,LN(W558),LN(1-W558))</f>
        <v/>
      </c>
      <c r="Y558" s="10">
        <f>IF(W558&gt;$AC$33,1,0)</f>
        <v/>
      </c>
      <c r="Z558">
        <f>IF(Y558=C558,1,0)</f>
        <v/>
      </c>
    </row>
    <row r="559">
      <c r="A559">
        <f>'1 datos preparados'!A552</f>
        <v/>
      </c>
      <c r="B559" s="5">
        <f>'1 datos preparados'!U552</f>
        <v/>
      </c>
      <c r="C559">
        <f>'1 datos preparados'!B552</f>
        <v/>
      </c>
      <c r="D559" s="7">
        <f>'1 datos preparados'!C552</f>
        <v/>
      </c>
      <c r="E559" s="7">
        <f>'1 datos preparados'!D552</f>
        <v/>
      </c>
      <c r="F559" s="7">
        <f>'1 datos preparados'!E552</f>
        <v/>
      </c>
      <c r="G559" s="7">
        <f>'1 datos preparados'!F552</f>
        <v/>
      </c>
      <c r="H559" s="7">
        <f>'1 datos preparados'!G552</f>
        <v/>
      </c>
      <c r="I559" s="7">
        <f>'1 datos preparados'!H552</f>
        <v/>
      </c>
      <c r="J559" s="7">
        <f>'1 datos preparados'!I552</f>
        <v/>
      </c>
      <c r="K559" s="7">
        <f>'1 datos preparados'!J552</f>
        <v/>
      </c>
      <c r="L559" s="7">
        <f>'1 datos preparados'!K552</f>
        <v/>
      </c>
      <c r="M559" s="7">
        <f>'1 datos preparados'!L552</f>
        <v/>
      </c>
      <c r="N559" s="7">
        <f>'1 datos preparados'!M552</f>
        <v/>
      </c>
      <c r="O559" s="7">
        <f>'1 datos preparados'!N552</f>
        <v/>
      </c>
      <c r="P559" s="7">
        <f>'1 datos preparados'!O552</f>
        <v/>
      </c>
      <c r="Q559" s="7">
        <f>'1 datos preparados'!P552</f>
        <v/>
      </c>
      <c r="R559" s="7">
        <f>'1 datos preparados'!Q552</f>
        <v/>
      </c>
      <c r="S559" s="7">
        <f>'1 datos preparados'!R552</f>
        <v/>
      </c>
      <c r="T559" s="7">
        <f>'1 datos preparados'!S552</f>
        <v/>
      </c>
      <c r="U559" s="7">
        <f>'1 datos preparados'!T552</f>
        <v/>
      </c>
      <c r="V559" s="8">
        <f>$AC$12+D559*$AC$13+E559*$AC$14+F559*$AC$15+G559*$AC$16+H559*$AC$17+I559*$AC$18+J559*$AC$19+K559*$AC$20+L559*$AC$21+M559*$AC$22+N559*$AC$23+O559*$AC$24+P559*$AC$25+Q559*$AC$26+R559*$AC$27+S559*$AC$28+T559*$AC$29+U559*$AC$30</f>
        <v/>
      </c>
      <c r="W559" s="8">
        <f>1/(1+EXP(-V559))</f>
        <v/>
      </c>
      <c r="X559" s="9">
        <f>-IF(C559=1,LN(W559),LN(1-W559))</f>
        <v/>
      </c>
      <c r="Y559" s="10">
        <f>IF(W559&gt;$AC$33,1,0)</f>
        <v/>
      </c>
      <c r="Z559">
        <f>IF(Y559=C559,1,0)</f>
        <v/>
      </c>
    </row>
    <row r="560">
      <c r="A560">
        <f>'1 datos preparados'!A553</f>
        <v/>
      </c>
      <c r="B560" s="5">
        <f>'1 datos preparados'!U553</f>
        <v/>
      </c>
      <c r="C560">
        <f>'1 datos preparados'!B553</f>
        <v/>
      </c>
      <c r="D560" s="7">
        <f>'1 datos preparados'!C553</f>
        <v/>
      </c>
      <c r="E560" s="7">
        <f>'1 datos preparados'!D553</f>
        <v/>
      </c>
      <c r="F560" s="7">
        <f>'1 datos preparados'!E553</f>
        <v/>
      </c>
      <c r="G560" s="7">
        <f>'1 datos preparados'!F553</f>
        <v/>
      </c>
      <c r="H560" s="7">
        <f>'1 datos preparados'!G553</f>
        <v/>
      </c>
      <c r="I560" s="7">
        <f>'1 datos preparados'!H553</f>
        <v/>
      </c>
      <c r="J560" s="7">
        <f>'1 datos preparados'!I553</f>
        <v/>
      </c>
      <c r="K560" s="7">
        <f>'1 datos preparados'!J553</f>
        <v/>
      </c>
      <c r="L560" s="7">
        <f>'1 datos preparados'!K553</f>
        <v/>
      </c>
      <c r="M560" s="7">
        <f>'1 datos preparados'!L553</f>
        <v/>
      </c>
      <c r="N560" s="7">
        <f>'1 datos preparados'!M553</f>
        <v/>
      </c>
      <c r="O560" s="7">
        <f>'1 datos preparados'!N553</f>
        <v/>
      </c>
      <c r="P560" s="7">
        <f>'1 datos preparados'!O553</f>
        <v/>
      </c>
      <c r="Q560" s="7">
        <f>'1 datos preparados'!P553</f>
        <v/>
      </c>
      <c r="R560" s="7">
        <f>'1 datos preparados'!Q553</f>
        <v/>
      </c>
      <c r="S560" s="7">
        <f>'1 datos preparados'!R553</f>
        <v/>
      </c>
      <c r="T560" s="7">
        <f>'1 datos preparados'!S553</f>
        <v/>
      </c>
      <c r="U560" s="7">
        <f>'1 datos preparados'!T553</f>
        <v/>
      </c>
      <c r="V560" s="8">
        <f>$AC$12+D560*$AC$13+E560*$AC$14+F560*$AC$15+G560*$AC$16+H560*$AC$17+I560*$AC$18+J560*$AC$19+K560*$AC$20+L560*$AC$21+M560*$AC$22+N560*$AC$23+O560*$AC$24+P560*$AC$25+Q560*$AC$26+R560*$AC$27+S560*$AC$28+T560*$AC$29+U560*$AC$30</f>
        <v/>
      </c>
      <c r="W560" s="8">
        <f>1/(1+EXP(-V560))</f>
        <v/>
      </c>
      <c r="X560" s="9">
        <f>-IF(C560=1,LN(W560),LN(1-W560))</f>
        <v/>
      </c>
      <c r="Y560" s="10">
        <f>IF(W560&gt;$AC$33,1,0)</f>
        <v/>
      </c>
      <c r="Z560">
        <f>IF(Y560=C560,1,0)</f>
        <v/>
      </c>
    </row>
    <row r="561">
      <c r="A561">
        <f>'1 datos preparados'!A554</f>
        <v/>
      </c>
      <c r="B561" s="5">
        <f>'1 datos preparados'!U554</f>
        <v/>
      </c>
      <c r="C561">
        <f>'1 datos preparados'!B554</f>
        <v/>
      </c>
      <c r="D561" s="7">
        <f>'1 datos preparados'!C554</f>
        <v/>
      </c>
      <c r="E561" s="7">
        <f>'1 datos preparados'!D554</f>
        <v/>
      </c>
      <c r="F561" s="7">
        <f>'1 datos preparados'!E554</f>
        <v/>
      </c>
      <c r="G561" s="7">
        <f>'1 datos preparados'!F554</f>
        <v/>
      </c>
      <c r="H561" s="7">
        <f>'1 datos preparados'!G554</f>
        <v/>
      </c>
      <c r="I561" s="7">
        <f>'1 datos preparados'!H554</f>
        <v/>
      </c>
      <c r="J561" s="7">
        <f>'1 datos preparados'!I554</f>
        <v/>
      </c>
      <c r="K561" s="7">
        <f>'1 datos preparados'!J554</f>
        <v/>
      </c>
      <c r="L561" s="7">
        <f>'1 datos preparados'!K554</f>
        <v/>
      </c>
      <c r="M561" s="7">
        <f>'1 datos preparados'!L554</f>
        <v/>
      </c>
      <c r="N561" s="7">
        <f>'1 datos preparados'!M554</f>
        <v/>
      </c>
      <c r="O561" s="7">
        <f>'1 datos preparados'!N554</f>
        <v/>
      </c>
      <c r="P561" s="7">
        <f>'1 datos preparados'!O554</f>
        <v/>
      </c>
      <c r="Q561" s="7">
        <f>'1 datos preparados'!P554</f>
        <v/>
      </c>
      <c r="R561" s="7">
        <f>'1 datos preparados'!Q554</f>
        <v/>
      </c>
      <c r="S561" s="7">
        <f>'1 datos preparados'!R554</f>
        <v/>
      </c>
      <c r="T561" s="7">
        <f>'1 datos preparados'!S554</f>
        <v/>
      </c>
      <c r="U561" s="7">
        <f>'1 datos preparados'!T554</f>
        <v/>
      </c>
      <c r="V561" s="8">
        <f>$AC$12+D561*$AC$13+E561*$AC$14+F561*$AC$15+G561*$AC$16+H561*$AC$17+I561*$AC$18+J561*$AC$19+K561*$AC$20+L561*$AC$21+M561*$AC$22+N561*$AC$23+O561*$AC$24+P561*$AC$25+Q561*$AC$26+R561*$AC$27+S561*$AC$28+T561*$AC$29+U561*$AC$30</f>
        <v/>
      </c>
      <c r="W561" s="8">
        <f>1/(1+EXP(-V561))</f>
        <v/>
      </c>
      <c r="X561" s="9">
        <f>-IF(C561=1,LN(W561),LN(1-W561))</f>
        <v/>
      </c>
      <c r="Y561" s="10">
        <f>IF(W561&gt;$AC$33,1,0)</f>
        <v/>
      </c>
      <c r="Z561">
        <f>IF(Y561=C561,1,0)</f>
        <v/>
      </c>
    </row>
    <row r="562">
      <c r="A562">
        <f>'1 datos preparados'!A555</f>
        <v/>
      </c>
      <c r="B562" s="5">
        <f>'1 datos preparados'!U555</f>
        <v/>
      </c>
      <c r="C562">
        <f>'1 datos preparados'!B555</f>
        <v/>
      </c>
      <c r="D562" s="7">
        <f>'1 datos preparados'!C555</f>
        <v/>
      </c>
      <c r="E562" s="7">
        <f>'1 datos preparados'!D555</f>
        <v/>
      </c>
      <c r="F562" s="7">
        <f>'1 datos preparados'!E555</f>
        <v/>
      </c>
      <c r="G562" s="7">
        <f>'1 datos preparados'!F555</f>
        <v/>
      </c>
      <c r="H562" s="7">
        <f>'1 datos preparados'!G555</f>
        <v/>
      </c>
      <c r="I562" s="7">
        <f>'1 datos preparados'!H555</f>
        <v/>
      </c>
      <c r="J562" s="7">
        <f>'1 datos preparados'!I555</f>
        <v/>
      </c>
      <c r="K562" s="7">
        <f>'1 datos preparados'!J555</f>
        <v/>
      </c>
      <c r="L562" s="7">
        <f>'1 datos preparados'!K555</f>
        <v/>
      </c>
      <c r="M562" s="7">
        <f>'1 datos preparados'!L555</f>
        <v/>
      </c>
      <c r="N562" s="7">
        <f>'1 datos preparados'!M555</f>
        <v/>
      </c>
      <c r="O562" s="7">
        <f>'1 datos preparados'!N555</f>
        <v/>
      </c>
      <c r="P562" s="7">
        <f>'1 datos preparados'!O555</f>
        <v/>
      </c>
      <c r="Q562" s="7">
        <f>'1 datos preparados'!P555</f>
        <v/>
      </c>
      <c r="R562" s="7">
        <f>'1 datos preparados'!Q555</f>
        <v/>
      </c>
      <c r="S562" s="7">
        <f>'1 datos preparados'!R555</f>
        <v/>
      </c>
      <c r="T562" s="7">
        <f>'1 datos preparados'!S555</f>
        <v/>
      </c>
      <c r="U562" s="7">
        <f>'1 datos preparados'!T555</f>
        <v/>
      </c>
      <c r="V562" s="8">
        <f>$AC$12+D562*$AC$13+E562*$AC$14+F562*$AC$15+G562*$AC$16+H562*$AC$17+I562*$AC$18+J562*$AC$19+K562*$AC$20+L562*$AC$21+M562*$AC$22+N562*$AC$23+O562*$AC$24+P562*$AC$25+Q562*$AC$26+R562*$AC$27+S562*$AC$28+T562*$AC$29+U562*$AC$30</f>
        <v/>
      </c>
      <c r="W562" s="8">
        <f>1/(1+EXP(-V562))</f>
        <v/>
      </c>
      <c r="X562" s="9">
        <f>-IF(C562=1,LN(W562),LN(1-W562))</f>
        <v/>
      </c>
      <c r="Y562" s="10">
        <f>IF(W562&gt;$AC$33,1,0)</f>
        <v/>
      </c>
      <c r="Z562">
        <f>IF(Y562=C562,1,0)</f>
        <v/>
      </c>
    </row>
    <row r="563">
      <c r="A563">
        <f>'1 datos preparados'!A556</f>
        <v/>
      </c>
      <c r="B563" s="5">
        <f>'1 datos preparados'!U556</f>
        <v/>
      </c>
      <c r="C563">
        <f>'1 datos preparados'!B556</f>
        <v/>
      </c>
      <c r="D563" s="7">
        <f>'1 datos preparados'!C556</f>
        <v/>
      </c>
      <c r="E563" s="7">
        <f>'1 datos preparados'!D556</f>
        <v/>
      </c>
      <c r="F563" s="7">
        <f>'1 datos preparados'!E556</f>
        <v/>
      </c>
      <c r="G563" s="7">
        <f>'1 datos preparados'!F556</f>
        <v/>
      </c>
      <c r="H563" s="7">
        <f>'1 datos preparados'!G556</f>
        <v/>
      </c>
      <c r="I563" s="7">
        <f>'1 datos preparados'!H556</f>
        <v/>
      </c>
      <c r="J563" s="7">
        <f>'1 datos preparados'!I556</f>
        <v/>
      </c>
      <c r="K563" s="7">
        <f>'1 datos preparados'!J556</f>
        <v/>
      </c>
      <c r="L563" s="7">
        <f>'1 datos preparados'!K556</f>
        <v/>
      </c>
      <c r="M563" s="7">
        <f>'1 datos preparados'!L556</f>
        <v/>
      </c>
      <c r="N563" s="7">
        <f>'1 datos preparados'!M556</f>
        <v/>
      </c>
      <c r="O563" s="7">
        <f>'1 datos preparados'!N556</f>
        <v/>
      </c>
      <c r="P563" s="7">
        <f>'1 datos preparados'!O556</f>
        <v/>
      </c>
      <c r="Q563" s="7">
        <f>'1 datos preparados'!P556</f>
        <v/>
      </c>
      <c r="R563" s="7">
        <f>'1 datos preparados'!Q556</f>
        <v/>
      </c>
      <c r="S563" s="7">
        <f>'1 datos preparados'!R556</f>
        <v/>
      </c>
      <c r="T563" s="7">
        <f>'1 datos preparados'!S556</f>
        <v/>
      </c>
      <c r="U563" s="7">
        <f>'1 datos preparados'!T556</f>
        <v/>
      </c>
      <c r="V563" s="8">
        <f>$AC$12+D563*$AC$13+E563*$AC$14+F563*$AC$15+G563*$AC$16+H563*$AC$17+I563*$AC$18+J563*$AC$19+K563*$AC$20+L563*$AC$21+M563*$AC$22+N563*$AC$23+O563*$AC$24+P563*$AC$25+Q563*$AC$26+R563*$AC$27+S563*$AC$28+T563*$AC$29+U563*$AC$30</f>
        <v/>
      </c>
      <c r="W563" s="8">
        <f>1/(1+EXP(-V563))</f>
        <v/>
      </c>
      <c r="X563" s="9">
        <f>-IF(C563=1,LN(W563),LN(1-W563))</f>
        <v/>
      </c>
      <c r="Y563" s="10">
        <f>IF(W563&gt;$AC$33,1,0)</f>
        <v/>
      </c>
      <c r="Z563">
        <f>IF(Y563=C563,1,0)</f>
        <v/>
      </c>
    </row>
    <row r="564">
      <c r="A564">
        <f>'1 datos preparados'!A557</f>
        <v/>
      </c>
      <c r="B564" s="5">
        <f>'1 datos preparados'!U557</f>
        <v/>
      </c>
      <c r="C564">
        <f>'1 datos preparados'!B557</f>
        <v/>
      </c>
      <c r="D564" s="7">
        <f>'1 datos preparados'!C557</f>
        <v/>
      </c>
      <c r="E564" s="7">
        <f>'1 datos preparados'!D557</f>
        <v/>
      </c>
      <c r="F564" s="7">
        <f>'1 datos preparados'!E557</f>
        <v/>
      </c>
      <c r="G564" s="7">
        <f>'1 datos preparados'!F557</f>
        <v/>
      </c>
      <c r="H564" s="7">
        <f>'1 datos preparados'!G557</f>
        <v/>
      </c>
      <c r="I564" s="7">
        <f>'1 datos preparados'!H557</f>
        <v/>
      </c>
      <c r="J564" s="7">
        <f>'1 datos preparados'!I557</f>
        <v/>
      </c>
      <c r="K564" s="7">
        <f>'1 datos preparados'!J557</f>
        <v/>
      </c>
      <c r="L564" s="7">
        <f>'1 datos preparados'!K557</f>
        <v/>
      </c>
      <c r="M564" s="7">
        <f>'1 datos preparados'!L557</f>
        <v/>
      </c>
      <c r="N564" s="7">
        <f>'1 datos preparados'!M557</f>
        <v/>
      </c>
      <c r="O564" s="7">
        <f>'1 datos preparados'!N557</f>
        <v/>
      </c>
      <c r="P564" s="7">
        <f>'1 datos preparados'!O557</f>
        <v/>
      </c>
      <c r="Q564" s="7">
        <f>'1 datos preparados'!P557</f>
        <v/>
      </c>
      <c r="R564" s="7">
        <f>'1 datos preparados'!Q557</f>
        <v/>
      </c>
      <c r="S564" s="7">
        <f>'1 datos preparados'!R557</f>
        <v/>
      </c>
      <c r="T564" s="7">
        <f>'1 datos preparados'!S557</f>
        <v/>
      </c>
      <c r="U564" s="7">
        <f>'1 datos preparados'!T557</f>
        <v/>
      </c>
      <c r="V564" s="8">
        <f>$AC$12+D564*$AC$13+E564*$AC$14+F564*$AC$15+G564*$AC$16+H564*$AC$17+I564*$AC$18+J564*$AC$19+K564*$AC$20+L564*$AC$21+M564*$AC$22+N564*$AC$23+O564*$AC$24+P564*$AC$25+Q564*$AC$26+R564*$AC$27+S564*$AC$28+T564*$AC$29+U564*$AC$30</f>
        <v/>
      </c>
      <c r="W564" s="8">
        <f>1/(1+EXP(-V564))</f>
        <v/>
      </c>
      <c r="X564" s="9">
        <f>-IF(C564=1,LN(W564),LN(1-W564))</f>
        <v/>
      </c>
      <c r="Y564" s="10">
        <f>IF(W564&gt;$AC$33,1,0)</f>
        <v/>
      </c>
      <c r="Z564">
        <f>IF(Y564=C564,1,0)</f>
        <v/>
      </c>
    </row>
    <row r="565">
      <c r="A565">
        <f>'1 datos preparados'!A558</f>
        <v/>
      </c>
      <c r="B565" s="5">
        <f>'1 datos preparados'!U558</f>
        <v/>
      </c>
      <c r="C565">
        <f>'1 datos preparados'!B558</f>
        <v/>
      </c>
      <c r="D565" s="7">
        <f>'1 datos preparados'!C558</f>
        <v/>
      </c>
      <c r="E565" s="7">
        <f>'1 datos preparados'!D558</f>
        <v/>
      </c>
      <c r="F565" s="7">
        <f>'1 datos preparados'!E558</f>
        <v/>
      </c>
      <c r="G565" s="7">
        <f>'1 datos preparados'!F558</f>
        <v/>
      </c>
      <c r="H565" s="7">
        <f>'1 datos preparados'!G558</f>
        <v/>
      </c>
      <c r="I565" s="7">
        <f>'1 datos preparados'!H558</f>
        <v/>
      </c>
      <c r="J565" s="7">
        <f>'1 datos preparados'!I558</f>
        <v/>
      </c>
      <c r="K565" s="7">
        <f>'1 datos preparados'!J558</f>
        <v/>
      </c>
      <c r="L565" s="7">
        <f>'1 datos preparados'!K558</f>
        <v/>
      </c>
      <c r="M565" s="7">
        <f>'1 datos preparados'!L558</f>
        <v/>
      </c>
      <c r="N565" s="7">
        <f>'1 datos preparados'!M558</f>
        <v/>
      </c>
      <c r="O565" s="7">
        <f>'1 datos preparados'!N558</f>
        <v/>
      </c>
      <c r="P565" s="7">
        <f>'1 datos preparados'!O558</f>
        <v/>
      </c>
      <c r="Q565" s="7">
        <f>'1 datos preparados'!P558</f>
        <v/>
      </c>
      <c r="R565" s="7">
        <f>'1 datos preparados'!Q558</f>
        <v/>
      </c>
      <c r="S565" s="7">
        <f>'1 datos preparados'!R558</f>
        <v/>
      </c>
      <c r="T565" s="7">
        <f>'1 datos preparados'!S558</f>
        <v/>
      </c>
      <c r="U565" s="7">
        <f>'1 datos preparados'!T558</f>
        <v/>
      </c>
      <c r="V565" s="8">
        <f>$AC$12+D565*$AC$13+E565*$AC$14+F565*$AC$15+G565*$AC$16+H565*$AC$17+I565*$AC$18+J565*$AC$19+K565*$AC$20+L565*$AC$21+M565*$AC$22+N565*$AC$23+O565*$AC$24+P565*$AC$25+Q565*$AC$26+R565*$AC$27+S565*$AC$28+T565*$AC$29+U565*$AC$30</f>
        <v/>
      </c>
      <c r="W565" s="8">
        <f>1/(1+EXP(-V565))</f>
        <v/>
      </c>
      <c r="X565" s="9">
        <f>-IF(C565=1,LN(W565),LN(1-W565))</f>
        <v/>
      </c>
      <c r="Y565" s="10">
        <f>IF(W565&gt;$AC$33,1,0)</f>
        <v/>
      </c>
      <c r="Z565">
        <f>IF(Y565=C565,1,0)</f>
        <v/>
      </c>
    </row>
    <row r="566">
      <c r="A566">
        <f>'1 datos preparados'!A559</f>
        <v/>
      </c>
      <c r="B566" s="5">
        <f>'1 datos preparados'!U559</f>
        <v/>
      </c>
      <c r="C566">
        <f>'1 datos preparados'!B559</f>
        <v/>
      </c>
      <c r="D566" s="7">
        <f>'1 datos preparados'!C559</f>
        <v/>
      </c>
      <c r="E566" s="7">
        <f>'1 datos preparados'!D559</f>
        <v/>
      </c>
      <c r="F566" s="7">
        <f>'1 datos preparados'!E559</f>
        <v/>
      </c>
      <c r="G566" s="7">
        <f>'1 datos preparados'!F559</f>
        <v/>
      </c>
      <c r="H566" s="7">
        <f>'1 datos preparados'!G559</f>
        <v/>
      </c>
      <c r="I566" s="7">
        <f>'1 datos preparados'!H559</f>
        <v/>
      </c>
      <c r="J566" s="7">
        <f>'1 datos preparados'!I559</f>
        <v/>
      </c>
      <c r="K566" s="7">
        <f>'1 datos preparados'!J559</f>
        <v/>
      </c>
      <c r="L566" s="7">
        <f>'1 datos preparados'!K559</f>
        <v/>
      </c>
      <c r="M566" s="7">
        <f>'1 datos preparados'!L559</f>
        <v/>
      </c>
      <c r="N566" s="7">
        <f>'1 datos preparados'!M559</f>
        <v/>
      </c>
      <c r="O566" s="7">
        <f>'1 datos preparados'!N559</f>
        <v/>
      </c>
      <c r="P566" s="7">
        <f>'1 datos preparados'!O559</f>
        <v/>
      </c>
      <c r="Q566" s="7">
        <f>'1 datos preparados'!P559</f>
        <v/>
      </c>
      <c r="R566" s="7">
        <f>'1 datos preparados'!Q559</f>
        <v/>
      </c>
      <c r="S566" s="7">
        <f>'1 datos preparados'!R559</f>
        <v/>
      </c>
      <c r="T566" s="7">
        <f>'1 datos preparados'!S559</f>
        <v/>
      </c>
      <c r="U566" s="7">
        <f>'1 datos preparados'!T559</f>
        <v/>
      </c>
      <c r="V566" s="8">
        <f>$AC$12+D566*$AC$13+E566*$AC$14+F566*$AC$15+G566*$AC$16+H566*$AC$17+I566*$AC$18+J566*$AC$19+K566*$AC$20+L566*$AC$21+M566*$AC$22+N566*$AC$23+O566*$AC$24+P566*$AC$25+Q566*$AC$26+R566*$AC$27+S566*$AC$28+T566*$AC$29+U566*$AC$30</f>
        <v/>
      </c>
      <c r="W566" s="8">
        <f>1/(1+EXP(-V566))</f>
        <v/>
      </c>
      <c r="X566" s="9">
        <f>-IF(C566=1,LN(W566),LN(1-W566))</f>
        <v/>
      </c>
      <c r="Y566" s="10">
        <f>IF(W566&gt;$AC$33,1,0)</f>
        <v/>
      </c>
      <c r="Z566">
        <f>IF(Y566=C566,1,0)</f>
        <v/>
      </c>
    </row>
    <row r="567">
      <c r="A567">
        <f>'1 datos preparados'!A560</f>
        <v/>
      </c>
      <c r="B567" s="5">
        <f>'1 datos preparados'!U560</f>
        <v/>
      </c>
      <c r="C567">
        <f>'1 datos preparados'!B560</f>
        <v/>
      </c>
      <c r="D567" s="7">
        <f>'1 datos preparados'!C560</f>
        <v/>
      </c>
      <c r="E567" s="7">
        <f>'1 datos preparados'!D560</f>
        <v/>
      </c>
      <c r="F567" s="7">
        <f>'1 datos preparados'!E560</f>
        <v/>
      </c>
      <c r="G567" s="7">
        <f>'1 datos preparados'!F560</f>
        <v/>
      </c>
      <c r="H567" s="7">
        <f>'1 datos preparados'!G560</f>
        <v/>
      </c>
      <c r="I567" s="7">
        <f>'1 datos preparados'!H560</f>
        <v/>
      </c>
      <c r="J567" s="7">
        <f>'1 datos preparados'!I560</f>
        <v/>
      </c>
      <c r="K567" s="7">
        <f>'1 datos preparados'!J560</f>
        <v/>
      </c>
      <c r="L567" s="7">
        <f>'1 datos preparados'!K560</f>
        <v/>
      </c>
      <c r="M567" s="7">
        <f>'1 datos preparados'!L560</f>
        <v/>
      </c>
      <c r="N567" s="7">
        <f>'1 datos preparados'!M560</f>
        <v/>
      </c>
      <c r="O567" s="7">
        <f>'1 datos preparados'!N560</f>
        <v/>
      </c>
      <c r="P567" s="7">
        <f>'1 datos preparados'!O560</f>
        <v/>
      </c>
      <c r="Q567" s="7">
        <f>'1 datos preparados'!P560</f>
        <v/>
      </c>
      <c r="R567" s="7">
        <f>'1 datos preparados'!Q560</f>
        <v/>
      </c>
      <c r="S567" s="7">
        <f>'1 datos preparados'!R560</f>
        <v/>
      </c>
      <c r="T567" s="7">
        <f>'1 datos preparados'!S560</f>
        <v/>
      </c>
      <c r="U567" s="7">
        <f>'1 datos preparados'!T560</f>
        <v/>
      </c>
      <c r="V567" s="8">
        <f>$AC$12+D567*$AC$13+E567*$AC$14+F567*$AC$15+G567*$AC$16+H567*$AC$17+I567*$AC$18+J567*$AC$19+K567*$AC$20+L567*$AC$21+M567*$AC$22+N567*$AC$23+O567*$AC$24+P567*$AC$25+Q567*$AC$26+R567*$AC$27+S567*$AC$28+T567*$AC$29+U567*$AC$30</f>
        <v/>
      </c>
      <c r="W567" s="8">
        <f>1/(1+EXP(-V567))</f>
        <v/>
      </c>
      <c r="X567" s="9">
        <f>-IF(C567=1,LN(W567),LN(1-W567))</f>
        <v/>
      </c>
      <c r="Y567" s="10">
        <f>IF(W567&gt;$AC$33,1,0)</f>
        <v/>
      </c>
      <c r="Z567">
        <f>IF(Y567=C567,1,0)</f>
        <v/>
      </c>
    </row>
    <row r="568">
      <c r="A568">
        <f>'1 datos preparados'!A561</f>
        <v/>
      </c>
      <c r="B568" s="5">
        <f>'1 datos preparados'!U561</f>
        <v/>
      </c>
      <c r="C568">
        <f>'1 datos preparados'!B561</f>
        <v/>
      </c>
      <c r="D568" s="7">
        <f>'1 datos preparados'!C561</f>
        <v/>
      </c>
      <c r="E568" s="7">
        <f>'1 datos preparados'!D561</f>
        <v/>
      </c>
      <c r="F568" s="7">
        <f>'1 datos preparados'!E561</f>
        <v/>
      </c>
      <c r="G568" s="7">
        <f>'1 datos preparados'!F561</f>
        <v/>
      </c>
      <c r="H568" s="7">
        <f>'1 datos preparados'!G561</f>
        <v/>
      </c>
      <c r="I568" s="7">
        <f>'1 datos preparados'!H561</f>
        <v/>
      </c>
      <c r="J568" s="7">
        <f>'1 datos preparados'!I561</f>
        <v/>
      </c>
      <c r="K568" s="7">
        <f>'1 datos preparados'!J561</f>
        <v/>
      </c>
      <c r="L568" s="7">
        <f>'1 datos preparados'!K561</f>
        <v/>
      </c>
      <c r="M568" s="7">
        <f>'1 datos preparados'!L561</f>
        <v/>
      </c>
      <c r="N568" s="7">
        <f>'1 datos preparados'!M561</f>
        <v/>
      </c>
      <c r="O568" s="7">
        <f>'1 datos preparados'!N561</f>
        <v/>
      </c>
      <c r="P568" s="7">
        <f>'1 datos preparados'!O561</f>
        <v/>
      </c>
      <c r="Q568" s="7">
        <f>'1 datos preparados'!P561</f>
        <v/>
      </c>
      <c r="R568" s="7">
        <f>'1 datos preparados'!Q561</f>
        <v/>
      </c>
      <c r="S568" s="7">
        <f>'1 datos preparados'!R561</f>
        <v/>
      </c>
      <c r="T568" s="7">
        <f>'1 datos preparados'!S561</f>
        <v/>
      </c>
      <c r="U568" s="7">
        <f>'1 datos preparados'!T561</f>
        <v/>
      </c>
      <c r="V568" s="8">
        <f>$AC$12+D568*$AC$13+E568*$AC$14+F568*$AC$15+G568*$AC$16+H568*$AC$17+I568*$AC$18+J568*$AC$19+K568*$AC$20+L568*$AC$21+M568*$AC$22+N568*$AC$23+O568*$AC$24+P568*$AC$25+Q568*$AC$26+R568*$AC$27+S568*$AC$28+T568*$AC$29+U568*$AC$30</f>
        <v/>
      </c>
      <c r="W568" s="8">
        <f>1/(1+EXP(-V568))</f>
        <v/>
      </c>
      <c r="X568" s="9">
        <f>-IF(C568=1,LN(W568),LN(1-W568))</f>
        <v/>
      </c>
      <c r="Y568" s="10">
        <f>IF(W568&gt;$AC$33,1,0)</f>
        <v/>
      </c>
      <c r="Z568">
        <f>IF(Y568=C568,1,0)</f>
        <v/>
      </c>
    </row>
    <row r="569">
      <c r="A569">
        <f>'1 datos preparados'!A562</f>
        <v/>
      </c>
      <c r="B569" s="5">
        <f>'1 datos preparados'!U562</f>
        <v/>
      </c>
      <c r="C569">
        <f>'1 datos preparados'!B562</f>
        <v/>
      </c>
      <c r="D569" s="7">
        <f>'1 datos preparados'!C562</f>
        <v/>
      </c>
      <c r="E569" s="7">
        <f>'1 datos preparados'!D562</f>
        <v/>
      </c>
      <c r="F569" s="7">
        <f>'1 datos preparados'!E562</f>
        <v/>
      </c>
      <c r="G569" s="7">
        <f>'1 datos preparados'!F562</f>
        <v/>
      </c>
      <c r="H569" s="7">
        <f>'1 datos preparados'!G562</f>
        <v/>
      </c>
      <c r="I569" s="7">
        <f>'1 datos preparados'!H562</f>
        <v/>
      </c>
      <c r="J569" s="7">
        <f>'1 datos preparados'!I562</f>
        <v/>
      </c>
      <c r="K569" s="7">
        <f>'1 datos preparados'!J562</f>
        <v/>
      </c>
      <c r="L569" s="7">
        <f>'1 datos preparados'!K562</f>
        <v/>
      </c>
      <c r="M569" s="7">
        <f>'1 datos preparados'!L562</f>
        <v/>
      </c>
      <c r="N569" s="7">
        <f>'1 datos preparados'!M562</f>
        <v/>
      </c>
      <c r="O569" s="7">
        <f>'1 datos preparados'!N562</f>
        <v/>
      </c>
      <c r="P569" s="7">
        <f>'1 datos preparados'!O562</f>
        <v/>
      </c>
      <c r="Q569" s="7">
        <f>'1 datos preparados'!P562</f>
        <v/>
      </c>
      <c r="R569" s="7">
        <f>'1 datos preparados'!Q562</f>
        <v/>
      </c>
      <c r="S569" s="7">
        <f>'1 datos preparados'!R562</f>
        <v/>
      </c>
      <c r="T569" s="7">
        <f>'1 datos preparados'!S562</f>
        <v/>
      </c>
      <c r="U569" s="7">
        <f>'1 datos preparados'!T562</f>
        <v/>
      </c>
      <c r="V569" s="8">
        <f>$AC$12+D569*$AC$13+E569*$AC$14+F569*$AC$15+G569*$AC$16+H569*$AC$17+I569*$AC$18+J569*$AC$19+K569*$AC$20+L569*$AC$21+M569*$AC$22+N569*$AC$23+O569*$AC$24+P569*$AC$25+Q569*$AC$26+R569*$AC$27+S569*$AC$28+T569*$AC$29+U569*$AC$30</f>
        <v/>
      </c>
      <c r="W569" s="8">
        <f>1/(1+EXP(-V569))</f>
        <v/>
      </c>
      <c r="X569" s="9">
        <f>-IF(C569=1,LN(W569),LN(1-W569))</f>
        <v/>
      </c>
      <c r="Y569" s="10">
        <f>IF(W569&gt;$AC$33,1,0)</f>
        <v/>
      </c>
      <c r="Z569">
        <f>IF(Y569=C569,1,0)</f>
        <v/>
      </c>
    </row>
    <row r="570">
      <c r="A570">
        <f>'1 datos preparados'!A563</f>
        <v/>
      </c>
      <c r="B570" s="5">
        <f>'1 datos preparados'!U563</f>
        <v/>
      </c>
      <c r="C570">
        <f>'1 datos preparados'!B563</f>
        <v/>
      </c>
      <c r="D570" s="7">
        <f>'1 datos preparados'!C563</f>
        <v/>
      </c>
      <c r="E570" s="7">
        <f>'1 datos preparados'!D563</f>
        <v/>
      </c>
      <c r="F570" s="7">
        <f>'1 datos preparados'!E563</f>
        <v/>
      </c>
      <c r="G570" s="7">
        <f>'1 datos preparados'!F563</f>
        <v/>
      </c>
      <c r="H570" s="7">
        <f>'1 datos preparados'!G563</f>
        <v/>
      </c>
      <c r="I570" s="7">
        <f>'1 datos preparados'!H563</f>
        <v/>
      </c>
      <c r="J570" s="7">
        <f>'1 datos preparados'!I563</f>
        <v/>
      </c>
      <c r="K570" s="7">
        <f>'1 datos preparados'!J563</f>
        <v/>
      </c>
      <c r="L570" s="7">
        <f>'1 datos preparados'!K563</f>
        <v/>
      </c>
      <c r="M570" s="7">
        <f>'1 datos preparados'!L563</f>
        <v/>
      </c>
      <c r="N570" s="7">
        <f>'1 datos preparados'!M563</f>
        <v/>
      </c>
      <c r="O570" s="7">
        <f>'1 datos preparados'!N563</f>
        <v/>
      </c>
      <c r="P570" s="7">
        <f>'1 datos preparados'!O563</f>
        <v/>
      </c>
      <c r="Q570" s="7">
        <f>'1 datos preparados'!P563</f>
        <v/>
      </c>
      <c r="R570" s="7">
        <f>'1 datos preparados'!Q563</f>
        <v/>
      </c>
      <c r="S570" s="7">
        <f>'1 datos preparados'!R563</f>
        <v/>
      </c>
      <c r="T570" s="7">
        <f>'1 datos preparados'!S563</f>
        <v/>
      </c>
      <c r="U570" s="7">
        <f>'1 datos preparados'!T563</f>
        <v/>
      </c>
      <c r="V570" s="8">
        <f>$AC$12+D570*$AC$13+E570*$AC$14+F570*$AC$15+G570*$AC$16+H570*$AC$17+I570*$AC$18+J570*$AC$19+K570*$AC$20+L570*$AC$21+M570*$AC$22+N570*$AC$23+O570*$AC$24+P570*$AC$25+Q570*$AC$26+R570*$AC$27+S570*$AC$28+T570*$AC$29+U570*$AC$30</f>
        <v/>
      </c>
      <c r="W570" s="8">
        <f>1/(1+EXP(-V570))</f>
        <v/>
      </c>
      <c r="X570" s="9">
        <f>-IF(C570=1,LN(W570),LN(1-W570))</f>
        <v/>
      </c>
      <c r="Y570" s="10">
        <f>IF(W570&gt;$AC$33,1,0)</f>
        <v/>
      </c>
      <c r="Z570">
        <f>IF(Y570=C570,1,0)</f>
        <v/>
      </c>
    </row>
    <row r="571">
      <c r="A571">
        <f>'1 datos preparados'!A564</f>
        <v/>
      </c>
      <c r="B571" s="5">
        <f>'1 datos preparados'!U564</f>
        <v/>
      </c>
      <c r="C571">
        <f>'1 datos preparados'!B564</f>
        <v/>
      </c>
      <c r="D571" s="7">
        <f>'1 datos preparados'!C564</f>
        <v/>
      </c>
      <c r="E571" s="7">
        <f>'1 datos preparados'!D564</f>
        <v/>
      </c>
      <c r="F571" s="7">
        <f>'1 datos preparados'!E564</f>
        <v/>
      </c>
      <c r="G571" s="7">
        <f>'1 datos preparados'!F564</f>
        <v/>
      </c>
      <c r="H571" s="7">
        <f>'1 datos preparados'!G564</f>
        <v/>
      </c>
      <c r="I571" s="7">
        <f>'1 datos preparados'!H564</f>
        <v/>
      </c>
      <c r="J571" s="7">
        <f>'1 datos preparados'!I564</f>
        <v/>
      </c>
      <c r="K571" s="7">
        <f>'1 datos preparados'!J564</f>
        <v/>
      </c>
      <c r="L571" s="7">
        <f>'1 datos preparados'!K564</f>
        <v/>
      </c>
      <c r="M571" s="7">
        <f>'1 datos preparados'!L564</f>
        <v/>
      </c>
      <c r="N571" s="7">
        <f>'1 datos preparados'!M564</f>
        <v/>
      </c>
      <c r="O571" s="7">
        <f>'1 datos preparados'!N564</f>
        <v/>
      </c>
      <c r="P571" s="7">
        <f>'1 datos preparados'!O564</f>
        <v/>
      </c>
      <c r="Q571" s="7">
        <f>'1 datos preparados'!P564</f>
        <v/>
      </c>
      <c r="R571" s="7">
        <f>'1 datos preparados'!Q564</f>
        <v/>
      </c>
      <c r="S571" s="7">
        <f>'1 datos preparados'!R564</f>
        <v/>
      </c>
      <c r="T571" s="7">
        <f>'1 datos preparados'!S564</f>
        <v/>
      </c>
      <c r="U571" s="7">
        <f>'1 datos preparados'!T564</f>
        <v/>
      </c>
      <c r="V571" s="8">
        <f>$AC$12+D571*$AC$13+E571*$AC$14+F571*$AC$15+G571*$AC$16+H571*$AC$17+I571*$AC$18+J571*$AC$19+K571*$AC$20+L571*$AC$21+M571*$AC$22+N571*$AC$23+O571*$AC$24+P571*$AC$25+Q571*$AC$26+R571*$AC$27+S571*$AC$28+T571*$AC$29+U571*$AC$30</f>
        <v/>
      </c>
      <c r="W571" s="8">
        <f>1/(1+EXP(-V571))</f>
        <v/>
      </c>
      <c r="X571" s="9">
        <f>-IF(C571=1,LN(W571),LN(1-W571))</f>
        <v/>
      </c>
      <c r="Y571" s="10">
        <f>IF(W571&gt;$AC$33,1,0)</f>
        <v/>
      </c>
      <c r="Z571">
        <f>IF(Y571=C571,1,0)</f>
        <v/>
      </c>
    </row>
    <row r="572">
      <c r="A572">
        <f>'1 datos preparados'!A565</f>
        <v/>
      </c>
      <c r="B572" s="5">
        <f>'1 datos preparados'!U565</f>
        <v/>
      </c>
      <c r="C572">
        <f>'1 datos preparados'!B565</f>
        <v/>
      </c>
      <c r="D572" s="7">
        <f>'1 datos preparados'!C565</f>
        <v/>
      </c>
      <c r="E572" s="7">
        <f>'1 datos preparados'!D565</f>
        <v/>
      </c>
      <c r="F572" s="7">
        <f>'1 datos preparados'!E565</f>
        <v/>
      </c>
      <c r="G572" s="7">
        <f>'1 datos preparados'!F565</f>
        <v/>
      </c>
      <c r="H572" s="7">
        <f>'1 datos preparados'!G565</f>
        <v/>
      </c>
      <c r="I572" s="7">
        <f>'1 datos preparados'!H565</f>
        <v/>
      </c>
      <c r="J572" s="7">
        <f>'1 datos preparados'!I565</f>
        <v/>
      </c>
      <c r="K572" s="7">
        <f>'1 datos preparados'!J565</f>
        <v/>
      </c>
      <c r="L572" s="7">
        <f>'1 datos preparados'!K565</f>
        <v/>
      </c>
      <c r="M572" s="7">
        <f>'1 datos preparados'!L565</f>
        <v/>
      </c>
      <c r="N572" s="7">
        <f>'1 datos preparados'!M565</f>
        <v/>
      </c>
      <c r="O572" s="7">
        <f>'1 datos preparados'!N565</f>
        <v/>
      </c>
      <c r="P572" s="7">
        <f>'1 datos preparados'!O565</f>
        <v/>
      </c>
      <c r="Q572" s="7">
        <f>'1 datos preparados'!P565</f>
        <v/>
      </c>
      <c r="R572" s="7">
        <f>'1 datos preparados'!Q565</f>
        <v/>
      </c>
      <c r="S572" s="7">
        <f>'1 datos preparados'!R565</f>
        <v/>
      </c>
      <c r="T572" s="7">
        <f>'1 datos preparados'!S565</f>
        <v/>
      </c>
      <c r="U572" s="7">
        <f>'1 datos preparados'!T565</f>
        <v/>
      </c>
      <c r="V572" s="8">
        <f>$AC$12+D572*$AC$13+E572*$AC$14+F572*$AC$15+G572*$AC$16+H572*$AC$17+I572*$AC$18+J572*$AC$19+K572*$AC$20+L572*$AC$21+M572*$AC$22+N572*$AC$23+O572*$AC$24+P572*$AC$25+Q572*$AC$26+R572*$AC$27+S572*$AC$28+T572*$AC$29+U572*$AC$30</f>
        <v/>
      </c>
      <c r="W572" s="8">
        <f>1/(1+EXP(-V572))</f>
        <v/>
      </c>
      <c r="X572" s="9">
        <f>-IF(C572=1,LN(W572),LN(1-W572))</f>
        <v/>
      </c>
      <c r="Y572" s="10">
        <f>IF(W572&gt;$AC$33,1,0)</f>
        <v/>
      </c>
      <c r="Z572">
        <f>IF(Y572=C572,1,0)</f>
        <v/>
      </c>
    </row>
    <row r="573">
      <c r="A573">
        <f>'1 datos preparados'!A566</f>
        <v/>
      </c>
      <c r="B573" s="5">
        <f>'1 datos preparados'!U566</f>
        <v/>
      </c>
      <c r="C573">
        <f>'1 datos preparados'!B566</f>
        <v/>
      </c>
      <c r="D573" s="7">
        <f>'1 datos preparados'!C566</f>
        <v/>
      </c>
      <c r="E573" s="7">
        <f>'1 datos preparados'!D566</f>
        <v/>
      </c>
      <c r="F573" s="7">
        <f>'1 datos preparados'!E566</f>
        <v/>
      </c>
      <c r="G573" s="7">
        <f>'1 datos preparados'!F566</f>
        <v/>
      </c>
      <c r="H573" s="7">
        <f>'1 datos preparados'!G566</f>
        <v/>
      </c>
      <c r="I573" s="7">
        <f>'1 datos preparados'!H566</f>
        <v/>
      </c>
      <c r="J573" s="7">
        <f>'1 datos preparados'!I566</f>
        <v/>
      </c>
      <c r="K573" s="7">
        <f>'1 datos preparados'!J566</f>
        <v/>
      </c>
      <c r="L573" s="7">
        <f>'1 datos preparados'!K566</f>
        <v/>
      </c>
      <c r="M573" s="7">
        <f>'1 datos preparados'!L566</f>
        <v/>
      </c>
      <c r="N573" s="7">
        <f>'1 datos preparados'!M566</f>
        <v/>
      </c>
      <c r="O573" s="7">
        <f>'1 datos preparados'!N566</f>
        <v/>
      </c>
      <c r="P573" s="7">
        <f>'1 datos preparados'!O566</f>
        <v/>
      </c>
      <c r="Q573" s="7">
        <f>'1 datos preparados'!P566</f>
        <v/>
      </c>
      <c r="R573" s="7">
        <f>'1 datos preparados'!Q566</f>
        <v/>
      </c>
      <c r="S573" s="7">
        <f>'1 datos preparados'!R566</f>
        <v/>
      </c>
      <c r="T573" s="7">
        <f>'1 datos preparados'!S566</f>
        <v/>
      </c>
      <c r="U573" s="7">
        <f>'1 datos preparados'!T566</f>
        <v/>
      </c>
      <c r="V573" s="8">
        <f>$AC$12+D573*$AC$13+E573*$AC$14+F573*$AC$15+G573*$AC$16+H573*$AC$17+I573*$AC$18+J573*$AC$19+K573*$AC$20+L573*$AC$21+M573*$AC$22+N573*$AC$23+O573*$AC$24+P573*$AC$25+Q573*$AC$26+R573*$AC$27+S573*$AC$28+T573*$AC$29+U573*$AC$30</f>
        <v/>
      </c>
      <c r="W573" s="8">
        <f>1/(1+EXP(-V573))</f>
        <v/>
      </c>
      <c r="X573" s="9">
        <f>-IF(C573=1,LN(W573),LN(1-W573))</f>
        <v/>
      </c>
      <c r="Y573" s="10">
        <f>IF(W573&gt;$AC$33,1,0)</f>
        <v/>
      </c>
      <c r="Z573">
        <f>IF(Y573=C573,1,0)</f>
        <v/>
      </c>
    </row>
    <row r="574">
      <c r="A574">
        <f>'1 datos preparados'!A567</f>
        <v/>
      </c>
      <c r="B574" s="5">
        <f>'1 datos preparados'!U567</f>
        <v/>
      </c>
      <c r="C574">
        <f>'1 datos preparados'!B567</f>
        <v/>
      </c>
      <c r="D574" s="7">
        <f>'1 datos preparados'!C567</f>
        <v/>
      </c>
      <c r="E574" s="7">
        <f>'1 datos preparados'!D567</f>
        <v/>
      </c>
      <c r="F574" s="7">
        <f>'1 datos preparados'!E567</f>
        <v/>
      </c>
      <c r="G574" s="7">
        <f>'1 datos preparados'!F567</f>
        <v/>
      </c>
      <c r="H574" s="7">
        <f>'1 datos preparados'!G567</f>
        <v/>
      </c>
      <c r="I574" s="7">
        <f>'1 datos preparados'!H567</f>
        <v/>
      </c>
      <c r="J574" s="7">
        <f>'1 datos preparados'!I567</f>
        <v/>
      </c>
      <c r="K574" s="7">
        <f>'1 datos preparados'!J567</f>
        <v/>
      </c>
      <c r="L574" s="7">
        <f>'1 datos preparados'!K567</f>
        <v/>
      </c>
      <c r="M574" s="7">
        <f>'1 datos preparados'!L567</f>
        <v/>
      </c>
      <c r="N574" s="7">
        <f>'1 datos preparados'!M567</f>
        <v/>
      </c>
      <c r="O574" s="7">
        <f>'1 datos preparados'!N567</f>
        <v/>
      </c>
      <c r="P574" s="7">
        <f>'1 datos preparados'!O567</f>
        <v/>
      </c>
      <c r="Q574" s="7">
        <f>'1 datos preparados'!P567</f>
        <v/>
      </c>
      <c r="R574" s="7">
        <f>'1 datos preparados'!Q567</f>
        <v/>
      </c>
      <c r="S574" s="7">
        <f>'1 datos preparados'!R567</f>
        <v/>
      </c>
      <c r="T574" s="7">
        <f>'1 datos preparados'!S567</f>
        <v/>
      </c>
      <c r="U574" s="7">
        <f>'1 datos preparados'!T567</f>
        <v/>
      </c>
      <c r="V574" s="8">
        <f>$AC$12+D574*$AC$13+E574*$AC$14+F574*$AC$15+G574*$AC$16+H574*$AC$17+I574*$AC$18+J574*$AC$19+K574*$AC$20+L574*$AC$21+M574*$AC$22+N574*$AC$23+O574*$AC$24+P574*$AC$25+Q574*$AC$26+R574*$AC$27+S574*$AC$28+T574*$AC$29+U574*$AC$30</f>
        <v/>
      </c>
      <c r="W574" s="8">
        <f>1/(1+EXP(-V574))</f>
        <v/>
      </c>
      <c r="X574" s="9">
        <f>-IF(C574=1,LN(W574),LN(1-W574))</f>
        <v/>
      </c>
      <c r="Y574" s="10">
        <f>IF(W574&gt;$AC$33,1,0)</f>
        <v/>
      </c>
      <c r="Z574">
        <f>IF(Y574=C574,1,0)</f>
        <v/>
      </c>
    </row>
    <row r="575">
      <c r="A575">
        <f>'1 datos preparados'!A568</f>
        <v/>
      </c>
      <c r="B575" s="5">
        <f>'1 datos preparados'!U568</f>
        <v/>
      </c>
      <c r="C575">
        <f>'1 datos preparados'!B568</f>
        <v/>
      </c>
      <c r="D575" s="7">
        <f>'1 datos preparados'!C568</f>
        <v/>
      </c>
      <c r="E575" s="7">
        <f>'1 datos preparados'!D568</f>
        <v/>
      </c>
      <c r="F575" s="7">
        <f>'1 datos preparados'!E568</f>
        <v/>
      </c>
      <c r="G575" s="7">
        <f>'1 datos preparados'!F568</f>
        <v/>
      </c>
      <c r="H575" s="7">
        <f>'1 datos preparados'!G568</f>
        <v/>
      </c>
      <c r="I575" s="7">
        <f>'1 datos preparados'!H568</f>
        <v/>
      </c>
      <c r="J575" s="7">
        <f>'1 datos preparados'!I568</f>
        <v/>
      </c>
      <c r="K575" s="7">
        <f>'1 datos preparados'!J568</f>
        <v/>
      </c>
      <c r="L575" s="7">
        <f>'1 datos preparados'!K568</f>
        <v/>
      </c>
      <c r="M575" s="7">
        <f>'1 datos preparados'!L568</f>
        <v/>
      </c>
      <c r="N575" s="7">
        <f>'1 datos preparados'!M568</f>
        <v/>
      </c>
      <c r="O575" s="7">
        <f>'1 datos preparados'!N568</f>
        <v/>
      </c>
      <c r="P575" s="7">
        <f>'1 datos preparados'!O568</f>
        <v/>
      </c>
      <c r="Q575" s="7">
        <f>'1 datos preparados'!P568</f>
        <v/>
      </c>
      <c r="R575" s="7">
        <f>'1 datos preparados'!Q568</f>
        <v/>
      </c>
      <c r="S575" s="7">
        <f>'1 datos preparados'!R568</f>
        <v/>
      </c>
      <c r="T575" s="7">
        <f>'1 datos preparados'!S568</f>
        <v/>
      </c>
      <c r="U575" s="7">
        <f>'1 datos preparados'!T568</f>
        <v/>
      </c>
      <c r="V575" s="8">
        <f>$AC$12+D575*$AC$13+E575*$AC$14+F575*$AC$15+G575*$AC$16+H575*$AC$17+I575*$AC$18+J575*$AC$19+K575*$AC$20+L575*$AC$21+M575*$AC$22+N575*$AC$23+O575*$AC$24+P575*$AC$25+Q575*$AC$26+R575*$AC$27+S575*$AC$28+T575*$AC$29+U575*$AC$30</f>
        <v/>
      </c>
      <c r="W575" s="8">
        <f>1/(1+EXP(-V575))</f>
        <v/>
      </c>
      <c r="X575" s="9">
        <f>-IF(C575=1,LN(W575),LN(1-W575))</f>
        <v/>
      </c>
      <c r="Y575" s="10">
        <f>IF(W575&gt;$AC$33,1,0)</f>
        <v/>
      </c>
      <c r="Z575">
        <f>IF(Y575=C575,1,0)</f>
        <v/>
      </c>
    </row>
    <row r="576">
      <c r="A576">
        <f>'1 datos preparados'!A569</f>
        <v/>
      </c>
      <c r="B576" s="5">
        <f>'1 datos preparados'!U569</f>
        <v/>
      </c>
      <c r="C576">
        <f>'1 datos preparados'!B569</f>
        <v/>
      </c>
      <c r="D576" s="7">
        <f>'1 datos preparados'!C569</f>
        <v/>
      </c>
      <c r="E576" s="7">
        <f>'1 datos preparados'!D569</f>
        <v/>
      </c>
      <c r="F576" s="7">
        <f>'1 datos preparados'!E569</f>
        <v/>
      </c>
      <c r="G576" s="7">
        <f>'1 datos preparados'!F569</f>
        <v/>
      </c>
      <c r="H576" s="7">
        <f>'1 datos preparados'!G569</f>
        <v/>
      </c>
      <c r="I576" s="7">
        <f>'1 datos preparados'!H569</f>
        <v/>
      </c>
      <c r="J576" s="7">
        <f>'1 datos preparados'!I569</f>
        <v/>
      </c>
      <c r="K576" s="7">
        <f>'1 datos preparados'!J569</f>
        <v/>
      </c>
      <c r="L576" s="7">
        <f>'1 datos preparados'!K569</f>
        <v/>
      </c>
      <c r="M576" s="7">
        <f>'1 datos preparados'!L569</f>
        <v/>
      </c>
      <c r="N576" s="7">
        <f>'1 datos preparados'!M569</f>
        <v/>
      </c>
      <c r="O576" s="7">
        <f>'1 datos preparados'!N569</f>
        <v/>
      </c>
      <c r="P576" s="7">
        <f>'1 datos preparados'!O569</f>
        <v/>
      </c>
      <c r="Q576" s="7">
        <f>'1 datos preparados'!P569</f>
        <v/>
      </c>
      <c r="R576" s="7">
        <f>'1 datos preparados'!Q569</f>
        <v/>
      </c>
      <c r="S576" s="7">
        <f>'1 datos preparados'!R569</f>
        <v/>
      </c>
      <c r="T576" s="7">
        <f>'1 datos preparados'!S569</f>
        <v/>
      </c>
      <c r="U576" s="7">
        <f>'1 datos preparados'!T569</f>
        <v/>
      </c>
      <c r="V576" s="8">
        <f>$AC$12+D576*$AC$13+E576*$AC$14+F576*$AC$15+G576*$AC$16+H576*$AC$17+I576*$AC$18+J576*$AC$19+K576*$AC$20+L576*$AC$21+M576*$AC$22+N576*$AC$23+O576*$AC$24+P576*$AC$25+Q576*$AC$26+R576*$AC$27+S576*$AC$28+T576*$AC$29+U576*$AC$30</f>
        <v/>
      </c>
      <c r="W576" s="8">
        <f>1/(1+EXP(-V576))</f>
        <v/>
      </c>
      <c r="X576" s="9">
        <f>-IF(C576=1,LN(W576),LN(1-W576))</f>
        <v/>
      </c>
      <c r="Y576" s="10">
        <f>IF(W576&gt;$AC$33,1,0)</f>
        <v/>
      </c>
      <c r="Z576">
        <f>IF(Y576=C576,1,0)</f>
        <v/>
      </c>
    </row>
    <row r="577">
      <c r="A577">
        <f>'1 datos preparados'!A570</f>
        <v/>
      </c>
      <c r="B577" s="5">
        <f>'1 datos preparados'!U570</f>
        <v/>
      </c>
      <c r="C577">
        <f>'1 datos preparados'!B570</f>
        <v/>
      </c>
      <c r="D577" s="7">
        <f>'1 datos preparados'!C570</f>
        <v/>
      </c>
      <c r="E577" s="7">
        <f>'1 datos preparados'!D570</f>
        <v/>
      </c>
      <c r="F577" s="7">
        <f>'1 datos preparados'!E570</f>
        <v/>
      </c>
      <c r="G577" s="7">
        <f>'1 datos preparados'!F570</f>
        <v/>
      </c>
      <c r="H577" s="7">
        <f>'1 datos preparados'!G570</f>
        <v/>
      </c>
      <c r="I577" s="7">
        <f>'1 datos preparados'!H570</f>
        <v/>
      </c>
      <c r="J577" s="7">
        <f>'1 datos preparados'!I570</f>
        <v/>
      </c>
      <c r="K577" s="7">
        <f>'1 datos preparados'!J570</f>
        <v/>
      </c>
      <c r="L577" s="7">
        <f>'1 datos preparados'!K570</f>
        <v/>
      </c>
      <c r="M577" s="7">
        <f>'1 datos preparados'!L570</f>
        <v/>
      </c>
      <c r="N577" s="7">
        <f>'1 datos preparados'!M570</f>
        <v/>
      </c>
      <c r="O577" s="7">
        <f>'1 datos preparados'!N570</f>
        <v/>
      </c>
      <c r="P577" s="7">
        <f>'1 datos preparados'!O570</f>
        <v/>
      </c>
      <c r="Q577" s="7">
        <f>'1 datos preparados'!P570</f>
        <v/>
      </c>
      <c r="R577" s="7">
        <f>'1 datos preparados'!Q570</f>
        <v/>
      </c>
      <c r="S577" s="7">
        <f>'1 datos preparados'!R570</f>
        <v/>
      </c>
      <c r="T577" s="7">
        <f>'1 datos preparados'!S570</f>
        <v/>
      </c>
      <c r="U577" s="7">
        <f>'1 datos preparados'!T570</f>
        <v/>
      </c>
      <c r="V577" s="8">
        <f>$AC$12+D577*$AC$13+E577*$AC$14+F577*$AC$15+G577*$AC$16+H577*$AC$17+I577*$AC$18+J577*$AC$19+K577*$AC$20+L577*$AC$21+M577*$AC$22+N577*$AC$23+O577*$AC$24+P577*$AC$25+Q577*$AC$26+R577*$AC$27+S577*$AC$28+T577*$AC$29+U577*$AC$30</f>
        <v/>
      </c>
      <c r="W577" s="8">
        <f>1/(1+EXP(-V577))</f>
        <v/>
      </c>
      <c r="X577" s="9">
        <f>-IF(C577=1,LN(W577),LN(1-W577))</f>
        <v/>
      </c>
      <c r="Y577" s="10">
        <f>IF(W577&gt;$AC$33,1,0)</f>
        <v/>
      </c>
      <c r="Z577">
        <f>IF(Y577=C577,1,0)</f>
        <v/>
      </c>
    </row>
    <row r="578">
      <c r="A578">
        <f>'1 datos preparados'!A571</f>
        <v/>
      </c>
      <c r="B578" s="5">
        <f>'1 datos preparados'!U571</f>
        <v/>
      </c>
      <c r="C578">
        <f>'1 datos preparados'!B571</f>
        <v/>
      </c>
      <c r="D578" s="7">
        <f>'1 datos preparados'!C571</f>
        <v/>
      </c>
      <c r="E578" s="7">
        <f>'1 datos preparados'!D571</f>
        <v/>
      </c>
      <c r="F578" s="7">
        <f>'1 datos preparados'!E571</f>
        <v/>
      </c>
      <c r="G578" s="7">
        <f>'1 datos preparados'!F571</f>
        <v/>
      </c>
      <c r="H578" s="7">
        <f>'1 datos preparados'!G571</f>
        <v/>
      </c>
      <c r="I578" s="7">
        <f>'1 datos preparados'!H571</f>
        <v/>
      </c>
      <c r="J578" s="7">
        <f>'1 datos preparados'!I571</f>
        <v/>
      </c>
      <c r="K578" s="7">
        <f>'1 datos preparados'!J571</f>
        <v/>
      </c>
      <c r="L578" s="7">
        <f>'1 datos preparados'!K571</f>
        <v/>
      </c>
      <c r="M578" s="7">
        <f>'1 datos preparados'!L571</f>
        <v/>
      </c>
      <c r="N578" s="7">
        <f>'1 datos preparados'!M571</f>
        <v/>
      </c>
      <c r="O578" s="7">
        <f>'1 datos preparados'!N571</f>
        <v/>
      </c>
      <c r="P578" s="7">
        <f>'1 datos preparados'!O571</f>
        <v/>
      </c>
      <c r="Q578" s="7">
        <f>'1 datos preparados'!P571</f>
        <v/>
      </c>
      <c r="R578" s="7">
        <f>'1 datos preparados'!Q571</f>
        <v/>
      </c>
      <c r="S578" s="7">
        <f>'1 datos preparados'!R571</f>
        <v/>
      </c>
      <c r="T578" s="7">
        <f>'1 datos preparados'!S571</f>
        <v/>
      </c>
      <c r="U578" s="7">
        <f>'1 datos preparados'!T571</f>
        <v/>
      </c>
      <c r="V578" s="8">
        <f>$AC$12+D578*$AC$13+E578*$AC$14+F578*$AC$15+G578*$AC$16+H578*$AC$17+I578*$AC$18+J578*$AC$19+K578*$AC$20+L578*$AC$21+M578*$AC$22+N578*$AC$23+O578*$AC$24+P578*$AC$25+Q578*$AC$26+R578*$AC$27+S578*$AC$28+T578*$AC$29+U578*$AC$30</f>
        <v/>
      </c>
      <c r="W578" s="8">
        <f>1/(1+EXP(-V578))</f>
        <v/>
      </c>
      <c r="X578" s="9">
        <f>-IF(C578=1,LN(W578),LN(1-W578))</f>
        <v/>
      </c>
      <c r="Y578" s="10">
        <f>IF(W578&gt;$AC$33,1,0)</f>
        <v/>
      </c>
      <c r="Z578">
        <f>IF(Y578=C578,1,0)</f>
        <v/>
      </c>
    </row>
    <row r="579">
      <c r="A579">
        <f>'1 datos preparados'!A572</f>
        <v/>
      </c>
      <c r="B579" s="5">
        <f>'1 datos preparados'!U572</f>
        <v/>
      </c>
      <c r="C579">
        <f>'1 datos preparados'!B572</f>
        <v/>
      </c>
      <c r="D579" s="7">
        <f>'1 datos preparados'!C572</f>
        <v/>
      </c>
      <c r="E579" s="7">
        <f>'1 datos preparados'!D572</f>
        <v/>
      </c>
      <c r="F579" s="7">
        <f>'1 datos preparados'!E572</f>
        <v/>
      </c>
      <c r="G579" s="7">
        <f>'1 datos preparados'!F572</f>
        <v/>
      </c>
      <c r="H579" s="7">
        <f>'1 datos preparados'!G572</f>
        <v/>
      </c>
      <c r="I579" s="7">
        <f>'1 datos preparados'!H572</f>
        <v/>
      </c>
      <c r="J579" s="7">
        <f>'1 datos preparados'!I572</f>
        <v/>
      </c>
      <c r="K579" s="7">
        <f>'1 datos preparados'!J572</f>
        <v/>
      </c>
      <c r="L579" s="7">
        <f>'1 datos preparados'!K572</f>
        <v/>
      </c>
      <c r="M579" s="7">
        <f>'1 datos preparados'!L572</f>
        <v/>
      </c>
      <c r="N579" s="7">
        <f>'1 datos preparados'!M572</f>
        <v/>
      </c>
      <c r="O579" s="7">
        <f>'1 datos preparados'!N572</f>
        <v/>
      </c>
      <c r="P579" s="7">
        <f>'1 datos preparados'!O572</f>
        <v/>
      </c>
      <c r="Q579" s="7">
        <f>'1 datos preparados'!P572</f>
        <v/>
      </c>
      <c r="R579" s="7">
        <f>'1 datos preparados'!Q572</f>
        <v/>
      </c>
      <c r="S579" s="7">
        <f>'1 datos preparados'!R572</f>
        <v/>
      </c>
      <c r="T579" s="7">
        <f>'1 datos preparados'!S572</f>
        <v/>
      </c>
      <c r="U579" s="7">
        <f>'1 datos preparados'!T572</f>
        <v/>
      </c>
      <c r="V579" s="8">
        <f>$AC$12+D579*$AC$13+E579*$AC$14+F579*$AC$15+G579*$AC$16+H579*$AC$17+I579*$AC$18+J579*$AC$19+K579*$AC$20+L579*$AC$21+M579*$AC$22+N579*$AC$23+O579*$AC$24+P579*$AC$25+Q579*$AC$26+R579*$AC$27+S579*$AC$28+T579*$AC$29+U579*$AC$30</f>
        <v/>
      </c>
      <c r="W579" s="8">
        <f>1/(1+EXP(-V579))</f>
        <v/>
      </c>
      <c r="X579" s="9">
        <f>-IF(C579=1,LN(W579),LN(1-W579))</f>
        <v/>
      </c>
      <c r="Y579" s="10">
        <f>IF(W579&gt;$AC$33,1,0)</f>
        <v/>
      </c>
      <c r="Z579">
        <f>IF(Y579=C579,1,0)</f>
        <v/>
      </c>
    </row>
    <row r="580">
      <c r="A580">
        <f>'1 datos preparados'!A573</f>
        <v/>
      </c>
      <c r="B580" s="5">
        <f>'1 datos preparados'!U573</f>
        <v/>
      </c>
      <c r="C580">
        <f>'1 datos preparados'!B573</f>
        <v/>
      </c>
      <c r="D580" s="7">
        <f>'1 datos preparados'!C573</f>
        <v/>
      </c>
      <c r="E580" s="7">
        <f>'1 datos preparados'!D573</f>
        <v/>
      </c>
      <c r="F580" s="7">
        <f>'1 datos preparados'!E573</f>
        <v/>
      </c>
      <c r="G580" s="7">
        <f>'1 datos preparados'!F573</f>
        <v/>
      </c>
      <c r="H580" s="7">
        <f>'1 datos preparados'!G573</f>
        <v/>
      </c>
      <c r="I580" s="7">
        <f>'1 datos preparados'!H573</f>
        <v/>
      </c>
      <c r="J580" s="7">
        <f>'1 datos preparados'!I573</f>
        <v/>
      </c>
      <c r="K580" s="7">
        <f>'1 datos preparados'!J573</f>
        <v/>
      </c>
      <c r="L580" s="7">
        <f>'1 datos preparados'!K573</f>
        <v/>
      </c>
      <c r="M580" s="7">
        <f>'1 datos preparados'!L573</f>
        <v/>
      </c>
      <c r="N580" s="7">
        <f>'1 datos preparados'!M573</f>
        <v/>
      </c>
      <c r="O580" s="7">
        <f>'1 datos preparados'!N573</f>
        <v/>
      </c>
      <c r="P580" s="7">
        <f>'1 datos preparados'!O573</f>
        <v/>
      </c>
      <c r="Q580" s="7">
        <f>'1 datos preparados'!P573</f>
        <v/>
      </c>
      <c r="R580" s="7">
        <f>'1 datos preparados'!Q573</f>
        <v/>
      </c>
      <c r="S580" s="7">
        <f>'1 datos preparados'!R573</f>
        <v/>
      </c>
      <c r="T580" s="7">
        <f>'1 datos preparados'!S573</f>
        <v/>
      </c>
      <c r="U580" s="7">
        <f>'1 datos preparados'!T573</f>
        <v/>
      </c>
      <c r="V580" s="8">
        <f>$AC$12+D580*$AC$13+E580*$AC$14+F580*$AC$15+G580*$AC$16+H580*$AC$17+I580*$AC$18+J580*$AC$19+K580*$AC$20+L580*$AC$21+M580*$AC$22+N580*$AC$23+O580*$AC$24+P580*$AC$25+Q580*$AC$26+R580*$AC$27+S580*$AC$28+T580*$AC$29+U580*$AC$30</f>
        <v/>
      </c>
      <c r="W580" s="8">
        <f>1/(1+EXP(-V580))</f>
        <v/>
      </c>
      <c r="X580" s="9">
        <f>-IF(C580=1,LN(W580),LN(1-W580))</f>
        <v/>
      </c>
      <c r="Y580" s="10">
        <f>IF(W580&gt;$AC$33,1,0)</f>
        <v/>
      </c>
      <c r="Z580">
        <f>IF(Y580=C580,1,0)</f>
        <v/>
      </c>
    </row>
    <row r="581">
      <c r="A581">
        <f>'1 datos preparados'!A574</f>
        <v/>
      </c>
      <c r="B581" s="5">
        <f>'1 datos preparados'!U574</f>
        <v/>
      </c>
      <c r="C581">
        <f>'1 datos preparados'!B574</f>
        <v/>
      </c>
      <c r="D581" s="7">
        <f>'1 datos preparados'!C574</f>
        <v/>
      </c>
      <c r="E581" s="7">
        <f>'1 datos preparados'!D574</f>
        <v/>
      </c>
      <c r="F581" s="7">
        <f>'1 datos preparados'!E574</f>
        <v/>
      </c>
      <c r="G581" s="7">
        <f>'1 datos preparados'!F574</f>
        <v/>
      </c>
      <c r="H581" s="7">
        <f>'1 datos preparados'!G574</f>
        <v/>
      </c>
      <c r="I581" s="7">
        <f>'1 datos preparados'!H574</f>
        <v/>
      </c>
      <c r="J581" s="7">
        <f>'1 datos preparados'!I574</f>
        <v/>
      </c>
      <c r="K581" s="7">
        <f>'1 datos preparados'!J574</f>
        <v/>
      </c>
      <c r="L581" s="7">
        <f>'1 datos preparados'!K574</f>
        <v/>
      </c>
      <c r="M581" s="7">
        <f>'1 datos preparados'!L574</f>
        <v/>
      </c>
      <c r="N581" s="7">
        <f>'1 datos preparados'!M574</f>
        <v/>
      </c>
      <c r="O581" s="7">
        <f>'1 datos preparados'!N574</f>
        <v/>
      </c>
      <c r="P581" s="7">
        <f>'1 datos preparados'!O574</f>
        <v/>
      </c>
      <c r="Q581" s="7">
        <f>'1 datos preparados'!P574</f>
        <v/>
      </c>
      <c r="R581" s="7">
        <f>'1 datos preparados'!Q574</f>
        <v/>
      </c>
      <c r="S581" s="7">
        <f>'1 datos preparados'!R574</f>
        <v/>
      </c>
      <c r="T581" s="7">
        <f>'1 datos preparados'!S574</f>
        <v/>
      </c>
      <c r="U581" s="7">
        <f>'1 datos preparados'!T574</f>
        <v/>
      </c>
      <c r="V581" s="8">
        <f>$AC$12+D581*$AC$13+E581*$AC$14+F581*$AC$15+G581*$AC$16+H581*$AC$17+I581*$AC$18+J581*$AC$19+K581*$AC$20+L581*$AC$21+M581*$AC$22+N581*$AC$23+O581*$AC$24+P581*$AC$25+Q581*$AC$26+R581*$AC$27+S581*$AC$28+T581*$AC$29+U581*$AC$30</f>
        <v/>
      </c>
      <c r="W581" s="8">
        <f>1/(1+EXP(-V581))</f>
        <v/>
      </c>
      <c r="X581" s="9">
        <f>-IF(C581=1,LN(W581),LN(1-W581))</f>
        <v/>
      </c>
      <c r="Y581" s="10">
        <f>IF(W581&gt;$AC$33,1,0)</f>
        <v/>
      </c>
      <c r="Z581">
        <f>IF(Y581=C581,1,0)</f>
        <v/>
      </c>
    </row>
    <row r="582">
      <c r="A582">
        <f>'1 datos preparados'!A575</f>
        <v/>
      </c>
      <c r="B582" s="5">
        <f>'1 datos preparados'!U575</f>
        <v/>
      </c>
      <c r="C582">
        <f>'1 datos preparados'!B575</f>
        <v/>
      </c>
      <c r="D582" s="7">
        <f>'1 datos preparados'!C575</f>
        <v/>
      </c>
      <c r="E582" s="7">
        <f>'1 datos preparados'!D575</f>
        <v/>
      </c>
      <c r="F582" s="7">
        <f>'1 datos preparados'!E575</f>
        <v/>
      </c>
      <c r="G582" s="7">
        <f>'1 datos preparados'!F575</f>
        <v/>
      </c>
      <c r="H582" s="7">
        <f>'1 datos preparados'!G575</f>
        <v/>
      </c>
      <c r="I582" s="7">
        <f>'1 datos preparados'!H575</f>
        <v/>
      </c>
      <c r="J582" s="7">
        <f>'1 datos preparados'!I575</f>
        <v/>
      </c>
      <c r="K582" s="7">
        <f>'1 datos preparados'!J575</f>
        <v/>
      </c>
      <c r="L582" s="7">
        <f>'1 datos preparados'!K575</f>
        <v/>
      </c>
      <c r="M582" s="7">
        <f>'1 datos preparados'!L575</f>
        <v/>
      </c>
      <c r="N582" s="7">
        <f>'1 datos preparados'!M575</f>
        <v/>
      </c>
      <c r="O582" s="7">
        <f>'1 datos preparados'!N575</f>
        <v/>
      </c>
      <c r="P582" s="7">
        <f>'1 datos preparados'!O575</f>
        <v/>
      </c>
      <c r="Q582" s="7">
        <f>'1 datos preparados'!P575</f>
        <v/>
      </c>
      <c r="R582" s="7">
        <f>'1 datos preparados'!Q575</f>
        <v/>
      </c>
      <c r="S582" s="7">
        <f>'1 datos preparados'!R575</f>
        <v/>
      </c>
      <c r="T582" s="7">
        <f>'1 datos preparados'!S575</f>
        <v/>
      </c>
      <c r="U582" s="7">
        <f>'1 datos preparados'!T575</f>
        <v/>
      </c>
      <c r="V582" s="8">
        <f>$AC$12+D582*$AC$13+E582*$AC$14+F582*$AC$15+G582*$AC$16+H582*$AC$17+I582*$AC$18+J582*$AC$19+K582*$AC$20+L582*$AC$21+M582*$AC$22+N582*$AC$23+O582*$AC$24+P582*$AC$25+Q582*$AC$26+R582*$AC$27+S582*$AC$28+T582*$AC$29+U582*$AC$30</f>
        <v/>
      </c>
      <c r="W582" s="8">
        <f>1/(1+EXP(-V582))</f>
        <v/>
      </c>
      <c r="X582" s="9">
        <f>-IF(C582=1,LN(W582),LN(1-W582))</f>
        <v/>
      </c>
      <c r="Y582" s="10">
        <f>IF(W582&gt;$AC$33,1,0)</f>
        <v/>
      </c>
      <c r="Z582">
        <f>IF(Y582=C582,1,0)</f>
        <v/>
      </c>
    </row>
    <row r="583">
      <c r="A583">
        <f>'1 datos preparados'!A576</f>
        <v/>
      </c>
      <c r="B583" s="5">
        <f>'1 datos preparados'!U576</f>
        <v/>
      </c>
      <c r="C583">
        <f>'1 datos preparados'!B576</f>
        <v/>
      </c>
      <c r="D583" s="7">
        <f>'1 datos preparados'!C576</f>
        <v/>
      </c>
      <c r="E583" s="7">
        <f>'1 datos preparados'!D576</f>
        <v/>
      </c>
      <c r="F583" s="7">
        <f>'1 datos preparados'!E576</f>
        <v/>
      </c>
      <c r="G583" s="7">
        <f>'1 datos preparados'!F576</f>
        <v/>
      </c>
      <c r="H583" s="7">
        <f>'1 datos preparados'!G576</f>
        <v/>
      </c>
      <c r="I583" s="7">
        <f>'1 datos preparados'!H576</f>
        <v/>
      </c>
      <c r="J583" s="7">
        <f>'1 datos preparados'!I576</f>
        <v/>
      </c>
      <c r="K583" s="7">
        <f>'1 datos preparados'!J576</f>
        <v/>
      </c>
      <c r="L583" s="7">
        <f>'1 datos preparados'!K576</f>
        <v/>
      </c>
      <c r="M583" s="7">
        <f>'1 datos preparados'!L576</f>
        <v/>
      </c>
      <c r="N583" s="7">
        <f>'1 datos preparados'!M576</f>
        <v/>
      </c>
      <c r="O583" s="7">
        <f>'1 datos preparados'!N576</f>
        <v/>
      </c>
      <c r="P583" s="7">
        <f>'1 datos preparados'!O576</f>
        <v/>
      </c>
      <c r="Q583" s="7">
        <f>'1 datos preparados'!P576</f>
        <v/>
      </c>
      <c r="R583" s="7">
        <f>'1 datos preparados'!Q576</f>
        <v/>
      </c>
      <c r="S583" s="7">
        <f>'1 datos preparados'!R576</f>
        <v/>
      </c>
      <c r="T583" s="7">
        <f>'1 datos preparados'!S576</f>
        <v/>
      </c>
      <c r="U583" s="7">
        <f>'1 datos preparados'!T576</f>
        <v/>
      </c>
      <c r="V583" s="8">
        <f>$AC$12+D583*$AC$13+E583*$AC$14+F583*$AC$15+G583*$AC$16+H583*$AC$17+I583*$AC$18+J583*$AC$19+K583*$AC$20+L583*$AC$21+M583*$AC$22+N583*$AC$23+O583*$AC$24+P583*$AC$25+Q583*$AC$26+R583*$AC$27+S583*$AC$28+T583*$AC$29+U583*$AC$30</f>
        <v/>
      </c>
      <c r="W583" s="8">
        <f>1/(1+EXP(-V583))</f>
        <v/>
      </c>
      <c r="X583" s="9">
        <f>-IF(C583=1,LN(W583),LN(1-W583))</f>
        <v/>
      </c>
      <c r="Y583" s="10">
        <f>IF(W583&gt;$AC$33,1,0)</f>
        <v/>
      </c>
      <c r="Z583">
        <f>IF(Y583=C583,1,0)</f>
        <v/>
      </c>
    </row>
    <row r="584">
      <c r="A584">
        <f>'1 datos preparados'!A577</f>
        <v/>
      </c>
      <c r="B584" s="5">
        <f>'1 datos preparados'!U577</f>
        <v/>
      </c>
      <c r="C584">
        <f>'1 datos preparados'!B577</f>
        <v/>
      </c>
      <c r="D584" s="7">
        <f>'1 datos preparados'!C577</f>
        <v/>
      </c>
      <c r="E584" s="7">
        <f>'1 datos preparados'!D577</f>
        <v/>
      </c>
      <c r="F584" s="7">
        <f>'1 datos preparados'!E577</f>
        <v/>
      </c>
      <c r="G584" s="7">
        <f>'1 datos preparados'!F577</f>
        <v/>
      </c>
      <c r="H584" s="7">
        <f>'1 datos preparados'!G577</f>
        <v/>
      </c>
      <c r="I584" s="7">
        <f>'1 datos preparados'!H577</f>
        <v/>
      </c>
      <c r="J584" s="7">
        <f>'1 datos preparados'!I577</f>
        <v/>
      </c>
      <c r="K584" s="7">
        <f>'1 datos preparados'!J577</f>
        <v/>
      </c>
      <c r="L584" s="7">
        <f>'1 datos preparados'!K577</f>
        <v/>
      </c>
      <c r="M584" s="7">
        <f>'1 datos preparados'!L577</f>
        <v/>
      </c>
      <c r="N584" s="7">
        <f>'1 datos preparados'!M577</f>
        <v/>
      </c>
      <c r="O584" s="7">
        <f>'1 datos preparados'!N577</f>
        <v/>
      </c>
      <c r="P584" s="7">
        <f>'1 datos preparados'!O577</f>
        <v/>
      </c>
      <c r="Q584" s="7">
        <f>'1 datos preparados'!P577</f>
        <v/>
      </c>
      <c r="R584" s="7">
        <f>'1 datos preparados'!Q577</f>
        <v/>
      </c>
      <c r="S584" s="7">
        <f>'1 datos preparados'!R577</f>
        <v/>
      </c>
      <c r="T584" s="7">
        <f>'1 datos preparados'!S577</f>
        <v/>
      </c>
      <c r="U584" s="7">
        <f>'1 datos preparados'!T577</f>
        <v/>
      </c>
      <c r="V584" s="8">
        <f>$AC$12+D584*$AC$13+E584*$AC$14+F584*$AC$15+G584*$AC$16+H584*$AC$17+I584*$AC$18+J584*$AC$19+K584*$AC$20+L584*$AC$21+M584*$AC$22+N584*$AC$23+O584*$AC$24+P584*$AC$25+Q584*$AC$26+R584*$AC$27+S584*$AC$28+T584*$AC$29+U584*$AC$30</f>
        <v/>
      </c>
      <c r="W584" s="8">
        <f>1/(1+EXP(-V584))</f>
        <v/>
      </c>
      <c r="X584" s="9">
        <f>-IF(C584=1,LN(W584),LN(1-W584))</f>
        <v/>
      </c>
      <c r="Y584" s="10">
        <f>IF(W584&gt;$AC$33,1,0)</f>
        <v/>
      </c>
      <c r="Z584">
        <f>IF(Y584=C584,1,0)</f>
        <v/>
      </c>
    </row>
    <row r="585">
      <c r="A585">
        <f>'1 datos preparados'!A578</f>
        <v/>
      </c>
      <c r="B585" s="5">
        <f>'1 datos preparados'!U578</f>
        <v/>
      </c>
      <c r="C585">
        <f>'1 datos preparados'!B578</f>
        <v/>
      </c>
      <c r="D585" s="7">
        <f>'1 datos preparados'!C578</f>
        <v/>
      </c>
      <c r="E585" s="7">
        <f>'1 datos preparados'!D578</f>
        <v/>
      </c>
      <c r="F585" s="7">
        <f>'1 datos preparados'!E578</f>
        <v/>
      </c>
      <c r="G585" s="7">
        <f>'1 datos preparados'!F578</f>
        <v/>
      </c>
      <c r="H585" s="7">
        <f>'1 datos preparados'!G578</f>
        <v/>
      </c>
      <c r="I585" s="7">
        <f>'1 datos preparados'!H578</f>
        <v/>
      </c>
      <c r="J585" s="7">
        <f>'1 datos preparados'!I578</f>
        <v/>
      </c>
      <c r="K585" s="7">
        <f>'1 datos preparados'!J578</f>
        <v/>
      </c>
      <c r="L585" s="7">
        <f>'1 datos preparados'!K578</f>
        <v/>
      </c>
      <c r="M585" s="7">
        <f>'1 datos preparados'!L578</f>
        <v/>
      </c>
      <c r="N585" s="7">
        <f>'1 datos preparados'!M578</f>
        <v/>
      </c>
      <c r="O585" s="7">
        <f>'1 datos preparados'!N578</f>
        <v/>
      </c>
      <c r="P585" s="7">
        <f>'1 datos preparados'!O578</f>
        <v/>
      </c>
      <c r="Q585" s="7">
        <f>'1 datos preparados'!P578</f>
        <v/>
      </c>
      <c r="R585" s="7">
        <f>'1 datos preparados'!Q578</f>
        <v/>
      </c>
      <c r="S585" s="7">
        <f>'1 datos preparados'!R578</f>
        <v/>
      </c>
      <c r="T585" s="7">
        <f>'1 datos preparados'!S578</f>
        <v/>
      </c>
      <c r="U585" s="7">
        <f>'1 datos preparados'!T578</f>
        <v/>
      </c>
      <c r="V585" s="8">
        <f>$AC$12+D585*$AC$13+E585*$AC$14+F585*$AC$15+G585*$AC$16+H585*$AC$17+I585*$AC$18+J585*$AC$19+K585*$AC$20+L585*$AC$21+M585*$AC$22+N585*$AC$23+O585*$AC$24+P585*$AC$25+Q585*$AC$26+R585*$AC$27+S585*$AC$28+T585*$AC$29+U585*$AC$30</f>
        <v/>
      </c>
      <c r="W585" s="8">
        <f>1/(1+EXP(-V585))</f>
        <v/>
      </c>
      <c r="X585" s="9">
        <f>-IF(C585=1,LN(W585),LN(1-W585))</f>
        <v/>
      </c>
      <c r="Y585" s="10">
        <f>IF(W585&gt;$AC$33,1,0)</f>
        <v/>
      </c>
      <c r="Z585">
        <f>IF(Y585=C585,1,0)</f>
        <v/>
      </c>
    </row>
    <row r="586">
      <c r="A586">
        <f>'1 datos preparados'!A579</f>
        <v/>
      </c>
      <c r="B586" s="5">
        <f>'1 datos preparados'!U579</f>
        <v/>
      </c>
      <c r="C586">
        <f>'1 datos preparados'!B579</f>
        <v/>
      </c>
      <c r="D586" s="7">
        <f>'1 datos preparados'!C579</f>
        <v/>
      </c>
      <c r="E586" s="7">
        <f>'1 datos preparados'!D579</f>
        <v/>
      </c>
      <c r="F586" s="7">
        <f>'1 datos preparados'!E579</f>
        <v/>
      </c>
      <c r="G586" s="7">
        <f>'1 datos preparados'!F579</f>
        <v/>
      </c>
      <c r="H586" s="7">
        <f>'1 datos preparados'!G579</f>
        <v/>
      </c>
      <c r="I586" s="7">
        <f>'1 datos preparados'!H579</f>
        <v/>
      </c>
      <c r="J586" s="7">
        <f>'1 datos preparados'!I579</f>
        <v/>
      </c>
      <c r="K586" s="7">
        <f>'1 datos preparados'!J579</f>
        <v/>
      </c>
      <c r="L586" s="7">
        <f>'1 datos preparados'!K579</f>
        <v/>
      </c>
      <c r="M586" s="7">
        <f>'1 datos preparados'!L579</f>
        <v/>
      </c>
      <c r="N586" s="7">
        <f>'1 datos preparados'!M579</f>
        <v/>
      </c>
      <c r="O586" s="7">
        <f>'1 datos preparados'!N579</f>
        <v/>
      </c>
      <c r="P586" s="7">
        <f>'1 datos preparados'!O579</f>
        <v/>
      </c>
      <c r="Q586" s="7">
        <f>'1 datos preparados'!P579</f>
        <v/>
      </c>
      <c r="R586" s="7">
        <f>'1 datos preparados'!Q579</f>
        <v/>
      </c>
      <c r="S586" s="7">
        <f>'1 datos preparados'!R579</f>
        <v/>
      </c>
      <c r="T586" s="7">
        <f>'1 datos preparados'!S579</f>
        <v/>
      </c>
      <c r="U586" s="7">
        <f>'1 datos preparados'!T579</f>
        <v/>
      </c>
      <c r="V586" s="8">
        <f>$AC$12+D586*$AC$13+E586*$AC$14+F586*$AC$15+G586*$AC$16+H586*$AC$17+I586*$AC$18+J586*$AC$19+K586*$AC$20+L586*$AC$21+M586*$AC$22+N586*$AC$23+O586*$AC$24+P586*$AC$25+Q586*$AC$26+R586*$AC$27+S586*$AC$28+T586*$AC$29+U586*$AC$30</f>
        <v/>
      </c>
      <c r="W586" s="8">
        <f>1/(1+EXP(-V586))</f>
        <v/>
      </c>
      <c r="X586" s="9">
        <f>-IF(C586=1,LN(W586),LN(1-W586))</f>
        <v/>
      </c>
      <c r="Y586" s="10">
        <f>IF(W586&gt;$AC$33,1,0)</f>
        <v/>
      </c>
      <c r="Z586">
        <f>IF(Y586=C586,1,0)</f>
        <v/>
      </c>
    </row>
    <row r="587">
      <c r="A587">
        <f>'1 datos preparados'!A580</f>
        <v/>
      </c>
      <c r="B587" s="5">
        <f>'1 datos preparados'!U580</f>
        <v/>
      </c>
      <c r="C587">
        <f>'1 datos preparados'!B580</f>
        <v/>
      </c>
      <c r="D587" s="7">
        <f>'1 datos preparados'!C580</f>
        <v/>
      </c>
      <c r="E587" s="7">
        <f>'1 datos preparados'!D580</f>
        <v/>
      </c>
      <c r="F587" s="7">
        <f>'1 datos preparados'!E580</f>
        <v/>
      </c>
      <c r="G587" s="7">
        <f>'1 datos preparados'!F580</f>
        <v/>
      </c>
      <c r="H587" s="7">
        <f>'1 datos preparados'!G580</f>
        <v/>
      </c>
      <c r="I587" s="7">
        <f>'1 datos preparados'!H580</f>
        <v/>
      </c>
      <c r="J587" s="7">
        <f>'1 datos preparados'!I580</f>
        <v/>
      </c>
      <c r="K587" s="7">
        <f>'1 datos preparados'!J580</f>
        <v/>
      </c>
      <c r="L587" s="7">
        <f>'1 datos preparados'!K580</f>
        <v/>
      </c>
      <c r="M587" s="7">
        <f>'1 datos preparados'!L580</f>
        <v/>
      </c>
      <c r="N587" s="7">
        <f>'1 datos preparados'!M580</f>
        <v/>
      </c>
      <c r="O587" s="7">
        <f>'1 datos preparados'!N580</f>
        <v/>
      </c>
      <c r="P587" s="7">
        <f>'1 datos preparados'!O580</f>
        <v/>
      </c>
      <c r="Q587" s="7">
        <f>'1 datos preparados'!P580</f>
        <v/>
      </c>
      <c r="R587" s="7">
        <f>'1 datos preparados'!Q580</f>
        <v/>
      </c>
      <c r="S587" s="7">
        <f>'1 datos preparados'!R580</f>
        <v/>
      </c>
      <c r="T587" s="7">
        <f>'1 datos preparados'!S580</f>
        <v/>
      </c>
      <c r="U587" s="7">
        <f>'1 datos preparados'!T580</f>
        <v/>
      </c>
      <c r="V587" s="8">
        <f>$AC$12+D587*$AC$13+E587*$AC$14+F587*$AC$15+G587*$AC$16+H587*$AC$17+I587*$AC$18+J587*$AC$19+K587*$AC$20+L587*$AC$21+M587*$AC$22+N587*$AC$23+O587*$AC$24+P587*$AC$25+Q587*$AC$26+R587*$AC$27+S587*$AC$28+T587*$AC$29+U587*$AC$30</f>
        <v/>
      </c>
      <c r="W587" s="8">
        <f>1/(1+EXP(-V587))</f>
        <v/>
      </c>
      <c r="X587" s="9">
        <f>-IF(C587=1,LN(W587),LN(1-W587))</f>
        <v/>
      </c>
      <c r="Y587" s="10">
        <f>IF(W587&gt;$AC$33,1,0)</f>
        <v/>
      </c>
      <c r="Z587">
        <f>IF(Y587=C587,1,0)</f>
        <v/>
      </c>
    </row>
    <row r="588">
      <c r="A588">
        <f>'1 datos preparados'!A581</f>
        <v/>
      </c>
      <c r="B588" s="5">
        <f>'1 datos preparados'!U581</f>
        <v/>
      </c>
      <c r="C588">
        <f>'1 datos preparados'!B581</f>
        <v/>
      </c>
      <c r="D588" s="7">
        <f>'1 datos preparados'!C581</f>
        <v/>
      </c>
      <c r="E588" s="7">
        <f>'1 datos preparados'!D581</f>
        <v/>
      </c>
      <c r="F588" s="7">
        <f>'1 datos preparados'!E581</f>
        <v/>
      </c>
      <c r="G588" s="7">
        <f>'1 datos preparados'!F581</f>
        <v/>
      </c>
      <c r="H588" s="7">
        <f>'1 datos preparados'!G581</f>
        <v/>
      </c>
      <c r="I588" s="7">
        <f>'1 datos preparados'!H581</f>
        <v/>
      </c>
      <c r="J588" s="7">
        <f>'1 datos preparados'!I581</f>
        <v/>
      </c>
      <c r="K588" s="7">
        <f>'1 datos preparados'!J581</f>
        <v/>
      </c>
      <c r="L588" s="7">
        <f>'1 datos preparados'!K581</f>
        <v/>
      </c>
      <c r="M588" s="7">
        <f>'1 datos preparados'!L581</f>
        <v/>
      </c>
      <c r="N588" s="7">
        <f>'1 datos preparados'!M581</f>
        <v/>
      </c>
      <c r="O588" s="7">
        <f>'1 datos preparados'!N581</f>
        <v/>
      </c>
      <c r="P588" s="7">
        <f>'1 datos preparados'!O581</f>
        <v/>
      </c>
      <c r="Q588" s="7">
        <f>'1 datos preparados'!P581</f>
        <v/>
      </c>
      <c r="R588" s="7">
        <f>'1 datos preparados'!Q581</f>
        <v/>
      </c>
      <c r="S588" s="7">
        <f>'1 datos preparados'!R581</f>
        <v/>
      </c>
      <c r="T588" s="7">
        <f>'1 datos preparados'!S581</f>
        <v/>
      </c>
      <c r="U588" s="7">
        <f>'1 datos preparados'!T581</f>
        <v/>
      </c>
      <c r="V588" s="8">
        <f>$AC$12+D588*$AC$13+E588*$AC$14+F588*$AC$15+G588*$AC$16+H588*$AC$17+I588*$AC$18+J588*$AC$19+K588*$AC$20+L588*$AC$21+M588*$AC$22+N588*$AC$23+O588*$AC$24+P588*$AC$25+Q588*$AC$26+R588*$AC$27+S588*$AC$28+T588*$AC$29+U588*$AC$30</f>
        <v/>
      </c>
      <c r="W588" s="8">
        <f>1/(1+EXP(-V588))</f>
        <v/>
      </c>
      <c r="X588" s="9">
        <f>-IF(C588=1,LN(W588),LN(1-W588))</f>
        <v/>
      </c>
      <c r="Y588" s="10">
        <f>IF(W588&gt;$AC$33,1,0)</f>
        <v/>
      </c>
      <c r="Z588">
        <f>IF(Y588=C588,1,0)</f>
        <v/>
      </c>
    </row>
    <row r="589">
      <c r="A589">
        <f>'1 datos preparados'!A582</f>
        <v/>
      </c>
      <c r="B589" s="5">
        <f>'1 datos preparados'!U582</f>
        <v/>
      </c>
      <c r="C589">
        <f>'1 datos preparados'!B582</f>
        <v/>
      </c>
      <c r="D589" s="7">
        <f>'1 datos preparados'!C582</f>
        <v/>
      </c>
      <c r="E589" s="7">
        <f>'1 datos preparados'!D582</f>
        <v/>
      </c>
      <c r="F589" s="7">
        <f>'1 datos preparados'!E582</f>
        <v/>
      </c>
      <c r="G589" s="7">
        <f>'1 datos preparados'!F582</f>
        <v/>
      </c>
      <c r="H589" s="7">
        <f>'1 datos preparados'!G582</f>
        <v/>
      </c>
      <c r="I589" s="7">
        <f>'1 datos preparados'!H582</f>
        <v/>
      </c>
      <c r="J589" s="7">
        <f>'1 datos preparados'!I582</f>
        <v/>
      </c>
      <c r="K589" s="7">
        <f>'1 datos preparados'!J582</f>
        <v/>
      </c>
      <c r="L589" s="7">
        <f>'1 datos preparados'!K582</f>
        <v/>
      </c>
      <c r="M589" s="7">
        <f>'1 datos preparados'!L582</f>
        <v/>
      </c>
      <c r="N589" s="7">
        <f>'1 datos preparados'!M582</f>
        <v/>
      </c>
      <c r="O589" s="7">
        <f>'1 datos preparados'!N582</f>
        <v/>
      </c>
      <c r="P589" s="7">
        <f>'1 datos preparados'!O582</f>
        <v/>
      </c>
      <c r="Q589" s="7">
        <f>'1 datos preparados'!P582</f>
        <v/>
      </c>
      <c r="R589" s="7">
        <f>'1 datos preparados'!Q582</f>
        <v/>
      </c>
      <c r="S589" s="7">
        <f>'1 datos preparados'!R582</f>
        <v/>
      </c>
      <c r="T589" s="7">
        <f>'1 datos preparados'!S582</f>
        <v/>
      </c>
      <c r="U589" s="7">
        <f>'1 datos preparados'!T582</f>
        <v/>
      </c>
      <c r="V589" s="8">
        <f>$AC$12+D589*$AC$13+E589*$AC$14+F589*$AC$15+G589*$AC$16+H589*$AC$17+I589*$AC$18+J589*$AC$19+K589*$AC$20+L589*$AC$21+M589*$AC$22+N589*$AC$23+O589*$AC$24+P589*$AC$25+Q589*$AC$26+R589*$AC$27+S589*$AC$28+T589*$AC$29+U589*$AC$30</f>
        <v/>
      </c>
      <c r="W589" s="8">
        <f>1/(1+EXP(-V589))</f>
        <v/>
      </c>
      <c r="X589" s="9">
        <f>-IF(C589=1,LN(W589),LN(1-W589))</f>
        <v/>
      </c>
      <c r="Y589" s="10">
        <f>IF(W589&gt;$AC$33,1,0)</f>
        <v/>
      </c>
      <c r="Z589">
        <f>IF(Y589=C589,1,0)</f>
        <v/>
      </c>
    </row>
    <row r="590">
      <c r="A590">
        <f>'1 datos preparados'!A583</f>
        <v/>
      </c>
      <c r="B590" s="5">
        <f>'1 datos preparados'!U583</f>
        <v/>
      </c>
      <c r="C590">
        <f>'1 datos preparados'!B583</f>
        <v/>
      </c>
      <c r="D590" s="7">
        <f>'1 datos preparados'!C583</f>
        <v/>
      </c>
      <c r="E590" s="7">
        <f>'1 datos preparados'!D583</f>
        <v/>
      </c>
      <c r="F590" s="7">
        <f>'1 datos preparados'!E583</f>
        <v/>
      </c>
      <c r="G590" s="7">
        <f>'1 datos preparados'!F583</f>
        <v/>
      </c>
      <c r="H590" s="7">
        <f>'1 datos preparados'!G583</f>
        <v/>
      </c>
      <c r="I590" s="7">
        <f>'1 datos preparados'!H583</f>
        <v/>
      </c>
      <c r="J590" s="7">
        <f>'1 datos preparados'!I583</f>
        <v/>
      </c>
      <c r="K590" s="7">
        <f>'1 datos preparados'!J583</f>
        <v/>
      </c>
      <c r="L590" s="7">
        <f>'1 datos preparados'!K583</f>
        <v/>
      </c>
      <c r="M590" s="7">
        <f>'1 datos preparados'!L583</f>
        <v/>
      </c>
      <c r="N590" s="7">
        <f>'1 datos preparados'!M583</f>
        <v/>
      </c>
      <c r="O590" s="7">
        <f>'1 datos preparados'!N583</f>
        <v/>
      </c>
      <c r="P590" s="7">
        <f>'1 datos preparados'!O583</f>
        <v/>
      </c>
      <c r="Q590" s="7">
        <f>'1 datos preparados'!P583</f>
        <v/>
      </c>
      <c r="R590" s="7">
        <f>'1 datos preparados'!Q583</f>
        <v/>
      </c>
      <c r="S590" s="7">
        <f>'1 datos preparados'!R583</f>
        <v/>
      </c>
      <c r="T590" s="7">
        <f>'1 datos preparados'!S583</f>
        <v/>
      </c>
      <c r="U590" s="7">
        <f>'1 datos preparados'!T583</f>
        <v/>
      </c>
      <c r="V590" s="8">
        <f>$AC$12+D590*$AC$13+E590*$AC$14+F590*$AC$15+G590*$AC$16+H590*$AC$17+I590*$AC$18+J590*$AC$19+K590*$AC$20+L590*$AC$21+M590*$AC$22+N590*$AC$23+O590*$AC$24+P590*$AC$25+Q590*$AC$26+R590*$AC$27+S590*$AC$28+T590*$AC$29+U590*$AC$30</f>
        <v/>
      </c>
      <c r="W590" s="8">
        <f>1/(1+EXP(-V590))</f>
        <v/>
      </c>
      <c r="X590" s="9">
        <f>-IF(C590=1,LN(W590),LN(1-W590))</f>
        <v/>
      </c>
      <c r="Y590" s="10">
        <f>IF(W590&gt;$AC$33,1,0)</f>
        <v/>
      </c>
      <c r="Z590">
        <f>IF(Y590=C590,1,0)</f>
        <v/>
      </c>
    </row>
    <row r="591">
      <c r="A591">
        <f>'1 datos preparados'!A584</f>
        <v/>
      </c>
      <c r="B591" s="5">
        <f>'1 datos preparados'!U584</f>
        <v/>
      </c>
      <c r="C591">
        <f>'1 datos preparados'!B584</f>
        <v/>
      </c>
      <c r="D591" s="7">
        <f>'1 datos preparados'!C584</f>
        <v/>
      </c>
      <c r="E591" s="7">
        <f>'1 datos preparados'!D584</f>
        <v/>
      </c>
      <c r="F591" s="7">
        <f>'1 datos preparados'!E584</f>
        <v/>
      </c>
      <c r="G591" s="7">
        <f>'1 datos preparados'!F584</f>
        <v/>
      </c>
      <c r="H591" s="7">
        <f>'1 datos preparados'!G584</f>
        <v/>
      </c>
      <c r="I591" s="7">
        <f>'1 datos preparados'!H584</f>
        <v/>
      </c>
      <c r="J591" s="7">
        <f>'1 datos preparados'!I584</f>
        <v/>
      </c>
      <c r="K591" s="7">
        <f>'1 datos preparados'!J584</f>
        <v/>
      </c>
      <c r="L591" s="7">
        <f>'1 datos preparados'!K584</f>
        <v/>
      </c>
      <c r="M591" s="7">
        <f>'1 datos preparados'!L584</f>
        <v/>
      </c>
      <c r="N591" s="7">
        <f>'1 datos preparados'!M584</f>
        <v/>
      </c>
      <c r="O591" s="7">
        <f>'1 datos preparados'!N584</f>
        <v/>
      </c>
      <c r="P591" s="7">
        <f>'1 datos preparados'!O584</f>
        <v/>
      </c>
      <c r="Q591" s="7">
        <f>'1 datos preparados'!P584</f>
        <v/>
      </c>
      <c r="R591" s="7">
        <f>'1 datos preparados'!Q584</f>
        <v/>
      </c>
      <c r="S591" s="7">
        <f>'1 datos preparados'!R584</f>
        <v/>
      </c>
      <c r="T591" s="7">
        <f>'1 datos preparados'!S584</f>
        <v/>
      </c>
      <c r="U591" s="7">
        <f>'1 datos preparados'!T584</f>
        <v/>
      </c>
      <c r="V591" s="8">
        <f>$AC$12+D591*$AC$13+E591*$AC$14+F591*$AC$15+G591*$AC$16+H591*$AC$17+I591*$AC$18+J591*$AC$19+K591*$AC$20+L591*$AC$21+M591*$AC$22+N591*$AC$23+O591*$AC$24+P591*$AC$25+Q591*$AC$26+R591*$AC$27+S591*$AC$28+T591*$AC$29+U591*$AC$30</f>
        <v/>
      </c>
      <c r="W591" s="8">
        <f>1/(1+EXP(-V591))</f>
        <v/>
      </c>
      <c r="X591" s="9">
        <f>-IF(C591=1,LN(W591),LN(1-W591))</f>
        <v/>
      </c>
      <c r="Y591" s="10">
        <f>IF(W591&gt;$AC$33,1,0)</f>
        <v/>
      </c>
      <c r="Z591">
        <f>IF(Y591=C591,1,0)</f>
        <v/>
      </c>
    </row>
    <row r="592">
      <c r="A592">
        <f>'1 datos preparados'!A585</f>
        <v/>
      </c>
      <c r="B592" s="5">
        <f>'1 datos preparados'!U585</f>
        <v/>
      </c>
      <c r="C592">
        <f>'1 datos preparados'!B585</f>
        <v/>
      </c>
      <c r="D592" s="7">
        <f>'1 datos preparados'!C585</f>
        <v/>
      </c>
      <c r="E592" s="7">
        <f>'1 datos preparados'!D585</f>
        <v/>
      </c>
      <c r="F592" s="7">
        <f>'1 datos preparados'!E585</f>
        <v/>
      </c>
      <c r="G592" s="7">
        <f>'1 datos preparados'!F585</f>
        <v/>
      </c>
      <c r="H592" s="7">
        <f>'1 datos preparados'!G585</f>
        <v/>
      </c>
      <c r="I592" s="7">
        <f>'1 datos preparados'!H585</f>
        <v/>
      </c>
      <c r="J592" s="7">
        <f>'1 datos preparados'!I585</f>
        <v/>
      </c>
      <c r="K592" s="7">
        <f>'1 datos preparados'!J585</f>
        <v/>
      </c>
      <c r="L592" s="7">
        <f>'1 datos preparados'!K585</f>
        <v/>
      </c>
      <c r="M592" s="7">
        <f>'1 datos preparados'!L585</f>
        <v/>
      </c>
      <c r="N592" s="7">
        <f>'1 datos preparados'!M585</f>
        <v/>
      </c>
      <c r="O592" s="7">
        <f>'1 datos preparados'!N585</f>
        <v/>
      </c>
      <c r="P592" s="7">
        <f>'1 datos preparados'!O585</f>
        <v/>
      </c>
      <c r="Q592" s="7">
        <f>'1 datos preparados'!P585</f>
        <v/>
      </c>
      <c r="R592" s="7">
        <f>'1 datos preparados'!Q585</f>
        <v/>
      </c>
      <c r="S592" s="7">
        <f>'1 datos preparados'!R585</f>
        <v/>
      </c>
      <c r="T592" s="7">
        <f>'1 datos preparados'!S585</f>
        <v/>
      </c>
      <c r="U592" s="7">
        <f>'1 datos preparados'!T585</f>
        <v/>
      </c>
      <c r="V592" s="8">
        <f>$AC$12+D592*$AC$13+E592*$AC$14+F592*$AC$15+G592*$AC$16+H592*$AC$17+I592*$AC$18+J592*$AC$19+K592*$AC$20+L592*$AC$21+M592*$AC$22+N592*$AC$23+O592*$AC$24+P592*$AC$25+Q592*$AC$26+R592*$AC$27+S592*$AC$28+T592*$AC$29+U592*$AC$30</f>
        <v/>
      </c>
      <c r="W592" s="8">
        <f>1/(1+EXP(-V592))</f>
        <v/>
      </c>
      <c r="X592" s="9">
        <f>-IF(C592=1,LN(W592),LN(1-W592))</f>
        <v/>
      </c>
      <c r="Y592" s="10">
        <f>IF(W592&gt;$AC$33,1,0)</f>
        <v/>
      </c>
      <c r="Z592">
        <f>IF(Y592=C592,1,0)</f>
        <v/>
      </c>
    </row>
    <row r="593">
      <c r="A593">
        <f>'1 datos preparados'!A586</f>
        <v/>
      </c>
      <c r="B593" s="5">
        <f>'1 datos preparados'!U586</f>
        <v/>
      </c>
      <c r="C593">
        <f>'1 datos preparados'!B586</f>
        <v/>
      </c>
      <c r="D593" s="7">
        <f>'1 datos preparados'!C586</f>
        <v/>
      </c>
      <c r="E593" s="7">
        <f>'1 datos preparados'!D586</f>
        <v/>
      </c>
      <c r="F593" s="7">
        <f>'1 datos preparados'!E586</f>
        <v/>
      </c>
      <c r="G593" s="7">
        <f>'1 datos preparados'!F586</f>
        <v/>
      </c>
      <c r="H593" s="7">
        <f>'1 datos preparados'!G586</f>
        <v/>
      </c>
      <c r="I593" s="7">
        <f>'1 datos preparados'!H586</f>
        <v/>
      </c>
      <c r="J593" s="7">
        <f>'1 datos preparados'!I586</f>
        <v/>
      </c>
      <c r="K593" s="7">
        <f>'1 datos preparados'!J586</f>
        <v/>
      </c>
      <c r="L593" s="7">
        <f>'1 datos preparados'!K586</f>
        <v/>
      </c>
      <c r="M593" s="7">
        <f>'1 datos preparados'!L586</f>
        <v/>
      </c>
      <c r="N593" s="7">
        <f>'1 datos preparados'!M586</f>
        <v/>
      </c>
      <c r="O593" s="7">
        <f>'1 datos preparados'!N586</f>
        <v/>
      </c>
      <c r="P593" s="7">
        <f>'1 datos preparados'!O586</f>
        <v/>
      </c>
      <c r="Q593" s="7">
        <f>'1 datos preparados'!P586</f>
        <v/>
      </c>
      <c r="R593" s="7">
        <f>'1 datos preparados'!Q586</f>
        <v/>
      </c>
      <c r="S593" s="7">
        <f>'1 datos preparados'!R586</f>
        <v/>
      </c>
      <c r="T593" s="7">
        <f>'1 datos preparados'!S586</f>
        <v/>
      </c>
      <c r="U593" s="7">
        <f>'1 datos preparados'!T586</f>
        <v/>
      </c>
      <c r="V593" s="8">
        <f>$AC$12+D593*$AC$13+E593*$AC$14+F593*$AC$15+G593*$AC$16+H593*$AC$17+I593*$AC$18+J593*$AC$19+K593*$AC$20+L593*$AC$21+M593*$AC$22+N593*$AC$23+O593*$AC$24+P593*$AC$25+Q593*$AC$26+R593*$AC$27+S593*$AC$28+T593*$AC$29+U593*$AC$30</f>
        <v/>
      </c>
      <c r="W593" s="8">
        <f>1/(1+EXP(-V593))</f>
        <v/>
      </c>
      <c r="X593" s="9">
        <f>-IF(C593=1,LN(W593),LN(1-W593))</f>
        <v/>
      </c>
      <c r="Y593" s="10">
        <f>IF(W593&gt;$AC$33,1,0)</f>
        <v/>
      </c>
      <c r="Z593">
        <f>IF(Y593=C593,1,0)</f>
        <v/>
      </c>
    </row>
    <row r="594">
      <c r="A594">
        <f>'1 datos preparados'!A587</f>
        <v/>
      </c>
      <c r="B594" s="5">
        <f>'1 datos preparados'!U587</f>
        <v/>
      </c>
      <c r="C594">
        <f>'1 datos preparados'!B587</f>
        <v/>
      </c>
      <c r="D594" s="7">
        <f>'1 datos preparados'!C587</f>
        <v/>
      </c>
      <c r="E594" s="7">
        <f>'1 datos preparados'!D587</f>
        <v/>
      </c>
      <c r="F594" s="7">
        <f>'1 datos preparados'!E587</f>
        <v/>
      </c>
      <c r="G594" s="7">
        <f>'1 datos preparados'!F587</f>
        <v/>
      </c>
      <c r="H594" s="7">
        <f>'1 datos preparados'!G587</f>
        <v/>
      </c>
      <c r="I594" s="7">
        <f>'1 datos preparados'!H587</f>
        <v/>
      </c>
      <c r="J594" s="7">
        <f>'1 datos preparados'!I587</f>
        <v/>
      </c>
      <c r="K594" s="7">
        <f>'1 datos preparados'!J587</f>
        <v/>
      </c>
      <c r="L594" s="7">
        <f>'1 datos preparados'!K587</f>
        <v/>
      </c>
      <c r="M594" s="7">
        <f>'1 datos preparados'!L587</f>
        <v/>
      </c>
      <c r="N594" s="7">
        <f>'1 datos preparados'!M587</f>
        <v/>
      </c>
      <c r="O594" s="7">
        <f>'1 datos preparados'!N587</f>
        <v/>
      </c>
      <c r="P594" s="7">
        <f>'1 datos preparados'!O587</f>
        <v/>
      </c>
      <c r="Q594" s="7">
        <f>'1 datos preparados'!P587</f>
        <v/>
      </c>
      <c r="R594" s="7">
        <f>'1 datos preparados'!Q587</f>
        <v/>
      </c>
      <c r="S594" s="7">
        <f>'1 datos preparados'!R587</f>
        <v/>
      </c>
      <c r="T594" s="7">
        <f>'1 datos preparados'!S587</f>
        <v/>
      </c>
      <c r="U594" s="7">
        <f>'1 datos preparados'!T587</f>
        <v/>
      </c>
      <c r="V594" s="8">
        <f>$AC$12+D594*$AC$13+E594*$AC$14+F594*$AC$15+G594*$AC$16+H594*$AC$17+I594*$AC$18+J594*$AC$19+K594*$AC$20+L594*$AC$21+M594*$AC$22+N594*$AC$23+O594*$AC$24+P594*$AC$25+Q594*$AC$26+R594*$AC$27+S594*$AC$28+T594*$AC$29+U594*$AC$30</f>
        <v/>
      </c>
      <c r="W594" s="8">
        <f>1/(1+EXP(-V594))</f>
        <v/>
      </c>
      <c r="X594" s="9">
        <f>-IF(C594=1,LN(W594),LN(1-W594))</f>
        <v/>
      </c>
      <c r="Y594" s="10">
        <f>IF(W594&gt;$AC$33,1,0)</f>
        <v/>
      </c>
      <c r="Z594">
        <f>IF(Y594=C594,1,0)</f>
        <v/>
      </c>
    </row>
    <row r="595">
      <c r="A595">
        <f>'1 datos preparados'!A588</f>
        <v/>
      </c>
      <c r="B595" s="5">
        <f>'1 datos preparados'!U588</f>
        <v/>
      </c>
      <c r="C595">
        <f>'1 datos preparados'!B588</f>
        <v/>
      </c>
      <c r="D595" s="7">
        <f>'1 datos preparados'!C588</f>
        <v/>
      </c>
      <c r="E595" s="7">
        <f>'1 datos preparados'!D588</f>
        <v/>
      </c>
      <c r="F595" s="7">
        <f>'1 datos preparados'!E588</f>
        <v/>
      </c>
      <c r="G595" s="7">
        <f>'1 datos preparados'!F588</f>
        <v/>
      </c>
      <c r="H595" s="7">
        <f>'1 datos preparados'!G588</f>
        <v/>
      </c>
      <c r="I595" s="7">
        <f>'1 datos preparados'!H588</f>
        <v/>
      </c>
      <c r="J595" s="7">
        <f>'1 datos preparados'!I588</f>
        <v/>
      </c>
      <c r="K595" s="7">
        <f>'1 datos preparados'!J588</f>
        <v/>
      </c>
      <c r="L595" s="7">
        <f>'1 datos preparados'!K588</f>
        <v/>
      </c>
      <c r="M595" s="7">
        <f>'1 datos preparados'!L588</f>
        <v/>
      </c>
      <c r="N595" s="7">
        <f>'1 datos preparados'!M588</f>
        <v/>
      </c>
      <c r="O595" s="7">
        <f>'1 datos preparados'!N588</f>
        <v/>
      </c>
      <c r="P595" s="7">
        <f>'1 datos preparados'!O588</f>
        <v/>
      </c>
      <c r="Q595" s="7">
        <f>'1 datos preparados'!P588</f>
        <v/>
      </c>
      <c r="R595" s="7">
        <f>'1 datos preparados'!Q588</f>
        <v/>
      </c>
      <c r="S595" s="7">
        <f>'1 datos preparados'!R588</f>
        <v/>
      </c>
      <c r="T595" s="7">
        <f>'1 datos preparados'!S588</f>
        <v/>
      </c>
      <c r="U595" s="7">
        <f>'1 datos preparados'!T588</f>
        <v/>
      </c>
      <c r="V595" s="8">
        <f>$AC$12+D595*$AC$13+E595*$AC$14+F595*$AC$15+G595*$AC$16+H595*$AC$17+I595*$AC$18+J595*$AC$19+K595*$AC$20+L595*$AC$21+M595*$AC$22+N595*$AC$23+O595*$AC$24+P595*$AC$25+Q595*$AC$26+R595*$AC$27+S595*$AC$28+T595*$AC$29+U595*$AC$30</f>
        <v/>
      </c>
      <c r="W595" s="8">
        <f>1/(1+EXP(-V595))</f>
        <v/>
      </c>
      <c r="X595" s="9">
        <f>-IF(C595=1,LN(W595),LN(1-W595))</f>
        <v/>
      </c>
      <c r="Y595" s="10">
        <f>IF(W595&gt;$AC$33,1,0)</f>
        <v/>
      </c>
      <c r="Z595">
        <f>IF(Y595=C595,1,0)</f>
        <v/>
      </c>
    </row>
    <row r="596">
      <c r="A596">
        <f>'1 datos preparados'!A589</f>
        <v/>
      </c>
      <c r="B596" s="5">
        <f>'1 datos preparados'!U589</f>
        <v/>
      </c>
      <c r="C596">
        <f>'1 datos preparados'!B589</f>
        <v/>
      </c>
      <c r="D596" s="7">
        <f>'1 datos preparados'!C589</f>
        <v/>
      </c>
      <c r="E596" s="7">
        <f>'1 datos preparados'!D589</f>
        <v/>
      </c>
      <c r="F596" s="7">
        <f>'1 datos preparados'!E589</f>
        <v/>
      </c>
      <c r="G596" s="7">
        <f>'1 datos preparados'!F589</f>
        <v/>
      </c>
      <c r="H596" s="7">
        <f>'1 datos preparados'!G589</f>
        <v/>
      </c>
      <c r="I596" s="7">
        <f>'1 datos preparados'!H589</f>
        <v/>
      </c>
      <c r="J596" s="7">
        <f>'1 datos preparados'!I589</f>
        <v/>
      </c>
      <c r="K596" s="7">
        <f>'1 datos preparados'!J589</f>
        <v/>
      </c>
      <c r="L596" s="7">
        <f>'1 datos preparados'!K589</f>
        <v/>
      </c>
      <c r="M596" s="7">
        <f>'1 datos preparados'!L589</f>
        <v/>
      </c>
      <c r="N596" s="7">
        <f>'1 datos preparados'!M589</f>
        <v/>
      </c>
      <c r="O596" s="7">
        <f>'1 datos preparados'!N589</f>
        <v/>
      </c>
      <c r="P596" s="7">
        <f>'1 datos preparados'!O589</f>
        <v/>
      </c>
      <c r="Q596" s="7">
        <f>'1 datos preparados'!P589</f>
        <v/>
      </c>
      <c r="R596" s="7">
        <f>'1 datos preparados'!Q589</f>
        <v/>
      </c>
      <c r="S596" s="7">
        <f>'1 datos preparados'!R589</f>
        <v/>
      </c>
      <c r="T596" s="7">
        <f>'1 datos preparados'!S589</f>
        <v/>
      </c>
      <c r="U596" s="7">
        <f>'1 datos preparados'!T589</f>
        <v/>
      </c>
      <c r="V596" s="8">
        <f>$AC$12+D596*$AC$13+E596*$AC$14+F596*$AC$15+G596*$AC$16+H596*$AC$17+I596*$AC$18+J596*$AC$19+K596*$AC$20+L596*$AC$21+M596*$AC$22+N596*$AC$23+O596*$AC$24+P596*$AC$25+Q596*$AC$26+R596*$AC$27+S596*$AC$28+T596*$AC$29+U596*$AC$30</f>
        <v/>
      </c>
      <c r="W596" s="8">
        <f>1/(1+EXP(-V596))</f>
        <v/>
      </c>
      <c r="X596" s="9">
        <f>-IF(C596=1,LN(W596),LN(1-W596))</f>
        <v/>
      </c>
      <c r="Y596" s="10">
        <f>IF(W596&gt;$AC$33,1,0)</f>
        <v/>
      </c>
      <c r="Z596">
        <f>IF(Y596=C596,1,0)</f>
        <v/>
      </c>
    </row>
    <row r="597">
      <c r="A597">
        <f>'1 datos preparados'!A590</f>
        <v/>
      </c>
      <c r="B597" s="5">
        <f>'1 datos preparados'!U590</f>
        <v/>
      </c>
      <c r="C597">
        <f>'1 datos preparados'!B590</f>
        <v/>
      </c>
      <c r="D597" s="7">
        <f>'1 datos preparados'!C590</f>
        <v/>
      </c>
      <c r="E597" s="7">
        <f>'1 datos preparados'!D590</f>
        <v/>
      </c>
      <c r="F597" s="7">
        <f>'1 datos preparados'!E590</f>
        <v/>
      </c>
      <c r="G597" s="7">
        <f>'1 datos preparados'!F590</f>
        <v/>
      </c>
      <c r="H597" s="7">
        <f>'1 datos preparados'!G590</f>
        <v/>
      </c>
      <c r="I597" s="7">
        <f>'1 datos preparados'!H590</f>
        <v/>
      </c>
      <c r="J597" s="7">
        <f>'1 datos preparados'!I590</f>
        <v/>
      </c>
      <c r="K597" s="7">
        <f>'1 datos preparados'!J590</f>
        <v/>
      </c>
      <c r="L597" s="7">
        <f>'1 datos preparados'!K590</f>
        <v/>
      </c>
      <c r="M597" s="7">
        <f>'1 datos preparados'!L590</f>
        <v/>
      </c>
      <c r="N597" s="7">
        <f>'1 datos preparados'!M590</f>
        <v/>
      </c>
      <c r="O597" s="7">
        <f>'1 datos preparados'!N590</f>
        <v/>
      </c>
      <c r="P597" s="7">
        <f>'1 datos preparados'!O590</f>
        <v/>
      </c>
      <c r="Q597" s="7">
        <f>'1 datos preparados'!P590</f>
        <v/>
      </c>
      <c r="R597" s="7">
        <f>'1 datos preparados'!Q590</f>
        <v/>
      </c>
      <c r="S597" s="7">
        <f>'1 datos preparados'!R590</f>
        <v/>
      </c>
      <c r="T597" s="7">
        <f>'1 datos preparados'!S590</f>
        <v/>
      </c>
      <c r="U597" s="7">
        <f>'1 datos preparados'!T590</f>
        <v/>
      </c>
      <c r="V597" s="8">
        <f>$AC$12+D597*$AC$13+E597*$AC$14+F597*$AC$15+G597*$AC$16+H597*$AC$17+I597*$AC$18+J597*$AC$19+K597*$AC$20+L597*$AC$21+M597*$AC$22+N597*$AC$23+O597*$AC$24+P597*$AC$25+Q597*$AC$26+R597*$AC$27+S597*$AC$28+T597*$AC$29+U597*$AC$30</f>
        <v/>
      </c>
      <c r="W597" s="8">
        <f>1/(1+EXP(-V597))</f>
        <v/>
      </c>
      <c r="X597" s="9">
        <f>-IF(C597=1,LN(W597),LN(1-W597))</f>
        <v/>
      </c>
      <c r="Y597" s="10">
        <f>IF(W597&gt;$AC$33,1,0)</f>
        <v/>
      </c>
      <c r="Z597">
        <f>IF(Y597=C597,1,0)</f>
        <v/>
      </c>
    </row>
    <row r="598">
      <c r="A598">
        <f>'1 datos preparados'!A591</f>
        <v/>
      </c>
      <c r="B598" s="5">
        <f>'1 datos preparados'!U591</f>
        <v/>
      </c>
      <c r="C598">
        <f>'1 datos preparados'!B591</f>
        <v/>
      </c>
      <c r="D598" s="7">
        <f>'1 datos preparados'!C591</f>
        <v/>
      </c>
      <c r="E598" s="7">
        <f>'1 datos preparados'!D591</f>
        <v/>
      </c>
      <c r="F598" s="7">
        <f>'1 datos preparados'!E591</f>
        <v/>
      </c>
      <c r="G598" s="7">
        <f>'1 datos preparados'!F591</f>
        <v/>
      </c>
      <c r="H598" s="7">
        <f>'1 datos preparados'!G591</f>
        <v/>
      </c>
      <c r="I598" s="7">
        <f>'1 datos preparados'!H591</f>
        <v/>
      </c>
      <c r="J598" s="7">
        <f>'1 datos preparados'!I591</f>
        <v/>
      </c>
      <c r="K598" s="7">
        <f>'1 datos preparados'!J591</f>
        <v/>
      </c>
      <c r="L598" s="7">
        <f>'1 datos preparados'!K591</f>
        <v/>
      </c>
      <c r="M598" s="7">
        <f>'1 datos preparados'!L591</f>
        <v/>
      </c>
      <c r="N598" s="7">
        <f>'1 datos preparados'!M591</f>
        <v/>
      </c>
      <c r="O598" s="7">
        <f>'1 datos preparados'!N591</f>
        <v/>
      </c>
      <c r="P598" s="7">
        <f>'1 datos preparados'!O591</f>
        <v/>
      </c>
      <c r="Q598" s="7">
        <f>'1 datos preparados'!P591</f>
        <v/>
      </c>
      <c r="R598" s="7">
        <f>'1 datos preparados'!Q591</f>
        <v/>
      </c>
      <c r="S598" s="7">
        <f>'1 datos preparados'!R591</f>
        <v/>
      </c>
      <c r="T598" s="7">
        <f>'1 datos preparados'!S591</f>
        <v/>
      </c>
      <c r="U598" s="7">
        <f>'1 datos preparados'!T591</f>
        <v/>
      </c>
      <c r="V598" s="8">
        <f>$AC$12+D598*$AC$13+E598*$AC$14+F598*$AC$15+G598*$AC$16+H598*$AC$17+I598*$AC$18+J598*$AC$19+K598*$AC$20+L598*$AC$21+M598*$AC$22+N598*$AC$23+O598*$AC$24+P598*$AC$25+Q598*$AC$26+R598*$AC$27+S598*$AC$28+T598*$AC$29+U598*$AC$30</f>
        <v/>
      </c>
      <c r="W598" s="8">
        <f>1/(1+EXP(-V598))</f>
        <v/>
      </c>
      <c r="X598" s="9">
        <f>-IF(C598=1,LN(W598),LN(1-W598))</f>
        <v/>
      </c>
      <c r="Y598" s="10">
        <f>IF(W598&gt;$AC$33,1,0)</f>
        <v/>
      </c>
      <c r="Z598">
        <f>IF(Y598=C598,1,0)</f>
        <v/>
      </c>
    </row>
    <row r="599">
      <c r="A599">
        <f>'1 datos preparados'!A592</f>
        <v/>
      </c>
      <c r="B599" s="5">
        <f>'1 datos preparados'!U592</f>
        <v/>
      </c>
      <c r="C599">
        <f>'1 datos preparados'!B592</f>
        <v/>
      </c>
      <c r="D599" s="7">
        <f>'1 datos preparados'!C592</f>
        <v/>
      </c>
      <c r="E599" s="7">
        <f>'1 datos preparados'!D592</f>
        <v/>
      </c>
      <c r="F599" s="7">
        <f>'1 datos preparados'!E592</f>
        <v/>
      </c>
      <c r="G599" s="7">
        <f>'1 datos preparados'!F592</f>
        <v/>
      </c>
      <c r="H599" s="7">
        <f>'1 datos preparados'!G592</f>
        <v/>
      </c>
      <c r="I599" s="7">
        <f>'1 datos preparados'!H592</f>
        <v/>
      </c>
      <c r="J599" s="7">
        <f>'1 datos preparados'!I592</f>
        <v/>
      </c>
      <c r="K599" s="7">
        <f>'1 datos preparados'!J592</f>
        <v/>
      </c>
      <c r="L599" s="7">
        <f>'1 datos preparados'!K592</f>
        <v/>
      </c>
      <c r="M599" s="7">
        <f>'1 datos preparados'!L592</f>
        <v/>
      </c>
      <c r="N599" s="7">
        <f>'1 datos preparados'!M592</f>
        <v/>
      </c>
      <c r="O599" s="7">
        <f>'1 datos preparados'!N592</f>
        <v/>
      </c>
      <c r="P599" s="7">
        <f>'1 datos preparados'!O592</f>
        <v/>
      </c>
      <c r="Q599" s="7">
        <f>'1 datos preparados'!P592</f>
        <v/>
      </c>
      <c r="R599" s="7">
        <f>'1 datos preparados'!Q592</f>
        <v/>
      </c>
      <c r="S599" s="7">
        <f>'1 datos preparados'!R592</f>
        <v/>
      </c>
      <c r="T599" s="7">
        <f>'1 datos preparados'!S592</f>
        <v/>
      </c>
      <c r="U599" s="7">
        <f>'1 datos preparados'!T592</f>
        <v/>
      </c>
      <c r="V599" s="8">
        <f>$AC$12+D599*$AC$13+E599*$AC$14+F599*$AC$15+G599*$AC$16+H599*$AC$17+I599*$AC$18+J599*$AC$19+K599*$AC$20+L599*$AC$21+M599*$AC$22+N599*$AC$23+O599*$AC$24+P599*$AC$25+Q599*$AC$26+R599*$AC$27+S599*$AC$28+T599*$AC$29+U599*$AC$30</f>
        <v/>
      </c>
      <c r="W599" s="8">
        <f>1/(1+EXP(-V599))</f>
        <v/>
      </c>
      <c r="X599" s="9">
        <f>-IF(C599=1,LN(W599),LN(1-W599))</f>
        <v/>
      </c>
      <c r="Y599" s="10">
        <f>IF(W599&gt;$AC$33,1,0)</f>
        <v/>
      </c>
      <c r="Z599">
        <f>IF(Y599=C599,1,0)</f>
        <v/>
      </c>
    </row>
    <row r="600">
      <c r="A600">
        <f>'1 datos preparados'!A593</f>
        <v/>
      </c>
      <c r="B600" s="5">
        <f>'1 datos preparados'!U593</f>
        <v/>
      </c>
      <c r="C600">
        <f>'1 datos preparados'!B593</f>
        <v/>
      </c>
      <c r="D600" s="7">
        <f>'1 datos preparados'!C593</f>
        <v/>
      </c>
      <c r="E600" s="7">
        <f>'1 datos preparados'!D593</f>
        <v/>
      </c>
      <c r="F600" s="7">
        <f>'1 datos preparados'!E593</f>
        <v/>
      </c>
      <c r="G600" s="7">
        <f>'1 datos preparados'!F593</f>
        <v/>
      </c>
      <c r="H600" s="7">
        <f>'1 datos preparados'!G593</f>
        <v/>
      </c>
      <c r="I600" s="7">
        <f>'1 datos preparados'!H593</f>
        <v/>
      </c>
      <c r="J600" s="7">
        <f>'1 datos preparados'!I593</f>
        <v/>
      </c>
      <c r="K600" s="7">
        <f>'1 datos preparados'!J593</f>
        <v/>
      </c>
      <c r="L600" s="7">
        <f>'1 datos preparados'!K593</f>
        <v/>
      </c>
      <c r="M600" s="7">
        <f>'1 datos preparados'!L593</f>
        <v/>
      </c>
      <c r="N600" s="7">
        <f>'1 datos preparados'!M593</f>
        <v/>
      </c>
      <c r="O600" s="7">
        <f>'1 datos preparados'!N593</f>
        <v/>
      </c>
      <c r="P600" s="7">
        <f>'1 datos preparados'!O593</f>
        <v/>
      </c>
      <c r="Q600" s="7">
        <f>'1 datos preparados'!P593</f>
        <v/>
      </c>
      <c r="R600" s="7">
        <f>'1 datos preparados'!Q593</f>
        <v/>
      </c>
      <c r="S600" s="7">
        <f>'1 datos preparados'!R593</f>
        <v/>
      </c>
      <c r="T600" s="7">
        <f>'1 datos preparados'!S593</f>
        <v/>
      </c>
      <c r="U600" s="7">
        <f>'1 datos preparados'!T593</f>
        <v/>
      </c>
      <c r="V600" s="8">
        <f>$AC$12+D600*$AC$13+E600*$AC$14+F600*$AC$15+G600*$AC$16+H600*$AC$17+I600*$AC$18+J600*$AC$19+K600*$AC$20+L600*$AC$21+M600*$AC$22+N600*$AC$23+O600*$AC$24+P600*$AC$25+Q600*$AC$26+R600*$AC$27+S600*$AC$28+T600*$AC$29+U600*$AC$30</f>
        <v/>
      </c>
      <c r="W600" s="8">
        <f>1/(1+EXP(-V600))</f>
        <v/>
      </c>
      <c r="X600" s="9">
        <f>-IF(C600=1,LN(W600),LN(1-W600))</f>
        <v/>
      </c>
      <c r="Y600" s="10">
        <f>IF(W600&gt;$AC$33,1,0)</f>
        <v/>
      </c>
      <c r="Z600">
        <f>IF(Y600=C600,1,0)</f>
        <v/>
      </c>
    </row>
    <row r="601">
      <c r="A601">
        <f>'1 datos preparados'!A594</f>
        <v/>
      </c>
      <c r="B601" s="5">
        <f>'1 datos preparados'!U594</f>
        <v/>
      </c>
      <c r="C601">
        <f>'1 datos preparados'!B594</f>
        <v/>
      </c>
      <c r="D601" s="7">
        <f>'1 datos preparados'!C594</f>
        <v/>
      </c>
      <c r="E601" s="7">
        <f>'1 datos preparados'!D594</f>
        <v/>
      </c>
      <c r="F601" s="7">
        <f>'1 datos preparados'!E594</f>
        <v/>
      </c>
      <c r="G601" s="7">
        <f>'1 datos preparados'!F594</f>
        <v/>
      </c>
      <c r="H601" s="7">
        <f>'1 datos preparados'!G594</f>
        <v/>
      </c>
      <c r="I601" s="7">
        <f>'1 datos preparados'!H594</f>
        <v/>
      </c>
      <c r="J601" s="7">
        <f>'1 datos preparados'!I594</f>
        <v/>
      </c>
      <c r="K601" s="7">
        <f>'1 datos preparados'!J594</f>
        <v/>
      </c>
      <c r="L601" s="7">
        <f>'1 datos preparados'!K594</f>
        <v/>
      </c>
      <c r="M601" s="7">
        <f>'1 datos preparados'!L594</f>
        <v/>
      </c>
      <c r="N601" s="7">
        <f>'1 datos preparados'!M594</f>
        <v/>
      </c>
      <c r="O601" s="7">
        <f>'1 datos preparados'!N594</f>
        <v/>
      </c>
      <c r="P601" s="7">
        <f>'1 datos preparados'!O594</f>
        <v/>
      </c>
      <c r="Q601" s="7">
        <f>'1 datos preparados'!P594</f>
        <v/>
      </c>
      <c r="R601" s="7">
        <f>'1 datos preparados'!Q594</f>
        <v/>
      </c>
      <c r="S601" s="7">
        <f>'1 datos preparados'!R594</f>
        <v/>
      </c>
      <c r="T601" s="7">
        <f>'1 datos preparados'!S594</f>
        <v/>
      </c>
      <c r="U601" s="7">
        <f>'1 datos preparados'!T594</f>
        <v/>
      </c>
      <c r="V601" s="8">
        <f>$AC$12+D601*$AC$13+E601*$AC$14+F601*$AC$15+G601*$AC$16+H601*$AC$17+I601*$AC$18+J601*$AC$19+K601*$AC$20+L601*$AC$21+M601*$AC$22+N601*$AC$23+O601*$AC$24+P601*$AC$25+Q601*$AC$26+R601*$AC$27+S601*$AC$28+T601*$AC$29+U601*$AC$30</f>
        <v/>
      </c>
      <c r="W601" s="8">
        <f>1/(1+EXP(-V601))</f>
        <v/>
      </c>
      <c r="X601" s="9">
        <f>-IF(C601=1,LN(W601),LN(1-W601))</f>
        <v/>
      </c>
      <c r="Y601" s="10">
        <f>IF(W601&gt;$AC$33,1,0)</f>
        <v/>
      </c>
      <c r="Z601">
        <f>IF(Y601=C601,1,0)</f>
        <v/>
      </c>
    </row>
    <row r="602">
      <c r="A602">
        <f>'1 datos preparados'!A595</f>
        <v/>
      </c>
      <c r="B602" s="5">
        <f>'1 datos preparados'!U595</f>
        <v/>
      </c>
      <c r="C602">
        <f>'1 datos preparados'!B595</f>
        <v/>
      </c>
      <c r="D602" s="7">
        <f>'1 datos preparados'!C595</f>
        <v/>
      </c>
      <c r="E602" s="7">
        <f>'1 datos preparados'!D595</f>
        <v/>
      </c>
      <c r="F602" s="7">
        <f>'1 datos preparados'!E595</f>
        <v/>
      </c>
      <c r="G602" s="7">
        <f>'1 datos preparados'!F595</f>
        <v/>
      </c>
      <c r="H602" s="7">
        <f>'1 datos preparados'!G595</f>
        <v/>
      </c>
      <c r="I602" s="7">
        <f>'1 datos preparados'!H595</f>
        <v/>
      </c>
      <c r="J602" s="7">
        <f>'1 datos preparados'!I595</f>
        <v/>
      </c>
      <c r="K602" s="7">
        <f>'1 datos preparados'!J595</f>
        <v/>
      </c>
      <c r="L602" s="7">
        <f>'1 datos preparados'!K595</f>
        <v/>
      </c>
      <c r="M602" s="7">
        <f>'1 datos preparados'!L595</f>
        <v/>
      </c>
      <c r="N602" s="7">
        <f>'1 datos preparados'!M595</f>
        <v/>
      </c>
      <c r="O602" s="7">
        <f>'1 datos preparados'!N595</f>
        <v/>
      </c>
      <c r="P602" s="7">
        <f>'1 datos preparados'!O595</f>
        <v/>
      </c>
      <c r="Q602" s="7">
        <f>'1 datos preparados'!P595</f>
        <v/>
      </c>
      <c r="R602" s="7">
        <f>'1 datos preparados'!Q595</f>
        <v/>
      </c>
      <c r="S602" s="7">
        <f>'1 datos preparados'!R595</f>
        <v/>
      </c>
      <c r="T602" s="7">
        <f>'1 datos preparados'!S595</f>
        <v/>
      </c>
      <c r="U602" s="7">
        <f>'1 datos preparados'!T595</f>
        <v/>
      </c>
      <c r="V602" s="8">
        <f>$AC$12+D602*$AC$13+E602*$AC$14+F602*$AC$15+G602*$AC$16+H602*$AC$17+I602*$AC$18+J602*$AC$19+K602*$AC$20+L602*$AC$21+M602*$AC$22+N602*$AC$23+O602*$AC$24+P602*$AC$25+Q602*$AC$26+R602*$AC$27+S602*$AC$28+T602*$AC$29+U602*$AC$30</f>
        <v/>
      </c>
      <c r="W602" s="8">
        <f>1/(1+EXP(-V602))</f>
        <v/>
      </c>
      <c r="X602" s="9">
        <f>-IF(C602=1,LN(W602),LN(1-W602))</f>
        <v/>
      </c>
      <c r="Y602" s="10">
        <f>IF(W602&gt;$AC$33,1,0)</f>
        <v/>
      </c>
      <c r="Z602">
        <f>IF(Y602=C602,1,0)</f>
        <v/>
      </c>
    </row>
    <row r="603">
      <c r="A603">
        <f>'1 datos preparados'!A596</f>
        <v/>
      </c>
      <c r="B603" s="5">
        <f>'1 datos preparados'!U596</f>
        <v/>
      </c>
      <c r="C603">
        <f>'1 datos preparados'!B596</f>
        <v/>
      </c>
      <c r="D603" s="7">
        <f>'1 datos preparados'!C596</f>
        <v/>
      </c>
      <c r="E603" s="7">
        <f>'1 datos preparados'!D596</f>
        <v/>
      </c>
      <c r="F603" s="7">
        <f>'1 datos preparados'!E596</f>
        <v/>
      </c>
      <c r="G603" s="7">
        <f>'1 datos preparados'!F596</f>
        <v/>
      </c>
      <c r="H603" s="7">
        <f>'1 datos preparados'!G596</f>
        <v/>
      </c>
      <c r="I603" s="7">
        <f>'1 datos preparados'!H596</f>
        <v/>
      </c>
      <c r="J603" s="7">
        <f>'1 datos preparados'!I596</f>
        <v/>
      </c>
      <c r="K603" s="7">
        <f>'1 datos preparados'!J596</f>
        <v/>
      </c>
      <c r="L603" s="7">
        <f>'1 datos preparados'!K596</f>
        <v/>
      </c>
      <c r="M603" s="7">
        <f>'1 datos preparados'!L596</f>
        <v/>
      </c>
      <c r="N603" s="7">
        <f>'1 datos preparados'!M596</f>
        <v/>
      </c>
      <c r="O603" s="7">
        <f>'1 datos preparados'!N596</f>
        <v/>
      </c>
      <c r="P603" s="7">
        <f>'1 datos preparados'!O596</f>
        <v/>
      </c>
      <c r="Q603" s="7">
        <f>'1 datos preparados'!P596</f>
        <v/>
      </c>
      <c r="R603" s="7">
        <f>'1 datos preparados'!Q596</f>
        <v/>
      </c>
      <c r="S603" s="7">
        <f>'1 datos preparados'!R596</f>
        <v/>
      </c>
      <c r="T603" s="7">
        <f>'1 datos preparados'!S596</f>
        <v/>
      </c>
      <c r="U603" s="7">
        <f>'1 datos preparados'!T596</f>
        <v/>
      </c>
      <c r="V603" s="8">
        <f>$AC$12+D603*$AC$13+E603*$AC$14+F603*$AC$15+G603*$AC$16+H603*$AC$17+I603*$AC$18+J603*$AC$19+K603*$AC$20+L603*$AC$21+M603*$AC$22+N603*$AC$23+O603*$AC$24+P603*$AC$25+Q603*$AC$26+R603*$AC$27+S603*$AC$28+T603*$AC$29+U603*$AC$30</f>
        <v/>
      </c>
      <c r="W603" s="8">
        <f>1/(1+EXP(-V603))</f>
        <v/>
      </c>
      <c r="X603" s="9">
        <f>-IF(C603=1,LN(W603),LN(1-W603))</f>
        <v/>
      </c>
      <c r="Y603" s="10">
        <f>IF(W603&gt;$AC$33,1,0)</f>
        <v/>
      </c>
      <c r="Z603">
        <f>IF(Y603=C603,1,0)</f>
        <v/>
      </c>
    </row>
    <row r="604">
      <c r="A604">
        <f>'1 datos preparados'!A597</f>
        <v/>
      </c>
      <c r="B604" s="5">
        <f>'1 datos preparados'!U597</f>
        <v/>
      </c>
      <c r="C604">
        <f>'1 datos preparados'!B597</f>
        <v/>
      </c>
      <c r="D604" s="7">
        <f>'1 datos preparados'!C597</f>
        <v/>
      </c>
      <c r="E604" s="7">
        <f>'1 datos preparados'!D597</f>
        <v/>
      </c>
      <c r="F604" s="7">
        <f>'1 datos preparados'!E597</f>
        <v/>
      </c>
      <c r="G604" s="7">
        <f>'1 datos preparados'!F597</f>
        <v/>
      </c>
      <c r="H604" s="7">
        <f>'1 datos preparados'!G597</f>
        <v/>
      </c>
      <c r="I604" s="7">
        <f>'1 datos preparados'!H597</f>
        <v/>
      </c>
      <c r="J604" s="7">
        <f>'1 datos preparados'!I597</f>
        <v/>
      </c>
      <c r="K604" s="7">
        <f>'1 datos preparados'!J597</f>
        <v/>
      </c>
      <c r="L604" s="7">
        <f>'1 datos preparados'!K597</f>
        <v/>
      </c>
      <c r="M604" s="7">
        <f>'1 datos preparados'!L597</f>
        <v/>
      </c>
      <c r="N604" s="7">
        <f>'1 datos preparados'!M597</f>
        <v/>
      </c>
      <c r="O604" s="7">
        <f>'1 datos preparados'!N597</f>
        <v/>
      </c>
      <c r="P604" s="7">
        <f>'1 datos preparados'!O597</f>
        <v/>
      </c>
      <c r="Q604" s="7">
        <f>'1 datos preparados'!P597</f>
        <v/>
      </c>
      <c r="R604" s="7">
        <f>'1 datos preparados'!Q597</f>
        <v/>
      </c>
      <c r="S604" s="7">
        <f>'1 datos preparados'!R597</f>
        <v/>
      </c>
      <c r="T604" s="7">
        <f>'1 datos preparados'!S597</f>
        <v/>
      </c>
      <c r="U604" s="7">
        <f>'1 datos preparados'!T597</f>
        <v/>
      </c>
      <c r="V604" s="8">
        <f>$AC$12+D604*$AC$13+E604*$AC$14+F604*$AC$15+G604*$AC$16+H604*$AC$17+I604*$AC$18+J604*$AC$19+K604*$AC$20+L604*$AC$21+M604*$AC$22+N604*$AC$23+O604*$AC$24+P604*$AC$25+Q604*$AC$26+R604*$AC$27+S604*$AC$28+T604*$AC$29+U604*$AC$30</f>
        <v/>
      </c>
      <c r="W604" s="8">
        <f>1/(1+EXP(-V604))</f>
        <v/>
      </c>
      <c r="X604" s="9">
        <f>-IF(C604=1,LN(W604),LN(1-W604))</f>
        <v/>
      </c>
      <c r="Y604" s="10">
        <f>IF(W604&gt;$AC$33,1,0)</f>
        <v/>
      </c>
      <c r="Z604">
        <f>IF(Y604=C604,1,0)</f>
        <v/>
      </c>
    </row>
    <row r="605">
      <c r="A605">
        <f>'1 datos preparados'!A598</f>
        <v/>
      </c>
      <c r="B605" s="5">
        <f>'1 datos preparados'!U598</f>
        <v/>
      </c>
      <c r="C605">
        <f>'1 datos preparados'!B598</f>
        <v/>
      </c>
      <c r="D605" s="7">
        <f>'1 datos preparados'!C598</f>
        <v/>
      </c>
      <c r="E605" s="7">
        <f>'1 datos preparados'!D598</f>
        <v/>
      </c>
      <c r="F605" s="7">
        <f>'1 datos preparados'!E598</f>
        <v/>
      </c>
      <c r="G605" s="7">
        <f>'1 datos preparados'!F598</f>
        <v/>
      </c>
      <c r="H605" s="7">
        <f>'1 datos preparados'!G598</f>
        <v/>
      </c>
      <c r="I605" s="7">
        <f>'1 datos preparados'!H598</f>
        <v/>
      </c>
      <c r="J605" s="7">
        <f>'1 datos preparados'!I598</f>
        <v/>
      </c>
      <c r="K605" s="7">
        <f>'1 datos preparados'!J598</f>
        <v/>
      </c>
      <c r="L605" s="7">
        <f>'1 datos preparados'!K598</f>
        <v/>
      </c>
      <c r="M605" s="7">
        <f>'1 datos preparados'!L598</f>
        <v/>
      </c>
      <c r="N605" s="7">
        <f>'1 datos preparados'!M598</f>
        <v/>
      </c>
      <c r="O605" s="7">
        <f>'1 datos preparados'!N598</f>
        <v/>
      </c>
      <c r="P605" s="7">
        <f>'1 datos preparados'!O598</f>
        <v/>
      </c>
      <c r="Q605" s="7">
        <f>'1 datos preparados'!P598</f>
        <v/>
      </c>
      <c r="R605" s="7">
        <f>'1 datos preparados'!Q598</f>
        <v/>
      </c>
      <c r="S605" s="7">
        <f>'1 datos preparados'!R598</f>
        <v/>
      </c>
      <c r="T605" s="7">
        <f>'1 datos preparados'!S598</f>
        <v/>
      </c>
      <c r="U605" s="7">
        <f>'1 datos preparados'!T598</f>
        <v/>
      </c>
      <c r="V605" s="8">
        <f>$AC$12+D605*$AC$13+E605*$AC$14+F605*$AC$15+G605*$AC$16+H605*$AC$17+I605*$AC$18+J605*$AC$19+K605*$AC$20+L605*$AC$21+M605*$AC$22+N605*$AC$23+O605*$AC$24+P605*$AC$25+Q605*$AC$26+R605*$AC$27+S605*$AC$28+T605*$AC$29+U605*$AC$30</f>
        <v/>
      </c>
      <c r="W605" s="8">
        <f>1/(1+EXP(-V605))</f>
        <v/>
      </c>
      <c r="X605" s="9">
        <f>-IF(C605=1,LN(W605),LN(1-W605))</f>
        <v/>
      </c>
      <c r="Y605" s="10">
        <f>IF(W605&gt;$AC$33,1,0)</f>
        <v/>
      </c>
      <c r="Z605">
        <f>IF(Y605=C605,1,0)</f>
        <v/>
      </c>
    </row>
    <row r="606">
      <c r="A606">
        <f>'1 datos preparados'!A599</f>
        <v/>
      </c>
      <c r="B606" s="5">
        <f>'1 datos preparados'!U599</f>
        <v/>
      </c>
      <c r="C606">
        <f>'1 datos preparados'!B599</f>
        <v/>
      </c>
      <c r="D606" s="7">
        <f>'1 datos preparados'!C599</f>
        <v/>
      </c>
      <c r="E606" s="7">
        <f>'1 datos preparados'!D599</f>
        <v/>
      </c>
      <c r="F606" s="7">
        <f>'1 datos preparados'!E599</f>
        <v/>
      </c>
      <c r="G606" s="7">
        <f>'1 datos preparados'!F599</f>
        <v/>
      </c>
      <c r="H606" s="7">
        <f>'1 datos preparados'!G599</f>
        <v/>
      </c>
      <c r="I606" s="7">
        <f>'1 datos preparados'!H599</f>
        <v/>
      </c>
      <c r="J606" s="7">
        <f>'1 datos preparados'!I599</f>
        <v/>
      </c>
      <c r="K606" s="7">
        <f>'1 datos preparados'!J599</f>
        <v/>
      </c>
      <c r="L606" s="7">
        <f>'1 datos preparados'!K599</f>
        <v/>
      </c>
      <c r="M606" s="7">
        <f>'1 datos preparados'!L599</f>
        <v/>
      </c>
      <c r="N606" s="7">
        <f>'1 datos preparados'!M599</f>
        <v/>
      </c>
      <c r="O606" s="7">
        <f>'1 datos preparados'!N599</f>
        <v/>
      </c>
      <c r="P606" s="7">
        <f>'1 datos preparados'!O599</f>
        <v/>
      </c>
      <c r="Q606" s="7">
        <f>'1 datos preparados'!P599</f>
        <v/>
      </c>
      <c r="R606" s="7">
        <f>'1 datos preparados'!Q599</f>
        <v/>
      </c>
      <c r="S606" s="7">
        <f>'1 datos preparados'!R599</f>
        <v/>
      </c>
      <c r="T606" s="7">
        <f>'1 datos preparados'!S599</f>
        <v/>
      </c>
      <c r="U606" s="7">
        <f>'1 datos preparados'!T599</f>
        <v/>
      </c>
      <c r="V606" s="8">
        <f>$AC$12+D606*$AC$13+E606*$AC$14+F606*$AC$15+G606*$AC$16+H606*$AC$17+I606*$AC$18+J606*$AC$19+K606*$AC$20+L606*$AC$21+M606*$AC$22+N606*$AC$23+O606*$AC$24+P606*$AC$25+Q606*$AC$26+R606*$AC$27+S606*$AC$28+T606*$AC$29+U606*$AC$30</f>
        <v/>
      </c>
      <c r="W606" s="8">
        <f>1/(1+EXP(-V606))</f>
        <v/>
      </c>
      <c r="X606" s="9">
        <f>-IF(C606=1,LN(W606),LN(1-W606))</f>
        <v/>
      </c>
      <c r="Y606" s="10">
        <f>IF(W606&gt;$AC$33,1,0)</f>
        <v/>
      </c>
      <c r="Z606">
        <f>IF(Y606=C606,1,0)</f>
        <v/>
      </c>
    </row>
    <row r="607">
      <c r="A607">
        <f>'1 datos preparados'!A600</f>
        <v/>
      </c>
      <c r="B607" s="5">
        <f>'1 datos preparados'!U600</f>
        <v/>
      </c>
      <c r="C607">
        <f>'1 datos preparados'!B600</f>
        <v/>
      </c>
      <c r="D607" s="7">
        <f>'1 datos preparados'!C600</f>
        <v/>
      </c>
      <c r="E607" s="7">
        <f>'1 datos preparados'!D600</f>
        <v/>
      </c>
      <c r="F607" s="7">
        <f>'1 datos preparados'!E600</f>
        <v/>
      </c>
      <c r="G607" s="7">
        <f>'1 datos preparados'!F600</f>
        <v/>
      </c>
      <c r="H607" s="7">
        <f>'1 datos preparados'!G600</f>
        <v/>
      </c>
      <c r="I607" s="7">
        <f>'1 datos preparados'!H600</f>
        <v/>
      </c>
      <c r="J607" s="7">
        <f>'1 datos preparados'!I600</f>
        <v/>
      </c>
      <c r="K607" s="7">
        <f>'1 datos preparados'!J600</f>
        <v/>
      </c>
      <c r="L607" s="7">
        <f>'1 datos preparados'!K600</f>
        <v/>
      </c>
      <c r="M607" s="7">
        <f>'1 datos preparados'!L600</f>
        <v/>
      </c>
      <c r="N607" s="7">
        <f>'1 datos preparados'!M600</f>
        <v/>
      </c>
      <c r="O607" s="7">
        <f>'1 datos preparados'!N600</f>
        <v/>
      </c>
      <c r="P607" s="7">
        <f>'1 datos preparados'!O600</f>
        <v/>
      </c>
      <c r="Q607" s="7">
        <f>'1 datos preparados'!P600</f>
        <v/>
      </c>
      <c r="R607" s="7">
        <f>'1 datos preparados'!Q600</f>
        <v/>
      </c>
      <c r="S607" s="7">
        <f>'1 datos preparados'!R600</f>
        <v/>
      </c>
      <c r="T607" s="7">
        <f>'1 datos preparados'!S600</f>
        <v/>
      </c>
      <c r="U607" s="7">
        <f>'1 datos preparados'!T600</f>
        <v/>
      </c>
      <c r="V607" s="8">
        <f>$AC$12+D607*$AC$13+E607*$AC$14+F607*$AC$15+G607*$AC$16+H607*$AC$17+I607*$AC$18+J607*$AC$19+K607*$AC$20+L607*$AC$21+M607*$AC$22+N607*$AC$23+O607*$AC$24+P607*$AC$25+Q607*$AC$26+R607*$AC$27+S607*$AC$28+T607*$AC$29+U607*$AC$30</f>
        <v/>
      </c>
      <c r="W607" s="8">
        <f>1/(1+EXP(-V607))</f>
        <v/>
      </c>
      <c r="X607" s="9">
        <f>-IF(C607=1,LN(W607),LN(1-W607))</f>
        <v/>
      </c>
      <c r="Y607" s="10">
        <f>IF(W607&gt;$AC$33,1,0)</f>
        <v/>
      </c>
      <c r="Z607">
        <f>IF(Y607=C607,1,0)</f>
        <v/>
      </c>
    </row>
    <row r="608">
      <c r="A608">
        <f>'1 datos preparados'!A601</f>
        <v/>
      </c>
      <c r="B608" s="5">
        <f>'1 datos preparados'!U601</f>
        <v/>
      </c>
      <c r="C608">
        <f>'1 datos preparados'!B601</f>
        <v/>
      </c>
      <c r="D608" s="7">
        <f>'1 datos preparados'!C601</f>
        <v/>
      </c>
      <c r="E608" s="7">
        <f>'1 datos preparados'!D601</f>
        <v/>
      </c>
      <c r="F608" s="7">
        <f>'1 datos preparados'!E601</f>
        <v/>
      </c>
      <c r="G608" s="7">
        <f>'1 datos preparados'!F601</f>
        <v/>
      </c>
      <c r="H608" s="7">
        <f>'1 datos preparados'!G601</f>
        <v/>
      </c>
      <c r="I608" s="7">
        <f>'1 datos preparados'!H601</f>
        <v/>
      </c>
      <c r="J608" s="7">
        <f>'1 datos preparados'!I601</f>
        <v/>
      </c>
      <c r="K608" s="7">
        <f>'1 datos preparados'!J601</f>
        <v/>
      </c>
      <c r="L608" s="7">
        <f>'1 datos preparados'!K601</f>
        <v/>
      </c>
      <c r="M608" s="7">
        <f>'1 datos preparados'!L601</f>
        <v/>
      </c>
      <c r="N608" s="7">
        <f>'1 datos preparados'!M601</f>
        <v/>
      </c>
      <c r="O608" s="7">
        <f>'1 datos preparados'!N601</f>
        <v/>
      </c>
      <c r="P608" s="7">
        <f>'1 datos preparados'!O601</f>
        <v/>
      </c>
      <c r="Q608" s="7">
        <f>'1 datos preparados'!P601</f>
        <v/>
      </c>
      <c r="R608" s="7">
        <f>'1 datos preparados'!Q601</f>
        <v/>
      </c>
      <c r="S608" s="7">
        <f>'1 datos preparados'!R601</f>
        <v/>
      </c>
      <c r="T608" s="7">
        <f>'1 datos preparados'!S601</f>
        <v/>
      </c>
      <c r="U608" s="7">
        <f>'1 datos preparados'!T601</f>
        <v/>
      </c>
      <c r="V608" s="8">
        <f>$AC$12+D608*$AC$13+E608*$AC$14+F608*$AC$15+G608*$AC$16+H608*$AC$17+I608*$AC$18+J608*$AC$19+K608*$AC$20+L608*$AC$21+M608*$AC$22+N608*$AC$23+O608*$AC$24+P608*$AC$25+Q608*$AC$26+R608*$AC$27+S608*$AC$28+T608*$AC$29+U608*$AC$30</f>
        <v/>
      </c>
      <c r="W608" s="8">
        <f>1/(1+EXP(-V608))</f>
        <v/>
      </c>
      <c r="X608" s="9">
        <f>-IF(C608=1,LN(W608),LN(1-W608))</f>
        <v/>
      </c>
      <c r="Y608" s="10">
        <f>IF(W608&gt;$AC$33,1,0)</f>
        <v/>
      </c>
      <c r="Z608">
        <f>IF(Y608=C608,1,0)</f>
        <v/>
      </c>
    </row>
    <row r="609">
      <c r="A609">
        <f>'1 datos preparados'!A602</f>
        <v/>
      </c>
      <c r="B609" s="5">
        <f>'1 datos preparados'!U602</f>
        <v/>
      </c>
      <c r="C609">
        <f>'1 datos preparados'!B602</f>
        <v/>
      </c>
      <c r="D609" s="7">
        <f>'1 datos preparados'!C602</f>
        <v/>
      </c>
      <c r="E609" s="7">
        <f>'1 datos preparados'!D602</f>
        <v/>
      </c>
      <c r="F609" s="7">
        <f>'1 datos preparados'!E602</f>
        <v/>
      </c>
      <c r="G609" s="7">
        <f>'1 datos preparados'!F602</f>
        <v/>
      </c>
      <c r="H609" s="7">
        <f>'1 datos preparados'!G602</f>
        <v/>
      </c>
      <c r="I609" s="7">
        <f>'1 datos preparados'!H602</f>
        <v/>
      </c>
      <c r="J609" s="7">
        <f>'1 datos preparados'!I602</f>
        <v/>
      </c>
      <c r="K609" s="7">
        <f>'1 datos preparados'!J602</f>
        <v/>
      </c>
      <c r="L609" s="7">
        <f>'1 datos preparados'!K602</f>
        <v/>
      </c>
      <c r="M609" s="7">
        <f>'1 datos preparados'!L602</f>
        <v/>
      </c>
      <c r="N609" s="7">
        <f>'1 datos preparados'!M602</f>
        <v/>
      </c>
      <c r="O609" s="7">
        <f>'1 datos preparados'!N602</f>
        <v/>
      </c>
      <c r="P609" s="7">
        <f>'1 datos preparados'!O602</f>
        <v/>
      </c>
      <c r="Q609" s="7">
        <f>'1 datos preparados'!P602</f>
        <v/>
      </c>
      <c r="R609" s="7">
        <f>'1 datos preparados'!Q602</f>
        <v/>
      </c>
      <c r="S609" s="7">
        <f>'1 datos preparados'!R602</f>
        <v/>
      </c>
      <c r="T609" s="7">
        <f>'1 datos preparados'!S602</f>
        <v/>
      </c>
      <c r="U609" s="7">
        <f>'1 datos preparados'!T602</f>
        <v/>
      </c>
      <c r="V609" s="8">
        <f>$AC$12+D609*$AC$13+E609*$AC$14+F609*$AC$15+G609*$AC$16+H609*$AC$17+I609*$AC$18+J609*$AC$19+K609*$AC$20+L609*$AC$21+M609*$AC$22+N609*$AC$23+O609*$AC$24+P609*$AC$25+Q609*$AC$26+R609*$AC$27+S609*$AC$28+T609*$AC$29+U609*$AC$30</f>
        <v/>
      </c>
      <c r="W609" s="8">
        <f>1/(1+EXP(-V609))</f>
        <v/>
      </c>
      <c r="X609" s="9">
        <f>-IF(C609=1,LN(W609),LN(1-W609))</f>
        <v/>
      </c>
      <c r="Y609" s="10">
        <f>IF(W609&gt;$AC$33,1,0)</f>
        <v/>
      </c>
      <c r="Z609">
        <f>IF(Y609=C609,1,0)</f>
        <v/>
      </c>
    </row>
    <row r="610">
      <c r="A610">
        <f>'1 datos preparados'!A603</f>
        <v/>
      </c>
      <c r="B610" s="5">
        <f>'1 datos preparados'!U603</f>
        <v/>
      </c>
      <c r="C610">
        <f>'1 datos preparados'!B603</f>
        <v/>
      </c>
      <c r="D610" s="7">
        <f>'1 datos preparados'!C603</f>
        <v/>
      </c>
      <c r="E610" s="7">
        <f>'1 datos preparados'!D603</f>
        <v/>
      </c>
      <c r="F610" s="7">
        <f>'1 datos preparados'!E603</f>
        <v/>
      </c>
      <c r="G610" s="7">
        <f>'1 datos preparados'!F603</f>
        <v/>
      </c>
      <c r="H610" s="7">
        <f>'1 datos preparados'!G603</f>
        <v/>
      </c>
      <c r="I610" s="7">
        <f>'1 datos preparados'!H603</f>
        <v/>
      </c>
      <c r="J610" s="7">
        <f>'1 datos preparados'!I603</f>
        <v/>
      </c>
      <c r="K610" s="7">
        <f>'1 datos preparados'!J603</f>
        <v/>
      </c>
      <c r="L610" s="7">
        <f>'1 datos preparados'!K603</f>
        <v/>
      </c>
      <c r="M610" s="7">
        <f>'1 datos preparados'!L603</f>
        <v/>
      </c>
      <c r="N610" s="7">
        <f>'1 datos preparados'!M603</f>
        <v/>
      </c>
      <c r="O610" s="7">
        <f>'1 datos preparados'!N603</f>
        <v/>
      </c>
      <c r="P610" s="7">
        <f>'1 datos preparados'!O603</f>
        <v/>
      </c>
      <c r="Q610" s="7">
        <f>'1 datos preparados'!P603</f>
        <v/>
      </c>
      <c r="R610" s="7">
        <f>'1 datos preparados'!Q603</f>
        <v/>
      </c>
      <c r="S610" s="7">
        <f>'1 datos preparados'!R603</f>
        <v/>
      </c>
      <c r="T610" s="7">
        <f>'1 datos preparados'!S603</f>
        <v/>
      </c>
      <c r="U610" s="7">
        <f>'1 datos preparados'!T603</f>
        <v/>
      </c>
      <c r="V610" s="8">
        <f>$AC$12+D610*$AC$13+E610*$AC$14+F610*$AC$15+G610*$AC$16+H610*$AC$17+I610*$AC$18+J610*$AC$19+K610*$AC$20+L610*$AC$21+M610*$AC$22+N610*$AC$23+O610*$AC$24+P610*$AC$25+Q610*$AC$26+R610*$AC$27+S610*$AC$28+T610*$AC$29+U610*$AC$30</f>
        <v/>
      </c>
      <c r="W610" s="8">
        <f>1/(1+EXP(-V610))</f>
        <v/>
      </c>
      <c r="X610" s="9">
        <f>-IF(C610=1,LN(W610),LN(1-W610))</f>
        <v/>
      </c>
      <c r="Y610" s="10">
        <f>IF(W610&gt;$AC$33,1,0)</f>
        <v/>
      </c>
      <c r="Z610">
        <f>IF(Y610=C610,1,0)</f>
        <v/>
      </c>
    </row>
    <row r="611">
      <c r="A611">
        <f>'1 datos preparados'!A604</f>
        <v/>
      </c>
      <c r="B611" s="5">
        <f>'1 datos preparados'!U604</f>
        <v/>
      </c>
      <c r="C611">
        <f>'1 datos preparados'!B604</f>
        <v/>
      </c>
      <c r="D611" s="7">
        <f>'1 datos preparados'!C604</f>
        <v/>
      </c>
      <c r="E611" s="7">
        <f>'1 datos preparados'!D604</f>
        <v/>
      </c>
      <c r="F611" s="7">
        <f>'1 datos preparados'!E604</f>
        <v/>
      </c>
      <c r="G611" s="7">
        <f>'1 datos preparados'!F604</f>
        <v/>
      </c>
      <c r="H611" s="7">
        <f>'1 datos preparados'!G604</f>
        <v/>
      </c>
      <c r="I611" s="7">
        <f>'1 datos preparados'!H604</f>
        <v/>
      </c>
      <c r="J611" s="7">
        <f>'1 datos preparados'!I604</f>
        <v/>
      </c>
      <c r="K611" s="7">
        <f>'1 datos preparados'!J604</f>
        <v/>
      </c>
      <c r="L611" s="7">
        <f>'1 datos preparados'!K604</f>
        <v/>
      </c>
      <c r="M611" s="7">
        <f>'1 datos preparados'!L604</f>
        <v/>
      </c>
      <c r="N611" s="7">
        <f>'1 datos preparados'!M604</f>
        <v/>
      </c>
      <c r="O611" s="7">
        <f>'1 datos preparados'!N604</f>
        <v/>
      </c>
      <c r="P611" s="7">
        <f>'1 datos preparados'!O604</f>
        <v/>
      </c>
      <c r="Q611" s="7">
        <f>'1 datos preparados'!P604</f>
        <v/>
      </c>
      <c r="R611" s="7">
        <f>'1 datos preparados'!Q604</f>
        <v/>
      </c>
      <c r="S611" s="7">
        <f>'1 datos preparados'!R604</f>
        <v/>
      </c>
      <c r="T611" s="7">
        <f>'1 datos preparados'!S604</f>
        <v/>
      </c>
      <c r="U611" s="7">
        <f>'1 datos preparados'!T604</f>
        <v/>
      </c>
      <c r="V611" s="8">
        <f>$AC$12+D611*$AC$13+E611*$AC$14+F611*$AC$15+G611*$AC$16+H611*$AC$17+I611*$AC$18+J611*$AC$19+K611*$AC$20+L611*$AC$21+M611*$AC$22+N611*$AC$23+O611*$AC$24+P611*$AC$25+Q611*$AC$26+R611*$AC$27+S611*$AC$28+T611*$AC$29+U611*$AC$30</f>
        <v/>
      </c>
      <c r="W611" s="8">
        <f>1/(1+EXP(-V611))</f>
        <v/>
      </c>
      <c r="X611" s="9">
        <f>-IF(C611=1,LN(W611),LN(1-W611))</f>
        <v/>
      </c>
      <c r="Y611" s="10">
        <f>IF(W611&gt;$AC$33,1,0)</f>
        <v/>
      </c>
      <c r="Z611">
        <f>IF(Y611=C611,1,0)</f>
        <v/>
      </c>
    </row>
    <row r="612">
      <c r="A612">
        <f>'1 datos preparados'!A605</f>
        <v/>
      </c>
      <c r="B612" s="5">
        <f>'1 datos preparados'!U605</f>
        <v/>
      </c>
      <c r="C612">
        <f>'1 datos preparados'!B605</f>
        <v/>
      </c>
      <c r="D612" s="7">
        <f>'1 datos preparados'!C605</f>
        <v/>
      </c>
      <c r="E612" s="7">
        <f>'1 datos preparados'!D605</f>
        <v/>
      </c>
      <c r="F612" s="7">
        <f>'1 datos preparados'!E605</f>
        <v/>
      </c>
      <c r="G612" s="7">
        <f>'1 datos preparados'!F605</f>
        <v/>
      </c>
      <c r="H612" s="7">
        <f>'1 datos preparados'!G605</f>
        <v/>
      </c>
      <c r="I612" s="7">
        <f>'1 datos preparados'!H605</f>
        <v/>
      </c>
      <c r="J612" s="7">
        <f>'1 datos preparados'!I605</f>
        <v/>
      </c>
      <c r="K612" s="7">
        <f>'1 datos preparados'!J605</f>
        <v/>
      </c>
      <c r="L612" s="7">
        <f>'1 datos preparados'!K605</f>
        <v/>
      </c>
      <c r="M612" s="7">
        <f>'1 datos preparados'!L605</f>
        <v/>
      </c>
      <c r="N612" s="7">
        <f>'1 datos preparados'!M605</f>
        <v/>
      </c>
      <c r="O612" s="7">
        <f>'1 datos preparados'!N605</f>
        <v/>
      </c>
      <c r="P612" s="7">
        <f>'1 datos preparados'!O605</f>
        <v/>
      </c>
      <c r="Q612" s="7">
        <f>'1 datos preparados'!P605</f>
        <v/>
      </c>
      <c r="R612" s="7">
        <f>'1 datos preparados'!Q605</f>
        <v/>
      </c>
      <c r="S612" s="7">
        <f>'1 datos preparados'!R605</f>
        <v/>
      </c>
      <c r="T612" s="7">
        <f>'1 datos preparados'!S605</f>
        <v/>
      </c>
      <c r="U612" s="7">
        <f>'1 datos preparados'!T605</f>
        <v/>
      </c>
      <c r="V612" s="8">
        <f>$AC$12+D612*$AC$13+E612*$AC$14+F612*$AC$15+G612*$AC$16+H612*$AC$17+I612*$AC$18+J612*$AC$19+K612*$AC$20+L612*$AC$21+M612*$AC$22+N612*$AC$23+O612*$AC$24+P612*$AC$25+Q612*$AC$26+R612*$AC$27+S612*$AC$28+T612*$AC$29+U612*$AC$30</f>
        <v/>
      </c>
      <c r="W612" s="8">
        <f>1/(1+EXP(-V612))</f>
        <v/>
      </c>
      <c r="X612" s="9">
        <f>-IF(C612=1,LN(W612),LN(1-W612))</f>
        <v/>
      </c>
      <c r="Y612" s="10">
        <f>IF(W612&gt;$AC$33,1,0)</f>
        <v/>
      </c>
      <c r="Z612">
        <f>IF(Y612=C612,1,0)</f>
        <v/>
      </c>
    </row>
    <row r="613">
      <c r="A613">
        <f>'1 datos preparados'!A606</f>
        <v/>
      </c>
      <c r="B613" s="5">
        <f>'1 datos preparados'!U606</f>
        <v/>
      </c>
      <c r="C613">
        <f>'1 datos preparados'!B606</f>
        <v/>
      </c>
      <c r="D613" s="7">
        <f>'1 datos preparados'!C606</f>
        <v/>
      </c>
      <c r="E613" s="7">
        <f>'1 datos preparados'!D606</f>
        <v/>
      </c>
      <c r="F613" s="7">
        <f>'1 datos preparados'!E606</f>
        <v/>
      </c>
      <c r="G613" s="7">
        <f>'1 datos preparados'!F606</f>
        <v/>
      </c>
      <c r="H613" s="7">
        <f>'1 datos preparados'!G606</f>
        <v/>
      </c>
      <c r="I613" s="7">
        <f>'1 datos preparados'!H606</f>
        <v/>
      </c>
      <c r="J613" s="7">
        <f>'1 datos preparados'!I606</f>
        <v/>
      </c>
      <c r="K613" s="7">
        <f>'1 datos preparados'!J606</f>
        <v/>
      </c>
      <c r="L613" s="7">
        <f>'1 datos preparados'!K606</f>
        <v/>
      </c>
      <c r="M613" s="7">
        <f>'1 datos preparados'!L606</f>
        <v/>
      </c>
      <c r="N613" s="7">
        <f>'1 datos preparados'!M606</f>
        <v/>
      </c>
      <c r="O613" s="7">
        <f>'1 datos preparados'!N606</f>
        <v/>
      </c>
      <c r="P613" s="7">
        <f>'1 datos preparados'!O606</f>
        <v/>
      </c>
      <c r="Q613" s="7">
        <f>'1 datos preparados'!P606</f>
        <v/>
      </c>
      <c r="R613" s="7">
        <f>'1 datos preparados'!Q606</f>
        <v/>
      </c>
      <c r="S613" s="7">
        <f>'1 datos preparados'!R606</f>
        <v/>
      </c>
      <c r="T613" s="7">
        <f>'1 datos preparados'!S606</f>
        <v/>
      </c>
      <c r="U613" s="7">
        <f>'1 datos preparados'!T606</f>
        <v/>
      </c>
      <c r="V613" s="8">
        <f>$AC$12+D613*$AC$13+E613*$AC$14+F613*$AC$15+G613*$AC$16+H613*$AC$17+I613*$AC$18+J613*$AC$19+K613*$AC$20+L613*$AC$21+M613*$AC$22+N613*$AC$23+O613*$AC$24+P613*$AC$25+Q613*$AC$26+R613*$AC$27+S613*$AC$28+T613*$AC$29+U613*$AC$30</f>
        <v/>
      </c>
      <c r="W613" s="8">
        <f>1/(1+EXP(-V613))</f>
        <v/>
      </c>
      <c r="X613" s="9">
        <f>-IF(C613=1,LN(W613),LN(1-W613))</f>
        <v/>
      </c>
      <c r="Y613" s="10">
        <f>IF(W613&gt;$AC$33,1,0)</f>
        <v/>
      </c>
      <c r="Z613">
        <f>IF(Y613=C613,1,0)</f>
        <v/>
      </c>
    </row>
    <row r="614">
      <c r="A614">
        <f>'1 datos preparados'!A607</f>
        <v/>
      </c>
      <c r="B614" s="5">
        <f>'1 datos preparados'!U607</f>
        <v/>
      </c>
      <c r="C614">
        <f>'1 datos preparados'!B607</f>
        <v/>
      </c>
      <c r="D614" s="7">
        <f>'1 datos preparados'!C607</f>
        <v/>
      </c>
      <c r="E614" s="7">
        <f>'1 datos preparados'!D607</f>
        <v/>
      </c>
      <c r="F614" s="7">
        <f>'1 datos preparados'!E607</f>
        <v/>
      </c>
      <c r="G614" s="7">
        <f>'1 datos preparados'!F607</f>
        <v/>
      </c>
      <c r="H614" s="7">
        <f>'1 datos preparados'!G607</f>
        <v/>
      </c>
      <c r="I614" s="7">
        <f>'1 datos preparados'!H607</f>
        <v/>
      </c>
      <c r="J614" s="7">
        <f>'1 datos preparados'!I607</f>
        <v/>
      </c>
      <c r="K614" s="7">
        <f>'1 datos preparados'!J607</f>
        <v/>
      </c>
      <c r="L614" s="7">
        <f>'1 datos preparados'!K607</f>
        <v/>
      </c>
      <c r="M614" s="7">
        <f>'1 datos preparados'!L607</f>
        <v/>
      </c>
      <c r="N614" s="7">
        <f>'1 datos preparados'!M607</f>
        <v/>
      </c>
      <c r="O614" s="7">
        <f>'1 datos preparados'!N607</f>
        <v/>
      </c>
      <c r="P614" s="7">
        <f>'1 datos preparados'!O607</f>
        <v/>
      </c>
      <c r="Q614" s="7">
        <f>'1 datos preparados'!P607</f>
        <v/>
      </c>
      <c r="R614" s="7">
        <f>'1 datos preparados'!Q607</f>
        <v/>
      </c>
      <c r="S614" s="7">
        <f>'1 datos preparados'!R607</f>
        <v/>
      </c>
      <c r="T614" s="7">
        <f>'1 datos preparados'!S607</f>
        <v/>
      </c>
      <c r="U614" s="7">
        <f>'1 datos preparados'!T607</f>
        <v/>
      </c>
      <c r="V614" s="8">
        <f>$AC$12+D614*$AC$13+E614*$AC$14+F614*$AC$15+G614*$AC$16+H614*$AC$17+I614*$AC$18+J614*$AC$19+K614*$AC$20+L614*$AC$21+M614*$AC$22+N614*$AC$23+O614*$AC$24+P614*$AC$25+Q614*$AC$26+R614*$AC$27+S614*$AC$28+T614*$AC$29+U614*$AC$30</f>
        <v/>
      </c>
      <c r="W614" s="8">
        <f>1/(1+EXP(-V614))</f>
        <v/>
      </c>
      <c r="X614" s="9">
        <f>-IF(C614=1,LN(W614),LN(1-W614))</f>
        <v/>
      </c>
      <c r="Y614" s="10">
        <f>IF(W614&gt;$AC$33,1,0)</f>
        <v/>
      </c>
      <c r="Z614">
        <f>IF(Y614=C614,1,0)</f>
        <v/>
      </c>
    </row>
    <row r="615">
      <c r="A615">
        <f>'1 datos preparados'!A608</f>
        <v/>
      </c>
      <c r="B615" s="5">
        <f>'1 datos preparados'!U608</f>
        <v/>
      </c>
      <c r="C615">
        <f>'1 datos preparados'!B608</f>
        <v/>
      </c>
      <c r="D615" s="7">
        <f>'1 datos preparados'!C608</f>
        <v/>
      </c>
      <c r="E615" s="7">
        <f>'1 datos preparados'!D608</f>
        <v/>
      </c>
      <c r="F615" s="7">
        <f>'1 datos preparados'!E608</f>
        <v/>
      </c>
      <c r="G615" s="7">
        <f>'1 datos preparados'!F608</f>
        <v/>
      </c>
      <c r="H615" s="7">
        <f>'1 datos preparados'!G608</f>
        <v/>
      </c>
      <c r="I615" s="7">
        <f>'1 datos preparados'!H608</f>
        <v/>
      </c>
      <c r="J615" s="7">
        <f>'1 datos preparados'!I608</f>
        <v/>
      </c>
      <c r="K615" s="7">
        <f>'1 datos preparados'!J608</f>
        <v/>
      </c>
      <c r="L615" s="7">
        <f>'1 datos preparados'!K608</f>
        <v/>
      </c>
      <c r="M615" s="7">
        <f>'1 datos preparados'!L608</f>
        <v/>
      </c>
      <c r="N615" s="7">
        <f>'1 datos preparados'!M608</f>
        <v/>
      </c>
      <c r="O615" s="7">
        <f>'1 datos preparados'!N608</f>
        <v/>
      </c>
      <c r="P615" s="7">
        <f>'1 datos preparados'!O608</f>
        <v/>
      </c>
      <c r="Q615" s="7">
        <f>'1 datos preparados'!P608</f>
        <v/>
      </c>
      <c r="R615" s="7">
        <f>'1 datos preparados'!Q608</f>
        <v/>
      </c>
      <c r="S615" s="7">
        <f>'1 datos preparados'!R608</f>
        <v/>
      </c>
      <c r="T615" s="7">
        <f>'1 datos preparados'!S608</f>
        <v/>
      </c>
      <c r="U615" s="7">
        <f>'1 datos preparados'!T608</f>
        <v/>
      </c>
      <c r="V615" s="8">
        <f>$AC$12+D615*$AC$13+E615*$AC$14+F615*$AC$15+G615*$AC$16+H615*$AC$17+I615*$AC$18+J615*$AC$19+K615*$AC$20+L615*$AC$21+M615*$AC$22+N615*$AC$23+O615*$AC$24+P615*$AC$25+Q615*$AC$26+R615*$AC$27+S615*$AC$28+T615*$AC$29+U615*$AC$30</f>
        <v/>
      </c>
      <c r="W615" s="8">
        <f>1/(1+EXP(-V615))</f>
        <v/>
      </c>
      <c r="X615" s="9">
        <f>-IF(C615=1,LN(W615),LN(1-W615))</f>
        <v/>
      </c>
      <c r="Y615" s="10">
        <f>IF(W615&gt;$AC$33,1,0)</f>
        <v/>
      </c>
      <c r="Z615">
        <f>IF(Y615=C615,1,0)</f>
        <v/>
      </c>
    </row>
    <row r="616">
      <c r="A616">
        <f>'1 datos preparados'!A609</f>
        <v/>
      </c>
      <c r="B616" s="5">
        <f>'1 datos preparados'!U609</f>
        <v/>
      </c>
      <c r="C616">
        <f>'1 datos preparados'!B609</f>
        <v/>
      </c>
      <c r="D616" s="7">
        <f>'1 datos preparados'!C609</f>
        <v/>
      </c>
      <c r="E616" s="7">
        <f>'1 datos preparados'!D609</f>
        <v/>
      </c>
      <c r="F616" s="7">
        <f>'1 datos preparados'!E609</f>
        <v/>
      </c>
      <c r="G616" s="7">
        <f>'1 datos preparados'!F609</f>
        <v/>
      </c>
      <c r="H616" s="7">
        <f>'1 datos preparados'!G609</f>
        <v/>
      </c>
      <c r="I616" s="7">
        <f>'1 datos preparados'!H609</f>
        <v/>
      </c>
      <c r="J616" s="7">
        <f>'1 datos preparados'!I609</f>
        <v/>
      </c>
      <c r="K616" s="7">
        <f>'1 datos preparados'!J609</f>
        <v/>
      </c>
      <c r="L616" s="7">
        <f>'1 datos preparados'!K609</f>
        <v/>
      </c>
      <c r="M616" s="7">
        <f>'1 datos preparados'!L609</f>
        <v/>
      </c>
      <c r="N616" s="7">
        <f>'1 datos preparados'!M609</f>
        <v/>
      </c>
      <c r="O616" s="7">
        <f>'1 datos preparados'!N609</f>
        <v/>
      </c>
      <c r="P616" s="7">
        <f>'1 datos preparados'!O609</f>
        <v/>
      </c>
      <c r="Q616" s="7">
        <f>'1 datos preparados'!P609</f>
        <v/>
      </c>
      <c r="R616" s="7">
        <f>'1 datos preparados'!Q609</f>
        <v/>
      </c>
      <c r="S616" s="7">
        <f>'1 datos preparados'!R609</f>
        <v/>
      </c>
      <c r="T616" s="7">
        <f>'1 datos preparados'!S609</f>
        <v/>
      </c>
      <c r="U616" s="7">
        <f>'1 datos preparados'!T609</f>
        <v/>
      </c>
      <c r="V616" s="8">
        <f>$AC$12+D616*$AC$13+E616*$AC$14+F616*$AC$15+G616*$AC$16+H616*$AC$17+I616*$AC$18+J616*$AC$19+K616*$AC$20+L616*$AC$21+M616*$AC$22+N616*$AC$23+O616*$AC$24+P616*$AC$25+Q616*$AC$26+R616*$AC$27+S616*$AC$28+T616*$AC$29+U616*$AC$30</f>
        <v/>
      </c>
      <c r="W616" s="8">
        <f>1/(1+EXP(-V616))</f>
        <v/>
      </c>
      <c r="X616" s="9">
        <f>-IF(C616=1,LN(W616),LN(1-W616))</f>
        <v/>
      </c>
      <c r="Y616" s="10">
        <f>IF(W616&gt;$AC$33,1,0)</f>
        <v/>
      </c>
      <c r="Z616">
        <f>IF(Y616=C616,1,0)</f>
        <v/>
      </c>
    </row>
    <row r="617">
      <c r="A617">
        <f>'1 datos preparados'!A610</f>
        <v/>
      </c>
      <c r="B617" s="5">
        <f>'1 datos preparados'!U610</f>
        <v/>
      </c>
      <c r="C617">
        <f>'1 datos preparados'!B610</f>
        <v/>
      </c>
      <c r="D617" s="7">
        <f>'1 datos preparados'!C610</f>
        <v/>
      </c>
      <c r="E617" s="7">
        <f>'1 datos preparados'!D610</f>
        <v/>
      </c>
      <c r="F617" s="7">
        <f>'1 datos preparados'!E610</f>
        <v/>
      </c>
      <c r="G617" s="7">
        <f>'1 datos preparados'!F610</f>
        <v/>
      </c>
      <c r="H617" s="7">
        <f>'1 datos preparados'!G610</f>
        <v/>
      </c>
      <c r="I617" s="7">
        <f>'1 datos preparados'!H610</f>
        <v/>
      </c>
      <c r="J617" s="7">
        <f>'1 datos preparados'!I610</f>
        <v/>
      </c>
      <c r="K617" s="7">
        <f>'1 datos preparados'!J610</f>
        <v/>
      </c>
      <c r="L617" s="7">
        <f>'1 datos preparados'!K610</f>
        <v/>
      </c>
      <c r="M617" s="7">
        <f>'1 datos preparados'!L610</f>
        <v/>
      </c>
      <c r="N617" s="7">
        <f>'1 datos preparados'!M610</f>
        <v/>
      </c>
      <c r="O617" s="7">
        <f>'1 datos preparados'!N610</f>
        <v/>
      </c>
      <c r="P617" s="7">
        <f>'1 datos preparados'!O610</f>
        <v/>
      </c>
      <c r="Q617" s="7">
        <f>'1 datos preparados'!P610</f>
        <v/>
      </c>
      <c r="R617" s="7">
        <f>'1 datos preparados'!Q610</f>
        <v/>
      </c>
      <c r="S617" s="7">
        <f>'1 datos preparados'!R610</f>
        <v/>
      </c>
      <c r="T617" s="7">
        <f>'1 datos preparados'!S610</f>
        <v/>
      </c>
      <c r="U617" s="7">
        <f>'1 datos preparados'!T610</f>
        <v/>
      </c>
      <c r="V617" s="8">
        <f>$AC$12+D617*$AC$13+E617*$AC$14+F617*$AC$15+G617*$AC$16+H617*$AC$17+I617*$AC$18+J617*$AC$19+K617*$AC$20+L617*$AC$21+M617*$AC$22+N617*$AC$23+O617*$AC$24+P617*$AC$25+Q617*$AC$26+R617*$AC$27+S617*$AC$28+T617*$AC$29+U617*$AC$30</f>
        <v/>
      </c>
      <c r="W617" s="8">
        <f>1/(1+EXP(-V617))</f>
        <v/>
      </c>
      <c r="X617" s="9">
        <f>-IF(C617=1,LN(W617),LN(1-W617))</f>
        <v/>
      </c>
      <c r="Y617" s="10">
        <f>IF(W617&gt;$AC$33,1,0)</f>
        <v/>
      </c>
      <c r="Z617">
        <f>IF(Y617=C617,1,0)</f>
        <v/>
      </c>
    </row>
    <row r="618">
      <c r="A618">
        <f>'1 datos preparados'!A611</f>
        <v/>
      </c>
      <c r="B618" s="5">
        <f>'1 datos preparados'!U611</f>
        <v/>
      </c>
      <c r="C618">
        <f>'1 datos preparados'!B611</f>
        <v/>
      </c>
      <c r="D618" s="7">
        <f>'1 datos preparados'!C611</f>
        <v/>
      </c>
      <c r="E618" s="7">
        <f>'1 datos preparados'!D611</f>
        <v/>
      </c>
      <c r="F618" s="7">
        <f>'1 datos preparados'!E611</f>
        <v/>
      </c>
      <c r="G618" s="7">
        <f>'1 datos preparados'!F611</f>
        <v/>
      </c>
      <c r="H618" s="7">
        <f>'1 datos preparados'!G611</f>
        <v/>
      </c>
      <c r="I618" s="7">
        <f>'1 datos preparados'!H611</f>
        <v/>
      </c>
      <c r="J618" s="7">
        <f>'1 datos preparados'!I611</f>
        <v/>
      </c>
      <c r="K618" s="7">
        <f>'1 datos preparados'!J611</f>
        <v/>
      </c>
      <c r="L618" s="7">
        <f>'1 datos preparados'!K611</f>
        <v/>
      </c>
      <c r="M618" s="7">
        <f>'1 datos preparados'!L611</f>
        <v/>
      </c>
      <c r="N618" s="7">
        <f>'1 datos preparados'!M611</f>
        <v/>
      </c>
      <c r="O618" s="7">
        <f>'1 datos preparados'!N611</f>
        <v/>
      </c>
      <c r="P618" s="7">
        <f>'1 datos preparados'!O611</f>
        <v/>
      </c>
      <c r="Q618" s="7">
        <f>'1 datos preparados'!P611</f>
        <v/>
      </c>
      <c r="R618" s="7">
        <f>'1 datos preparados'!Q611</f>
        <v/>
      </c>
      <c r="S618" s="7">
        <f>'1 datos preparados'!R611</f>
        <v/>
      </c>
      <c r="T618" s="7">
        <f>'1 datos preparados'!S611</f>
        <v/>
      </c>
      <c r="U618" s="7">
        <f>'1 datos preparados'!T611</f>
        <v/>
      </c>
      <c r="V618" s="8">
        <f>$AC$12+D618*$AC$13+E618*$AC$14+F618*$AC$15+G618*$AC$16+H618*$AC$17+I618*$AC$18+J618*$AC$19+K618*$AC$20+L618*$AC$21+M618*$AC$22+N618*$AC$23+O618*$AC$24+P618*$AC$25+Q618*$AC$26+R618*$AC$27+S618*$AC$28+T618*$AC$29+U618*$AC$30</f>
        <v/>
      </c>
      <c r="W618" s="8">
        <f>1/(1+EXP(-V618))</f>
        <v/>
      </c>
      <c r="X618" s="9">
        <f>-IF(C618=1,LN(W618),LN(1-W618))</f>
        <v/>
      </c>
      <c r="Y618" s="10">
        <f>IF(W618&gt;$AC$33,1,0)</f>
        <v/>
      </c>
      <c r="Z618">
        <f>IF(Y618=C618,1,0)</f>
        <v/>
      </c>
    </row>
    <row r="619">
      <c r="A619">
        <f>'1 datos preparados'!A612</f>
        <v/>
      </c>
      <c r="B619" s="5">
        <f>'1 datos preparados'!U612</f>
        <v/>
      </c>
      <c r="C619">
        <f>'1 datos preparados'!B612</f>
        <v/>
      </c>
      <c r="D619" s="7">
        <f>'1 datos preparados'!C612</f>
        <v/>
      </c>
      <c r="E619" s="7">
        <f>'1 datos preparados'!D612</f>
        <v/>
      </c>
      <c r="F619" s="7">
        <f>'1 datos preparados'!E612</f>
        <v/>
      </c>
      <c r="G619" s="7">
        <f>'1 datos preparados'!F612</f>
        <v/>
      </c>
      <c r="H619" s="7">
        <f>'1 datos preparados'!G612</f>
        <v/>
      </c>
      <c r="I619" s="7">
        <f>'1 datos preparados'!H612</f>
        <v/>
      </c>
      <c r="J619" s="7">
        <f>'1 datos preparados'!I612</f>
        <v/>
      </c>
      <c r="K619" s="7">
        <f>'1 datos preparados'!J612</f>
        <v/>
      </c>
      <c r="L619" s="7">
        <f>'1 datos preparados'!K612</f>
        <v/>
      </c>
      <c r="M619" s="7">
        <f>'1 datos preparados'!L612</f>
        <v/>
      </c>
      <c r="N619" s="7">
        <f>'1 datos preparados'!M612</f>
        <v/>
      </c>
      <c r="O619" s="7">
        <f>'1 datos preparados'!N612</f>
        <v/>
      </c>
      <c r="P619" s="7">
        <f>'1 datos preparados'!O612</f>
        <v/>
      </c>
      <c r="Q619" s="7">
        <f>'1 datos preparados'!P612</f>
        <v/>
      </c>
      <c r="R619" s="7">
        <f>'1 datos preparados'!Q612</f>
        <v/>
      </c>
      <c r="S619" s="7">
        <f>'1 datos preparados'!R612</f>
        <v/>
      </c>
      <c r="T619" s="7">
        <f>'1 datos preparados'!S612</f>
        <v/>
      </c>
      <c r="U619" s="7">
        <f>'1 datos preparados'!T612</f>
        <v/>
      </c>
      <c r="V619" s="8">
        <f>$AC$12+D619*$AC$13+E619*$AC$14+F619*$AC$15+G619*$AC$16+H619*$AC$17+I619*$AC$18+J619*$AC$19+K619*$AC$20+L619*$AC$21+M619*$AC$22+N619*$AC$23+O619*$AC$24+P619*$AC$25+Q619*$AC$26+R619*$AC$27+S619*$AC$28+T619*$AC$29+U619*$AC$30</f>
        <v/>
      </c>
      <c r="W619" s="8">
        <f>1/(1+EXP(-V619))</f>
        <v/>
      </c>
      <c r="X619" s="9">
        <f>-IF(C619=1,LN(W619),LN(1-W619))</f>
        <v/>
      </c>
      <c r="Y619" s="10">
        <f>IF(W619&gt;$AC$33,1,0)</f>
        <v/>
      </c>
      <c r="Z619">
        <f>IF(Y619=C619,1,0)</f>
        <v/>
      </c>
    </row>
    <row r="620">
      <c r="A620">
        <f>'1 datos preparados'!A613</f>
        <v/>
      </c>
      <c r="B620" s="5">
        <f>'1 datos preparados'!U613</f>
        <v/>
      </c>
      <c r="C620">
        <f>'1 datos preparados'!B613</f>
        <v/>
      </c>
      <c r="D620" s="7">
        <f>'1 datos preparados'!C613</f>
        <v/>
      </c>
      <c r="E620" s="7">
        <f>'1 datos preparados'!D613</f>
        <v/>
      </c>
      <c r="F620" s="7">
        <f>'1 datos preparados'!E613</f>
        <v/>
      </c>
      <c r="G620" s="7">
        <f>'1 datos preparados'!F613</f>
        <v/>
      </c>
      <c r="H620" s="7">
        <f>'1 datos preparados'!G613</f>
        <v/>
      </c>
      <c r="I620" s="7">
        <f>'1 datos preparados'!H613</f>
        <v/>
      </c>
      <c r="J620" s="7">
        <f>'1 datos preparados'!I613</f>
        <v/>
      </c>
      <c r="K620" s="7">
        <f>'1 datos preparados'!J613</f>
        <v/>
      </c>
      <c r="L620" s="7">
        <f>'1 datos preparados'!K613</f>
        <v/>
      </c>
      <c r="M620" s="7">
        <f>'1 datos preparados'!L613</f>
        <v/>
      </c>
      <c r="N620" s="7">
        <f>'1 datos preparados'!M613</f>
        <v/>
      </c>
      <c r="O620" s="7">
        <f>'1 datos preparados'!N613</f>
        <v/>
      </c>
      <c r="P620" s="7">
        <f>'1 datos preparados'!O613</f>
        <v/>
      </c>
      <c r="Q620" s="7">
        <f>'1 datos preparados'!P613</f>
        <v/>
      </c>
      <c r="R620" s="7">
        <f>'1 datos preparados'!Q613</f>
        <v/>
      </c>
      <c r="S620" s="7">
        <f>'1 datos preparados'!R613</f>
        <v/>
      </c>
      <c r="T620" s="7">
        <f>'1 datos preparados'!S613</f>
        <v/>
      </c>
      <c r="U620" s="7">
        <f>'1 datos preparados'!T613</f>
        <v/>
      </c>
      <c r="V620" s="8">
        <f>$AC$12+D620*$AC$13+E620*$AC$14+F620*$AC$15+G620*$AC$16+H620*$AC$17+I620*$AC$18+J620*$AC$19+K620*$AC$20+L620*$AC$21+M620*$AC$22+N620*$AC$23+O620*$AC$24+P620*$AC$25+Q620*$AC$26+R620*$AC$27+S620*$AC$28+T620*$AC$29+U620*$AC$30</f>
        <v/>
      </c>
      <c r="W620" s="8">
        <f>1/(1+EXP(-V620))</f>
        <v/>
      </c>
      <c r="X620" s="9">
        <f>-IF(C620=1,LN(W620),LN(1-W620))</f>
        <v/>
      </c>
      <c r="Y620" s="10">
        <f>IF(W620&gt;$AC$33,1,0)</f>
        <v/>
      </c>
      <c r="Z620">
        <f>IF(Y620=C620,1,0)</f>
        <v/>
      </c>
    </row>
    <row r="621">
      <c r="A621">
        <f>'1 datos preparados'!A614</f>
        <v/>
      </c>
      <c r="B621" s="5">
        <f>'1 datos preparados'!U614</f>
        <v/>
      </c>
      <c r="C621">
        <f>'1 datos preparados'!B614</f>
        <v/>
      </c>
      <c r="D621" s="7">
        <f>'1 datos preparados'!C614</f>
        <v/>
      </c>
      <c r="E621" s="7">
        <f>'1 datos preparados'!D614</f>
        <v/>
      </c>
      <c r="F621" s="7">
        <f>'1 datos preparados'!E614</f>
        <v/>
      </c>
      <c r="G621" s="7">
        <f>'1 datos preparados'!F614</f>
        <v/>
      </c>
      <c r="H621" s="7">
        <f>'1 datos preparados'!G614</f>
        <v/>
      </c>
      <c r="I621" s="7">
        <f>'1 datos preparados'!H614</f>
        <v/>
      </c>
      <c r="J621" s="7">
        <f>'1 datos preparados'!I614</f>
        <v/>
      </c>
      <c r="K621" s="7">
        <f>'1 datos preparados'!J614</f>
        <v/>
      </c>
      <c r="L621" s="7">
        <f>'1 datos preparados'!K614</f>
        <v/>
      </c>
      <c r="M621" s="7">
        <f>'1 datos preparados'!L614</f>
        <v/>
      </c>
      <c r="N621" s="7">
        <f>'1 datos preparados'!M614</f>
        <v/>
      </c>
      <c r="O621" s="7">
        <f>'1 datos preparados'!N614</f>
        <v/>
      </c>
      <c r="P621" s="7">
        <f>'1 datos preparados'!O614</f>
        <v/>
      </c>
      <c r="Q621" s="7">
        <f>'1 datos preparados'!P614</f>
        <v/>
      </c>
      <c r="R621" s="7">
        <f>'1 datos preparados'!Q614</f>
        <v/>
      </c>
      <c r="S621" s="7">
        <f>'1 datos preparados'!R614</f>
        <v/>
      </c>
      <c r="T621" s="7">
        <f>'1 datos preparados'!S614</f>
        <v/>
      </c>
      <c r="U621" s="7">
        <f>'1 datos preparados'!T614</f>
        <v/>
      </c>
      <c r="V621" s="8">
        <f>$AC$12+D621*$AC$13+E621*$AC$14+F621*$AC$15+G621*$AC$16+H621*$AC$17+I621*$AC$18+J621*$AC$19+K621*$AC$20+L621*$AC$21+M621*$AC$22+N621*$AC$23+O621*$AC$24+P621*$AC$25+Q621*$AC$26+R621*$AC$27+S621*$AC$28+T621*$AC$29+U621*$AC$30</f>
        <v/>
      </c>
      <c r="W621" s="8">
        <f>1/(1+EXP(-V621))</f>
        <v/>
      </c>
      <c r="X621" s="9">
        <f>-IF(C621=1,LN(W621),LN(1-W621))</f>
        <v/>
      </c>
      <c r="Y621" s="10">
        <f>IF(W621&gt;$AC$33,1,0)</f>
        <v/>
      </c>
      <c r="Z621">
        <f>IF(Y621=C621,1,0)</f>
        <v/>
      </c>
    </row>
    <row r="622">
      <c r="A622">
        <f>'1 datos preparados'!A615</f>
        <v/>
      </c>
      <c r="B622" s="5">
        <f>'1 datos preparados'!U615</f>
        <v/>
      </c>
      <c r="C622">
        <f>'1 datos preparados'!B615</f>
        <v/>
      </c>
      <c r="D622" s="7">
        <f>'1 datos preparados'!C615</f>
        <v/>
      </c>
      <c r="E622" s="7">
        <f>'1 datos preparados'!D615</f>
        <v/>
      </c>
      <c r="F622" s="7">
        <f>'1 datos preparados'!E615</f>
        <v/>
      </c>
      <c r="G622" s="7">
        <f>'1 datos preparados'!F615</f>
        <v/>
      </c>
      <c r="H622" s="7">
        <f>'1 datos preparados'!G615</f>
        <v/>
      </c>
      <c r="I622" s="7">
        <f>'1 datos preparados'!H615</f>
        <v/>
      </c>
      <c r="J622" s="7">
        <f>'1 datos preparados'!I615</f>
        <v/>
      </c>
      <c r="K622" s="7">
        <f>'1 datos preparados'!J615</f>
        <v/>
      </c>
      <c r="L622" s="7">
        <f>'1 datos preparados'!K615</f>
        <v/>
      </c>
      <c r="M622" s="7">
        <f>'1 datos preparados'!L615</f>
        <v/>
      </c>
      <c r="N622" s="7">
        <f>'1 datos preparados'!M615</f>
        <v/>
      </c>
      <c r="O622" s="7">
        <f>'1 datos preparados'!N615</f>
        <v/>
      </c>
      <c r="P622" s="7">
        <f>'1 datos preparados'!O615</f>
        <v/>
      </c>
      <c r="Q622" s="7">
        <f>'1 datos preparados'!P615</f>
        <v/>
      </c>
      <c r="R622" s="7">
        <f>'1 datos preparados'!Q615</f>
        <v/>
      </c>
      <c r="S622" s="7">
        <f>'1 datos preparados'!R615</f>
        <v/>
      </c>
      <c r="T622" s="7">
        <f>'1 datos preparados'!S615</f>
        <v/>
      </c>
      <c r="U622" s="7">
        <f>'1 datos preparados'!T615</f>
        <v/>
      </c>
      <c r="V622" s="8">
        <f>$AC$12+D622*$AC$13+E622*$AC$14+F622*$AC$15+G622*$AC$16+H622*$AC$17+I622*$AC$18+J622*$AC$19+K622*$AC$20+L622*$AC$21+M622*$AC$22+N622*$AC$23+O622*$AC$24+P622*$AC$25+Q622*$AC$26+R622*$AC$27+S622*$AC$28+T622*$AC$29+U622*$AC$30</f>
        <v/>
      </c>
      <c r="W622" s="8">
        <f>1/(1+EXP(-V622))</f>
        <v/>
      </c>
      <c r="X622" s="9">
        <f>-IF(C622=1,LN(W622),LN(1-W622))</f>
        <v/>
      </c>
      <c r="Y622" s="10">
        <f>IF(W622&gt;$AC$33,1,0)</f>
        <v/>
      </c>
      <c r="Z622">
        <f>IF(Y622=C622,1,0)</f>
        <v/>
      </c>
    </row>
    <row r="623">
      <c r="A623">
        <f>'1 datos preparados'!A616</f>
        <v/>
      </c>
      <c r="B623" s="5">
        <f>'1 datos preparados'!U616</f>
        <v/>
      </c>
      <c r="C623">
        <f>'1 datos preparados'!B616</f>
        <v/>
      </c>
      <c r="D623" s="7">
        <f>'1 datos preparados'!C616</f>
        <v/>
      </c>
      <c r="E623" s="7">
        <f>'1 datos preparados'!D616</f>
        <v/>
      </c>
      <c r="F623" s="7">
        <f>'1 datos preparados'!E616</f>
        <v/>
      </c>
      <c r="G623" s="7">
        <f>'1 datos preparados'!F616</f>
        <v/>
      </c>
      <c r="H623" s="7">
        <f>'1 datos preparados'!G616</f>
        <v/>
      </c>
      <c r="I623" s="7">
        <f>'1 datos preparados'!H616</f>
        <v/>
      </c>
      <c r="J623" s="7">
        <f>'1 datos preparados'!I616</f>
        <v/>
      </c>
      <c r="K623" s="7">
        <f>'1 datos preparados'!J616</f>
        <v/>
      </c>
      <c r="L623" s="7">
        <f>'1 datos preparados'!K616</f>
        <v/>
      </c>
      <c r="M623" s="7">
        <f>'1 datos preparados'!L616</f>
        <v/>
      </c>
      <c r="N623" s="7">
        <f>'1 datos preparados'!M616</f>
        <v/>
      </c>
      <c r="O623" s="7">
        <f>'1 datos preparados'!N616</f>
        <v/>
      </c>
      <c r="P623" s="7">
        <f>'1 datos preparados'!O616</f>
        <v/>
      </c>
      <c r="Q623" s="7">
        <f>'1 datos preparados'!P616</f>
        <v/>
      </c>
      <c r="R623" s="7">
        <f>'1 datos preparados'!Q616</f>
        <v/>
      </c>
      <c r="S623" s="7">
        <f>'1 datos preparados'!R616</f>
        <v/>
      </c>
      <c r="T623" s="7">
        <f>'1 datos preparados'!S616</f>
        <v/>
      </c>
      <c r="U623" s="7">
        <f>'1 datos preparados'!T616</f>
        <v/>
      </c>
      <c r="V623" s="8">
        <f>$AC$12+D623*$AC$13+E623*$AC$14+F623*$AC$15+G623*$AC$16+H623*$AC$17+I623*$AC$18+J623*$AC$19+K623*$AC$20+L623*$AC$21+M623*$AC$22+N623*$AC$23+O623*$AC$24+P623*$AC$25+Q623*$AC$26+R623*$AC$27+S623*$AC$28+T623*$AC$29+U623*$AC$30</f>
        <v/>
      </c>
      <c r="W623" s="8">
        <f>1/(1+EXP(-V623))</f>
        <v/>
      </c>
      <c r="X623" s="9">
        <f>-IF(C623=1,LN(W623),LN(1-W623))</f>
        <v/>
      </c>
      <c r="Y623" s="10">
        <f>IF(W623&gt;$AC$33,1,0)</f>
        <v/>
      </c>
      <c r="Z623">
        <f>IF(Y623=C623,1,0)</f>
        <v/>
      </c>
    </row>
    <row r="624">
      <c r="A624">
        <f>'1 datos preparados'!A617</f>
        <v/>
      </c>
      <c r="B624" s="5">
        <f>'1 datos preparados'!U617</f>
        <v/>
      </c>
      <c r="C624">
        <f>'1 datos preparados'!B617</f>
        <v/>
      </c>
      <c r="D624" s="7">
        <f>'1 datos preparados'!C617</f>
        <v/>
      </c>
      <c r="E624" s="7">
        <f>'1 datos preparados'!D617</f>
        <v/>
      </c>
      <c r="F624" s="7">
        <f>'1 datos preparados'!E617</f>
        <v/>
      </c>
      <c r="G624" s="7">
        <f>'1 datos preparados'!F617</f>
        <v/>
      </c>
      <c r="H624" s="7">
        <f>'1 datos preparados'!G617</f>
        <v/>
      </c>
      <c r="I624" s="7">
        <f>'1 datos preparados'!H617</f>
        <v/>
      </c>
      <c r="J624" s="7">
        <f>'1 datos preparados'!I617</f>
        <v/>
      </c>
      <c r="K624" s="7">
        <f>'1 datos preparados'!J617</f>
        <v/>
      </c>
      <c r="L624" s="7">
        <f>'1 datos preparados'!K617</f>
        <v/>
      </c>
      <c r="M624" s="7">
        <f>'1 datos preparados'!L617</f>
        <v/>
      </c>
      <c r="N624" s="7">
        <f>'1 datos preparados'!M617</f>
        <v/>
      </c>
      <c r="O624" s="7">
        <f>'1 datos preparados'!N617</f>
        <v/>
      </c>
      <c r="P624" s="7">
        <f>'1 datos preparados'!O617</f>
        <v/>
      </c>
      <c r="Q624" s="7">
        <f>'1 datos preparados'!P617</f>
        <v/>
      </c>
      <c r="R624" s="7">
        <f>'1 datos preparados'!Q617</f>
        <v/>
      </c>
      <c r="S624" s="7">
        <f>'1 datos preparados'!R617</f>
        <v/>
      </c>
      <c r="T624" s="7">
        <f>'1 datos preparados'!S617</f>
        <v/>
      </c>
      <c r="U624" s="7">
        <f>'1 datos preparados'!T617</f>
        <v/>
      </c>
      <c r="V624" s="8">
        <f>$AC$12+D624*$AC$13+E624*$AC$14+F624*$AC$15+G624*$AC$16+H624*$AC$17+I624*$AC$18+J624*$AC$19+K624*$AC$20+L624*$AC$21+M624*$AC$22+N624*$AC$23+O624*$AC$24+P624*$AC$25+Q624*$AC$26+R624*$AC$27+S624*$AC$28+T624*$AC$29+U624*$AC$30</f>
        <v/>
      </c>
      <c r="W624" s="8">
        <f>1/(1+EXP(-V624))</f>
        <v/>
      </c>
      <c r="X624" s="9">
        <f>-IF(C624=1,LN(W624),LN(1-W624))</f>
        <v/>
      </c>
      <c r="Y624" s="10">
        <f>IF(W624&gt;$AC$33,1,0)</f>
        <v/>
      </c>
      <c r="Z624">
        <f>IF(Y624=C624,1,0)</f>
        <v/>
      </c>
    </row>
    <row r="625">
      <c r="A625">
        <f>'1 datos preparados'!A618</f>
        <v/>
      </c>
      <c r="B625" s="5">
        <f>'1 datos preparados'!U618</f>
        <v/>
      </c>
      <c r="C625">
        <f>'1 datos preparados'!B618</f>
        <v/>
      </c>
      <c r="D625" s="7">
        <f>'1 datos preparados'!C618</f>
        <v/>
      </c>
      <c r="E625" s="7">
        <f>'1 datos preparados'!D618</f>
        <v/>
      </c>
      <c r="F625" s="7">
        <f>'1 datos preparados'!E618</f>
        <v/>
      </c>
      <c r="G625" s="7">
        <f>'1 datos preparados'!F618</f>
        <v/>
      </c>
      <c r="H625" s="7">
        <f>'1 datos preparados'!G618</f>
        <v/>
      </c>
      <c r="I625" s="7">
        <f>'1 datos preparados'!H618</f>
        <v/>
      </c>
      <c r="J625" s="7">
        <f>'1 datos preparados'!I618</f>
        <v/>
      </c>
      <c r="K625" s="7">
        <f>'1 datos preparados'!J618</f>
        <v/>
      </c>
      <c r="L625" s="7">
        <f>'1 datos preparados'!K618</f>
        <v/>
      </c>
      <c r="M625" s="7">
        <f>'1 datos preparados'!L618</f>
        <v/>
      </c>
      <c r="N625" s="7">
        <f>'1 datos preparados'!M618</f>
        <v/>
      </c>
      <c r="O625" s="7">
        <f>'1 datos preparados'!N618</f>
        <v/>
      </c>
      <c r="P625" s="7">
        <f>'1 datos preparados'!O618</f>
        <v/>
      </c>
      <c r="Q625" s="7">
        <f>'1 datos preparados'!P618</f>
        <v/>
      </c>
      <c r="R625" s="7">
        <f>'1 datos preparados'!Q618</f>
        <v/>
      </c>
      <c r="S625" s="7">
        <f>'1 datos preparados'!R618</f>
        <v/>
      </c>
      <c r="T625" s="7">
        <f>'1 datos preparados'!S618</f>
        <v/>
      </c>
      <c r="U625" s="7">
        <f>'1 datos preparados'!T618</f>
        <v/>
      </c>
      <c r="V625" s="8">
        <f>$AC$12+D625*$AC$13+E625*$AC$14+F625*$AC$15+G625*$AC$16+H625*$AC$17+I625*$AC$18+J625*$AC$19+K625*$AC$20+L625*$AC$21+M625*$AC$22+N625*$AC$23+O625*$AC$24+P625*$AC$25+Q625*$AC$26+R625*$AC$27+S625*$AC$28+T625*$AC$29+U625*$AC$30</f>
        <v/>
      </c>
      <c r="W625" s="8">
        <f>1/(1+EXP(-V625))</f>
        <v/>
      </c>
      <c r="X625" s="9">
        <f>-IF(C625=1,LN(W625),LN(1-W625))</f>
        <v/>
      </c>
      <c r="Y625" s="10">
        <f>IF(W625&gt;$AC$33,1,0)</f>
        <v/>
      </c>
      <c r="Z625">
        <f>IF(Y625=C625,1,0)</f>
        <v/>
      </c>
    </row>
    <row r="626">
      <c r="A626">
        <f>'1 datos preparados'!A619</f>
        <v/>
      </c>
      <c r="B626" s="5">
        <f>'1 datos preparados'!U619</f>
        <v/>
      </c>
      <c r="C626">
        <f>'1 datos preparados'!B619</f>
        <v/>
      </c>
      <c r="D626" s="7">
        <f>'1 datos preparados'!C619</f>
        <v/>
      </c>
      <c r="E626" s="7">
        <f>'1 datos preparados'!D619</f>
        <v/>
      </c>
      <c r="F626" s="7">
        <f>'1 datos preparados'!E619</f>
        <v/>
      </c>
      <c r="G626" s="7">
        <f>'1 datos preparados'!F619</f>
        <v/>
      </c>
      <c r="H626" s="7">
        <f>'1 datos preparados'!G619</f>
        <v/>
      </c>
      <c r="I626" s="7">
        <f>'1 datos preparados'!H619</f>
        <v/>
      </c>
      <c r="J626" s="7">
        <f>'1 datos preparados'!I619</f>
        <v/>
      </c>
      <c r="K626" s="7">
        <f>'1 datos preparados'!J619</f>
        <v/>
      </c>
      <c r="L626" s="7">
        <f>'1 datos preparados'!K619</f>
        <v/>
      </c>
      <c r="M626" s="7">
        <f>'1 datos preparados'!L619</f>
        <v/>
      </c>
      <c r="N626" s="7">
        <f>'1 datos preparados'!M619</f>
        <v/>
      </c>
      <c r="O626" s="7">
        <f>'1 datos preparados'!N619</f>
        <v/>
      </c>
      <c r="P626" s="7">
        <f>'1 datos preparados'!O619</f>
        <v/>
      </c>
      <c r="Q626" s="7">
        <f>'1 datos preparados'!P619</f>
        <v/>
      </c>
      <c r="R626" s="7">
        <f>'1 datos preparados'!Q619</f>
        <v/>
      </c>
      <c r="S626" s="7">
        <f>'1 datos preparados'!R619</f>
        <v/>
      </c>
      <c r="T626" s="7">
        <f>'1 datos preparados'!S619</f>
        <v/>
      </c>
      <c r="U626" s="7">
        <f>'1 datos preparados'!T619</f>
        <v/>
      </c>
      <c r="V626" s="8">
        <f>$AC$12+D626*$AC$13+E626*$AC$14+F626*$AC$15+G626*$AC$16+H626*$AC$17+I626*$AC$18+J626*$AC$19+K626*$AC$20+L626*$AC$21+M626*$AC$22+N626*$AC$23+O626*$AC$24+P626*$AC$25+Q626*$AC$26+R626*$AC$27+S626*$AC$28+T626*$AC$29+U626*$AC$30</f>
        <v/>
      </c>
      <c r="W626" s="8">
        <f>1/(1+EXP(-V626))</f>
        <v/>
      </c>
      <c r="X626" s="9">
        <f>-IF(C626=1,LN(W626),LN(1-W626))</f>
        <v/>
      </c>
      <c r="Y626" s="10">
        <f>IF(W626&gt;$AC$33,1,0)</f>
        <v/>
      </c>
      <c r="Z626">
        <f>IF(Y626=C626,1,0)</f>
        <v/>
      </c>
    </row>
    <row r="627">
      <c r="A627">
        <f>'1 datos preparados'!A620</f>
        <v/>
      </c>
      <c r="B627" s="5">
        <f>'1 datos preparados'!U620</f>
        <v/>
      </c>
      <c r="C627">
        <f>'1 datos preparados'!B620</f>
        <v/>
      </c>
      <c r="D627" s="7">
        <f>'1 datos preparados'!C620</f>
        <v/>
      </c>
      <c r="E627" s="7">
        <f>'1 datos preparados'!D620</f>
        <v/>
      </c>
      <c r="F627" s="7">
        <f>'1 datos preparados'!E620</f>
        <v/>
      </c>
      <c r="G627" s="7">
        <f>'1 datos preparados'!F620</f>
        <v/>
      </c>
      <c r="H627" s="7">
        <f>'1 datos preparados'!G620</f>
        <v/>
      </c>
      <c r="I627" s="7">
        <f>'1 datos preparados'!H620</f>
        <v/>
      </c>
      <c r="J627" s="7">
        <f>'1 datos preparados'!I620</f>
        <v/>
      </c>
      <c r="K627" s="7">
        <f>'1 datos preparados'!J620</f>
        <v/>
      </c>
      <c r="L627" s="7">
        <f>'1 datos preparados'!K620</f>
        <v/>
      </c>
      <c r="M627" s="7">
        <f>'1 datos preparados'!L620</f>
        <v/>
      </c>
      <c r="N627" s="7">
        <f>'1 datos preparados'!M620</f>
        <v/>
      </c>
      <c r="O627" s="7">
        <f>'1 datos preparados'!N620</f>
        <v/>
      </c>
      <c r="P627" s="7">
        <f>'1 datos preparados'!O620</f>
        <v/>
      </c>
      <c r="Q627" s="7">
        <f>'1 datos preparados'!P620</f>
        <v/>
      </c>
      <c r="R627" s="7">
        <f>'1 datos preparados'!Q620</f>
        <v/>
      </c>
      <c r="S627" s="7">
        <f>'1 datos preparados'!R620</f>
        <v/>
      </c>
      <c r="T627" s="7">
        <f>'1 datos preparados'!S620</f>
        <v/>
      </c>
      <c r="U627" s="7">
        <f>'1 datos preparados'!T620</f>
        <v/>
      </c>
      <c r="V627" s="8">
        <f>$AC$12+D627*$AC$13+E627*$AC$14+F627*$AC$15+G627*$AC$16+H627*$AC$17+I627*$AC$18+J627*$AC$19+K627*$AC$20+L627*$AC$21+M627*$AC$22+N627*$AC$23+O627*$AC$24+P627*$AC$25+Q627*$AC$26+R627*$AC$27+S627*$AC$28+T627*$AC$29+U627*$AC$30</f>
        <v/>
      </c>
      <c r="W627" s="8">
        <f>1/(1+EXP(-V627))</f>
        <v/>
      </c>
      <c r="X627" s="9">
        <f>-IF(C627=1,LN(W627),LN(1-W627))</f>
        <v/>
      </c>
      <c r="Y627" s="10">
        <f>IF(W627&gt;$AC$33,1,0)</f>
        <v/>
      </c>
      <c r="Z627">
        <f>IF(Y627=C627,1,0)</f>
        <v/>
      </c>
    </row>
    <row r="628">
      <c r="A628">
        <f>'1 datos preparados'!A621</f>
        <v/>
      </c>
      <c r="B628" s="5">
        <f>'1 datos preparados'!U621</f>
        <v/>
      </c>
      <c r="C628">
        <f>'1 datos preparados'!B621</f>
        <v/>
      </c>
      <c r="D628" s="7">
        <f>'1 datos preparados'!C621</f>
        <v/>
      </c>
      <c r="E628" s="7">
        <f>'1 datos preparados'!D621</f>
        <v/>
      </c>
      <c r="F628" s="7">
        <f>'1 datos preparados'!E621</f>
        <v/>
      </c>
      <c r="G628" s="7">
        <f>'1 datos preparados'!F621</f>
        <v/>
      </c>
      <c r="H628" s="7">
        <f>'1 datos preparados'!G621</f>
        <v/>
      </c>
      <c r="I628" s="7">
        <f>'1 datos preparados'!H621</f>
        <v/>
      </c>
      <c r="J628" s="7">
        <f>'1 datos preparados'!I621</f>
        <v/>
      </c>
      <c r="K628" s="7">
        <f>'1 datos preparados'!J621</f>
        <v/>
      </c>
      <c r="L628" s="7">
        <f>'1 datos preparados'!K621</f>
        <v/>
      </c>
      <c r="M628" s="7">
        <f>'1 datos preparados'!L621</f>
        <v/>
      </c>
      <c r="N628" s="7">
        <f>'1 datos preparados'!M621</f>
        <v/>
      </c>
      <c r="O628" s="7">
        <f>'1 datos preparados'!N621</f>
        <v/>
      </c>
      <c r="P628" s="7">
        <f>'1 datos preparados'!O621</f>
        <v/>
      </c>
      <c r="Q628" s="7">
        <f>'1 datos preparados'!P621</f>
        <v/>
      </c>
      <c r="R628" s="7">
        <f>'1 datos preparados'!Q621</f>
        <v/>
      </c>
      <c r="S628" s="7">
        <f>'1 datos preparados'!R621</f>
        <v/>
      </c>
      <c r="T628" s="7">
        <f>'1 datos preparados'!S621</f>
        <v/>
      </c>
      <c r="U628" s="7">
        <f>'1 datos preparados'!T621</f>
        <v/>
      </c>
      <c r="V628" s="8">
        <f>$AC$12+D628*$AC$13+E628*$AC$14+F628*$AC$15+G628*$AC$16+H628*$AC$17+I628*$AC$18+J628*$AC$19+K628*$AC$20+L628*$AC$21+M628*$AC$22+N628*$AC$23+O628*$AC$24+P628*$AC$25+Q628*$AC$26+R628*$AC$27+S628*$AC$28+T628*$AC$29+U628*$AC$30</f>
        <v/>
      </c>
      <c r="W628" s="8">
        <f>1/(1+EXP(-V628))</f>
        <v/>
      </c>
      <c r="X628" s="9">
        <f>-IF(C628=1,LN(W628),LN(1-W628))</f>
        <v/>
      </c>
      <c r="Y628" s="10">
        <f>IF(W628&gt;$AC$33,1,0)</f>
        <v/>
      </c>
      <c r="Z628">
        <f>IF(Y628=C628,1,0)</f>
        <v/>
      </c>
    </row>
    <row r="629">
      <c r="A629">
        <f>'1 datos preparados'!A622</f>
        <v/>
      </c>
      <c r="B629" s="5">
        <f>'1 datos preparados'!U622</f>
        <v/>
      </c>
      <c r="C629">
        <f>'1 datos preparados'!B622</f>
        <v/>
      </c>
      <c r="D629" s="7">
        <f>'1 datos preparados'!C622</f>
        <v/>
      </c>
      <c r="E629" s="7">
        <f>'1 datos preparados'!D622</f>
        <v/>
      </c>
      <c r="F629" s="7">
        <f>'1 datos preparados'!E622</f>
        <v/>
      </c>
      <c r="G629" s="7">
        <f>'1 datos preparados'!F622</f>
        <v/>
      </c>
      <c r="H629" s="7">
        <f>'1 datos preparados'!G622</f>
        <v/>
      </c>
      <c r="I629" s="7">
        <f>'1 datos preparados'!H622</f>
        <v/>
      </c>
      <c r="J629" s="7">
        <f>'1 datos preparados'!I622</f>
        <v/>
      </c>
      <c r="K629" s="7">
        <f>'1 datos preparados'!J622</f>
        <v/>
      </c>
      <c r="L629" s="7">
        <f>'1 datos preparados'!K622</f>
        <v/>
      </c>
      <c r="M629" s="7">
        <f>'1 datos preparados'!L622</f>
        <v/>
      </c>
      <c r="N629" s="7">
        <f>'1 datos preparados'!M622</f>
        <v/>
      </c>
      <c r="O629" s="7">
        <f>'1 datos preparados'!N622</f>
        <v/>
      </c>
      <c r="P629" s="7">
        <f>'1 datos preparados'!O622</f>
        <v/>
      </c>
      <c r="Q629" s="7">
        <f>'1 datos preparados'!P622</f>
        <v/>
      </c>
      <c r="R629" s="7">
        <f>'1 datos preparados'!Q622</f>
        <v/>
      </c>
      <c r="S629" s="7">
        <f>'1 datos preparados'!R622</f>
        <v/>
      </c>
      <c r="T629" s="7">
        <f>'1 datos preparados'!S622</f>
        <v/>
      </c>
      <c r="U629" s="7">
        <f>'1 datos preparados'!T622</f>
        <v/>
      </c>
      <c r="V629" s="8">
        <f>$AC$12+D629*$AC$13+E629*$AC$14+F629*$AC$15+G629*$AC$16+H629*$AC$17+I629*$AC$18+J629*$AC$19+K629*$AC$20+L629*$AC$21+M629*$AC$22+N629*$AC$23+O629*$AC$24+P629*$AC$25+Q629*$AC$26+R629*$AC$27+S629*$AC$28+T629*$AC$29+U629*$AC$30</f>
        <v/>
      </c>
      <c r="W629" s="8">
        <f>1/(1+EXP(-V629))</f>
        <v/>
      </c>
      <c r="X629" s="9">
        <f>-IF(C629=1,LN(W629),LN(1-W629))</f>
        <v/>
      </c>
      <c r="Y629" s="10">
        <f>IF(W629&gt;$AC$33,1,0)</f>
        <v/>
      </c>
      <c r="Z629">
        <f>IF(Y629=C629,1,0)</f>
        <v/>
      </c>
    </row>
    <row r="630">
      <c r="A630">
        <f>'1 datos preparados'!A623</f>
        <v/>
      </c>
      <c r="B630" s="5">
        <f>'1 datos preparados'!U623</f>
        <v/>
      </c>
      <c r="C630">
        <f>'1 datos preparados'!B623</f>
        <v/>
      </c>
      <c r="D630" s="7">
        <f>'1 datos preparados'!C623</f>
        <v/>
      </c>
      <c r="E630" s="7">
        <f>'1 datos preparados'!D623</f>
        <v/>
      </c>
      <c r="F630" s="7">
        <f>'1 datos preparados'!E623</f>
        <v/>
      </c>
      <c r="G630" s="7">
        <f>'1 datos preparados'!F623</f>
        <v/>
      </c>
      <c r="H630" s="7">
        <f>'1 datos preparados'!G623</f>
        <v/>
      </c>
      <c r="I630" s="7">
        <f>'1 datos preparados'!H623</f>
        <v/>
      </c>
      <c r="J630" s="7">
        <f>'1 datos preparados'!I623</f>
        <v/>
      </c>
      <c r="K630" s="7">
        <f>'1 datos preparados'!J623</f>
        <v/>
      </c>
      <c r="L630" s="7">
        <f>'1 datos preparados'!K623</f>
        <v/>
      </c>
      <c r="M630" s="7">
        <f>'1 datos preparados'!L623</f>
        <v/>
      </c>
      <c r="N630" s="7">
        <f>'1 datos preparados'!M623</f>
        <v/>
      </c>
      <c r="O630" s="7">
        <f>'1 datos preparados'!N623</f>
        <v/>
      </c>
      <c r="P630" s="7">
        <f>'1 datos preparados'!O623</f>
        <v/>
      </c>
      <c r="Q630" s="7">
        <f>'1 datos preparados'!P623</f>
        <v/>
      </c>
      <c r="R630" s="7">
        <f>'1 datos preparados'!Q623</f>
        <v/>
      </c>
      <c r="S630" s="7">
        <f>'1 datos preparados'!R623</f>
        <v/>
      </c>
      <c r="T630" s="7">
        <f>'1 datos preparados'!S623</f>
        <v/>
      </c>
      <c r="U630" s="7">
        <f>'1 datos preparados'!T623</f>
        <v/>
      </c>
      <c r="V630" s="8">
        <f>$AC$12+D630*$AC$13+E630*$AC$14+F630*$AC$15+G630*$AC$16+H630*$AC$17+I630*$AC$18+J630*$AC$19+K630*$AC$20+L630*$AC$21+M630*$AC$22+N630*$AC$23+O630*$AC$24+P630*$AC$25+Q630*$AC$26+R630*$AC$27+S630*$AC$28+T630*$AC$29+U630*$AC$30</f>
        <v/>
      </c>
      <c r="W630" s="8">
        <f>1/(1+EXP(-V630))</f>
        <v/>
      </c>
      <c r="X630" s="9">
        <f>-IF(C630=1,LN(W630),LN(1-W630))</f>
        <v/>
      </c>
      <c r="Y630" s="10">
        <f>IF(W630&gt;$AC$33,1,0)</f>
        <v/>
      </c>
      <c r="Z630">
        <f>IF(Y630=C630,1,0)</f>
        <v/>
      </c>
    </row>
    <row r="631">
      <c r="A631">
        <f>'1 datos preparados'!A624</f>
        <v/>
      </c>
      <c r="B631" s="5">
        <f>'1 datos preparados'!U624</f>
        <v/>
      </c>
      <c r="C631">
        <f>'1 datos preparados'!B624</f>
        <v/>
      </c>
      <c r="D631" s="7">
        <f>'1 datos preparados'!C624</f>
        <v/>
      </c>
      <c r="E631" s="7">
        <f>'1 datos preparados'!D624</f>
        <v/>
      </c>
      <c r="F631" s="7">
        <f>'1 datos preparados'!E624</f>
        <v/>
      </c>
      <c r="G631" s="7">
        <f>'1 datos preparados'!F624</f>
        <v/>
      </c>
      <c r="H631" s="7">
        <f>'1 datos preparados'!G624</f>
        <v/>
      </c>
      <c r="I631" s="7">
        <f>'1 datos preparados'!H624</f>
        <v/>
      </c>
      <c r="J631" s="7">
        <f>'1 datos preparados'!I624</f>
        <v/>
      </c>
      <c r="K631" s="7">
        <f>'1 datos preparados'!J624</f>
        <v/>
      </c>
      <c r="L631" s="7">
        <f>'1 datos preparados'!K624</f>
        <v/>
      </c>
      <c r="M631" s="7">
        <f>'1 datos preparados'!L624</f>
        <v/>
      </c>
      <c r="N631" s="7">
        <f>'1 datos preparados'!M624</f>
        <v/>
      </c>
      <c r="O631" s="7">
        <f>'1 datos preparados'!N624</f>
        <v/>
      </c>
      <c r="P631" s="7">
        <f>'1 datos preparados'!O624</f>
        <v/>
      </c>
      <c r="Q631" s="7">
        <f>'1 datos preparados'!P624</f>
        <v/>
      </c>
      <c r="R631" s="7">
        <f>'1 datos preparados'!Q624</f>
        <v/>
      </c>
      <c r="S631" s="7">
        <f>'1 datos preparados'!R624</f>
        <v/>
      </c>
      <c r="T631" s="7">
        <f>'1 datos preparados'!S624</f>
        <v/>
      </c>
      <c r="U631" s="7">
        <f>'1 datos preparados'!T624</f>
        <v/>
      </c>
      <c r="V631" s="8">
        <f>$AC$12+D631*$AC$13+E631*$AC$14+F631*$AC$15+G631*$AC$16+H631*$AC$17+I631*$AC$18+J631*$AC$19+K631*$AC$20+L631*$AC$21+M631*$AC$22+N631*$AC$23+O631*$AC$24+P631*$AC$25+Q631*$AC$26+R631*$AC$27+S631*$AC$28+T631*$AC$29+U631*$AC$30</f>
        <v/>
      </c>
      <c r="W631" s="8">
        <f>1/(1+EXP(-V631))</f>
        <v/>
      </c>
      <c r="X631" s="9">
        <f>-IF(C631=1,LN(W631),LN(1-W631))</f>
        <v/>
      </c>
      <c r="Y631" s="10">
        <f>IF(W631&gt;$AC$33,1,0)</f>
        <v/>
      </c>
      <c r="Z631">
        <f>IF(Y631=C631,1,0)</f>
        <v/>
      </c>
    </row>
    <row r="632">
      <c r="A632">
        <f>'1 datos preparados'!A625</f>
        <v/>
      </c>
      <c r="B632" s="5">
        <f>'1 datos preparados'!U625</f>
        <v/>
      </c>
      <c r="C632">
        <f>'1 datos preparados'!B625</f>
        <v/>
      </c>
      <c r="D632" s="7">
        <f>'1 datos preparados'!C625</f>
        <v/>
      </c>
      <c r="E632" s="7">
        <f>'1 datos preparados'!D625</f>
        <v/>
      </c>
      <c r="F632" s="7">
        <f>'1 datos preparados'!E625</f>
        <v/>
      </c>
      <c r="G632" s="7">
        <f>'1 datos preparados'!F625</f>
        <v/>
      </c>
      <c r="H632" s="7">
        <f>'1 datos preparados'!G625</f>
        <v/>
      </c>
      <c r="I632" s="7">
        <f>'1 datos preparados'!H625</f>
        <v/>
      </c>
      <c r="J632" s="7">
        <f>'1 datos preparados'!I625</f>
        <v/>
      </c>
      <c r="K632" s="7">
        <f>'1 datos preparados'!J625</f>
        <v/>
      </c>
      <c r="L632" s="7">
        <f>'1 datos preparados'!K625</f>
        <v/>
      </c>
      <c r="M632" s="7">
        <f>'1 datos preparados'!L625</f>
        <v/>
      </c>
      <c r="N632" s="7">
        <f>'1 datos preparados'!M625</f>
        <v/>
      </c>
      <c r="O632" s="7">
        <f>'1 datos preparados'!N625</f>
        <v/>
      </c>
      <c r="P632" s="7">
        <f>'1 datos preparados'!O625</f>
        <v/>
      </c>
      <c r="Q632" s="7">
        <f>'1 datos preparados'!P625</f>
        <v/>
      </c>
      <c r="R632" s="7">
        <f>'1 datos preparados'!Q625</f>
        <v/>
      </c>
      <c r="S632" s="7">
        <f>'1 datos preparados'!R625</f>
        <v/>
      </c>
      <c r="T632" s="7">
        <f>'1 datos preparados'!S625</f>
        <v/>
      </c>
      <c r="U632" s="7">
        <f>'1 datos preparados'!T625</f>
        <v/>
      </c>
      <c r="V632" s="8">
        <f>$AC$12+D632*$AC$13+E632*$AC$14+F632*$AC$15+G632*$AC$16+H632*$AC$17+I632*$AC$18+J632*$AC$19+K632*$AC$20+L632*$AC$21+M632*$AC$22+N632*$AC$23+O632*$AC$24+P632*$AC$25+Q632*$AC$26+R632*$AC$27+S632*$AC$28+T632*$AC$29+U632*$AC$30</f>
        <v/>
      </c>
      <c r="W632" s="8">
        <f>1/(1+EXP(-V632))</f>
        <v/>
      </c>
      <c r="X632" s="9">
        <f>-IF(C632=1,LN(W632),LN(1-W632))</f>
        <v/>
      </c>
      <c r="Y632" s="10">
        <f>IF(W632&gt;$AC$33,1,0)</f>
        <v/>
      </c>
      <c r="Z632">
        <f>IF(Y632=C632,1,0)</f>
        <v/>
      </c>
    </row>
    <row r="633">
      <c r="A633">
        <f>'1 datos preparados'!A626</f>
        <v/>
      </c>
      <c r="B633" s="5">
        <f>'1 datos preparados'!U626</f>
        <v/>
      </c>
      <c r="C633">
        <f>'1 datos preparados'!B626</f>
        <v/>
      </c>
      <c r="D633" s="7">
        <f>'1 datos preparados'!C626</f>
        <v/>
      </c>
      <c r="E633" s="7">
        <f>'1 datos preparados'!D626</f>
        <v/>
      </c>
      <c r="F633" s="7">
        <f>'1 datos preparados'!E626</f>
        <v/>
      </c>
      <c r="G633" s="7">
        <f>'1 datos preparados'!F626</f>
        <v/>
      </c>
      <c r="H633" s="7">
        <f>'1 datos preparados'!G626</f>
        <v/>
      </c>
      <c r="I633" s="7">
        <f>'1 datos preparados'!H626</f>
        <v/>
      </c>
      <c r="J633" s="7">
        <f>'1 datos preparados'!I626</f>
        <v/>
      </c>
      <c r="K633" s="7">
        <f>'1 datos preparados'!J626</f>
        <v/>
      </c>
      <c r="L633" s="7">
        <f>'1 datos preparados'!K626</f>
        <v/>
      </c>
      <c r="M633" s="7">
        <f>'1 datos preparados'!L626</f>
        <v/>
      </c>
      <c r="N633" s="7">
        <f>'1 datos preparados'!M626</f>
        <v/>
      </c>
      <c r="O633" s="7">
        <f>'1 datos preparados'!N626</f>
        <v/>
      </c>
      <c r="P633" s="7">
        <f>'1 datos preparados'!O626</f>
        <v/>
      </c>
      <c r="Q633" s="7">
        <f>'1 datos preparados'!P626</f>
        <v/>
      </c>
      <c r="R633" s="7">
        <f>'1 datos preparados'!Q626</f>
        <v/>
      </c>
      <c r="S633" s="7">
        <f>'1 datos preparados'!R626</f>
        <v/>
      </c>
      <c r="T633" s="7">
        <f>'1 datos preparados'!S626</f>
        <v/>
      </c>
      <c r="U633" s="7">
        <f>'1 datos preparados'!T626</f>
        <v/>
      </c>
      <c r="V633" s="8">
        <f>$AC$12+D633*$AC$13+E633*$AC$14+F633*$AC$15+G633*$AC$16+H633*$AC$17+I633*$AC$18+J633*$AC$19+K633*$AC$20+L633*$AC$21+M633*$AC$22+N633*$AC$23+O633*$AC$24+P633*$AC$25+Q633*$AC$26+R633*$AC$27+S633*$AC$28+T633*$AC$29+U633*$AC$30</f>
        <v/>
      </c>
      <c r="W633" s="8">
        <f>1/(1+EXP(-V633))</f>
        <v/>
      </c>
      <c r="X633" s="9">
        <f>-IF(C633=1,LN(W633),LN(1-W633))</f>
        <v/>
      </c>
      <c r="Y633" s="10">
        <f>IF(W633&gt;$AC$33,1,0)</f>
        <v/>
      </c>
      <c r="Z633">
        <f>IF(Y633=C633,1,0)</f>
        <v/>
      </c>
    </row>
    <row r="634">
      <c r="A634">
        <f>'1 datos preparados'!A627</f>
        <v/>
      </c>
      <c r="B634" s="5">
        <f>'1 datos preparados'!U627</f>
        <v/>
      </c>
      <c r="C634">
        <f>'1 datos preparados'!B627</f>
        <v/>
      </c>
      <c r="D634" s="7">
        <f>'1 datos preparados'!C627</f>
        <v/>
      </c>
      <c r="E634" s="7">
        <f>'1 datos preparados'!D627</f>
        <v/>
      </c>
      <c r="F634" s="7">
        <f>'1 datos preparados'!E627</f>
        <v/>
      </c>
      <c r="G634" s="7">
        <f>'1 datos preparados'!F627</f>
        <v/>
      </c>
      <c r="H634" s="7">
        <f>'1 datos preparados'!G627</f>
        <v/>
      </c>
      <c r="I634" s="7">
        <f>'1 datos preparados'!H627</f>
        <v/>
      </c>
      <c r="J634" s="7">
        <f>'1 datos preparados'!I627</f>
        <v/>
      </c>
      <c r="K634" s="7">
        <f>'1 datos preparados'!J627</f>
        <v/>
      </c>
      <c r="L634" s="7">
        <f>'1 datos preparados'!K627</f>
        <v/>
      </c>
      <c r="M634" s="7">
        <f>'1 datos preparados'!L627</f>
        <v/>
      </c>
      <c r="N634" s="7">
        <f>'1 datos preparados'!M627</f>
        <v/>
      </c>
      <c r="O634" s="7">
        <f>'1 datos preparados'!N627</f>
        <v/>
      </c>
      <c r="P634" s="7">
        <f>'1 datos preparados'!O627</f>
        <v/>
      </c>
      <c r="Q634" s="7">
        <f>'1 datos preparados'!P627</f>
        <v/>
      </c>
      <c r="R634" s="7">
        <f>'1 datos preparados'!Q627</f>
        <v/>
      </c>
      <c r="S634" s="7">
        <f>'1 datos preparados'!R627</f>
        <v/>
      </c>
      <c r="T634" s="7">
        <f>'1 datos preparados'!S627</f>
        <v/>
      </c>
      <c r="U634" s="7">
        <f>'1 datos preparados'!T627</f>
        <v/>
      </c>
      <c r="V634" s="8">
        <f>$AC$12+D634*$AC$13+E634*$AC$14+F634*$AC$15+G634*$AC$16+H634*$AC$17+I634*$AC$18+J634*$AC$19+K634*$AC$20+L634*$AC$21+M634*$AC$22+N634*$AC$23+O634*$AC$24+P634*$AC$25+Q634*$AC$26+R634*$AC$27+S634*$AC$28+T634*$AC$29+U634*$AC$30</f>
        <v/>
      </c>
      <c r="W634" s="8">
        <f>1/(1+EXP(-V634))</f>
        <v/>
      </c>
      <c r="X634" s="9">
        <f>-IF(C634=1,LN(W634),LN(1-W634))</f>
        <v/>
      </c>
      <c r="Y634" s="10">
        <f>IF(W634&gt;$AC$33,1,0)</f>
        <v/>
      </c>
      <c r="Z634">
        <f>IF(Y634=C634,1,0)</f>
        <v/>
      </c>
    </row>
    <row r="635">
      <c r="A635">
        <f>'1 datos preparados'!A628</f>
        <v/>
      </c>
      <c r="B635" s="5">
        <f>'1 datos preparados'!U628</f>
        <v/>
      </c>
      <c r="C635">
        <f>'1 datos preparados'!B628</f>
        <v/>
      </c>
      <c r="D635" s="7">
        <f>'1 datos preparados'!C628</f>
        <v/>
      </c>
      <c r="E635" s="7">
        <f>'1 datos preparados'!D628</f>
        <v/>
      </c>
      <c r="F635" s="7">
        <f>'1 datos preparados'!E628</f>
        <v/>
      </c>
      <c r="G635" s="7">
        <f>'1 datos preparados'!F628</f>
        <v/>
      </c>
      <c r="H635" s="7">
        <f>'1 datos preparados'!G628</f>
        <v/>
      </c>
      <c r="I635" s="7">
        <f>'1 datos preparados'!H628</f>
        <v/>
      </c>
      <c r="J635" s="7">
        <f>'1 datos preparados'!I628</f>
        <v/>
      </c>
      <c r="K635" s="7">
        <f>'1 datos preparados'!J628</f>
        <v/>
      </c>
      <c r="L635" s="7">
        <f>'1 datos preparados'!K628</f>
        <v/>
      </c>
      <c r="M635" s="7">
        <f>'1 datos preparados'!L628</f>
        <v/>
      </c>
      <c r="N635" s="7">
        <f>'1 datos preparados'!M628</f>
        <v/>
      </c>
      <c r="O635" s="7">
        <f>'1 datos preparados'!N628</f>
        <v/>
      </c>
      <c r="P635" s="7">
        <f>'1 datos preparados'!O628</f>
        <v/>
      </c>
      <c r="Q635" s="7">
        <f>'1 datos preparados'!P628</f>
        <v/>
      </c>
      <c r="R635" s="7">
        <f>'1 datos preparados'!Q628</f>
        <v/>
      </c>
      <c r="S635" s="7">
        <f>'1 datos preparados'!R628</f>
        <v/>
      </c>
      <c r="T635" s="7">
        <f>'1 datos preparados'!S628</f>
        <v/>
      </c>
      <c r="U635" s="7">
        <f>'1 datos preparados'!T628</f>
        <v/>
      </c>
      <c r="V635" s="8">
        <f>$AC$12+D635*$AC$13+E635*$AC$14+F635*$AC$15+G635*$AC$16+H635*$AC$17+I635*$AC$18+J635*$AC$19+K635*$AC$20+L635*$AC$21+M635*$AC$22+N635*$AC$23+O635*$AC$24+P635*$AC$25+Q635*$AC$26+R635*$AC$27+S635*$AC$28+T635*$AC$29+U635*$AC$30</f>
        <v/>
      </c>
      <c r="W635" s="8">
        <f>1/(1+EXP(-V635))</f>
        <v/>
      </c>
      <c r="X635" s="9">
        <f>-IF(C635=1,LN(W635),LN(1-W635))</f>
        <v/>
      </c>
      <c r="Y635" s="10">
        <f>IF(W635&gt;$AC$33,1,0)</f>
        <v/>
      </c>
      <c r="Z635">
        <f>IF(Y635=C635,1,0)</f>
        <v/>
      </c>
    </row>
    <row r="636">
      <c r="A636">
        <f>'1 datos preparados'!A629</f>
        <v/>
      </c>
      <c r="B636" s="5">
        <f>'1 datos preparados'!U629</f>
        <v/>
      </c>
      <c r="C636">
        <f>'1 datos preparados'!B629</f>
        <v/>
      </c>
      <c r="D636" s="7">
        <f>'1 datos preparados'!C629</f>
        <v/>
      </c>
      <c r="E636" s="7">
        <f>'1 datos preparados'!D629</f>
        <v/>
      </c>
      <c r="F636" s="7">
        <f>'1 datos preparados'!E629</f>
        <v/>
      </c>
      <c r="G636" s="7">
        <f>'1 datos preparados'!F629</f>
        <v/>
      </c>
      <c r="H636" s="7">
        <f>'1 datos preparados'!G629</f>
        <v/>
      </c>
      <c r="I636" s="7">
        <f>'1 datos preparados'!H629</f>
        <v/>
      </c>
      <c r="J636" s="7">
        <f>'1 datos preparados'!I629</f>
        <v/>
      </c>
      <c r="K636" s="7">
        <f>'1 datos preparados'!J629</f>
        <v/>
      </c>
      <c r="L636" s="7">
        <f>'1 datos preparados'!K629</f>
        <v/>
      </c>
      <c r="M636" s="7">
        <f>'1 datos preparados'!L629</f>
        <v/>
      </c>
      <c r="N636" s="7">
        <f>'1 datos preparados'!M629</f>
        <v/>
      </c>
      <c r="O636" s="7">
        <f>'1 datos preparados'!N629</f>
        <v/>
      </c>
      <c r="P636" s="7">
        <f>'1 datos preparados'!O629</f>
        <v/>
      </c>
      <c r="Q636" s="7">
        <f>'1 datos preparados'!P629</f>
        <v/>
      </c>
      <c r="R636" s="7">
        <f>'1 datos preparados'!Q629</f>
        <v/>
      </c>
      <c r="S636" s="7">
        <f>'1 datos preparados'!R629</f>
        <v/>
      </c>
      <c r="T636" s="7">
        <f>'1 datos preparados'!S629</f>
        <v/>
      </c>
      <c r="U636" s="7">
        <f>'1 datos preparados'!T629</f>
        <v/>
      </c>
      <c r="V636" s="8">
        <f>$AC$12+D636*$AC$13+E636*$AC$14+F636*$AC$15+G636*$AC$16+H636*$AC$17+I636*$AC$18+J636*$AC$19+K636*$AC$20+L636*$AC$21+M636*$AC$22+N636*$AC$23+O636*$AC$24+P636*$AC$25+Q636*$AC$26+R636*$AC$27+S636*$AC$28+T636*$AC$29+U636*$AC$30</f>
        <v/>
      </c>
      <c r="W636" s="8">
        <f>1/(1+EXP(-V636))</f>
        <v/>
      </c>
      <c r="X636" s="9">
        <f>-IF(C636=1,LN(W636),LN(1-W636))</f>
        <v/>
      </c>
      <c r="Y636" s="10">
        <f>IF(W636&gt;$AC$33,1,0)</f>
        <v/>
      </c>
      <c r="Z636">
        <f>IF(Y636=C636,1,0)</f>
        <v/>
      </c>
    </row>
    <row r="637">
      <c r="A637">
        <f>'1 datos preparados'!A630</f>
        <v/>
      </c>
      <c r="B637" s="5">
        <f>'1 datos preparados'!U630</f>
        <v/>
      </c>
      <c r="C637">
        <f>'1 datos preparados'!B630</f>
        <v/>
      </c>
      <c r="D637" s="7">
        <f>'1 datos preparados'!C630</f>
        <v/>
      </c>
      <c r="E637" s="7">
        <f>'1 datos preparados'!D630</f>
        <v/>
      </c>
      <c r="F637" s="7">
        <f>'1 datos preparados'!E630</f>
        <v/>
      </c>
      <c r="G637" s="7">
        <f>'1 datos preparados'!F630</f>
        <v/>
      </c>
      <c r="H637" s="7">
        <f>'1 datos preparados'!G630</f>
        <v/>
      </c>
      <c r="I637" s="7">
        <f>'1 datos preparados'!H630</f>
        <v/>
      </c>
      <c r="J637" s="7">
        <f>'1 datos preparados'!I630</f>
        <v/>
      </c>
      <c r="K637" s="7">
        <f>'1 datos preparados'!J630</f>
        <v/>
      </c>
      <c r="L637" s="7">
        <f>'1 datos preparados'!K630</f>
        <v/>
      </c>
      <c r="M637" s="7">
        <f>'1 datos preparados'!L630</f>
        <v/>
      </c>
      <c r="N637" s="7">
        <f>'1 datos preparados'!M630</f>
        <v/>
      </c>
      <c r="O637" s="7">
        <f>'1 datos preparados'!N630</f>
        <v/>
      </c>
      <c r="P637" s="7">
        <f>'1 datos preparados'!O630</f>
        <v/>
      </c>
      <c r="Q637" s="7">
        <f>'1 datos preparados'!P630</f>
        <v/>
      </c>
      <c r="R637" s="7">
        <f>'1 datos preparados'!Q630</f>
        <v/>
      </c>
      <c r="S637" s="7">
        <f>'1 datos preparados'!R630</f>
        <v/>
      </c>
      <c r="T637" s="7">
        <f>'1 datos preparados'!S630</f>
        <v/>
      </c>
      <c r="U637" s="7">
        <f>'1 datos preparados'!T630</f>
        <v/>
      </c>
      <c r="V637" s="8">
        <f>$AC$12+D637*$AC$13+E637*$AC$14+F637*$AC$15+G637*$AC$16+H637*$AC$17+I637*$AC$18+J637*$AC$19+K637*$AC$20+L637*$AC$21+M637*$AC$22+N637*$AC$23+O637*$AC$24+P637*$AC$25+Q637*$AC$26+R637*$AC$27+S637*$AC$28+T637*$AC$29+U637*$AC$30</f>
        <v/>
      </c>
      <c r="W637" s="8">
        <f>1/(1+EXP(-V637))</f>
        <v/>
      </c>
      <c r="X637" s="9">
        <f>-IF(C637=1,LN(W637),LN(1-W637))</f>
        <v/>
      </c>
      <c r="Y637" s="10">
        <f>IF(W637&gt;$AC$33,1,0)</f>
        <v/>
      </c>
      <c r="Z637">
        <f>IF(Y637=C637,1,0)</f>
        <v/>
      </c>
    </row>
    <row r="638">
      <c r="A638">
        <f>'1 datos preparados'!A631</f>
        <v/>
      </c>
      <c r="B638" s="5">
        <f>'1 datos preparados'!U631</f>
        <v/>
      </c>
      <c r="C638">
        <f>'1 datos preparados'!B631</f>
        <v/>
      </c>
      <c r="D638" s="7">
        <f>'1 datos preparados'!C631</f>
        <v/>
      </c>
      <c r="E638" s="7">
        <f>'1 datos preparados'!D631</f>
        <v/>
      </c>
      <c r="F638" s="7">
        <f>'1 datos preparados'!E631</f>
        <v/>
      </c>
      <c r="G638" s="7">
        <f>'1 datos preparados'!F631</f>
        <v/>
      </c>
      <c r="H638" s="7">
        <f>'1 datos preparados'!G631</f>
        <v/>
      </c>
      <c r="I638" s="7">
        <f>'1 datos preparados'!H631</f>
        <v/>
      </c>
      <c r="J638" s="7">
        <f>'1 datos preparados'!I631</f>
        <v/>
      </c>
      <c r="K638" s="7">
        <f>'1 datos preparados'!J631</f>
        <v/>
      </c>
      <c r="L638" s="7">
        <f>'1 datos preparados'!K631</f>
        <v/>
      </c>
      <c r="M638" s="7">
        <f>'1 datos preparados'!L631</f>
        <v/>
      </c>
      <c r="N638" s="7">
        <f>'1 datos preparados'!M631</f>
        <v/>
      </c>
      <c r="O638" s="7">
        <f>'1 datos preparados'!N631</f>
        <v/>
      </c>
      <c r="P638" s="7">
        <f>'1 datos preparados'!O631</f>
        <v/>
      </c>
      <c r="Q638" s="7">
        <f>'1 datos preparados'!P631</f>
        <v/>
      </c>
      <c r="R638" s="7">
        <f>'1 datos preparados'!Q631</f>
        <v/>
      </c>
      <c r="S638" s="7">
        <f>'1 datos preparados'!R631</f>
        <v/>
      </c>
      <c r="T638" s="7">
        <f>'1 datos preparados'!S631</f>
        <v/>
      </c>
      <c r="U638" s="7">
        <f>'1 datos preparados'!T631</f>
        <v/>
      </c>
      <c r="V638" s="8">
        <f>$AC$12+D638*$AC$13+E638*$AC$14+F638*$AC$15+G638*$AC$16+H638*$AC$17+I638*$AC$18+J638*$AC$19+K638*$AC$20+L638*$AC$21+M638*$AC$22+N638*$AC$23+O638*$AC$24+P638*$AC$25+Q638*$AC$26+R638*$AC$27+S638*$AC$28+T638*$AC$29+U638*$AC$30</f>
        <v/>
      </c>
      <c r="W638" s="8">
        <f>1/(1+EXP(-V638))</f>
        <v/>
      </c>
      <c r="X638" s="9">
        <f>-IF(C638=1,LN(W638),LN(1-W638))</f>
        <v/>
      </c>
      <c r="Y638" s="10">
        <f>IF(W638&gt;$AC$33,1,0)</f>
        <v/>
      </c>
      <c r="Z638">
        <f>IF(Y638=C638,1,0)</f>
        <v/>
      </c>
    </row>
    <row r="639">
      <c r="A639">
        <f>'1 datos preparados'!A632</f>
        <v/>
      </c>
      <c r="B639" s="5">
        <f>'1 datos preparados'!U632</f>
        <v/>
      </c>
      <c r="C639">
        <f>'1 datos preparados'!B632</f>
        <v/>
      </c>
      <c r="D639" s="7">
        <f>'1 datos preparados'!C632</f>
        <v/>
      </c>
      <c r="E639" s="7">
        <f>'1 datos preparados'!D632</f>
        <v/>
      </c>
      <c r="F639" s="7">
        <f>'1 datos preparados'!E632</f>
        <v/>
      </c>
      <c r="G639" s="7">
        <f>'1 datos preparados'!F632</f>
        <v/>
      </c>
      <c r="H639" s="7">
        <f>'1 datos preparados'!G632</f>
        <v/>
      </c>
      <c r="I639" s="7">
        <f>'1 datos preparados'!H632</f>
        <v/>
      </c>
      <c r="J639" s="7">
        <f>'1 datos preparados'!I632</f>
        <v/>
      </c>
      <c r="K639" s="7">
        <f>'1 datos preparados'!J632</f>
        <v/>
      </c>
      <c r="L639" s="7">
        <f>'1 datos preparados'!K632</f>
        <v/>
      </c>
      <c r="M639" s="7">
        <f>'1 datos preparados'!L632</f>
        <v/>
      </c>
      <c r="N639" s="7">
        <f>'1 datos preparados'!M632</f>
        <v/>
      </c>
      <c r="O639" s="7">
        <f>'1 datos preparados'!N632</f>
        <v/>
      </c>
      <c r="P639" s="7">
        <f>'1 datos preparados'!O632</f>
        <v/>
      </c>
      <c r="Q639" s="7">
        <f>'1 datos preparados'!P632</f>
        <v/>
      </c>
      <c r="R639" s="7">
        <f>'1 datos preparados'!Q632</f>
        <v/>
      </c>
      <c r="S639" s="7">
        <f>'1 datos preparados'!R632</f>
        <v/>
      </c>
      <c r="T639" s="7">
        <f>'1 datos preparados'!S632</f>
        <v/>
      </c>
      <c r="U639" s="7">
        <f>'1 datos preparados'!T632</f>
        <v/>
      </c>
      <c r="V639" s="8">
        <f>$AC$12+D639*$AC$13+E639*$AC$14+F639*$AC$15+G639*$AC$16+H639*$AC$17+I639*$AC$18+J639*$AC$19+K639*$AC$20+L639*$AC$21+M639*$AC$22+N639*$AC$23+O639*$AC$24+P639*$AC$25+Q639*$AC$26+R639*$AC$27+S639*$AC$28+T639*$AC$29+U639*$AC$30</f>
        <v/>
      </c>
      <c r="W639" s="8">
        <f>1/(1+EXP(-V639))</f>
        <v/>
      </c>
      <c r="X639" s="9">
        <f>-IF(C639=1,LN(W639),LN(1-W639))</f>
        <v/>
      </c>
      <c r="Y639" s="10">
        <f>IF(W639&gt;$AC$33,1,0)</f>
        <v/>
      </c>
      <c r="Z639">
        <f>IF(Y639=C639,1,0)</f>
        <v/>
      </c>
    </row>
    <row r="640">
      <c r="A640">
        <f>'1 datos preparados'!A633</f>
        <v/>
      </c>
      <c r="B640" s="5">
        <f>'1 datos preparados'!U633</f>
        <v/>
      </c>
      <c r="C640">
        <f>'1 datos preparados'!B633</f>
        <v/>
      </c>
      <c r="D640" s="7">
        <f>'1 datos preparados'!C633</f>
        <v/>
      </c>
      <c r="E640" s="7">
        <f>'1 datos preparados'!D633</f>
        <v/>
      </c>
      <c r="F640" s="7">
        <f>'1 datos preparados'!E633</f>
        <v/>
      </c>
      <c r="G640" s="7">
        <f>'1 datos preparados'!F633</f>
        <v/>
      </c>
      <c r="H640" s="7">
        <f>'1 datos preparados'!G633</f>
        <v/>
      </c>
      <c r="I640" s="7">
        <f>'1 datos preparados'!H633</f>
        <v/>
      </c>
      <c r="J640" s="7">
        <f>'1 datos preparados'!I633</f>
        <v/>
      </c>
      <c r="K640" s="7">
        <f>'1 datos preparados'!J633</f>
        <v/>
      </c>
      <c r="L640" s="7">
        <f>'1 datos preparados'!K633</f>
        <v/>
      </c>
      <c r="M640" s="7">
        <f>'1 datos preparados'!L633</f>
        <v/>
      </c>
      <c r="N640" s="7">
        <f>'1 datos preparados'!M633</f>
        <v/>
      </c>
      <c r="O640" s="7">
        <f>'1 datos preparados'!N633</f>
        <v/>
      </c>
      <c r="P640" s="7">
        <f>'1 datos preparados'!O633</f>
        <v/>
      </c>
      <c r="Q640" s="7">
        <f>'1 datos preparados'!P633</f>
        <v/>
      </c>
      <c r="R640" s="7">
        <f>'1 datos preparados'!Q633</f>
        <v/>
      </c>
      <c r="S640" s="7">
        <f>'1 datos preparados'!R633</f>
        <v/>
      </c>
      <c r="T640" s="7">
        <f>'1 datos preparados'!S633</f>
        <v/>
      </c>
      <c r="U640" s="7">
        <f>'1 datos preparados'!T633</f>
        <v/>
      </c>
      <c r="V640" s="8">
        <f>$AC$12+D640*$AC$13+E640*$AC$14+F640*$AC$15+G640*$AC$16+H640*$AC$17+I640*$AC$18+J640*$AC$19+K640*$AC$20+L640*$AC$21+M640*$AC$22+N640*$AC$23+O640*$AC$24+P640*$AC$25+Q640*$AC$26+R640*$AC$27+S640*$AC$28+T640*$AC$29+U640*$AC$30</f>
        <v/>
      </c>
      <c r="W640" s="8">
        <f>1/(1+EXP(-V640))</f>
        <v/>
      </c>
      <c r="X640" s="9">
        <f>-IF(C640=1,LN(W640),LN(1-W640))</f>
        <v/>
      </c>
      <c r="Y640" s="10">
        <f>IF(W640&gt;$AC$33,1,0)</f>
        <v/>
      </c>
      <c r="Z640">
        <f>IF(Y640=C640,1,0)</f>
        <v/>
      </c>
    </row>
    <row r="641">
      <c r="A641">
        <f>'1 datos preparados'!A634</f>
        <v/>
      </c>
      <c r="B641" s="5">
        <f>'1 datos preparados'!U634</f>
        <v/>
      </c>
      <c r="C641">
        <f>'1 datos preparados'!B634</f>
        <v/>
      </c>
      <c r="D641" s="7">
        <f>'1 datos preparados'!C634</f>
        <v/>
      </c>
      <c r="E641" s="7">
        <f>'1 datos preparados'!D634</f>
        <v/>
      </c>
      <c r="F641" s="7">
        <f>'1 datos preparados'!E634</f>
        <v/>
      </c>
      <c r="G641" s="7">
        <f>'1 datos preparados'!F634</f>
        <v/>
      </c>
      <c r="H641" s="7">
        <f>'1 datos preparados'!G634</f>
        <v/>
      </c>
      <c r="I641" s="7">
        <f>'1 datos preparados'!H634</f>
        <v/>
      </c>
      <c r="J641" s="7">
        <f>'1 datos preparados'!I634</f>
        <v/>
      </c>
      <c r="K641" s="7">
        <f>'1 datos preparados'!J634</f>
        <v/>
      </c>
      <c r="L641" s="7">
        <f>'1 datos preparados'!K634</f>
        <v/>
      </c>
      <c r="M641" s="7">
        <f>'1 datos preparados'!L634</f>
        <v/>
      </c>
      <c r="N641" s="7">
        <f>'1 datos preparados'!M634</f>
        <v/>
      </c>
      <c r="O641" s="7">
        <f>'1 datos preparados'!N634</f>
        <v/>
      </c>
      <c r="P641" s="7">
        <f>'1 datos preparados'!O634</f>
        <v/>
      </c>
      <c r="Q641" s="7">
        <f>'1 datos preparados'!P634</f>
        <v/>
      </c>
      <c r="R641" s="7">
        <f>'1 datos preparados'!Q634</f>
        <v/>
      </c>
      <c r="S641" s="7">
        <f>'1 datos preparados'!R634</f>
        <v/>
      </c>
      <c r="T641" s="7">
        <f>'1 datos preparados'!S634</f>
        <v/>
      </c>
      <c r="U641" s="7">
        <f>'1 datos preparados'!T634</f>
        <v/>
      </c>
      <c r="V641" s="8">
        <f>$AC$12+D641*$AC$13+E641*$AC$14+F641*$AC$15+G641*$AC$16+H641*$AC$17+I641*$AC$18+J641*$AC$19+K641*$AC$20+L641*$AC$21+M641*$AC$22+N641*$AC$23+O641*$AC$24+P641*$AC$25+Q641*$AC$26+R641*$AC$27+S641*$AC$28+T641*$AC$29+U641*$AC$30</f>
        <v/>
      </c>
      <c r="W641" s="8">
        <f>1/(1+EXP(-V641))</f>
        <v/>
      </c>
      <c r="X641" s="9">
        <f>-IF(C641=1,LN(W641),LN(1-W641))</f>
        <v/>
      </c>
      <c r="Y641" s="10">
        <f>IF(W641&gt;$AC$33,1,0)</f>
        <v/>
      </c>
      <c r="Z641">
        <f>IF(Y641=C641,1,0)</f>
        <v/>
      </c>
    </row>
    <row r="642">
      <c r="A642">
        <f>'1 datos preparados'!A635</f>
        <v/>
      </c>
      <c r="B642" s="5">
        <f>'1 datos preparados'!U635</f>
        <v/>
      </c>
      <c r="C642">
        <f>'1 datos preparados'!B635</f>
        <v/>
      </c>
      <c r="D642" s="7">
        <f>'1 datos preparados'!C635</f>
        <v/>
      </c>
      <c r="E642" s="7">
        <f>'1 datos preparados'!D635</f>
        <v/>
      </c>
      <c r="F642" s="7">
        <f>'1 datos preparados'!E635</f>
        <v/>
      </c>
      <c r="G642" s="7">
        <f>'1 datos preparados'!F635</f>
        <v/>
      </c>
      <c r="H642" s="7">
        <f>'1 datos preparados'!G635</f>
        <v/>
      </c>
      <c r="I642" s="7">
        <f>'1 datos preparados'!H635</f>
        <v/>
      </c>
      <c r="J642" s="7">
        <f>'1 datos preparados'!I635</f>
        <v/>
      </c>
      <c r="K642" s="7">
        <f>'1 datos preparados'!J635</f>
        <v/>
      </c>
      <c r="L642" s="7">
        <f>'1 datos preparados'!K635</f>
        <v/>
      </c>
      <c r="M642" s="7">
        <f>'1 datos preparados'!L635</f>
        <v/>
      </c>
      <c r="N642" s="7">
        <f>'1 datos preparados'!M635</f>
        <v/>
      </c>
      <c r="O642" s="7">
        <f>'1 datos preparados'!N635</f>
        <v/>
      </c>
      <c r="P642" s="7">
        <f>'1 datos preparados'!O635</f>
        <v/>
      </c>
      <c r="Q642" s="7">
        <f>'1 datos preparados'!P635</f>
        <v/>
      </c>
      <c r="R642" s="7">
        <f>'1 datos preparados'!Q635</f>
        <v/>
      </c>
      <c r="S642" s="7">
        <f>'1 datos preparados'!R635</f>
        <v/>
      </c>
      <c r="T642" s="7">
        <f>'1 datos preparados'!S635</f>
        <v/>
      </c>
      <c r="U642" s="7">
        <f>'1 datos preparados'!T635</f>
        <v/>
      </c>
      <c r="V642" s="8">
        <f>$AC$12+D642*$AC$13+E642*$AC$14+F642*$AC$15+G642*$AC$16+H642*$AC$17+I642*$AC$18+J642*$AC$19+K642*$AC$20+L642*$AC$21+M642*$AC$22+N642*$AC$23+O642*$AC$24+P642*$AC$25+Q642*$AC$26+R642*$AC$27+S642*$AC$28+T642*$AC$29+U642*$AC$30</f>
        <v/>
      </c>
      <c r="W642" s="8">
        <f>1/(1+EXP(-V642))</f>
        <v/>
      </c>
      <c r="X642" s="9">
        <f>-IF(C642=1,LN(W642),LN(1-W642))</f>
        <v/>
      </c>
      <c r="Y642" s="10">
        <f>IF(W642&gt;$AC$33,1,0)</f>
        <v/>
      </c>
      <c r="Z642">
        <f>IF(Y642=C642,1,0)</f>
        <v/>
      </c>
    </row>
    <row r="643">
      <c r="A643">
        <f>'1 datos preparados'!A636</f>
        <v/>
      </c>
      <c r="B643" s="5">
        <f>'1 datos preparados'!U636</f>
        <v/>
      </c>
      <c r="C643">
        <f>'1 datos preparados'!B636</f>
        <v/>
      </c>
      <c r="D643" s="7">
        <f>'1 datos preparados'!C636</f>
        <v/>
      </c>
      <c r="E643" s="7">
        <f>'1 datos preparados'!D636</f>
        <v/>
      </c>
      <c r="F643" s="7">
        <f>'1 datos preparados'!E636</f>
        <v/>
      </c>
      <c r="G643" s="7">
        <f>'1 datos preparados'!F636</f>
        <v/>
      </c>
      <c r="H643" s="7">
        <f>'1 datos preparados'!G636</f>
        <v/>
      </c>
      <c r="I643" s="7">
        <f>'1 datos preparados'!H636</f>
        <v/>
      </c>
      <c r="J643" s="7">
        <f>'1 datos preparados'!I636</f>
        <v/>
      </c>
      <c r="K643" s="7">
        <f>'1 datos preparados'!J636</f>
        <v/>
      </c>
      <c r="L643" s="7">
        <f>'1 datos preparados'!K636</f>
        <v/>
      </c>
      <c r="M643" s="7">
        <f>'1 datos preparados'!L636</f>
        <v/>
      </c>
      <c r="N643" s="7">
        <f>'1 datos preparados'!M636</f>
        <v/>
      </c>
      <c r="O643" s="7">
        <f>'1 datos preparados'!N636</f>
        <v/>
      </c>
      <c r="P643" s="7">
        <f>'1 datos preparados'!O636</f>
        <v/>
      </c>
      <c r="Q643" s="7">
        <f>'1 datos preparados'!P636</f>
        <v/>
      </c>
      <c r="R643" s="7">
        <f>'1 datos preparados'!Q636</f>
        <v/>
      </c>
      <c r="S643" s="7">
        <f>'1 datos preparados'!R636</f>
        <v/>
      </c>
      <c r="T643" s="7">
        <f>'1 datos preparados'!S636</f>
        <v/>
      </c>
      <c r="U643" s="7">
        <f>'1 datos preparados'!T636</f>
        <v/>
      </c>
      <c r="V643" s="8">
        <f>$AC$12+D643*$AC$13+E643*$AC$14+F643*$AC$15+G643*$AC$16+H643*$AC$17+I643*$AC$18+J643*$AC$19+K643*$AC$20+L643*$AC$21+M643*$AC$22+N643*$AC$23+O643*$AC$24+P643*$AC$25+Q643*$AC$26+R643*$AC$27+S643*$AC$28+T643*$AC$29+U643*$AC$30</f>
        <v/>
      </c>
      <c r="W643" s="8">
        <f>1/(1+EXP(-V643))</f>
        <v/>
      </c>
      <c r="X643" s="9">
        <f>-IF(C643=1,LN(W643),LN(1-W643))</f>
        <v/>
      </c>
      <c r="Y643" s="10">
        <f>IF(W643&gt;$AC$33,1,0)</f>
        <v/>
      </c>
      <c r="Z643">
        <f>IF(Y643=C643,1,0)</f>
        <v/>
      </c>
    </row>
    <row r="644">
      <c r="A644">
        <f>'1 datos preparados'!A637</f>
        <v/>
      </c>
      <c r="B644" s="5">
        <f>'1 datos preparados'!U637</f>
        <v/>
      </c>
      <c r="C644">
        <f>'1 datos preparados'!B637</f>
        <v/>
      </c>
      <c r="D644" s="7">
        <f>'1 datos preparados'!C637</f>
        <v/>
      </c>
      <c r="E644" s="7">
        <f>'1 datos preparados'!D637</f>
        <v/>
      </c>
      <c r="F644" s="7">
        <f>'1 datos preparados'!E637</f>
        <v/>
      </c>
      <c r="G644" s="7">
        <f>'1 datos preparados'!F637</f>
        <v/>
      </c>
      <c r="H644" s="7">
        <f>'1 datos preparados'!G637</f>
        <v/>
      </c>
      <c r="I644" s="7">
        <f>'1 datos preparados'!H637</f>
        <v/>
      </c>
      <c r="J644" s="7">
        <f>'1 datos preparados'!I637</f>
        <v/>
      </c>
      <c r="K644" s="7">
        <f>'1 datos preparados'!J637</f>
        <v/>
      </c>
      <c r="L644" s="7">
        <f>'1 datos preparados'!K637</f>
        <v/>
      </c>
      <c r="M644" s="7">
        <f>'1 datos preparados'!L637</f>
        <v/>
      </c>
      <c r="N644" s="7">
        <f>'1 datos preparados'!M637</f>
        <v/>
      </c>
      <c r="O644" s="7">
        <f>'1 datos preparados'!N637</f>
        <v/>
      </c>
      <c r="P644" s="7">
        <f>'1 datos preparados'!O637</f>
        <v/>
      </c>
      <c r="Q644" s="7">
        <f>'1 datos preparados'!P637</f>
        <v/>
      </c>
      <c r="R644" s="7">
        <f>'1 datos preparados'!Q637</f>
        <v/>
      </c>
      <c r="S644" s="7">
        <f>'1 datos preparados'!R637</f>
        <v/>
      </c>
      <c r="T644" s="7">
        <f>'1 datos preparados'!S637</f>
        <v/>
      </c>
      <c r="U644" s="7">
        <f>'1 datos preparados'!T637</f>
        <v/>
      </c>
      <c r="V644" s="8">
        <f>$AC$12+D644*$AC$13+E644*$AC$14+F644*$AC$15+G644*$AC$16+H644*$AC$17+I644*$AC$18+J644*$AC$19+K644*$AC$20+L644*$AC$21+M644*$AC$22+N644*$AC$23+O644*$AC$24+P644*$AC$25+Q644*$AC$26+R644*$AC$27+S644*$AC$28+T644*$AC$29+U644*$AC$30</f>
        <v/>
      </c>
      <c r="W644" s="8">
        <f>1/(1+EXP(-V644))</f>
        <v/>
      </c>
      <c r="X644" s="9">
        <f>-IF(C644=1,LN(W644),LN(1-W644))</f>
        <v/>
      </c>
      <c r="Y644" s="10">
        <f>IF(W644&gt;$AC$33,1,0)</f>
        <v/>
      </c>
      <c r="Z644">
        <f>IF(Y644=C644,1,0)</f>
        <v/>
      </c>
    </row>
    <row r="645">
      <c r="A645">
        <f>'1 datos preparados'!A638</f>
        <v/>
      </c>
      <c r="B645" s="5">
        <f>'1 datos preparados'!U638</f>
        <v/>
      </c>
      <c r="C645">
        <f>'1 datos preparados'!B638</f>
        <v/>
      </c>
      <c r="D645" s="7">
        <f>'1 datos preparados'!C638</f>
        <v/>
      </c>
      <c r="E645" s="7">
        <f>'1 datos preparados'!D638</f>
        <v/>
      </c>
      <c r="F645" s="7">
        <f>'1 datos preparados'!E638</f>
        <v/>
      </c>
      <c r="G645" s="7">
        <f>'1 datos preparados'!F638</f>
        <v/>
      </c>
      <c r="H645" s="7">
        <f>'1 datos preparados'!G638</f>
        <v/>
      </c>
      <c r="I645" s="7">
        <f>'1 datos preparados'!H638</f>
        <v/>
      </c>
      <c r="J645" s="7">
        <f>'1 datos preparados'!I638</f>
        <v/>
      </c>
      <c r="K645" s="7">
        <f>'1 datos preparados'!J638</f>
        <v/>
      </c>
      <c r="L645" s="7">
        <f>'1 datos preparados'!K638</f>
        <v/>
      </c>
      <c r="M645" s="7">
        <f>'1 datos preparados'!L638</f>
        <v/>
      </c>
      <c r="N645" s="7">
        <f>'1 datos preparados'!M638</f>
        <v/>
      </c>
      <c r="O645" s="7">
        <f>'1 datos preparados'!N638</f>
        <v/>
      </c>
      <c r="P645" s="7">
        <f>'1 datos preparados'!O638</f>
        <v/>
      </c>
      <c r="Q645" s="7">
        <f>'1 datos preparados'!P638</f>
        <v/>
      </c>
      <c r="R645" s="7">
        <f>'1 datos preparados'!Q638</f>
        <v/>
      </c>
      <c r="S645" s="7">
        <f>'1 datos preparados'!R638</f>
        <v/>
      </c>
      <c r="T645" s="7">
        <f>'1 datos preparados'!S638</f>
        <v/>
      </c>
      <c r="U645" s="7">
        <f>'1 datos preparados'!T638</f>
        <v/>
      </c>
      <c r="V645" s="8">
        <f>$AC$12+D645*$AC$13+E645*$AC$14+F645*$AC$15+G645*$AC$16+H645*$AC$17+I645*$AC$18+J645*$AC$19+K645*$AC$20+L645*$AC$21+M645*$AC$22+N645*$AC$23+O645*$AC$24+P645*$AC$25+Q645*$AC$26+R645*$AC$27+S645*$AC$28+T645*$AC$29+U645*$AC$30</f>
        <v/>
      </c>
      <c r="W645" s="8">
        <f>1/(1+EXP(-V645))</f>
        <v/>
      </c>
      <c r="X645" s="9">
        <f>-IF(C645=1,LN(W645),LN(1-W645))</f>
        <v/>
      </c>
      <c r="Y645" s="10">
        <f>IF(W645&gt;$AC$33,1,0)</f>
        <v/>
      </c>
      <c r="Z645">
        <f>IF(Y645=C645,1,0)</f>
        <v/>
      </c>
    </row>
    <row r="646">
      <c r="A646">
        <f>'1 datos preparados'!A639</f>
        <v/>
      </c>
      <c r="B646" s="5">
        <f>'1 datos preparados'!U639</f>
        <v/>
      </c>
      <c r="C646">
        <f>'1 datos preparados'!B639</f>
        <v/>
      </c>
      <c r="D646" s="7">
        <f>'1 datos preparados'!C639</f>
        <v/>
      </c>
      <c r="E646" s="7">
        <f>'1 datos preparados'!D639</f>
        <v/>
      </c>
      <c r="F646" s="7">
        <f>'1 datos preparados'!E639</f>
        <v/>
      </c>
      <c r="G646" s="7">
        <f>'1 datos preparados'!F639</f>
        <v/>
      </c>
      <c r="H646" s="7">
        <f>'1 datos preparados'!G639</f>
        <v/>
      </c>
      <c r="I646" s="7">
        <f>'1 datos preparados'!H639</f>
        <v/>
      </c>
      <c r="J646" s="7">
        <f>'1 datos preparados'!I639</f>
        <v/>
      </c>
      <c r="K646" s="7">
        <f>'1 datos preparados'!J639</f>
        <v/>
      </c>
      <c r="L646" s="7">
        <f>'1 datos preparados'!K639</f>
        <v/>
      </c>
      <c r="M646" s="7">
        <f>'1 datos preparados'!L639</f>
        <v/>
      </c>
      <c r="N646" s="7">
        <f>'1 datos preparados'!M639</f>
        <v/>
      </c>
      <c r="O646" s="7">
        <f>'1 datos preparados'!N639</f>
        <v/>
      </c>
      <c r="P646" s="7">
        <f>'1 datos preparados'!O639</f>
        <v/>
      </c>
      <c r="Q646" s="7">
        <f>'1 datos preparados'!P639</f>
        <v/>
      </c>
      <c r="R646" s="7">
        <f>'1 datos preparados'!Q639</f>
        <v/>
      </c>
      <c r="S646" s="7">
        <f>'1 datos preparados'!R639</f>
        <v/>
      </c>
      <c r="T646" s="7">
        <f>'1 datos preparados'!S639</f>
        <v/>
      </c>
      <c r="U646" s="7">
        <f>'1 datos preparados'!T639</f>
        <v/>
      </c>
      <c r="V646" s="8">
        <f>$AC$12+D646*$AC$13+E646*$AC$14+F646*$AC$15+G646*$AC$16+H646*$AC$17+I646*$AC$18+J646*$AC$19+K646*$AC$20+L646*$AC$21+M646*$AC$22+N646*$AC$23+O646*$AC$24+P646*$AC$25+Q646*$AC$26+R646*$AC$27+S646*$AC$28+T646*$AC$29+U646*$AC$30</f>
        <v/>
      </c>
      <c r="W646" s="8">
        <f>1/(1+EXP(-V646))</f>
        <v/>
      </c>
      <c r="X646" s="9">
        <f>-IF(C646=1,LN(W646),LN(1-W646))</f>
        <v/>
      </c>
      <c r="Y646" s="10">
        <f>IF(W646&gt;$AC$33,1,0)</f>
        <v/>
      </c>
      <c r="Z646">
        <f>IF(Y646=C646,1,0)</f>
        <v/>
      </c>
    </row>
    <row r="647">
      <c r="A647">
        <f>'1 datos preparados'!A640</f>
        <v/>
      </c>
      <c r="B647" s="5">
        <f>'1 datos preparados'!U640</f>
        <v/>
      </c>
      <c r="C647">
        <f>'1 datos preparados'!B640</f>
        <v/>
      </c>
      <c r="D647" s="7">
        <f>'1 datos preparados'!C640</f>
        <v/>
      </c>
      <c r="E647" s="7">
        <f>'1 datos preparados'!D640</f>
        <v/>
      </c>
      <c r="F647" s="7">
        <f>'1 datos preparados'!E640</f>
        <v/>
      </c>
      <c r="G647" s="7">
        <f>'1 datos preparados'!F640</f>
        <v/>
      </c>
      <c r="H647" s="7">
        <f>'1 datos preparados'!G640</f>
        <v/>
      </c>
      <c r="I647" s="7">
        <f>'1 datos preparados'!H640</f>
        <v/>
      </c>
      <c r="J647" s="7">
        <f>'1 datos preparados'!I640</f>
        <v/>
      </c>
      <c r="K647" s="7">
        <f>'1 datos preparados'!J640</f>
        <v/>
      </c>
      <c r="L647" s="7">
        <f>'1 datos preparados'!K640</f>
        <v/>
      </c>
      <c r="M647" s="7">
        <f>'1 datos preparados'!L640</f>
        <v/>
      </c>
      <c r="N647" s="7">
        <f>'1 datos preparados'!M640</f>
        <v/>
      </c>
      <c r="O647" s="7">
        <f>'1 datos preparados'!N640</f>
        <v/>
      </c>
      <c r="P647" s="7">
        <f>'1 datos preparados'!O640</f>
        <v/>
      </c>
      <c r="Q647" s="7">
        <f>'1 datos preparados'!P640</f>
        <v/>
      </c>
      <c r="R647" s="7">
        <f>'1 datos preparados'!Q640</f>
        <v/>
      </c>
      <c r="S647" s="7">
        <f>'1 datos preparados'!R640</f>
        <v/>
      </c>
      <c r="T647" s="7">
        <f>'1 datos preparados'!S640</f>
        <v/>
      </c>
      <c r="U647" s="7">
        <f>'1 datos preparados'!T640</f>
        <v/>
      </c>
      <c r="V647" s="8">
        <f>$AC$12+D647*$AC$13+E647*$AC$14+F647*$AC$15+G647*$AC$16+H647*$AC$17+I647*$AC$18+J647*$AC$19+K647*$AC$20+L647*$AC$21+M647*$AC$22+N647*$AC$23+O647*$AC$24+P647*$AC$25+Q647*$AC$26+R647*$AC$27+S647*$AC$28+T647*$AC$29+U647*$AC$30</f>
        <v/>
      </c>
      <c r="W647" s="8">
        <f>1/(1+EXP(-V647))</f>
        <v/>
      </c>
      <c r="X647" s="9">
        <f>-IF(C647=1,LN(W647),LN(1-W647))</f>
        <v/>
      </c>
      <c r="Y647" s="10">
        <f>IF(W647&gt;$AC$33,1,0)</f>
        <v/>
      </c>
      <c r="Z647">
        <f>IF(Y647=C647,1,0)</f>
        <v/>
      </c>
    </row>
    <row r="648">
      <c r="A648">
        <f>'1 datos preparados'!A641</f>
        <v/>
      </c>
      <c r="B648" s="5">
        <f>'1 datos preparados'!U641</f>
        <v/>
      </c>
      <c r="C648">
        <f>'1 datos preparados'!B641</f>
        <v/>
      </c>
      <c r="D648" s="7">
        <f>'1 datos preparados'!C641</f>
        <v/>
      </c>
      <c r="E648" s="7">
        <f>'1 datos preparados'!D641</f>
        <v/>
      </c>
      <c r="F648" s="7">
        <f>'1 datos preparados'!E641</f>
        <v/>
      </c>
      <c r="G648" s="7">
        <f>'1 datos preparados'!F641</f>
        <v/>
      </c>
      <c r="H648" s="7">
        <f>'1 datos preparados'!G641</f>
        <v/>
      </c>
      <c r="I648" s="7">
        <f>'1 datos preparados'!H641</f>
        <v/>
      </c>
      <c r="J648" s="7">
        <f>'1 datos preparados'!I641</f>
        <v/>
      </c>
      <c r="K648" s="7">
        <f>'1 datos preparados'!J641</f>
        <v/>
      </c>
      <c r="L648" s="7">
        <f>'1 datos preparados'!K641</f>
        <v/>
      </c>
      <c r="M648" s="7">
        <f>'1 datos preparados'!L641</f>
        <v/>
      </c>
      <c r="N648" s="7">
        <f>'1 datos preparados'!M641</f>
        <v/>
      </c>
      <c r="O648" s="7">
        <f>'1 datos preparados'!N641</f>
        <v/>
      </c>
      <c r="P648" s="7">
        <f>'1 datos preparados'!O641</f>
        <v/>
      </c>
      <c r="Q648" s="7">
        <f>'1 datos preparados'!P641</f>
        <v/>
      </c>
      <c r="R648" s="7">
        <f>'1 datos preparados'!Q641</f>
        <v/>
      </c>
      <c r="S648" s="7">
        <f>'1 datos preparados'!R641</f>
        <v/>
      </c>
      <c r="T648" s="7">
        <f>'1 datos preparados'!S641</f>
        <v/>
      </c>
      <c r="U648" s="7">
        <f>'1 datos preparados'!T641</f>
        <v/>
      </c>
      <c r="V648" s="8">
        <f>$AC$12+D648*$AC$13+E648*$AC$14+F648*$AC$15+G648*$AC$16+H648*$AC$17+I648*$AC$18+J648*$AC$19+K648*$AC$20+L648*$AC$21+M648*$AC$22+N648*$AC$23+O648*$AC$24+P648*$AC$25+Q648*$AC$26+R648*$AC$27+S648*$AC$28+T648*$AC$29+U648*$AC$30</f>
        <v/>
      </c>
      <c r="W648" s="8">
        <f>1/(1+EXP(-V648))</f>
        <v/>
      </c>
      <c r="X648" s="9">
        <f>-IF(C648=1,LN(W648),LN(1-W648))</f>
        <v/>
      </c>
      <c r="Y648" s="10">
        <f>IF(W648&gt;$AC$33,1,0)</f>
        <v/>
      </c>
      <c r="Z648">
        <f>IF(Y648=C648,1,0)</f>
        <v/>
      </c>
    </row>
    <row r="649">
      <c r="A649">
        <f>'1 datos preparados'!A642</f>
        <v/>
      </c>
      <c r="B649" s="5">
        <f>'1 datos preparados'!U642</f>
        <v/>
      </c>
      <c r="C649">
        <f>'1 datos preparados'!B642</f>
        <v/>
      </c>
      <c r="D649" s="7">
        <f>'1 datos preparados'!C642</f>
        <v/>
      </c>
      <c r="E649" s="7">
        <f>'1 datos preparados'!D642</f>
        <v/>
      </c>
      <c r="F649" s="7">
        <f>'1 datos preparados'!E642</f>
        <v/>
      </c>
      <c r="G649" s="7">
        <f>'1 datos preparados'!F642</f>
        <v/>
      </c>
      <c r="H649" s="7">
        <f>'1 datos preparados'!G642</f>
        <v/>
      </c>
      <c r="I649" s="7">
        <f>'1 datos preparados'!H642</f>
        <v/>
      </c>
      <c r="J649" s="7">
        <f>'1 datos preparados'!I642</f>
        <v/>
      </c>
      <c r="K649" s="7">
        <f>'1 datos preparados'!J642</f>
        <v/>
      </c>
      <c r="L649" s="7">
        <f>'1 datos preparados'!K642</f>
        <v/>
      </c>
      <c r="M649" s="7">
        <f>'1 datos preparados'!L642</f>
        <v/>
      </c>
      <c r="N649" s="7">
        <f>'1 datos preparados'!M642</f>
        <v/>
      </c>
      <c r="O649" s="7">
        <f>'1 datos preparados'!N642</f>
        <v/>
      </c>
      <c r="P649" s="7">
        <f>'1 datos preparados'!O642</f>
        <v/>
      </c>
      <c r="Q649" s="7">
        <f>'1 datos preparados'!P642</f>
        <v/>
      </c>
      <c r="R649" s="7">
        <f>'1 datos preparados'!Q642</f>
        <v/>
      </c>
      <c r="S649" s="7">
        <f>'1 datos preparados'!R642</f>
        <v/>
      </c>
      <c r="T649" s="7">
        <f>'1 datos preparados'!S642</f>
        <v/>
      </c>
      <c r="U649" s="7">
        <f>'1 datos preparados'!T642</f>
        <v/>
      </c>
      <c r="V649" s="8">
        <f>$AC$12+D649*$AC$13+E649*$AC$14+F649*$AC$15+G649*$AC$16+H649*$AC$17+I649*$AC$18+J649*$AC$19+K649*$AC$20+L649*$AC$21+M649*$AC$22+N649*$AC$23+O649*$AC$24+P649*$AC$25+Q649*$AC$26+R649*$AC$27+S649*$AC$28+T649*$AC$29+U649*$AC$30</f>
        <v/>
      </c>
      <c r="W649" s="8">
        <f>1/(1+EXP(-V649))</f>
        <v/>
      </c>
      <c r="X649" s="9">
        <f>-IF(C649=1,LN(W649),LN(1-W649))</f>
        <v/>
      </c>
      <c r="Y649" s="10">
        <f>IF(W649&gt;$AC$33,1,0)</f>
        <v/>
      </c>
      <c r="Z649">
        <f>IF(Y649=C649,1,0)</f>
        <v/>
      </c>
    </row>
    <row r="650">
      <c r="A650">
        <f>'1 datos preparados'!A643</f>
        <v/>
      </c>
      <c r="B650" s="5">
        <f>'1 datos preparados'!U643</f>
        <v/>
      </c>
      <c r="C650">
        <f>'1 datos preparados'!B643</f>
        <v/>
      </c>
      <c r="D650" s="7">
        <f>'1 datos preparados'!C643</f>
        <v/>
      </c>
      <c r="E650" s="7">
        <f>'1 datos preparados'!D643</f>
        <v/>
      </c>
      <c r="F650" s="7">
        <f>'1 datos preparados'!E643</f>
        <v/>
      </c>
      <c r="G650" s="7">
        <f>'1 datos preparados'!F643</f>
        <v/>
      </c>
      <c r="H650" s="7">
        <f>'1 datos preparados'!G643</f>
        <v/>
      </c>
      <c r="I650" s="7">
        <f>'1 datos preparados'!H643</f>
        <v/>
      </c>
      <c r="J650" s="7">
        <f>'1 datos preparados'!I643</f>
        <v/>
      </c>
      <c r="K650" s="7">
        <f>'1 datos preparados'!J643</f>
        <v/>
      </c>
      <c r="L650" s="7">
        <f>'1 datos preparados'!K643</f>
        <v/>
      </c>
      <c r="M650" s="7">
        <f>'1 datos preparados'!L643</f>
        <v/>
      </c>
      <c r="N650" s="7">
        <f>'1 datos preparados'!M643</f>
        <v/>
      </c>
      <c r="O650" s="7">
        <f>'1 datos preparados'!N643</f>
        <v/>
      </c>
      <c r="P650" s="7">
        <f>'1 datos preparados'!O643</f>
        <v/>
      </c>
      <c r="Q650" s="7">
        <f>'1 datos preparados'!P643</f>
        <v/>
      </c>
      <c r="R650" s="7">
        <f>'1 datos preparados'!Q643</f>
        <v/>
      </c>
      <c r="S650" s="7">
        <f>'1 datos preparados'!R643</f>
        <v/>
      </c>
      <c r="T650" s="7">
        <f>'1 datos preparados'!S643</f>
        <v/>
      </c>
      <c r="U650" s="7">
        <f>'1 datos preparados'!T643</f>
        <v/>
      </c>
      <c r="V650" s="8">
        <f>$AC$12+D650*$AC$13+E650*$AC$14+F650*$AC$15+G650*$AC$16+H650*$AC$17+I650*$AC$18+J650*$AC$19+K650*$AC$20+L650*$AC$21+M650*$AC$22+N650*$AC$23+O650*$AC$24+P650*$AC$25+Q650*$AC$26+R650*$AC$27+S650*$AC$28+T650*$AC$29+U650*$AC$30</f>
        <v/>
      </c>
      <c r="W650" s="8">
        <f>1/(1+EXP(-V650))</f>
        <v/>
      </c>
      <c r="X650" s="9">
        <f>-IF(C650=1,LN(W650),LN(1-W650))</f>
        <v/>
      </c>
      <c r="Y650" s="10">
        <f>IF(W650&gt;$AC$33,1,0)</f>
        <v/>
      </c>
      <c r="Z650">
        <f>IF(Y650=C650,1,0)</f>
        <v/>
      </c>
    </row>
    <row r="651">
      <c r="A651">
        <f>'1 datos preparados'!A644</f>
        <v/>
      </c>
      <c r="B651" s="5">
        <f>'1 datos preparados'!U644</f>
        <v/>
      </c>
      <c r="C651">
        <f>'1 datos preparados'!B644</f>
        <v/>
      </c>
      <c r="D651" s="7">
        <f>'1 datos preparados'!C644</f>
        <v/>
      </c>
      <c r="E651" s="7">
        <f>'1 datos preparados'!D644</f>
        <v/>
      </c>
      <c r="F651" s="7">
        <f>'1 datos preparados'!E644</f>
        <v/>
      </c>
      <c r="G651" s="7">
        <f>'1 datos preparados'!F644</f>
        <v/>
      </c>
      <c r="H651" s="7">
        <f>'1 datos preparados'!G644</f>
        <v/>
      </c>
      <c r="I651" s="7">
        <f>'1 datos preparados'!H644</f>
        <v/>
      </c>
      <c r="J651" s="7">
        <f>'1 datos preparados'!I644</f>
        <v/>
      </c>
      <c r="K651" s="7">
        <f>'1 datos preparados'!J644</f>
        <v/>
      </c>
      <c r="L651" s="7">
        <f>'1 datos preparados'!K644</f>
        <v/>
      </c>
      <c r="M651" s="7">
        <f>'1 datos preparados'!L644</f>
        <v/>
      </c>
      <c r="N651" s="7">
        <f>'1 datos preparados'!M644</f>
        <v/>
      </c>
      <c r="O651" s="7">
        <f>'1 datos preparados'!N644</f>
        <v/>
      </c>
      <c r="P651" s="7">
        <f>'1 datos preparados'!O644</f>
        <v/>
      </c>
      <c r="Q651" s="7">
        <f>'1 datos preparados'!P644</f>
        <v/>
      </c>
      <c r="R651" s="7">
        <f>'1 datos preparados'!Q644</f>
        <v/>
      </c>
      <c r="S651" s="7">
        <f>'1 datos preparados'!R644</f>
        <v/>
      </c>
      <c r="T651" s="7">
        <f>'1 datos preparados'!S644</f>
        <v/>
      </c>
      <c r="U651" s="7">
        <f>'1 datos preparados'!T644</f>
        <v/>
      </c>
      <c r="V651" s="8">
        <f>$AC$12+D651*$AC$13+E651*$AC$14+F651*$AC$15+G651*$AC$16+H651*$AC$17+I651*$AC$18+J651*$AC$19+K651*$AC$20+L651*$AC$21+M651*$AC$22+N651*$AC$23+O651*$AC$24+P651*$AC$25+Q651*$AC$26+R651*$AC$27+S651*$AC$28+T651*$AC$29+U651*$AC$30</f>
        <v/>
      </c>
      <c r="W651" s="8">
        <f>1/(1+EXP(-V651))</f>
        <v/>
      </c>
      <c r="X651" s="9">
        <f>-IF(C651=1,LN(W651),LN(1-W651))</f>
        <v/>
      </c>
      <c r="Y651" s="10">
        <f>IF(W651&gt;$AC$33,1,0)</f>
        <v/>
      </c>
      <c r="Z651">
        <f>IF(Y651=C651,1,0)</f>
        <v/>
      </c>
    </row>
    <row r="652">
      <c r="A652">
        <f>'1 datos preparados'!A645</f>
        <v/>
      </c>
      <c r="B652" s="5">
        <f>'1 datos preparados'!U645</f>
        <v/>
      </c>
      <c r="C652">
        <f>'1 datos preparados'!B645</f>
        <v/>
      </c>
      <c r="D652" s="7">
        <f>'1 datos preparados'!C645</f>
        <v/>
      </c>
      <c r="E652" s="7">
        <f>'1 datos preparados'!D645</f>
        <v/>
      </c>
      <c r="F652" s="7">
        <f>'1 datos preparados'!E645</f>
        <v/>
      </c>
      <c r="G652" s="7">
        <f>'1 datos preparados'!F645</f>
        <v/>
      </c>
      <c r="H652" s="7">
        <f>'1 datos preparados'!G645</f>
        <v/>
      </c>
      <c r="I652" s="7">
        <f>'1 datos preparados'!H645</f>
        <v/>
      </c>
      <c r="J652" s="7">
        <f>'1 datos preparados'!I645</f>
        <v/>
      </c>
      <c r="K652" s="7">
        <f>'1 datos preparados'!J645</f>
        <v/>
      </c>
      <c r="L652" s="7">
        <f>'1 datos preparados'!K645</f>
        <v/>
      </c>
      <c r="M652" s="7">
        <f>'1 datos preparados'!L645</f>
        <v/>
      </c>
      <c r="N652" s="7">
        <f>'1 datos preparados'!M645</f>
        <v/>
      </c>
      <c r="O652" s="7">
        <f>'1 datos preparados'!N645</f>
        <v/>
      </c>
      <c r="P652" s="7">
        <f>'1 datos preparados'!O645</f>
        <v/>
      </c>
      <c r="Q652" s="7">
        <f>'1 datos preparados'!P645</f>
        <v/>
      </c>
      <c r="R652" s="7">
        <f>'1 datos preparados'!Q645</f>
        <v/>
      </c>
      <c r="S652" s="7">
        <f>'1 datos preparados'!R645</f>
        <v/>
      </c>
      <c r="T652" s="7">
        <f>'1 datos preparados'!S645</f>
        <v/>
      </c>
      <c r="U652" s="7">
        <f>'1 datos preparados'!T645</f>
        <v/>
      </c>
      <c r="V652" s="8">
        <f>$AC$12+D652*$AC$13+E652*$AC$14+F652*$AC$15+G652*$AC$16+H652*$AC$17+I652*$AC$18+J652*$AC$19+K652*$AC$20+L652*$AC$21+M652*$AC$22+N652*$AC$23+O652*$AC$24+P652*$AC$25+Q652*$AC$26+R652*$AC$27+S652*$AC$28+T652*$AC$29+U652*$AC$30</f>
        <v/>
      </c>
      <c r="W652" s="8">
        <f>1/(1+EXP(-V652))</f>
        <v/>
      </c>
      <c r="X652" s="9">
        <f>-IF(C652=1,LN(W652),LN(1-W652))</f>
        <v/>
      </c>
      <c r="Y652" s="10">
        <f>IF(W652&gt;$AC$33,1,0)</f>
        <v/>
      </c>
      <c r="Z652">
        <f>IF(Y652=C652,1,0)</f>
        <v/>
      </c>
    </row>
    <row r="653">
      <c r="A653">
        <f>'1 datos preparados'!A646</f>
        <v/>
      </c>
      <c r="B653" s="5">
        <f>'1 datos preparados'!U646</f>
        <v/>
      </c>
      <c r="C653">
        <f>'1 datos preparados'!B646</f>
        <v/>
      </c>
      <c r="D653" s="7">
        <f>'1 datos preparados'!C646</f>
        <v/>
      </c>
      <c r="E653" s="7">
        <f>'1 datos preparados'!D646</f>
        <v/>
      </c>
      <c r="F653" s="7">
        <f>'1 datos preparados'!E646</f>
        <v/>
      </c>
      <c r="G653" s="7">
        <f>'1 datos preparados'!F646</f>
        <v/>
      </c>
      <c r="H653" s="7">
        <f>'1 datos preparados'!G646</f>
        <v/>
      </c>
      <c r="I653" s="7">
        <f>'1 datos preparados'!H646</f>
        <v/>
      </c>
      <c r="J653" s="7">
        <f>'1 datos preparados'!I646</f>
        <v/>
      </c>
      <c r="K653" s="7">
        <f>'1 datos preparados'!J646</f>
        <v/>
      </c>
      <c r="L653" s="7">
        <f>'1 datos preparados'!K646</f>
        <v/>
      </c>
      <c r="M653" s="7">
        <f>'1 datos preparados'!L646</f>
        <v/>
      </c>
      <c r="N653" s="7">
        <f>'1 datos preparados'!M646</f>
        <v/>
      </c>
      <c r="O653" s="7">
        <f>'1 datos preparados'!N646</f>
        <v/>
      </c>
      <c r="P653" s="7">
        <f>'1 datos preparados'!O646</f>
        <v/>
      </c>
      <c r="Q653" s="7">
        <f>'1 datos preparados'!P646</f>
        <v/>
      </c>
      <c r="R653" s="7">
        <f>'1 datos preparados'!Q646</f>
        <v/>
      </c>
      <c r="S653" s="7">
        <f>'1 datos preparados'!R646</f>
        <v/>
      </c>
      <c r="T653" s="7">
        <f>'1 datos preparados'!S646</f>
        <v/>
      </c>
      <c r="U653" s="7">
        <f>'1 datos preparados'!T646</f>
        <v/>
      </c>
      <c r="V653" s="8">
        <f>$AC$12+D653*$AC$13+E653*$AC$14+F653*$AC$15+G653*$AC$16+H653*$AC$17+I653*$AC$18+J653*$AC$19+K653*$AC$20+L653*$AC$21+M653*$AC$22+N653*$AC$23+O653*$AC$24+P653*$AC$25+Q653*$AC$26+R653*$AC$27+S653*$AC$28+T653*$AC$29+U653*$AC$30</f>
        <v/>
      </c>
      <c r="W653" s="8">
        <f>1/(1+EXP(-V653))</f>
        <v/>
      </c>
      <c r="X653" s="9">
        <f>-IF(C653=1,LN(W653),LN(1-W653))</f>
        <v/>
      </c>
      <c r="Y653" s="10">
        <f>IF(W653&gt;$AC$33,1,0)</f>
        <v/>
      </c>
      <c r="Z653">
        <f>IF(Y653=C653,1,0)</f>
        <v/>
      </c>
    </row>
    <row r="654">
      <c r="A654">
        <f>'1 datos preparados'!A647</f>
        <v/>
      </c>
      <c r="B654" s="5">
        <f>'1 datos preparados'!U647</f>
        <v/>
      </c>
      <c r="C654">
        <f>'1 datos preparados'!B647</f>
        <v/>
      </c>
      <c r="D654" s="7">
        <f>'1 datos preparados'!C647</f>
        <v/>
      </c>
      <c r="E654" s="7">
        <f>'1 datos preparados'!D647</f>
        <v/>
      </c>
      <c r="F654" s="7">
        <f>'1 datos preparados'!E647</f>
        <v/>
      </c>
      <c r="G654" s="7">
        <f>'1 datos preparados'!F647</f>
        <v/>
      </c>
      <c r="H654" s="7">
        <f>'1 datos preparados'!G647</f>
        <v/>
      </c>
      <c r="I654" s="7">
        <f>'1 datos preparados'!H647</f>
        <v/>
      </c>
      <c r="J654" s="7">
        <f>'1 datos preparados'!I647</f>
        <v/>
      </c>
      <c r="K654" s="7">
        <f>'1 datos preparados'!J647</f>
        <v/>
      </c>
      <c r="L654" s="7">
        <f>'1 datos preparados'!K647</f>
        <v/>
      </c>
      <c r="M654" s="7">
        <f>'1 datos preparados'!L647</f>
        <v/>
      </c>
      <c r="N654" s="7">
        <f>'1 datos preparados'!M647</f>
        <v/>
      </c>
      <c r="O654" s="7">
        <f>'1 datos preparados'!N647</f>
        <v/>
      </c>
      <c r="P654" s="7">
        <f>'1 datos preparados'!O647</f>
        <v/>
      </c>
      <c r="Q654" s="7">
        <f>'1 datos preparados'!P647</f>
        <v/>
      </c>
      <c r="R654" s="7">
        <f>'1 datos preparados'!Q647</f>
        <v/>
      </c>
      <c r="S654" s="7">
        <f>'1 datos preparados'!R647</f>
        <v/>
      </c>
      <c r="T654" s="7">
        <f>'1 datos preparados'!S647</f>
        <v/>
      </c>
      <c r="U654" s="7">
        <f>'1 datos preparados'!T647</f>
        <v/>
      </c>
      <c r="V654" s="8">
        <f>$AC$12+D654*$AC$13+E654*$AC$14+F654*$AC$15+G654*$AC$16+H654*$AC$17+I654*$AC$18+J654*$AC$19+K654*$AC$20+L654*$AC$21+M654*$AC$22+N654*$AC$23+O654*$AC$24+P654*$AC$25+Q654*$AC$26+R654*$AC$27+S654*$AC$28+T654*$AC$29+U654*$AC$30</f>
        <v/>
      </c>
      <c r="W654" s="8">
        <f>1/(1+EXP(-V654))</f>
        <v/>
      </c>
      <c r="X654" s="9">
        <f>-IF(C654=1,LN(W654),LN(1-W654))</f>
        <v/>
      </c>
      <c r="Y654" s="10">
        <f>IF(W654&gt;$AC$33,1,0)</f>
        <v/>
      </c>
      <c r="Z654">
        <f>IF(Y654=C654,1,0)</f>
        <v/>
      </c>
    </row>
    <row r="655">
      <c r="A655">
        <f>'1 datos preparados'!A648</f>
        <v/>
      </c>
      <c r="B655" s="5">
        <f>'1 datos preparados'!U648</f>
        <v/>
      </c>
      <c r="C655">
        <f>'1 datos preparados'!B648</f>
        <v/>
      </c>
      <c r="D655" s="7">
        <f>'1 datos preparados'!C648</f>
        <v/>
      </c>
      <c r="E655" s="7">
        <f>'1 datos preparados'!D648</f>
        <v/>
      </c>
      <c r="F655" s="7">
        <f>'1 datos preparados'!E648</f>
        <v/>
      </c>
      <c r="G655" s="7">
        <f>'1 datos preparados'!F648</f>
        <v/>
      </c>
      <c r="H655" s="7">
        <f>'1 datos preparados'!G648</f>
        <v/>
      </c>
      <c r="I655" s="7">
        <f>'1 datos preparados'!H648</f>
        <v/>
      </c>
      <c r="J655" s="7">
        <f>'1 datos preparados'!I648</f>
        <v/>
      </c>
      <c r="K655" s="7">
        <f>'1 datos preparados'!J648</f>
        <v/>
      </c>
      <c r="L655" s="7">
        <f>'1 datos preparados'!K648</f>
        <v/>
      </c>
      <c r="M655" s="7">
        <f>'1 datos preparados'!L648</f>
        <v/>
      </c>
      <c r="N655" s="7">
        <f>'1 datos preparados'!M648</f>
        <v/>
      </c>
      <c r="O655" s="7">
        <f>'1 datos preparados'!N648</f>
        <v/>
      </c>
      <c r="P655" s="7">
        <f>'1 datos preparados'!O648</f>
        <v/>
      </c>
      <c r="Q655" s="7">
        <f>'1 datos preparados'!P648</f>
        <v/>
      </c>
      <c r="R655" s="7">
        <f>'1 datos preparados'!Q648</f>
        <v/>
      </c>
      <c r="S655" s="7">
        <f>'1 datos preparados'!R648</f>
        <v/>
      </c>
      <c r="T655" s="7">
        <f>'1 datos preparados'!S648</f>
        <v/>
      </c>
      <c r="U655" s="7">
        <f>'1 datos preparados'!T648</f>
        <v/>
      </c>
      <c r="V655" s="8">
        <f>$AC$12+D655*$AC$13+E655*$AC$14+F655*$AC$15+G655*$AC$16+H655*$AC$17+I655*$AC$18+J655*$AC$19+K655*$AC$20+L655*$AC$21+M655*$AC$22+N655*$AC$23+O655*$AC$24+P655*$AC$25+Q655*$AC$26+R655*$AC$27+S655*$AC$28+T655*$AC$29+U655*$AC$30</f>
        <v/>
      </c>
      <c r="W655" s="8">
        <f>1/(1+EXP(-V655))</f>
        <v/>
      </c>
      <c r="X655" s="9">
        <f>-IF(C655=1,LN(W655),LN(1-W655))</f>
        <v/>
      </c>
      <c r="Y655" s="10">
        <f>IF(W655&gt;$AC$33,1,0)</f>
        <v/>
      </c>
      <c r="Z655">
        <f>IF(Y655=C655,1,0)</f>
        <v/>
      </c>
    </row>
    <row r="656">
      <c r="A656">
        <f>'1 datos preparados'!A649</f>
        <v/>
      </c>
      <c r="B656" s="5">
        <f>'1 datos preparados'!U649</f>
        <v/>
      </c>
      <c r="C656">
        <f>'1 datos preparados'!B649</f>
        <v/>
      </c>
      <c r="D656" s="7">
        <f>'1 datos preparados'!C649</f>
        <v/>
      </c>
      <c r="E656" s="7">
        <f>'1 datos preparados'!D649</f>
        <v/>
      </c>
      <c r="F656" s="7">
        <f>'1 datos preparados'!E649</f>
        <v/>
      </c>
      <c r="G656" s="7">
        <f>'1 datos preparados'!F649</f>
        <v/>
      </c>
      <c r="H656" s="7">
        <f>'1 datos preparados'!G649</f>
        <v/>
      </c>
      <c r="I656" s="7">
        <f>'1 datos preparados'!H649</f>
        <v/>
      </c>
      <c r="J656" s="7">
        <f>'1 datos preparados'!I649</f>
        <v/>
      </c>
      <c r="K656" s="7">
        <f>'1 datos preparados'!J649</f>
        <v/>
      </c>
      <c r="L656" s="7">
        <f>'1 datos preparados'!K649</f>
        <v/>
      </c>
      <c r="M656" s="7">
        <f>'1 datos preparados'!L649</f>
        <v/>
      </c>
      <c r="N656" s="7">
        <f>'1 datos preparados'!M649</f>
        <v/>
      </c>
      <c r="O656" s="7">
        <f>'1 datos preparados'!N649</f>
        <v/>
      </c>
      <c r="P656" s="7">
        <f>'1 datos preparados'!O649</f>
        <v/>
      </c>
      <c r="Q656" s="7">
        <f>'1 datos preparados'!P649</f>
        <v/>
      </c>
      <c r="R656" s="7">
        <f>'1 datos preparados'!Q649</f>
        <v/>
      </c>
      <c r="S656" s="7">
        <f>'1 datos preparados'!R649</f>
        <v/>
      </c>
      <c r="T656" s="7">
        <f>'1 datos preparados'!S649</f>
        <v/>
      </c>
      <c r="U656" s="7">
        <f>'1 datos preparados'!T649</f>
        <v/>
      </c>
      <c r="V656" s="8">
        <f>$AC$12+D656*$AC$13+E656*$AC$14+F656*$AC$15+G656*$AC$16+H656*$AC$17+I656*$AC$18+J656*$AC$19+K656*$AC$20+L656*$AC$21+M656*$AC$22+N656*$AC$23+O656*$AC$24+P656*$AC$25+Q656*$AC$26+R656*$AC$27+S656*$AC$28+T656*$AC$29+U656*$AC$30</f>
        <v/>
      </c>
      <c r="W656" s="8">
        <f>1/(1+EXP(-V656))</f>
        <v/>
      </c>
      <c r="X656" s="9">
        <f>-IF(C656=1,LN(W656),LN(1-W656))</f>
        <v/>
      </c>
      <c r="Y656" s="10">
        <f>IF(W656&gt;$AC$33,1,0)</f>
        <v/>
      </c>
      <c r="Z656">
        <f>IF(Y656=C656,1,0)</f>
        <v/>
      </c>
    </row>
    <row r="657">
      <c r="A657">
        <f>'1 datos preparados'!A650</f>
        <v/>
      </c>
      <c r="B657" s="5">
        <f>'1 datos preparados'!U650</f>
        <v/>
      </c>
      <c r="C657">
        <f>'1 datos preparados'!B650</f>
        <v/>
      </c>
      <c r="D657" s="7">
        <f>'1 datos preparados'!C650</f>
        <v/>
      </c>
      <c r="E657" s="7">
        <f>'1 datos preparados'!D650</f>
        <v/>
      </c>
      <c r="F657" s="7">
        <f>'1 datos preparados'!E650</f>
        <v/>
      </c>
      <c r="G657" s="7">
        <f>'1 datos preparados'!F650</f>
        <v/>
      </c>
      <c r="H657" s="7">
        <f>'1 datos preparados'!G650</f>
        <v/>
      </c>
      <c r="I657" s="7">
        <f>'1 datos preparados'!H650</f>
        <v/>
      </c>
      <c r="J657" s="7">
        <f>'1 datos preparados'!I650</f>
        <v/>
      </c>
      <c r="K657" s="7">
        <f>'1 datos preparados'!J650</f>
        <v/>
      </c>
      <c r="L657" s="7">
        <f>'1 datos preparados'!K650</f>
        <v/>
      </c>
      <c r="M657" s="7">
        <f>'1 datos preparados'!L650</f>
        <v/>
      </c>
      <c r="N657" s="7">
        <f>'1 datos preparados'!M650</f>
        <v/>
      </c>
      <c r="O657" s="7">
        <f>'1 datos preparados'!N650</f>
        <v/>
      </c>
      <c r="P657" s="7">
        <f>'1 datos preparados'!O650</f>
        <v/>
      </c>
      <c r="Q657" s="7">
        <f>'1 datos preparados'!P650</f>
        <v/>
      </c>
      <c r="R657" s="7">
        <f>'1 datos preparados'!Q650</f>
        <v/>
      </c>
      <c r="S657" s="7">
        <f>'1 datos preparados'!R650</f>
        <v/>
      </c>
      <c r="T657" s="7">
        <f>'1 datos preparados'!S650</f>
        <v/>
      </c>
      <c r="U657" s="7">
        <f>'1 datos preparados'!T650</f>
        <v/>
      </c>
      <c r="V657" s="8">
        <f>$AC$12+D657*$AC$13+E657*$AC$14+F657*$AC$15+G657*$AC$16+H657*$AC$17+I657*$AC$18+J657*$AC$19+K657*$AC$20+L657*$AC$21+M657*$AC$22+N657*$AC$23+O657*$AC$24+P657*$AC$25+Q657*$AC$26+R657*$AC$27+S657*$AC$28+T657*$AC$29+U657*$AC$30</f>
        <v/>
      </c>
      <c r="W657" s="8">
        <f>1/(1+EXP(-V657))</f>
        <v/>
      </c>
      <c r="X657" s="9">
        <f>-IF(C657=1,LN(W657),LN(1-W657))</f>
        <v/>
      </c>
      <c r="Y657" s="10">
        <f>IF(W657&gt;$AC$33,1,0)</f>
        <v/>
      </c>
      <c r="Z657">
        <f>IF(Y657=C657,1,0)</f>
        <v/>
      </c>
    </row>
    <row r="658">
      <c r="A658">
        <f>'1 datos preparados'!A651</f>
        <v/>
      </c>
      <c r="B658" s="5">
        <f>'1 datos preparados'!U651</f>
        <v/>
      </c>
      <c r="C658">
        <f>'1 datos preparados'!B651</f>
        <v/>
      </c>
      <c r="D658" s="7">
        <f>'1 datos preparados'!C651</f>
        <v/>
      </c>
      <c r="E658" s="7">
        <f>'1 datos preparados'!D651</f>
        <v/>
      </c>
      <c r="F658" s="7">
        <f>'1 datos preparados'!E651</f>
        <v/>
      </c>
      <c r="G658" s="7">
        <f>'1 datos preparados'!F651</f>
        <v/>
      </c>
      <c r="H658" s="7">
        <f>'1 datos preparados'!G651</f>
        <v/>
      </c>
      <c r="I658" s="7">
        <f>'1 datos preparados'!H651</f>
        <v/>
      </c>
      <c r="J658" s="7">
        <f>'1 datos preparados'!I651</f>
        <v/>
      </c>
      <c r="K658" s="7">
        <f>'1 datos preparados'!J651</f>
        <v/>
      </c>
      <c r="L658" s="7">
        <f>'1 datos preparados'!K651</f>
        <v/>
      </c>
      <c r="M658" s="7">
        <f>'1 datos preparados'!L651</f>
        <v/>
      </c>
      <c r="N658" s="7">
        <f>'1 datos preparados'!M651</f>
        <v/>
      </c>
      <c r="O658" s="7">
        <f>'1 datos preparados'!N651</f>
        <v/>
      </c>
      <c r="P658" s="7">
        <f>'1 datos preparados'!O651</f>
        <v/>
      </c>
      <c r="Q658" s="7">
        <f>'1 datos preparados'!P651</f>
        <v/>
      </c>
      <c r="R658" s="7">
        <f>'1 datos preparados'!Q651</f>
        <v/>
      </c>
      <c r="S658" s="7">
        <f>'1 datos preparados'!R651</f>
        <v/>
      </c>
      <c r="T658" s="7">
        <f>'1 datos preparados'!S651</f>
        <v/>
      </c>
      <c r="U658" s="7">
        <f>'1 datos preparados'!T651</f>
        <v/>
      </c>
      <c r="V658" s="8">
        <f>$AC$12+D658*$AC$13+E658*$AC$14+F658*$AC$15+G658*$AC$16+H658*$AC$17+I658*$AC$18+J658*$AC$19+K658*$AC$20+L658*$AC$21+M658*$AC$22+N658*$AC$23+O658*$AC$24+P658*$AC$25+Q658*$AC$26+R658*$AC$27+S658*$AC$28+T658*$AC$29+U658*$AC$30</f>
        <v/>
      </c>
      <c r="W658" s="8">
        <f>1/(1+EXP(-V658))</f>
        <v/>
      </c>
      <c r="X658" s="9">
        <f>-IF(C658=1,LN(W658),LN(1-W658))</f>
        <v/>
      </c>
      <c r="Y658" s="10">
        <f>IF(W658&gt;$AC$33,1,0)</f>
        <v/>
      </c>
      <c r="Z658">
        <f>IF(Y658=C658,1,0)</f>
        <v/>
      </c>
    </row>
    <row r="659">
      <c r="A659">
        <f>'1 datos preparados'!A652</f>
        <v/>
      </c>
      <c r="B659" s="5">
        <f>'1 datos preparados'!U652</f>
        <v/>
      </c>
      <c r="C659">
        <f>'1 datos preparados'!B652</f>
        <v/>
      </c>
      <c r="D659" s="7">
        <f>'1 datos preparados'!C652</f>
        <v/>
      </c>
      <c r="E659" s="7">
        <f>'1 datos preparados'!D652</f>
        <v/>
      </c>
      <c r="F659" s="7">
        <f>'1 datos preparados'!E652</f>
        <v/>
      </c>
      <c r="G659" s="7">
        <f>'1 datos preparados'!F652</f>
        <v/>
      </c>
      <c r="H659" s="7">
        <f>'1 datos preparados'!G652</f>
        <v/>
      </c>
      <c r="I659" s="7">
        <f>'1 datos preparados'!H652</f>
        <v/>
      </c>
      <c r="J659" s="7">
        <f>'1 datos preparados'!I652</f>
        <v/>
      </c>
      <c r="K659" s="7">
        <f>'1 datos preparados'!J652</f>
        <v/>
      </c>
      <c r="L659" s="7">
        <f>'1 datos preparados'!K652</f>
        <v/>
      </c>
      <c r="M659" s="7">
        <f>'1 datos preparados'!L652</f>
        <v/>
      </c>
      <c r="N659" s="7">
        <f>'1 datos preparados'!M652</f>
        <v/>
      </c>
      <c r="O659" s="7">
        <f>'1 datos preparados'!N652</f>
        <v/>
      </c>
      <c r="P659" s="7">
        <f>'1 datos preparados'!O652</f>
        <v/>
      </c>
      <c r="Q659" s="7">
        <f>'1 datos preparados'!P652</f>
        <v/>
      </c>
      <c r="R659" s="7">
        <f>'1 datos preparados'!Q652</f>
        <v/>
      </c>
      <c r="S659" s="7">
        <f>'1 datos preparados'!R652</f>
        <v/>
      </c>
      <c r="T659" s="7">
        <f>'1 datos preparados'!S652</f>
        <v/>
      </c>
      <c r="U659" s="7">
        <f>'1 datos preparados'!T652</f>
        <v/>
      </c>
      <c r="V659" s="8">
        <f>$AC$12+D659*$AC$13+E659*$AC$14+F659*$AC$15+G659*$AC$16+H659*$AC$17+I659*$AC$18+J659*$AC$19+K659*$AC$20+L659*$AC$21+M659*$AC$22+N659*$AC$23+O659*$AC$24+P659*$AC$25+Q659*$AC$26+R659*$AC$27+S659*$AC$28+T659*$AC$29+U659*$AC$30</f>
        <v/>
      </c>
      <c r="W659" s="8">
        <f>1/(1+EXP(-V659))</f>
        <v/>
      </c>
      <c r="X659" s="9">
        <f>-IF(C659=1,LN(W659),LN(1-W659))</f>
        <v/>
      </c>
      <c r="Y659" s="10">
        <f>IF(W659&gt;$AC$33,1,0)</f>
        <v/>
      </c>
      <c r="Z659">
        <f>IF(Y659=C659,1,0)</f>
        <v/>
      </c>
    </row>
    <row r="660">
      <c r="A660">
        <f>'1 datos preparados'!A653</f>
        <v/>
      </c>
      <c r="B660" s="5">
        <f>'1 datos preparados'!U653</f>
        <v/>
      </c>
      <c r="C660">
        <f>'1 datos preparados'!B653</f>
        <v/>
      </c>
      <c r="D660" s="7">
        <f>'1 datos preparados'!C653</f>
        <v/>
      </c>
      <c r="E660" s="7">
        <f>'1 datos preparados'!D653</f>
        <v/>
      </c>
      <c r="F660" s="7">
        <f>'1 datos preparados'!E653</f>
        <v/>
      </c>
      <c r="G660" s="7">
        <f>'1 datos preparados'!F653</f>
        <v/>
      </c>
      <c r="H660" s="7">
        <f>'1 datos preparados'!G653</f>
        <v/>
      </c>
      <c r="I660" s="7">
        <f>'1 datos preparados'!H653</f>
        <v/>
      </c>
      <c r="J660" s="7">
        <f>'1 datos preparados'!I653</f>
        <v/>
      </c>
      <c r="K660" s="7">
        <f>'1 datos preparados'!J653</f>
        <v/>
      </c>
      <c r="L660" s="7">
        <f>'1 datos preparados'!K653</f>
        <v/>
      </c>
      <c r="M660" s="7">
        <f>'1 datos preparados'!L653</f>
        <v/>
      </c>
      <c r="N660" s="7">
        <f>'1 datos preparados'!M653</f>
        <v/>
      </c>
      <c r="O660" s="7">
        <f>'1 datos preparados'!N653</f>
        <v/>
      </c>
      <c r="P660" s="7">
        <f>'1 datos preparados'!O653</f>
        <v/>
      </c>
      <c r="Q660" s="7">
        <f>'1 datos preparados'!P653</f>
        <v/>
      </c>
      <c r="R660" s="7">
        <f>'1 datos preparados'!Q653</f>
        <v/>
      </c>
      <c r="S660" s="7">
        <f>'1 datos preparados'!R653</f>
        <v/>
      </c>
      <c r="T660" s="7">
        <f>'1 datos preparados'!S653</f>
        <v/>
      </c>
      <c r="U660" s="7">
        <f>'1 datos preparados'!T653</f>
        <v/>
      </c>
      <c r="V660" s="8">
        <f>$AC$12+D660*$AC$13+E660*$AC$14+F660*$AC$15+G660*$AC$16+H660*$AC$17+I660*$AC$18+J660*$AC$19+K660*$AC$20+L660*$AC$21+M660*$AC$22+N660*$AC$23+O660*$AC$24+P660*$AC$25+Q660*$AC$26+R660*$AC$27+S660*$AC$28+T660*$AC$29+U660*$AC$30</f>
        <v/>
      </c>
      <c r="W660" s="8">
        <f>1/(1+EXP(-V660))</f>
        <v/>
      </c>
      <c r="X660" s="9">
        <f>-IF(C660=1,LN(W660),LN(1-W660))</f>
        <v/>
      </c>
      <c r="Y660" s="10">
        <f>IF(W660&gt;$AC$33,1,0)</f>
        <v/>
      </c>
      <c r="Z660">
        <f>IF(Y660=C660,1,0)</f>
        <v/>
      </c>
    </row>
    <row r="661">
      <c r="A661">
        <f>'1 datos preparados'!A654</f>
        <v/>
      </c>
      <c r="B661" s="5">
        <f>'1 datos preparados'!U654</f>
        <v/>
      </c>
      <c r="C661">
        <f>'1 datos preparados'!B654</f>
        <v/>
      </c>
      <c r="D661" s="7">
        <f>'1 datos preparados'!C654</f>
        <v/>
      </c>
      <c r="E661" s="7">
        <f>'1 datos preparados'!D654</f>
        <v/>
      </c>
      <c r="F661" s="7">
        <f>'1 datos preparados'!E654</f>
        <v/>
      </c>
      <c r="G661" s="7">
        <f>'1 datos preparados'!F654</f>
        <v/>
      </c>
      <c r="H661" s="7">
        <f>'1 datos preparados'!G654</f>
        <v/>
      </c>
      <c r="I661" s="7">
        <f>'1 datos preparados'!H654</f>
        <v/>
      </c>
      <c r="J661" s="7">
        <f>'1 datos preparados'!I654</f>
        <v/>
      </c>
      <c r="K661" s="7">
        <f>'1 datos preparados'!J654</f>
        <v/>
      </c>
      <c r="L661" s="7">
        <f>'1 datos preparados'!K654</f>
        <v/>
      </c>
      <c r="M661" s="7">
        <f>'1 datos preparados'!L654</f>
        <v/>
      </c>
      <c r="N661" s="7">
        <f>'1 datos preparados'!M654</f>
        <v/>
      </c>
      <c r="O661" s="7">
        <f>'1 datos preparados'!N654</f>
        <v/>
      </c>
      <c r="P661" s="7">
        <f>'1 datos preparados'!O654</f>
        <v/>
      </c>
      <c r="Q661" s="7">
        <f>'1 datos preparados'!P654</f>
        <v/>
      </c>
      <c r="R661" s="7">
        <f>'1 datos preparados'!Q654</f>
        <v/>
      </c>
      <c r="S661" s="7">
        <f>'1 datos preparados'!R654</f>
        <v/>
      </c>
      <c r="T661" s="7">
        <f>'1 datos preparados'!S654</f>
        <v/>
      </c>
      <c r="U661" s="7">
        <f>'1 datos preparados'!T654</f>
        <v/>
      </c>
      <c r="V661" s="8">
        <f>$AC$12+D661*$AC$13+E661*$AC$14+F661*$AC$15+G661*$AC$16+H661*$AC$17+I661*$AC$18+J661*$AC$19+K661*$AC$20+L661*$AC$21+M661*$AC$22+N661*$AC$23+O661*$AC$24+P661*$AC$25+Q661*$AC$26+R661*$AC$27+S661*$AC$28+T661*$AC$29+U661*$AC$30</f>
        <v/>
      </c>
      <c r="W661" s="8">
        <f>1/(1+EXP(-V661))</f>
        <v/>
      </c>
      <c r="X661" s="9">
        <f>-IF(C661=1,LN(W661),LN(1-W661))</f>
        <v/>
      </c>
      <c r="Y661" s="10">
        <f>IF(W661&gt;$AC$33,1,0)</f>
        <v/>
      </c>
      <c r="Z661">
        <f>IF(Y661=C661,1,0)</f>
        <v/>
      </c>
    </row>
    <row r="662">
      <c r="A662">
        <f>'1 datos preparados'!A655</f>
        <v/>
      </c>
      <c r="B662" s="5">
        <f>'1 datos preparados'!U655</f>
        <v/>
      </c>
      <c r="C662">
        <f>'1 datos preparados'!B655</f>
        <v/>
      </c>
      <c r="D662" s="7">
        <f>'1 datos preparados'!C655</f>
        <v/>
      </c>
      <c r="E662" s="7">
        <f>'1 datos preparados'!D655</f>
        <v/>
      </c>
      <c r="F662" s="7">
        <f>'1 datos preparados'!E655</f>
        <v/>
      </c>
      <c r="G662" s="7">
        <f>'1 datos preparados'!F655</f>
        <v/>
      </c>
      <c r="H662" s="7">
        <f>'1 datos preparados'!G655</f>
        <v/>
      </c>
      <c r="I662" s="7">
        <f>'1 datos preparados'!H655</f>
        <v/>
      </c>
      <c r="J662" s="7">
        <f>'1 datos preparados'!I655</f>
        <v/>
      </c>
      <c r="K662" s="7">
        <f>'1 datos preparados'!J655</f>
        <v/>
      </c>
      <c r="L662" s="7">
        <f>'1 datos preparados'!K655</f>
        <v/>
      </c>
      <c r="M662" s="7">
        <f>'1 datos preparados'!L655</f>
        <v/>
      </c>
      <c r="N662" s="7">
        <f>'1 datos preparados'!M655</f>
        <v/>
      </c>
      <c r="O662" s="7">
        <f>'1 datos preparados'!N655</f>
        <v/>
      </c>
      <c r="P662" s="7">
        <f>'1 datos preparados'!O655</f>
        <v/>
      </c>
      <c r="Q662" s="7">
        <f>'1 datos preparados'!P655</f>
        <v/>
      </c>
      <c r="R662" s="7">
        <f>'1 datos preparados'!Q655</f>
        <v/>
      </c>
      <c r="S662" s="7">
        <f>'1 datos preparados'!R655</f>
        <v/>
      </c>
      <c r="T662" s="7">
        <f>'1 datos preparados'!S655</f>
        <v/>
      </c>
      <c r="U662" s="7">
        <f>'1 datos preparados'!T655</f>
        <v/>
      </c>
      <c r="V662" s="8">
        <f>$AC$12+D662*$AC$13+E662*$AC$14+F662*$AC$15+G662*$AC$16+H662*$AC$17+I662*$AC$18+J662*$AC$19+K662*$AC$20+L662*$AC$21+M662*$AC$22+N662*$AC$23+O662*$AC$24+P662*$AC$25+Q662*$AC$26+R662*$AC$27+S662*$AC$28+T662*$AC$29+U662*$AC$30</f>
        <v/>
      </c>
      <c r="W662" s="8">
        <f>1/(1+EXP(-V662))</f>
        <v/>
      </c>
      <c r="X662" s="9">
        <f>-IF(C662=1,LN(W662),LN(1-W662))</f>
        <v/>
      </c>
      <c r="Y662" s="10">
        <f>IF(W662&gt;$AC$33,1,0)</f>
        <v/>
      </c>
      <c r="Z662">
        <f>IF(Y662=C662,1,0)</f>
        <v/>
      </c>
    </row>
    <row r="663">
      <c r="A663">
        <f>'1 datos preparados'!A656</f>
        <v/>
      </c>
      <c r="B663" s="5">
        <f>'1 datos preparados'!U656</f>
        <v/>
      </c>
      <c r="C663">
        <f>'1 datos preparados'!B656</f>
        <v/>
      </c>
      <c r="D663" s="7">
        <f>'1 datos preparados'!C656</f>
        <v/>
      </c>
      <c r="E663" s="7">
        <f>'1 datos preparados'!D656</f>
        <v/>
      </c>
      <c r="F663" s="7">
        <f>'1 datos preparados'!E656</f>
        <v/>
      </c>
      <c r="G663" s="7">
        <f>'1 datos preparados'!F656</f>
        <v/>
      </c>
      <c r="H663" s="7">
        <f>'1 datos preparados'!G656</f>
        <v/>
      </c>
      <c r="I663" s="7">
        <f>'1 datos preparados'!H656</f>
        <v/>
      </c>
      <c r="J663" s="7">
        <f>'1 datos preparados'!I656</f>
        <v/>
      </c>
      <c r="K663" s="7">
        <f>'1 datos preparados'!J656</f>
        <v/>
      </c>
      <c r="L663" s="7">
        <f>'1 datos preparados'!K656</f>
        <v/>
      </c>
      <c r="M663" s="7">
        <f>'1 datos preparados'!L656</f>
        <v/>
      </c>
      <c r="N663" s="7">
        <f>'1 datos preparados'!M656</f>
        <v/>
      </c>
      <c r="O663" s="7">
        <f>'1 datos preparados'!N656</f>
        <v/>
      </c>
      <c r="P663" s="7">
        <f>'1 datos preparados'!O656</f>
        <v/>
      </c>
      <c r="Q663" s="7">
        <f>'1 datos preparados'!P656</f>
        <v/>
      </c>
      <c r="R663" s="7">
        <f>'1 datos preparados'!Q656</f>
        <v/>
      </c>
      <c r="S663" s="7">
        <f>'1 datos preparados'!R656</f>
        <v/>
      </c>
      <c r="T663" s="7">
        <f>'1 datos preparados'!S656</f>
        <v/>
      </c>
      <c r="U663" s="7">
        <f>'1 datos preparados'!T656</f>
        <v/>
      </c>
      <c r="V663" s="8">
        <f>$AC$12+D663*$AC$13+E663*$AC$14+F663*$AC$15+G663*$AC$16+H663*$AC$17+I663*$AC$18+J663*$AC$19+K663*$AC$20+L663*$AC$21+M663*$AC$22+N663*$AC$23+O663*$AC$24+P663*$AC$25+Q663*$AC$26+R663*$AC$27+S663*$AC$28+T663*$AC$29+U663*$AC$30</f>
        <v/>
      </c>
      <c r="W663" s="8">
        <f>1/(1+EXP(-V663))</f>
        <v/>
      </c>
      <c r="X663" s="9">
        <f>-IF(C663=1,LN(W663),LN(1-W663))</f>
        <v/>
      </c>
      <c r="Y663" s="10">
        <f>IF(W663&gt;$AC$33,1,0)</f>
        <v/>
      </c>
      <c r="Z663">
        <f>IF(Y663=C663,1,0)</f>
        <v/>
      </c>
    </row>
    <row r="664">
      <c r="A664">
        <f>'1 datos preparados'!A657</f>
        <v/>
      </c>
      <c r="B664" s="5">
        <f>'1 datos preparados'!U657</f>
        <v/>
      </c>
      <c r="C664">
        <f>'1 datos preparados'!B657</f>
        <v/>
      </c>
      <c r="D664" s="7">
        <f>'1 datos preparados'!C657</f>
        <v/>
      </c>
      <c r="E664" s="7">
        <f>'1 datos preparados'!D657</f>
        <v/>
      </c>
      <c r="F664" s="7">
        <f>'1 datos preparados'!E657</f>
        <v/>
      </c>
      <c r="G664" s="7">
        <f>'1 datos preparados'!F657</f>
        <v/>
      </c>
      <c r="H664" s="7">
        <f>'1 datos preparados'!G657</f>
        <v/>
      </c>
      <c r="I664" s="7">
        <f>'1 datos preparados'!H657</f>
        <v/>
      </c>
      <c r="J664" s="7">
        <f>'1 datos preparados'!I657</f>
        <v/>
      </c>
      <c r="K664" s="7">
        <f>'1 datos preparados'!J657</f>
        <v/>
      </c>
      <c r="L664" s="7">
        <f>'1 datos preparados'!K657</f>
        <v/>
      </c>
      <c r="M664" s="7">
        <f>'1 datos preparados'!L657</f>
        <v/>
      </c>
      <c r="N664" s="7">
        <f>'1 datos preparados'!M657</f>
        <v/>
      </c>
      <c r="O664" s="7">
        <f>'1 datos preparados'!N657</f>
        <v/>
      </c>
      <c r="P664" s="7">
        <f>'1 datos preparados'!O657</f>
        <v/>
      </c>
      <c r="Q664" s="7">
        <f>'1 datos preparados'!P657</f>
        <v/>
      </c>
      <c r="R664" s="7">
        <f>'1 datos preparados'!Q657</f>
        <v/>
      </c>
      <c r="S664" s="7">
        <f>'1 datos preparados'!R657</f>
        <v/>
      </c>
      <c r="T664" s="7">
        <f>'1 datos preparados'!S657</f>
        <v/>
      </c>
      <c r="U664" s="7">
        <f>'1 datos preparados'!T657</f>
        <v/>
      </c>
      <c r="V664" s="8">
        <f>$AC$12+D664*$AC$13+E664*$AC$14+F664*$AC$15+G664*$AC$16+H664*$AC$17+I664*$AC$18+J664*$AC$19+K664*$AC$20+L664*$AC$21+M664*$AC$22+N664*$AC$23+O664*$AC$24+P664*$AC$25+Q664*$AC$26+R664*$AC$27+S664*$AC$28+T664*$AC$29+U664*$AC$30</f>
        <v/>
      </c>
      <c r="W664" s="8">
        <f>1/(1+EXP(-V664))</f>
        <v/>
      </c>
      <c r="X664" s="9">
        <f>-IF(C664=1,LN(W664),LN(1-W664))</f>
        <v/>
      </c>
      <c r="Y664" s="10">
        <f>IF(W664&gt;$AC$33,1,0)</f>
        <v/>
      </c>
      <c r="Z664">
        <f>IF(Y664=C664,1,0)</f>
        <v/>
      </c>
    </row>
    <row r="665">
      <c r="A665">
        <f>'1 datos preparados'!A658</f>
        <v/>
      </c>
      <c r="B665" s="5">
        <f>'1 datos preparados'!U658</f>
        <v/>
      </c>
      <c r="C665">
        <f>'1 datos preparados'!B658</f>
        <v/>
      </c>
      <c r="D665" s="7">
        <f>'1 datos preparados'!C658</f>
        <v/>
      </c>
      <c r="E665" s="7">
        <f>'1 datos preparados'!D658</f>
        <v/>
      </c>
      <c r="F665" s="7">
        <f>'1 datos preparados'!E658</f>
        <v/>
      </c>
      <c r="G665" s="7">
        <f>'1 datos preparados'!F658</f>
        <v/>
      </c>
      <c r="H665" s="7">
        <f>'1 datos preparados'!G658</f>
        <v/>
      </c>
      <c r="I665" s="7">
        <f>'1 datos preparados'!H658</f>
        <v/>
      </c>
      <c r="J665" s="7">
        <f>'1 datos preparados'!I658</f>
        <v/>
      </c>
      <c r="K665" s="7">
        <f>'1 datos preparados'!J658</f>
        <v/>
      </c>
      <c r="L665" s="7">
        <f>'1 datos preparados'!K658</f>
        <v/>
      </c>
      <c r="M665" s="7">
        <f>'1 datos preparados'!L658</f>
        <v/>
      </c>
      <c r="N665" s="7">
        <f>'1 datos preparados'!M658</f>
        <v/>
      </c>
      <c r="O665" s="7">
        <f>'1 datos preparados'!N658</f>
        <v/>
      </c>
      <c r="P665" s="7">
        <f>'1 datos preparados'!O658</f>
        <v/>
      </c>
      <c r="Q665" s="7">
        <f>'1 datos preparados'!P658</f>
        <v/>
      </c>
      <c r="R665" s="7">
        <f>'1 datos preparados'!Q658</f>
        <v/>
      </c>
      <c r="S665" s="7">
        <f>'1 datos preparados'!R658</f>
        <v/>
      </c>
      <c r="T665" s="7">
        <f>'1 datos preparados'!S658</f>
        <v/>
      </c>
      <c r="U665" s="7">
        <f>'1 datos preparados'!T658</f>
        <v/>
      </c>
      <c r="V665" s="8">
        <f>$AC$12+D665*$AC$13+E665*$AC$14+F665*$AC$15+G665*$AC$16+H665*$AC$17+I665*$AC$18+J665*$AC$19+K665*$AC$20+L665*$AC$21+M665*$AC$22+N665*$AC$23+O665*$AC$24+P665*$AC$25+Q665*$AC$26+R665*$AC$27+S665*$AC$28+T665*$AC$29+U665*$AC$30</f>
        <v/>
      </c>
      <c r="W665" s="8">
        <f>1/(1+EXP(-V665))</f>
        <v/>
      </c>
      <c r="X665" s="9">
        <f>-IF(C665=1,LN(W665),LN(1-W665))</f>
        <v/>
      </c>
      <c r="Y665" s="10">
        <f>IF(W665&gt;$AC$33,1,0)</f>
        <v/>
      </c>
      <c r="Z665">
        <f>IF(Y665=C665,1,0)</f>
        <v/>
      </c>
    </row>
    <row r="666">
      <c r="A666">
        <f>'1 datos preparados'!A659</f>
        <v/>
      </c>
      <c r="B666" s="5">
        <f>'1 datos preparados'!U659</f>
        <v/>
      </c>
      <c r="C666">
        <f>'1 datos preparados'!B659</f>
        <v/>
      </c>
      <c r="D666" s="7">
        <f>'1 datos preparados'!C659</f>
        <v/>
      </c>
      <c r="E666" s="7">
        <f>'1 datos preparados'!D659</f>
        <v/>
      </c>
      <c r="F666" s="7">
        <f>'1 datos preparados'!E659</f>
        <v/>
      </c>
      <c r="G666" s="7">
        <f>'1 datos preparados'!F659</f>
        <v/>
      </c>
      <c r="H666" s="7">
        <f>'1 datos preparados'!G659</f>
        <v/>
      </c>
      <c r="I666" s="7">
        <f>'1 datos preparados'!H659</f>
        <v/>
      </c>
      <c r="J666" s="7">
        <f>'1 datos preparados'!I659</f>
        <v/>
      </c>
      <c r="K666" s="7">
        <f>'1 datos preparados'!J659</f>
        <v/>
      </c>
      <c r="L666" s="7">
        <f>'1 datos preparados'!K659</f>
        <v/>
      </c>
      <c r="M666" s="7">
        <f>'1 datos preparados'!L659</f>
        <v/>
      </c>
      <c r="N666" s="7">
        <f>'1 datos preparados'!M659</f>
        <v/>
      </c>
      <c r="O666" s="7">
        <f>'1 datos preparados'!N659</f>
        <v/>
      </c>
      <c r="P666" s="7">
        <f>'1 datos preparados'!O659</f>
        <v/>
      </c>
      <c r="Q666" s="7">
        <f>'1 datos preparados'!P659</f>
        <v/>
      </c>
      <c r="R666" s="7">
        <f>'1 datos preparados'!Q659</f>
        <v/>
      </c>
      <c r="S666" s="7">
        <f>'1 datos preparados'!R659</f>
        <v/>
      </c>
      <c r="T666" s="7">
        <f>'1 datos preparados'!S659</f>
        <v/>
      </c>
      <c r="U666" s="7">
        <f>'1 datos preparados'!T659</f>
        <v/>
      </c>
      <c r="V666" s="8">
        <f>$AC$12+D666*$AC$13+E666*$AC$14+F666*$AC$15+G666*$AC$16+H666*$AC$17+I666*$AC$18+J666*$AC$19+K666*$AC$20+L666*$AC$21+M666*$AC$22+N666*$AC$23+O666*$AC$24+P666*$AC$25+Q666*$AC$26+R666*$AC$27+S666*$AC$28+T666*$AC$29+U666*$AC$30</f>
        <v/>
      </c>
      <c r="W666" s="8">
        <f>1/(1+EXP(-V666))</f>
        <v/>
      </c>
      <c r="X666" s="9">
        <f>-IF(C666=1,LN(W666),LN(1-W666))</f>
        <v/>
      </c>
      <c r="Y666" s="10">
        <f>IF(W666&gt;$AC$33,1,0)</f>
        <v/>
      </c>
      <c r="Z666">
        <f>IF(Y666=C666,1,0)</f>
        <v/>
      </c>
    </row>
    <row r="667">
      <c r="A667">
        <f>'1 datos preparados'!A660</f>
        <v/>
      </c>
      <c r="B667" s="5">
        <f>'1 datos preparados'!U660</f>
        <v/>
      </c>
      <c r="C667">
        <f>'1 datos preparados'!B660</f>
        <v/>
      </c>
      <c r="D667" s="7">
        <f>'1 datos preparados'!C660</f>
        <v/>
      </c>
      <c r="E667" s="7">
        <f>'1 datos preparados'!D660</f>
        <v/>
      </c>
      <c r="F667" s="7">
        <f>'1 datos preparados'!E660</f>
        <v/>
      </c>
      <c r="G667" s="7">
        <f>'1 datos preparados'!F660</f>
        <v/>
      </c>
      <c r="H667" s="7">
        <f>'1 datos preparados'!G660</f>
        <v/>
      </c>
      <c r="I667" s="7">
        <f>'1 datos preparados'!H660</f>
        <v/>
      </c>
      <c r="J667" s="7">
        <f>'1 datos preparados'!I660</f>
        <v/>
      </c>
      <c r="K667" s="7">
        <f>'1 datos preparados'!J660</f>
        <v/>
      </c>
      <c r="L667" s="7">
        <f>'1 datos preparados'!K660</f>
        <v/>
      </c>
      <c r="M667" s="7">
        <f>'1 datos preparados'!L660</f>
        <v/>
      </c>
      <c r="N667" s="7">
        <f>'1 datos preparados'!M660</f>
        <v/>
      </c>
      <c r="O667" s="7">
        <f>'1 datos preparados'!N660</f>
        <v/>
      </c>
      <c r="P667" s="7">
        <f>'1 datos preparados'!O660</f>
        <v/>
      </c>
      <c r="Q667" s="7">
        <f>'1 datos preparados'!P660</f>
        <v/>
      </c>
      <c r="R667" s="7">
        <f>'1 datos preparados'!Q660</f>
        <v/>
      </c>
      <c r="S667" s="7">
        <f>'1 datos preparados'!R660</f>
        <v/>
      </c>
      <c r="T667" s="7">
        <f>'1 datos preparados'!S660</f>
        <v/>
      </c>
      <c r="U667" s="7">
        <f>'1 datos preparados'!T660</f>
        <v/>
      </c>
      <c r="V667" s="8">
        <f>$AC$12+D667*$AC$13+E667*$AC$14+F667*$AC$15+G667*$AC$16+H667*$AC$17+I667*$AC$18+J667*$AC$19+K667*$AC$20+L667*$AC$21+M667*$AC$22+N667*$AC$23+O667*$AC$24+P667*$AC$25+Q667*$AC$26+R667*$AC$27+S667*$AC$28+T667*$AC$29+U667*$AC$30</f>
        <v/>
      </c>
      <c r="W667" s="8">
        <f>1/(1+EXP(-V667))</f>
        <v/>
      </c>
      <c r="X667" s="9">
        <f>-IF(C667=1,LN(W667),LN(1-W667))</f>
        <v/>
      </c>
      <c r="Y667" s="10">
        <f>IF(W667&gt;$AC$33,1,0)</f>
        <v/>
      </c>
      <c r="Z667">
        <f>IF(Y667=C667,1,0)</f>
        <v/>
      </c>
    </row>
    <row r="668">
      <c r="A668">
        <f>'1 datos preparados'!A661</f>
        <v/>
      </c>
      <c r="B668" s="5">
        <f>'1 datos preparados'!U661</f>
        <v/>
      </c>
      <c r="C668">
        <f>'1 datos preparados'!B661</f>
        <v/>
      </c>
      <c r="D668" s="7">
        <f>'1 datos preparados'!C661</f>
        <v/>
      </c>
      <c r="E668" s="7">
        <f>'1 datos preparados'!D661</f>
        <v/>
      </c>
      <c r="F668" s="7">
        <f>'1 datos preparados'!E661</f>
        <v/>
      </c>
      <c r="G668" s="7">
        <f>'1 datos preparados'!F661</f>
        <v/>
      </c>
      <c r="H668" s="7">
        <f>'1 datos preparados'!G661</f>
        <v/>
      </c>
      <c r="I668" s="7">
        <f>'1 datos preparados'!H661</f>
        <v/>
      </c>
      <c r="J668" s="7">
        <f>'1 datos preparados'!I661</f>
        <v/>
      </c>
      <c r="K668" s="7">
        <f>'1 datos preparados'!J661</f>
        <v/>
      </c>
      <c r="L668" s="7">
        <f>'1 datos preparados'!K661</f>
        <v/>
      </c>
      <c r="M668" s="7">
        <f>'1 datos preparados'!L661</f>
        <v/>
      </c>
      <c r="N668" s="7">
        <f>'1 datos preparados'!M661</f>
        <v/>
      </c>
      <c r="O668" s="7">
        <f>'1 datos preparados'!N661</f>
        <v/>
      </c>
      <c r="P668" s="7">
        <f>'1 datos preparados'!O661</f>
        <v/>
      </c>
      <c r="Q668" s="7">
        <f>'1 datos preparados'!P661</f>
        <v/>
      </c>
      <c r="R668" s="7">
        <f>'1 datos preparados'!Q661</f>
        <v/>
      </c>
      <c r="S668" s="7">
        <f>'1 datos preparados'!R661</f>
        <v/>
      </c>
      <c r="T668" s="7">
        <f>'1 datos preparados'!S661</f>
        <v/>
      </c>
      <c r="U668" s="7">
        <f>'1 datos preparados'!T661</f>
        <v/>
      </c>
      <c r="V668" s="8">
        <f>$AC$12+D668*$AC$13+E668*$AC$14+F668*$AC$15+G668*$AC$16+H668*$AC$17+I668*$AC$18+J668*$AC$19+K668*$AC$20+L668*$AC$21+M668*$AC$22+N668*$AC$23+O668*$AC$24+P668*$AC$25+Q668*$AC$26+R668*$AC$27+S668*$AC$28+T668*$AC$29+U668*$AC$30</f>
        <v/>
      </c>
      <c r="W668" s="8">
        <f>1/(1+EXP(-V668))</f>
        <v/>
      </c>
      <c r="X668" s="9">
        <f>-IF(C668=1,LN(W668),LN(1-W668))</f>
        <v/>
      </c>
      <c r="Y668" s="10">
        <f>IF(W668&gt;$AC$33,1,0)</f>
        <v/>
      </c>
      <c r="Z668">
        <f>IF(Y668=C668,1,0)</f>
        <v/>
      </c>
    </row>
    <row r="669">
      <c r="A669">
        <f>'1 datos preparados'!A662</f>
        <v/>
      </c>
      <c r="B669" s="5">
        <f>'1 datos preparados'!U662</f>
        <v/>
      </c>
      <c r="C669">
        <f>'1 datos preparados'!B662</f>
        <v/>
      </c>
      <c r="D669" s="7">
        <f>'1 datos preparados'!C662</f>
        <v/>
      </c>
      <c r="E669" s="7">
        <f>'1 datos preparados'!D662</f>
        <v/>
      </c>
      <c r="F669" s="7">
        <f>'1 datos preparados'!E662</f>
        <v/>
      </c>
      <c r="G669" s="7">
        <f>'1 datos preparados'!F662</f>
        <v/>
      </c>
      <c r="H669" s="7">
        <f>'1 datos preparados'!G662</f>
        <v/>
      </c>
      <c r="I669" s="7">
        <f>'1 datos preparados'!H662</f>
        <v/>
      </c>
      <c r="J669" s="7">
        <f>'1 datos preparados'!I662</f>
        <v/>
      </c>
      <c r="K669" s="7">
        <f>'1 datos preparados'!J662</f>
        <v/>
      </c>
      <c r="L669" s="7">
        <f>'1 datos preparados'!K662</f>
        <v/>
      </c>
      <c r="M669" s="7">
        <f>'1 datos preparados'!L662</f>
        <v/>
      </c>
      <c r="N669" s="7">
        <f>'1 datos preparados'!M662</f>
        <v/>
      </c>
      <c r="O669" s="7">
        <f>'1 datos preparados'!N662</f>
        <v/>
      </c>
      <c r="P669" s="7">
        <f>'1 datos preparados'!O662</f>
        <v/>
      </c>
      <c r="Q669" s="7">
        <f>'1 datos preparados'!P662</f>
        <v/>
      </c>
      <c r="R669" s="7">
        <f>'1 datos preparados'!Q662</f>
        <v/>
      </c>
      <c r="S669" s="7">
        <f>'1 datos preparados'!R662</f>
        <v/>
      </c>
      <c r="T669" s="7">
        <f>'1 datos preparados'!S662</f>
        <v/>
      </c>
      <c r="U669" s="7">
        <f>'1 datos preparados'!T662</f>
        <v/>
      </c>
      <c r="V669" s="8">
        <f>$AC$12+D669*$AC$13+E669*$AC$14+F669*$AC$15+G669*$AC$16+H669*$AC$17+I669*$AC$18+J669*$AC$19+K669*$AC$20+L669*$AC$21+M669*$AC$22+N669*$AC$23+O669*$AC$24+P669*$AC$25+Q669*$AC$26+R669*$AC$27+S669*$AC$28+T669*$AC$29+U669*$AC$30</f>
        <v/>
      </c>
      <c r="W669" s="8">
        <f>1/(1+EXP(-V669))</f>
        <v/>
      </c>
      <c r="X669" s="9">
        <f>-IF(C669=1,LN(W669),LN(1-W669))</f>
        <v/>
      </c>
      <c r="Y669" s="10">
        <f>IF(W669&gt;$AC$33,1,0)</f>
        <v/>
      </c>
      <c r="Z669">
        <f>IF(Y669=C669,1,0)</f>
        <v/>
      </c>
    </row>
    <row r="670">
      <c r="A670">
        <f>'1 datos preparados'!A663</f>
        <v/>
      </c>
      <c r="B670" s="5">
        <f>'1 datos preparados'!U663</f>
        <v/>
      </c>
      <c r="C670">
        <f>'1 datos preparados'!B663</f>
        <v/>
      </c>
      <c r="D670" s="7">
        <f>'1 datos preparados'!C663</f>
        <v/>
      </c>
      <c r="E670" s="7">
        <f>'1 datos preparados'!D663</f>
        <v/>
      </c>
      <c r="F670" s="7">
        <f>'1 datos preparados'!E663</f>
        <v/>
      </c>
      <c r="G670" s="7">
        <f>'1 datos preparados'!F663</f>
        <v/>
      </c>
      <c r="H670" s="7">
        <f>'1 datos preparados'!G663</f>
        <v/>
      </c>
      <c r="I670" s="7">
        <f>'1 datos preparados'!H663</f>
        <v/>
      </c>
      <c r="J670" s="7">
        <f>'1 datos preparados'!I663</f>
        <v/>
      </c>
      <c r="K670" s="7">
        <f>'1 datos preparados'!J663</f>
        <v/>
      </c>
      <c r="L670" s="7">
        <f>'1 datos preparados'!K663</f>
        <v/>
      </c>
      <c r="M670" s="7">
        <f>'1 datos preparados'!L663</f>
        <v/>
      </c>
      <c r="N670" s="7">
        <f>'1 datos preparados'!M663</f>
        <v/>
      </c>
      <c r="O670" s="7">
        <f>'1 datos preparados'!N663</f>
        <v/>
      </c>
      <c r="P670" s="7">
        <f>'1 datos preparados'!O663</f>
        <v/>
      </c>
      <c r="Q670" s="7">
        <f>'1 datos preparados'!P663</f>
        <v/>
      </c>
      <c r="R670" s="7">
        <f>'1 datos preparados'!Q663</f>
        <v/>
      </c>
      <c r="S670" s="7">
        <f>'1 datos preparados'!R663</f>
        <v/>
      </c>
      <c r="T670" s="7">
        <f>'1 datos preparados'!S663</f>
        <v/>
      </c>
      <c r="U670" s="7">
        <f>'1 datos preparados'!T663</f>
        <v/>
      </c>
      <c r="V670" s="8">
        <f>$AC$12+D670*$AC$13+E670*$AC$14+F670*$AC$15+G670*$AC$16+H670*$AC$17+I670*$AC$18+J670*$AC$19+K670*$AC$20+L670*$AC$21+M670*$AC$22+N670*$AC$23+O670*$AC$24+P670*$AC$25+Q670*$AC$26+R670*$AC$27+S670*$AC$28+T670*$AC$29+U670*$AC$30</f>
        <v/>
      </c>
      <c r="W670" s="8">
        <f>1/(1+EXP(-V670))</f>
        <v/>
      </c>
      <c r="X670" s="9">
        <f>-IF(C670=1,LN(W670),LN(1-W670))</f>
        <v/>
      </c>
      <c r="Y670" s="10">
        <f>IF(W670&gt;$AC$33,1,0)</f>
        <v/>
      </c>
      <c r="Z670">
        <f>IF(Y670=C670,1,0)</f>
        <v/>
      </c>
    </row>
    <row r="671">
      <c r="A671">
        <f>'1 datos preparados'!A664</f>
        <v/>
      </c>
      <c r="B671" s="5">
        <f>'1 datos preparados'!U664</f>
        <v/>
      </c>
      <c r="C671">
        <f>'1 datos preparados'!B664</f>
        <v/>
      </c>
      <c r="D671" s="7">
        <f>'1 datos preparados'!C664</f>
        <v/>
      </c>
      <c r="E671" s="7">
        <f>'1 datos preparados'!D664</f>
        <v/>
      </c>
      <c r="F671" s="7">
        <f>'1 datos preparados'!E664</f>
        <v/>
      </c>
      <c r="G671" s="7">
        <f>'1 datos preparados'!F664</f>
        <v/>
      </c>
      <c r="H671" s="7">
        <f>'1 datos preparados'!G664</f>
        <v/>
      </c>
      <c r="I671" s="7">
        <f>'1 datos preparados'!H664</f>
        <v/>
      </c>
      <c r="J671" s="7">
        <f>'1 datos preparados'!I664</f>
        <v/>
      </c>
      <c r="K671" s="7">
        <f>'1 datos preparados'!J664</f>
        <v/>
      </c>
      <c r="L671" s="7">
        <f>'1 datos preparados'!K664</f>
        <v/>
      </c>
      <c r="M671" s="7">
        <f>'1 datos preparados'!L664</f>
        <v/>
      </c>
      <c r="N671" s="7">
        <f>'1 datos preparados'!M664</f>
        <v/>
      </c>
      <c r="O671" s="7">
        <f>'1 datos preparados'!N664</f>
        <v/>
      </c>
      <c r="P671" s="7">
        <f>'1 datos preparados'!O664</f>
        <v/>
      </c>
      <c r="Q671" s="7">
        <f>'1 datos preparados'!P664</f>
        <v/>
      </c>
      <c r="R671" s="7">
        <f>'1 datos preparados'!Q664</f>
        <v/>
      </c>
      <c r="S671" s="7">
        <f>'1 datos preparados'!R664</f>
        <v/>
      </c>
      <c r="T671" s="7">
        <f>'1 datos preparados'!S664</f>
        <v/>
      </c>
      <c r="U671" s="7">
        <f>'1 datos preparados'!T664</f>
        <v/>
      </c>
      <c r="V671" s="8">
        <f>$AC$12+D671*$AC$13+E671*$AC$14+F671*$AC$15+G671*$AC$16+H671*$AC$17+I671*$AC$18+J671*$AC$19+K671*$AC$20+L671*$AC$21+M671*$AC$22+N671*$AC$23+O671*$AC$24+P671*$AC$25+Q671*$AC$26+R671*$AC$27+S671*$AC$28+T671*$AC$29+U671*$AC$30</f>
        <v/>
      </c>
      <c r="W671" s="8">
        <f>1/(1+EXP(-V671))</f>
        <v/>
      </c>
      <c r="X671" s="9">
        <f>-IF(C671=1,LN(W671),LN(1-W671))</f>
        <v/>
      </c>
      <c r="Y671" s="10">
        <f>IF(W671&gt;$AC$33,1,0)</f>
        <v/>
      </c>
      <c r="Z671">
        <f>IF(Y671=C671,1,0)</f>
        <v/>
      </c>
    </row>
    <row r="672">
      <c r="A672">
        <f>'1 datos preparados'!A665</f>
        <v/>
      </c>
      <c r="B672" s="5">
        <f>'1 datos preparados'!U665</f>
        <v/>
      </c>
      <c r="C672">
        <f>'1 datos preparados'!B665</f>
        <v/>
      </c>
      <c r="D672" s="7">
        <f>'1 datos preparados'!C665</f>
        <v/>
      </c>
      <c r="E672" s="7">
        <f>'1 datos preparados'!D665</f>
        <v/>
      </c>
      <c r="F672" s="7">
        <f>'1 datos preparados'!E665</f>
        <v/>
      </c>
      <c r="G672" s="7">
        <f>'1 datos preparados'!F665</f>
        <v/>
      </c>
      <c r="H672" s="7">
        <f>'1 datos preparados'!G665</f>
        <v/>
      </c>
      <c r="I672" s="7">
        <f>'1 datos preparados'!H665</f>
        <v/>
      </c>
      <c r="J672" s="7">
        <f>'1 datos preparados'!I665</f>
        <v/>
      </c>
      <c r="K672" s="7">
        <f>'1 datos preparados'!J665</f>
        <v/>
      </c>
      <c r="L672" s="7">
        <f>'1 datos preparados'!K665</f>
        <v/>
      </c>
      <c r="M672" s="7">
        <f>'1 datos preparados'!L665</f>
        <v/>
      </c>
      <c r="N672" s="7">
        <f>'1 datos preparados'!M665</f>
        <v/>
      </c>
      <c r="O672" s="7">
        <f>'1 datos preparados'!N665</f>
        <v/>
      </c>
      <c r="P672" s="7">
        <f>'1 datos preparados'!O665</f>
        <v/>
      </c>
      <c r="Q672" s="7">
        <f>'1 datos preparados'!P665</f>
        <v/>
      </c>
      <c r="R672" s="7">
        <f>'1 datos preparados'!Q665</f>
        <v/>
      </c>
      <c r="S672" s="7">
        <f>'1 datos preparados'!R665</f>
        <v/>
      </c>
      <c r="T672" s="7">
        <f>'1 datos preparados'!S665</f>
        <v/>
      </c>
      <c r="U672" s="7">
        <f>'1 datos preparados'!T665</f>
        <v/>
      </c>
      <c r="V672" s="8">
        <f>$AC$12+D672*$AC$13+E672*$AC$14+F672*$AC$15+G672*$AC$16+H672*$AC$17+I672*$AC$18+J672*$AC$19+K672*$AC$20+L672*$AC$21+M672*$AC$22+N672*$AC$23+O672*$AC$24+P672*$AC$25+Q672*$AC$26+R672*$AC$27+S672*$AC$28+T672*$AC$29+U672*$AC$30</f>
        <v/>
      </c>
      <c r="W672" s="8">
        <f>1/(1+EXP(-V672))</f>
        <v/>
      </c>
      <c r="X672" s="9">
        <f>-IF(C672=1,LN(W672),LN(1-W672))</f>
        <v/>
      </c>
      <c r="Y672" s="10">
        <f>IF(W672&gt;$AC$33,1,0)</f>
        <v/>
      </c>
      <c r="Z672">
        <f>IF(Y672=C672,1,0)</f>
        <v/>
      </c>
    </row>
    <row r="673">
      <c r="A673">
        <f>'1 datos preparados'!A666</f>
        <v/>
      </c>
      <c r="B673" s="5">
        <f>'1 datos preparados'!U666</f>
        <v/>
      </c>
      <c r="C673">
        <f>'1 datos preparados'!B666</f>
        <v/>
      </c>
      <c r="D673" s="7">
        <f>'1 datos preparados'!C666</f>
        <v/>
      </c>
      <c r="E673" s="7">
        <f>'1 datos preparados'!D666</f>
        <v/>
      </c>
      <c r="F673" s="7">
        <f>'1 datos preparados'!E666</f>
        <v/>
      </c>
      <c r="G673" s="7">
        <f>'1 datos preparados'!F666</f>
        <v/>
      </c>
      <c r="H673" s="7">
        <f>'1 datos preparados'!G666</f>
        <v/>
      </c>
      <c r="I673" s="7">
        <f>'1 datos preparados'!H666</f>
        <v/>
      </c>
      <c r="J673" s="7">
        <f>'1 datos preparados'!I666</f>
        <v/>
      </c>
      <c r="K673" s="7">
        <f>'1 datos preparados'!J666</f>
        <v/>
      </c>
      <c r="L673" s="7">
        <f>'1 datos preparados'!K666</f>
        <v/>
      </c>
      <c r="M673" s="7">
        <f>'1 datos preparados'!L666</f>
        <v/>
      </c>
      <c r="N673" s="7">
        <f>'1 datos preparados'!M666</f>
        <v/>
      </c>
      <c r="O673" s="7">
        <f>'1 datos preparados'!N666</f>
        <v/>
      </c>
      <c r="P673" s="7">
        <f>'1 datos preparados'!O666</f>
        <v/>
      </c>
      <c r="Q673" s="7">
        <f>'1 datos preparados'!P666</f>
        <v/>
      </c>
      <c r="R673" s="7">
        <f>'1 datos preparados'!Q666</f>
        <v/>
      </c>
      <c r="S673" s="7">
        <f>'1 datos preparados'!R666</f>
        <v/>
      </c>
      <c r="T673" s="7">
        <f>'1 datos preparados'!S666</f>
        <v/>
      </c>
      <c r="U673" s="7">
        <f>'1 datos preparados'!T666</f>
        <v/>
      </c>
      <c r="V673" s="8">
        <f>$AC$12+D673*$AC$13+E673*$AC$14+F673*$AC$15+G673*$AC$16+H673*$AC$17+I673*$AC$18+J673*$AC$19+K673*$AC$20+L673*$AC$21+M673*$AC$22+N673*$AC$23+O673*$AC$24+P673*$AC$25+Q673*$AC$26+R673*$AC$27+S673*$AC$28+T673*$AC$29+U673*$AC$30</f>
        <v/>
      </c>
      <c r="W673" s="8">
        <f>1/(1+EXP(-V673))</f>
        <v/>
      </c>
      <c r="X673" s="9">
        <f>-IF(C673=1,LN(W673),LN(1-W673))</f>
        <v/>
      </c>
      <c r="Y673" s="10">
        <f>IF(W673&gt;$AC$33,1,0)</f>
        <v/>
      </c>
      <c r="Z673">
        <f>IF(Y673=C673,1,0)</f>
        <v/>
      </c>
    </row>
    <row r="674">
      <c r="A674">
        <f>'1 datos preparados'!A667</f>
        <v/>
      </c>
      <c r="B674" s="5">
        <f>'1 datos preparados'!U667</f>
        <v/>
      </c>
      <c r="C674">
        <f>'1 datos preparados'!B667</f>
        <v/>
      </c>
      <c r="D674" s="7">
        <f>'1 datos preparados'!C667</f>
        <v/>
      </c>
      <c r="E674" s="7">
        <f>'1 datos preparados'!D667</f>
        <v/>
      </c>
      <c r="F674" s="7">
        <f>'1 datos preparados'!E667</f>
        <v/>
      </c>
      <c r="G674" s="7">
        <f>'1 datos preparados'!F667</f>
        <v/>
      </c>
      <c r="H674" s="7">
        <f>'1 datos preparados'!G667</f>
        <v/>
      </c>
      <c r="I674" s="7">
        <f>'1 datos preparados'!H667</f>
        <v/>
      </c>
      <c r="J674" s="7">
        <f>'1 datos preparados'!I667</f>
        <v/>
      </c>
      <c r="K674" s="7">
        <f>'1 datos preparados'!J667</f>
        <v/>
      </c>
      <c r="L674" s="7">
        <f>'1 datos preparados'!K667</f>
        <v/>
      </c>
      <c r="M674" s="7">
        <f>'1 datos preparados'!L667</f>
        <v/>
      </c>
      <c r="N674" s="7">
        <f>'1 datos preparados'!M667</f>
        <v/>
      </c>
      <c r="O674" s="7">
        <f>'1 datos preparados'!N667</f>
        <v/>
      </c>
      <c r="P674" s="7">
        <f>'1 datos preparados'!O667</f>
        <v/>
      </c>
      <c r="Q674" s="7">
        <f>'1 datos preparados'!P667</f>
        <v/>
      </c>
      <c r="R674" s="7">
        <f>'1 datos preparados'!Q667</f>
        <v/>
      </c>
      <c r="S674" s="7">
        <f>'1 datos preparados'!R667</f>
        <v/>
      </c>
      <c r="T674" s="7">
        <f>'1 datos preparados'!S667</f>
        <v/>
      </c>
      <c r="U674" s="7">
        <f>'1 datos preparados'!T667</f>
        <v/>
      </c>
      <c r="V674" s="8">
        <f>$AC$12+D674*$AC$13+E674*$AC$14+F674*$AC$15+G674*$AC$16+H674*$AC$17+I674*$AC$18+J674*$AC$19+K674*$AC$20+L674*$AC$21+M674*$AC$22+N674*$AC$23+O674*$AC$24+P674*$AC$25+Q674*$AC$26+R674*$AC$27+S674*$AC$28+T674*$AC$29+U674*$AC$30</f>
        <v/>
      </c>
      <c r="W674" s="8">
        <f>1/(1+EXP(-V674))</f>
        <v/>
      </c>
      <c r="X674" s="9">
        <f>-IF(C674=1,LN(W674),LN(1-W674))</f>
        <v/>
      </c>
      <c r="Y674" s="10">
        <f>IF(W674&gt;$AC$33,1,0)</f>
        <v/>
      </c>
      <c r="Z674">
        <f>IF(Y674=C674,1,0)</f>
        <v/>
      </c>
    </row>
    <row r="675">
      <c r="A675">
        <f>'1 datos preparados'!A668</f>
        <v/>
      </c>
      <c r="B675" s="5">
        <f>'1 datos preparados'!U668</f>
        <v/>
      </c>
      <c r="C675">
        <f>'1 datos preparados'!B668</f>
        <v/>
      </c>
      <c r="D675" s="7">
        <f>'1 datos preparados'!C668</f>
        <v/>
      </c>
      <c r="E675" s="7">
        <f>'1 datos preparados'!D668</f>
        <v/>
      </c>
      <c r="F675" s="7">
        <f>'1 datos preparados'!E668</f>
        <v/>
      </c>
      <c r="G675" s="7">
        <f>'1 datos preparados'!F668</f>
        <v/>
      </c>
      <c r="H675" s="7">
        <f>'1 datos preparados'!G668</f>
        <v/>
      </c>
      <c r="I675" s="7">
        <f>'1 datos preparados'!H668</f>
        <v/>
      </c>
      <c r="J675" s="7">
        <f>'1 datos preparados'!I668</f>
        <v/>
      </c>
      <c r="K675" s="7">
        <f>'1 datos preparados'!J668</f>
        <v/>
      </c>
      <c r="L675" s="7">
        <f>'1 datos preparados'!K668</f>
        <v/>
      </c>
      <c r="M675" s="7">
        <f>'1 datos preparados'!L668</f>
        <v/>
      </c>
      <c r="N675" s="7">
        <f>'1 datos preparados'!M668</f>
        <v/>
      </c>
      <c r="O675" s="7">
        <f>'1 datos preparados'!N668</f>
        <v/>
      </c>
      <c r="P675" s="7">
        <f>'1 datos preparados'!O668</f>
        <v/>
      </c>
      <c r="Q675" s="7">
        <f>'1 datos preparados'!P668</f>
        <v/>
      </c>
      <c r="R675" s="7">
        <f>'1 datos preparados'!Q668</f>
        <v/>
      </c>
      <c r="S675" s="7">
        <f>'1 datos preparados'!R668</f>
        <v/>
      </c>
      <c r="T675" s="7">
        <f>'1 datos preparados'!S668</f>
        <v/>
      </c>
      <c r="U675" s="7">
        <f>'1 datos preparados'!T668</f>
        <v/>
      </c>
      <c r="V675" s="8">
        <f>$AC$12+D675*$AC$13+E675*$AC$14+F675*$AC$15+G675*$AC$16+H675*$AC$17+I675*$AC$18+J675*$AC$19+K675*$AC$20+L675*$AC$21+M675*$AC$22+N675*$AC$23+O675*$AC$24+P675*$AC$25+Q675*$AC$26+R675*$AC$27+S675*$AC$28+T675*$AC$29+U675*$AC$30</f>
        <v/>
      </c>
      <c r="W675" s="8">
        <f>1/(1+EXP(-V675))</f>
        <v/>
      </c>
      <c r="X675" s="9">
        <f>-IF(C675=1,LN(W675),LN(1-W675))</f>
        <v/>
      </c>
      <c r="Y675" s="10">
        <f>IF(W675&gt;$AC$33,1,0)</f>
        <v/>
      </c>
      <c r="Z675">
        <f>IF(Y675=C675,1,0)</f>
        <v/>
      </c>
    </row>
    <row r="676">
      <c r="A676">
        <f>'1 datos preparados'!A669</f>
        <v/>
      </c>
      <c r="B676" s="5">
        <f>'1 datos preparados'!U669</f>
        <v/>
      </c>
      <c r="C676">
        <f>'1 datos preparados'!B669</f>
        <v/>
      </c>
      <c r="D676" s="7">
        <f>'1 datos preparados'!C669</f>
        <v/>
      </c>
      <c r="E676" s="7">
        <f>'1 datos preparados'!D669</f>
        <v/>
      </c>
      <c r="F676" s="7">
        <f>'1 datos preparados'!E669</f>
        <v/>
      </c>
      <c r="G676" s="7">
        <f>'1 datos preparados'!F669</f>
        <v/>
      </c>
      <c r="H676" s="7">
        <f>'1 datos preparados'!G669</f>
        <v/>
      </c>
      <c r="I676" s="7">
        <f>'1 datos preparados'!H669</f>
        <v/>
      </c>
      <c r="J676" s="7">
        <f>'1 datos preparados'!I669</f>
        <v/>
      </c>
      <c r="K676" s="7">
        <f>'1 datos preparados'!J669</f>
        <v/>
      </c>
      <c r="L676" s="7">
        <f>'1 datos preparados'!K669</f>
        <v/>
      </c>
      <c r="M676" s="7">
        <f>'1 datos preparados'!L669</f>
        <v/>
      </c>
      <c r="N676" s="7">
        <f>'1 datos preparados'!M669</f>
        <v/>
      </c>
      <c r="O676" s="7">
        <f>'1 datos preparados'!N669</f>
        <v/>
      </c>
      <c r="P676" s="7">
        <f>'1 datos preparados'!O669</f>
        <v/>
      </c>
      <c r="Q676" s="7">
        <f>'1 datos preparados'!P669</f>
        <v/>
      </c>
      <c r="R676" s="7">
        <f>'1 datos preparados'!Q669</f>
        <v/>
      </c>
      <c r="S676" s="7">
        <f>'1 datos preparados'!R669</f>
        <v/>
      </c>
      <c r="T676" s="7">
        <f>'1 datos preparados'!S669</f>
        <v/>
      </c>
      <c r="U676" s="7">
        <f>'1 datos preparados'!T669</f>
        <v/>
      </c>
      <c r="V676" s="8">
        <f>$AC$12+D676*$AC$13+E676*$AC$14+F676*$AC$15+G676*$AC$16+H676*$AC$17+I676*$AC$18+J676*$AC$19+K676*$AC$20+L676*$AC$21+M676*$AC$22+N676*$AC$23+O676*$AC$24+P676*$AC$25+Q676*$AC$26+R676*$AC$27+S676*$AC$28+T676*$AC$29+U676*$AC$30</f>
        <v/>
      </c>
      <c r="W676" s="8">
        <f>1/(1+EXP(-V676))</f>
        <v/>
      </c>
      <c r="X676" s="9">
        <f>-IF(C676=1,LN(W676),LN(1-W676))</f>
        <v/>
      </c>
      <c r="Y676" s="10">
        <f>IF(W676&gt;$AC$33,1,0)</f>
        <v/>
      </c>
      <c r="Z676">
        <f>IF(Y676=C676,1,0)</f>
        <v/>
      </c>
    </row>
    <row r="677">
      <c r="A677">
        <f>'1 datos preparados'!A670</f>
        <v/>
      </c>
      <c r="B677" s="5">
        <f>'1 datos preparados'!U670</f>
        <v/>
      </c>
      <c r="C677">
        <f>'1 datos preparados'!B670</f>
        <v/>
      </c>
      <c r="D677" s="7">
        <f>'1 datos preparados'!C670</f>
        <v/>
      </c>
      <c r="E677" s="7">
        <f>'1 datos preparados'!D670</f>
        <v/>
      </c>
      <c r="F677" s="7">
        <f>'1 datos preparados'!E670</f>
        <v/>
      </c>
      <c r="G677" s="7">
        <f>'1 datos preparados'!F670</f>
        <v/>
      </c>
      <c r="H677" s="7">
        <f>'1 datos preparados'!G670</f>
        <v/>
      </c>
      <c r="I677" s="7">
        <f>'1 datos preparados'!H670</f>
        <v/>
      </c>
      <c r="J677" s="7">
        <f>'1 datos preparados'!I670</f>
        <v/>
      </c>
      <c r="K677" s="7">
        <f>'1 datos preparados'!J670</f>
        <v/>
      </c>
      <c r="L677" s="7">
        <f>'1 datos preparados'!K670</f>
        <v/>
      </c>
      <c r="M677" s="7">
        <f>'1 datos preparados'!L670</f>
        <v/>
      </c>
      <c r="N677" s="7">
        <f>'1 datos preparados'!M670</f>
        <v/>
      </c>
      <c r="O677" s="7">
        <f>'1 datos preparados'!N670</f>
        <v/>
      </c>
      <c r="P677" s="7">
        <f>'1 datos preparados'!O670</f>
        <v/>
      </c>
      <c r="Q677" s="7">
        <f>'1 datos preparados'!P670</f>
        <v/>
      </c>
      <c r="R677" s="7">
        <f>'1 datos preparados'!Q670</f>
        <v/>
      </c>
      <c r="S677" s="7">
        <f>'1 datos preparados'!R670</f>
        <v/>
      </c>
      <c r="T677" s="7">
        <f>'1 datos preparados'!S670</f>
        <v/>
      </c>
      <c r="U677" s="7">
        <f>'1 datos preparados'!T670</f>
        <v/>
      </c>
      <c r="V677" s="8">
        <f>$AC$12+D677*$AC$13+E677*$AC$14+F677*$AC$15+G677*$AC$16+H677*$AC$17+I677*$AC$18+J677*$AC$19+K677*$AC$20+L677*$AC$21+M677*$AC$22+N677*$AC$23+O677*$AC$24+P677*$AC$25+Q677*$AC$26+R677*$AC$27+S677*$AC$28+T677*$AC$29+U677*$AC$30</f>
        <v/>
      </c>
      <c r="W677" s="8">
        <f>1/(1+EXP(-V677))</f>
        <v/>
      </c>
      <c r="X677" s="9">
        <f>-IF(C677=1,LN(W677),LN(1-W677))</f>
        <v/>
      </c>
      <c r="Y677" s="10">
        <f>IF(W677&gt;$AC$33,1,0)</f>
        <v/>
      </c>
      <c r="Z677">
        <f>IF(Y677=C677,1,0)</f>
        <v/>
      </c>
    </row>
    <row r="678">
      <c r="A678">
        <f>'1 datos preparados'!A671</f>
        <v/>
      </c>
      <c r="B678" s="5">
        <f>'1 datos preparados'!U671</f>
        <v/>
      </c>
      <c r="C678">
        <f>'1 datos preparados'!B671</f>
        <v/>
      </c>
      <c r="D678" s="7">
        <f>'1 datos preparados'!C671</f>
        <v/>
      </c>
      <c r="E678" s="7">
        <f>'1 datos preparados'!D671</f>
        <v/>
      </c>
      <c r="F678" s="7">
        <f>'1 datos preparados'!E671</f>
        <v/>
      </c>
      <c r="G678" s="7">
        <f>'1 datos preparados'!F671</f>
        <v/>
      </c>
      <c r="H678" s="7">
        <f>'1 datos preparados'!G671</f>
        <v/>
      </c>
      <c r="I678" s="7">
        <f>'1 datos preparados'!H671</f>
        <v/>
      </c>
      <c r="J678" s="7">
        <f>'1 datos preparados'!I671</f>
        <v/>
      </c>
      <c r="K678" s="7">
        <f>'1 datos preparados'!J671</f>
        <v/>
      </c>
      <c r="L678" s="7">
        <f>'1 datos preparados'!K671</f>
        <v/>
      </c>
      <c r="M678" s="7">
        <f>'1 datos preparados'!L671</f>
        <v/>
      </c>
      <c r="N678" s="7">
        <f>'1 datos preparados'!M671</f>
        <v/>
      </c>
      <c r="O678" s="7">
        <f>'1 datos preparados'!N671</f>
        <v/>
      </c>
      <c r="P678" s="7">
        <f>'1 datos preparados'!O671</f>
        <v/>
      </c>
      <c r="Q678" s="7">
        <f>'1 datos preparados'!P671</f>
        <v/>
      </c>
      <c r="R678" s="7">
        <f>'1 datos preparados'!Q671</f>
        <v/>
      </c>
      <c r="S678" s="7">
        <f>'1 datos preparados'!R671</f>
        <v/>
      </c>
      <c r="T678" s="7">
        <f>'1 datos preparados'!S671</f>
        <v/>
      </c>
      <c r="U678" s="7">
        <f>'1 datos preparados'!T671</f>
        <v/>
      </c>
      <c r="V678" s="8">
        <f>$AC$12+D678*$AC$13+E678*$AC$14+F678*$AC$15+G678*$AC$16+H678*$AC$17+I678*$AC$18+J678*$AC$19+K678*$AC$20+L678*$AC$21+M678*$AC$22+N678*$AC$23+O678*$AC$24+P678*$AC$25+Q678*$AC$26+R678*$AC$27+S678*$AC$28+T678*$AC$29+U678*$AC$30</f>
        <v/>
      </c>
      <c r="W678" s="8">
        <f>1/(1+EXP(-V678))</f>
        <v/>
      </c>
      <c r="X678" s="9">
        <f>-IF(C678=1,LN(W678),LN(1-W678))</f>
        <v/>
      </c>
      <c r="Y678" s="10">
        <f>IF(W678&gt;$AC$33,1,0)</f>
        <v/>
      </c>
      <c r="Z678">
        <f>IF(Y678=C678,1,0)</f>
        <v/>
      </c>
    </row>
    <row r="679">
      <c r="A679">
        <f>'1 datos preparados'!A672</f>
        <v/>
      </c>
      <c r="B679" s="5">
        <f>'1 datos preparados'!U672</f>
        <v/>
      </c>
      <c r="C679">
        <f>'1 datos preparados'!B672</f>
        <v/>
      </c>
      <c r="D679" s="7">
        <f>'1 datos preparados'!C672</f>
        <v/>
      </c>
      <c r="E679" s="7">
        <f>'1 datos preparados'!D672</f>
        <v/>
      </c>
      <c r="F679" s="7">
        <f>'1 datos preparados'!E672</f>
        <v/>
      </c>
      <c r="G679" s="7">
        <f>'1 datos preparados'!F672</f>
        <v/>
      </c>
      <c r="H679" s="7">
        <f>'1 datos preparados'!G672</f>
        <v/>
      </c>
      <c r="I679" s="7">
        <f>'1 datos preparados'!H672</f>
        <v/>
      </c>
      <c r="J679" s="7">
        <f>'1 datos preparados'!I672</f>
        <v/>
      </c>
      <c r="K679" s="7">
        <f>'1 datos preparados'!J672</f>
        <v/>
      </c>
      <c r="L679" s="7">
        <f>'1 datos preparados'!K672</f>
        <v/>
      </c>
      <c r="M679" s="7">
        <f>'1 datos preparados'!L672</f>
        <v/>
      </c>
      <c r="N679" s="7">
        <f>'1 datos preparados'!M672</f>
        <v/>
      </c>
      <c r="O679" s="7">
        <f>'1 datos preparados'!N672</f>
        <v/>
      </c>
      <c r="P679" s="7">
        <f>'1 datos preparados'!O672</f>
        <v/>
      </c>
      <c r="Q679" s="7">
        <f>'1 datos preparados'!P672</f>
        <v/>
      </c>
      <c r="R679" s="7">
        <f>'1 datos preparados'!Q672</f>
        <v/>
      </c>
      <c r="S679" s="7">
        <f>'1 datos preparados'!R672</f>
        <v/>
      </c>
      <c r="T679" s="7">
        <f>'1 datos preparados'!S672</f>
        <v/>
      </c>
      <c r="U679" s="7">
        <f>'1 datos preparados'!T672</f>
        <v/>
      </c>
      <c r="V679" s="8">
        <f>$AC$12+D679*$AC$13+E679*$AC$14+F679*$AC$15+G679*$AC$16+H679*$AC$17+I679*$AC$18+J679*$AC$19+K679*$AC$20+L679*$AC$21+M679*$AC$22+N679*$AC$23+O679*$AC$24+P679*$AC$25+Q679*$AC$26+R679*$AC$27+S679*$AC$28+T679*$AC$29+U679*$AC$30</f>
        <v/>
      </c>
      <c r="W679" s="8">
        <f>1/(1+EXP(-V679))</f>
        <v/>
      </c>
      <c r="X679" s="9">
        <f>-IF(C679=1,LN(W679),LN(1-W679))</f>
        <v/>
      </c>
      <c r="Y679" s="10">
        <f>IF(W679&gt;$AC$33,1,0)</f>
        <v/>
      </c>
      <c r="Z679">
        <f>IF(Y679=C679,1,0)</f>
        <v/>
      </c>
    </row>
    <row r="680">
      <c r="A680">
        <f>'1 datos preparados'!A673</f>
        <v/>
      </c>
      <c r="B680" s="5">
        <f>'1 datos preparados'!U673</f>
        <v/>
      </c>
      <c r="C680">
        <f>'1 datos preparados'!B673</f>
        <v/>
      </c>
      <c r="D680" s="7">
        <f>'1 datos preparados'!C673</f>
        <v/>
      </c>
      <c r="E680" s="7">
        <f>'1 datos preparados'!D673</f>
        <v/>
      </c>
      <c r="F680" s="7">
        <f>'1 datos preparados'!E673</f>
        <v/>
      </c>
      <c r="G680" s="7">
        <f>'1 datos preparados'!F673</f>
        <v/>
      </c>
      <c r="H680" s="7">
        <f>'1 datos preparados'!G673</f>
        <v/>
      </c>
      <c r="I680" s="7">
        <f>'1 datos preparados'!H673</f>
        <v/>
      </c>
      <c r="J680" s="7">
        <f>'1 datos preparados'!I673</f>
        <v/>
      </c>
      <c r="K680" s="7">
        <f>'1 datos preparados'!J673</f>
        <v/>
      </c>
      <c r="L680" s="7">
        <f>'1 datos preparados'!K673</f>
        <v/>
      </c>
      <c r="M680" s="7">
        <f>'1 datos preparados'!L673</f>
        <v/>
      </c>
      <c r="N680" s="7">
        <f>'1 datos preparados'!M673</f>
        <v/>
      </c>
      <c r="O680" s="7">
        <f>'1 datos preparados'!N673</f>
        <v/>
      </c>
      <c r="P680" s="7">
        <f>'1 datos preparados'!O673</f>
        <v/>
      </c>
      <c r="Q680" s="7">
        <f>'1 datos preparados'!P673</f>
        <v/>
      </c>
      <c r="R680" s="7">
        <f>'1 datos preparados'!Q673</f>
        <v/>
      </c>
      <c r="S680" s="7">
        <f>'1 datos preparados'!R673</f>
        <v/>
      </c>
      <c r="T680" s="7">
        <f>'1 datos preparados'!S673</f>
        <v/>
      </c>
      <c r="U680" s="7">
        <f>'1 datos preparados'!T673</f>
        <v/>
      </c>
      <c r="V680" s="8">
        <f>$AC$12+D680*$AC$13+E680*$AC$14+F680*$AC$15+G680*$AC$16+H680*$AC$17+I680*$AC$18+J680*$AC$19+K680*$AC$20+L680*$AC$21+M680*$AC$22+N680*$AC$23+O680*$AC$24+P680*$AC$25+Q680*$AC$26+R680*$AC$27+S680*$AC$28+T680*$AC$29+U680*$AC$30</f>
        <v/>
      </c>
      <c r="W680" s="8">
        <f>1/(1+EXP(-V680))</f>
        <v/>
      </c>
      <c r="X680" s="9">
        <f>-IF(C680=1,LN(W680),LN(1-W680))</f>
        <v/>
      </c>
      <c r="Y680" s="10">
        <f>IF(W680&gt;$AC$33,1,0)</f>
        <v/>
      </c>
      <c r="Z680">
        <f>IF(Y680=C680,1,0)</f>
        <v/>
      </c>
    </row>
    <row r="681">
      <c r="A681">
        <f>'1 datos preparados'!A674</f>
        <v/>
      </c>
      <c r="B681" s="5">
        <f>'1 datos preparados'!U674</f>
        <v/>
      </c>
      <c r="C681">
        <f>'1 datos preparados'!B674</f>
        <v/>
      </c>
      <c r="D681" s="7">
        <f>'1 datos preparados'!C674</f>
        <v/>
      </c>
      <c r="E681" s="7">
        <f>'1 datos preparados'!D674</f>
        <v/>
      </c>
      <c r="F681" s="7">
        <f>'1 datos preparados'!E674</f>
        <v/>
      </c>
      <c r="G681" s="7">
        <f>'1 datos preparados'!F674</f>
        <v/>
      </c>
      <c r="H681" s="7">
        <f>'1 datos preparados'!G674</f>
        <v/>
      </c>
      <c r="I681" s="7">
        <f>'1 datos preparados'!H674</f>
        <v/>
      </c>
      <c r="J681" s="7">
        <f>'1 datos preparados'!I674</f>
        <v/>
      </c>
      <c r="K681" s="7">
        <f>'1 datos preparados'!J674</f>
        <v/>
      </c>
      <c r="L681" s="7">
        <f>'1 datos preparados'!K674</f>
        <v/>
      </c>
      <c r="M681" s="7">
        <f>'1 datos preparados'!L674</f>
        <v/>
      </c>
      <c r="N681" s="7">
        <f>'1 datos preparados'!M674</f>
        <v/>
      </c>
      <c r="O681" s="7">
        <f>'1 datos preparados'!N674</f>
        <v/>
      </c>
      <c r="P681" s="7">
        <f>'1 datos preparados'!O674</f>
        <v/>
      </c>
      <c r="Q681" s="7">
        <f>'1 datos preparados'!P674</f>
        <v/>
      </c>
      <c r="R681" s="7">
        <f>'1 datos preparados'!Q674</f>
        <v/>
      </c>
      <c r="S681" s="7">
        <f>'1 datos preparados'!R674</f>
        <v/>
      </c>
      <c r="T681" s="7">
        <f>'1 datos preparados'!S674</f>
        <v/>
      </c>
      <c r="U681" s="7">
        <f>'1 datos preparados'!T674</f>
        <v/>
      </c>
      <c r="V681" s="8">
        <f>$AC$12+D681*$AC$13+E681*$AC$14+F681*$AC$15+G681*$AC$16+H681*$AC$17+I681*$AC$18+J681*$AC$19+K681*$AC$20+L681*$AC$21+M681*$AC$22+N681*$AC$23+O681*$AC$24+P681*$AC$25+Q681*$AC$26+R681*$AC$27+S681*$AC$28+T681*$AC$29+U681*$AC$30</f>
        <v/>
      </c>
      <c r="W681" s="8">
        <f>1/(1+EXP(-V681))</f>
        <v/>
      </c>
      <c r="X681" s="9">
        <f>-IF(C681=1,LN(W681),LN(1-W681))</f>
        <v/>
      </c>
      <c r="Y681" s="10">
        <f>IF(W681&gt;$AC$33,1,0)</f>
        <v/>
      </c>
      <c r="Z681">
        <f>IF(Y681=C681,1,0)</f>
        <v/>
      </c>
    </row>
    <row r="682">
      <c r="A682">
        <f>'1 datos preparados'!A675</f>
        <v/>
      </c>
      <c r="B682" s="5">
        <f>'1 datos preparados'!U675</f>
        <v/>
      </c>
      <c r="C682">
        <f>'1 datos preparados'!B675</f>
        <v/>
      </c>
      <c r="D682" s="7">
        <f>'1 datos preparados'!C675</f>
        <v/>
      </c>
      <c r="E682" s="7">
        <f>'1 datos preparados'!D675</f>
        <v/>
      </c>
      <c r="F682" s="7">
        <f>'1 datos preparados'!E675</f>
        <v/>
      </c>
      <c r="G682" s="7">
        <f>'1 datos preparados'!F675</f>
        <v/>
      </c>
      <c r="H682" s="7">
        <f>'1 datos preparados'!G675</f>
        <v/>
      </c>
      <c r="I682" s="7">
        <f>'1 datos preparados'!H675</f>
        <v/>
      </c>
      <c r="J682" s="7">
        <f>'1 datos preparados'!I675</f>
        <v/>
      </c>
      <c r="K682" s="7">
        <f>'1 datos preparados'!J675</f>
        <v/>
      </c>
      <c r="L682" s="7">
        <f>'1 datos preparados'!K675</f>
        <v/>
      </c>
      <c r="M682" s="7">
        <f>'1 datos preparados'!L675</f>
        <v/>
      </c>
      <c r="N682" s="7">
        <f>'1 datos preparados'!M675</f>
        <v/>
      </c>
      <c r="O682" s="7">
        <f>'1 datos preparados'!N675</f>
        <v/>
      </c>
      <c r="P682" s="7">
        <f>'1 datos preparados'!O675</f>
        <v/>
      </c>
      <c r="Q682" s="7">
        <f>'1 datos preparados'!P675</f>
        <v/>
      </c>
      <c r="R682" s="7">
        <f>'1 datos preparados'!Q675</f>
        <v/>
      </c>
      <c r="S682" s="7">
        <f>'1 datos preparados'!R675</f>
        <v/>
      </c>
      <c r="T682" s="7">
        <f>'1 datos preparados'!S675</f>
        <v/>
      </c>
      <c r="U682" s="7">
        <f>'1 datos preparados'!T675</f>
        <v/>
      </c>
      <c r="V682" s="8">
        <f>$AC$12+D682*$AC$13+E682*$AC$14+F682*$AC$15+G682*$AC$16+H682*$AC$17+I682*$AC$18+J682*$AC$19+K682*$AC$20+L682*$AC$21+M682*$AC$22+N682*$AC$23+O682*$AC$24+P682*$AC$25+Q682*$AC$26+R682*$AC$27+S682*$AC$28+T682*$AC$29+U682*$AC$30</f>
        <v/>
      </c>
      <c r="W682" s="8">
        <f>1/(1+EXP(-V682))</f>
        <v/>
      </c>
      <c r="X682" s="9">
        <f>-IF(C682=1,LN(W682),LN(1-W682))</f>
        <v/>
      </c>
      <c r="Y682" s="10">
        <f>IF(W682&gt;$AC$33,1,0)</f>
        <v/>
      </c>
      <c r="Z682">
        <f>IF(Y682=C682,1,0)</f>
        <v/>
      </c>
    </row>
    <row r="683">
      <c r="A683">
        <f>'1 datos preparados'!A676</f>
        <v/>
      </c>
      <c r="B683" s="5">
        <f>'1 datos preparados'!U676</f>
        <v/>
      </c>
      <c r="C683">
        <f>'1 datos preparados'!B676</f>
        <v/>
      </c>
      <c r="D683" s="7">
        <f>'1 datos preparados'!C676</f>
        <v/>
      </c>
      <c r="E683" s="7">
        <f>'1 datos preparados'!D676</f>
        <v/>
      </c>
      <c r="F683" s="7">
        <f>'1 datos preparados'!E676</f>
        <v/>
      </c>
      <c r="G683" s="7">
        <f>'1 datos preparados'!F676</f>
        <v/>
      </c>
      <c r="H683" s="7">
        <f>'1 datos preparados'!G676</f>
        <v/>
      </c>
      <c r="I683" s="7">
        <f>'1 datos preparados'!H676</f>
        <v/>
      </c>
      <c r="J683" s="7">
        <f>'1 datos preparados'!I676</f>
        <v/>
      </c>
      <c r="K683" s="7">
        <f>'1 datos preparados'!J676</f>
        <v/>
      </c>
      <c r="L683" s="7">
        <f>'1 datos preparados'!K676</f>
        <v/>
      </c>
      <c r="M683" s="7">
        <f>'1 datos preparados'!L676</f>
        <v/>
      </c>
      <c r="N683" s="7">
        <f>'1 datos preparados'!M676</f>
        <v/>
      </c>
      <c r="O683" s="7">
        <f>'1 datos preparados'!N676</f>
        <v/>
      </c>
      <c r="P683" s="7">
        <f>'1 datos preparados'!O676</f>
        <v/>
      </c>
      <c r="Q683" s="7">
        <f>'1 datos preparados'!P676</f>
        <v/>
      </c>
      <c r="R683" s="7">
        <f>'1 datos preparados'!Q676</f>
        <v/>
      </c>
      <c r="S683" s="7">
        <f>'1 datos preparados'!R676</f>
        <v/>
      </c>
      <c r="T683" s="7">
        <f>'1 datos preparados'!S676</f>
        <v/>
      </c>
      <c r="U683" s="7">
        <f>'1 datos preparados'!T676</f>
        <v/>
      </c>
      <c r="V683" s="8">
        <f>$AC$12+D683*$AC$13+E683*$AC$14+F683*$AC$15+G683*$AC$16+H683*$AC$17+I683*$AC$18+J683*$AC$19+K683*$AC$20+L683*$AC$21+M683*$AC$22+N683*$AC$23+O683*$AC$24+P683*$AC$25+Q683*$AC$26+R683*$AC$27+S683*$AC$28+T683*$AC$29+U683*$AC$30</f>
        <v/>
      </c>
      <c r="W683" s="8">
        <f>1/(1+EXP(-V683))</f>
        <v/>
      </c>
      <c r="X683" s="9">
        <f>-IF(C683=1,LN(W683),LN(1-W683))</f>
        <v/>
      </c>
      <c r="Y683" s="10">
        <f>IF(W683&gt;$AC$33,1,0)</f>
        <v/>
      </c>
      <c r="Z683">
        <f>IF(Y683=C683,1,0)</f>
        <v/>
      </c>
    </row>
    <row r="684">
      <c r="A684">
        <f>'1 datos preparados'!A677</f>
        <v/>
      </c>
      <c r="B684" s="5">
        <f>'1 datos preparados'!U677</f>
        <v/>
      </c>
      <c r="C684">
        <f>'1 datos preparados'!B677</f>
        <v/>
      </c>
      <c r="D684" s="7">
        <f>'1 datos preparados'!C677</f>
        <v/>
      </c>
      <c r="E684" s="7">
        <f>'1 datos preparados'!D677</f>
        <v/>
      </c>
      <c r="F684" s="7">
        <f>'1 datos preparados'!E677</f>
        <v/>
      </c>
      <c r="G684" s="7">
        <f>'1 datos preparados'!F677</f>
        <v/>
      </c>
      <c r="H684" s="7">
        <f>'1 datos preparados'!G677</f>
        <v/>
      </c>
      <c r="I684" s="7">
        <f>'1 datos preparados'!H677</f>
        <v/>
      </c>
      <c r="J684" s="7">
        <f>'1 datos preparados'!I677</f>
        <v/>
      </c>
      <c r="K684" s="7">
        <f>'1 datos preparados'!J677</f>
        <v/>
      </c>
      <c r="L684" s="7">
        <f>'1 datos preparados'!K677</f>
        <v/>
      </c>
      <c r="M684" s="7">
        <f>'1 datos preparados'!L677</f>
        <v/>
      </c>
      <c r="N684" s="7">
        <f>'1 datos preparados'!M677</f>
        <v/>
      </c>
      <c r="O684" s="7">
        <f>'1 datos preparados'!N677</f>
        <v/>
      </c>
      <c r="P684" s="7">
        <f>'1 datos preparados'!O677</f>
        <v/>
      </c>
      <c r="Q684" s="7">
        <f>'1 datos preparados'!P677</f>
        <v/>
      </c>
      <c r="R684" s="7">
        <f>'1 datos preparados'!Q677</f>
        <v/>
      </c>
      <c r="S684" s="7">
        <f>'1 datos preparados'!R677</f>
        <v/>
      </c>
      <c r="T684" s="7">
        <f>'1 datos preparados'!S677</f>
        <v/>
      </c>
      <c r="U684" s="7">
        <f>'1 datos preparados'!T677</f>
        <v/>
      </c>
      <c r="V684" s="8">
        <f>$AC$12+D684*$AC$13+E684*$AC$14+F684*$AC$15+G684*$AC$16+H684*$AC$17+I684*$AC$18+J684*$AC$19+K684*$AC$20+L684*$AC$21+M684*$AC$22+N684*$AC$23+O684*$AC$24+P684*$AC$25+Q684*$AC$26+R684*$AC$27+S684*$AC$28+T684*$AC$29+U684*$AC$30</f>
        <v/>
      </c>
      <c r="W684" s="8">
        <f>1/(1+EXP(-V684))</f>
        <v/>
      </c>
      <c r="X684" s="9">
        <f>-IF(C684=1,LN(W684),LN(1-W684))</f>
        <v/>
      </c>
      <c r="Y684" s="10">
        <f>IF(W684&gt;$AC$33,1,0)</f>
        <v/>
      </c>
      <c r="Z684">
        <f>IF(Y684=C684,1,0)</f>
        <v/>
      </c>
    </row>
    <row r="685">
      <c r="A685">
        <f>'1 datos preparados'!A678</f>
        <v/>
      </c>
      <c r="B685" s="5">
        <f>'1 datos preparados'!U678</f>
        <v/>
      </c>
      <c r="C685">
        <f>'1 datos preparados'!B678</f>
        <v/>
      </c>
      <c r="D685" s="7">
        <f>'1 datos preparados'!C678</f>
        <v/>
      </c>
      <c r="E685" s="7">
        <f>'1 datos preparados'!D678</f>
        <v/>
      </c>
      <c r="F685" s="7">
        <f>'1 datos preparados'!E678</f>
        <v/>
      </c>
      <c r="G685" s="7">
        <f>'1 datos preparados'!F678</f>
        <v/>
      </c>
      <c r="H685" s="7">
        <f>'1 datos preparados'!G678</f>
        <v/>
      </c>
      <c r="I685" s="7">
        <f>'1 datos preparados'!H678</f>
        <v/>
      </c>
      <c r="J685" s="7">
        <f>'1 datos preparados'!I678</f>
        <v/>
      </c>
      <c r="K685" s="7">
        <f>'1 datos preparados'!J678</f>
        <v/>
      </c>
      <c r="L685" s="7">
        <f>'1 datos preparados'!K678</f>
        <v/>
      </c>
      <c r="M685" s="7">
        <f>'1 datos preparados'!L678</f>
        <v/>
      </c>
      <c r="N685" s="7">
        <f>'1 datos preparados'!M678</f>
        <v/>
      </c>
      <c r="O685" s="7">
        <f>'1 datos preparados'!N678</f>
        <v/>
      </c>
      <c r="P685" s="7">
        <f>'1 datos preparados'!O678</f>
        <v/>
      </c>
      <c r="Q685" s="7">
        <f>'1 datos preparados'!P678</f>
        <v/>
      </c>
      <c r="R685" s="7">
        <f>'1 datos preparados'!Q678</f>
        <v/>
      </c>
      <c r="S685" s="7">
        <f>'1 datos preparados'!R678</f>
        <v/>
      </c>
      <c r="T685" s="7">
        <f>'1 datos preparados'!S678</f>
        <v/>
      </c>
      <c r="U685" s="7">
        <f>'1 datos preparados'!T678</f>
        <v/>
      </c>
      <c r="V685" s="8">
        <f>$AC$12+D685*$AC$13+E685*$AC$14+F685*$AC$15+G685*$AC$16+H685*$AC$17+I685*$AC$18+J685*$AC$19+K685*$AC$20+L685*$AC$21+M685*$AC$22+N685*$AC$23+O685*$AC$24+P685*$AC$25+Q685*$AC$26+R685*$AC$27+S685*$AC$28+T685*$AC$29+U685*$AC$30</f>
        <v/>
      </c>
      <c r="W685" s="8">
        <f>1/(1+EXP(-V685))</f>
        <v/>
      </c>
      <c r="X685" s="9">
        <f>-IF(C685=1,LN(W685),LN(1-W685))</f>
        <v/>
      </c>
      <c r="Y685" s="10">
        <f>IF(W685&gt;$AC$33,1,0)</f>
        <v/>
      </c>
      <c r="Z685">
        <f>IF(Y685=C685,1,0)</f>
        <v/>
      </c>
    </row>
    <row r="686">
      <c r="A686">
        <f>'1 datos preparados'!A679</f>
        <v/>
      </c>
      <c r="B686" s="5">
        <f>'1 datos preparados'!U679</f>
        <v/>
      </c>
      <c r="C686">
        <f>'1 datos preparados'!B679</f>
        <v/>
      </c>
      <c r="D686" s="7">
        <f>'1 datos preparados'!C679</f>
        <v/>
      </c>
      <c r="E686" s="7">
        <f>'1 datos preparados'!D679</f>
        <v/>
      </c>
      <c r="F686" s="7">
        <f>'1 datos preparados'!E679</f>
        <v/>
      </c>
      <c r="G686" s="7">
        <f>'1 datos preparados'!F679</f>
        <v/>
      </c>
      <c r="H686" s="7">
        <f>'1 datos preparados'!G679</f>
        <v/>
      </c>
      <c r="I686" s="7">
        <f>'1 datos preparados'!H679</f>
        <v/>
      </c>
      <c r="J686" s="7">
        <f>'1 datos preparados'!I679</f>
        <v/>
      </c>
      <c r="K686" s="7">
        <f>'1 datos preparados'!J679</f>
        <v/>
      </c>
      <c r="L686" s="7">
        <f>'1 datos preparados'!K679</f>
        <v/>
      </c>
      <c r="M686" s="7">
        <f>'1 datos preparados'!L679</f>
        <v/>
      </c>
      <c r="N686" s="7">
        <f>'1 datos preparados'!M679</f>
        <v/>
      </c>
      <c r="O686" s="7">
        <f>'1 datos preparados'!N679</f>
        <v/>
      </c>
      <c r="P686" s="7">
        <f>'1 datos preparados'!O679</f>
        <v/>
      </c>
      <c r="Q686" s="7">
        <f>'1 datos preparados'!P679</f>
        <v/>
      </c>
      <c r="R686" s="7">
        <f>'1 datos preparados'!Q679</f>
        <v/>
      </c>
      <c r="S686" s="7">
        <f>'1 datos preparados'!R679</f>
        <v/>
      </c>
      <c r="T686" s="7">
        <f>'1 datos preparados'!S679</f>
        <v/>
      </c>
      <c r="U686" s="7">
        <f>'1 datos preparados'!T679</f>
        <v/>
      </c>
      <c r="V686" s="8">
        <f>$AC$12+D686*$AC$13+E686*$AC$14+F686*$AC$15+G686*$AC$16+H686*$AC$17+I686*$AC$18+J686*$AC$19+K686*$AC$20+L686*$AC$21+M686*$AC$22+N686*$AC$23+O686*$AC$24+P686*$AC$25+Q686*$AC$26+R686*$AC$27+S686*$AC$28+T686*$AC$29+U686*$AC$30</f>
        <v/>
      </c>
      <c r="W686" s="8">
        <f>1/(1+EXP(-V686))</f>
        <v/>
      </c>
      <c r="X686" s="9">
        <f>-IF(C686=1,LN(W686),LN(1-W686))</f>
        <v/>
      </c>
      <c r="Y686" s="10">
        <f>IF(W686&gt;$AC$33,1,0)</f>
        <v/>
      </c>
      <c r="Z686">
        <f>IF(Y686=C686,1,0)</f>
        <v/>
      </c>
    </row>
    <row r="687">
      <c r="A687">
        <f>'1 datos preparados'!A680</f>
        <v/>
      </c>
      <c r="B687" s="5">
        <f>'1 datos preparados'!U680</f>
        <v/>
      </c>
      <c r="C687">
        <f>'1 datos preparados'!B680</f>
        <v/>
      </c>
      <c r="D687" s="7">
        <f>'1 datos preparados'!C680</f>
        <v/>
      </c>
      <c r="E687" s="7">
        <f>'1 datos preparados'!D680</f>
        <v/>
      </c>
      <c r="F687" s="7">
        <f>'1 datos preparados'!E680</f>
        <v/>
      </c>
      <c r="G687" s="7">
        <f>'1 datos preparados'!F680</f>
        <v/>
      </c>
      <c r="H687" s="7">
        <f>'1 datos preparados'!G680</f>
        <v/>
      </c>
      <c r="I687" s="7">
        <f>'1 datos preparados'!H680</f>
        <v/>
      </c>
      <c r="J687" s="7">
        <f>'1 datos preparados'!I680</f>
        <v/>
      </c>
      <c r="K687" s="7">
        <f>'1 datos preparados'!J680</f>
        <v/>
      </c>
      <c r="L687" s="7">
        <f>'1 datos preparados'!K680</f>
        <v/>
      </c>
      <c r="M687" s="7">
        <f>'1 datos preparados'!L680</f>
        <v/>
      </c>
      <c r="N687" s="7">
        <f>'1 datos preparados'!M680</f>
        <v/>
      </c>
      <c r="O687" s="7">
        <f>'1 datos preparados'!N680</f>
        <v/>
      </c>
      <c r="P687" s="7">
        <f>'1 datos preparados'!O680</f>
        <v/>
      </c>
      <c r="Q687" s="7">
        <f>'1 datos preparados'!P680</f>
        <v/>
      </c>
      <c r="R687" s="7">
        <f>'1 datos preparados'!Q680</f>
        <v/>
      </c>
      <c r="S687" s="7">
        <f>'1 datos preparados'!R680</f>
        <v/>
      </c>
      <c r="T687" s="7">
        <f>'1 datos preparados'!S680</f>
        <v/>
      </c>
      <c r="U687" s="7">
        <f>'1 datos preparados'!T680</f>
        <v/>
      </c>
      <c r="V687" s="8">
        <f>$AC$12+D687*$AC$13+E687*$AC$14+F687*$AC$15+G687*$AC$16+H687*$AC$17+I687*$AC$18+J687*$AC$19+K687*$AC$20+L687*$AC$21+M687*$AC$22+N687*$AC$23+O687*$AC$24+P687*$AC$25+Q687*$AC$26+R687*$AC$27+S687*$AC$28+T687*$AC$29+U687*$AC$30</f>
        <v/>
      </c>
      <c r="W687" s="8">
        <f>1/(1+EXP(-V687))</f>
        <v/>
      </c>
      <c r="X687" s="9">
        <f>-IF(C687=1,LN(W687),LN(1-W687))</f>
        <v/>
      </c>
      <c r="Y687" s="10">
        <f>IF(W687&gt;$AC$33,1,0)</f>
        <v/>
      </c>
      <c r="Z687">
        <f>IF(Y687=C687,1,0)</f>
        <v/>
      </c>
    </row>
    <row r="688">
      <c r="A688">
        <f>'1 datos preparados'!A681</f>
        <v/>
      </c>
      <c r="B688" s="5">
        <f>'1 datos preparados'!U681</f>
        <v/>
      </c>
      <c r="C688">
        <f>'1 datos preparados'!B681</f>
        <v/>
      </c>
      <c r="D688" s="7">
        <f>'1 datos preparados'!C681</f>
        <v/>
      </c>
      <c r="E688" s="7">
        <f>'1 datos preparados'!D681</f>
        <v/>
      </c>
      <c r="F688" s="7">
        <f>'1 datos preparados'!E681</f>
        <v/>
      </c>
      <c r="G688" s="7">
        <f>'1 datos preparados'!F681</f>
        <v/>
      </c>
      <c r="H688" s="7">
        <f>'1 datos preparados'!G681</f>
        <v/>
      </c>
      <c r="I688" s="7">
        <f>'1 datos preparados'!H681</f>
        <v/>
      </c>
      <c r="J688" s="7">
        <f>'1 datos preparados'!I681</f>
        <v/>
      </c>
      <c r="K688" s="7">
        <f>'1 datos preparados'!J681</f>
        <v/>
      </c>
      <c r="L688" s="7">
        <f>'1 datos preparados'!K681</f>
        <v/>
      </c>
      <c r="M688" s="7">
        <f>'1 datos preparados'!L681</f>
        <v/>
      </c>
      <c r="N688" s="7">
        <f>'1 datos preparados'!M681</f>
        <v/>
      </c>
      <c r="O688" s="7">
        <f>'1 datos preparados'!N681</f>
        <v/>
      </c>
      <c r="P688" s="7">
        <f>'1 datos preparados'!O681</f>
        <v/>
      </c>
      <c r="Q688" s="7">
        <f>'1 datos preparados'!P681</f>
        <v/>
      </c>
      <c r="R688" s="7">
        <f>'1 datos preparados'!Q681</f>
        <v/>
      </c>
      <c r="S688" s="7">
        <f>'1 datos preparados'!R681</f>
        <v/>
      </c>
      <c r="T688" s="7">
        <f>'1 datos preparados'!S681</f>
        <v/>
      </c>
      <c r="U688" s="7">
        <f>'1 datos preparados'!T681</f>
        <v/>
      </c>
      <c r="V688" s="8">
        <f>$AC$12+D688*$AC$13+E688*$AC$14+F688*$AC$15+G688*$AC$16+H688*$AC$17+I688*$AC$18+J688*$AC$19+K688*$AC$20+L688*$AC$21+M688*$AC$22+N688*$AC$23+O688*$AC$24+P688*$AC$25+Q688*$AC$26+R688*$AC$27+S688*$AC$28+T688*$AC$29+U688*$AC$30</f>
        <v/>
      </c>
      <c r="W688" s="8">
        <f>1/(1+EXP(-V688))</f>
        <v/>
      </c>
      <c r="X688" s="9">
        <f>-IF(C688=1,LN(W688),LN(1-W688))</f>
        <v/>
      </c>
      <c r="Y688" s="10">
        <f>IF(W688&gt;$AC$33,1,0)</f>
        <v/>
      </c>
      <c r="Z688">
        <f>IF(Y688=C688,1,0)</f>
        <v/>
      </c>
    </row>
    <row r="689">
      <c r="A689">
        <f>'1 datos preparados'!A682</f>
        <v/>
      </c>
      <c r="B689" s="5">
        <f>'1 datos preparados'!U682</f>
        <v/>
      </c>
      <c r="C689">
        <f>'1 datos preparados'!B682</f>
        <v/>
      </c>
      <c r="D689" s="7">
        <f>'1 datos preparados'!C682</f>
        <v/>
      </c>
      <c r="E689" s="7">
        <f>'1 datos preparados'!D682</f>
        <v/>
      </c>
      <c r="F689" s="7">
        <f>'1 datos preparados'!E682</f>
        <v/>
      </c>
      <c r="G689" s="7">
        <f>'1 datos preparados'!F682</f>
        <v/>
      </c>
      <c r="H689" s="7">
        <f>'1 datos preparados'!G682</f>
        <v/>
      </c>
      <c r="I689" s="7">
        <f>'1 datos preparados'!H682</f>
        <v/>
      </c>
      <c r="J689" s="7">
        <f>'1 datos preparados'!I682</f>
        <v/>
      </c>
      <c r="K689" s="7">
        <f>'1 datos preparados'!J682</f>
        <v/>
      </c>
      <c r="L689" s="7">
        <f>'1 datos preparados'!K682</f>
        <v/>
      </c>
      <c r="M689" s="7">
        <f>'1 datos preparados'!L682</f>
        <v/>
      </c>
      <c r="N689" s="7">
        <f>'1 datos preparados'!M682</f>
        <v/>
      </c>
      <c r="O689" s="7">
        <f>'1 datos preparados'!N682</f>
        <v/>
      </c>
      <c r="P689" s="7">
        <f>'1 datos preparados'!O682</f>
        <v/>
      </c>
      <c r="Q689" s="7">
        <f>'1 datos preparados'!P682</f>
        <v/>
      </c>
      <c r="R689" s="7">
        <f>'1 datos preparados'!Q682</f>
        <v/>
      </c>
      <c r="S689" s="7">
        <f>'1 datos preparados'!R682</f>
        <v/>
      </c>
      <c r="T689" s="7">
        <f>'1 datos preparados'!S682</f>
        <v/>
      </c>
      <c r="U689" s="7">
        <f>'1 datos preparados'!T682</f>
        <v/>
      </c>
      <c r="V689" s="8">
        <f>$AC$12+D689*$AC$13+E689*$AC$14+F689*$AC$15+G689*$AC$16+H689*$AC$17+I689*$AC$18+J689*$AC$19+K689*$AC$20+L689*$AC$21+M689*$AC$22+N689*$AC$23+O689*$AC$24+P689*$AC$25+Q689*$AC$26+R689*$AC$27+S689*$AC$28+T689*$AC$29+U689*$AC$30</f>
        <v/>
      </c>
      <c r="W689" s="8">
        <f>1/(1+EXP(-V689))</f>
        <v/>
      </c>
      <c r="X689" s="9">
        <f>-IF(C689=1,LN(W689),LN(1-W689))</f>
        <v/>
      </c>
      <c r="Y689" s="10">
        <f>IF(W689&gt;$AC$33,1,0)</f>
        <v/>
      </c>
      <c r="Z689">
        <f>IF(Y689=C689,1,0)</f>
        <v/>
      </c>
    </row>
    <row r="690">
      <c r="A690">
        <f>'1 datos preparados'!A683</f>
        <v/>
      </c>
      <c r="B690" s="5">
        <f>'1 datos preparados'!U683</f>
        <v/>
      </c>
      <c r="C690">
        <f>'1 datos preparados'!B683</f>
        <v/>
      </c>
      <c r="D690" s="7">
        <f>'1 datos preparados'!C683</f>
        <v/>
      </c>
      <c r="E690" s="7">
        <f>'1 datos preparados'!D683</f>
        <v/>
      </c>
      <c r="F690" s="7">
        <f>'1 datos preparados'!E683</f>
        <v/>
      </c>
      <c r="G690" s="7">
        <f>'1 datos preparados'!F683</f>
        <v/>
      </c>
      <c r="H690" s="7">
        <f>'1 datos preparados'!G683</f>
        <v/>
      </c>
      <c r="I690" s="7">
        <f>'1 datos preparados'!H683</f>
        <v/>
      </c>
      <c r="J690" s="7">
        <f>'1 datos preparados'!I683</f>
        <v/>
      </c>
      <c r="K690" s="7">
        <f>'1 datos preparados'!J683</f>
        <v/>
      </c>
      <c r="L690" s="7">
        <f>'1 datos preparados'!K683</f>
        <v/>
      </c>
      <c r="M690" s="7">
        <f>'1 datos preparados'!L683</f>
        <v/>
      </c>
      <c r="N690" s="7">
        <f>'1 datos preparados'!M683</f>
        <v/>
      </c>
      <c r="O690" s="7">
        <f>'1 datos preparados'!N683</f>
        <v/>
      </c>
      <c r="P690" s="7">
        <f>'1 datos preparados'!O683</f>
        <v/>
      </c>
      <c r="Q690" s="7">
        <f>'1 datos preparados'!P683</f>
        <v/>
      </c>
      <c r="R690" s="7">
        <f>'1 datos preparados'!Q683</f>
        <v/>
      </c>
      <c r="S690" s="7">
        <f>'1 datos preparados'!R683</f>
        <v/>
      </c>
      <c r="T690" s="7">
        <f>'1 datos preparados'!S683</f>
        <v/>
      </c>
      <c r="U690" s="7">
        <f>'1 datos preparados'!T683</f>
        <v/>
      </c>
      <c r="V690" s="8">
        <f>$AC$12+D690*$AC$13+E690*$AC$14+F690*$AC$15+G690*$AC$16+H690*$AC$17+I690*$AC$18+J690*$AC$19+K690*$AC$20+L690*$AC$21+M690*$AC$22+N690*$AC$23+O690*$AC$24+P690*$AC$25+Q690*$AC$26+R690*$AC$27+S690*$AC$28+T690*$AC$29+U690*$AC$30</f>
        <v/>
      </c>
      <c r="W690" s="8">
        <f>1/(1+EXP(-V690))</f>
        <v/>
      </c>
      <c r="X690" s="9">
        <f>-IF(C690=1,LN(W690),LN(1-W690))</f>
        <v/>
      </c>
      <c r="Y690" s="10">
        <f>IF(W690&gt;$AC$33,1,0)</f>
        <v/>
      </c>
      <c r="Z690">
        <f>IF(Y690=C690,1,0)</f>
        <v/>
      </c>
    </row>
    <row r="691">
      <c r="A691">
        <f>'1 datos preparados'!A684</f>
        <v/>
      </c>
      <c r="B691" s="5">
        <f>'1 datos preparados'!U684</f>
        <v/>
      </c>
      <c r="C691">
        <f>'1 datos preparados'!B684</f>
        <v/>
      </c>
      <c r="D691" s="7">
        <f>'1 datos preparados'!C684</f>
        <v/>
      </c>
      <c r="E691" s="7">
        <f>'1 datos preparados'!D684</f>
        <v/>
      </c>
      <c r="F691" s="7">
        <f>'1 datos preparados'!E684</f>
        <v/>
      </c>
      <c r="G691" s="7">
        <f>'1 datos preparados'!F684</f>
        <v/>
      </c>
      <c r="H691" s="7">
        <f>'1 datos preparados'!G684</f>
        <v/>
      </c>
      <c r="I691" s="7">
        <f>'1 datos preparados'!H684</f>
        <v/>
      </c>
      <c r="J691" s="7">
        <f>'1 datos preparados'!I684</f>
        <v/>
      </c>
      <c r="K691" s="7">
        <f>'1 datos preparados'!J684</f>
        <v/>
      </c>
      <c r="L691" s="7">
        <f>'1 datos preparados'!K684</f>
        <v/>
      </c>
      <c r="M691" s="7">
        <f>'1 datos preparados'!L684</f>
        <v/>
      </c>
      <c r="N691" s="7">
        <f>'1 datos preparados'!M684</f>
        <v/>
      </c>
      <c r="O691" s="7">
        <f>'1 datos preparados'!N684</f>
        <v/>
      </c>
      <c r="P691" s="7">
        <f>'1 datos preparados'!O684</f>
        <v/>
      </c>
      <c r="Q691" s="7">
        <f>'1 datos preparados'!P684</f>
        <v/>
      </c>
      <c r="R691" s="7">
        <f>'1 datos preparados'!Q684</f>
        <v/>
      </c>
      <c r="S691" s="7">
        <f>'1 datos preparados'!R684</f>
        <v/>
      </c>
      <c r="T691" s="7">
        <f>'1 datos preparados'!S684</f>
        <v/>
      </c>
      <c r="U691" s="7">
        <f>'1 datos preparados'!T684</f>
        <v/>
      </c>
      <c r="V691" s="8">
        <f>$AC$12+D691*$AC$13+E691*$AC$14+F691*$AC$15+G691*$AC$16+H691*$AC$17+I691*$AC$18+J691*$AC$19+K691*$AC$20+L691*$AC$21+M691*$AC$22+N691*$AC$23+O691*$AC$24+P691*$AC$25+Q691*$AC$26+R691*$AC$27+S691*$AC$28+T691*$AC$29+U691*$AC$30</f>
        <v/>
      </c>
      <c r="W691" s="8">
        <f>1/(1+EXP(-V691))</f>
        <v/>
      </c>
      <c r="X691" s="9">
        <f>-IF(C691=1,LN(W691),LN(1-W691))</f>
        <v/>
      </c>
      <c r="Y691" s="10">
        <f>IF(W691&gt;$AC$33,1,0)</f>
        <v/>
      </c>
      <c r="Z691">
        <f>IF(Y691=C691,1,0)</f>
        <v/>
      </c>
    </row>
    <row r="692">
      <c r="A692">
        <f>'1 datos preparados'!A685</f>
        <v/>
      </c>
      <c r="B692" s="5">
        <f>'1 datos preparados'!U685</f>
        <v/>
      </c>
      <c r="C692">
        <f>'1 datos preparados'!B685</f>
        <v/>
      </c>
      <c r="D692" s="7">
        <f>'1 datos preparados'!C685</f>
        <v/>
      </c>
      <c r="E692" s="7">
        <f>'1 datos preparados'!D685</f>
        <v/>
      </c>
      <c r="F692" s="7">
        <f>'1 datos preparados'!E685</f>
        <v/>
      </c>
      <c r="G692" s="7">
        <f>'1 datos preparados'!F685</f>
        <v/>
      </c>
      <c r="H692" s="7">
        <f>'1 datos preparados'!G685</f>
        <v/>
      </c>
      <c r="I692" s="7">
        <f>'1 datos preparados'!H685</f>
        <v/>
      </c>
      <c r="J692" s="7">
        <f>'1 datos preparados'!I685</f>
        <v/>
      </c>
      <c r="K692" s="7">
        <f>'1 datos preparados'!J685</f>
        <v/>
      </c>
      <c r="L692" s="7">
        <f>'1 datos preparados'!K685</f>
        <v/>
      </c>
      <c r="M692" s="7">
        <f>'1 datos preparados'!L685</f>
        <v/>
      </c>
      <c r="N692" s="7">
        <f>'1 datos preparados'!M685</f>
        <v/>
      </c>
      <c r="O692" s="7">
        <f>'1 datos preparados'!N685</f>
        <v/>
      </c>
      <c r="P692" s="7">
        <f>'1 datos preparados'!O685</f>
        <v/>
      </c>
      <c r="Q692" s="7">
        <f>'1 datos preparados'!P685</f>
        <v/>
      </c>
      <c r="R692" s="7">
        <f>'1 datos preparados'!Q685</f>
        <v/>
      </c>
      <c r="S692" s="7">
        <f>'1 datos preparados'!R685</f>
        <v/>
      </c>
      <c r="T692" s="7">
        <f>'1 datos preparados'!S685</f>
        <v/>
      </c>
      <c r="U692" s="7">
        <f>'1 datos preparados'!T685</f>
        <v/>
      </c>
      <c r="V692" s="8">
        <f>$AC$12+D692*$AC$13+E692*$AC$14+F692*$AC$15+G692*$AC$16+H692*$AC$17+I692*$AC$18+J692*$AC$19+K692*$AC$20+L692*$AC$21+M692*$AC$22+N692*$AC$23+O692*$AC$24+P692*$AC$25+Q692*$AC$26+R692*$AC$27+S692*$AC$28+T692*$AC$29+U692*$AC$30</f>
        <v/>
      </c>
      <c r="W692" s="8">
        <f>1/(1+EXP(-V692))</f>
        <v/>
      </c>
      <c r="X692" s="9">
        <f>-IF(C692=1,LN(W692),LN(1-W692))</f>
        <v/>
      </c>
      <c r="Y692" s="10">
        <f>IF(W692&gt;$AC$33,1,0)</f>
        <v/>
      </c>
      <c r="Z692">
        <f>IF(Y692=C692,1,0)</f>
        <v/>
      </c>
    </row>
    <row r="693">
      <c r="A693">
        <f>'1 datos preparados'!A686</f>
        <v/>
      </c>
      <c r="B693" s="5">
        <f>'1 datos preparados'!U686</f>
        <v/>
      </c>
      <c r="C693">
        <f>'1 datos preparados'!B686</f>
        <v/>
      </c>
      <c r="D693" s="7">
        <f>'1 datos preparados'!C686</f>
        <v/>
      </c>
      <c r="E693" s="7">
        <f>'1 datos preparados'!D686</f>
        <v/>
      </c>
      <c r="F693" s="7">
        <f>'1 datos preparados'!E686</f>
        <v/>
      </c>
      <c r="G693" s="7">
        <f>'1 datos preparados'!F686</f>
        <v/>
      </c>
      <c r="H693" s="7">
        <f>'1 datos preparados'!G686</f>
        <v/>
      </c>
      <c r="I693" s="7">
        <f>'1 datos preparados'!H686</f>
        <v/>
      </c>
      <c r="J693" s="7">
        <f>'1 datos preparados'!I686</f>
        <v/>
      </c>
      <c r="K693" s="7">
        <f>'1 datos preparados'!J686</f>
        <v/>
      </c>
      <c r="L693" s="7">
        <f>'1 datos preparados'!K686</f>
        <v/>
      </c>
      <c r="M693" s="7">
        <f>'1 datos preparados'!L686</f>
        <v/>
      </c>
      <c r="N693" s="7">
        <f>'1 datos preparados'!M686</f>
        <v/>
      </c>
      <c r="O693" s="7">
        <f>'1 datos preparados'!N686</f>
        <v/>
      </c>
      <c r="P693" s="7">
        <f>'1 datos preparados'!O686</f>
        <v/>
      </c>
      <c r="Q693" s="7">
        <f>'1 datos preparados'!P686</f>
        <v/>
      </c>
      <c r="R693" s="7">
        <f>'1 datos preparados'!Q686</f>
        <v/>
      </c>
      <c r="S693" s="7">
        <f>'1 datos preparados'!R686</f>
        <v/>
      </c>
      <c r="T693" s="7">
        <f>'1 datos preparados'!S686</f>
        <v/>
      </c>
      <c r="U693" s="7">
        <f>'1 datos preparados'!T686</f>
        <v/>
      </c>
      <c r="V693" s="8">
        <f>$AC$12+D693*$AC$13+E693*$AC$14+F693*$AC$15+G693*$AC$16+H693*$AC$17+I693*$AC$18+J693*$AC$19+K693*$AC$20+L693*$AC$21+M693*$AC$22+N693*$AC$23+O693*$AC$24+P693*$AC$25+Q693*$AC$26+R693*$AC$27+S693*$AC$28+T693*$AC$29+U693*$AC$30</f>
        <v/>
      </c>
      <c r="W693" s="8">
        <f>1/(1+EXP(-V693))</f>
        <v/>
      </c>
      <c r="X693" s="9">
        <f>-IF(C693=1,LN(W693),LN(1-W693))</f>
        <v/>
      </c>
      <c r="Y693" s="10">
        <f>IF(W693&gt;$AC$33,1,0)</f>
        <v/>
      </c>
      <c r="Z693">
        <f>IF(Y693=C693,1,0)</f>
        <v/>
      </c>
    </row>
    <row r="694">
      <c r="A694">
        <f>'1 datos preparados'!A687</f>
        <v/>
      </c>
      <c r="B694" s="5">
        <f>'1 datos preparados'!U687</f>
        <v/>
      </c>
      <c r="C694">
        <f>'1 datos preparados'!B687</f>
        <v/>
      </c>
      <c r="D694" s="7">
        <f>'1 datos preparados'!C687</f>
        <v/>
      </c>
      <c r="E694" s="7">
        <f>'1 datos preparados'!D687</f>
        <v/>
      </c>
      <c r="F694" s="7">
        <f>'1 datos preparados'!E687</f>
        <v/>
      </c>
      <c r="G694" s="7">
        <f>'1 datos preparados'!F687</f>
        <v/>
      </c>
      <c r="H694" s="7">
        <f>'1 datos preparados'!G687</f>
        <v/>
      </c>
      <c r="I694" s="7">
        <f>'1 datos preparados'!H687</f>
        <v/>
      </c>
      <c r="J694" s="7">
        <f>'1 datos preparados'!I687</f>
        <v/>
      </c>
      <c r="K694" s="7">
        <f>'1 datos preparados'!J687</f>
        <v/>
      </c>
      <c r="L694" s="7">
        <f>'1 datos preparados'!K687</f>
        <v/>
      </c>
      <c r="M694" s="7">
        <f>'1 datos preparados'!L687</f>
        <v/>
      </c>
      <c r="N694" s="7">
        <f>'1 datos preparados'!M687</f>
        <v/>
      </c>
      <c r="O694" s="7">
        <f>'1 datos preparados'!N687</f>
        <v/>
      </c>
      <c r="P694" s="7">
        <f>'1 datos preparados'!O687</f>
        <v/>
      </c>
      <c r="Q694" s="7">
        <f>'1 datos preparados'!P687</f>
        <v/>
      </c>
      <c r="R694" s="7">
        <f>'1 datos preparados'!Q687</f>
        <v/>
      </c>
      <c r="S694" s="7">
        <f>'1 datos preparados'!R687</f>
        <v/>
      </c>
      <c r="T694" s="7">
        <f>'1 datos preparados'!S687</f>
        <v/>
      </c>
      <c r="U694" s="7">
        <f>'1 datos preparados'!T687</f>
        <v/>
      </c>
      <c r="V694" s="8">
        <f>$AC$12+D694*$AC$13+E694*$AC$14+F694*$AC$15+G694*$AC$16+H694*$AC$17+I694*$AC$18+J694*$AC$19+K694*$AC$20+L694*$AC$21+M694*$AC$22+N694*$AC$23+O694*$AC$24+P694*$AC$25+Q694*$AC$26+R694*$AC$27+S694*$AC$28+T694*$AC$29+U694*$AC$30</f>
        <v/>
      </c>
      <c r="W694" s="8">
        <f>1/(1+EXP(-V694))</f>
        <v/>
      </c>
      <c r="X694" s="9">
        <f>-IF(C694=1,LN(W694),LN(1-W694))</f>
        <v/>
      </c>
      <c r="Y694" s="10">
        <f>IF(W694&gt;$AC$33,1,0)</f>
        <v/>
      </c>
      <c r="Z694">
        <f>IF(Y694=C694,1,0)</f>
        <v/>
      </c>
    </row>
    <row r="695">
      <c r="A695">
        <f>'1 datos preparados'!A688</f>
        <v/>
      </c>
      <c r="B695" s="5">
        <f>'1 datos preparados'!U688</f>
        <v/>
      </c>
      <c r="C695">
        <f>'1 datos preparados'!B688</f>
        <v/>
      </c>
      <c r="D695" s="7">
        <f>'1 datos preparados'!C688</f>
        <v/>
      </c>
      <c r="E695" s="7">
        <f>'1 datos preparados'!D688</f>
        <v/>
      </c>
      <c r="F695" s="7">
        <f>'1 datos preparados'!E688</f>
        <v/>
      </c>
      <c r="G695" s="7">
        <f>'1 datos preparados'!F688</f>
        <v/>
      </c>
      <c r="H695" s="7">
        <f>'1 datos preparados'!G688</f>
        <v/>
      </c>
      <c r="I695" s="7">
        <f>'1 datos preparados'!H688</f>
        <v/>
      </c>
      <c r="J695" s="7">
        <f>'1 datos preparados'!I688</f>
        <v/>
      </c>
      <c r="K695" s="7">
        <f>'1 datos preparados'!J688</f>
        <v/>
      </c>
      <c r="L695" s="7">
        <f>'1 datos preparados'!K688</f>
        <v/>
      </c>
      <c r="M695" s="7">
        <f>'1 datos preparados'!L688</f>
        <v/>
      </c>
      <c r="N695" s="7">
        <f>'1 datos preparados'!M688</f>
        <v/>
      </c>
      <c r="O695" s="7">
        <f>'1 datos preparados'!N688</f>
        <v/>
      </c>
      <c r="P695" s="7">
        <f>'1 datos preparados'!O688</f>
        <v/>
      </c>
      <c r="Q695" s="7">
        <f>'1 datos preparados'!P688</f>
        <v/>
      </c>
      <c r="R695" s="7">
        <f>'1 datos preparados'!Q688</f>
        <v/>
      </c>
      <c r="S695" s="7">
        <f>'1 datos preparados'!R688</f>
        <v/>
      </c>
      <c r="T695" s="7">
        <f>'1 datos preparados'!S688</f>
        <v/>
      </c>
      <c r="U695" s="7">
        <f>'1 datos preparados'!T688</f>
        <v/>
      </c>
      <c r="V695" s="8">
        <f>$AC$12+D695*$AC$13+E695*$AC$14+F695*$AC$15+G695*$AC$16+H695*$AC$17+I695*$AC$18+J695*$AC$19+K695*$AC$20+L695*$AC$21+M695*$AC$22+N695*$AC$23+O695*$AC$24+P695*$AC$25+Q695*$AC$26+R695*$AC$27+S695*$AC$28+T695*$AC$29+U695*$AC$30</f>
        <v/>
      </c>
      <c r="W695" s="8">
        <f>1/(1+EXP(-V695))</f>
        <v/>
      </c>
      <c r="X695" s="9">
        <f>-IF(C695=1,LN(W695),LN(1-W695))</f>
        <v/>
      </c>
      <c r="Y695" s="10">
        <f>IF(W695&gt;$AC$33,1,0)</f>
        <v/>
      </c>
      <c r="Z695">
        <f>IF(Y695=C695,1,0)</f>
        <v/>
      </c>
    </row>
    <row r="696">
      <c r="A696">
        <f>'1 datos preparados'!A689</f>
        <v/>
      </c>
      <c r="B696" s="5">
        <f>'1 datos preparados'!U689</f>
        <v/>
      </c>
      <c r="C696">
        <f>'1 datos preparados'!B689</f>
        <v/>
      </c>
      <c r="D696" s="7">
        <f>'1 datos preparados'!C689</f>
        <v/>
      </c>
      <c r="E696" s="7">
        <f>'1 datos preparados'!D689</f>
        <v/>
      </c>
      <c r="F696" s="7">
        <f>'1 datos preparados'!E689</f>
        <v/>
      </c>
      <c r="G696" s="7">
        <f>'1 datos preparados'!F689</f>
        <v/>
      </c>
      <c r="H696" s="7">
        <f>'1 datos preparados'!G689</f>
        <v/>
      </c>
      <c r="I696" s="7">
        <f>'1 datos preparados'!H689</f>
        <v/>
      </c>
      <c r="J696" s="7">
        <f>'1 datos preparados'!I689</f>
        <v/>
      </c>
      <c r="K696" s="7">
        <f>'1 datos preparados'!J689</f>
        <v/>
      </c>
      <c r="L696" s="7">
        <f>'1 datos preparados'!K689</f>
        <v/>
      </c>
      <c r="M696" s="7">
        <f>'1 datos preparados'!L689</f>
        <v/>
      </c>
      <c r="N696" s="7">
        <f>'1 datos preparados'!M689</f>
        <v/>
      </c>
      <c r="O696" s="7">
        <f>'1 datos preparados'!N689</f>
        <v/>
      </c>
      <c r="P696" s="7">
        <f>'1 datos preparados'!O689</f>
        <v/>
      </c>
      <c r="Q696" s="7">
        <f>'1 datos preparados'!P689</f>
        <v/>
      </c>
      <c r="R696" s="7">
        <f>'1 datos preparados'!Q689</f>
        <v/>
      </c>
      <c r="S696" s="7">
        <f>'1 datos preparados'!R689</f>
        <v/>
      </c>
      <c r="T696" s="7">
        <f>'1 datos preparados'!S689</f>
        <v/>
      </c>
      <c r="U696" s="7">
        <f>'1 datos preparados'!T689</f>
        <v/>
      </c>
      <c r="V696" s="8">
        <f>$AC$12+D696*$AC$13+E696*$AC$14+F696*$AC$15+G696*$AC$16+H696*$AC$17+I696*$AC$18+J696*$AC$19+K696*$AC$20+L696*$AC$21+M696*$AC$22+N696*$AC$23+O696*$AC$24+P696*$AC$25+Q696*$AC$26+R696*$AC$27+S696*$AC$28+T696*$AC$29+U696*$AC$30</f>
        <v/>
      </c>
      <c r="W696" s="8">
        <f>1/(1+EXP(-V696))</f>
        <v/>
      </c>
      <c r="X696" s="9">
        <f>-IF(C696=1,LN(W696),LN(1-W696))</f>
        <v/>
      </c>
      <c r="Y696" s="10">
        <f>IF(W696&gt;$AC$33,1,0)</f>
        <v/>
      </c>
      <c r="Z696">
        <f>IF(Y696=C696,1,0)</f>
        <v/>
      </c>
    </row>
    <row r="697">
      <c r="A697">
        <f>'1 datos preparados'!A690</f>
        <v/>
      </c>
      <c r="B697" s="5">
        <f>'1 datos preparados'!U690</f>
        <v/>
      </c>
      <c r="C697">
        <f>'1 datos preparados'!B690</f>
        <v/>
      </c>
      <c r="D697" s="7">
        <f>'1 datos preparados'!C690</f>
        <v/>
      </c>
      <c r="E697" s="7">
        <f>'1 datos preparados'!D690</f>
        <v/>
      </c>
      <c r="F697" s="7">
        <f>'1 datos preparados'!E690</f>
        <v/>
      </c>
      <c r="G697" s="7">
        <f>'1 datos preparados'!F690</f>
        <v/>
      </c>
      <c r="H697" s="7">
        <f>'1 datos preparados'!G690</f>
        <v/>
      </c>
      <c r="I697" s="7">
        <f>'1 datos preparados'!H690</f>
        <v/>
      </c>
      <c r="J697" s="7">
        <f>'1 datos preparados'!I690</f>
        <v/>
      </c>
      <c r="K697" s="7">
        <f>'1 datos preparados'!J690</f>
        <v/>
      </c>
      <c r="L697" s="7">
        <f>'1 datos preparados'!K690</f>
        <v/>
      </c>
      <c r="M697" s="7">
        <f>'1 datos preparados'!L690</f>
        <v/>
      </c>
      <c r="N697" s="7">
        <f>'1 datos preparados'!M690</f>
        <v/>
      </c>
      <c r="O697" s="7">
        <f>'1 datos preparados'!N690</f>
        <v/>
      </c>
      <c r="P697" s="7">
        <f>'1 datos preparados'!O690</f>
        <v/>
      </c>
      <c r="Q697" s="7">
        <f>'1 datos preparados'!P690</f>
        <v/>
      </c>
      <c r="R697" s="7">
        <f>'1 datos preparados'!Q690</f>
        <v/>
      </c>
      <c r="S697" s="7">
        <f>'1 datos preparados'!R690</f>
        <v/>
      </c>
      <c r="T697" s="7">
        <f>'1 datos preparados'!S690</f>
        <v/>
      </c>
      <c r="U697" s="7">
        <f>'1 datos preparados'!T690</f>
        <v/>
      </c>
      <c r="V697" s="8">
        <f>$AC$12+D697*$AC$13+E697*$AC$14+F697*$AC$15+G697*$AC$16+H697*$AC$17+I697*$AC$18+J697*$AC$19+K697*$AC$20+L697*$AC$21+M697*$AC$22+N697*$AC$23+O697*$AC$24+P697*$AC$25+Q697*$AC$26+R697*$AC$27+S697*$AC$28+T697*$AC$29+U697*$AC$30</f>
        <v/>
      </c>
      <c r="W697" s="8">
        <f>1/(1+EXP(-V697))</f>
        <v/>
      </c>
      <c r="X697" s="9">
        <f>-IF(C697=1,LN(W697),LN(1-W697))</f>
        <v/>
      </c>
      <c r="Y697" s="10">
        <f>IF(W697&gt;$AC$33,1,0)</f>
        <v/>
      </c>
      <c r="Z697">
        <f>IF(Y697=C697,1,0)</f>
        <v/>
      </c>
    </row>
    <row r="698">
      <c r="A698">
        <f>'1 datos preparados'!A691</f>
        <v/>
      </c>
      <c r="B698" s="5">
        <f>'1 datos preparados'!U691</f>
        <v/>
      </c>
      <c r="C698">
        <f>'1 datos preparados'!B691</f>
        <v/>
      </c>
      <c r="D698" s="7">
        <f>'1 datos preparados'!C691</f>
        <v/>
      </c>
      <c r="E698" s="7">
        <f>'1 datos preparados'!D691</f>
        <v/>
      </c>
      <c r="F698" s="7">
        <f>'1 datos preparados'!E691</f>
        <v/>
      </c>
      <c r="G698" s="7">
        <f>'1 datos preparados'!F691</f>
        <v/>
      </c>
      <c r="H698" s="7">
        <f>'1 datos preparados'!G691</f>
        <v/>
      </c>
      <c r="I698" s="7">
        <f>'1 datos preparados'!H691</f>
        <v/>
      </c>
      <c r="J698" s="7">
        <f>'1 datos preparados'!I691</f>
        <v/>
      </c>
      <c r="K698" s="7">
        <f>'1 datos preparados'!J691</f>
        <v/>
      </c>
      <c r="L698" s="7">
        <f>'1 datos preparados'!K691</f>
        <v/>
      </c>
      <c r="M698" s="7">
        <f>'1 datos preparados'!L691</f>
        <v/>
      </c>
      <c r="N698" s="7">
        <f>'1 datos preparados'!M691</f>
        <v/>
      </c>
      <c r="O698" s="7">
        <f>'1 datos preparados'!N691</f>
        <v/>
      </c>
      <c r="P698" s="7">
        <f>'1 datos preparados'!O691</f>
        <v/>
      </c>
      <c r="Q698" s="7">
        <f>'1 datos preparados'!P691</f>
        <v/>
      </c>
      <c r="R698" s="7">
        <f>'1 datos preparados'!Q691</f>
        <v/>
      </c>
      <c r="S698" s="7">
        <f>'1 datos preparados'!R691</f>
        <v/>
      </c>
      <c r="T698" s="7">
        <f>'1 datos preparados'!S691</f>
        <v/>
      </c>
      <c r="U698" s="7">
        <f>'1 datos preparados'!T691</f>
        <v/>
      </c>
      <c r="V698" s="8">
        <f>$AC$12+D698*$AC$13+E698*$AC$14+F698*$AC$15+G698*$AC$16+H698*$AC$17+I698*$AC$18+J698*$AC$19+K698*$AC$20+L698*$AC$21+M698*$AC$22+N698*$AC$23+O698*$AC$24+P698*$AC$25+Q698*$AC$26+R698*$AC$27+S698*$AC$28+T698*$AC$29+U698*$AC$30</f>
        <v/>
      </c>
      <c r="W698" s="8">
        <f>1/(1+EXP(-V698))</f>
        <v/>
      </c>
      <c r="X698" s="9">
        <f>-IF(C698=1,LN(W698),LN(1-W698))</f>
        <v/>
      </c>
      <c r="Y698" s="10">
        <f>IF(W698&gt;$AC$33,1,0)</f>
        <v/>
      </c>
      <c r="Z698">
        <f>IF(Y698=C698,1,0)</f>
        <v/>
      </c>
    </row>
    <row r="699">
      <c r="A699">
        <f>'1 datos preparados'!A692</f>
        <v/>
      </c>
      <c r="B699" s="5">
        <f>'1 datos preparados'!U692</f>
        <v/>
      </c>
      <c r="C699">
        <f>'1 datos preparados'!B692</f>
        <v/>
      </c>
      <c r="D699" s="7">
        <f>'1 datos preparados'!C692</f>
        <v/>
      </c>
      <c r="E699" s="7">
        <f>'1 datos preparados'!D692</f>
        <v/>
      </c>
      <c r="F699" s="7">
        <f>'1 datos preparados'!E692</f>
        <v/>
      </c>
      <c r="G699" s="7">
        <f>'1 datos preparados'!F692</f>
        <v/>
      </c>
      <c r="H699" s="7">
        <f>'1 datos preparados'!G692</f>
        <v/>
      </c>
      <c r="I699" s="7">
        <f>'1 datos preparados'!H692</f>
        <v/>
      </c>
      <c r="J699" s="7">
        <f>'1 datos preparados'!I692</f>
        <v/>
      </c>
      <c r="K699" s="7">
        <f>'1 datos preparados'!J692</f>
        <v/>
      </c>
      <c r="L699" s="7">
        <f>'1 datos preparados'!K692</f>
        <v/>
      </c>
      <c r="M699" s="7">
        <f>'1 datos preparados'!L692</f>
        <v/>
      </c>
      <c r="N699" s="7">
        <f>'1 datos preparados'!M692</f>
        <v/>
      </c>
      <c r="O699" s="7">
        <f>'1 datos preparados'!N692</f>
        <v/>
      </c>
      <c r="P699" s="7">
        <f>'1 datos preparados'!O692</f>
        <v/>
      </c>
      <c r="Q699" s="7">
        <f>'1 datos preparados'!P692</f>
        <v/>
      </c>
      <c r="R699" s="7">
        <f>'1 datos preparados'!Q692</f>
        <v/>
      </c>
      <c r="S699" s="7">
        <f>'1 datos preparados'!R692</f>
        <v/>
      </c>
      <c r="T699" s="7">
        <f>'1 datos preparados'!S692</f>
        <v/>
      </c>
      <c r="U699" s="7">
        <f>'1 datos preparados'!T692</f>
        <v/>
      </c>
      <c r="V699" s="8">
        <f>$AC$12+D699*$AC$13+E699*$AC$14+F699*$AC$15+G699*$AC$16+H699*$AC$17+I699*$AC$18+J699*$AC$19+K699*$AC$20+L699*$AC$21+M699*$AC$22+N699*$AC$23+O699*$AC$24+P699*$AC$25+Q699*$AC$26+R699*$AC$27+S699*$AC$28+T699*$AC$29+U699*$AC$30</f>
        <v/>
      </c>
      <c r="W699" s="8">
        <f>1/(1+EXP(-V699))</f>
        <v/>
      </c>
      <c r="X699" s="9">
        <f>-IF(C699=1,LN(W699),LN(1-W699))</f>
        <v/>
      </c>
      <c r="Y699" s="10">
        <f>IF(W699&gt;$AC$33,1,0)</f>
        <v/>
      </c>
      <c r="Z699">
        <f>IF(Y699=C699,1,0)</f>
        <v/>
      </c>
    </row>
    <row r="700">
      <c r="A700">
        <f>'1 datos preparados'!A693</f>
        <v/>
      </c>
      <c r="B700" s="5">
        <f>'1 datos preparados'!U693</f>
        <v/>
      </c>
      <c r="C700">
        <f>'1 datos preparados'!B693</f>
        <v/>
      </c>
      <c r="D700" s="7">
        <f>'1 datos preparados'!C693</f>
        <v/>
      </c>
      <c r="E700" s="7">
        <f>'1 datos preparados'!D693</f>
        <v/>
      </c>
      <c r="F700" s="7">
        <f>'1 datos preparados'!E693</f>
        <v/>
      </c>
      <c r="G700" s="7">
        <f>'1 datos preparados'!F693</f>
        <v/>
      </c>
      <c r="H700" s="7">
        <f>'1 datos preparados'!G693</f>
        <v/>
      </c>
      <c r="I700" s="7">
        <f>'1 datos preparados'!H693</f>
        <v/>
      </c>
      <c r="J700" s="7">
        <f>'1 datos preparados'!I693</f>
        <v/>
      </c>
      <c r="K700" s="7">
        <f>'1 datos preparados'!J693</f>
        <v/>
      </c>
      <c r="L700" s="7">
        <f>'1 datos preparados'!K693</f>
        <v/>
      </c>
      <c r="M700" s="7">
        <f>'1 datos preparados'!L693</f>
        <v/>
      </c>
      <c r="N700" s="7">
        <f>'1 datos preparados'!M693</f>
        <v/>
      </c>
      <c r="O700" s="7">
        <f>'1 datos preparados'!N693</f>
        <v/>
      </c>
      <c r="P700" s="7">
        <f>'1 datos preparados'!O693</f>
        <v/>
      </c>
      <c r="Q700" s="7">
        <f>'1 datos preparados'!P693</f>
        <v/>
      </c>
      <c r="R700" s="7">
        <f>'1 datos preparados'!Q693</f>
        <v/>
      </c>
      <c r="S700" s="7">
        <f>'1 datos preparados'!R693</f>
        <v/>
      </c>
      <c r="T700" s="7">
        <f>'1 datos preparados'!S693</f>
        <v/>
      </c>
      <c r="U700" s="7">
        <f>'1 datos preparados'!T693</f>
        <v/>
      </c>
      <c r="V700" s="8">
        <f>$AC$12+D700*$AC$13+E700*$AC$14+F700*$AC$15+G700*$AC$16+H700*$AC$17+I700*$AC$18+J700*$AC$19+K700*$AC$20+L700*$AC$21+M700*$AC$22+N700*$AC$23+O700*$AC$24+P700*$AC$25+Q700*$AC$26+R700*$AC$27+S700*$AC$28+T700*$AC$29+U700*$AC$30</f>
        <v/>
      </c>
      <c r="W700" s="8">
        <f>1/(1+EXP(-V700))</f>
        <v/>
      </c>
      <c r="X700" s="9">
        <f>-IF(C700=1,LN(W700),LN(1-W700))</f>
        <v/>
      </c>
      <c r="Y700" s="10">
        <f>IF(W700&gt;$AC$33,1,0)</f>
        <v/>
      </c>
      <c r="Z700">
        <f>IF(Y700=C700,1,0)</f>
        <v/>
      </c>
    </row>
    <row r="701">
      <c r="A701">
        <f>'1 datos preparados'!A694</f>
        <v/>
      </c>
      <c r="B701" s="5">
        <f>'1 datos preparados'!U694</f>
        <v/>
      </c>
      <c r="C701">
        <f>'1 datos preparados'!B694</f>
        <v/>
      </c>
      <c r="D701" s="7">
        <f>'1 datos preparados'!C694</f>
        <v/>
      </c>
      <c r="E701" s="7">
        <f>'1 datos preparados'!D694</f>
        <v/>
      </c>
      <c r="F701" s="7">
        <f>'1 datos preparados'!E694</f>
        <v/>
      </c>
      <c r="G701" s="7">
        <f>'1 datos preparados'!F694</f>
        <v/>
      </c>
      <c r="H701" s="7">
        <f>'1 datos preparados'!G694</f>
        <v/>
      </c>
      <c r="I701" s="7">
        <f>'1 datos preparados'!H694</f>
        <v/>
      </c>
      <c r="J701" s="7">
        <f>'1 datos preparados'!I694</f>
        <v/>
      </c>
      <c r="K701" s="7">
        <f>'1 datos preparados'!J694</f>
        <v/>
      </c>
      <c r="L701" s="7">
        <f>'1 datos preparados'!K694</f>
        <v/>
      </c>
      <c r="M701" s="7">
        <f>'1 datos preparados'!L694</f>
        <v/>
      </c>
      <c r="N701" s="7">
        <f>'1 datos preparados'!M694</f>
        <v/>
      </c>
      <c r="O701" s="7">
        <f>'1 datos preparados'!N694</f>
        <v/>
      </c>
      <c r="P701" s="7">
        <f>'1 datos preparados'!O694</f>
        <v/>
      </c>
      <c r="Q701" s="7">
        <f>'1 datos preparados'!P694</f>
        <v/>
      </c>
      <c r="R701" s="7">
        <f>'1 datos preparados'!Q694</f>
        <v/>
      </c>
      <c r="S701" s="7">
        <f>'1 datos preparados'!R694</f>
        <v/>
      </c>
      <c r="T701" s="7">
        <f>'1 datos preparados'!S694</f>
        <v/>
      </c>
      <c r="U701" s="7">
        <f>'1 datos preparados'!T694</f>
        <v/>
      </c>
      <c r="V701" s="8">
        <f>$AC$12+D701*$AC$13+E701*$AC$14+F701*$AC$15+G701*$AC$16+H701*$AC$17+I701*$AC$18+J701*$AC$19+K701*$AC$20+L701*$AC$21+M701*$AC$22+N701*$AC$23+O701*$AC$24+P701*$AC$25+Q701*$AC$26+R701*$AC$27+S701*$AC$28+T701*$AC$29+U701*$AC$30</f>
        <v/>
      </c>
      <c r="W701" s="8">
        <f>1/(1+EXP(-V701))</f>
        <v/>
      </c>
      <c r="X701" s="9">
        <f>-IF(C701=1,LN(W701),LN(1-W701))</f>
        <v/>
      </c>
      <c r="Y701" s="10">
        <f>IF(W701&gt;$AC$33,1,0)</f>
        <v/>
      </c>
      <c r="Z701">
        <f>IF(Y701=C701,1,0)</f>
        <v/>
      </c>
    </row>
    <row r="702">
      <c r="A702">
        <f>'1 datos preparados'!A695</f>
        <v/>
      </c>
      <c r="B702" s="5">
        <f>'1 datos preparados'!U695</f>
        <v/>
      </c>
      <c r="C702">
        <f>'1 datos preparados'!B695</f>
        <v/>
      </c>
      <c r="D702" s="7">
        <f>'1 datos preparados'!C695</f>
        <v/>
      </c>
      <c r="E702" s="7">
        <f>'1 datos preparados'!D695</f>
        <v/>
      </c>
      <c r="F702" s="7">
        <f>'1 datos preparados'!E695</f>
        <v/>
      </c>
      <c r="G702" s="7">
        <f>'1 datos preparados'!F695</f>
        <v/>
      </c>
      <c r="H702" s="7">
        <f>'1 datos preparados'!G695</f>
        <v/>
      </c>
      <c r="I702" s="7">
        <f>'1 datos preparados'!H695</f>
        <v/>
      </c>
      <c r="J702" s="7">
        <f>'1 datos preparados'!I695</f>
        <v/>
      </c>
      <c r="K702" s="7">
        <f>'1 datos preparados'!J695</f>
        <v/>
      </c>
      <c r="L702" s="7">
        <f>'1 datos preparados'!K695</f>
        <v/>
      </c>
      <c r="M702" s="7">
        <f>'1 datos preparados'!L695</f>
        <v/>
      </c>
      <c r="N702" s="7">
        <f>'1 datos preparados'!M695</f>
        <v/>
      </c>
      <c r="O702" s="7">
        <f>'1 datos preparados'!N695</f>
        <v/>
      </c>
      <c r="P702" s="7">
        <f>'1 datos preparados'!O695</f>
        <v/>
      </c>
      <c r="Q702" s="7">
        <f>'1 datos preparados'!P695</f>
        <v/>
      </c>
      <c r="R702" s="7">
        <f>'1 datos preparados'!Q695</f>
        <v/>
      </c>
      <c r="S702" s="7">
        <f>'1 datos preparados'!R695</f>
        <v/>
      </c>
      <c r="T702" s="7">
        <f>'1 datos preparados'!S695</f>
        <v/>
      </c>
      <c r="U702" s="7">
        <f>'1 datos preparados'!T695</f>
        <v/>
      </c>
      <c r="V702" s="8">
        <f>$AC$12+D702*$AC$13+E702*$AC$14+F702*$AC$15+G702*$AC$16+H702*$AC$17+I702*$AC$18+J702*$AC$19+K702*$AC$20+L702*$AC$21+M702*$AC$22+N702*$AC$23+O702*$AC$24+P702*$AC$25+Q702*$AC$26+R702*$AC$27+S702*$AC$28+T702*$AC$29+U702*$AC$30</f>
        <v/>
      </c>
      <c r="W702" s="8">
        <f>1/(1+EXP(-V702))</f>
        <v/>
      </c>
      <c r="X702" s="9">
        <f>-IF(C702=1,LN(W702),LN(1-W702))</f>
        <v/>
      </c>
      <c r="Y702" s="10">
        <f>IF(W702&gt;$AC$33,1,0)</f>
        <v/>
      </c>
      <c r="Z702">
        <f>IF(Y702=C702,1,0)</f>
        <v/>
      </c>
    </row>
    <row r="703">
      <c r="A703">
        <f>'1 datos preparados'!A696</f>
        <v/>
      </c>
      <c r="B703" s="5">
        <f>'1 datos preparados'!U696</f>
        <v/>
      </c>
      <c r="C703">
        <f>'1 datos preparados'!B696</f>
        <v/>
      </c>
      <c r="D703" s="7">
        <f>'1 datos preparados'!C696</f>
        <v/>
      </c>
      <c r="E703" s="7">
        <f>'1 datos preparados'!D696</f>
        <v/>
      </c>
      <c r="F703" s="7">
        <f>'1 datos preparados'!E696</f>
        <v/>
      </c>
      <c r="G703" s="7">
        <f>'1 datos preparados'!F696</f>
        <v/>
      </c>
      <c r="H703" s="7">
        <f>'1 datos preparados'!G696</f>
        <v/>
      </c>
      <c r="I703" s="7">
        <f>'1 datos preparados'!H696</f>
        <v/>
      </c>
      <c r="J703" s="7">
        <f>'1 datos preparados'!I696</f>
        <v/>
      </c>
      <c r="K703" s="7">
        <f>'1 datos preparados'!J696</f>
        <v/>
      </c>
      <c r="L703" s="7">
        <f>'1 datos preparados'!K696</f>
        <v/>
      </c>
      <c r="M703" s="7">
        <f>'1 datos preparados'!L696</f>
        <v/>
      </c>
      <c r="N703" s="7">
        <f>'1 datos preparados'!M696</f>
        <v/>
      </c>
      <c r="O703" s="7">
        <f>'1 datos preparados'!N696</f>
        <v/>
      </c>
      <c r="P703" s="7">
        <f>'1 datos preparados'!O696</f>
        <v/>
      </c>
      <c r="Q703" s="7">
        <f>'1 datos preparados'!P696</f>
        <v/>
      </c>
      <c r="R703" s="7">
        <f>'1 datos preparados'!Q696</f>
        <v/>
      </c>
      <c r="S703" s="7">
        <f>'1 datos preparados'!R696</f>
        <v/>
      </c>
      <c r="T703" s="7">
        <f>'1 datos preparados'!S696</f>
        <v/>
      </c>
      <c r="U703" s="7">
        <f>'1 datos preparados'!T696</f>
        <v/>
      </c>
      <c r="V703" s="8">
        <f>$AC$12+D703*$AC$13+E703*$AC$14+F703*$AC$15+G703*$AC$16+H703*$AC$17+I703*$AC$18+J703*$AC$19+K703*$AC$20+L703*$AC$21+M703*$AC$22+N703*$AC$23+O703*$AC$24+P703*$AC$25+Q703*$AC$26+R703*$AC$27+S703*$AC$28+T703*$AC$29+U703*$AC$30</f>
        <v/>
      </c>
      <c r="W703" s="8">
        <f>1/(1+EXP(-V703))</f>
        <v/>
      </c>
      <c r="X703" s="9">
        <f>-IF(C703=1,LN(W703),LN(1-W703))</f>
        <v/>
      </c>
      <c r="Y703" s="10">
        <f>IF(W703&gt;$AC$33,1,0)</f>
        <v/>
      </c>
      <c r="Z703">
        <f>IF(Y703=C703,1,0)</f>
        <v/>
      </c>
    </row>
    <row r="704">
      <c r="A704">
        <f>'1 datos preparados'!A697</f>
        <v/>
      </c>
      <c r="B704" s="5">
        <f>'1 datos preparados'!U697</f>
        <v/>
      </c>
      <c r="C704">
        <f>'1 datos preparados'!B697</f>
        <v/>
      </c>
      <c r="D704" s="7">
        <f>'1 datos preparados'!C697</f>
        <v/>
      </c>
      <c r="E704" s="7">
        <f>'1 datos preparados'!D697</f>
        <v/>
      </c>
      <c r="F704" s="7">
        <f>'1 datos preparados'!E697</f>
        <v/>
      </c>
      <c r="G704" s="7">
        <f>'1 datos preparados'!F697</f>
        <v/>
      </c>
      <c r="H704" s="7">
        <f>'1 datos preparados'!G697</f>
        <v/>
      </c>
      <c r="I704" s="7">
        <f>'1 datos preparados'!H697</f>
        <v/>
      </c>
      <c r="J704" s="7">
        <f>'1 datos preparados'!I697</f>
        <v/>
      </c>
      <c r="K704" s="7">
        <f>'1 datos preparados'!J697</f>
        <v/>
      </c>
      <c r="L704" s="7">
        <f>'1 datos preparados'!K697</f>
        <v/>
      </c>
      <c r="M704" s="7">
        <f>'1 datos preparados'!L697</f>
        <v/>
      </c>
      <c r="N704" s="7">
        <f>'1 datos preparados'!M697</f>
        <v/>
      </c>
      <c r="O704" s="7">
        <f>'1 datos preparados'!N697</f>
        <v/>
      </c>
      <c r="P704" s="7">
        <f>'1 datos preparados'!O697</f>
        <v/>
      </c>
      <c r="Q704" s="7">
        <f>'1 datos preparados'!P697</f>
        <v/>
      </c>
      <c r="R704" s="7">
        <f>'1 datos preparados'!Q697</f>
        <v/>
      </c>
      <c r="S704" s="7">
        <f>'1 datos preparados'!R697</f>
        <v/>
      </c>
      <c r="T704" s="7">
        <f>'1 datos preparados'!S697</f>
        <v/>
      </c>
      <c r="U704" s="7">
        <f>'1 datos preparados'!T697</f>
        <v/>
      </c>
      <c r="V704" s="8">
        <f>$AC$12+D704*$AC$13+E704*$AC$14+F704*$AC$15+G704*$AC$16+H704*$AC$17+I704*$AC$18+J704*$AC$19+K704*$AC$20+L704*$AC$21+M704*$AC$22+N704*$AC$23+O704*$AC$24+P704*$AC$25+Q704*$AC$26+R704*$AC$27+S704*$AC$28+T704*$AC$29+U704*$AC$30</f>
        <v/>
      </c>
      <c r="W704" s="8">
        <f>1/(1+EXP(-V704))</f>
        <v/>
      </c>
      <c r="X704" s="9">
        <f>-IF(C704=1,LN(W704),LN(1-W704))</f>
        <v/>
      </c>
      <c r="Y704" s="10">
        <f>IF(W704&gt;$AC$33,1,0)</f>
        <v/>
      </c>
      <c r="Z704">
        <f>IF(Y704=C704,1,0)</f>
        <v/>
      </c>
    </row>
    <row r="705">
      <c r="A705">
        <f>'1 datos preparados'!A698</f>
        <v/>
      </c>
      <c r="B705" s="5">
        <f>'1 datos preparados'!U698</f>
        <v/>
      </c>
      <c r="C705">
        <f>'1 datos preparados'!B698</f>
        <v/>
      </c>
      <c r="D705" s="7">
        <f>'1 datos preparados'!C698</f>
        <v/>
      </c>
      <c r="E705" s="7">
        <f>'1 datos preparados'!D698</f>
        <v/>
      </c>
      <c r="F705" s="7">
        <f>'1 datos preparados'!E698</f>
        <v/>
      </c>
      <c r="G705" s="7">
        <f>'1 datos preparados'!F698</f>
        <v/>
      </c>
      <c r="H705" s="7">
        <f>'1 datos preparados'!G698</f>
        <v/>
      </c>
      <c r="I705" s="7">
        <f>'1 datos preparados'!H698</f>
        <v/>
      </c>
      <c r="J705" s="7">
        <f>'1 datos preparados'!I698</f>
        <v/>
      </c>
      <c r="K705" s="7">
        <f>'1 datos preparados'!J698</f>
        <v/>
      </c>
      <c r="L705" s="7">
        <f>'1 datos preparados'!K698</f>
        <v/>
      </c>
      <c r="M705" s="7">
        <f>'1 datos preparados'!L698</f>
        <v/>
      </c>
      <c r="N705" s="7">
        <f>'1 datos preparados'!M698</f>
        <v/>
      </c>
      <c r="O705" s="7">
        <f>'1 datos preparados'!N698</f>
        <v/>
      </c>
      <c r="P705" s="7">
        <f>'1 datos preparados'!O698</f>
        <v/>
      </c>
      <c r="Q705" s="7">
        <f>'1 datos preparados'!P698</f>
        <v/>
      </c>
      <c r="R705" s="7">
        <f>'1 datos preparados'!Q698</f>
        <v/>
      </c>
      <c r="S705" s="7">
        <f>'1 datos preparados'!R698</f>
        <v/>
      </c>
      <c r="T705" s="7">
        <f>'1 datos preparados'!S698</f>
        <v/>
      </c>
      <c r="U705" s="7">
        <f>'1 datos preparados'!T698</f>
        <v/>
      </c>
      <c r="V705" s="8">
        <f>$AC$12+D705*$AC$13+E705*$AC$14+F705*$AC$15+G705*$AC$16+H705*$AC$17+I705*$AC$18+J705*$AC$19+K705*$AC$20+L705*$AC$21+M705*$AC$22+N705*$AC$23+O705*$AC$24+P705*$AC$25+Q705*$AC$26+R705*$AC$27+S705*$AC$28+T705*$AC$29+U705*$AC$30</f>
        <v/>
      </c>
      <c r="W705" s="8">
        <f>1/(1+EXP(-V705))</f>
        <v/>
      </c>
      <c r="X705" s="9">
        <f>-IF(C705=1,LN(W705),LN(1-W705))</f>
        <v/>
      </c>
      <c r="Y705" s="10">
        <f>IF(W705&gt;$AC$33,1,0)</f>
        <v/>
      </c>
      <c r="Z705">
        <f>IF(Y705=C705,1,0)</f>
        <v/>
      </c>
    </row>
    <row r="706">
      <c r="A706">
        <f>'1 datos preparados'!A699</f>
        <v/>
      </c>
      <c r="B706" s="5">
        <f>'1 datos preparados'!U699</f>
        <v/>
      </c>
      <c r="C706">
        <f>'1 datos preparados'!B699</f>
        <v/>
      </c>
      <c r="D706" s="7">
        <f>'1 datos preparados'!C699</f>
        <v/>
      </c>
      <c r="E706" s="7">
        <f>'1 datos preparados'!D699</f>
        <v/>
      </c>
      <c r="F706" s="7">
        <f>'1 datos preparados'!E699</f>
        <v/>
      </c>
      <c r="G706" s="7">
        <f>'1 datos preparados'!F699</f>
        <v/>
      </c>
      <c r="H706" s="7">
        <f>'1 datos preparados'!G699</f>
        <v/>
      </c>
      <c r="I706" s="7">
        <f>'1 datos preparados'!H699</f>
        <v/>
      </c>
      <c r="J706" s="7">
        <f>'1 datos preparados'!I699</f>
        <v/>
      </c>
      <c r="K706" s="7">
        <f>'1 datos preparados'!J699</f>
        <v/>
      </c>
      <c r="L706" s="7">
        <f>'1 datos preparados'!K699</f>
        <v/>
      </c>
      <c r="M706" s="7">
        <f>'1 datos preparados'!L699</f>
        <v/>
      </c>
      <c r="N706" s="7">
        <f>'1 datos preparados'!M699</f>
        <v/>
      </c>
      <c r="O706" s="7">
        <f>'1 datos preparados'!N699</f>
        <v/>
      </c>
      <c r="P706" s="7">
        <f>'1 datos preparados'!O699</f>
        <v/>
      </c>
      <c r="Q706" s="7">
        <f>'1 datos preparados'!P699</f>
        <v/>
      </c>
      <c r="R706" s="7">
        <f>'1 datos preparados'!Q699</f>
        <v/>
      </c>
      <c r="S706" s="7">
        <f>'1 datos preparados'!R699</f>
        <v/>
      </c>
      <c r="T706" s="7">
        <f>'1 datos preparados'!S699</f>
        <v/>
      </c>
      <c r="U706" s="7">
        <f>'1 datos preparados'!T699</f>
        <v/>
      </c>
      <c r="V706" s="8">
        <f>$AC$12+D706*$AC$13+E706*$AC$14+F706*$AC$15+G706*$AC$16+H706*$AC$17+I706*$AC$18+J706*$AC$19+K706*$AC$20+L706*$AC$21+M706*$AC$22+N706*$AC$23+O706*$AC$24+P706*$AC$25+Q706*$AC$26+R706*$AC$27+S706*$AC$28+T706*$AC$29+U706*$AC$30</f>
        <v/>
      </c>
      <c r="W706" s="8">
        <f>1/(1+EXP(-V706))</f>
        <v/>
      </c>
      <c r="X706" s="9">
        <f>-IF(C706=1,LN(W706),LN(1-W706))</f>
        <v/>
      </c>
      <c r="Y706" s="10">
        <f>IF(W706&gt;$AC$33,1,0)</f>
        <v/>
      </c>
      <c r="Z706">
        <f>IF(Y706=C706,1,0)</f>
        <v/>
      </c>
    </row>
    <row r="707">
      <c r="A707">
        <f>'1 datos preparados'!A700</f>
        <v/>
      </c>
      <c r="B707" s="5">
        <f>'1 datos preparados'!U700</f>
        <v/>
      </c>
      <c r="C707">
        <f>'1 datos preparados'!B700</f>
        <v/>
      </c>
      <c r="D707" s="7">
        <f>'1 datos preparados'!C700</f>
        <v/>
      </c>
      <c r="E707" s="7">
        <f>'1 datos preparados'!D700</f>
        <v/>
      </c>
      <c r="F707" s="7">
        <f>'1 datos preparados'!E700</f>
        <v/>
      </c>
      <c r="G707" s="7">
        <f>'1 datos preparados'!F700</f>
        <v/>
      </c>
      <c r="H707" s="7">
        <f>'1 datos preparados'!G700</f>
        <v/>
      </c>
      <c r="I707" s="7">
        <f>'1 datos preparados'!H700</f>
        <v/>
      </c>
      <c r="J707" s="7">
        <f>'1 datos preparados'!I700</f>
        <v/>
      </c>
      <c r="K707" s="7">
        <f>'1 datos preparados'!J700</f>
        <v/>
      </c>
      <c r="L707" s="7">
        <f>'1 datos preparados'!K700</f>
        <v/>
      </c>
      <c r="M707" s="7">
        <f>'1 datos preparados'!L700</f>
        <v/>
      </c>
      <c r="N707" s="7">
        <f>'1 datos preparados'!M700</f>
        <v/>
      </c>
      <c r="O707" s="7">
        <f>'1 datos preparados'!N700</f>
        <v/>
      </c>
      <c r="P707" s="7">
        <f>'1 datos preparados'!O700</f>
        <v/>
      </c>
      <c r="Q707" s="7">
        <f>'1 datos preparados'!P700</f>
        <v/>
      </c>
      <c r="R707" s="7">
        <f>'1 datos preparados'!Q700</f>
        <v/>
      </c>
      <c r="S707" s="7">
        <f>'1 datos preparados'!R700</f>
        <v/>
      </c>
      <c r="T707" s="7">
        <f>'1 datos preparados'!S700</f>
        <v/>
      </c>
      <c r="U707" s="7">
        <f>'1 datos preparados'!T700</f>
        <v/>
      </c>
      <c r="V707" s="8">
        <f>$AC$12+D707*$AC$13+E707*$AC$14+F707*$AC$15+G707*$AC$16+H707*$AC$17+I707*$AC$18+J707*$AC$19+K707*$AC$20+L707*$AC$21+M707*$AC$22+N707*$AC$23+O707*$AC$24+P707*$AC$25+Q707*$AC$26+R707*$AC$27+S707*$AC$28+T707*$AC$29+U707*$AC$30</f>
        <v/>
      </c>
      <c r="W707" s="8">
        <f>1/(1+EXP(-V707))</f>
        <v/>
      </c>
      <c r="X707" s="9">
        <f>-IF(C707=1,LN(W707),LN(1-W707))</f>
        <v/>
      </c>
      <c r="Y707" s="10">
        <f>IF(W707&gt;$AC$33,1,0)</f>
        <v/>
      </c>
      <c r="Z707">
        <f>IF(Y707=C707,1,0)</f>
        <v/>
      </c>
    </row>
    <row r="708">
      <c r="A708">
        <f>'1 datos preparados'!A701</f>
        <v/>
      </c>
      <c r="B708" s="5">
        <f>'1 datos preparados'!U701</f>
        <v/>
      </c>
      <c r="C708">
        <f>'1 datos preparados'!B701</f>
        <v/>
      </c>
      <c r="D708" s="7">
        <f>'1 datos preparados'!C701</f>
        <v/>
      </c>
      <c r="E708" s="7">
        <f>'1 datos preparados'!D701</f>
        <v/>
      </c>
      <c r="F708" s="7">
        <f>'1 datos preparados'!E701</f>
        <v/>
      </c>
      <c r="G708" s="7">
        <f>'1 datos preparados'!F701</f>
        <v/>
      </c>
      <c r="H708" s="7">
        <f>'1 datos preparados'!G701</f>
        <v/>
      </c>
      <c r="I708" s="7">
        <f>'1 datos preparados'!H701</f>
        <v/>
      </c>
      <c r="J708" s="7">
        <f>'1 datos preparados'!I701</f>
        <v/>
      </c>
      <c r="K708" s="7">
        <f>'1 datos preparados'!J701</f>
        <v/>
      </c>
      <c r="L708" s="7">
        <f>'1 datos preparados'!K701</f>
        <v/>
      </c>
      <c r="M708" s="7">
        <f>'1 datos preparados'!L701</f>
        <v/>
      </c>
      <c r="N708" s="7">
        <f>'1 datos preparados'!M701</f>
        <v/>
      </c>
      <c r="O708" s="7">
        <f>'1 datos preparados'!N701</f>
        <v/>
      </c>
      <c r="P708" s="7">
        <f>'1 datos preparados'!O701</f>
        <v/>
      </c>
      <c r="Q708" s="7">
        <f>'1 datos preparados'!P701</f>
        <v/>
      </c>
      <c r="R708" s="7">
        <f>'1 datos preparados'!Q701</f>
        <v/>
      </c>
      <c r="S708" s="7">
        <f>'1 datos preparados'!R701</f>
        <v/>
      </c>
      <c r="T708" s="7">
        <f>'1 datos preparados'!S701</f>
        <v/>
      </c>
      <c r="U708" s="7">
        <f>'1 datos preparados'!T701</f>
        <v/>
      </c>
      <c r="V708" s="8">
        <f>$AC$12+D708*$AC$13+E708*$AC$14+F708*$AC$15+G708*$AC$16+H708*$AC$17+I708*$AC$18+J708*$AC$19+K708*$AC$20+L708*$AC$21+M708*$AC$22+N708*$AC$23+O708*$AC$24+P708*$AC$25+Q708*$AC$26+R708*$AC$27+S708*$AC$28+T708*$AC$29+U708*$AC$30</f>
        <v/>
      </c>
      <c r="W708" s="8">
        <f>1/(1+EXP(-V708))</f>
        <v/>
      </c>
      <c r="X708" s="9">
        <f>-IF(C708=1,LN(W708),LN(1-W708))</f>
        <v/>
      </c>
      <c r="Y708" s="10">
        <f>IF(W708&gt;$AC$33,1,0)</f>
        <v/>
      </c>
      <c r="Z708">
        <f>IF(Y708=C708,1,0)</f>
        <v/>
      </c>
    </row>
    <row r="709">
      <c r="A709">
        <f>'1 datos preparados'!A702</f>
        <v/>
      </c>
      <c r="B709" s="5">
        <f>'1 datos preparados'!U702</f>
        <v/>
      </c>
      <c r="C709">
        <f>'1 datos preparados'!B702</f>
        <v/>
      </c>
      <c r="D709" s="7">
        <f>'1 datos preparados'!C702</f>
        <v/>
      </c>
      <c r="E709" s="7">
        <f>'1 datos preparados'!D702</f>
        <v/>
      </c>
      <c r="F709" s="7">
        <f>'1 datos preparados'!E702</f>
        <v/>
      </c>
      <c r="G709" s="7">
        <f>'1 datos preparados'!F702</f>
        <v/>
      </c>
      <c r="H709" s="7">
        <f>'1 datos preparados'!G702</f>
        <v/>
      </c>
      <c r="I709" s="7">
        <f>'1 datos preparados'!H702</f>
        <v/>
      </c>
      <c r="J709" s="7">
        <f>'1 datos preparados'!I702</f>
        <v/>
      </c>
      <c r="K709" s="7">
        <f>'1 datos preparados'!J702</f>
        <v/>
      </c>
      <c r="L709" s="7">
        <f>'1 datos preparados'!K702</f>
        <v/>
      </c>
      <c r="M709" s="7">
        <f>'1 datos preparados'!L702</f>
        <v/>
      </c>
      <c r="N709" s="7">
        <f>'1 datos preparados'!M702</f>
        <v/>
      </c>
      <c r="O709" s="7">
        <f>'1 datos preparados'!N702</f>
        <v/>
      </c>
      <c r="P709" s="7">
        <f>'1 datos preparados'!O702</f>
        <v/>
      </c>
      <c r="Q709" s="7">
        <f>'1 datos preparados'!P702</f>
        <v/>
      </c>
      <c r="R709" s="7">
        <f>'1 datos preparados'!Q702</f>
        <v/>
      </c>
      <c r="S709" s="7">
        <f>'1 datos preparados'!R702</f>
        <v/>
      </c>
      <c r="T709" s="7">
        <f>'1 datos preparados'!S702</f>
        <v/>
      </c>
      <c r="U709" s="7">
        <f>'1 datos preparados'!T702</f>
        <v/>
      </c>
      <c r="V709" s="8">
        <f>$AC$12+D709*$AC$13+E709*$AC$14+F709*$AC$15+G709*$AC$16+H709*$AC$17+I709*$AC$18+J709*$AC$19+K709*$AC$20+L709*$AC$21+M709*$AC$22+N709*$AC$23+O709*$AC$24+P709*$AC$25+Q709*$AC$26+R709*$AC$27+S709*$AC$28+T709*$AC$29+U709*$AC$30</f>
        <v/>
      </c>
      <c r="W709" s="8">
        <f>1/(1+EXP(-V709))</f>
        <v/>
      </c>
      <c r="X709" s="9">
        <f>-IF(C709=1,LN(W709),LN(1-W709))</f>
        <v/>
      </c>
      <c r="Y709" s="10">
        <f>IF(W709&gt;$AC$33,1,0)</f>
        <v/>
      </c>
      <c r="Z709">
        <f>IF(Y709=C709,1,0)</f>
        <v/>
      </c>
    </row>
    <row r="710">
      <c r="A710">
        <f>'1 datos preparados'!A703</f>
        <v/>
      </c>
      <c r="B710" s="5">
        <f>'1 datos preparados'!U703</f>
        <v/>
      </c>
      <c r="C710">
        <f>'1 datos preparados'!B703</f>
        <v/>
      </c>
      <c r="D710" s="7">
        <f>'1 datos preparados'!C703</f>
        <v/>
      </c>
      <c r="E710" s="7">
        <f>'1 datos preparados'!D703</f>
        <v/>
      </c>
      <c r="F710" s="7">
        <f>'1 datos preparados'!E703</f>
        <v/>
      </c>
      <c r="G710" s="7">
        <f>'1 datos preparados'!F703</f>
        <v/>
      </c>
      <c r="H710" s="7">
        <f>'1 datos preparados'!G703</f>
        <v/>
      </c>
      <c r="I710" s="7">
        <f>'1 datos preparados'!H703</f>
        <v/>
      </c>
      <c r="J710" s="7">
        <f>'1 datos preparados'!I703</f>
        <v/>
      </c>
      <c r="K710" s="7">
        <f>'1 datos preparados'!J703</f>
        <v/>
      </c>
      <c r="L710" s="7">
        <f>'1 datos preparados'!K703</f>
        <v/>
      </c>
      <c r="M710" s="7">
        <f>'1 datos preparados'!L703</f>
        <v/>
      </c>
      <c r="N710" s="7">
        <f>'1 datos preparados'!M703</f>
        <v/>
      </c>
      <c r="O710" s="7">
        <f>'1 datos preparados'!N703</f>
        <v/>
      </c>
      <c r="P710" s="7">
        <f>'1 datos preparados'!O703</f>
        <v/>
      </c>
      <c r="Q710" s="7">
        <f>'1 datos preparados'!P703</f>
        <v/>
      </c>
      <c r="R710" s="7">
        <f>'1 datos preparados'!Q703</f>
        <v/>
      </c>
      <c r="S710" s="7">
        <f>'1 datos preparados'!R703</f>
        <v/>
      </c>
      <c r="T710" s="7">
        <f>'1 datos preparados'!S703</f>
        <v/>
      </c>
      <c r="U710" s="7">
        <f>'1 datos preparados'!T703</f>
        <v/>
      </c>
      <c r="V710" s="8">
        <f>$AC$12+D710*$AC$13+E710*$AC$14+F710*$AC$15+G710*$AC$16+H710*$AC$17+I710*$AC$18+J710*$AC$19+K710*$AC$20+L710*$AC$21+M710*$AC$22+N710*$AC$23+O710*$AC$24+P710*$AC$25+Q710*$AC$26+R710*$AC$27+S710*$AC$28+T710*$AC$29+U710*$AC$30</f>
        <v/>
      </c>
      <c r="W710" s="8">
        <f>1/(1+EXP(-V710))</f>
        <v/>
      </c>
      <c r="X710" s="9">
        <f>-IF(C710=1,LN(W710),LN(1-W710))</f>
        <v/>
      </c>
      <c r="Y710" s="10">
        <f>IF(W710&gt;$AC$33,1,0)</f>
        <v/>
      </c>
      <c r="Z710">
        <f>IF(Y710=C710,1,0)</f>
        <v/>
      </c>
    </row>
    <row r="711">
      <c r="A711">
        <f>'1 datos preparados'!A704</f>
        <v/>
      </c>
      <c r="B711" s="5">
        <f>'1 datos preparados'!U704</f>
        <v/>
      </c>
      <c r="C711">
        <f>'1 datos preparados'!B704</f>
        <v/>
      </c>
      <c r="D711" s="7">
        <f>'1 datos preparados'!C704</f>
        <v/>
      </c>
      <c r="E711" s="7">
        <f>'1 datos preparados'!D704</f>
        <v/>
      </c>
      <c r="F711" s="7">
        <f>'1 datos preparados'!E704</f>
        <v/>
      </c>
      <c r="G711" s="7">
        <f>'1 datos preparados'!F704</f>
        <v/>
      </c>
      <c r="H711" s="7">
        <f>'1 datos preparados'!G704</f>
        <v/>
      </c>
      <c r="I711" s="7">
        <f>'1 datos preparados'!H704</f>
        <v/>
      </c>
      <c r="J711" s="7">
        <f>'1 datos preparados'!I704</f>
        <v/>
      </c>
      <c r="K711" s="7">
        <f>'1 datos preparados'!J704</f>
        <v/>
      </c>
      <c r="L711" s="7">
        <f>'1 datos preparados'!K704</f>
        <v/>
      </c>
      <c r="M711" s="7">
        <f>'1 datos preparados'!L704</f>
        <v/>
      </c>
      <c r="N711" s="7">
        <f>'1 datos preparados'!M704</f>
        <v/>
      </c>
      <c r="O711" s="7">
        <f>'1 datos preparados'!N704</f>
        <v/>
      </c>
      <c r="P711" s="7">
        <f>'1 datos preparados'!O704</f>
        <v/>
      </c>
      <c r="Q711" s="7">
        <f>'1 datos preparados'!P704</f>
        <v/>
      </c>
      <c r="R711" s="7">
        <f>'1 datos preparados'!Q704</f>
        <v/>
      </c>
      <c r="S711" s="7">
        <f>'1 datos preparados'!R704</f>
        <v/>
      </c>
      <c r="T711" s="7">
        <f>'1 datos preparados'!S704</f>
        <v/>
      </c>
      <c r="U711" s="7">
        <f>'1 datos preparados'!T704</f>
        <v/>
      </c>
      <c r="V711" s="8">
        <f>$AC$12+D711*$AC$13+E711*$AC$14+F711*$AC$15+G711*$AC$16+H711*$AC$17+I711*$AC$18+J711*$AC$19+K711*$AC$20+L711*$AC$21+M711*$AC$22+N711*$AC$23+O711*$AC$24+P711*$AC$25+Q711*$AC$26+R711*$AC$27+S711*$AC$28+T711*$AC$29+U711*$AC$30</f>
        <v/>
      </c>
      <c r="W711" s="8">
        <f>1/(1+EXP(-V711))</f>
        <v/>
      </c>
      <c r="X711" s="9">
        <f>-IF(C711=1,LN(W711),LN(1-W711))</f>
        <v/>
      </c>
      <c r="Y711" s="10">
        <f>IF(W711&gt;$AC$33,1,0)</f>
        <v/>
      </c>
      <c r="Z711">
        <f>IF(Y711=C711,1,0)</f>
        <v/>
      </c>
    </row>
    <row r="712">
      <c r="A712">
        <f>'1 datos preparados'!A705</f>
        <v/>
      </c>
      <c r="B712" s="5">
        <f>'1 datos preparados'!U705</f>
        <v/>
      </c>
      <c r="C712">
        <f>'1 datos preparados'!B705</f>
        <v/>
      </c>
      <c r="D712" s="7">
        <f>'1 datos preparados'!C705</f>
        <v/>
      </c>
      <c r="E712" s="7">
        <f>'1 datos preparados'!D705</f>
        <v/>
      </c>
      <c r="F712" s="7">
        <f>'1 datos preparados'!E705</f>
        <v/>
      </c>
      <c r="G712" s="7">
        <f>'1 datos preparados'!F705</f>
        <v/>
      </c>
      <c r="H712" s="7">
        <f>'1 datos preparados'!G705</f>
        <v/>
      </c>
      <c r="I712" s="7">
        <f>'1 datos preparados'!H705</f>
        <v/>
      </c>
      <c r="J712" s="7">
        <f>'1 datos preparados'!I705</f>
        <v/>
      </c>
      <c r="K712" s="7">
        <f>'1 datos preparados'!J705</f>
        <v/>
      </c>
      <c r="L712" s="7">
        <f>'1 datos preparados'!K705</f>
        <v/>
      </c>
      <c r="M712" s="7">
        <f>'1 datos preparados'!L705</f>
        <v/>
      </c>
      <c r="N712" s="7">
        <f>'1 datos preparados'!M705</f>
        <v/>
      </c>
      <c r="O712" s="7">
        <f>'1 datos preparados'!N705</f>
        <v/>
      </c>
      <c r="P712" s="7">
        <f>'1 datos preparados'!O705</f>
        <v/>
      </c>
      <c r="Q712" s="7">
        <f>'1 datos preparados'!P705</f>
        <v/>
      </c>
      <c r="R712" s="7">
        <f>'1 datos preparados'!Q705</f>
        <v/>
      </c>
      <c r="S712" s="7">
        <f>'1 datos preparados'!R705</f>
        <v/>
      </c>
      <c r="T712" s="7">
        <f>'1 datos preparados'!S705</f>
        <v/>
      </c>
      <c r="U712" s="7">
        <f>'1 datos preparados'!T705</f>
        <v/>
      </c>
      <c r="V712" s="8">
        <f>$AC$12+D712*$AC$13+E712*$AC$14+F712*$AC$15+G712*$AC$16+H712*$AC$17+I712*$AC$18+J712*$AC$19+K712*$AC$20+L712*$AC$21+M712*$AC$22+N712*$AC$23+O712*$AC$24+P712*$AC$25+Q712*$AC$26+R712*$AC$27+S712*$AC$28+T712*$AC$29+U712*$AC$30</f>
        <v/>
      </c>
      <c r="W712" s="8">
        <f>1/(1+EXP(-V712))</f>
        <v/>
      </c>
      <c r="X712" s="9">
        <f>-IF(C712=1,LN(W712),LN(1-W712))</f>
        <v/>
      </c>
      <c r="Y712" s="10">
        <f>IF(W712&gt;$AC$33,1,0)</f>
        <v/>
      </c>
      <c r="Z712">
        <f>IF(Y712=C712,1,0)</f>
        <v/>
      </c>
    </row>
    <row r="713">
      <c r="A713">
        <f>'1 datos preparados'!A706</f>
        <v/>
      </c>
      <c r="B713" s="5">
        <f>'1 datos preparados'!U706</f>
        <v/>
      </c>
      <c r="C713">
        <f>'1 datos preparados'!B706</f>
        <v/>
      </c>
      <c r="D713" s="7">
        <f>'1 datos preparados'!C706</f>
        <v/>
      </c>
      <c r="E713" s="7">
        <f>'1 datos preparados'!D706</f>
        <v/>
      </c>
      <c r="F713" s="7">
        <f>'1 datos preparados'!E706</f>
        <v/>
      </c>
      <c r="G713" s="7">
        <f>'1 datos preparados'!F706</f>
        <v/>
      </c>
      <c r="H713" s="7">
        <f>'1 datos preparados'!G706</f>
        <v/>
      </c>
      <c r="I713" s="7">
        <f>'1 datos preparados'!H706</f>
        <v/>
      </c>
      <c r="J713" s="7">
        <f>'1 datos preparados'!I706</f>
        <v/>
      </c>
      <c r="K713" s="7">
        <f>'1 datos preparados'!J706</f>
        <v/>
      </c>
      <c r="L713" s="7">
        <f>'1 datos preparados'!K706</f>
        <v/>
      </c>
      <c r="M713" s="7">
        <f>'1 datos preparados'!L706</f>
        <v/>
      </c>
      <c r="N713" s="7">
        <f>'1 datos preparados'!M706</f>
        <v/>
      </c>
      <c r="O713" s="7">
        <f>'1 datos preparados'!N706</f>
        <v/>
      </c>
      <c r="P713" s="7">
        <f>'1 datos preparados'!O706</f>
        <v/>
      </c>
      <c r="Q713" s="7">
        <f>'1 datos preparados'!P706</f>
        <v/>
      </c>
      <c r="R713" s="7">
        <f>'1 datos preparados'!Q706</f>
        <v/>
      </c>
      <c r="S713" s="7">
        <f>'1 datos preparados'!R706</f>
        <v/>
      </c>
      <c r="T713" s="7">
        <f>'1 datos preparados'!S706</f>
        <v/>
      </c>
      <c r="U713" s="7">
        <f>'1 datos preparados'!T706</f>
        <v/>
      </c>
      <c r="V713" s="8">
        <f>$AC$12+D713*$AC$13+E713*$AC$14+F713*$AC$15+G713*$AC$16+H713*$AC$17+I713*$AC$18+J713*$AC$19+K713*$AC$20+L713*$AC$21+M713*$AC$22+N713*$AC$23+O713*$AC$24+P713*$AC$25+Q713*$AC$26+R713*$AC$27+S713*$AC$28+T713*$AC$29+U713*$AC$30</f>
        <v/>
      </c>
      <c r="W713" s="8">
        <f>1/(1+EXP(-V713))</f>
        <v/>
      </c>
      <c r="X713" s="9">
        <f>-IF(C713=1,LN(W713),LN(1-W713))</f>
        <v/>
      </c>
      <c r="Y713" s="10">
        <f>IF(W713&gt;$AC$33,1,0)</f>
        <v/>
      </c>
      <c r="Z713">
        <f>IF(Y713=C713,1,0)</f>
        <v/>
      </c>
    </row>
    <row r="714">
      <c r="A714">
        <f>'1 datos preparados'!A707</f>
        <v/>
      </c>
      <c r="B714" s="5">
        <f>'1 datos preparados'!U707</f>
        <v/>
      </c>
      <c r="C714">
        <f>'1 datos preparados'!B707</f>
        <v/>
      </c>
      <c r="D714" s="7">
        <f>'1 datos preparados'!C707</f>
        <v/>
      </c>
      <c r="E714" s="7">
        <f>'1 datos preparados'!D707</f>
        <v/>
      </c>
      <c r="F714" s="7">
        <f>'1 datos preparados'!E707</f>
        <v/>
      </c>
      <c r="G714" s="7">
        <f>'1 datos preparados'!F707</f>
        <v/>
      </c>
      <c r="H714" s="7">
        <f>'1 datos preparados'!G707</f>
        <v/>
      </c>
      <c r="I714" s="7">
        <f>'1 datos preparados'!H707</f>
        <v/>
      </c>
      <c r="J714" s="7">
        <f>'1 datos preparados'!I707</f>
        <v/>
      </c>
      <c r="K714" s="7">
        <f>'1 datos preparados'!J707</f>
        <v/>
      </c>
      <c r="L714" s="7">
        <f>'1 datos preparados'!K707</f>
        <v/>
      </c>
      <c r="M714" s="7">
        <f>'1 datos preparados'!L707</f>
        <v/>
      </c>
      <c r="N714" s="7">
        <f>'1 datos preparados'!M707</f>
        <v/>
      </c>
      <c r="O714" s="7">
        <f>'1 datos preparados'!N707</f>
        <v/>
      </c>
      <c r="P714" s="7">
        <f>'1 datos preparados'!O707</f>
        <v/>
      </c>
      <c r="Q714" s="7">
        <f>'1 datos preparados'!P707</f>
        <v/>
      </c>
      <c r="R714" s="7">
        <f>'1 datos preparados'!Q707</f>
        <v/>
      </c>
      <c r="S714" s="7">
        <f>'1 datos preparados'!R707</f>
        <v/>
      </c>
      <c r="T714" s="7">
        <f>'1 datos preparados'!S707</f>
        <v/>
      </c>
      <c r="U714" s="7">
        <f>'1 datos preparados'!T707</f>
        <v/>
      </c>
      <c r="V714" s="8">
        <f>$AC$12+D714*$AC$13+E714*$AC$14+F714*$AC$15+G714*$AC$16+H714*$AC$17+I714*$AC$18+J714*$AC$19+K714*$AC$20+L714*$AC$21+M714*$AC$22+N714*$AC$23+O714*$AC$24+P714*$AC$25+Q714*$AC$26+R714*$AC$27+S714*$AC$28+T714*$AC$29+U714*$AC$30</f>
        <v/>
      </c>
      <c r="W714" s="8">
        <f>1/(1+EXP(-V714))</f>
        <v/>
      </c>
      <c r="X714" s="9">
        <f>-IF(C714=1,LN(W714),LN(1-W714))</f>
        <v/>
      </c>
      <c r="Y714" s="10">
        <f>IF(W714&gt;$AC$33,1,0)</f>
        <v/>
      </c>
      <c r="Z714">
        <f>IF(Y714=C714,1,0)</f>
        <v/>
      </c>
    </row>
    <row r="715">
      <c r="A715">
        <f>'1 datos preparados'!A708</f>
        <v/>
      </c>
      <c r="B715" s="5">
        <f>'1 datos preparados'!U708</f>
        <v/>
      </c>
      <c r="C715">
        <f>'1 datos preparados'!B708</f>
        <v/>
      </c>
      <c r="D715" s="7">
        <f>'1 datos preparados'!C708</f>
        <v/>
      </c>
      <c r="E715" s="7">
        <f>'1 datos preparados'!D708</f>
        <v/>
      </c>
      <c r="F715" s="7">
        <f>'1 datos preparados'!E708</f>
        <v/>
      </c>
      <c r="G715" s="7">
        <f>'1 datos preparados'!F708</f>
        <v/>
      </c>
      <c r="H715" s="7">
        <f>'1 datos preparados'!G708</f>
        <v/>
      </c>
      <c r="I715" s="7">
        <f>'1 datos preparados'!H708</f>
        <v/>
      </c>
      <c r="J715" s="7">
        <f>'1 datos preparados'!I708</f>
        <v/>
      </c>
      <c r="K715" s="7">
        <f>'1 datos preparados'!J708</f>
        <v/>
      </c>
      <c r="L715" s="7">
        <f>'1 datos preparados'!K708</f>
        <v/>
      </c>
      <c r="M715" s="7">
        <f>'1 datos preparados'!L708</f>
        <v/>
      </c>
      <c r="N715" s="7">
        <f>'1 datos preparados'!M708</f>
        <v/>
      </c>
      <c r="O715" s="7">
        <f>'1 datos preparados'!N708</f>
        <v/>
      </c>
      <c r="P715" s="7">
        <f>'1 datos preparados'!O708</f>
        <v/>
      </c>
      <c r="Q715" s="7">
        <f>'1 datos preparados'!P708</f>
        <v/>
      </c>
      <c r="R715" s="7">
        <f>'1 datos preparados'!Q708</f>
        <v/>
      </c>
      <c r="S715" s="7">
        <f>'1 datos preparados'!R708</f>
        <v/>
      </c>
      <c r="T715" s="7">
        <f>'1 datos preparados'!S708</f>
        <v/>
      </c>
      <c r="U715" s="7">
        <f>'1 datos preparados'!T708</f>
        <v/>
      </c>
      <c r="V715" s="8">
        <f>$AC$12+D715*$AC$13+E715*$AC$14+F715*$AC$15+G715*$AC$16+H715*$AC$17+I715*$AC$18+J715*$AC$19+K715*$AC$20+L715*$AC$21+M715*$AC$22+N715*$AC$23+O715*$AC$24+P715*$AC$25+Q715*$AC$26+R715*$AC$27+S715*$AC$28+T715*$AC$29+U715*$AC$30</f>
        <v/>
      </c>
      <c r="W715" s="8">
        <f>1/(1+EXP(-V715))</f>
        <v/>
      </c>
      <c r="X715" s="9">
        <f>-IF(C715=1,LN(W715),LN(1-W715))</f>
        <v/>
      </c>
      <c r="Y715" s="10">
        <f>IF(W715&gt;$AC$33,1,0)</f>
        <v/>
      </c>
      <c r="Z715">
        <f>IF(Y715=C715,1,0)</f>
        <v/>
      </c>
    </row>
    <row r="716">
      <c r="A716">
        <f>'1 datos preparados'!A709</f>
        <v/>
      </c>
      <c r="B716" s="5">
        <f>'1 datos preparados'!U709</f>
        <v/>
      </c>
      <c r="C716">
        <f>'1 datos preparados'!B709</f>
        <v/>
      </c>
      <c r="D716" s="7">
        <f>'1 datos preparados'!C709</f>
        <v/>
      </c>
      <c r="E716" s="7">
        <f>'1 datos preparados'!D709</f>
        <v/>
      </c>
      <c r="F716" s="7">
        <f>'1 datos preparados'!E709</f>
        <v/>
      </c>
      <c r="G716" s="7">
        <f>'1 datos preparados'!F709</f>
        <v/>
      </c>
      <c r="H716" s="7">
        <f>'1 datos preparados'!G709</f>
        <v/>
      </c>
      <c r="I716" s="7">
        <f>'1 datos preparados'!H709</f>
        <v/>
      </c>
      <c r="J716" s="7">
        <f>'1 datos preparados'!I709</f>
        <v/>
      </c>
      <c r="K716" s="7">
        <f>'1 datos preparados'!J709</f>
        <v/>
      </c>
      <c r="L716" s="7">
        <f>'1 datos preparados'!K709</f>
        <v/>
      </c>
      <c r="M716" s="7">
        <f>'1 datos preparados'!L709</f>
        <v/>
      </c>
      <c r="N716" s="7">
        <f>'1 datos preparados'!M709</f>
        <v/>
      </c>
      <c r="O716" s="7">
        <f>'1 datos preparados'!N709</f>
        <v/>
      </c>
      <c r="P716" s="7">
        <f>'1 datos preparados'!O709</f>
        <v/>
      </c>
      <c r="Q716" s="7">
        <f>'1 datos preparados'!P709</f>
        <v/>
      </c>
      <c r="R716" s="7">
        <f>'1 datos preparados'!Q709</f>
        <v/>
      </c>
      <c r="S716" s="7">
        <f>'1 datos preparados'!R709</f>
        <v/>
      </c>
      <c r="T716" s="7">
        <f>'1 datos preparados'!S709</f>
        <v/>
      </c>
      <c r="U716" s="7">
        <f>'1 datos preparados'!T709</f>
        <v/>
      </c>
      <c r="V716" s="8">
        <f>$AC$12+D716*$AC$13+E716*$AC$14+F716*$AC$15+G716*$AC$16+H716*$AC$17+I716*$AC$18+J716*$AC$19+K716*$AC$20+L716*$AC$21+M716*$AC$22+N716*$AC$23+O716*$AC$24+P716*$AC$25+Q716*$AC$26+R716*$AC$27+S716*$AC$28+T716*$AC$29+U716*$AC$30</f>
        <v/>
      </c>
      <c r="W716" s="8">
        <f>1/(1+EXP(-V716))</f>
        <v/>
      </c>
      <c r="X716" s="9">
        <f>-IF(C716=1,LN(W716),LN(1-W716))</f>
        <v/>
      </c>
      <c r="Y716" s="10">
        <f>IF(W716&gt;$AC$33,1,0)</f>
        <v/>
      </c>
      <c r="Z716">
        <f>IF(Y716=C716,1,0)</f>
        <v/>
      </c>
    </row>
    <row r="717">
      <c r="A717">
        <f>'1 datos preparados'!A710</f>
        <v/>
      </c>
      <c r="B717" s="5">
        <f>'1 datos preparados'!U710</f>
        <v/>
      </c>
      <c r="C717">
        <f>'1 datos preparados'!B710</f>
        <v/>
      </c>
      <c r="D717" s="7">
        <f>'1 datos preparados'!C710</f>
        <v/>
      </c>
      <c r="E717" s="7">
        <f>'1 datos preparados'!D710</f>
        <v/>
      </c>
      <c r="F717" s="7">
        <f>'1 datos preparados'!E710</f>
        <v/>
      </c>
      <c r="G717" s="7">
        <f>'1 datos preparados'!F710</f>
        <v/>
      </c>
      <c r="H717" s="7">
        <f>'1 datos preparados'!G710</f>
        <v/>
      </c>
      <c r="I717" s="7">
        <f>'1 datos preparados'!H710</f>
        <v/>
      </c>
      <c r="J717" s="7">
        <f>'1 datos preparados'!I710</f>
        <v/>
      </c>
      <c r="K717" s="7">
        <f>'1 datos preparados'!J710</f>
        <v/>
      </c>
      <c r="L717" s="7">
        <f>'1 datos preparados'!K710</f>
        <v/>
      </c>
      <c r="M717" s="7">
        <f>'1 datos preparados'!L710</f>
        <v/>
      </c>
      <c r="N717" s="7">
        <f>'1 datos preparados'!M710</f>
        <v/>
      </c>
      <c r="O717" s="7">
        <f>'1 datos preparados'!N710</f>
        <v/>
      </c>
      <c r="P717" s="7">
        <f>'1 datos preparados'!O710</f>
        <v/>
      </c>
      <c r="Q717" s="7">
        <f>'1 datos preparados'!P710</f>
        <v/>
      </c>
      <c r="R717" s="7">
        <f>'1 datos preparados'!Q710</f>
        <v/>
      </c>
      <c r="S717" s="7">
        <f>'1 datos preparados'!R710</f>
        <v/>
      </c>
      <c r="T717" s="7">
        <f>'1 datos preparados'!S710</f>
        <v/>
      </c>
      <c r="U717" s="7">
        <f>'1 datos preparados'!T710</f>
        <v/>
      </c>
      <c r="V717" s="8">
        <f>$AC$12+D717*$AC$13+E717*$AC$14+F717*$AC$15+G717*$AC$16+H717*$AC$17+I717*$AC$18+J717*$AC$19+K717*$AC$20+L717*$AC$21+M717*$AC$22+N717*$AC$23+O717*$AC$24+P717*$AC$25+Q717*$AC$26+R717*$AC$27+S717*$AC$28+T717*$AC$29+U717*$AC$30</f>
        <v/>
      </c>
      <c r="W717" s="8">
        <f>1/(1+EXP(-V717))</f>
        <v/>
      </c>
      <c r="X717" s="9">
        <f>-IF(C717=1,LN(W717),LN(1-W717))</f>
        <v/>
      </c>
      <c r="Y717" s="10">
        <f>IF(W717&gt;$AC$33,1,0)</f>
        <v/>
      </c>
      <c r="Z717">
        <f>IF(Y717=C717,1,0)</f>
        <v/>
      </c>
    </row>
    <row r="718">
      <c r="A718">
        <f>'1 datos preparados'!A711</f>
        <v/>
      </c>
      <c r="B718" s="5">
        <f>'1 datos preparados'!U711</f>
        <v/>
      </c>
      <c r="C718">
        <f>'1 datos preparados'!B711</f>
        <v/>
      </c>
      <c r="D718" s="7">
        <f>'1 datos preparados'!C711</f>
        <v/>
      </c>
      <c r="E718" s="7">
        <f>'1 datos preparados'!D711</f>
        <v/>
      </c>
      <c r="F718" s="7">
        <f>'1 datos preparados'!E711</f>
        <v/>
      </c>
      <c r="G718" s="7">
        <f>'1 datos preparados'!F711</f>
        <v/>
      </c>
      <c r="H718" s="7">
        <f>'1 datos preparados'!G711</f>
        <v/>
      </c>
      <c r="I718" s="7">
        <f>'1 datos preparados'!H711</f>
        <v/>
      </c>
      <c r="J718" s="7">
        <f>'1 datos preparados'!I711</f>
        <v/>
      </c>
      <c r="K718" s="7">
        <f>'1 datos preparados'!J711</f>
        <v/>
      </c>
      <c r="L718" s="7">
        <f>'1 datos preparados'!K711</f>
        <v/>
      </c>
      <c r="M718" s="7">
        <f>'1 datos preparados'!L711</f>
        <v/>
      </c>
      <c r="N718" s="7">
        <f>'1 datos preparados'!M711</f>
        <v/>
      </c>
      <c r="O718" s="7">
        <f>'1 datos preparados'!N711</f>
        <v/>
      </c>
      <c r="P718" s="7">
        <f>'1 datos preparados'!O711</f>
        <v/>
      </c>
      <c r="Q718" s="7">
        <f>'1 datos preparados'!P711</f>
        <v/>
      </c>
      <c r="R718" s="7">
        <f>'1 datos preparados'!Q711</f>
        <v/>
      </c>
      <c r="S718" s="7">
        <f>'1 datos preparados'!R711</f>
        <v/>
      </c>
      <c r="T718" s="7">
        <f>'1 datos preparados'!S711</f>
        <v/>
      </c>
      <c r="U718" s="7">
        <f>'1 datos preparados'!T711</f>
        <v/>
      </c>
      <c r="V718" s="8">
        <f>$AC$12+D718*$AC$13+E718*$AC$14+F718*$AC$15+G718*$AC$16+H718*$AC$17+I718*$AC$18+J718*$AC$19+K718*$AC$20+L718*$AC$21+M718*$AC$22+N718*$AC$23+O718*$AC$24+P718*$AC$25+Q718*$AC$26+R718*$AC$27+S718*$AC$28+T718*$AC$29+U718*$AC$30</f>
        <v/>
      </c>
      <c r="W718" s="8">
        <f>1/(1+EXP(-V718))</f>
        <v/>
      </c>
      <c r="X718" s="9">
        <f>-IF(C718=1,LN(W718),LN(1-W718))</f>
        <v/>
      </c>
      <c r="Y718" s="10">
        <f>IF(W718&gt;$AC$33,1,0)</f>
        <v/>
      </c>
      <c r="Z718">
        <f>IF(Y718=C718,1,0)</f>
        <v/>
      </c>
    </row>
    <row r="719">
      <c r="A719">
        <f>'1 datos preparados'!A712</f>
        <v/>
      </c>
      <c r="B719" s="5">
        <f>'1 datos preparados'!U712</f>
        <v/>
      </c>
      <c r="C719">
        <f>'1 datos preparados'!B712</f>
        <v/>
      </c>
      <c r="D719" s="7">
        <f>'1 datos preparados'!C712</f>
        <v/>
      </c>
      <c r="E719" s="7">
        <f>'1 datos preparados'!D712</f>
        <v/>
      </c>
      <c r="F719" s="7">
        <f>'1 datos preparados'!E712</f>
        <v/>
      </c>
      <c r="G719" s="7">
        <f>'1 datos preparados'!F712</f>
        <v/>
      </c>
      <c r="H719" s="7">
        <f>'1 datos preparados'!G712</f>
        <v/>
      </c>
      <c r="I719" s="7">
        <f>'1 datos preparados'!H712</f>
        <v/>
      </c>
      <c r="J719" s="7">
        <f>'1 datos preparados'!I712</f>
        <v/>
      </c>
      <c r="K719" s="7">
        <f>'1 datos preparados'!J712</f>
        <v/>
      </c>
      <c r="L719" s="7">
        <f>'1 datos preparados'!K712</f>
        <v/>
      </c>
      <c r="M719" s="7">
        <f>'1 datos preparados'!L712</f>
        <v/>
      </c>
      <c r="N719" s="7">
        <f>'1 datos preparados'!M712</f>
        <v/>
      </c>
      <c r="O719" s="7">
        <f>'1 datos preparados'!N712</f>
        <v/>
      </c>
      <c r="P719" s="7">
        <f>'1 datos preparados'!O712</f>
        <v/>
      </c>
      <c r="Q719" s="7">
        <f>'1 datos preparados'!P712</f>
        <v/>
      </c>
      <c r="R719" s="7">
        <f>'1 datos preparados'!Q712</f>
        <v/>
      </c>
      <c r="S719" s="7">
        <f>'1 datos preparados'!R712</f>
        <v/>
      </c>
      <c r="T719" s="7">
        <f>'1 datos preparados'!S712</f>
        <v/>
      </c>
      <c r="U719" s="7">
        <f>'1 datos preparados'!T712</f>
        <v/>
      </c>
      <c r="V719" s="8">
        <f>$AC$12+D719*$AC$13+E719*$AC$14+F719*$AC$15+G719*$AC$16+H719*$AC$17+I719*$AC$18+J719*$AC$19+K719*$AC$20+L719*$AC$21+M719*$AC$22+N719*$AC$23+O719*$AC$24+P719*$AC$25+Q719*$AC$26+R719*$AC$27+S719*$AC$28+T719*$AC$29+U719*$AC$30</f>
        <v/>
      </c>
      <c r="W719" s="8">
        <f>1/(1+EXP(-V719))</f>
        <v/>
      </c>
      <c r="X719" s="9">
        <f>-IF(C719=1,LN(W719),LN(1-W719))</f>
        <v/>
      </c>
      <c r="Y719" s="10">
        <f>IF(W719&gt;$AC$33,1,0)</f>
        <v/>
      </c>
      <c r="Z719">
        <f>IF(Y719=C719,1,0)</f>
        <v/>
      </c>
    </row>
    <row r="720">
      <c r="A720">
        <f>'1 datos preparados'!A713</f>
        <v/>
      </c>
      <c r="B720" s="5">
        <f>'1 datos preparados'!U713</f>
        <v/>
      </c>
      <c r="C720">
        <f>'1 datos preparados'!B713</f>
        <v/>
      </c>
      <c r="D720" s="7">
        <f>'1 datos preparados'!C713</f>
        <v/>
      </c>
      <c r="E720" s="7">
        <f>'1 datos preparados'!D713</f>
        <v/>
      </c>
      <c r="F720" s="7">
        <f>'1 datos preparados'!E713</f>
        <v/>
      </c>
      <c r="G720" s="7">
        <f>'1 datos preparados'!F713</f>
        <v/>
      </c>
      <c r="H720" s="7">
        <f>'1 datos preparados'!G713</f>
        <v/>
      </c>
      <c r="I720" s="7">
        <f>'1 datos preparados'!H713</f>
        <v/>
      </c>
      <c r="J720" s="7">
        <f>'1 datos preparados'!I713</f>
        <v/>
      </c>
      <c r="K720" s="7">
        <f>'1 datos preparados'!J713</f>
        <v/>
      </c>
      <c r="L720" s="7">
        <f>'1 datos preparados'!K713</f>
        <v/>
      </c>
      <c r="M720" s="7">
        <f>'1 datos preparados'!L713</f>
        <v/>
      </c>
      <c r="N720" s="7">
        <f>'1 datos preparados'!M713</f>
        <v/>
      </c>
      <c r="O720" s="7">
        <f>'1 datos preparados'!N713</f>
        <v/>
      </c>
      <c r="P720" s="7">
        <f>'1 datos preparados'!O713</f>
        <v/>
      </c>
      <c r="Q720" s="7">
        <f>'1 datos preparados'!P713</f>
        <v/>
      </c>
      <c r="R720" s="7">
        <f>'1 datos preparados'!Q713</f>
        <v/>
      </c>
      <c r="S720" s="7">
        <f>'1 datos preparados'!R713</f>
        <v/>
      </c>
      <c r="T720" s="7">
        <f>'1 datos preparados'!S713</f>
        <v/>
      </c>
      <c r="U720" s="7">
        <f>'1 datos preparados'!T713</f>
        <v/>
      </c>
      <c r="V720" s="8">
        <f>$AC$12+D720*$AC$13+E720*$AC$14+F720*$AC$15+G720*$AC$16+H720*$AC$17+I720*$AC$18+J720*$AC$19+K720*$AC$20+L720*$AC$21+M720*$AC$22+N720*$AC$23+O720*$AC$24+P720*$AC$25+Q720*$AC$26+R720*$AC$27+S720*$AC$28+T720*$AC$29+U720*$AC$30</f>
        <v/>
      </c>
      <c r="W720" s="8">
        <f>1/(1+EXP(-V720))</f>
        <v/>
      </c>
      <c r="X720" s="9">
        <f>-IF(C720=1,LN(W720),LN(1-W720))</f>
        <v/>
      </c>
      <c r="Y720" s="10">
        <f>IF(W720&gt;$AC$33,1,0)</f>
        <v/>
      </c>
      <c r="Z720">
        <f>IF(Y720=C720,1,0)</f>
        <v/>
      </c>
    </row>
    <row r="721">
      <c r="A721">
        <f>'1 datos preparados'!A714</f>
        <v/>
      </c>
      <c r="B721" s="5">
        <f>'1 datos preparados'!U714</f>
        <v/>
      </c>
      <c r="C721">
        <f>'1 datos preparados'!B714</f>
        <v/>
      </c>
      <c r="D721" s="7">
        <f>'1 datos preparados'!C714</f>
        <v/>
      </c>
      <c r="E721" s="7">
        <f>'1 datos preparados'!D714</f>
        <v/>
      </c>
      <c r="F721" s="7">
        <f>'1 datos preparados'!E714</f>
        <v/>
      </c>
      <c r="G721" s="7">
        <f>'1 datos preparados'!F714</f>
        <v/>
      </c>
      <c r="H721" s="7">
        <f>'1 datos preparados'!G714</f>
        <v/>
      </c>
      <c r="I721" s="7">
        <f>'1 datos preparados'!H714</f>
        <v/>
      </c>
      <c r="J721" s="7">
        <f>'1 datos preparados'!I714</f>
        <v/>
      </c>
      <c r="K721" s="7">
        <f>'1 datos preparados'!J714</f>
        <v/>
      </c>
      <c r="L721" s="7">
        <f>'1 datos preparados'!K714</f>
        <v/>
      </c>
      <c r="M721" s="7">
        <f>'1 datos preparados'!L714</f>
        <v/>
      </c>
      <c r="N721" s="7">
        <f>'1 datos preparados'!M714</f>
        <v/>
      </c>
      <c r="O721" s="7">
        <f>'1 datos preparados'!N714</f>
        <v/>
      </c>
      <c r="P721" s="7">
        <f>'1 datos preparados'!O714</f>
        <v/>
      </c>
      <c r="Q721" s="7">
        <f>'1 datos preparados'!P714</f>
        <v/>
      </c>
      <c r="R721" s="7">
        <f>'1 datos preparados'!Q714</f>
        <v/>
      </c>
      <c r="S721" s="7">
        <f>'1 datos preparados'!R714</f>
        <v/>
      </c>
      <c r="T721" s="7">
        <f>'1 datos preparados'!S714</f>
        <v/>
      </c>
      <c r="U721" s="7">
        <f>'1 datos preparados'!T714</f>
        <v/>
      </c>
      <c r="V721" s="8">
        <f>$AC$12+D721*$AC$13+E721*$AC$14+F721*$AC$15+G721*$AC$16+H721*$AC$17+I721*$AC$18+J721*$AC$19+K721*$AC$20+L721*$AC$21+M721*$AC$22+N721*$AC$23+O721*$AC$24+P721*$AC$25+Q721*$AC$26+R721*$AC$27+S721*$AC$28+T721*$AC$29+U721*$AC$30</f>
        <v/>
      </c>
      <c r="W721" s="8">
        <f>1/(1+EXP(-V721))</f>
        <v/>
      </c>
      <c r="X721" s="9">
        <f>-IF(C721=1,LN(W721),LN(1-W721))</f>
        <v/>
      </c>
      <c r="Y721" s="10">
        <f>IF(W721&gt;$AC$33,1,0)</f>
        <v/>
      </c>
      <c r="Z721">
        <f>IF(Y721=C721,1,0)</f>
        <v/>
      </c>
    </row>
    <row r="722">
      <c r="A722">
        <f>'1 datos preparados'!A715</f>
        <v/>
      </c>
      <c r="B722" s="5">
        <f>'1 datos preparados'!U715</f>
        <v/>
      </c>
      <c r="C722">
        <f>'1 datos preparados'!B715</f>
        <v/>
      </c>
      <c r="D722" s="7">
        <f>'1 datos preparados'!C715</f>
        <v/>
      </c>
      <c r="E722" s="7">
        <f>'1 datos preparados'!D715</f>
        <v/>
      </c>
      <c r="F722" s="7">
        <f>'1 datos preparados'!E715</f>
        <v/>
      </c>
      <c r="G722" s="7">
        <f>'1 datos preparados'!F715</f>
        <v/>
      </c>
      <c r="H722" s="7">
        <f>'1 datos preparados'!G715</f>
        <v/>
      </c>
      <c r="I722" s="7">
        <f>'1 datos preparados'!H715</f>
        <v/>
      </c>
      <c r="J722" s="7">
        <f>'1 datos preparados'!I715</f>
        <v/>
      </c>
      <c r="K722" s="7">
        <f>'1 datos preparados'!J715</f>
        <v/>
      </c>
      <c r="L722" s="7">
        <f>'1 datos preparados'!K715</f>
        <v/>
      </c>
      <c r="M722" s="7">
        <f>'1 datos preparados'!L715</f>
        <v/>
      </c>
      <c r="N722" s="7">
        <f>'1 datos preparados'!M715</f>
        <v/>
      </c>
      <c r="O722" s="7">
        <f>'1 datos preparados'!N715</f>
        <v/>
      </c>
      <c r="P722" s="7">
        <f>'1 datos preparados'!O715</f>
        <v/>
      </c>
      <c r="Q722" s="7">
        <f>'1 datos preparados'!P715</f>
        <v/>
      </c>
      <c r="R722" s="7">
        <f>'1 datos preparados'!Q715</f>
        <v/>
      </c>
      <c r="S722" s="7">
        <f>'1 datos preparados'!R715</f>
        <v/>
      </c>
      <c r="T722" s="7">
        <f>'1 datos preparados'!S715</f>
        <v/>
      </c>
      <c r="U722" s="7">
        <f>'1 datos preparados'!T715</f>
        <v/>
      </c>
      <c r="V722" s="8">
        <f>$AC$12+D722*$AC$13+E722*$AC$14+F722*$AC$15+G722*$AC$16+H722*$AC$17+I722*$AC$18+J722*$AC$19+K722*$AC$20+L722*$AC$21+M722*$AC$22+N722*$AC$23+O722*$AC$24+P722*$AC$25+Q722*$AC$26+R722*$AC$27+S722*$AC$28+T722*$AC$29+U722*$AC$30</f>
        <v/>
      </c>
      <c r="W722" s="8">
        <f>1/(1+EXP(-V722))</f>
        <v/>
      </c>
      <c r="X722" s="9">
        <f>-IF(C722=1,LN(W722),LN(1-W722))</f>
        <v/>
      </c>
      <c r="Y722" s="10">
        <f>IF(W722&gt;$AC$33,1,0)</f>
        <v/>
      </c>
      <c r="Z722">
        <f>IF(Y722=C722,1,0)</f>
        <v/>
      </c>
    </row>
    <row r="723">
      <c r="A723">
        <f>'1 datos preparados'!A716</f>
        <v/>
      </c>
      <c r="B723" s="5">
        <f>'1 datos preparados'!U716</f>
        <v/>
      </c>
      <c r="C723">
        <f>'1 datos preparados'!B716</f>
        <v/>
      </c>
      <c r="D723" s="7">
        <f>'1 datos preparados'!C716</f>
        <v/>
      </c>
      <c r="E723" s="7">
        <f>'1 datos preparados'!D716</f>
        <v/>
      </c>
      <c r="F723" s="7">
        <f>'1 datos preparados'!E716</f>
        <v/>
      </c>
      <c r="G723" s="7">
        <f>'1 datos preparados'!F716</f>
        <v/>
      </c>
      <c r="H723" s="7">
        <f>'1 datos preparados'!G716</f>
        <v/>
      </c>
      <c r="I723" s="7">
        <f>'1 datos preparados'!H716</f>
        <v/>
      </c>
      <c r="J723" s="7">
        <f>'1 datos preparados'!I716</f>
        <v/>
      </c>
      <c r="K723" s="7">
        <f>'1 datos preparados'!J716</f>
        <v/>
      </c>
      <c r="L723" s="7">
        <f>'1 datos preparados'!K716</f>
        <v/>
      </c>
      <c r="M723" s="7">
        <f>'1 datos preparados'!L716</f>
        <v/>
      </c>
      <c r="N723" s="7">
        <f>'1 datos preparados'!M716</f>
        <v/>
      </c>
      <c r="O723" s="7">
        <f>'1 datos preparados'!N716</f>
        <v/>
      </c>
      <c r="P723" s="7">
        <f>'1 datos preparados'!O716</f>
        <v/>
      </c>
      <c r="Q723" s="7">
        <f>'1 datos preparados'!P716</f>
        <v/>
      </c>
      <c r="R723" s="7">
        <f>'1 datos preparados'!Q716</f>
        <v/>
      </c>
      <c r="S723" s="7">
        <f>'1 datos preparados'!R716</f>
        <v/>
      </c>
      <c r="T723" s="7">
        <f>'1 datos preparados'!S716</f>
        <v/>
      </c>
      <c r="U723" s="7">
        <f>'1 datos preparados'!T716</f>
        <v/>
      </c>
      <c r="V723" s="8">
        <f>$AC$12+D723*$AC$13+E723*$AC$14+F723*$AC$15+G723*$AC$16+H723*$AC$17+I723*$AC$18+J723*$AC$19+K723*$AC$20+L723*$AC$21+M723*$AC$22+N723*$AC$23+O723*$AC$24+P723*$AC$25+Q723*$AC$26+R723*$AC$27+S723*$AC$28+T723*$AC$29+U723*$AC$30</f>
        <v/>
      </c>
      <c r="W723" s="8">
        <f>1/(1+EXP(-V723))</f>
        <v/>
      </c>
      <c r="X723" s="9">
        <f>-IF(C723=1,LN(W723),LN(1-W723))</f>
        <v/>
      </c>
      <c r="Y723" s="10">
        <f>IF(W723&gt;$AC$33,1,0)</f>
        <v/>
      </c>
      <c r="Z723">
        <f>IF(Y723=C723,1,0)</f>
        <v/>
      </c>
    </row>
    <row r="724">
      <c r="A724">
        <f>'1 datos preparados'!A717</f>
        <v/>
      </c>
      <c r="B724" s="5">
        <f>'1 datos preparados'!U717</f>
        <v/>
      </c>
      <c r="C724">
        <f>'1 datos preparados'!B717</f>
        <v/>
      </c>
      <c r="D724" s="7">
        <f>'1 datos preparados'!C717</f>
        <v/>
      </c>
      <c r="E724" s="7">
        <f>'1 datos preparados'!D717</f>
        <v/>
      </c>
      <c r="F724" s="7">
        <f>'1 datos preparados'!E717</f>
        <v/>
      </c>
      <c r="G724" s="7">
        <f>'1 datos preparados'!F717</f>
        <v/>
      </c>
      <c r="H724" s="7">
        <f>'1 datos preparados'!G717</f>
        <v/>
      </c>
      <c r="I724" s="7">
        <f>'1 datos preparados'!H717</f>
        <v/>
      </c>
      <c r="J724" s="7">
        <f>'1 datos preparados'!I717</f>
        <v/>
      </c>
      <c r="K724" s="7">
        <f>'1 datos preparados'!J717</f>
        <v/>
      </c>
      <c r="L724" s="7">
        <f>'1 datos preparados'!K717</f>
        <v/>
      </c>
      <c r="M724" s="7">
        <f>'1 datos preparados'!L717</f>
        <v/>
      </c>
      <c r="N724" s="7">
        <f>'1 datos preparados'!M717</f>
        <v/>
      </c>
      <c r="O724" s="7">
        <f>'1 datos preparados'!N717</f>
        <v/>
      </c>
      <c r="P724" s="7">
        <f>'1 datos preparados'!O717</f>
        <v/>
      </c>
      <c r="Q724" s="7">
        <f>'1 datos preparados'!P717</f>
        <v/>
      </c>
      <c r="R724" s="7">
        <f>'1 datos preparados'!Q717</f>
        <v/>
      </c>
      <c r="S724" s="7">
        <f>'1 datos preparados'!R717</f>
        <v/>
      </c>
      <c r="T724" s="7">
        <f>'1 datos preparados'!S717</f>
        <v/>
      </c>
      <c r="U724" s="7">
        <f>'1 datos preparados'!T717</f>
        <v/>
      </c>
      <c r="V724" s="8">
        <f>$AC$12+D724*$AC$13+E724*$AC$14+F724*$AC$15+G724*$AC$16+H724*$AC$17+I724*$AC$18+J724*$AC$19+K724*$AC$20+L724*$AC$21+M724*$AC$22+N724*$AC$23+O724*$AC$24+P724*$AC$25+Q724*$AC$26+R724*$AC$27+S724*$AC$28+T724*$AC$29+U724*$AC$30</f>
        <v/>
      </c>
      <c r="W724" s="8">
        <f>1/(1+EXP(-V724))</f>
        <v/>
      </c>
      <c r="X724" s="9">
        <f>-IF(C724=1,LN(W724),LN(1-W724))</f>
        <v/>
      </c>
      <c r="Y724" s="10">
        <f>IF(W724&gt;$AC$33,1,0)</f>
        <v/>
      </c>
      <c r="Z724">
        <f>IF(Y724=C724,1,0)</f>
        <v/>
      </c>
    </row>
    <row r="725">
      <c r="A725">
        <f>'1 datos preparados'!A718</f>
        <v/>
      </c>
      <c r="B725" s="5">
        <f>'1 datos preparados'!U718</f>
        <v/>
      </c>
      <c r="C725">
        <f>'1 datos preparados'!B718</f>
        <v/>
      </c>
      <c r="D725" s="7">
        <f>'1 datos preparados'!C718</f>
        <v/>
      </c>
      <c r="E725" s="7">
        <f>'1 datos preparados'!D718</f>
        <v/>
      </c>
      <c r="F725" s="7">
        <f>'1 datos preparados'!E718</f>
        <v/>
      </c>
      <c r="G725" s="7">
        <f>'1 datos preparados'!F718</f>
        <v/>
      </c>
      <c r="H725" s="7">
        <f>'1 datos preparados'!G718</f>
        <v/>
      </c>
      <c r="I725" s="7">
        <f>'1 datos preparados'!H718</f>
        <v/>
      </c>
      <c r="J725" s="7">
        <f>'1 datos preparados'!I718</f>
        <v/>
      </c>
      <c r="K725" s="7">
        <f>'1 datos preparados'!J718</f>
        <v/>
      </c>
      <c r="L725" s="7">
        <f>'1 datos preparados'!K718</f>
        <v/>
      </c>
      <c r="M725" s="7">
        <f>'1 datos preparados'!L718</f>
        <v/>
      </c>
      <c r="N725" s="7">
        <f>'1 datos preparados'!M718</f>
        <v/>
      </c>
      <c r="O725" s="7">
        <f>'1 datos preparados'!N718</f>
        <v/>
      </c>
      <c r="P725" s="7">
        <f>'1 datos preparados'!O718</f>
        <v/>
      </c>
      <c r="Q725" s="7">
        <f>'1 datos preparados'!P718</f>
        <v/>
      </c>
      <c r="R725" s="7">
        <f>'1 datos preparados'!Q718</f>
        <v/>
      </c>
      <c r="S725" s="7">
        <f>'1 datos preparados'!R718</f>
        <v/>
      </c>
      <c r="T725" s="7">
        <f>'1 datos preparados'!S718</f>
        <v/>
      </c>
      <c r="U725" s="7">
        <f>'1 datos preparados'!T718</f>
        <v/>
      </c>
      <c r="V725" s="8">
        <f>$AC$12+D725*$AC$13+E725*$AC$14+F725*$AC$15+G725*$AC$16+H725*$AC$17+I725*$AC$18+J725*$AC$19+K725*$AC$20+L725*$AC$21+M725*$AC$22+N725*$AC$23+O725*$AC$24+P725*$AC$25+Q725*$AC$26+R725*$AC$27+S725*$AC$28+T725*$AC$29+U725*$AC$30</f>
        <v/>
      </c>
      <c r="W725" s="8">
        <f>1/(1+EXP(-V725))</f>
        <v/>
      </c>
      <c r="X725" s="9">
        <f>-IF(C725=1,LN(W725),LN(1-W725))</f>
        <v/>
      </c>
      <c r="Y725" s="10">
        <f>IF(W725&gt;$AC$33,1,0)</f>
        <v/>
      </c>
      <c r="Z725">
        <f>IF(Y725=C725,1,0)</f>
        <v/>
      </c>
    </row>
    <row r="726">
      <c r="A726">
        <f>'1 datos preparados'!A719</f>
        <v/>
      </c>
      <c r="B726" s="5">
        <f>'1 datos preparados'!U719</f>
        <v/>
      </c>
      <c r="C726">
        <f>'1 datos preparados'!B719</f>
        <v/>
      </c>
      <c r="D726" s="7">
        <f>'1 datos preparados'!C719</f>
        <v/>
      </c>
      <c r="E726" s="7">
        <f>'1 datos preparados'!D719</f>
        <v/>
      </c>
      <c r="F726" s="7">
        <f>'1 datos preparados'!E719</f>
        <v/>
      </c>
      <c r="G726" s="7">
        <f>'1 datos preparados'!F719</f>
        <v/>
      </c>
      <c r="H726" s="7">
        <f>'1 datos preparados'!G719</f>
        <v/>
      </c>
      <c r="I726" s="7">
        <f>'1 datos preparados'!H719</f>
        <v/>
      </c>
      <c r="J726" s="7">
        <f>'1 datos preparados'!I719</f>
        <v/>
      </c>
      <c r="K726" s="7">
        <f>'1 datos preparados'!J719</f>
        <v/>
      </c>
      <c r="L726" s="7">
        <f>'1 datos preparados'!K719</f>
        <v/>
      </c>
      <c r="M726" s="7">
        <f>'1 datos preparados'!L719</f>
        <v/>
      </c>
      <c r="N726" s="7">
        <f>'1 datos preparados'!M719</f>
        <v/>
      </c>
      <c r="O726" s="7">
        <f>'1 datos preparados'!N719</f>
        <v/>
      </c>
      <c r="P726" s="7">
        <f>'1 datos preparados'!O719</f>
        <v/>
      </c>
      <c r="Q726" s="7">
        <f>'1 datos preparados'!P719</f>
        <v/>
      </c>
      <c r="R726" s="7">
        <f>'1 datos preparados'!Q719</f>
        <v/>
      </c>
      <c r="S726" s="7">
        <f>'1 datos preparados'!R719</f>
        <v/>
      </c>
      <c r="T726" s="7">
        <f>'1 datos preparados'!S719</f>
        <v/>
      </c>
      <c r="U726" s="7">
        <f>'1 datos preparados'!T719</f>
        <v/>
      </c>
      <c r="V726" s="8">
        <f>$AC$12+D726*$AC$13+E726*$AC$14+F726*$AC$15+G726*$AC$16+H726*$AC$17+I726*$AC$18+J726*$AC$19+K726*$AC$20+L726*$AC$21+M726*$AC$22+N726*$AC$23+O726*$AC$24+P726*$AC$25+Q726*$AC$26+R726*$AC$27+S726*$AC$28+T726*$AC$29+U726*$AC$30</f>
        <v/>
      </c>
      <c r="W726" s="8">
        <f>1/(1+EXP(-V726))</f>
        <v/>
      </c>
      <c r="X726" s="9">
        <f>-IF(C726=1,LN(W726),LN(1-W726))</f>
        <v/>
      </c>
      <c r="Y726" s="10">
        <f>IF(W726&gt;$AC$33,1,0)</f>
        <v/>
      </c>
      <c r="Z726">
        <f>IF(Y726=C726,1,0)</f>
        <v/>
      </c>
    </row>
    <row r="727">
      <c r="A727">
        <f>'1 datos preparados'!A720</f>
        <v/>
      </c>
      <c r="B727" s="5">
        <f>'1 datos preparados'!U720</f>
        <v/>
      </c>
      <c r="C727">
        <f>'1 datos preparados'!B720</f>
        <v/>
      </c>
      <c r="D727" s="7">
        <f>'1 datos preparados'!C720</f>
        <v/>
      </c>
      <c r="E727" s="7">
        <f>'1 datos preparados'!D720</f>
        <v/>
      </c>
      <c r="F727" s="7">
        <f>'1 datos preparados'!E720</f>
        <v/>
      </c>
      <c r="G727" s="7">
        <f>'1 datos preparados'!F720</f>
        <v/>
      </c>
      <c r="H727" s="7">
        <f>'1 datos preparados'!G720</f>
        <v/>
      </c>
      <c r="I727" s="7">
        <f>'1 datos preparados'!H720</f>
        <v/>
      </c>
      <c r="J727" s="7">
        <f>'1 datos preparados'!I720</f>
        <v/>
      </c>
      <c r="K727" s="7">
        <f>'1 datos preparados'!J720</f>
        <v/>
      </c>
      <c r="L727" s="7">
        <f>'1 datos preparados'!K720</f>
        <v/>
      </c>
      <c r="M727" s="7">
        <f>'1 datos preparados'!L720</f>
        <v/>
      </c>
      <c r="N727" s="7">
        <f>'1 datos preparados'!M720</f>
        <v/>
      </c>
      <c r="O727" s="7">
        <f>'1 datos preparados'!N720</f>
        <v/>
      </c>
      <c r="P727" s="7">
        <f>'1 datos preparados'!O720</f>
        <v/>
      </c>
      <c r="Q727" s="7">
        <f>'1 datos preparados'!P720</f>
        <v/>
      </c>
      <c r="R727" s="7">
        <f>'1 datos preparados'!Q720</f>
        <v/>
      </c>
      <c r="S727" s="7">
        <f>'1 datos preparados'!R720</f>
        <v/>
      </c>
      <c r="T727" s="7">
        <f>'1 datos preparados'!S720</f>
        <v/>
      </c>
      <c r="U727" s="7">
        <f>'1 datos preparados'!T720</f>
        <v/>
      </c>
      <c r="V727" s="8">
        <f>$AC$12+D727*$AC$13+E727*$AC$14+F727*$AC$15+G727*$AC$16+H727*$AC$17+I727*$AC$18+J727*$AC$19+K727*$AC$20+L727*$AC$21+M727*$AC$22+N727*$AC$23+O727*$AC$24+P727*$AC$25+Q727*$AC$26+R727*$AC$27+S727*$AC$28+T727*$AC$29+U727*$AC$30</f>
        <v/>
      </c>
      <c r="W727" s="8">
        <f>1/(1+EXP(-V727))</f>
        <v/>
      </c>
      <c r="X727" s="9">
        <f>-IF(C727=1,LN(W727),LN(1-W727))</f>
        <v/>
      </c>
      <c r="Y727" s="10">
        <f>IF(W727&gt;$AC$33,1,0)</f>
        <v/>
      </c>
      <c r="Z727">
        <f>IF(Y727=C727,1,0)</f>
        <v/>
      </c>
    </row>
    <row r="728">
      <c r="A728">
        <f>'1 datos preparados'!A721</f>
        <v/>
      </c>
      <c r="B728" s="5">
        <f>'1 datos preparados'!U721</f>
        <v/>
      </c>
      <c r="C728">
        <f>'1 datos preparados'!B721</f>
        <v/>
      </c>
      <c r="D728" s="7">
        <f>'1 datos preparados'!C721</f>
        <v/>
      </c>
      <c r="E728" s="7">
        <f>'1 datos preparados'!D721</f>
        <v/>
      </c>
      <c r="F728" s="7">
        <f>'1 datos preparados'!E721</f>
        <v/>
      </c>
      <c r="G728" s="7">
        <f>'1 datos preparados'!F721</f>
        <v/>
      </c>
      <c r="H728" s="7">
        <f>'1 datos preparados'!G721</f>
        <v/>
      </c>
      <c r="I728" s="7">
        <f>'1 datos preparados'!H721</f>
        <v/>
      </c>
      <c r="J728" s="7">
        <f>'1 datos preparados'!I721</f>
        <v/>
      </c>
      <c r="K728" s="7">
        <f>'1 datos preparados'!J721</f>
        <v/>
      </c>
      <c r="L728" s="7">
        <f>'1 datos preparados'!K721</f>
        <v/>
      </c>
      <c r="M728" s="7">
        <f>'1 datos preparados'!L721</f>
        <v/>
      </c>
      <c r="N728" s="7">
        <f>'1 datos preparados'!M721</f>
        <v/>
      </c>
      <c r="O728" s="7">
        <f>'1 datos preparados'!N721</f>
        <v/>
      </c>
      <c r="P728" s="7">
        <f>'1 datos preparados'!O721</f>
        <v/>
      </c>
      <c r="Q728" s="7">
        <f>'1 datos preparados'!P721</f>
        <v/>
      </c>
      <c r="R728" s="7">
        <f>'1 datos preparados'!Q721</f>
        <v/>
      </c>
      <c r="S728" s="7">
        <f>'1 datos preparados'!R721</f>
        <v/>
      </c>
      <c r="T728" s="7">
        <f>'1 datos preparados'!S721</f>
        <v/>
      </c>
      <c r="U728" s="7">
        <f>'1 datos preparados'!T721</f>
        <v/>
      </c>
      <c r="V728" s="8">
        <f>$AC$12+D728*$AC$13+E728*$AC$14+F728*$AC$15+G728*$AC$16+H728*$AC$17+I728*$AC$18+J728*$AC$19+K728*$AC$20+L728*$AC$21+M728*$AC$22+N728*$AC$23+O728*$AC$24+P728*$AC$25+Q728*$AC$26+R728*$AC$27+S728*$AC$28+T728*$AC$29+U728*$AC$30</f>
        <v/>
      </c>
      <c r="W728" s="8">
        <f>1/(1+EXP(-V728))</f>
        <v/>
      </c>
      <c r="X728" s="9">
        <f>-IF(C728=1,LN(W728),LN(1-W728))</f>
        <v/>
      </c>
      <c r="Y728" s="10">
        <f>IF(W728&gt;$AC$33,1,0)</f>
        <v/>
      </c>
      <c r="Z728">
        <f>IF(Y728=C728,1,0)</f>
        <v/>
      </c>
    </row>
    <row r="729">
      <c r="A729">
        <f>'1 datos preparados'!A722</f>
        <v/>
      </c>
      <c r="B729" s="5">
        <f>'1 datos preparados'!U722</f>
        <v/>
      </c>
      <c r="C729">
        <f>'1 datos preparados'!B722</f>
        <v/>
      </c>
      <c r="D729" s="7">
        <f>'1 datos preparados'!C722</f>
        <v/>
      </c>
      <c r="E729" s="7">
        <f>'1 datos preparados'!D722</f>
        <v/>
      </c>
      <c r="F729" s="7">
        <f>'1 datos preparados'!E722</f>
        <v/>
      </c>
      <c r="G729" s="7">
        <f>'1 datos preparados'!F722</f>
        <v/>
      </c>
      <c r="H729" s="7">
        <f>'1 datos preparados'!G722</f>
        <v/>
      </c>
      <c r="I729" s="7">
        <f>'1 datos preparados'!H722</f>
        <v/>
      </c>
      <c r="J729" s="7">
        <f>'1 datos preparados'!I722</f>
        <v/>
      </c>
      <c r="K729" s="7">
        <f>'1 datos preparados'!J722</f>
        <v/>
      </c>
      <c r="L729" s="7">
        <f>'1 datos preparados'!K722</f>
        <v/>
      </c>
      <c r="M729" s="7">
        <f>'1 datos preparados'!L722</f>
        <v/>
      </c>
      <c r="N729" s="7">
        <f>'1 datos preparados'!M722</f>
        <v/>
      </c>
      <c r="O729" s="7">
        <f>'1 datos preparados'!N722</f>
        <v/>
      </c>
      <c r="P729" s="7">
        <f>'1 datos preparados'!O722</f>
        <v/>
      </c>
      <c r="Q729" s="7">
        <f>'1 datos preparados'!P722</f>
        <v/>
      </c>
      <c r="R729" s="7">
        <f>'1 datos preparados'!Q722</f>
        <v/>
      </c>
      <c r="S729" s="7">
        <f>'1 datos preparados'!R722</f>
        <v/>
      </c>
      <c r="T729" s="7">
        <f>'1 datos preparados'!S722</f>
        <v/>
      </c>
      <c r="U729" s="7">
        <f>'1 datos preparados'!T722</f>
        <v/>
      </c>
      <c r="V729" s="8">
        <f>$AC$12+D729*$AC$13+E729*$AC$14+F729*$AC$15+G729*$AC$16+H729*$AC$17+I729*$AC$18+J729*$AC$19+K729*$AC$20+L729*$AC$21+M729*$AC$22+N729*$AC$23+O729*$AC$24+P729*$AC$25+Q729*$AC$26+R729*$AC$27+S729*$AC$28+T729*$AC$29+U729*$AC$30</f>
        <v/>
      </c>
      <c r="W729" s="8">
        <f>1/(1+EXP(-V729))</f>
        <v/>
      </c>
      <c r="X729" s="9">
        <f>-IF(C729=1,LN(W729),LN(1-W729))</f>
        <v/>
      </c>
      <c r="Y729" s="10">
        <f>IF(W729&gt;$AC$33,1,0)</f>
        <v/>
      </c>
      <c r="Z729">
        <f>IF(Y729=C729,1,0)</f>
        <v/>
      </c>
    </row>
    <row r="730">
      <c r="A730">
        <f>'1 datos preparados'!A723</f>
        <v/>
      </c>
      <c r="B730" s="5">
        <f>'1 datos preparados'!U723</f>
        <v/>
      </c>
      <c r="C730">
        <f>'1 datos preparados'!B723</f>
        <v/>
      </c>
      <c r="D730" s="7">
        <f>'1 datos preparados'!C723</f>
        <v/>
      </c>
      <c r="E730" s="7">
        <f>'1 datos preparados'!D723</f>
        <v/>
      </c>
      <c r="F730" s="7">
        <f>'1 datos preparados'!E723</f>
        <v/>
      </c>
      <c r="G730" s="7">
        <f>'1 datos preparados'!F723</f>
        <v/>
      </c>
      <c r="H730" s="7">
        <f>'1 datos preparados'!G723</f>
        <v/>
      </c>
      <c r="I730" s="7">
        <f>'1 datos preparados'!H723</f>
        <v/>
      </c>
      <c r="J730" s="7">
        <f>'1 datos preparados'!I723</f>
        <v/>
      </c>
      <c r="K730" s="7">
        <f>'1 datos preparados'!J723</f>
        <v/>
      </c>
      <c r="L730" s="7">
        <f>'1 datos preparados'!K723</f>
        <v/>
      </c>
      <c r="M730" s="7">
        <f>'1 datos preparados'!L723</f>
        <v/>
      </c>
      <c r="N730" s="7">
        <f>'1 datos preparados'!M723</f>
        <v/>
      </c>
      <c r="O730" s="7">
        <f>'1 datos preparados'!N723</f>
        <v/>
      </c>
      <c r="P730" s="7">
        <f>'1 datos preparados'!O723</f>
        <v/>
      </c>
      <c r="Q730" s="7">
        <f>'1 datos preparados'!P723</f>
        <v/>
      </c>
      <c r="R730" s="7">
        <f>'1 datos preparados'!Q723</f>
        <v/>
      </c>
      <c r="S730" s="7">
        <f>'1 datos preparados'!R723</f>
        <v/>
      </c>
      <c r="T730" s="7">
        <f>'1 datos preparados'!S723</f>
        <v/>
      </c>
      <c r="U730" s="7">
        <f>'1 datos preparados'!T723</f>
        <v/>
      </c>
      <c r="V730" s="8">
        <f>$AC$12+D730*$AC$13+E730*$AC$14+F730*$AC$15+G730*$AC$16+H730*$AC$17+I730*$AC$18+J730*$AC$19+K730*$AC$20+L730*$AC$21+M730*$AC$22+N730*$AC$23+O730*$AC$24+P730*$AC$25+Q730*$AC$26+R730*$AC$27+S730*$AC$28+T730*$AC$29+U730*$AC$30</f>
        <v/>
      </c>
      <c r="W730" s="8">
        <f>1/(1+EXP(-V730))</f>
        <v/>
      </c>
      <c r="X730" s="9">
        <f>-IF(C730=1,LN(W730),LN(1-W730))</f>
        <v/>
      </c>
      <c r="Y730" s="10">
        <f>IF(W730&gt;$AC$33,1,0)</f>
        <v/>
      </c>
      <c r="Z730">
        <f>IF(Y730=C730,1,0)</f>
        <v/>
      </c>
    </row>
    <row r="731">
      <c r="A731">
        <f>'1 datos preparados'!A724</f>
        <v/>
      </c>
      <c r="B731" s="5">
        <f>'1 datos preparados'!U724</f>
        <v/>
      </c>
      <c r="C731">
        <f>'1 datos preparados'!B724</f>
        <v/>
      </c>
      <c r="D731" s="7">
        <f>'1 datos preparados'!C724</f>
        <v/>
      </c>
      <c r="E731" s="7">
        <f>'1 datos preparados'!D724</f>
        <v/>
      </c>
      <c r="F731" s="7">
        <f>'1 datos preparados'!E724</f>
        <v/>
      </c>
      <c r="G731" s="7">
        <f>'1 datos preparados'!F724</f>
        <v/>
      </c>
      <c r="H731" s="7">
        <f>'1 datos preparados'!G724</f>
        <v/>
      </c>
      <c r="I731" s="7">
        <f>'1 datos preparados'!H724</f>
        <v/>
      </c>
      <c r="J731" s="7">
        <f>'1 datos preparados'!I724</f>
        <v/>
      </c>
      <c r="K731" s="7">
        <f>'1 datos preparados'!J724</f>
        <v/>
      </c>
      <c r="L731" s="7">
        <f>'1 datos preparados'!K724</f>
        <v/>
      </c>
      <c r="M731" s="7">
        <f>'1 datos preparados'!L724</f>
        <v/>
      </c>
      <c r="N731" s="7">
        <f>'1 datos preparados'!M724</f>
        <v/>
      </c>
      <c r="O731" s="7">
        <f>'1 datos preparados'!N724</f>
        <v/>
      </c>
      <c r="P731" s="7">
        <f>'1 datos preparados'!O724</f>
        <v/>
      </c>
      <c r="Q731" s="7">
        <f>'1 datos preparados'!P724</f>
        <v/>
      </c>
      <c r="R731" s="7">
        <f>'1 datos preparados'!Q724</f>
        <v/>
      </c>
      <c r="S731" s="7">
        <f>'1 datos preparados'!R724</f>
        <v/>
      </c>
      <c r="T731" s="7">
        <f>'1 datos preparados'!S724</f>
        <v/>
      </c>
      <c r="U731" s="7">
        <f>'1 datos preparados'!T724</f>
        <v/>
      </c>
      <c r="V731" s="8">
        <f>$AC$12+D731*$AC$13+E731*$AC$14+F731*$AC$15+G731*$AC$16+H731*$AC$17+I731*$AC$18+J731*$AC$19+K731*$AC$20+L731*$AC$21+M731*$AC$22+N731*$AC$23+O731*$AC$24+P731*$AC$25+Q731*$AC$26+R731*$AC$27+S731*$AC$28+T731*$AC$29+U731*$AC$30</f>
        <v/>
      </c>
      <c r="W731" s="8">
        <f>1/(1+EXP(-V731))</f>
        <v/>
      </c>
      <c r="X731" s="9">
        <f>-IF(C731=1,LN(W731),LN(1-W731))</f>
        <v/>
      </c>
      <c r="Y731" s="10">
        <f>IF(W731&gt;$AC$33,1,0)</f>
        <v/>
      </c>
      <c r="Z731">
        <f>IF(Y731=C731,1,0)</f>
        <v/>
      </c>
    </row>
    <row r="732">
      <c r="A732">
        <f>'1 datos preparados'!A725</f>
        <v/>
      </c>
      <c r="B732" s="5">
        <f>'1 datos preparados'!U725</f>
        <v/>
      </c>
      <c r="C732">
        <f>'1 datos preparados'!B725</f>
        <v/>
      </c>
      <c r="D732" s="7">
        <f>'1 datos preparados'!C725</f>
        <v/>
      </c>
      <c r="E732" s="7">
        <f>'1 datos preparados'!D725</f>
        <v/>
      </c>
      <c r="F732" s="7">
        <f>'1 datos preparados'!E725</f>
        <v/>
      </c>
      <c r="G732" s="7">
        <f>'1 datos preparados'!F725</f>
        <v/>
      </c>
      <c r="H732" s="7">
        <f>'1 datos preparados'!G725</f>
        <v/>
      </c>
      <c r="I732" s="7">
        <f>'1 datos preparados'!H725</f>
        <v/>
      </c>
      <c r="J732" s="7">
        <f>'1 datos preparados'!I725</f>
        <v/>
      </c>
      <c r="K732" s="7">
        <f>'1 datos preparados'!J725</f>
        <v/>
      </c>
      <c r="L732" s="7">
        <f>'1 datos preparados'!K725</f>
        <v/>
      </c>
      <c r="M732" s="7">
        <f>'1 datos preparados'!L725</f>
        <v/>
      </c>
      <c r="N732" s="7">
        <f>'1 datos preparados'!M725</f>
        <v/>
      </c>
      <c r="O732" s="7">
        <f>'1 datos preparados'!N725</f>
        <v/>
      </c>
      <c r="P732" s="7">
        <f>'1 datos preparados'!O725</f>
        <v/>
      </c>
      <c r="Q732" s="7">
        <f>'1 datos preparados'!P725</f>
        <v/>
      </c>
      <c r="R732" s="7">
        <f>'1 datos preparados'!Q725</f>
        <v/>
      </c>
      <c r="S732" s="7">
        <f>'1 datos preparados'!R725</f>
        <v/>
      </c>
      <c r="T732" s="7">
        <f>'1 datos preparados'!S725</f>
        <v/>
      </c>
      <c r="U732" s="7">
        <f>'1 datos preparados'!T725</f>
        <v/>
      </c>
      <c r="V732" s="8">
        <f>$AC$12+D732*$AC$13+E732*$AC$14+F732*$AC$15+G732*$AC$16+H732*$AC$17+I732*$AC$18+J732*$AC$19+K732*$AC$20+L732*$AC$21+M732*$AC$22+N732*$AC$23+O732*$AC$24+P732*$AC$25+Q732*$AC$26+R732*$AC$27+S732*$AC$28+T732*$AC$29+U732*$AC$30</f>
        <v/>
      </c>
      <c r="W732" s="8">
        <f>1/(1+EXP(-V732))</f>
        <v/>
      </c>
      <c r="X732" s="9">
        <f>-IF(C732=1,LN(W732),LN(1-W732))</f>
        <v/>
      </c>
      <c r="Y732" s="10">
        <f>IF(W732&gt;$AC$33,1,0)</f>
        <v/>
      </c>
      <c r="Z732">
        <f>IF(Y732=C732,1,0)</f>
        <v/>
      </c>
    </row>
    <row r="733">
      <c r="A733">
        <f>'1 datos preparados'!A726</f>
        <v/>
      </c>
      <c r="B733" s="5">
        <f>'1 datos preparados'!U726</f>
        <v/>
      </c>
      <c r="C733">
        <f>'1 datos preparados'!B726</f>
        <v/>
      </c>
      <c r="D733" s="7">
        <f>'1 datos preparados'!C726</f>
        <v/>
      </c>
      <c r="E733" s="7">
        <f>'1 datos preparados'!D726</f>
        <v/>
      </c>
      <c r="F733" s="7">
        <f>'1 datos preparados'!E726</f>
        <v/>
      </c>
      <c r="G733" s="7">
        <f>'1 datos preparados'!F726</f>
        <v/>
      </c>
      <c r="H733" s="7">
        <f>'1 datos preparados'!G726</f>
        <v/>
      </c>
      <c r="I733" s="7">
        <f>'1 datos preparados'!H726</f>
        <v/>
      </c>
      <c r="J733" s="7">
        <f>'1 datos preparados'!I726</f>
        <v/>
      </c>
      <c r="K733" s="7">
        <f>'1 datos preparados'!J726</f>
        <v/>
      </c>
      <c r="L733" s="7">
        <f>'1 datos preparados'!K726</f>
        <v/>
      </c>
      <c r="M733" s="7">
        <f>'1 datos preparados'!L726</f>
        <v/>
      </c>
      <c r="N733" s="7">
        <f>'1 datos preparados'!M726</f>
        <v/>
      </c>
      <c r="O733" s="7">
        <f>'1 datos preparados'!N726</f>
        <v/>
      </c>
      <c r="P733" s="7">
        <f>'1 datos preparados'!O726</f>
        <v/>
      </c>
      <c r="Q733" s="7">
        <f>'1 datos preparados'!P726</f>
        <v/>
      </c>
      <c r="R733" s="7">
        <f>'1 datos preparados'!Q726</f>
        <v/>
      </c>
      <c r="S733" s="7">
        <f>'1 datos preparados'!R726</f>
        <v/>
      </c>
      <c r="T733" s="7">
        <f>'1 datos preparados'!S726</f>
        <v/>
      </c>
      <c r="U733" s="7">
        <f>'1 datos preparados'!T726</f>
        <v/>
      </c>
      <c r="V733" s="8">
        <f>$AC$12+D733*$AC$13+E733*$AC$14+F733*$AC$15+G733*$AC$16+H733*$AC$17+I733*$AC$18+J733*$AC$19+K733*$AC$20+L733*$AC$21+M733*$AC$22+N733*$AC$23+O733*$AC$24+P733*$AC$25+Q733*$AC$26+R733*$AC$27+S733*$AC$28+T733*$AC$29+U733*$AC$30</f>
        <v/>
      </c>
      <c r="W733" s="8">
        <f>1/(1+EXP(-V733))</f>
        <v/>
      </c>
      <c r="X733" s="9">
        <f>-IF(C733=1,LN(W733),LN(1-W733))</f>
        <v/>
      </c>
      <c r="Y733" s="10">
        <f>IF(W733&gt;$AC$33,1,0)</f>
        <v/>
      </c>
      <c r="Z733">
        <f>IF(Y733=C733,1,0)</f>
        <v/>
      </c>
    </row>
    <row r="734">
      <c r="A734">
        <f>'1 datos preparados'!A727</f>
        <v/>
      </c>
      <c r="B734" s="5">
        <f>'1 datos preparados'!U727</f>
        <v/>
      </c>
      <c r="C734">
        <f>'1 datos preparados'!B727</f>
        <v/>
      </c>
      <c r="D734" s="7">
        <f>'1 datos preparados'!C727</f>
        <v/>
      </c>
      <c r="E734" s="7">
        <f>'1 datos preparados'!D727</f>
        <v/>
      </c>
      <c r="F734" s="7">
        <f>'1 datos preparados'!E727</f>
        <v/>
      </c>
      <c r="G734" s="7">
        <f>'1 datos preparados'!F727</f>
        <v/>
      </c>
      <c r="H734" s="7">
        <f>'1 datos preparados'!G727</f>
        <v/>
      </c>
      <c r="I734" s="7">
        <f>'1 datos preparados'!H727</f>
        <v/>
      </c>
      <c r="J734" s="7">
        <f>'1 datos preparados'!I727</f>
        <v/>
      </c>
      <c r="K734" s="7">
        <f>'1 datos preparados'!J727</f>
        <v/>
      </c>
      <c r="L734" s="7">
        <f>'1 datos preparados'!K727</f>
        <v/>
      </c>
      <c r="M734" s="7">
        <f>'1 datos preparados'!L727</f>
        <v/>
      </c>
      <c r="N734" s="7">
        <f>'1 datos preparados'!M727</f>
        <v/>
      </c>
      <c r="O734" s="7">
        <f>'1 datos preparados'!N727</f>
        <v/>
      </c>
      <c r="P734" s="7">
        <f>'1 datos preparados'!O727</f>
        <v/>
      </c>
      <c r="Q734" s="7">
        <f>'1 datos preparados'!P727</f>
        <v/>
      </c>
      <c r="R734" s="7">
        <f>'1 datos preparados'!Q727</f>
        <v/>
      </c>
      <c r="S734" s="7">
        <f>'1 datos preparados'!R727</f>
        <v/>
      </c>
      <c r="T734" s="7">
        <f>'1 datos preparados'!S727</f>
        <v/>
      </c>
      <c r="U734" s="7">
        <f>'1 datos preparados'!T727</f>
        <v/>
      </c>
      <c r="V734" s="8">
        <f>$AC$12+D734*$AC$13+E734*$AC$14+F734*$AC$15+G734*$AC$16+H734*$AC$17+I734*$AC$18+J734*$AC$19+K734*$AC$20+L734*$AC$21+M734*$AC$22+N734*$AC$23+O734*$AC$24+P734*$AC$25+Q734*$AC$26+R734*$AC$27+S734*$AC$28+T734*$AC$29+U734*$AC$30</f>
        <v/>
      </c>
      <c r="W734" s="8">
        <f>1/(1+EXP(-V734))</f>
        <v/>
      </c>
      <c r="X734" s="9">
        <f>-IF(C734=1,LN(W734),LN(1-W734))</f>
        <v/>
      </c>
      <c r="Y734" s="10">
        <f>IF(W734&gt;$AC$33,1,0)</f>
        <v/>
      </c>
      <c r="Z734">
        <f>IF(Y734=C734,1,0)</f>
        <v/>
      </c>
    </row>
    <row r="735">
      <c r="A735">
        <f>'1 datos preparados'!A728</f>
        <v/>
      </c>
      <c r="B735" s="5">
        <f>'1 datos preparados'!U728</f>
        <v/>
      </c>
      <c r="C735">
        <f>'1 datos preparados'!B728</f>
        <v/>
      </c>
      <c r="D735" s="7">
        <f>'1 datos preparados'!C728</f>
        <v/>
      </c>
      <c r="E735" s="7">
        <f>'1 datos preparados'!D728</f>
        <v/>
      </c>
      <c r="F735" s="7">
        <f>'1 datos preparados'!E728</f>
        <v/>
      </c>
      <c r="G735" s="7">
        <f>'1 datos preparados'!F728</f>
        <v/>
      </c>
      <c r="H735" s="7">
        <f>'1 datos preparados'!G728</f>
        <v/>
      </c>
      <c r="I735" s="7">
        <f>'1 datos preparados'!H728</f>
        <v/>
      </c>
      <c r="J735" s="7">
        <f>'1 datos preparados'!I728</f>
        <v/>
      </c>
      <c r="K735" s="7">
        <f>'1 datos preparados'!J728</f>
        <v/>
      </c>
      <c r="L735" s="7">
        <f>'1 datos preparados'!K728</f>
        <v/>
      </c>
      <c r="M735" s="7">
        <f>'1 datos preparados'!L728</f>
        <v/>
      </c>
      <c r="N735" s="7">
        <f>'1 datos preparados'!M728</f>
        <v/>
      </c>
      <c r="O735" s="7">
        <f>'1 datos preparados'!N728</f>
        <v/>
      </c>
      <c r="P735" s="7">
        <f>'1 datos preparados'!O728</f>
        <v/>
      </c>
      <c r="Q735" s="7">
        <f>'1 datos preparados'!P728</f>
        <v/>
      </c>
      <c r="R735" s="7">
        <f>'1 datos preparados'!Q728</f>
        <v/>
      </c>
      <c r="S735" s="7">
        <f>'1 datos preparados'!R728</f>
        <v/>
      </c>
      <c r="T735" s="7">
        <f>'1 datos preparados'!S728</f>
        <v/>
      </c>
      <c r="U735" s="7">
        <f>'1 datos preparados'!T728</f>
        <v/>
      </c>
      <c r="V735" s="8">
        <f>$AC$12+D735*$AC$13+E735*$AC$14+F735*$AC$15+G735*$AC$16+H735*$AC$17+I735*$AC$18+J735*$AC$19+K735*$AC$20+L735*$AC$21+M735*$AC$22+N735*$AC$23+O735*$AC$24+P735*$AC$25+Q735*$AC$26+R735*$AC$27+S735*$AC$28+T735*$AC$29+U735*$AC$30</f>
        <v/>
      </c>
      <c r="W735" s="8">
        <f>1/(1+EXP(-V735))</f>
        <v/>
      </c>
      <c r="X735" s="9">
        <f>-IF(C735=1,LN(W735),LN(1-W735))</f>
        <v/>
      </c>
      <c r="Y735" s="10">
        <f>IF(W735&gt;$AC$33,1,0)</f>
        <v/>
      </c>
      <c r="Z735">
        <f>IF(Y735=C735,1,0)</f>
        <v/>
      </c>
    </row>
    <row r="736">
      <c r="A736">
        <f>'1 datos preparados'!A729</f>
        <v/>
      </c>
      <c r="B736" s="5">
        <f>'1 datos preparados'!U729</f>
        <v/>
      </c>
      <c r="C736">
        <f>'1 datos preparados'!B729</f>
        <v/>
      </c>
      <c r="D736" s="7">
        <f>'1 datos preparados'!C729</f>
        <v/>
      </c>
      <c r="E736" s="7">
        <f>'1 datos preparados'!D729</f>
        <v/>
      </c>
      <c r="F736" s="7">
        <f>'1 datos preparados'!E729</f>
        <v/>
      </c>
      <c r="G736" s="7">
        <f>'1 datos preparados'!F729</f>
        <v/>
      </c>
      <c r="H736" s="7">
        <f>'1 datos preparados'!G729</f>
        <v/>
      </c>
      <c r="I736" s="7">
        <f>'1 datos preparados'!H729</f>
        <v/>
      </c>
      <c r="J736" s="7">
        <f>'1 datos preparados'!I729</f>
        <v/>
      </c>
      <c r="K736" s="7">
        <f>'1 datos preparados'!J729</f>
        <v/>
      </c>
      <c r="L736" s="7">
        <f>'1 datos preparados'!K729</f>
        <v/>
      </c>
      <c r="M736" s="7">
        <f>'1 datos preparados'!L729</f>
        <v/>
      </c>
      <c r="N736" s="7">
        <f>'1 datos preparados'!M729</f>
        <v/>
      </c>
      <c r="O736" s="7">
        <f>'1 datos preparados'!N729</f>
        <v/>
      </c>
      <c r="P736" s="7">
        <f>'1 datos preparados'!O729</f>
        <v/>
      </c>
      <c r="Q736" s="7">
        <f>'1 datos preparados'!P729</f>
        <v/>
      </c>
      <c r="R736" s="7">
        <f>'1 datos preparados'!Q729</f>
        <v/>
      </c>
      <c r="S736" s="7">
        <f>'1 datos preparados'!R729</f>
        <v/>
      </c>
      <c r="T736" s="7">
        <f>'1 datos preparados'!S729</f>
        <v/>
      </c>
      <c r="U736" s="7">
        <f>'1 datos preparados'!T729</f>
        <v/>
      </c>
      <c r="V736" s="8">
        <f>$AC$12+D736*$AC$13+E736*$AC$14+F736*$AC$15+G736*$AC$16+H736*$AC$17+I736*$AC$18+J736*$AC$19+K736*$AC$20+L736*$AC$21+M736*$AC$22+N736*$AC$23+O736*$AC$24+P736*$AC$25+Q736*$AC$26+R736*$AC$27+S736*$AC$28+T736*$AC$29+U736*$AC$30</f>
        <v/>
      </c>
      <c r="W736" s="8">
        <f>1/(1+EXP(-V736))</f>
        <v/>
      </c>
      <c r="X736" s="9">
        <f>-IF(C736=1,LN(W736),LN(1-W736))</f>
        <v/>
      </c>
      <c r="Y736" s="10">
        <f>IF(W736&gt;$AC$33,1,0)</f>
        <v/>
      </c>
      <c r="Z736">
        <f>IF(Y736=C736,1,0)</f>
        <v/>
      </c>
    </row>
    <row r="737">
      <c r="A737">
        <f>'1 datos preparados'!A730</f>
        <v/>
      </c>
      <c r="B737" s="5">
        <f>'1 datos preparados'!U730</f>
        <v/>
      </c>
      <c r="C737">
        <f>'1 datos preparados'!B730</f>
        <v/>
      </c>
      <c r="D737" s="7">
        <f>'1 datos preparados'!C730</f>
        <v/>
      </c>
      <c r="E737" s="7">
        <f>'1 datos preparados'!D730</f>
        <v/>
      </c>
      <c r="F737" s="7">
        <f>'1 datos preparados'!E730</f>
        <v/>
      </c>
      <c r="G737" s="7">
        <f>'1 datos preparados'!F730</f>
        <v/>
      </c>
      <c r="H737" s="7">
        <f>'1 datos preparados'!G730</f>
        <v/>
      </c>
      <c r="I737" s="7">
        <f>'1 datos preparados'!H730</f>
        <v/>
      </c>
      <c r="J737" s="7">
        <f>'1 datos preparados'!I730</f>
        <v/>
      </c>
      <c r="K737" s="7">
        <f>'1 datos preparados'!J730</f>
        <v/>
      </c>
      <c r="L737" s="7">
        <f>'1 datos preparados'!K730</f>
        <v/>
      </c>
      <c r="M737" s="7">
        <f>'1 datos preparados'!L730</f>
        <v/>
      </c>
      <c r="N737" s="7">
        <f>'1 datos preparados'!M730</f>
        <v/>
      </c>
      <c r="O737" s="7">
        <f>'1 datos preparados'!N730</f>
        <v/>
      </c>
      <c r="P737" s="7">
        <f>'1 datos preparados'!O730</f>
        <v/>
      </c>
      <c r="Q737" s="7">
        <f>'1 datos preparados'!P730</f>
        <v/>
      </c>
      <c r="R737" s="7">
        <f>'1 datos preparados'!Q730</f>
        <v/>
      </c>
      <c r="S737" s="7">
        <f>'1 datos preparados'!R730</f>
        <v/>
      </c>
      <c r="T737" s="7">
        <f>'1 datos preparados'!S730</f>
        <v/>
      </c>
      <c r="U737" s="7">
        <f>'1 datos preparados'!T730</f>
        <v/>
      </c>
      <c r="V737" s="8">
        <f>$AC$12+D737*$AC$13+E737*$AC$14+F737*$AC$15+G737*$AC$16+H737*$AC$17+I737*$AC$18+J737*$AC$19+K737*$AC$20+L737*$AC$21+M737*$AC$22+N737*$AC$23+O737*$AC$24+P737*$AC$25+Q737*$AC$26+R737*$AC$27+S737*$AC$28+T737*$AC$29+U737*$AC$30</f>
        <v/>
      </c>
      <c r="W737" s="8">
        <f>1/(1+EXP(-V737))</f>
        <v/>
      </c>
      <c r="X737" s="9">
        <f>-IF(C737=1,LN(W737),LN(1-W737))</f>
        <v/>
      </c>
      <c r="Y737" s="10">
        <f>IF(W737&gt;$AC$33,1,0)</f>
        <v/>
      </c>
      <c r="Z737">
        <f>IF(Y737=C737,1,0)</f>
        <v/>
      </c>
    </row>
    <row r="738">
      <c r="A738">
        <f>'1 datos preparados'!A731</f>
        <v/>
      </c>
      <c r="B738" s="5">
        <f>'1 datos preparados'!U731</f>
        <v/>
      </c>
      <c r="C738">
        <f>'1 datos preparados'!B731</f>
        <v/>
      </c>
      <c r="D738" s="7">
        <f>'1 datos preparados'!C731</f>
        <v/>
      </c>
      <c r="E738" s="7">
        <f>'1 datos preparados'!D731</f>
        <v/>
      </c>
      <c r="F738" s="7">
        <f>'1 datos preparados'!E731</f>
        <v/>
      </c>
      <c r="G738" s="7">
        <f>'1 datos preparados'!F731</f>
        <v/>
      </c>
      <c r="H738" s="7">
        <f>'1 datos preparados'!G731</f>
        <v/>
      </c>
      <c r="I738" s="7">
        <f>'1 datos preparados'!H731</f>
        <v/>
      </c>
      <c r="J738" s="7">
        <f>'1 datos preparados'!I731</f>
        <v/>
      </c>
      <c r="K738" s="7">
        <f>'1 datos preparados'!J731</f>
        <v/>
      </c>
      <c r="L738" s="7">
        <f>'1 datos preparados'!K731</f>
        <v/>
      </c>
      <c r="M738" s="7">
        <f>'1 datos preparados'!L731</f>
        <v/>
      </c>
      <c r="N738" s="7">
        <f>'1 datos preparados'!M731</f>
        <v/>
      </c>
      <c r="O738" s="7">
        <f>'1 datos preparados'!N731</f>
        <v/>
      </c>
      <c r="P738" s="7">
        <f>'1 datos preparados'!O731</f>
        <v/>
      </c>
      <c r="Q738" s="7">
        <f>'1 datos preparados'!P731</f>
        <v/>
      </c>
      <c r="R738" s="7">
        <f>'1 datos preparados'!Q731</f>
        <v/>
      </c>
      <c r="S738" s="7">
        <f>'1 datos preparados'!R731</f>
        <v/>
      </c>
      <c r="T738" s="7">
        <f>'1 datos preparados'!S731</f>
        <v/>
      </c>
      <c r="U738" s="7">
        <f>'1 datos preparados'!T731</f>
        <v/>
      </c>
      <c r="V738" s="8">
        <f>$AC$12+D738*$AC$13+E738*$AC$14+F738*$AC$15+G738*$AC$16+H738*$AC$17+I738*$AC$18+J738*$AC$19+K738*$AC$20+L738*$AC$21+M738*$AC$22+N738*$AC$23+O738*$AC$24+P738*$AC$25+Q738*$AC$26+R738*$AC$27+S738*$AC$28+T738*$AC$29+U738*$AC$30</f>
        <v/>
      </c>
      <c r="W738" s="8">
        <f>1/(1+EXP(-V738))</f>
        <v/>
      </c>
      <c r="X738" s="9">
        <f>-IF(C738=1,LN(W738),LN(1-W738))</f>
        <v/>
      </c>
      <c r="Y738" s="10">
        <f>IF(W738&gt;$AC$33,1,0)</f>
        <v/>
      </c>
      <c r="Z738">
        <f>IF(Y738=C738,1,0)</f>
        <v/>
      </c>
    </row>
    <row r="739">
      <c r="A739">
        <f>'1 datos preparados'!A732</f>
        <v/>
      </c>
      <c r="B739" s="5">
        <f>'1 datos preparados'!U732</f>
        <v/>
      </c>
      <c r="C739">
        <f>'1 datos preparados'!B732</f>
        <v/>
      </c>
      <c r="D739" s="7">
        <f>'1 datos preparados'!C732</f>
        <v/>
      </c>
      <c r="E739" s="7">
        <f>'1 datos preparados'!D732</f>
        <v/>
      </c>
      <c r="F739" s="7">
        <f>'1 datos preparados'!E732</f>
        <v/>
      </c>
      <c r="G739" s="7">
        <f>'1 datos preparados'!F732</f>
        <v/>
      </c>
      <c r="H739" s="7">
        <f>'1 datos preparados'!G732</f>
        <v/>
      </c>
      <c r="I739" s="7">
        <f>'1 datos preparados'!H732</f>
        <v/>
      </c>
      <c r="J739" s="7">
        <f>'1 datos preparados'!I732</f>
        <v/>
      </c>
      <c r="K739" s="7">
        <f>'1 datos preparados'!J732</f>
        <v/>
      </c>
      <c r="L739" s="7">
        <f>'1 datos preparados'!K732</f>
        <v/>
      </c>
      <c r="M739" s="7">
        <f>'1 datos preparados'!L732</f>
        <v/>
      </c>
      <c r="N739" s="7">
        <f>'1 datos preparados'!M732</f>
        <v/>
      </c>
      <c r="O739" s="7">
        <f>'1 datos preparados'!N732</f>
        <v/>
      </c>
      <c r="P739" s="7">
        <f>'1 datos preparados'!O732</f>
        <v/>
      </c>
      <c r="Q739" s="7">
        <f>'1 datos preparados'!P732</f>
        <v/>
      </c>
      <c r="R739" s="7">
        <f>'1 datos preparados'!Q732</f>
        <v/>
      </c>
      <c r="S739" s="7">
        <f>'1 datos preparados'!R732</f>
        <v/>
      </c>
      <c r="T739" s="7">
        <f>'1 datos preparados'!S732</f>
        <v/>
      </c>
      <c r="U739" s="7">
        <f>'1 datos preparados'!T732</f>
        <v/>
      </c>
      <c r="V739" s="8">
        <f>$AC$12+D739*$AC$13+E739*$AC$14+F739*$AC$15+G739*$AC$16+H739*$AC$17+I739*$AC$18+J739*$AC$19+K739*$AC$20+L739*$AC$21+M739*$AC$22+N739*$AC$23+O739*$AC$24+P739*$AC$25+Q739*$AC$26+R739*$AC$27+S739*$AC$28+T739*$AC$29+U739*$AC$30</f>
        <v/>
      </c>
      <c r="W739" s="8">
        <f>1/(1+EXP(-V739))</f>
        <v/>
      </c>
      <c r="X739" s="9">
        <f>-IF(C739=1,LN(W739),LN(1-W739))</f>
        <v/>
      </c>
      <c r="Y739" s="10">
        <f>IF(W739&gt;$AC$33,1,0)</f>
        <v/>
      </c>
      <c r="Z739">
        <f>IF(Y739=C739,1,0)</f>
        <v/>
      </c>
    </row>
    <row r="740">
      <c r="A740">
        <f>'1 datos preparados'!A733</f>
        <v/>
      </c>
      <c r="B740" s="5">
        <f>'1 datos preparados'!U733</f>
        <v/>
      </c>
      <c r="C740">
        <f>'1 datos preparados'!B733</f>
        <v/>
      </c>
      <c r="D740" s="7">
        <f>'1 datos preparados'!C733</f>
        <v/>
      </c>
      <c r="E740" s="7">
        <f>'1 datos preparados'!D733</f>
        <v/>
      </c>
      <c r="F740" s="7">
        <f>'1 datos preparados'!E733</f>
        <v/>
      </c>
      <c r="G740" s="7">
        <f>'1 datos preparados'!F733</f>
        <v/>
      </c>
      <c r="H740" s="7">
        <f>'1 datos preparados'!G733</f>
        <v/>
      </c>
      <c r="I740" s="7">
        <f>'1 datos preparados'!H733</f>
        <v/>
      </c>
      <c r="J740" s="7">
        <f>'1 datos preparados'!I733</f>
        <v/>
      </c>
      <c r="K740" s="7">
        <f>'1 datos preparados'!J733</f>
        <v/>
      </c>
      <c r="L740" s="7">
        <f>'1 datos preparados'!K733</f>
        <v/>
      </c>
      <c r="M740" s="7">
        <f>'1 datos preparados'!L733</f>
        <v/>
      </c>
      <c r="N740" s="7">
        <f>'1 datos preparados'!M733</f>
        <v/>
      </c>
      <c r="O740" s="7">
        <f>'1 datos preparados'!N733</f>
        <v/>
      </c>
      <c r="P740" s="7">
        <f>'1 datos preparados'!O733</f>
        <v/>
      </c>
      <c r="Q740" s="7">
        <f>'1 datos preparados'!P733</f>
        <v/>
      </c>
      <c r="R740" s="7">
        <f>'1 datos preparados'!Q733</f>
        <v/>
      </c>
      <c r="S740" s="7">
        <f>'1 datos preparados'!R733</f>
        <v/>
      </c>
      <c r="T740" s="7">
        <f>'1 datos preparados'!S733</f>
        <v/>
      </c>
      <c r="U740" s="7">
        <f>'1 datos preparados'!T733</f>
        <v/>
      </c>
      <c r="V740" s="8">
        <f>$AC$12+D740*$AC$13+E740*$AC$14+F740*$AC$15+G740*$AC$16+H740*$AC$17+I740*$AC$18+J740*$AC$19+K740*$AC$20+L740*$AC$21+M740*$AC$22+N740*$AC$23+O740*$AC$24+P740*$AC$25+Q740*$AC$26+R740*$AC$27+S740*$AC$28+T740*$AC$29+U740*$AC$30</f>
        <v/>
      </c>
      <c r="W740" s="8">
        <f>1/(1+EXP(-V740))</f>
        <v/>
      </c>
      <c r="X740" s="9">
        <f>-IF(C740=1,LN(W740),LN(1-W740))</f>
        <v/>
      </c>
      <c r="Y740" s="10">
        <f>IF(W740&gt;$AC$33,1,0)</f>
        <v/>
      </c>
      <c r="Z740">
        <f>IF(Y740=C740,1,0)</f>
        <v/>
      </c>
    </row>
    <row r="741">
      <c r="A741">
        <f>'1 datos preparados'!A734</f>
        <v/>
      </c>
      <c r="B741" s="5">
        <f>'1 datos preparados'!U734</f>
        <v/>
      </c>
      <c r="C741">
        <f>'1 datos preparados'!B734</f>
        <v/>
      </c>
      <c r="D741" s="7">
        <f>'1 datos preparados'!C734</f>
        <v/>
      </c>
      <c r="E741" s="7">
        <f>'1 datos preparados'!D734</f>
        <v/>
      </c>
      <c r="F741" s="7">
        <f>'1 datos preparados'!E734</f>
        <v/>
      </c>
      <c r="G741" s="7">
        <f>'1 datos preparados'!F734</f>
        <v/>
      </c>
      <c r="H741" s="7">
        <f>'1 datos preparados'!G734</f>
        <v/>
      </c>
      <c r="I741" s="7">
        <f>'1 datos preparados'!H734</f>
        <v/>
      </c>
      <c r="J741" s="7">
        <f>'1 datos preparados'!I734</f>
        <v/>
      </c>
      <c r="K741" s="7">
        <f>'1 datos preparados'!J734</f>
        <v/>
      </c>
      <c r="L741" s="7">
        <f>'1 datos preparados'!K734</f>
        <v/>
      </c>
      <c r="M741" s="7">
        <f>'1 datos preparados'!L734</f>
        <v/>
      </c>
      <c r="N741" s="7">
        <f>'1 datos preparados'!M734</f>
        <v/>
      </c>
      <c r="O741" s="7">
        <f>'1 datos preparados'!N734</f>
        <v/>
      </c>
      <c r="P741" s="7">
        <f>'1 datos preparados'!O734</f>
        <v/>
      </c>
      <c r="Q741" s="7">
        <f>'1 datos preparados'!P734</f>
        <v/>
      </c>
      <c r="R741" s="7">
        <f>'1 datos preparados'!Q734</f>
        <v/>
      </c>
      <c r="S741" s="7">
        <f>'1 datos preparados'!R734</f>
        <v/>
      </c>
      <c r="T741" s="7">
        <f>'1 datos preparados'!S734</f>
        <v/>
      </c>
      <c r="U741" s="7">
        <f>'1 datos preparados'!T734</f>
        <v/>
      </c>
      <c r="V741" s="8">
        <f>$AC$12+D741*$AC$13+E741*$AC$14+F741*$AC$15+G741*$AC$16+H741*$AC$17+I741*$AC$18+J741*$AC$19+K741*$AC$20+L741*$AC$21+M741*$AC$22+N741*$AC$23+O741*$AC$24+P741*$AC$25+Q741*$AC$26+R741*$AC$27+S741*$AC$28+T741*$AC$29+U741*$AC$30</f>
        <v/>
      </c>
      <c r="W741" s="8">
        <f>1/(1+EXP(-V741))</f>
        <v/>
      </c>
      <c r="X741" s="9">
        <f>-IF(C741=1,LN(W741),LN(1-W741))</f>
        <v/>
      </c>
      <c r="Y741" s="10">
        <f>IF(W741&gt;$AC$33,1,0)</f>
        <v/>
      </c>
      <c r="Z741">
        <f>IF(Y741=C741,1,0)</f>
        <v/>
      </c>
    </row>
    <row r="742">
      <c r="A742">
        <f>'1 datos preparados'!A735</f>
        <v/>
      </c>
      <c r="B742" s="5">
        <f>'1 datos preparados'!U735</f>
        <v/>
      </c>
      <c r="C742">
        <f>'1 datos preparados'!B735</f>
        <v/>
      </c>
      <c r="D742" s="7">
        <f>'1 datos preparados'!C735</f>
        <v/>
      </c>
      <c r="E742" s="7">
        <f>'1 datos preparados'!D735</f>
        <v/>
      </c>
      <c r="F742" s="7">
        <f>'1 datos preparados'!E735</f>
        <v/>
      </c>
      <c r="G742" s="7">
        <f>'1 datos preparados'!F735</f>
        <v/>
      </c>
      <c r="H742" s="7">
        <f>'1 datos preparados'!G735</f>
        <v/>
      </c>
      <c r="I742" s="7">
        <f>'1 datos preparados'!H735</f>
        <v/>
      </c>
      <c r="J742" s="7">
        <f>'1 datos preparados'!I735</f>
        <v/>
      </c>
      <c r="K742" s="7">
        <f>'1 datos preparados'!J735</f>
        <v/>
      </c>
      <c r="L742" s="7">
        <f>'1 datos preparados'!K735</f>
        <v/>
      </c>
      <c r="M742" s="7">
        <f>'1 datos preparados'!L735</f>
        <v/>
      </c>
      <c r="N742" s="7">
        <f>'1 datos preparados'!M735</f>
        <v/>
      </c>
      <c r="O742" s="7">
        <f>'1 datos preparados'!N735</f>
        <v/>
      </c>
      <c r="P742" s="7">
        <f>'1 datos preparados'!O735</f>
        <v/>
      </c>
      <c r="Q742" s="7">
        <f>'1 datos preparados'!P735</f>
        <v/>
      </c>
      <c r="R742" s="7">
        <f>'1 datos preparados'!Q735</f>
        <v/>
      </c>
      <c r="S742" s="7">
        <f>'1 datos preparados'!R735</f>
        <v/>
      </c>
      <c r="T742" s="7">
        <f>'1 datos preparados'!S735</f>
        <v/>
      </c>
      <c r="U742" s="7">
        <f>'1 datos preparados'!T735</f>
        <v/>
      </c>
      <c r="V742" s="8">
        <f>$AC$12+D742*$AC$13+E742*$AC$14+F742*$AC$15+G742*$AC$16+H742*$AC$17+I742*$AC$18+J742*$AC$19+K742*$AC$20+L742*$AC$21+M742*$AC$22+N742*$AC$23+O742*$AC$24+P742*$AC$25+Q742*$AC$26+R742*$AC$27+S742*$AC$28+T742*$AC$29+U742*$AC$30</f>
        <v/>
      </c>
      <c r="W742" s="8">
        <f>1/(1+EXP(-V742))</f>
        <v/>
      </c>
      <c r="X742" s="9">
        <f>-IF(C742=1,LN(W742),LN(1-W742))</f>
        <v/>
      </c>
      <c r="Y742" s="10">
        <f>IF(W742&gt;$AC$33,1,0)</f>
        <v/>
      </c>
      <c r="Z742">
        <f>IF(Y742=C742,1,0)</f>
        <v/>
      </c>
    </row>
    <row r="743">
      <c r="A743">
        <f>'1 datos preparados'!A736</f>
        <v/>
      </c>
      <c r="B743" s="5">
        <f>'1 datos preparados'!U736</f>
        <v/>
      </c>
      <c r="C743">
        <f>'1 datos preparados'!B736</f>
        <v/>
      </c>
      <c r="D743" s="7">
        <f>'1 datos preparados'!C736</f>
        <v/>
      </c>
      <c r="E743" s="7">
        <f>'1 datos preparados'!D736</f>
        <v/>
      </c>
      <c r="F743" s="7">
        <f>'1 datos preparados'!E736</f>
        <v/>
      </c>
      <c r="G743" s="7">
        <f>'1 datos preparados'!F736</f>
        <v/>
      </c>
      <c r="H743" s="7">
        <f>'1 datos preparados'!G736</f>
        <v/>
      </c>
      <c r="I743" s="7">
        <f>'1 datos preparados'!H736</f>
        <v/>
      </c>
      <c r="J743" s="7">
        <f>'1 datos preparados'!I736</f>
        <v/>
      </c>
      <c r="K743" s="7">
        <f>'1 datos preparados'!J736</f>
        <v/>
      </c>
      <c r="L743" s="7">
        <f>'1 datos preparados'!K736</f>
        <v/>
      </c>
      <c r="M743" s="7">
        <f>'1 datos preparados'!L736</f>
        <v/>
      </c>
      <c r="N743" s="7">
        <f>'1 datos preparados'!M736</f>
        <v/>
      </c>
      <c r="O743" s="7">
        <f>'1 datos preparados'!N736</f>
        <v/>
      </c>
      <c r="P743" s="7">
        <f>'1 datos preparados'!O736</f>
        <v/>
      </c>
      <c r="Q743" s="7">
        <f>'1 datos preparados'!P736</f>
        <v/>
      </c>
      <c r="R743" s="7">
        <f>'1 datos preparados'!Q736</f>
        <v/>
      </c>
      <c r="S743" s="7">
        <f>'1 datos preparados'!R736</f>
        <v/>
      </c>
      <c r="T743" s="7">
        <f>'1 datos preparados'!S736</f>
        <v/>
      </c>
      <c r="U743" s="7">
        <f>'1 datos preparados'!T736</f>
        <v/>
      </c>
      <c r="V743" s="8">
        <f>$AC$12+D743*$AC$13+E743*$AC$14+F743*$AC$15+G743*$AC$16+H743*$AC$17+I743*$AC$18+J743*$AC$19+K743*$AC$20+L743*$AC$21+M743*$AC$22+N743*$AC$23+O743*$AC$24+P743*$AC$25+Q743*$AC$26+R743*$AC$27+S743*$AC$28+T743*$AC$29+U743*$AC$30</f>
        <v/>
      </c>
      <c r="W743" s="8">
        <f>1/(1+EXP(-V743))</f>
        <v/>
      </c>
      <c r="X743" s="9">
        <f>-IF(C743=1,LN(W743),LN(1-W743))</f>
        <v/>
      </c>
      <c r="Y743" s="10">
        <f>IF(W743&gt;$AC$33,1,0)</f>
        <v/>
      </c>
      <c r="Z743">
        <f>IF(Y743=C743,1,0)</f>
        <v/>
      </c>
    </row>
    <row r="744">
      <c r="A744">
        <f>'1 datos preparados'!A737</f>
        <v/>
      </c>
      <c r="B744" s="5">
        <f>'1 datos preparados'!U737</f>
        <v/>
      </c>
      <c r="C744">
        <f>'1 datos preparados'!B737</f>
        <v/>
      </c>
      <c r="D744" s="7">
        <f>'1 datos preparados'!C737</f>
        <v/>
      </c>
      <c r="E744" s="7">
        <f>'1 datos preparados'!D737</f>
        <v/>
      </c>
      <c r="F744" s="7">
        <f>'1 datos preparados'!E737</f>
        <v/>
      </c>
      <c r="G744" s="7">
        <f>'1 datos preparados'!F737</f>
        <v/>
      </c>
      <c r="H744" s="7">
        <f>'1 datos preparados'!G737</f>
        <v/>
      </c>
      <c r="I744" s="7">
        <f>'1 datos preparados'!H737</f>
        <v/>
      </c>
      <c r="J744" s="7">
        <f>'1 datos preparados'!I737</f>
        <v/>
      </c>
      <c r="K744" s="7">
        <f>'1 datos preparados'!J737</f>
        <v/>
      </c>
      <c r="L744" s="7">
        <f>'1 datos preparados'!K737</f>
        <v/>
      </c>
      <c r="M744" s="7">
        <f>'1 datos preparados'!L737</f>
        <v/>
      </c>
      <c r="N744" s="7">
        <f>'1 datos preparados'!M737</f>
        <v/>
      </c>
      <c r="O744" s="7">
        <f>'1 datos preparados'!N737</f>
        <v/>
      </c>
      <c r="P744" s="7">
        <f>'1 datos preparados'!O737</f>
        <v/>
      </c>
      <c r="Q744" s="7">
        <f>'1 datos preparados'!P737</f>
        <v/>
      </c>
      <c r="R744" s="7">
        <f>'1 datos preparados'!Q737</f>
        <v/>
      </c>
      <c r="S744" s="7">
        <f>'1 datos preparados'!R737</f>
        <v/>
      </c>
      <c r="T744" s="7">
        <f>'1 datos preparados'!S737</f>
        <v/>
      </c>
      <c r="U744" s="7">
        <f>'1 datos preparados'!T737</f>
        <v/>
      </c>
      <c r="V744" s="8">
        <f>$AC$12+D744*$AC$13+E744*$AC$14+F744*$AC$15+G744*$AC$16+H744*$AC$17+I744*$AC$18+J744*$AC$19+K744*$AC$20+L744*$AC$21+M744*$AC$22+N744*$AC$23+O744*$AC$24+P744*$AC$25+Q744*$AC$26+R744*$AC$27+S744*$AC$28+T744*$AC$29+U744*$AC$30</f>
        <v/>
      </c>
      <c r="W744" s="8">
        <f>1/(1+EXP(-V744))</f>
        <v/>
      </c>
      <c r="X744" s="9">
        <f>-IF(C744=1,LN(W744),LN(1-W744))</f>
        <v/>
      </c>
      <c r="Y744" s="10">
        <f>IF(W744&gt;$AC$33,1,0)</f>
        <v/>
      </c>
      <c r="Z744">
        <f>IF(Y744=C744,1,0)</f>
        <v/>
      </c>
    </row>
    <row r="745">
      <c r="A745">
        <f>'1 datos preparados'!A738</f>
        <v/>
      </c>
      <c r="B745" s="5">
        <f>'1 datos preparados'!U738</f>
        <v/>
      </c>
      <c r="C745">
        <f>'1 datos preparados'!B738</f>
        <v/>
      </c>
      <c r="D745" s="7">
        <f>'1 datos preparados'!C738</f>
        <v/>
      </c>
      <c r="E745" s="7">
        <f>'1 datos preparados'!D738</f>
        <v/>
      </c>
      <c r="F745" s="7">
        <f>'1 datos preparados'!E738</f>
        <v/>
      </c>
      <c r="G745" s="7">
        <f>'1 datos preparados'!F738</f>
        <v/>
      </c>
      <c r="H745" s="7">
        <f>'1 datos preparados'!G738</f>
        <v/>
      </c>
      <c r="I745" s="7">
        <f>'1 datos preparados'!H738</f>
        <v/>
      </c>
      <c r="J745" s="7">
        <f>'1 datos preparados'!I738</f>
        <v/>
      </c>
      <c r="K745" s="7">
        <f>'1 datos preparados'!J738</f>
        <v/>
      </c>
      <c r="L745" s="7">
        <f>'1 datos preparados'!K738</f>
        <v/>
      </c>
      <c r="M745" s="7">
        <f>'1 datos preparados'!L738</f>
        <v/>
      </c>
      <c r="N745" s="7">
        <f>'1 datos preparados'!M738</f>
        <v/>
      </c>
      <c r="O745" s="7">
        <f>'1 datos preparados'!N738</f>
        <v/>
      </c>
      <c r="P745" s="7">
        <f>'1 datos preparados'!O738</f>
        <v/>
      </c>
      <c r="Q745" s="7">
        <f>'1 datos preparados'!P738</f>
        <v/>
      </c>
      <c r="R745" s="7">
        <f>'1 datos preparados'!Q738</f>
        <v/>
      </c>
      <c r="S745" s="7">
        <f>'1 datos preparados'!R738</f>
        <v/>
      </c>
      <c r="T745" s="7">
        <f>'1 datos preparados'!S738</f>
        <v/>
      </c>
      <c r="U745" s="7">
        <f>'1 datos preparados'!T738</f>
        <v/>
      </c>
      <c r="V745" s="8">
        <f>$AC$12+D745*$AC$13+E745*$AC$14+F745*$AC$15+G745*$AC$16+H745*$AC$17+I745*$AC$18+J745*$AC$19+K745*$AC$20+L745*$AC$21+M745*$AC$22+N745*$AC$23+O745*$AC$24+P745*$AC$25+Q745*$AC$26+R745*$AC$27+S745*$AC$28+T745*$AC$29+U745*$AC$30</f>
        <v/>
      </c>
      <c r="W745" s="8">
        <f>1/(1+EXP(-V745))</f>
        <v/>
      </c>
      <c r="X745" s="9">
        <f>-IF(C745=1,LN(W745),LN(1-W745))</f>
        <v/>
      </c>
      <c r="Y745" s="10">
        <f>IF(W745&gt;$AC$33,1,0)</f>
        <v/>
      </c>
      <c r="Z745">
        <f>IF(Y745=C745,1,0)</f>
        <v/>
      </c>
    </row>
    <row r="746">
      <c r="A746">
        <f>'1 datos preparados'!A739</f>
        <v/>
      </c>
      <c r="B746" s="5">
        <f>'1 datos preparados'!U739</f>
        <v/>
      </c>
      <c r="C746">
        <f>'1 datos preparados'!B739</f>
        <v/>
      </c>
      <c r="D746" s="7">
        <f>'1 datos preparados'!C739</f>
        <v/>
      </c>
      <c r="E746" s="7">
        <f>'1 datos preparados'!D739</f>
        <v/>
      </c>
      <c r="F746" s="7">
        <f>'1 datos preparados'!E739</f>
        <v/>
      </c>
      <c r="G746" s="7">
        <f>'1 datos preparados'!F739</f>
        <v/>
      </c>
      <c r="H746" s="7">
        <f>'1 datos preparados'!G739</f>
        <v/>
      </c>
      <c r="I746" s="7">
        <f>'1 datos preparados'!H739</f>
        <v/>
      </c>
      <c r="J746" s="7">
        <f>'1 datos preparados'!I739</f>
        <v/>
      </c>
      <c r="K746" s="7">
        <f>'1 datos preparados'!J739</f>
        <v/>
      </c>
      <c r="L746" s="7">
        <f>'1 datos preparados'!K739</f>
        <v/>
      </c>
      <c r="M746" s="7">
        <f>'1 datos preparados'!L739</f>
        <v/>
      </c>
      <c r="N746" s="7">
        <f>'1 datos preparados'!M739</f>
        <v/>
      </c>
      <c r="O746" s="7">
        <f>'1 datos preparados'!N739</f>
        <v/>
      </c>
      <c r="P746" s="7">
        <f>'1 datos preparados'!O739</f>
        <v/>
      </c>
      <c r="Q746" s="7">
        <f>'1 datos preparados'!P739</f>
        <v/>
      </c>
      <c r="R746" s="7">
        <f>'1 datos preparados'!Q739</f>
        <v/>
      </c>
      <c r="S746" s="7">
        <f>'1 datos preparados'!R739</f>
        <v/>
      </c>
      <c r="T746" s="7">
        <f>'1 datos preparados'!S739</f>
        <v/>
      </c>
      <c r="U746" s="7">
        <f>'1 datos preparados'!T739</f>
        <v/>
      </c>
      <c r="V746" s="8">
        <f>$AC$12+D746*$AC$13+E746*$AC$14+F746*$AC$15+G746*$AC$16+H746*$AC$17+I746*$AC$18+J746*$AC$19+K746*$AC$20+L746*$AC$21+M746*$AC$22+N746*$AC$23+O746*$AC$24+P746*$AC$25+Q746*$AC$26+R746*$AC$27+S746*$AC$28+T746*$AC$29+U746*$AC$30</f>
        <v/>
      </c>
      <c r="W746" s="8">
        <f>1/(1+EXP(-V746))</f>
        <v/>
      </c>
      <c r="X746" s="9">
        <f>-IF(C746=1,LN(W746),LN(1-W746))</f>
        <v/>
      </c>
      <c r="Y746" s="10">
        <f>IF(W746&gt;$AC$33,1,0)</f>
        <v/>
      </c>
      <c r="Z746">
        <f>IF(Y746=C746,1,0)</f>
        <v/>
      </c>
    </row>
    <row r="747">
      <c r="A747">
        <f>'1 datos preparados'!A740</f>
        <v/>
      </c>
      <c r="B747" s="5">
        <f>'1 datos preparados'!U740</f>
        <v/>
      </c>
      <c r="C747">
        <f>'1 datos preparados'!B740</f>
        <v/>
      </c>
      <c r="D747" s="7">
        <f>'1 datos preparados'!C740</f>
        <v/>
      </c>
      <c r="E747" s="7">
        <f>'1 datos preparados'!D740</f>
        <v/>
      </c>
      <c r="F747" s="7">
        <f>'1 datos preparados'!E740</f>
        <v/>
      </c>
      <c r="G747" s="7">
        <f>'1 datos preparados'!F740</f>
        <v/>
      </c>
      <c r="H747" s="7">
        <f>'1 datos preparados'!G740</f>
        <v/>
      </c>
      <c r="I747" s="7">
        <f>'1 datos preparados'!H740</f>
        <v/>
      </c>
      <c r="J747" s="7">
        <f>'1 datos preparados'!I740</f>
        <v/>
      </c>
      <c r="K747" s="7">
        <f>'1 datos preparados'!J740</f>
        <v/>
      </c>
      <c r="L747" s="7">
        <f>'1 datos preparados'!K740</f>
        <v/>
      </c>
      <c r="M747" s="7">
        <f>'1 datos preparados'!L740</f>
        <v/>
      </c>
      <c r="N747" s="7">
        <f>'1 datos preparados'!M740</f>
        <v/>
      </c>
      <c r="O747" s="7">
        <f>'1 datos preparados'!N740</f>
        <v/>
      </c>
      <c r="P747" s="7">
        <f>'1 datos preparados'!O740</f>
        <v/>
      </c>
      <c r="Q747" s="7">
        <f>'1 datos preparados'!P740</f>
        <v/>
      </c>
      <c r="R747" s="7">
        <f>'1 datos preparados'!Q740</f>
        <v/>
      </c>
      <c r="S747" s="7">
        <f>'1 datos preparados'!R740</f>
        <v/>
      </c>
      <c r="T747" s="7">
        <f>'1 datos preparados'!S740</f>
        <v/>
      </c>
      <c r="U747" s="7">
        <f>'1 datos preparados'!T740</f>
        <v/>
      </c>
      <c r="V747" s="8">
        <f>$AC$12+D747*$AC$13+E747*$AC$14+F747*$AC$15+G747*$AC$16+H747*$AC$17+I747*$AC$18+J747*$AC$19+K747*$AC$20+L747*$AC$21+M747*$AC$22+N747*$AC$23+O747*$AC$24+P747*$AC$25+Q747*$AC$26+R747*$AC$27+S747*$AC$28+T747*$AC$29+U747*$AC$30</f>
        <v/>
      </c>
      <c r="W747" s="8">
        <f>1/(1+EXP(-V747))</f>
        <v/>
      </c>
      <c r="X747" s="9">
        <f>-IF(C747=1,LN(W747),LN(1-W747))</f>
        <v/>
      </c>
      <c r="Y747" s="10">
        <f>IF(W747&gt;$AC$33,1,0)</f>
        <v/>
      </c>
      <c r="Z747">
        <f>IF(Y747=C747,1,0)</f>
        <v/>
      </c>
    </row>
    <row r="748">
      <c r="A748">
        <f>'1 datos preparados'!A741</f>
        <v/>
      </c>
      <c r="B748" s="5">
        <f>'1 datos preparados'!U741</f>
        <v/>
      </c>
      <c r="C748">
        <f>'1 datos preparados'!B741</f>
        <v/>
      </c>
      <c r="D748" s="7">
        <f>'1 datos preparados'!C741</f>
        <v/>
      </c>
      <c r="E748" s="7">
        <f>'1 datos preparados'!D741</f>
        <v/>
      </c>
      <c r="F748" s="7">
        <f>'1 datos preparados'!E741</f>
        <v/>
      </c>
      <c r="G748" s="7">
        <f>'1 datos preparados'!F741</f>
        <v/>
      </c>
      <c r="H748" s="7">
        <f>'1 datos preparados'!G741</f>
        <v/>
      </c>
      <c r="I748" s="7">
        <f>'1 datos preparados'!H741</f>
        <v/>
      </c>
      <c r="J748" s="7">
        <f>'1 datos preparados'!I741</f>
        <v/>
      </c>
      <c r="K748" s="7">
        <f>'1 datos preparados'!J741</f>
        <v/>
      </c>
      <c r="L748" s="7">
        <f>'1 datos preparados'!K741</f>
        <v/>
      </c>
      <c r="M748" s="7">
        <f>'1 datos preparados'!L741</f>
        <v/>
      </c>
      <c r="N748" s="7">
        <f>'1 datos preparados'!M741</f>
        <v/>
      </c>
      <c r="O748" s="7">
        <f>'1 datos preparados'!N741</f>
        <v/>
      </c>
      <c r="P748" s="7">
        <f>'1 datos preparados'!O741</f>
        <v/>
      </c>
      <c r="Q748" s="7">
        <f>'1 datos preparados'!P741</f>
        <v/>
      </c>
      <c r="R748" s="7">
        <f>'1 datos preparados'!Q741</f>
        <v/>
      </c>
      <c r="S748" s="7">
        <f>'1 datos preparados'!R741</f>
        <v/>
      </c>
      <c r="T748" s="7">
        <f>'1 datos preparados'!S741</f>
        <v/>
      </c>
      <c r="U748" s="7">
        <f>'1 datos preparados'!T741</f>
        <v/>
      </c>
      <c r="V748" s="8">
        <f>$AC$12+D748*$AC$13+E748*$AC$14+F748*$AC$15+G748*$AC$16+H748*$AC$17+I748*$AC$18+J748*$AC$19+K748*$AC$20+L748*$AC$21+M748*$AC$22+N748*$AC$23+O748*$AC$24+P748*$AC$25+Q748*$AC$26+R748*$AC$27+S748*$AC$28+T748*$AC$29+U748*$AC$30</f>
        <v/>
      </c>
      <c r="W748" s="8">
        <f>1/(1+EXP(-V748))</f>
        <v/>
      </c>
      <c r="X748" s="9">
        <f>-IF(C748=1,LN(W748),LN(1-W748))</f>
        <v/>
      </c>
      <c r="Y748" s="10">
        <f>IF(W748&gt;$AC$33,1,0)</f>
        <v/>
      </c>
      <c r="Z748">
        <f>IF(Y748=C748,1,0)</f>
        <v/>
      </c>
    </row>
    <row r="749">
      <c r="A749">
        <f>'1 datos preparados'!A742</f>
        <v/>
      </c>
      <c r="B749" s="5">
        <f>'1 datos preparados'!U742</f>
        <v/>
      </c>
      <c r="C749">
        <f>'1 datos preparados'!B742</f>
        <v/>
      </c>
      <c r="D749" s="7">
        <f>'1 datos preparados'!C742</f>
        <v/>
      </c>
      <c r="E749" s="7">
        <f>'1 datos preparados'!D742</f>
        <v/>
      </c>
      <c r="F749" s="7">
        <f>'1 datos preparados'!E742</f>
        <v/>
      </c>
      <c r="G749" s="7">
        <f>'1 datos preparados'!F742</f>
        <v/>
      </c>
      <c r="H749" s="7">
        <f>'1 datos preparados'!G742</f>
        <v/>
      </c>
      <c r="I749" s="7">
        <f>'1 datos preparados'!H742</f>
        <v/>
      </c>
      <c r="J749" s="7">
        <f>'1 datos preparados'!I742</f>
        <v/>
      </c>
      <c r="K749" s="7">
        <f>'1 datos preparados'!J742</f>
        <v/>
      </c>
      <c r="L749" s="7">
        <f>'1 datos preparados'!K742</f>
        <v/>
      </c>
      <c r="M749" s="7">
        <f>'1 datos preparados'!L742</f>
        <v/>
      </c>
      <c r="N749" s="7">
        <f>'1 datos preparados'!M742</f>
        <v/>
      </c>
      <c r="O749" s="7">
        <f>'1 datos preparados'!N742</f>
        <v/>
      </c>
      <c r="P749" s="7">
        <f>'1 datos preparados'!O742</f>
        <v/>
      </c>
      <c r="Q749" s="7">
        <f>'1 datos preparados'!P742</f>
        <v/>
      </c>
      <c r="R749" s="7">
        <f>'1 datos preparados'!Q742</f>
        <v/>
      </c>
      <c r="S749" s="7">
        <f>'1 datos preparados'!R742</f>
        <v/>
      </c>
      <c r="T749" s="7">
        <f>'1 datos preparados'!S742</f>
        <v/>
      </c>
      <c r="U749" s="7">
        <f>'1 datos preparados'!T742</f>
        <v/>
      </c>
      <c r="V749" s="8">
        <f>$AC$12+D749*$AC$13+E749*$AC$14+F749*$AC$15+G749*$AC$16+H749*$AC$17+I749*$AC$18+J749*$AC$19+K749*$AC$20+L749*$AC$21+M749*$AC$22+N749*$AC$23+O749*$AC$24+P749*$AC$25+Q749*$AC$26+R749*$AC$27+S749*$AC$28+T749*$AC$29+U749*$AC$30</f>
        <v/>
      </c>
      <c r="W749" s="8">
        <f>1/(1+EXP(-V749))</f>
        <v/>
      </c>
      <c r="X749" s="9">
        <f>-IF(C749=1,LN(W749),LN(1-W749))</f>
        <v/>
      </c>
      <c r="Y749" s="10">
        <f>IF(W749&gt;$AC$33,1,0)</f>
        <v/>
      </c>
      <c r="Z749">
        <f>IF(Y749=C749,1,0)</f>
        <v/>
      </c>
    </row>
    <row r="750">
      <c r="A750">
        <f>'1 datos preparados'!A743</f>
        <v/>
      </c>
      <c r="B750" s="5">
        <f>'1 datos preparados'!U743</f>
        <v/>
      </c>
      <c r="C750">
        <f>'1 datos preparados'!B743</f>
        <v/>
      </c>
      <c r="D750" s="7">
        <f>'1 datos preparados'!C743</f>
        <v/>
      </c>
      <c r="E750" s="7">
        <f>'1 datos preparados'!D743</f>
        <v/>
      </c>
      <c r="F750" s="7">
        <f>'1 datos preparados'!E743</f>
        <v/>
      </c>
      <c r="G750" s="7">
        <f>'1 datos preparados'!F743</f>
        <v/>
      </c>
      <c r="H750" s="7">
        <f>'1 datos preparados'!G743</f>
        <v/>
      </c>
      <c r="I750" s="7">
        <f>'1 datos preparados'!H743</f>
        <v/>
      </c>
      <c r="J750" s="7">
        <f>'1 datos preparados'!I743</f>
        <v/>
      </c>
      <c r="K750" s="7">
        <f>'1 datos preparados'!J743</f>
        <v/>
      </c>
      <c r="L750" s="7">
        <f>'1 datos preparados'!K743</f>
        <v/>
      </c>
      <c r="M750" s="7">
        <f>'1 datos preparados'!L743</f>
        <v/>
      </c>
      <c r="N750" s="7">
        <f>'1 datos preparados'!M743</f>
        <v/>
      </c>
      <c r="O750" s="7">
        <f>'1 datos preparados'!N743</f>
        <v/>
      </c>
      <c r="P750" s="7">
        <f>'1 datos preparados'!O743</f>
        <v/>
      </c>
      <c r="Q750" s="7">
        <f>'1 datos preparados'!P743</f>
        <v/>
      </c>
      <c r="R750" s="7">
        <f>'1 datos preparados'!Q743</f>
        <v/>
      </c>
      <c r="S750" s="7">
        <f>'1 datos preparados'!R743</f>
        <v/>
      </c>
      <c r="T750" s="7">
        <f>'1 datos preparados'!S743</f>
        <v/>
      </c>
      <c r="U750" s="7">
        <f>'1 datos preparados'!T743</f>
        <v/>
      </c>
      <c r="V750" s="8">
        <f>$AC$12+D750*$AC$13+E750*$AC$14+F750*$AC$15+G750*$AC$16+H750*$AC$17+I750*$AC$18+J750*$AC$19+K750*$AC$20+L750*$AC$21+M750*$AC$22+N750*$AC$23+O750*$AC$24+P750*$AC$25+Q750*$AC$26+R750*$AC$27+S750*$AC$28+T750*$AC$29+U750*$AC$30</f>
        <v/>
      </c>
      <c r="W750" s="8">
        <f>1/(1+EXP(-V750))</f>
        <v/>
      </c>
      <c r="X750" s="9">
        <f>-IF(C750=1,LN(W750),LN(1-W750))</f>
        <v/>
      </c>
      <c r="Y750" s="10">
        <f>IF(W750&gt;$AC$33,1,0)</f>
        <v/>
      </c>
      <c r="Z750">
        <f>IF(Y750=C750,1,0)</f>
        <v/>
      </c>
    </row>
    <row r="751">
      <c r="A751">
        <f>'1 datos preparados'!A744</f>
        <v/>
      </c>
      <c r="B751" s="5">
        <f>'1 datos preparados'!U744</f>
        <v/>
      </c>
      <c r="C751">
        <f>'1 datos preparados'!B744</f>
        <v/>
      </c>
      <c r="D751" s="7">
        <f>'1 datos preparados'!C744</f>
        <v/>
      </c>
      <c r="E751" s="7">
        <f>'1 datos preparados'!D744</f>
        <v/>
      </c>
      <c r="F751" s="7">
        <f>'1 datos preparados'!E744</f>
        <v/>
      </c>
      <c r="G751" s="7">
        <f>'1 datos preparados'!F744</f>
        <v/>
      </c>
      <c r="H751" s="7">
        <f>'1 datos preparados'!G744</f>
        <v/>
      </c>
      <c r="I751" s="7">
        <f>'1 datos preparados'!H744</f>
        <v/>
      </c>
      <c r="J751" s="7">
        <f>'1 datos preparados'!I744</f>
        <v/>
      </c>
      <c r="K751" s="7">
        <f>'1 datos preparados'!J744</f>
        <v/>
      </c>
      <c r="L751" s="7">
        <f>'1 datos preparados'!K744</f>
        <v/>
      </c>
      <c r="M751" s="7">
        <f>'1 datos preparados'!L744</f>
        <v/>
      </c>
      <c r="N751" s="7">
        <f>'1 datos preparados'!M744</f>
        <v/>
      </c>
      <c r="O751" s="7">
        <f>'1 datos preparados'!N744</f>
        <v/>
      </c>
      <c r="P751" s="7">
        <f>'1 datos preparados'!O744</f>
        <v/>
      </c>
      <c r="Q751" s="7">
        <f>'1 datos preparados'!P744</f>
        <v/>
      </c>
      <c r="R751" s="7">
        <f>'1 datos preparados'!Q744</f>
        <v/>
      </c>
      <c r="S751" s="7">
        <f>'1 datos preparados'!R744</f>
        <v/>
      </c>
      <c r="T751" s="7">
        <f>'1 datos preparados'!S744</f>
        <v/>
      </c>
      <c r="U751" s="7">
        <f>'1 datos preparados'!T744</f>
        <v/>
      </c>
      <c r="V751" s="8">
        <f>$AC$12+D751*$AC$13+E751*$AC$14+F751*$AC$15+G751*$AC$16+H751*$AC$17+I751*$AC$18+J751*$AC$19+K751*$AC$20+L751*$AC$21+M751*$AC$22+N751*$AC$23+O751*$AC$24+P751*$AC$25+Q751*$AC$26+R751*$AC$27+S751*$AC$28+T751*$AC$29+U751*$AC$30</f>
        <v/>
      </c>
      <c r="W751" s="8">
        <f>1/(1+EXP(-V751))</f>
        <v/>
      </c>
      <c r="X751" s="9">
        <f>-IF(C751=1,LN(W751),LN(1-W751))</f>
        <v/>
      </c>
      <c r="Y751" s="10">
        <f>IF(W751&gt;$AC$33,1,0)</f>
        <v/>
      </c>
      <c r="Z751">
        <f>IF(Y751=C751,1,0)</f>
        <v/>
      </c>
    </row>
    <row r="752">
      <c r="A752">
        <f>'1 datos preparados'!A745</f>
        <v/>
      </c>
      <c r="B752" s="5">
        <f>'1 datos preparados'!U745</f>
        <v/>
      </c>
      <c r="C752">
        <f>'1 datos preparados'!B745</f>
        <v/>
      </c>
      <c r="D752" s="7">
        <f>'1 datos preparados'!C745</f>
        <v/>
      </c>
      <c r="E752" s="7">
        <f>'1 datos preparados'!D745</f>
        <v/>
      </c>
      <c r="F752" s="7">
        <f>'1 datos preparados'!E745</f>
        <v/>
      </c>
      <c r="G752" s="7">
        <f>'1 datos preparados'!F745</f>
        <v/>
      </c>
      <c r="H752" s="7">
        <f>'1 datos preparados'!G745</f>
        <v/>
      </c>
      <c r="I752" s="7">
        <f>'1 datos preparados'!H745</f>
        <v/>
      </c>
      <c r="J752" s="7">
        <f>'1 datos preparados'!I745</f>
        <v/>
      </c>
      <c r="K752" s="7">
        <f>'1 datos preparados'!J745</f>
        <v/>
      </c>
      <c r="L752" s="7">
        <f>'1 datos preparados'!K745</f>
        <v/>
      </c>
      <c r="M752" s="7">
        <f>'1 datos preparados'!L745</f>
        <v/>
      </c>
      <c r="N752" s="7">
        <f>'1 datos preparados'!M745</f>
        <v/>
      </c>
      <c r="O752" s="7">
        <f>'1 datos preparados'!N745</f>
        <v/>
      </c>
      <c r="P752" s="7">
        <f>'1 datos preparados'!O745</f>
        <v/>
      </c>
      <c r="Q752" s="7">
        <f>'1 datos preparados'!P745</f>
        <v/>
      </c>
      <c r="R752" s="7">
        <f>'1 datos preparados'!Q745</f>
        <v/>
      </c>
      <c r="S752" s="7">
        <f>'1 datos preparados'!R745</f>
        <v/>
      </c>
      <c r="T752" s="7">
        <f>'1 datos preparados'!S745</f>
        <v/>
      </c>
      <c r="U752" s="7">
        <f>'1 datos preparados'!T745</f>
        <v/>
      </c>
      <c r="V752" s="8">
        <f>$AC$12+D752*$AC$13+E752*$AC$14+F752*$AC$15+G752*$AC$16+H752*$AC$17+I752*$AC$18+J752*$AC$19+K752*$AC$20+L752*$AC$21+M752*$AC$22+N752*$AC$23+O752*$AC$24+P752*$AC$25+Q752*$AC$26+R752*$AC$27+S752*$AC$28+T752*$AC$29+U752*$AC$30</f>
        <v/>
      </c>
      <c r="W752" s="8">
        <f>1/(1+EXP(-V752))</f>
        <v/>
      </c>
      <c r="X752" s="9">
        <f>-IF(C752=1,LN(W752),LN(1-W752))</f>
        <v/>
      </c>
      <c r="Y752" s="10">
        <f>IF(W752&gt;$AC$33,1,0)</f>
        <v/>
      </c>
      <c r="Z752">
        <f>IF(Y752=C752,1,0)</f>
        <v/>
      </c>
    </row>
    <row r="753">
      <c r="A753">
        <f>'1 datos preparados'!A746</f>
        <v/>
      </c>
      <c r="B753" s="5">
        <f>'1 datos preparados'!U746</f>
        <v/>
      </c>
      <c r="C753">
        <f>'1 datos preparados'!B746</f>
        <v/>
      </c>
      <c r="D753" s="7">
        <f>'1 datos preparados'!C746</f>
        <v/>
      </c>
      <c r="E753" s="7">
        <f>'1 datos preparados'!D746</f>
        <v/>
      </c>
      <c r="F753" s="7">
        <f>'1 datos preparados'!E746</f>
        <v/>
      </c>
      <c r="G753" s="7">
        <f>'1 datos preparados'!F746</f>
        <v/>
      </c>
      <c r="H753" s="7">
        <f>'1 datos preparados'!G746</f>
        <v/>
      </c>
      <c r="I753" s="7">
        <f>'1 datos preparados'!H746</f>
        <v/>
      </c>
      <c r="J753" s="7">
        <f>'1 datos preparados'!I746</f>
        <v/>
      </c>
      <c r="K753" s="7">
        <f>'1 datos preparados'!J746</f>
        <v/>
      </c>
      <c r="L753" s="7">
        <f>'1 datos preparados'!K746</f>
        <v/>
      </c>
      <c r="M753" s="7">
        <f>'1 datos preparados'!L746</f>
        <v/>
      </c>
      <c r="N753" s="7">
        <f>'1 datos preparados'!M746</f>
        <v/>
      </c>
      <c r="O753" s="7">
        <f>'1 datos preparados'!N746</f>
        <v/>
      </c>
      <c r="P753" s="7">
        <f>'1 datos preparados'!O746</f>
        <v/>
      </c>
      <c r="Q753" s="7">
        <f>'1 datos preparados'!P746</f>
        <v/>
      </c>
      <c r="R753" s="7">
        <f>'1 datos preparados'!Q746</f>
        <v/>
      </c>
      <c r="S753" s="7">
        <f>'1 datos preparados'!R746</f>
        <v/>
      </c>
      <c r="T753" s="7">
        <f>'1 datos preparados'!S746</f>
        <v/>
      </c>
      <c r="U753" s="7">
        <f>'1 datos preparados'!T746</f>
        <v/>
      </c>
      <c r="V753" s="8">
        <f>$AC$12+D753*$AC$13+E753*$AC$14+F753*$AC$15+G753*$AC$16+H753*$AC$17+I753*$AC$18+J753*$AC$19+K753*$AC$20+L753*$AC$21+M753*$AC$22+N753*$AC$23+O753*$AC$24+P753*$AC$25+Q753*$AC$26+R753*$AC$27+S753*$AC$28+T753*$AC$29+U753*$AC$30</f>
        <v/>
      </c>
      <c r="W753" s="8">
        <f>1/(1+EXP(-V753))</f>
        <v/>
      </c>
      <c r="X753" s="9">
        <f>-IF(C753=1,LN(W753),LN(1-W753))</f>
        <v/>
      </c>
      <c r="Y753" s="10">
        <f>IF(W753&gt;$AC$33,1,0)</f>
        <v/>
      </c>
      <c r="Z753">
        <f>IF(Y753=C753,1,0)</f>
        <v/>
      </c>
    </row>
    <row r="754">
      <c r="A754">
        <f>'1 datos preparados'!A747</f>
        <v/>
      </c>
      <c r="B754" s="5">
        <f>'1 datos preparados'!U747</f>
        <v/>
      </c>
      <c r="C754">
        <f>'1 datos preparados'!B747</f>
        <v/>
      </c>
      <c r="D754" s="7">
        <f>'1 datos preparados'!C747</f>
        <v/>
      </c>
      <c r="E754" s="7">
        <f>'1 datos preparados'!D747</f>
        <v/>
      </c>
      <c r="F754" s="7">
        <f>'1 datos preparados'!E747</f>
        <v/>
      </c>
      <c r="G754" s="7">
        <f>'1 datos preparados'!F747</f>
        <v/>
      </c>
      <c r="H754" s="7">
        <f>'1 datos preparados'!G747</f>
        <v/>
      </c>
      <c r="I754" s="7">
        <f>'1 datos preparados'!H747</f>
        <v/>
      </c>
      <c r="J754" s="7">
        <f>'1 datos preparados'!I747</f>
        <v/>
      </c>
      <c r="K754" s="7">
        <f>'1 datos preparados'!J747</f>
        <v/>
      </c>
      <c r="L754" s="7">
        <f>'1 datos preparados'!K747</f>
        <v/>
      </c>
      <c r="M754" s="7">
        <f>'1 datos preparados'!L747</f>
        <v/>
      </c>
      <c r="N754" s="7">
        <f>'1 datos preparados'!M747</f>
        <v/>
      </c>
      <c r="O754" s="7">
        <f>'1 datos preparados'!N747</f>
        <v/>
      </c>
      <c r="P754" s="7">
        <f>'1 datos preparados'!O747</f>
        <v/>
      </c>
      <c r="Q754" s="7">
        <f>'1 datos preparados'!P747</f>
        <v/>
      </c>
      <c r="R754" s="7">
        <f>'1 datos preparados'!Q747</f>
        <v/>
      </c>
      <c r="S754" s="7">
        <f>'1 datos preparados'!R747</f>
        <v/>
      </c>
      <c r="T754" s="7">
        <f>'1 datos preparados'!S747</f>
        <v/>
      </c>
      <c r="U754" s="7">
        <f>'1 datos preparados'!T747</f>
        <v/>
      </c>
      <c r="V754" s="8">
        <f>$AC$12+D754*$AC$13+E754*$AC$14+F754*$AC$15+G754*$AC$16+H754*$AC$17+I754*$AC$18+J754*$AC$19+K754*$AC$20+L754*$AC$21+M754*$AC$22+N754*$AC$23+O754*$AC$24+P754*$AC$25+Q754*$AC$26+R754*$AC$27+S754*$AC$28+T754*$AC$29+U754*$AC$30</f>
        <v/>
      </c>
      <c r="W754" s="8">
        <f>1/(1+EXP(-V754))</f>
        <v/>
      </c>
      <c r="X754" s="9">
        <f>-IF(C754=1,LN(W754),LN(1-W754))</f>
        <v/>
      </c>
      <c r="Y754" s="10">
        <f>IF(W754&gt;$AC$33,1,0)</f>
        <v/>
      </c>
      <c r="Z754">
        <f>IF(Y754=C754,1,0)</f>
        <v/>
      </c>
    </row>
    <row r="755">
      <c r="A755">
        <f>'1 datos preparados'!A748</f>
        <v/>
      </c>
      <c r="B755" s="5">
        <f>'1 datos preparados'!U748</f>
        <v/>
      </c>
      <c r="C755">
        <f>'1 datos preparados'!B748</f>
        <v/>
      </c>
      <c r="D755" s="7">
        <f>'1 datos preparados'!C748</f>
        <v/>
      </c>
      <c r="E755" s="7">
        <f>'1 datos preparados'!D748</f>
        <v/>
      </c>
      <c r="F755" s="7">
        <f>'1 datos preparados'!E748</f>
        <v/>
      </c>
      <c r="G755" s="7">
        <f>'1 datos preparados'!F748</f>
        <v/>
      </c>
      <c r="H755" s="7">
        <f>'1 datos preparados'!G748</f>
        <v/>
      </c>
      <c r="I755" s="7">
        <f>'1 datos preparados'!H748</f>
        <v/>
      </c>
      <c r="J755" s="7">
        <f>'1 datos preparados'!I748</f>
        <v/>
      </c>
      <c r="K755" s="7">
        <f>'1 datos preparados'!J748</f>
        <v/>
      </c>
      <c r="L755" s="7">
        <f>'1 datos preparados'!K748</f>
        <v/>
      </c>
      <c r="M755" s="7">
        <f>'1 datos preparados'!L748</f>
        <v/>
      </c>
      <c r="N755" s="7">
        <f>'1 datos preparados'!M748</f>
        <v/>
      </c>
      <c r="O755" s="7">
        <f>'1 datos preparados'!N748</f>
        <v/>
      </c>
      <c r="P755" s="7">
        <f>'1 datos preparados'!O748</f>
        <v/>
      </c>
      <c r="Q755" s="7">
        <f>'1 datos preparados'!P748</f>
        <v/>
      </c>
      <c r="R755" s="7">
        <f>'1 datos preparados'!Q748</f>
        <v/>
      </c>
      <c r="S755" s="7">
        <f>'1 datos preparados'!R748</f>
        <v/>
      </c>
      <c r="T755" s="7">
        <f>'1 datos preparados'!S748</f>
        <v/>
      </c>
      <c r="U755" s="7">
        <f>'1 datos preparados'!T748</f>
        <v/>
      </c>
      <c r="V755" s="8">
        <f>$AC$12+D755*$AC$13+E755*$AC$14+F755*$AC$15+G755*$AC$16+H755*$AC$17+I755*$AC$18+J755*$AC$19+K755*$AC$20+L755*$AC$21+M755*$AC$22+N755*$AC$23+O755*$AC$24+P755*$AC$25+Q755*$AC$26+R755*$AC$27+S755*$AC$28+T755*$AC$29+U755*$AC$30</f>
        <v/>
      </c>
      <c r="W755" s="8">
        <f>1/(1+EXP(-V755))</f>
        <v/>
      </c>
      <c r="X755" s="9">
        <f>-IF(C755=1,LN(W755),LN(1-W755))</f>
        <v/>
      </c>
      <c r="Y755" s="10">
        <f>IF(W755&gt;$AC$33,1,0)</f>
        <v/>
      </c>
      <c r="Z755">
        <f>IF(Y755=C755,1,0)</f>
        <v/>
      </c>
    </row>
    <row r="756">
      <c r="A756">
        <f>'1 datos preparados'!A749</f>
        <v/>
      </c>
      <c r="B756" s="5">
        <f>'1 datos preparados'!U749</f>
        <v/>
      </c>
      <c r="C756">
        <f>'1 datos preparados'!B749</f>
        <v/>
      </c>
      <c r="D756" s="7">
        <f>'1 datos preparados'!C749</f>
        <v/>
      </c>
      <c r="E756" s="7">
        <f>'1 datos preparados'!D749</f>
        <v/>
      </c>
      <c r="F756" s="7">
        <f>'1 datos preparados'!E749</f>
        <v/>
      </c>
      <c r="G756" s="7">
        <f>'1 datos preparados'!F749</f>
        <v/>
      </c>
      <c r="H756" s="7">
        <f>'1 datos preparados'!G749</f>
        <v/>
      </c>
      <c r="I756" s="7">
        <f>'1 datos preparados'!H749</f>
        <v/>
      </c>
      <c r="J756" s="7">
        <f>'1 datos preparados'!I749</f>
        <v/>
      </c>
      <c r="K756" s="7">
        <f>'1 datos preparados'!J749</f>
        <v/>
      </c>
      <c r="L756" s="7">
        <f>'1 datos preparados'!K749</f>
        <v/>
      </c>
      <c r="M756" s="7">
        <f>'1 datos preparados'!L749</f>
        <v/>
      </c>
      <c r="N756" s="7">
        <f>'1 datos preparados'!M749</f>
        <v/>
      </c>
      <c r="O756" s="7">
        <f>'1 datos preparados'!N749</f>
        <v/>
      </c>
      <c r="P756" s="7">
        <f>'1 datos preparados'!O749</f>
        <v/>
      </c>
      <c r="Q756" s="7">
        <f>'1 datos preparados'!P749</f>
        <v/>
      </c>
      <c r="R756" s="7">
        <f>'1 datos preparados'!Q749</f>
        <v/>
      </c>
      <c r="S756" s="7">
        <f>'1 datos preparados'!R749</f>
        <v/>
      </c>
      <c r="T756" s="7">
        <f>'1 datos preparados'!S749</f>
        <v/>
      </c>
      <c r="U756" s="7">
        <f>'1 datos preparados'!T749</f>
        <v/>
      </c>
      <c r="V756" s="8">
        <f>$AC$12+D756*$AC$13+E756*$AC$14+F756*$AC$15+G756*$AC$16+H756*$AC$17+I756*$AC$18+J756*$AC$19+K756*$AC$20+L756*$AC$21+M756*$AC$22+N756*$AC$23+O756*$AC$24+P756*$AC$25+Q756*$AC$26+R756*$AC$27+S756*$AC$28+T756*$AC$29+U756*$AC$30</f>
        <v/>
      </c>
      <c r="W756" s="8">
        <f>1/(1+EXP(-V756))</f>
        <v/>
      </c>
      <c r="X756" s="9">
        <f>-IF(C756=1,LN(W756),LN(1-W756))</f>
        <v/>
      </c>
      <c r="Y756" s="10">
        <f>IF(W756&gt;$AC$33,1,0)</f>
        <v/>
      </c>
      <c r="Z756">
        <f>IF(Y756=C756,1,0)</f>
        <v/>
      </c>
    </row>
    <row r="757">
      <c r="A757">
        <f>'1 datos preparados'!A750</f>
        <v/>
      </c>
      <c r="B757" s="5">
        <f>'1 datos preparados'!U750</f>
        <v/>
      </c>
      <c r="C757">
        <f>'1 datos preparados'!B750</f>
        <v/>
      </c>
      <c r="D757" s="7">
        <f>'1 datos preparados'!C750</f>
        <v/>
      </c>
      <c r="E757" s="7">
        <f>'1 datos preparados'!D750</f>
        <v/>
      </c>
      <c r="F757" s="7">
        <f>'1 datos preparados'!E750</f>
        <v/>
      </c>
      <c r="G757" s="7">
        <f>'1 datos preparados'!F750</f>
        <v/>
      </c>
      <c r="H757" s="7">
        <f>'1 datos preparados'!G750</f>
        <v/>
      </c>
      <c r="I757" s="7">
        <f>'1 datos preparados'!H750</f>
        <v/>
      </c>
      <c r="J757" s="7">
        <f>'1 datos preparados'!I750</f>
        <v/>
      </c>
      <c r="K757" s="7">
        <f>'1 datos preparados'!J750</f>
        <v/>
      </c>
      <c r="L757" s="7">
        <f>'1 datos preparados'!K750</f>
        <v/>
      </c>
      <c r="M757" s="7">
        <f>'1 datos preparados'!L750</f>
        <v/>
      </c>
      <c r="N757" s="7">
        <f>'1 datos preparados'!M750</f>
        <v/>
      </c>
      <c r="O757" s="7">
        <f>'1 datos preparados'!N750</f>
        <v/>
      </c>
      <c r="P757" s="7">
        <f>'1 datos preparados'!O750</f>
        <v/>
      </c>
      <c r="Q757" s="7">
        <f>'1 datos preparados'!P750</f>
        <v/>
      </c>
      <c r="R757" s="7">
        <f>'1 datos preparados'!Q750</f>
        <v/>
      </c>
      <c r="S757" s="7">
        <f>'1 datos preparados'!R750</f>
        <v/>
      </c>
      <c r="T757" s="7">
        <f>'1 datos preparados'!S750</f>
        <v/>
      </c>
      <c r="U757" s="7">
        <f>'1 datos preparados'!T750</f>
        <v/>
      </c>
      <c r="V757" s="8">
        <f>$AC$12+D757*$AC$13+E757*$AC$14+F757*$AC$15+G757*$AC$16+H757*$AC$17+I757*$AC$18+J757*$AC$19+K757*$AC$20+L757*$AC$21+M757*$AC$22+N757*$AC$23+O757*$AC$24+P757*$AC$25+Q757*$AC$26+R757*$AC$27+S757*$AC$28+T757*$AC$29+U757*$AC$30</f>
        <v/>
      </c>
      <c r="W757" s="8">
        <f>1/(1+EXP(-V757))</f>
        <v/>
      </c>
      <c r="X757" s="9">
        <f>-IF(C757=1,LN(W757),LN(1-W757))</f>
        <v/>
      </c>
      <c r="Y757" s="10">
        <f>IF(W757&gt;$AC$33,1,0)</f>
        <v/>
      </c>
      <c r="Z757">
        <f>IF(Y757=C757,1,0)</f>
        <v/>
      </c>
    </row>
    <row r="758">
      <c r="A758">
        <f>'1 datos preparados'!A751</f>
        <v/>
      </c>
      <c r="B758" s="5">
        <f>'1 datos preparados'!U751</f>
        <v/>
      </c>
      <c r="C758">
        <f>'1 datos preparados'!B751</f>
        <v/>
      </c>
      <c r="D758" s="7">
        <f>'1 datos preparados'!C751</f>
        <v/>
      </c>
      <c r="E758" s="7">
        <f>'1 datos preparados'!D751</f>
        <v/>
      </c>
      <c r="F758" s="7">
        <f>'1 datos preparados'!E751</f>
        <v/>
      </c>
      <c r="G758" s="7">
        <f>'1 datos preparados'!F751</f>
        <v/>
      </c>
      <c r="H758" s="7">
        <f>'1 datos preparados'!G751</f>
        <v/>
      </c>
      <c r="I758" s="7">
        <f>'1 datos preparados'!H751</f>
        <v/>
      </c>
      <c r="J758" s="7">
        <f>'1 datos preparados'!I751</f>
        <v/>
      </c>
      <c r="K758" s="7">
        <f>'1 datos preparados'!J751</f>
        <v/>
      </c>
      <c r="L758" s="7">
        <f>'1 datos preparados'!K751</f>
        <v/>
      </c>
      <c r="M758" s="7">
        <f>'1 datos preparados'!L751</f>
        <v/>
      </c>
      <c r="N758" s="7">
        <f>'1 datos preparados'!M751</f>
        <v/>
      </c>
      <c r="O758" s="7">
        <f>'1 datos preparados'!N751</f>
        <v/>
      </c>
      <c r="P758" s="7">
        <f>'1 datos preparados'!O751</f>
        <v/>
      </c>
      <c r="Q758" s="7">
        <f>'1 datos preparados'!P751</f>
        <v/>
      </c>
      <c r="R758" s="7">
        <f>'1 datos preparados'!Q751</f>
        <v/>
      </c>
      <c r="S758" s="7">
        <f>'1 datos preparados'!R751</f>
        <v/>
      </c>
      <c r="T758" s="7">
        <f>'1 datos preparados'!S751</f>
        <v/>
      </c>
      <c r="U758" s="7">
        <f>'1 datos preparados'!T751</f>
        <v/>
      </c>
      <c r="V758" s="8">
        <f>$AC$12+D758*$AC$13+E758*$AC$14+F758*$AC$15+G758*$AC$16+H758*$AC$17+I758*$AC$18+J758*$AC$19+K758*$AC$20+L758*$AC$21+M758*$AC$22+N758*$AC$23+O758*$AC$24+P758*$AC$25+Q758*$AC$26+R758*$AC$27+S758*$AC$28+T758*$AC$29+U758*$AC$30</f>
        <v/>
      </c>
      <c r="W758" s="8">
        <f>1/(1+EXP(-V758))</f>
        <v/>
      </c>
      <c r="X758" s="9">
        <f>-IF(C758=1,LN(W758),LN(1-W758))</f>
        <v/>
      </c>
      <c r="Y758" s="10">
        <f>IF(W758&gt;$AC$33,1,0)</f>
        <v/>
      </c>
      <c r="Z758">
        <f>IF(Y758=C758,1,0)</f>
        <v/>
      </c>
    </row>
    <row r="759">
      <c r="A759">
        <f>'1 datos preparados'!A752</f>
        <v/>
      </c>
      <c r="B759" s="5">
        <f>'1 datos preparados'!U752</f>
        <v/>
      </c>
      <c r="C759">
        <f>'1 datos preparados'!B752</f>
        <v/>
      </c>
      <c r="D759" s="7">
        <f>'1 datos preparados'!C752</f>
        <v/>
      </c>
      <c r="E759" s="7">
        <f>'1 datos preparados'!D752</f>
        <v/>
      </c>
      <c r="F759" s="7">
        <f>'1 datos preparados'!E752</f>
        <v/>
      </c>
      <c r="G759" s="7">
        <f>'1 datos preparados'!F752</f>
        <v/>
      </c>
      <c r="H759" s="7">
        <f>'1 datos preparados'!G752</f>
        <v/>
      </c>
      <c r="I759" s="7">
        <f>'1 datos preparados'!H752</f>
        <v/>
      </c>
      <c r="J759" s="7">
        <f>'1 datos preparados'!I752</f>
        <v/>
      </c>
      <c r="K759" s="7">
        <f>'1 datos preparados'!J752</f>
        <v/>
      </c>
      <c r="L759" s="7">
        <f>'1 datos preparados'!K752</f>
        <v/>
      </c>
      <c r="M759" s="7">
        <f>'1 datos preparados'!L752</f>
        <v/>
      </c>
      <c r="N759" s="7">
        <f>'1 datos preparados'!M752</f>
        <v/>
      </c>
      <c r="O759" s="7">
        <f>'1 datos preparados'!N752</f>
        <v/>
      </c>
      <c r="P759" s="7">
        <f>'1 datos preparados'!O752</f>
        <v/>
      </c>
      <c r="Q759" s="7">
        <f>'1 datos preparados'!P752</f>
        <v/>
      </c>
      <c r="R759" s="7">
        <f>'1 datos preparados'!Q752</f>
        <v/>
      </c>
      <c r="S759" s="7">
        <f>'1 datos preparados'!R752</f>
        <v/>
      </c>
      <c r="T759" s="7">
        <f>'1 datos preparados'!S752</f>
        <v/>
      </c>
      <c r="U759" s="7">
        <f>'1 datos preparados'!T752</f>
        <v/>
      </c>
      <c r="V759" s="8">
        <f>$AC$12+D759*$AC$13+E759*$AC$14+F759*$AC$15+G759*$AC$16+H759*$AC$17+I759*$AC$18+J759*$AC$19+K759*$AC$20+L759*$AC$21+M759*$AC$22+N759*$AC$23+O759*$AC$24+P759*$AC$25+Q759*$AC$26+R759*$AC$27+S759*$AC$28+T759*$AC$29+U759*$AC$30</f>
        <v/>
      </c>
      <c r="W759" s="8">
        <f>1/(1+EXP(-V759))</f>
        <v/>
      </c>
      <c r="X759" s="9">
        <f>-IF(C759=1,LN(W759),LN(1-W759))</f>
        <v/>
      </c>
      <c r="Y759" s="10">
        <f>IF(W759&gt;$AC$33,1,0)</f>
        <v/>
      </c>
      <c r="Z759">
        <f>IF(Y759=C759,1,0)</f>
        <v/>
      </c>
    </row>
    <row r="760">
      <c r="A760">
        <f>'1 datos preparados'!A753</f>
        <v/>
      </c>
      <c r="B760" s="5">
        <f>'1 datos preparados'!U753</f>
        <v/>
      </c>
      <c r="C760">
        <f>'1 datos preparados'!B753</f>
        <v/>
      </c>
      <c r="D760" s="7">
        <f>'1 datos preparados'!C753</f>
        <v/>
      </c>
      <c r="E760" s="7">
        <f>'1 datos preparados'!D753</f>
        <v/>
      </c>
      <c r="F760" s="7">
        <f>'1 datos preparados'!E753</f>
        <v/>
      </c>
      <c r="G760" s="7">
        <f>'1 datos preparados'!F753</f>
        <v/>
      </c>
      <c r="H760" s="7">
        <f>'1 datos preparados'!G753</f>
        <v/>
      </c>
      <c r="I760" s="7">
        <f>'1 datos preparados'!H753</f>
        <v/>
      </c>
      <c r="J760" s="7">
        <f>'1 datos preparados'!I753</f>
        <v/>
      </c>
      <c r="K760" s="7">
        <f>'1 datos preparados'!J753</f>
        <v/>
      </c>
      <c r="L760" s="7">
        <f>'1 datos preparados'!K753</f>
        <v/>
      </c>
      <c r="M760" s="7">
        <f>'1 datos preparados'!L753</f>
        <v/>
      </c>
      <c r="N760" s="7">
        <f>'1 datos preparados'!M753</f>
        <v/>
      </c>
      <c r="O760" s="7">
        <f>'1 datos preparados'!N753</f>
        <v/>
      </c>
      <c r="P760" s="7">
        <f>'1 datos preparados'!O753</f>
        <v/>
      </c>
      <c r="Q760" s="7">
        <f>'1 datos preparados'!P753</f>
        <v/>
      </c>
      <c r="R760" s="7">
        <f>'1 datos preparados'!Q753</f>
        <v/>
      </c>
      <c r="S760" s="7">
        <f>'1 datos preparados'!R753</f>
        <v/>
      </c>
      <c r="T760" s="7">
        <f>'1 datos preparados'!S753</f>
        <v/>
      </c>
      <c r="U760" s="7">
        <f>'1 datos preparados'!T753</f>
        <v/>
      </c>
      <c r="V760" s="8">
        <f>$AC$12+D760*$AC$13+E760*$AC$14+F760*$AC$15+G760*$AC$16+H760*$AC$17+I760*$AC$18+J760*$AC$19+K760*$AC$20+L760*$AC$21+M760*$AC$22+N760*$AC$23+O760*$AC$24+P760*$AC$25+Q760*$AC$26+R760*$AC$27+S760*$AC$28+T760*$AC$29+U760*$AC$30</f>
        <v/>
      </c>
      <c r="W760" s="8">
        <f>1/(1+EXP(-V760))</f>
        <v/>
      </c>
      <c r="X760" s="9">
        <f>-IF(C760=1,LN(W760),LN(1-W760))</f>
        <v/>
      </c>
      <c r="Y760" s="10">
        <f>IF(W760&gt;$AC$33,1,0)</f>
        <v/>
      </c>
      <c r="Z760">
        <f>IF(Y760=C760,1,0)</f>
        <v/>
      </c>
    </row>
    <row r="761">
      <c r="A761">
        <f>'1 datos preparados'!A754</f>
        <v/>
      </c>
      <c r="B761" s="5">
        <f>'1 datos preparados'!U754</f>
        <v/>
      </c>
      <c r="C761">
        <f>'1 datos preparados'!B754</f>
        <v/>
      </c>
      <c r="D761" s="7">
        <f>'1 datos preparados'!C754</f>
        <v/>
      </c>
      <c r="E761" s="7">
        <f>'1 datos preparados'!D754</f>
        <v/>
      </c>
      <c r="F761" s="7">
        <f>'1 datos preparados'!E754</f>
        <v/>
      </c>
      <c r="G761" s="7">
        <f>'1 datos preparados'!F754</f>
        <v/>
      </c>
      <c r="H761" s="7">
        <f>'1 datos preparados'!G754</f>
        <v/>
      </c>
      <c r="I761" s="7">
        <f>'1 datos preparados'!H754</f>
        <v/>
      </c>
      <c r="J761" s="7">
        <f>'1 datos preparados'!I754</f>
        <v/>
      </c>
      <c r="K761" s="7">
        <f>'1 datos preparados'!J754</f>
        <v/>
      </c>
      <c r="L761" s="7">
        <f>'1 datos preparados'!K754</f>
        <v/>
      </c>
      <c r="M761" s="7">
        <f>'1 datos preparados'!L754</f>
        <v/>
      </c>
      <c r="N761" s="7">
        <f>'1 datos preparados'!M754</f>
        <v/>
      </c>
      <c r="O761" s="7">
        <f>'1 datos preparados'!N754</f>
        <v/>
      </c>
      <c r="P761" s="7">
        <f>'1 datos preparados'!O754</f>
        <v/>
      </c>
      <c r="Q761" s="7">
        <f>'1 datos preparados'!P754</f>
        <v/>
      </c>
      <c r="R761" s="7">
        <f>'1 datos preparados'!Q754</f>
        <v/>
      </c>
      <c r="S761" s="7">
        <f>'1 datos preparados'!R754</f>
        <v/>
      </c>
      <c r="T761" s="7">
        <f>'1 datos preparados'!S754</f>
        <v/>
      </c>
      <c r="U761" s="7">
        <f>'1 datos preparados'!T754</f>
        <v/>
      </c>
      <c r="V761" s="8">
        <f>$AC$12+D761*$AC$13+E761*$AC$14+F761*$AC$15+G761*$AC$16+H761*$AC$17+I761*$AC$18+J761*$AC$19+K761*$AC$20+L761*$AC$21+M761*$AC$22+N761*$AC$23+O761*$AC$24+P761*$AC$25+Q761*$AC$26+R761*$AC$27+S761*$AC$28+T761*$AC$29+U761*$AC$30</f>
        <v/>
      </c>
      <c r="W761" s="8">
        <f>1/(1+EXP(-V761))</f>
        <v/>
      </c>
      <c r="X761" s="9">
        <f>-IF(C761=1,LN(W761),LN(1-W761))</f>
        <v/>
      </c>
      <c r="Y761" s="10">
        <f>IF(W761&gt;$AC$33,1,0)</f>
        <v/>
      </c>
      <c r="Z761">
        <f>IF(Y761=C761,1,0)</f>
        <v/>
      </c>
    </row>
    <row r="762">
      <c r="A762">
        <f>'1 datos preparados'!A755</f>
        <v/>
      </c>
      <c r="B762" s="5">
        <f>'1 datos preparados'!U755</f>
        <v/>
      </c>
      <c r="C762">
        <f>'1 datos preparados'!B755</f>
        <v/>
      </c>
      <c r="D762" s="7">
        <f>'1 datos preparados'!C755</f>
        <v/>
      </c>
      <c r="E762" s="7">
        <f>'1 datos preparados'!D755</f>
        <v/>
      </c>
      <c r="F762" s="7">
        <f>'1 datos preparados'!E755</f>
        <v/>
      </c>
      <c r="G762" s="7">
        <f>'1 datos preparados'!F755</f>
        <v/>
      </c>
      <c r="H762" s="7">
        <f>'1 datos preparados'!G755</f>
        <v/>
      </c>
      <c r="I762" s="7">
        <f>'1 datos preparados'!H755</f>
        <v/>
      </c>
      <c r="J762" s="7">
        <f>'1 datos preparados'!I755</f>
        <v/>
      </c>
      <c r="K762" s="7">
        <f>'1 datos preparados'!J755</f>
        <v/>
      </c>
      <c r="L762" s="7">
        <f>'1 datos preparados'!K755</f>
        <v/>
      </c>
      <c r="M762" s="7">
        <f>'1 datos preparados'!L755</f>
        <v/>
      </c>
      <c r="N762" s="7">
        <f>'1 datos preparados'!M755</f>
        <v/>
      </c>
      <c r="O762" s="7">
        <f>'1 datos preparados'!N755</f>
        <v/>
      </c>
      <c r="P762" s="7">
        <f>'1 datos preparados'!O755</f>
        <v/>
      </c>
      <c r="Q762" s="7">
        <f>'1 datos preparados'!P755</f>
        <v/>
      </c>
      <c r="R762" s="7">
        <f>'1 datos preparados'!Q755</f>
        <v/>
      </c>
      <c r="S762" s="7">
        <f>'1 datos preparados'!R755</f>
        <v/>
      </c>
      <c r="T762" s="7">
        <f>'1 datos preparados'!S755</f>
        <v/>
      </c>
      <c r="U762" s="7">
        <f>'1 datos preparados'!T755</f>
        <v/>
      </c>
      <c r="V762" s="8">
        <f>$AC$12+D762*$AC$13+E762*$AC$14+F762*$AC$15+G762*$AC$16+H762*$AC$17+I762*$AC$18+J762*$AC$19+K762*$AC$20+L762*$AC$21+M762*$AC$22+N762*$AC$23+O762*$AC$24+P762*$AC$25+Q762*$AC$26+R762*$AC$27+S762*$AC$28+T762*$AC$29+U762*$AC$30</f>
        <v/>
      </c>
      <c r="W762" s="8">
        <f>1/(1+EXP(-V762))</f>
        <v/>
      </c>
      <c r="X762" s="9">
        <f>-IF(C762=1,LN(W762),LN(1-W762))</f>
        <v/>
      </c>
      <c r="Y762" s="10">
        <f>IF(W762&gt;$AC$33,1,0)</f>
        <v/>
      </c>
      <c r="Z762">
        <f>IF(Y762=C762,1,0)</f>
        <v/>
      </c>
    </row>
    <row r="763">
      <c r="A763">
        <f>'1 datos preparados'!A756</f>
        <v/>
      </c>
      <c r="B763" s="5">
        <f>'1 datos preparados'!U756</f>
        <v/>
      </c>
      <c r="C763">
        <f>'1 datos preparados'!B756</f>
        <v/>
      </c>
      <c r="D763" s="7">
        <f>'1 datos preparados'!C756</f>
        <v/>
      </c>
      <c r="E763" s="7">
        <f>'1 datos preparados'!D756</f>
        <v/>
      </c>
      <c r="F763" s="7">
        <f>'1 datos preparados'!E756</f>
        <v/>
      </c>
      <c r="G763" s="7">
        <f>'1 datos preparados'!F756</f>
        <v/>
      </c>
      <c r="H763" s="7">
        <f>'1 datos preparados'!G756</f>
        <v/>
      </c>
      <c r="I763" s="7">
        <f>'1 datos preparados'!H756</f>
        <v/>
      </c>
      <c r="J763" s="7">
        <f>'1 datos preparados'!I756</f>
        <v/>
      </c>
      <c r="K763" s="7">
        <f>'1 datos preparados'!J756</f>
        <v/>
      </c>
      <c r="L763" s="7">
        <f>'1 datos preparados'!K756</f>
        <v/>
      </c>
      <c r="M763" s="7">
        <f>'1 datos preparados'!L756</f>
        <v/>
      </c>
      <c r="N763" s="7">
        <f>'1 datos preparados'!M756</f>
        <v/>
      </c>
      <c r="O763" s="7">
        <f>'1 datos preparados'!N756</f>
        <v/>
      </c>
      <c r="P763" s="7">
        <f>'1 datos preparados'!O756</f>
        <v/>
      </c>
      <c r="Q763" s="7">
        <f>'1 datos preparados'!P756</f>
        <v/>
      </c>
      <c r="R763" s="7">
        <f>'1 datos preparados'!Q756</f>
        <v/>
      </c>
      <c r="S763" s="7">
        <f>'1 datos preparados'!R756</f>
        <v/>
      </c>
      <c r="T763" s="7">
        <f>'1 datos preparados'!S756</f>
        <v/>
      </c>
      <c r="U763" s="7">
        <f>'1 datos preparados'!T756</f>
        <v/>
      </c>
      <c r="V763" s="8">
        <f>$AC$12+D763*$AC$13+E763*$AC$14+F763*$AC$15+G763*$AC$16+H763*$AC$17+I763*$AC$18+J763*$AC$19+K763*$AC$20+L763*$AC$21+M763*$AC$22+N763*$AC$23+O763*$AC$24+P763*$AC$25+Q763*$AC$26+R763*$AC$27+S763*$AC$28+T763*$AC$29+U763*$AC$30</f>
        <v/>
      </c>
      <c r="W763" s="8">
        <f>1/(1+EXP(-V763))</f>
        <v/>
      </c>
      <c r="X763" s="9">
        <f>-IF(C763=1,LN(W763),LN(1-W763))</f>
        <v/>
      </c>
      <c r="Y763" s="10">
        <f>IF(W763&gt;$AC$33,1,0)</f>
        <v/>
      </c>
      <c r="Z763">
        <f>IF(Y763=C763,1,0)</f>
        <v/>
      </c>
    </row>
    <row r="764">
      <c r="A764">
        <f>'1 datos preparados'!A757</f>
        <v/>
      </c>
      <c r="B764" s="5">
        <f>'1 datos preparados'!U757</f>
        <v/>
      </c>
      <c r="C764">
        <f>'1 datos preparados'!B757</f>
        <v/>
      </c>
      <c r="D764" s="7">
        <f>'1 datos preparados'!C757</f>
        <v/>
      </c>
      <c r="E764" s="7">
        <f>'1 datos preparados'!D757</f>
        <v/>
      </c>
      <c r="F764" s="7">
        <f>'1 datos preparados'!E757</f>
        <v/>
      </c>
      <c r="G764" s="7">
        <f>'1 datos preparados'!F757</f>
        <v/>
      </c>
      <c r="H764" s="7">
        <f>'1 datos preparados'!G757</f>
        <v/>
      </c>
      <c r="I764" s="7">
        <f>'1 datos preparados'!H757</f>
        <v/>
      </c>
      <c r="J764" s="7">
        <f>'1 datos preparados'!I757</f>
        <v/>
      </c>
      <c r="K764" s="7">
        <f>'1 datos preparados'!J757</f>
        <v/>
      </c>
      <c r="L764" s="7">
        <f>'1 datos preparados'!K757</f>
        <v/>
      </c>
      <c r="M764" s="7">
        <f>'1 datos preparados'!L757</f>
        <v/>
      </c>
      <c r="N764" s="7">
        <f>'1 datos preparados'!M757</f>
        <v/>
      </c>
      <c r="O764" s="7">
        <f>'1 datos preparados'!N757</f>
        <v/>
      </c>
      <c r="P764" s="7">
        <f>'1 datos preparados'!O757</f>
        <v/>
      </c>
      <c r="Q764" s="7">
        <f>'1 datos preparados'!P757</f>
        <v/>
      </c>
      <c r="R764" s="7">
        <f>'1 datos preparados'!Q757</f>
        <v/>
      </c>
      <c r="S764" s="7">
        <f>'1 datos preparados'!R757</f>
        <v/>
      </c>
      <c r="T764" s="7">
        <f>'1 datos preparados'!S757</f>
        <v/>
      </c>
      <c r="U764" s="7">
        <f>'1 datos preparados'!T757</f>
        <v/>
      </c>
      <c r="V764" s="8">
        <f>$AC$12+D764*$AC$13+E764*$AC$14+F764*$AC$15+G764*$AC$16+H764*$AC$17+I764*$AC$18+J764*$AC$19+K764*$AC$20+L764*$AC$21+M764*$AC$22+N764*$AC$23+O764*$AC$24+P764*$AC$25+Q764*$AC$26+R764*$AC$27+S764*$AC$28+T764*$AC$29+U764*$AC$30</f>
        <v/>
      </c>
      <c r="W764" s="8">
        <f>1/(1+EXP(-V764))</f>
        <v/>
      </c>
      <c r="X764" s="9">
        <f>-IF(C764=1,LN(W764),LN(1-W764))</f>
        <v/>
      </c>
      <c r="Y764" s="10">
        <f>IF(W764&gt;$AC$33,1,0)</f>
        <v/>
      </c>
      <c r="Z764">
        <f>IF(Y764=C764,1,0)</f>
        <v/>
      </c>
    </row>
    <row r="765">
      <c r="A765">
        <f>'1 datos preparados'!A758</f>
        <v/>
      </c>
      <c r="B765" s="5">
        <f>'1 datos preparados'!U758</f>
        <v/>
      </c>
      <c r="C765">
        <f>'1 datos preparados'!B758</f>
        <v/>
      </c>
      <c r="D765" s="7">
        <f>'1 datos preparados'!C758</f>
        <v/>
      </c>
      <c r="E765" s="7">
        <f>'1 datos preparados'!D758</f>
        <v/>
      </c>
      <c r="F765" s="7">
        <f>'1 datos preparados'!E758</f>
        <v/>
      </c>
      <c r="G765" s="7">
        <f>'1 datos preparados'!F758</f>
        <v/>
      </c>
      <c r="H765" s="7">
        <f>'1 datos preparados'!G758</f>
        <v/>
      </c>
      <c r="I765" s="7">
        <f>'1 datos preparados'!H758</f>
        <v/>
      </c>
      <c r="J765" s="7">
        <f>'1 datos preparados'!I758</f>
        <v/>
      </c>
      <c r="K765" s="7">
        <f>'1 datos preparados'!J758</f>
        <v/>
      </c>
      <c r="L765" s="7">
        <f>'1 datos preparados'!K758</f>
        <v/>
      </c>
      <c r="M765" s="7">
        <f>'1 datos preparados'!L758</f>
        <v/>
      </c>
      <c r="N765" s="7">
        <f>'1 datos preparados'!M758</f>
        <v/>
      </c>
      <c r="O765" s="7">
        <f>'1 datos preparados'!N758</f>
        <v/>
      </c>
      <c r="P765" s="7">
        <f>'1 datos preparados'!O758</f>
        <v/>
      </c>
      <c r="Q765" s="7">
        <f>'1 datos preparados'!P758</f>
        <v/>
      </c>
      <c r="R765" s="7">
        <f>'1 datos preparados'!Q758</f>
        <v/>
      </c>
      <c r="S765" s="7">
        <f>'1 datos preparados'!R758</f>
        <v/>
      </c>
      <c r="T765" s="7">
        <f>'1 datos preparados'!S758</f>
        <v/>
      </c>
      <c r="U765" s="7">
        <f>'1 datos preparados'!T758</f>
        <v/>
      </c>
      <c r="V765" s="8">
        <f>$AC$12+D765*$AC$13+E765*$AC$14+F765*$AC$15+G765*$AC$16+H765*$AC$17+I765*$AC$18+J765*$AC$19+K765*$AC$20+L765*$AC$21+M765*$AC$22+N765*$AC$23+O765*$AC$24+P765*$AC$25+Q765*$AC$26+R765*$AC$27+S765*$AC$28+T765*$AC$29+U765*$AC$30</f>
        <v/>
      </c>
      <c r="W765" s="8">
        <f>1/(1+EXP(-V765))</f>
        <v/>
      </c>
      <c r="X765" s="9">
        <f>-IF(C765=1,LN(W765),LN(1-W765))</f>
        <v/>
      </c>
      <c r="Y765" s="10">
        <f>IF(W765&gt;$AC$33,1,0)</f>
        <v/>
      </c>
      <c r="Z765">
        <f>IF(Y765=C765,1,0)</f>
        <v/>
      </c>
    </row>
    <row r="766">
      <c r="A766">
        <f>'1 datos preparados'!A759</f>
        <v/>
      </c>
      <c r="B766" s="5">
        <f>'1 datos preparados'!U759</f>
        <v/>
      </c>
      <c r="C766">
        <f>'1 datos preparados'!B759</f>
        <v/>
      </c>
      <c r="D766" s="7">
        <f>'1 datos preparados'!C759</f>
        <v/>
      </c>
      <c r="E766" s="7">
        <f>'1 datos preparados'!D759</f>
        <v/>
      </c>
      <c r="F766" s="7">
        <f>'1 datos preparados'!E759</f>
        <v/>
      </c>
      <c r="G766" s="7">
        <f>'1 datos preparados'!F759</f>
        <v/>
      </c>
      <c r="H766" s="7">
        <f>'1 datos preparados'!G759</f>
        <v/>
      </c>
      <c r="I766" s="7">
        <f>'1 datos preparados'!H759</f>
        <v/>
      </c>
      <c r="J766" s="7">
        <f>'1 datos preparados'!I759</f>
        <v/>
      </c>
      <c r="K766" s="7">
        <f>'1 datos preparados'!J759</f>
        <v/>
      </c>
      <c r="L766" s="7">
        <f>'1 datos preparados'!K759</f>
        <v/>
      </c>
      <c r="M766" s="7">
        <f>'1 datos preparados'!L759</f>
        <v/>
      </c>
      <c r="N766" s="7">
        <f>'1 datos preparados'!M759</f>
        <v/>
      </c>
      <c r="O766" s="7">
        <f>'1 datos preparados'!N759</f>
        <v/>
      </c>
      <c r="P766" s="7">
        <f>'1 datos preparados'!O759</f>
        <v/>
      </c>
      <c r="Q766" s="7">
        <f>'1 datos preparados'!P759</f>
        <v/>
      </c>
      <c r="R766" s="7">
        <f>'1 datos preparados'!Q759</f>
        <v/>
      </c>
      <c r="S766" s="7">
        <f>'1 datos preparados'!R759</f>
        <v/>
      </c>
      <c r="T766" s="7">
        <f>'1 datos preparados'!S759</f>
        <v/>
      </c>
      <c r="U766" s="7">
        <f>'1 datos preparados'!T759</f>
        <v/>
      </c>
      <c r="V766" s="8">
        <f>$AC$12+D766*$AC$13+E766*$AC$14+F766*$AC$15+G766*$AC$16+H766*$AC$17+I766*$AC$18+J766*$AC$19+K766*$AC$20+L766*$AC$21+M766*$AC$22+N766*$AC$23+O766*$AC$24+P766*$AC$25+Q766*$AC$26+R766*$AC$27+S766*$AC$28+T766*$AC$29+U766*$AC$30</f>
        <v/>
      </c>
      <c r="W766" s="8">
        <f>1/(1+EXP(-V766))</f>
        <v/>
      </c>
      <c r="X766" s="9">
        <f>-IF(C766=1,LN(W766),LN(1-W766))</f>
        <v/>
      </c>
      <c r="Y766" s="10">
        <f>IF(W766&gt;$AC$33,1,0)</f>
        <v/>
      </c>
      <c r="Z766">
        <f>IF(Y766=C766,1,0)</f>
        <v/>
      </c>
    </row>
    <row r="767">
      <c r="A767">
        <f>'1 datos preparados'!A760</f>
        <v/>
      </c>
      <c r="B767" s="5">
        <f>'1 datos preparados'!U760</f>
        <v/>
      </c>
      <c r="C767">
        <f>'1 datos preparados'!B760</f>
        <v/>
      </c>
      <c r="D767" s="7">
        <f>'1 datos preparados'!C760</f>
        <v/>
      </c>
      <c r="E767" s="7">
        <f>'1 datos preparados'!D760</f>
        <v/>
      </c>
      <c r="F767" s="7">
        <f>'1 datos preparados'!E760</f>
        <v/>
      </c>
      <c r="G767" s="7">
        <f>'1 datos preparados'!F760</f>
        <v/>
      </c>
      <c r="H767" s="7">
        <f>'1 datos preparados'!G760</f>
        <v/>
      </c>
      <c r="I767" s="7">
        <f>'1 datos preparados'!H760</f>
        <v/>
      </c>
      <c r="J767" s="7">
        <f>'1 datos preparados'!I760</f>
        <v/>
      </c>
      <c r="K767" s="7">
        <f>'1 datos preparados'!J760</f>
        <v/>
      </c>
      <c r="L767" s="7">
        <f>'1 datos preparados'!K760</f>
        <v/>
      </c>
      <c r="M767" s="7">
        <f>'1 datos preparados'!L760</f>
        <v/>
      </c>
      <c r="N767" s="7">
        <f>'1 datos preparados'!M760</f>
        <v/>
      </c>
      <c r="O767" s="7">
        <f>'1 datos preparados'!N760</f>
        <v/>
      </c>
      <c r="P767" s="7">
        <f>'1 datos preparados'!O760</f>
        <v/>
      </c>
      <c r="Q767" s="7">
        <f>'1 datos preparados'!P760</f>
        <v/>
      </c>
      <c r="R767" s="7">
        <f>'1 datos preparados'!Q760</f>
        <v/>
      </c>
      <c r="S767" s="7">
        <f>'1 datos preparados'!R760</f>
        <v/>
      </c>
      <c r="T767" s="7">
        <f>'1 datos preparados'!S760</f>
        <v/>
      </c>
      <c r="U767" s="7">
        <f>'1 datos preparados'!T760</f>
        <v/>
      </c>
      <c r="V767" s="8">
        <f>$AC$12+D767*$AC$13+E767*$AC$14+F767*$AC$15+G767*$AC$16+H767*$AC$17+I767*$AC$18+J767*$AC$19+K767*$AC$20+L767*$AC$21+M767*$AC$22+N767*$AC$23+O767*$AC$24+P767*$AC$25+Q767*$AC$26+R767*$AC$27+S767*$AC$28+T767*$AC$29+U767*$AC$30</f>
        <v/>
      </c>
      <c r="W767" s="8">
        <f>1/(1+EXP(-V767))</f>
        <v/>
      </c>
      <c r="X767" s="9">
        <f>-IF(C767=1,LN(W767),LN(1-W767))</f>
        <v/>
      </c>
      <c r="Y767" s="10">
        <f>IF(W767&gt;$AC$33,1,0)</f>
        <v/>
      </c>
      <c r="Z767">
        <f>IF(Y767=C767,1,0)</f>
        <v/>
      </c>
    </row>
    <row r="768">
      <c r="A768">
        <f>'1 datos preparados'!A761</f>
        <v/>
      </c>
      <c r="B768" s="5">
        <f>'1 datos preparados'!U761</f>
        <v/>
      </c>
      <c r="C768">
        <f>'1 datos preparados'!B761</f>
        <v/>
      </c>
      <c r="D768" s="7">
        <f>'1 datos preparados'!C761</f>
        <v/>
      </c>
      <c r="E768" s="7">
        <f>'1 datos preparados'!D761</f>
        <v/>
      </c>
      <c r="F768" s="7">
        <f>'1 datos preparados'!E761</f>
        <v/>
      </c>
      <c r="G768" s="7">
        <f>'1 datos preparados'!F761</f>
        <v/>
      </c>
      <c r="H768" s="7">
        <f>'1 datos preparados'!G761</f>
        <v/>
      </c>
      <c r="I768" s="7">
        <f>'1 datos preparados'!H761</f>
        <v/>
      </c>
      <c r="J768" s="7">
        <f>'1 datos preparados'!I761</f>
        <v/>
      </c>
      <c r="K768" s="7">
        <f>'1 datos preparados'!J761</f>
        <v/>
      </c>
      <c r="L768" s="7">
        <f>'1 datos preparados'!K761</f>
        <v/>
      </c>
      <c r="M768" s="7">
        <f>'1 datos preparados'!L761</f>
        <v/>
      </c>
      <c r="N768" s="7">
        <f>'1 datos preparados'!M761</f>
        <v/>
      </c>
      <c r="O768" s="7">
        <f>'1 datos preparados'!N761</f>
        <v/>
      </c>
      <c r="P768" s="7">
        <f>'1 datos preparados'!O761</f>
        <v/>
      </c>
      <c r="Q768" s="7">
        <f>'1 datos preparados'!P761</f>
        <v/>
      </c>
      <c r="R768" s="7">
        <f>'1 datos preparados'!Q761</f>
        <v/>
      </c>
      <c r="S768" s="7">
        <f>'1 datos preparados'!R761</f>
        <v/>
      </c>
      <c r="T768" s="7">
        <f>'1 datos preparados'!S761</f>
        <v/>
      </c>
      <c r="U768" s="7">
        <f>'1 datos preparados'!T761</f>
        <v/>
      </c>
      <c r="V768" s="8">
        <f>$AC$12+D768*$AC$13+E768*$AC$14+F768*$AC$15+G768*$AC$16+H768*$AC$17+I768*$AC$18+J768*$AC$19+K768*$AC$20+L768*$AC$21+M768*$AC$22+N768*$AC$23+O768*$AC$24+P768*$AC$25+Q768*$AC$26+R768*$AC$27+S768*$AC$28+T768*$AC$29+U768*$AC$30</f>
        <v/>
      </c>
      <c r="W768" s="8">
        <f>1/(1+EXP(-V768))</f>
        <v/>
      </c>
      <c r="X768" s="9">
        <f>-IF(C768=1,LN(W768),LN(1-W768))</f>
        <v/>
      </c>
      <c r="Y768" s="10">
        <f>IF(W768&gt;$AC$33,1,0)</f>
        <v/>
      </c>
      <c r="Z768">
        <f>IF(Y768=C768,1,0)</f>
        <v/>
      </c>
    </row>
    <row r="769">
      <c r="A769">
        <f>'1 datos preparados'!A762</f>
        <v/>
      </c>
      <c r="B769" s="5">
        <f>'1 datos preparados'!U762</f>
        <v/>
      </c>
      <c r="C769">
        <f>'1 datos preparados'!B762</f>
        <v/>
      </c>
      <c r="D769" s="7">
        <f>'1 datos preparados'!C762</f>
        <v/>
      </c>
      <c r="E769" s="7">
        <f>'1 datos preparados'!D762</f>
        <v/>
      </c>
      <c r="F769" s="7">
        <f>'1 datos preparados'!E762</f>
        <v/>
      </c>
      <c r="G769" s="7">
        <f>'1 datos preparados'!F762</f>
        <v/>
      </c>
      <c r="H769" s="7">
        <f>'1 datos preparados'!G762</f>
        <v/>
      </c>
      <c r="I769" s="7">
        <f>'1 datos preparados'!H762</f>
        <v/>
      </c>
      <c r="J769" s="7">
        <f>'1 datos preparados'!I762</f>
        <v/>
      </c>
      <c r="K769" s="7">
        <f>'1 datos preparados'!J762</f>
        <v/>
      </c>
      <c r="L769" s="7">
        <f>'1 datos preparados'!K762</f>
        <v/>
      </c>
      <c r="M769" s="7">
        <f>'1 datos preparados'!L762</f>
        <v/>
      </c>
      <c r="N769" s="7">
        <f>'1 datos preparados'!M762</f>
        <v/>
      </c>
      <c r="O769" s="7">
        <f>'1 datos preparados'!N762</f>
        <v/>
      </c>
      <c r="P769" s="7">
        <f>'1 datos preparados'!O762</f>
        <v/>
      </c>
      <c r="Q769" s="7">
        <f>'1 datos preparados'!P762</f>
        <v/>
      </c>
      <c r="R769" s="7">
        <f>'1 datos preparados'!Q762</f>
        <v/>
      </c>
      <c r="S769" s="7">
        <f>'1 datos preparados'!R762</f>
        <v/>
      </c>
      <c r="T769" s="7">
        <f>'1 datos preparados'!S762</f>
        <v/>
      </c>
      <c r="U769" s="7">
        <f>'1 datos preparados'!T762</f>
        <v/>
      </c>
      <c r="V769" s="8">
        <f>$AC$12+D769*$AC$13+E769*$AC$14+F769*$AC$15+G769*$AC$16+H769*$AC$17+I769*$AC$18+J769*$AC$19+K769*$AC$20+L769*$AC$21+M769*$AC$22+N769*$AC$23+O769*$AC$24+P769*$AC$25+Q769*$AC$26+R769*$AC$27+S769*$AC$28+T769*$AC$29+U769*$AC$30</f>
        <v/>
      </c>
      <c r="W769" s="8">
        <f>1/(1+EXP(-V769))</f>
        <v/>
      </c>
      <c r="X769" s="9">
        <f>-IF(C769=1,LN(W769),LN(1-W769))</f>
        <v/>
      </c>
      <c r="Y769" s="10">
        <f>IF(W769&gt;$AC$33,1,0)</f>
        <v/>
      </c>
      <c r="Z769">
        <f>IF(Y769=C769,1,0)</f>
        <v/>
      </c>
    </row>
    <row r="770">
      <c r="A770">
        <f>'1 datos preparados'!A763</f>
        <v/>
      </c>
      <c r="B770" s="5">
        <f>'1 datos preparados'!U763</f>
        <v/>
      </c>
      <c r="C770">
        <f>'1 datos preparados'!B763</f>
        <v/>
      </c>
      <c r="D770" s="7">
        <f>'1 datos preparados'!C763</f>
        <v/>
      </c>
      <c r="E770" s="7">
        <f>'1 datos preparados'!D763</f>
        <v/>
      </c>
      <c r="F770" s="7">
        <f>'1 datos preparados'!E763</f>
        <v/>
      </c>
      <c r="G770" s="7">
        <f>'1 datos preparados'!F763</f>
        <v/>
      </c>
      <c r="H770" s="7">
        <f>'1 datos preparados'!G763</f>
        <v/>
      </c>
      <c r="I770" s="7">
        <f>'1 datos preparados'!H763</f>
        <v/>
      </c>
      <c r="J770" s="7">
        <f>'1 datos preparados'!I763</f>
        <v/>
      </c>
      <c r="K770" s="7">
        <f>'1 datos preparados'!J763</f>
        <v/>
      </c>
      <c r="L770" s="7">
        <f>'1 datos preparados'!K763</f>
        <v/>
      </c>
      <c r="M770" s="7">
        <f>'1 datos preparados'!L763</f>
        <v/>
      </c>
      <c r="N770" s="7">
        <f>'1 datos preparados'!M763</f>
        <v/>
      </c>
      <c r="O770" s="7">
        <f>'1 datos preparados'!N763</f>
        <v/>
      </c>
      <c r="P770" s="7">
        <f>'1 datos preparados'!O763</f>
        <v/>
      </c>
      <c r="Q770" s="7">
        <f>'1 datos preparados'!P763</f>
        <v/>
      </c>
      <c r="R770" s="7">
        <f>'1 datos preparados'!Q763</f>
        <v/>
      </c>
      <c r="S770" s="7">
        <f>'1 datos preparados'!R763</f>
        <v/>
      </c>
      <c r="T770" s="7">
        <f>'1 datos preparados'!S763</f>
        <v/>
      </c>
      <c r="U770" s="7">
        <f>'1 datos preparados'!T763</f>
        <v/>
      </c>
      <c r="V770" s="8">
        <f>$AC$12+D770*$AC$13+E770*$AC$14+F770*$AC$15+G770*$AC$16+H770*$AC$17+I770*$AC$18+J770*$AC$19+K770*$AC$20+L770*$AC$21+M770*$AC$22+N770*$AC$23+O770*$AC$24+P770*$AC$25+Q770*$AC$26+R770*$AC$27+S770*$AC$28+T770*$AC$29+U770*$AC$30</f>
        <v/>
      </c>
      <c r="W770" s="8">
        <f>1/(1+EXP(-V770))</f>
        <v/>
      </c>
      <c r="X770" s="9">
        <f>-IF(C770=1,LN(W770),LN(1-W770))</f>
        <v/>
      </c>
      <c r="Y770" s="10">
        <f>IF(W770&gt;$AC$33,1,0)</f>
        <v/>
      </c>
      <c r="Z770">
        <f>IF(Y770=C770,1,0)</f>
        <v/>
      </c>
    </row>
    <row r="771">
      <c r="A771">
        <f>'1 datos preparados'!A764</f>
        <v/>
      </c>
      <c r="B771" s="5">
        <f>'1 datos preparados'!U764</f>
        <v/>
      </c>
      <c r="C771">
        <f>'1 datos preparados'!B764</f>
        <v/>
      </c>
      <c r="D771" s="7">
        <f>'1 datos preparados'!C764</f>
        <v/>
      </c>
      <c r="E771" s="7">
        <f>'1 datos preparados'!D764</f>
        <v/>
      </c>
      <c r="F771" s="7">
        <f>'1 datos preparados'!E764</f>
        <v/>
      </c>
      <c r="G771" s="7">
        <f>'1 datos preparados'!F764</f>
        <v/>
      </c>
      <c r="H771" s="7">
        <f>'1 datos preparados'!G764</f>
        <v/>
      </c>
      <c r="I771" s="7">
        <f>'1 datos preparados'!H764</f>
        <v/>
      </c>
      <c r="J771" s="7">
        <f>'1 datos preparados'!I764</f>
        <v/>
      </c>
      <c r="K771" s="7">
        <f>'1 datos preparados'!J764</f>
        <v/>
      </c>
      <c r="L771" s="7">
        <f>'1 datos preparados'!K764</f>
        <v/>
      </c>
      <c r="M771" s="7">
        <f>'1 datos preparados'!L764</f>
        <v/>
      </c>
      <c r="N771" s="7">
        <f>'1 datos preparados'!M764</f>
        <v/>
      </c>
      <c r="O771" s="7">
        <f>'1 datos preparados'!N764</f>
        <v/>
      </c>
      <c r="P771" s="7">
        <f>'1 datos preparados'!O764</f>
        <v/>
      </c>
      <c r="Q771" s="7">
        <f>'1 datos preparados'!P764</f>
        <v/>
      </c>
      <c r="R771" s="7">
        <f>'1 datos preparados'!Q764</f>
        <v/>
      </c>
      <c r="S771" s="7">
        <f>'1 datos preparados'!R764</f>
        <v/>
      </c>
      <c r="T771" s="7">
        <f>'1 datos preparados'!S764</f>
        <v/>
      </c>
      <c r="U771" s="7">
        <f>'1 datos preparados'!T764</f>
        <v/>
      </c>
      <c r="V771" s="8">
        <f>$AC$12+D771*$AC$13+E771*$AC$14+F771*$AC$15+G771*$AC$16+H771*$AC$17+I771*$AC$18+J771*$AC$19+K771*$AC$20+L771*$AC$21+M771*$AC$22+N771*$AC$23+O771*$AC$24+P771*$AC$25+Q771*$AC$26+R771*$AC$27+S771*$AC$28+T771*$AC$29+U771*$AC$30</f>
        <v/>
      </c>
      <c r="W771" s="8">
        <f>1/(1+EXP(-V771))</f>
        <v/>
      </c>
      <c r="X771" s="9">
        <f>-IF(C771=1,LN(W771),LN(1-W771))</f>
        <v/>
      </c>
      <c r="Y771" s="10">
        <f>IF(W771&gt;$AC$33,1,0)</f>
        <v/>
      </c>
      <c r="Z771">
        <f>IF(Y771=C771,1,0)</f>
        <v/>
      </c>
    </row>
    <row r="772">
      <c r="A772">
        <f>'1 datos preparados'!A765</f>
        <v/>
      </c>
      <c r="B772" s="5">
        <f>'1 datos preparados'!U765</f>
        <v/>
      </c>
      <c r="C772">
        <f>'1 datos preparados'!B765</f>
        <v/>
      </c>
      <c r="D772" s="7">
        <f>'1 datos preparados'!C765</f>
        <v/>
      </c>
      <c r="E772" s="7">
        <f>'1 datos preparados'!D765</f>
        <v/>
      </c>
      <c r="F772" s="7">
        <f>'1 datos preparados'!E765</f>
        <v/>
      </c>
      <c r="G772" s="7">
        <f>'1 datos preparados'!F765</f>
        <v/>
      </c>
      <c r="H772" s="7">
        <f>'1 datos preparados'!G765</f>
        <v/>
      </c>
      <c r="I772" s="7">
        <f>'1 datos preparados'!H765</f>
        <v/>
      </c>
      <c r="J772" s="7">
        <f>'1 datos preparados'!I765</f>
        <v/>
      </c>
      <c r="K772" s="7">
        <f>'1 datos preparados'!J765</f>
        <v/>
      </c>
      <c r="L772" s="7">
        <f>'1 datos preparados'!K765</f>
        <v/>
      </c>
      <c r="M772" s="7">
        <f>'1 datos preparados'!L765</f>
        <v/>
      </c>
      <c r="N772" s="7">
        <f>'1 datos preparados'!M765</f>
        <v/>
      </c>
      <c r="O772" s="7">
        <f>'1 datos preparados'!N765</f>
        <v/>
      </c>
      <c r="P772" s="7">
        <f>'1 datos preparados'!O765</f>
        <v/>
      </c>
      <c r="Q772" s="7">
        <f>'1 datos preparados'!P765</f>
        <v/>
      </c>
      <c r="R772" s="7">
        <f>'1 datos preparados'!Q765</f>
        <v/>
      </c>
      <c r="S772" s="7">
        <f>'1 datos preparados'!R765</f>
        <v/>
      </c>
      <c r="T772" s="7">
        <f>'1 datos preparados'!S765</f>
        <v/>
      </c>
      <c r="U772" s="7">
        <f>'1 datos preparados'!T765</f>
        <v/>
      </c>
      <c r="V772" s="8">
        <f>$AC$12+D772*$AC$13+E772*$AC$14+F772*$AC$15+G772*$AC$16+H772*$AC$17+I772*$AC$18+J772*$AC$19+K772*$AC$20+L772*$AC$21+M772*$AC$22+N772*$AC$23+O772*$AC$24+P772*$AC$25+Q772*$AC$26+R772*$AC$27+S772*$AC$28+T772*$AC$29+U772*$AC$30</f>
        <v/>
      </c>
      <c r="W772" s="8">
        <f>1/(1+EXP(-V772))</f>
        <v/>
      </c>
      <c r="X772" s="9">
        <f>-IF(C772=1,LN(W772),LN(1-W772))</f>
        <v/>
      </c>
      <c r="Y772" s="10">
        <f>IF(W772&gt;$AC$33,1,0)</f>
        <v/>
      </c>
      <c r="Z772">
        <f>IF(Y772=C772,1,0)</f>
        <v/>
      </c>
    </row>
    <row r="773">
      <c r="A773">
        <f>'1 datos preparados'!A766</f>
        <v/>
      </c>
      <c r="B773" s="5">
        <f>'1 datos preparados'!U766</f>
        <v/>
      </c>
      <c r="C773">
        <f>'1 datos preparados'!B766</f>
        <v/>
      </c>
      <c r="D773" s="7">
        <f>'1 datos preparados'!C766</f>
        <v/>
      </c>
      <c r="E773" s="7">
        <f>'1 datos preparados'!D766</f>
        <v/>
      </c>
      <c r="F773" s="7">
        <f>'1 datos preparados'!E766</f>
        <v/>
      </c>
      <c r="G773" s="7">
        <f>'1 datos preparados'!F766</f>
        <v/>
      </c>
      <c r="H773" s="7">
        <f>'1 datos preparados'!G766</f>
        <v/>
      </c>
      <c r="I773" s="7">
        <f>'1 datos preparados'!H766</f>
        <v/>
      </c>
      <c r="J773" s="7">
        <f>'1 datos preparados'!I766</f>
        <v/>
      </c>
      <c r="K773" s="7">
        <f>'1 datos preparados'!J766</f>
        <v/>
      </c>
      <c r="L773" s="7">
        <f>'1 datos preparados'!K766</f>
        <v/>
      </c>
      <c r="M773" s="7">
        <f>'1 datos preparados'!L766</f>
        <v/>
      </c>
      <c r="N773" s="7">
        <f>'1 datos preparados'!M766</f>
        <v/>
      </c>
      <c r="O773" s="7">
        <f>'1 datos preparados'!N766</f>
        <v/>
      </c>
      <c r="P773" s="7">
        <f>'1 datos preparados'!O766</f>
        <v/>
      </c>
      <c r="Q773" s="7">
        <f>'1 datos preparados'!P766</f>
        <v/>
      </c>
      <c r="R773" s="7">
        <f>'1 datos preparados'!Q766</f>
        <v/>
      </c>
      <c r="S773" s="7">
        <f>'1 datos preparados'!R766</f>
        <v/>
      </c>
      <c r="T773" s="7">
        <f>'1 datos preparados'!S766</f>
        <v/>
      </c>
      <c r="U773" s="7">
        <f>'1 datos preparados'!T766</f>
        <v/>
      </c>
      <c r="V773" s="8">
        <f>$AC$12+D773*$AC$13+E773*$AC$14+F773*$AC$15+G773*$AC$16+H773*$AC$17+I773*$AC$18+J773*$AC$19+K773*$AC$20+L773*$AC$21+M773*$AC$22+N773*$AC$23+O773*$AC$24+P773*$AC$25+Q773*$AC$26+R773*$AC$27+S773*$AC$28+T773*$AC$29+U773*$AC$30</f>
        <v/>
      </c>
      <c r="W773" s="8">
        <f>1/(1+EXP(-V773))</f>
        <v/>
      </c>
      <c r="X773" s="9">
        <f>-IF(C773=1,LN(W773),LN(1-W773))</f>
        <v/>
      </c>
      <c r="Y773" s="10">
        <f>IF(W773&gt;$AC$33,1,0)</f>
        <v/>
      </c>
      <c r="Z773">
        <f>IF(Y773=C773,1,0)</f>
        <v/>
      </c>
    </row>
    <row r="774">
      <c r="A774">
        <f>'1 datos preparados'!A767</f>
        <v/>
      </c>
      <c r="B774" s="5">
        <f>'1 datos preparados'!U767</f>
        <v/>
      </c>
      <c r="C774">
        <f>'1 datos preparados'!B767</f>
        <v/>
      </c>
      <c r="D774" s="7">
        <f>'1 datos preparados'!C767</f>
        <v/>
      </c>
      <c r="E774" s="7">
        <f>'1 datos preparados'!D767</f>
        <v/>
      </c>
      <c r="F774" s="7">
        <f>'1 datos preparados'!E767</f>
        <v/>
      </c>
      <c r="G774" s="7">
        <f>'1 datos preparados'!F767</f>
        <v/>
      </c>
      <c r="H774" s="7">
        <f>'1 datos preparados'!G767</f>
        <v/>
      </c>
      <c r="I774" s="7">
        <f>'1 datos preparados'!H767</f>
        <v/>
      </c>
      <c r="J774" s="7">
        <f>'1 datos preparados'!I767</f>
        <v/>
      </c>
      <c r="K774" s="7">
        <f>'1 datos preparados'!J767</f>
        <v/>
      </c>
      <c r="L774" s="7">
        <f>'1 datos preparados'!K767</f>
        <v/>
      </c>
      <c r="M774" s="7">
        <f>'1 datos preparados'!L767</f>
        <v/>
      </c>
      <c r="N774" s="7">
        <f>'1 datos preparados'!M767</f>
        <v/>
      </c>
      <c r="O774" s="7">
        <f>'1 datos preparados'!N767</f>
        <v/>
      </c>
      <c r="P774" s="7">
        <f>'1 datos preparados'!O767</f>
        <v/>
      </c>
      <c r="Q774" s="7">
        <f>'1 datos preparados'!P767</f>
        <v/>
      </c>
      <c r="R774" s="7">
        <f>'1 datos preparados'!Q767</f>
        <v/>
      </c>
      <c r="S774" s="7">
        <f>'1 datos preparados'!R767</f>
        <v/>
      </c>
      <c r="T774" s="7">
        <f>'1 datos preparados'!S767</f>
        <v/>
      </c>
      <c r="U774" s="7">
        <f>'1 datos preparados'!T767</f>
        <v/>
      </c>
      <c r="V774" s="8">
        <f>$AC$12+D774*$AC$13+E774*$AC$14+F774*$AC$15+G774*$AC$16+H774*$AC$17+I774*$AC$18+J774*$AC$19+K774*$AC$20+L774*$AC$21+M774*$AC$22+N774*$AC$23+O774*$AC$24+P774*$AC$25+Q774*$AC$26+R774*$AC$27+S774*$AC$28+T774*$AC$29+U774*$AC$30</f>
        <v/>
      </c>
      <c r="W774" s="8">
        <f>1/(1+EXP(-V774))</f>
        <v/>
      </c>
      <c r="X774" s="9">
        <f>-IF(C774=1,LN(W774),LN(1-W774))</f>
        <v/>
      </c>
      <c r="Y774" s="10">
        <f>IF(W774&gt;$AC$33,1,0)</f>
        <v/>
      </c>
      <c r="Z774">
        <f>IF(Y774=C774,1,0)</f>
        <v/>
      </c>
    </row>
    <row r="775">
      <c r="A775">
        <f>'1 datos preparados'!A768</f>
        <v/>
      </c>
      <c r="B775" s="5">
        <f>'1 datos preparados'!U768</f>
        <v/>
      </c>
      <c r="C775">
        <f>'1 datos preparados'!B768</f>
        <v/>
      </c>
      <c r="D775" s="7">
        <f>'1 datos preparados'!C768</f>
        <v/>
      </c>
      <c r="E775" s="7">
        <f>'1 datos preparados'!D768</f>
        <v/>
      </c>
      <c r="F775" s="7">
        <f>'1 datos preparados'!E768</f>
        <v/>
      </c>
      <c r="G775" s="7">
        <f>'1 datos preparados'!F768</f>
        <v/>
      </c>
      <c r="H775" s="7">
        <f>'1 datos preparados'!G768</f>
        <v/>
      </c>
      <c r="I775" s="7">
        <f>'1 datos preparados'!H768</f>
        <v/>
      </c>
      <c r="J775" s="7">
        <f>'1 datos preparados'!I768</f>
        <v/>
      </c>
      <c r="K775" s="7">
        <f>'1 datos preparados'!J768</f>
        <v/>
      </c>
      <c r="L775" s="7">
        <f>'1 datos preparados'!K768</f>
        <v/>
      </c>
      <c r="M775" s="7">
        <f>'1 datos preparados'!L768</f>
        <v/>
      </c>
      <c r="N775" s="7">
        <f>'1 datos preparados'!M768</f>
        <v/>
      </c>
      <c r="O775" s="7">
        <f>'1 datos preparados'!N768</f>
        <v/>
      </c>
      <c r="P775" s="7">
        <f>'1 datos preparados'!O768</f>
        <v/>
      </c>
      <c r="Q775" s="7">
        <f>'1 datos preparados'!P768</f>
        <v/>
      </c>
      <c r="R775" s="7">
        <f>'1 datos preparados'!Q768</f>
        <v/>
      </c>
      <c r="S775" s="7">
        <f>'1 datos preparados'!R768</f>
        <v/>
      </c>
      <c r="T775" s="7">
        <f>'1 datos preparados'!S768</f>
        <v/>
      </c>
      <c r="U775" s="7">
        <f>'1 datos preparados'!T768</f>
        <v/>
      </c>
      <c r="V775" s="8">
        <f>$AC$12+D775*$AC$13+E775*$AC$14+F775*$AC$15+G775*$AC$16+H775*$AC$17+I775*$AC$18+J775*$AC$19+K775*$AC$20+L775*$AC$21+M775*$AC$22+N775*$AC$23+O775*$AC$24+P775*$AC$25+Q775*$AC$26+R775*$AC$27+S775*$AC$28+T775*$AC$29+U775*$AC$30</f>
        <v/>
      </c>
      <c r="W775" s="8">
        <f>1/(1+EXP(-V775))</f>
        <v/>
      </c>
      <c r="X775" s="9">
        <f>-IF(C775=1,LN(W775),LN(1-W775))</f>
        <v/>
      </c>
      <c r="Y775" s="10">
        <f>IF(W775&gt;$AC$33,1,0)</f>
        <v/>
      </c>
      <c r="Z775">
        <f>IF(Y775=C775,1,0)</f>
        <v/>
      </c>
    </row>
    <row r="776">
      <c r="A776">
        <f>'1 datos preparados'!A769</f>
        <v/>
      </c>
      <c r="B776" s="5">
        <f>'1 datos preparados'!U769</f>
        <v/>
      </c>
      <c r="C776">
        <f>'1 datos preparados'!B769</f>
        <v/>
      </c>
      <c r="D776" s="7">
        <f>'1 datos preparados'!C769</f>
        <v/>
      </c>
      <c r="E776" s="7">
        <f>'1 datos preparados'!D769</f>
        <v/>
      </c>
      <c r="F776" s="7">
        <f>'1 datos preparados'!E769</f>
        <v/>
      </c>
      <c r="G776" s="7">
        <f>'1 datos preparados'!F769</f>
        <v/>
      </c>
      <c r="H776" s="7">
        <f>'1 datos preparados'!G769</f>
        <v/>
      </c>
      <c r="I776" s="7">
        <f>'1 datos preparados'!H769</f>
        <v/>
      </c>
      <c r="J776" s="7">
        <f>'1 datos preparados'!I769</f>
        <v/>
      </c>
      <c r="K776" s="7">
        <f>'1 datos preparados'!J769</f>
        <v/>
      </c>
      <c r="L776" s="7">
        <f>'1 datos preparados'!K769</f>
        <v/>
      </c>
      <c r="M776" s="7">
        <f>'1 datos preparados'!L769</f>
        <v/>
      </c>
      <c r="N776" s="7">
        <f>'1 datos preparados'!M769</f>
        <v/>
      </c>
      <c r="O776" s="7">
        <f>'1 datos preparados'!N769</f>
        <v/>
      </c>
      <c r="P776" s="7">
        <f>'1 datos preparados'!O769</f>
        <v/>
      </c>
      <c r="Q776" s="7">
        <f>'1 datos preparados'!P769</f>
        <v/>
      </c>
      <c r="R776" s="7">
        <f>'1 datos preparados'!Q769</f>
        <v/>
      </c>
      <c r="S776" s="7">
        <f>'1 datos preparados'!R769</f>
        <v/>
      </c>
      <c r="T776" s="7">
        <f>'1 datos preparados'!S769</f>
        <v/>
      </c>
      <c r="U776" s="7">
        <f>'1 datos preparados'!T769</f>
        <v/>
      </c>
      <c r="V776" s="8">
        <f>$AC$12+D776*$AC$13+E776*$AC$14+F776*$AC$15+G776*$AC$16+H776*$AC$17+I776*$AC$18+J776*$AC$19+K776*$AC$20+L776*$AC$21+M776*$AC$22+N776*$AC$23+O776*$AC$24+P776*$AC$25+Q776*$AC$26+R776*$AC$27+S776*$AC$28+T776*$AC$29+U776*$AC$30</f>
        <v/>
      </c>
      <c r="W776" s="8">
        <f>1/(1+EXP(-V776))</f>
        <v/>
      </c>
      <c r="X776" s="9">
        <f>-IF(C776=1,LN(W776),LN(1-W776))</f>
        <v/>
      </c>
      <c r="Y776" s="10">
        <f>IF(W776&gt;$AC$33,1,0)</f>
        <v/>
      </c>
      <c r="Z776">
        <f>IF(Y776=C776,1,0)</f>
        <v/>
      </c>
    </row>
    <row r="777">
      <c r="A777">
        <f>'1 datos preparados'!A770</f>
        <v/>
      </c>
      <c r="B777" s="5">
        <f>'1 datos preparados'!U770</f>
        <v/>
      </c>
      <c r="C777">
        <f>'1 datos preparados'!B770</f>
        <v/>
      </c>
      <c r="D777" s="7">
        <f>'1 datos preparados'!C770</f>
        <v/>
      </c>
      <c r="E777" s="7">
        <f>'1 datos preparados'!D770</f>
        <v/>
      </c>
      <c r="F777" s="7">
        <f>'1 datos preparados'!E770</f>
        <v/>
      </c>
      <c r="G777" s="7">
        <f>'1 datos preparados'!F770</f>
        <v/>
      </c>
      <c r="H777" s="7">
        <f>'1 datos preparados'!G770</f>
        <v/>
      </c>
      <c r="I777" s="7">
        <f>'1 datos preparados'!H770</f>
        <v/>
      </c>
      <c r="J777" s="7">
        <f>'1 datos preparados'!I770</f>
        <v/>
      </c>
      <c r="K777" s="7">
        <f>'1 datos preparados'!J770</f>
        <v/>
      </c>
      <c r="L777" s="7">
        <f>'1 datos preparados'!K770</f>
        <v/>
      </c>
      <c r="M777" s="7">
        <f>'1 datos preparados'!L770</f>
        <v/>
      </c>
      <c r="N777" s="7">
        <f>'1 datos preparados'!M770</f>
        <v/>
      </c>
      <c r="O777" s="7">
        <f>'1 datos preparados'!N770</f>
        <v/>
      </c>
      <c r="P777" s="7">
        <f>'1 datos preparados'!O770</f>
        <v/>
      </c>
      <c r="Q777" s="7">
        <f>'1 datos preparados'!P770</f>
        <v/>
      </c>
      <c r="R777" s="7">
        <f>'1 datos preparados'!Q770</f>
        <v/>
      </c>
      <c r="S777" s="7">
        <f>'1 datos preparados'!R770</f>
        <v/>
      </c>
      <c r="T777" s="7">
        <f>'1 datos preparados'!S770</f>
        <v/>
      </c>
      <c r="U777" s="7">
        <f>'1 datos preparados'!T770</f>
        <v/>
      </c>
      <c r="V777" s="8">
        <f>$AC$12+D777*$AC$13+E777*$AC$14+F777*$AC$15+G777*$AC$16+H777*$AC$17+I777*$AC$18+J777*$AC$19+K777*$AC$20+L777*$AC$21+M777*$AC$22+N777*$AC$23+O777*$AC$24+P777*$AC$25+Q777*$AC$26+R777*$AC$27+S777*$AC$28+T777*$AC$29+U777*$AC$30</f>
        <v/>
      </c>
      <c r="W777" s="8">
        <f>1/(1+EXP(-V777))</f>
        <v/>
      </c>
      <c r="X777" s="9">
        <f>-IF(C777=1,LN(W777),LN(1-W777))</f>
        <v/>
      </c>
      <c r="Y777" s="10">
        <f>IF(W777&gt;$AC$33,1,0)</f>
        <v/>
      </c>
      <c r="Z777">
        <f>IF(Y777=C777,1,0)</f>
        <v/>
      </c>
    </row>
    <row r="778">
      <c r="A778">
        <f>'1 datos preparados'!A771</f>
        <v/>
      </c>
      <c r="B778" s="5">
        <f>'1 datos preparados'!U771</f>
        <v/>
      </c>
      <c r="C778">
        <f>'1 datos preparados'!B771</f>
        <v/>
      </c>
      <c r="D778" s="7">
        <f>'1 datos preparados'!C771</f>
        <v/>
      </c>
      <c r="E778" s="7">
        <f>'1 datos preparados'!D771</f>
        <v/>
      </c>
      <c r="F778" s="7">
        <f>'1 datos preparados'!E771</f>
        <v/>
      </c>
      <c r="G778" s="7">
        <f>'1 datos preparados'!F771</f>
        <v/>
      </c>
      <c r="H778" s="7">
        <f>'1 datos preparados'!G771</f>
        <v/>
      </c>
      <c r="I778" s="7">
        <f>'1 datos preparados'!H771</f>
        <v/>
      </c>
      <c r="J778" s="7">
        <f>'1 datos preparados'!I771</f>
        <v/>
      </c>
      <c r="K778" s="7">
        <f>'1 datos preparados'!J771</f>
        <v/>
      </c>
      <c r="L778" s="7">
        <f>'1 datos preparados'!K771</f>
        <v/>
      </c>
      <c r="M778" s="7">
        <f>'1 datos preparados'!L771</f>
        <v/>
      </c>
      <c r="N778" s="7">
        <f>'1 datos preparados'!M771</f>
        <v/>
      </c>
      <c r="O778" s="7">
        <f>'1 datos preparados'!N771</f>
        <v/>
      </c>
      <c r="P778" s="7">
        <f>'1 datos preparados'!O771</f>
        <v/>
      </c>
      <c r="Q778" s="7">
        <f>'1 datos preparados'!P771</f>
        <v/>
      </c>
      <c r="R778" s="7">
        <f>'1 datos preparados'!Q771</f>
        <v/>
      </c>
      <c r="S778" s="7">
        <f>'1 datos preparados'!R771</f>
        <v/>
      </c>
      <c r="T778" s="7">
        <f>'1 datos preparados'!S771</f>
        <v/>
      </c>
      <c r="U778" s="7">
        <f>'1 datos preparados'!T771</f>
        <v/>
      </c>
      <c r="V778" s="8">
        <f>$AC$12+D778*$AC$13+E778*$AC$14+F778*$AC$15+G778*$AC$16+H778*$AC$17+I778*$AC$18+J778*$AC$19+K778*$AC$20+L778*$AC$21+M778*$AC$22+N778*$AC$23+O778*$AC$24+P778*$AC$25+Q778*$AC$26+R778*$AC$27+S778*$AC$28+T778*$AC$29+U778*$AC$30</f>
        <v/>
      </c>
      <c r="W778" s="8">
        <f>1/(1+EXP(-V778))</f>
        <v/>
      </c>
      <c r="X778" s="9">
        <f>-IF(C778=1,LN(W778),LN(1-W778))</f>
        <v/>
      </c>
      <c r="Y778" s="10">
        <f>IF(W778&gt;$AC$33,1,0)</f>
        <v/>
      </c>
      <c r="Z778">
        <f>IF(Y778=C778,1,0)</f>
        <v/>
      </c>
    </row>
    <row r="779">
      <c r="A779">
        <f>'1 datos preparados'!A772</f>
        <v/>
      </c>
      <c r="B779" s="5">
        <f>'1 datos preparados'!U772</f>
        <v/>
      </c>
      <c r="C779">
        <f>'1 datos preparados'!B772</f>
        <v/>
      </c>
      <c r="D779" s="7">
        <f>'1 datos preparados'!C772</f>
        <v/>
      </c>
      <c r="E779" s="7">
        <f>'1 datos preparados'!D772</f>
        <v/>
      </c>
      <c r="F779" s="7">
        <f>'1 datos preparados'!E772</f>
        <v/>
      </c>
      <c r="G779" s="7">
        <f>'1 datos preparados'!F772</f>
        <v/>
      </c>
      <c r="H779" s="7">
        <f>'1 datos preparados'!G772</f>
        <v/>
      </c>
      <c r="I779" s="7">
        <f>'1 datos preparados'!H772</f>
        <v/>
      </c>
      <c r="J779" s="7">
        <f>'1 datos preparados'!I772</f>
        <v/>
      </c>
      <c r="K779" s="7">
        <f>'1 datos preparados'!J772</f>
        <v/>
      </c>
      <c r="L779" s="7">
        <f>'1 datos preparados'!K772</f>
        <v/>
      </c>
      <c r="M779" s="7">
        <f>'1 datos preparados'!L772</f>
        <v/>
      </c>
      <c r="N779" s="7">
        <f>'1 datos preparados'!M772</f>
        <v/>
      </c>
      <c r="O779" s="7">
        <f>'1 datos preparados'!N772</f>
        <v/>
      </c>
      <c r="P779" s="7">
        <f>'1 datos preparados'!O772</f>
        <v/>
      </c>
      <c r="Q779" s="7">
        <f>'1 datos preparados'!P772</f>
        <v/>
      </c>
      <c r="R779" s="7">
        <f>'1 datos preparados'!Q772</f>
        <v/>
      </c>
      <c r="S779" s="7">
        <f>'1 datos preparados'!R772</f>
        <v/>
      </c>
      <c r="T779" s="7">
        <f>'1 datos preparados'!S772</f>
        <v/>
      </c>
      <c r="U779" s="7">
        <f>'1 datos preparados'!T772</f>
        <v/>
      </c>
      <c r="V779" s="8">
        <f>$AC$12+D779*$AC$13+E779*$AC$14+F779*$AC$15+G779*$AC$16+H779*$AC$17+I779*$AC$18+J779*$AC$19+K779*$AC$20+L779*$AC$21+M779*$AC$22+N779*$AC$23+O779*$AC$24+P779*$AC$25+Q779*$AC$26+R779*$AC$27+S779*$AC$28+T779*$AC$29+U779*$AC$30</f>
        <v/>
      </c>
      <c r="W779" s="8">
        <f>1/(1+EXP(-V779))</f>
        <v/>
      </c>
      <c r="X779" s="9">
        <f>-IF(C779=1,LN(W779),LN(1-W779))</f>
        <v/>
      </c>
      <c r="Y779" s="10">
        <f>IF(W779&gt;$AC$33,1,0)</f>
        <v/>
      </c>
      <c r="Z779">
        <f>IF(Y779=C779,1,0)</f>
        <v/>
      </c>
    </row>
    <row r="780">
      <c r="A780">
        <f>'1 datos preparados'!A773</f>
        <v/>
      </c>
      <c r="B780" s="5">
        <f>'1 datos preparados'!U773</f>
        <v/>
      </c>
      <c r="C780">
        <f>'1 datos preparados'!B773</f>
        <v/>
      </c>
      <c r="D780" s="7">
        <f>'1 datos preparados'!C773</f>
        <v/>
      </c>
      <c r="E780" s="7">
        <f>'1 datos preparados'!D773</f>
        <v/>
      </c>
      <c r="F780" s="7">
        <f>'1 datos preparados'!E773</f>
        <v/>
      </c>
      <c r="G780" s="7">
        <f>'1 datos preparados'!F773</f>
        <v/>
      </c>
      <c r="H780" s="7">
        <f>'1 datos preparados'!G773</f>
        <v/>
      </c>
      <c r="I780" s="7">
        <f>'1 datos preparados'!H773</f>
        <v/>
      </c>
      <c r="J780" s="7">
        <f>'1 datos preparados'!I773</f>
        <v/>
      </c>
      <c r="K780" s="7">
        <f>'1 datos preparados'!J773</f>
        <v/>
      </c>
      <c r="L780" s="7">
        <f>'1 datos preparados'!K773</f>
        <v/>
      </c>
      <c r="M780" s="7">
        <f>'1 datos preparados'!L773</f>
        <v/>
      </c>
      <c r="N780" s="7">
        <f>'1 datos preparados'!M773</f>
        <v/>
      </c>
      <c r="O780" s="7">
        <f>'1 datos preparados'!N773</f>
        <v/>
      </c>
      <c r="P780" s="7">
        <f>'1 datos preparados'!O773</f>
        <v/>
      </c>
      <c r="Q780" s="7">
        <f>'1 datos preparados'!P773</f>
        <v/>
      </c>
      <c r="R780" s="7">
        <f>'1 datos preparados'!Q773</f>
        <v/>
      </c>
      <c r="S780" s="7">
        <f>'1 datos preparados'!R773</f>
        <v/>
      </c>
      <c r="T780" s="7">
        <f>'1 datos preparados'!S773</f>
        <v/>
      </c>
      <c r="U780" s="7">
        <f>'1 datos preparados'!T773</f>
        <v/>
      </c>
      <c r="V780" s="8">
        <f>$AC$12+D780*$AC$13+E780*$AC$14+F780*$AC$15+G780*$AC$16+H780*$AC$17+I780*$AC$18+J780*$AC$19+K780*$AC$20+L780*$AC$21+M780*$AC$22+N780*$AC$23+O780*$AC$24+P780*$AC$25+Q780*$AC$26+R780*$AC$27+S780*$AC$28+T780*$AC$29+U780*$AC$30</f>
        <v/>
      </c>
      <c r="W780" s="8">
        <f>1/(1+EXP(-V780))</f>
        <v/>
      </c>
      <c r="X780" s="9">
        <f>-IF(C780=1,LN(W780),LN(1-W780))</f>
        <v/>
      </c>
      <c r="Y780" s="10">
        <f>IF(W780&gt;$AC$33,1,0)</f>
        <v/>
      </c>
      <c r="Z780">
        <f>IF(Y780=C780,1,0)</f>
        <v/>
      </c>
    </row>
    <row r="781">
      <c r="A781">
        <f>'1 datos preparados'!A774</f>
        <v/>
      </c>
      <c r="B781" s="5">
        <f>'1 datos preparados'!U774</f>
        <v/>
      </c>
      <c r="C781">
        <f>'1 datos preparados'!B774</f>
        <v/>
      </c>
      <c r="D781" s="7">
        <f>'1 datos preparados'!C774</f>
        <v/>
      </c>
      <c r="E781" s="7">
        <f>'1 datos preparados'!D774</f>
        <v/>
      </c>
      <c r="F781" s="7">
        <f>'1 datos preparados'!E774</f>
        <v/>
      </c>
      <c r="G781" s="7">
        <f>'1 datos preparados'!F774</f>
        <v/>
      </c>
      <c r="H781" s="7">
        <f>'1 datos preparados'!G774</f>
        <v/>
      </c>
      <c r="I781" s="7">
        <f>'1 datos preparados'!H774</f>
        <v/>
      </c>
      <c r="J781" s="7">
        <f>'1 datos preparados'!I774</f>
        <v/>
      </c>
      <c r="K781" s="7">
        <f>'1 datos preparados'!J774</f>
        <v/>
      </c>
      <c r="L781" s="7">
        <f>'1 datos preparados'!K774</f>
        <v/>
      </c>
      <c r="M781" s="7">
        <f>'1 datos preparados'!L774</f>
        <v/>
      </c>
      <c r="N781" s="7">
        <f>'1 datos preparados'!M774</f>
        <v/>
      </c>
      <c r="O781" s="7">
        <f>'1 datos preparados'!N774</f>
        <v/>
      </c>
      <c r="P781" s="7">
        <f>'1 datos preparados'!O774</f>
        <v/>
      </c>
      <c r="Q781" s="7">
        <f>'1 datos preparados'!P774</f>
        <v/>
      </c>
      <c r="R781" s="7">
        <f>'1 datos preparados'!Q774</f>
        <v/>
      </c>
      <c r="S781" s="7">
        <f>'1 datos preparados'!R774</f>
        <v/>
      </c>
      <c r="T781" s="7">
        <f>'1 datos preparados'!S774</f>
        <v/>
      </c>
      <c r="U781" s="7">
        <f>'1 datos preparados'!T774</f>
        <v/>
      </c>
      <c r="V781" s="8">
        <f>$AC$12+D781*$AC$13+E781*$AC$14+F781*$AC$15+G781*$AC$16+H781*$AC$17+I781*$AC$18+J781*$AC$19+K781*$AC$20+L781*$AC$21+M781*$AC$22+N781*$AC$23+O781*$AC$24+P781*$AC$25+Q781*$AC$26+R781*$AC$27+S781*$AC$28+T781*$AC$29+U781*$AC$30</f>
        <v/>
      </c>
      <c r="W781" s="8">
        <f>1/(1+EXP(-V781))</f>
        <v/>
      </c>
      <c r="X781" s="9">
        <f>-IF(C781=1,LN(W781),LN(1-W781))</f>
        <v/>
      </c>
      <c r="Y781" s="10">
        <f>IF(W781&gt;$AC$33,1,0)</f>
        <v/>
      </c>
      <c r="Z781">
        <f>IF(Y781=C781,1,0)</f>
        <v/>
      </c>
    </row>
    <row r="782">
      <c r="A782">
        <f>'1 datos preparados'!A775</f>
        <v/>
      </c>
      <c r="B782" s="5">
        <f>'1 datos preparados'!U775</f>
        <v/>
      </c>
      <c r="C782">
        <f>'1 datos preparados'!B775</f>
        <v/>
      </c>
      <c r="D782" s="7">
        <f>'1 datos preparados'!C775</f>
        <v/>
      </c>
      <c r="E782" s="7">
        <f>'1 datos preparados'!D775</f>
        <v/>
      </c>
      <c r="F782" s="7">
        <f>'1 datos preparados'!E775</f>
        <v/>
      </c>
      <c r="G782" s="7">
        <f>'1 datos preparados'!F775</f>
        <v/>
      </c>
      <c r="H782" s="7">
        <f>'1 datos preparados'!G775</f>
        <v/>
      </c>
      <c r="I782" s="7">
        <f>'1 datos preparados'!H775</f>
        <v/>
      </c>
      <c r="J782" s="7">
        <f>'1 datos preparados'!I775</f>
        <v/>
      </c>
      <c r="K782" s="7">
        <f>'1 datos preparados'!J775</f>
        <v/>
      </c>
      <c r="L782" s="7">
        <f>'1 datos preparados'!K775</f>
        <v/>
      </c>
      <c r="M782" s="7">
        <f>'1 datos preparados'!L775</f>
        <v/>
      </c>
      <c r="N782" s="7">
        <f>'1 datos preparados'!M775</f>
        <v/>
      </c>
      <c r="O782" s="7">
        <f>'1 datos preparados'!N775</f>
        <v/>
      </c>
      <c r="P782" s="7">
        <f>'1 datos preparados'!O775</f>
        <v/>
      </c>
      <c r="Q782" s="7">
        <f>'1 datos preparados'!P775</f>
        <v/>
      </c>
      <c r="R782" s="7">
        <f>'1 datos preparados'!Q775</f>
        <v/>
      </c>
      <c r="S782" s="7">
        <f>'1 datos preparados'!R775</f>
        <v/>
      </c>
      <c r="T782" s="7">
        <f>'1 datos preparados'!S775</f>
        <v/>
      </c>
      <c r="U782" s="7">
        <f>'1 datos preparados'!T775</f>
        <v/>
      </c>
      <c r="V782" s="8">
        <f>$AC$12+D782*$AC$13+E782*$AC$14+F782*$AC$15+G782*$AC$16+H782*$AC$17+I782*$AC$18+J782*$AC$19+K782*$AC$20+L782*$AC$21+M782*$AC$22+N782*$AC$23+O782*$AC$24+P782*$AC$25+Q782*$AC$26+R782*$AC$27+S782*$AC$28+T782*$AC$29+U782*$AC$30</f>
        <v/>
      </c>
      <c r="W782" s="8">
        <f>1/(1+EXP(-V782))</f>
        <v/>
      </c>
      <c r="X782" s="9">
        <f>-IF(C782=1,LN(W782),LN(1-W782))</f>
        <v/>
      </c>
      <c r="Y782" s="10">
        <f>IF(W782&gt;$AC$33,1,0)</f>
        <v/>
      </c>
      <c r="Z782">
        <f>IF(Y782=C782,1,0)</f>
        <v/>
      </c>
    </row>
    <row r="783">
      <c r="A783">
        <f>'1 datos preparados'!A776</f>
        <v/>
      </c>
      <c r="B783" s="5">
        <f>'1 datos preparados'!U776</f>
        <v/>
      </c>
      <c r="C783">
        <f>'1 datos preparados'!B776</f>
        <v/>
      </c>
      <c r="D783" s="7">
        <f>'1 datos preparados'!C776</f>
        <v/>
      </c>
      <c r="E783" s="7">
        <f>'1 datos preparados'!D776</f>
        <v/>
      </c>
      <c r="F783" s="7">
        <f>'1 datos preparados'!E776</f>
        <v/>
      </c>
      <c r="G783" s="7">
        <f>'1 datos preparados'!F776</f>
        <v/>
      </c>
      <c r="H783" s="7">
        <f>'1 datos preparados'!G776</f>
        <v/>
      </c>
      <c r="I783" s="7">
        <f>'1 datos preparados'!H776</f>
        <v/>
      </c>
      <c r="J783" s="7">
        <f>'1 datos preparados'!I776</f>
        <v/>
      </c>
      <c r="K783" s="7">
        <f>'1 datos preparados'!J776</f>
        <v/>
      </c>
      <c r="L783" s="7">
        <f>'1 datos preparados'!K776</f>
        <v/>
      </c>
      <c r="M783" s="7">
        <f>'1 datos preparados'!L776</f>
        <v/>
      </c>
      <c r="N783" s="7">
        <f>'1 datos preparados'!M776</f>
        <v/>
      </c>
      <c r="O783" s="7">
        <f>'1 datos preparados'!N776</f>
        <v/>
      </c>
      <c r="P783" s="7">
        <f>'1 datos preparados'!O776</f>
        <v/>
      </c>
      <c r="Q783" s="7">
        <f>'1 datos preparados'!P776</f>
        <v/>
      </c>
      <c r="R783" s="7">
        <f>'1 datos preparados'!Q776</f>
        <v/>
      </c>
      <c r="S783" s="7">
        <f>'1 datos preparados'!R776</f>
        <v/>
      </c>
      <c r="T783" s="7">
        <f>'1 datos preparados'!S776</f>
        <v/>
      </c>
      <c r="U783" s="7">
        <f>'1 datos preparados'!T776</f>
        <v/>
      </c>
      <c r="V783" s="8">
        <f>$AC$12+D783*$AC$13+E783*$AC$14+F783*$AC$15+G783*$AC$16+H783*$AC$17+I783*$AC$18+J783*$AC$19+K783*$AC$20+L783*$AC$21+M783*$AC$22+N783*$AC$23+O783*$AC$24+P783*$AC$25+Q783*$AC$26+R783*$AC$27+S783*$AC$28+T783*$AC$29+U783*$AC$30</f>
        <v/>
      </c>
      <c r="W783" s="8">
        <f>1/(1+EXP(-V783))</f>
        <v/>
      </c>
      <c r="X783" s="9">
        <f>-IF(C783=1,LN(W783),LN(1-W783))</f>
        <v/>
      </c>
      <c r="Y783" s="10">
        <f>IF(W783&gt;$AC$33,1,0)</f>
        <v/>
      </c>
      <c r="Z783">
        <f>IF(Y783=C783,1,0)</f>
        <v/>
      </c>
    </row>
    <row r="784">
      <c r="A784">
        <f>'1 datos preparados'!A777</f>
        <v/>
      </c>
      <c r="B784" s="5">
        <f>'1 datos preparados'!U777</f>
        <v/>
      </c>
      <c r="C784">
        <f>'1 datos preparados'!B777</f>
        <v/>
      </c>
      <c r="D784" s="7">
        <f>'1 datos preparados'!C777</f>
        <v/>
      </c>
      <c r="E784" s="7">
        <f>'1 datos preparados'!D777</f>
        <v/>
      </c>
      <c r="F784" s="7">
        <f>'1 datos preparados'!E777</f>
        <v/>
      </c>
      <c r="G784" s="7">
        <f>'1 datos preparados'!F777</f>
        <v/>
      </c>
      <c r="H784" s="7">
        <f>'1 datos preparados'!G777</f>
        <v/>
      </c>
      <c r="I784" s="7">
        <f>'1 datos preparados'!H777</f>
        <v/>
      </c>
      <c r="J784" s="7">
        <f>'1 datos preparados'!I777</f>
        <v/>
      </c>
      <c r="K784" s="7">
        <f>'1 datos preparados'!J777</f>
        <v/>
      </c>
      <c r="L784" s="7">
        <f>'1 datos preparados'!K777</f>
        <v/>
      </c>
      <c r="M784" s="7">
        <f>'1 datos preparados'!L777</f>
        <v/>
      </c>
      <c r="N784" s="7">
        <f>'1 datos preparados'!M777</f>
        <v/>
      </c>
      <c r="O784" s="7">
        <f>'1 datos preparados'!N777</f>
        <v/>
      </c>
      <c r="P784" s="7">
        <f>'1 datos preparados'!O777</f>
        <v/>
      </c>
      <c r="Q784" s="7">
        <f>'1 datos preparados'!P777</f>
        <v/>
      </c>
      <c r="R784" s="7">
        <f>'1 datos preparados'!Q777</f>
        <v/>
      </c>
      <c r="S784" s="7">
        <f>'1 datos preparados'!R777</f>
        <v/>
      </c>
      <c r="T784" s="7">
        <f>'1 datos preparados'!S777</f>
        <v/>
      </c>
      <c r="U784" s="7">
        <f>'1 datos preparados'!T777</f>
        <v/>
      </c>
      <c r="V784" s="8">
        <f>$AC$12+D784*$AC$13+E784*$AC$14+F784*$AC$15+G784*$AC$16+H784*$AC$17+I784*$AC$18+J784*$AC$19+K784*$AC$20+L784*$AC$21+M784*$AC$22+N784*$AC$23+O784*$AC$24+P784*$AC$25+Q784*$AC$26+R784*$AC$27+S784*$AC$28+T784*$AC$29+U784*$AC$30</f>
        <v/>
      </c>
      <c r="W784" s="8">
        <f>1/(1+EXP(-V784))</f>
        <v/>
      </c>
      <c r="X784" s="9">
        <f>-IF(C784=1,LN(W784),LN(1-W784))</f>
        <v/>
      </c>
      <c r="Y784" s="10">
        <f>IF(W784&gt;$AC$33,1,0)</f>
        <v/>
      </c>
      <c r="Z784">
        <f>IF(Y784=C784,1,0)</f>
        <v/>
      </c>
    </row>
    <row r="785">
      <c r="A785">
        <f>'1 datos preparados'!A778</f>
        <v/>
      </c>
      <c r="B785" s="5">
        <f>'1 datos preparados'!U778</f>
        <v/>
      </c>
      <c r="C785">
        <f>'1 datos preparados'!B778</f>
        <v/>
      </c>
      <c r="D785" s="7">
        <f>'1 datos preparados'!C778</f>
        <v/>
      </c>
      <c r="E785" s="7">
        <f>'1 datos preparados'!D778</f>
        <v/>
      </c>
      <c r="F785" s="7">
        <f>'1 datos preparados'!E778</f>
        <v/>
      </c>
      <c r="G785" s="7">
        <f>'1 datos preparados'!F778</f>
        <v/>
      </c>
      <c r="H785" s="7">
        <f>'1 datos preparados'!G778</f>
        <v/>
      </c>
      <c r="I785" s="7">
        <f>'1 datos preparados'!H778</f>
        <v/>
      </c>
      <c r="J785" s="7">
        <f>'1 datos preparados'!I778</f>
        <v/>
      </c>
      <c r="K785" s="7">
        <f>'1 datos preparados'!J778</f>
        <v/>
      </c>
      <c r="L785" s="7">
        <f>'1 datos preparados'!K778</f>
        <v/>
      </c>
      <c r="M785" s="7">
        <f>'1 datos preparados'!L778</f>
        <v/>
      </c>
      <c r="N785" s="7">
        <f>'1 datos preparados'!M778</f>
        <v/>
      </c>
      <c r="O785" s="7">
        <f>'1 datos preparados'!N778</f>
        <v/>
      </c>
      <c r="P785" s="7">
        <f>'1 datos preparados'!O778</f>
        <v/>
      </c>
      <c r="Q785" s="7">
        <f>'1 datos preparados'!P778</f>
        <v/>
      </c>
      <c r="R785" s="7">
        <f>'1 datos preparados'!Q778</f>
        <v/>
      </c>
      <c r="S785" s="7">
        <f>'1 datos preparados'!R778</f>
        <v/>
      </c>
      <c r="T785" s="7">
        <f>'1 datos preparados'!S778</f>
        <v/>
      </c>
      <c r="U785" s="7">
        <f>'1 datos preparados'!T778</f>
        <v/>
      </c>
      <c r="V785" s="8">
        <f>$AC$12+D785*$AC$13+E785*$AC$14+F785*$AC$15+G785*$AC$16+H785*$AC$17+I785*$AC$18+J785*$AC$19+K785*$AC$20+L785*$AC$21+M785*$AC$22+N785*$AC$23+O785*$AC$24+P785*$AC$25+Q785*$AC$26+R785*$AC$27+S785*$AC$28+T785*$AC$29+U785*$AC$30</f>
        <v/>
      </c>
      <c r="W785" s="8">
        <f>1/(1+EXP(-V785))</f>
        <v/>
      </c>
      <c r="X785" s="9">
        <f>-IF(C785=1,LN(W785),LN(1-W785))</f>
        <v/>
      </c>
      <c r="Y785" s="10">
        <f>IF(W785&gt;$AC$33,1,0)</f>
        <v/>
      </c>
      <c r="Z785">
        <f>IF(Y785=C785,1,0)</f>
        <v/>
      </c>
    </row>
    <row r="786">
      <c r="A786">
        <f>'1 datos preparados'!A779</f>
        <v/>
      </c>
      <c r="B786" s="5">
        <f>'1 datos preparados'!U779</f>
        <v/>
      </c>
      <c r="C786">
        <f>'1 datos preparados'!B779</f>
        <v/>
      </c>
      <c r="D786" s="7">
        <f>'1 datos preparados'!C779</f>
        <v/>
      </c>
      <c r="E786" s="7">
        <f>'1 datos preparados'!D779</f>
        <v/>
      </c>
      <c r="F786" s="7">
        <f>'1 datos preparados'!E779</f>
        <v/>
      </c>
      <c r="G786" s="7">
        <f>'1 datos preparados'!F779</f>
        <v/>
      </c>
      <c r="H786" s="7">
        <f>'1 datos preparados'!G779</f>
        <v/>
      </c>
      <c r="I786" s="7">
        <f>'1 datos preparados'!H779</f>
        <v/>
      </c>
      <c r="J786" s="7">
        <f>'1 datos preparados'!I779</f>
        <v/>
      </c>
      <c r="K786" s="7">
        <f>'1 datos preparados'!J779</f>
        <v/>
      </c>
      <c r="L786" s="7">
        <f>'1 datos preparados'!K779</f>
        <v/>
      </c>
      <c r="M786" s="7">
        <f>'1 datos preparados'!L779</f>
        <v/>
      </c>
      <c r="N786" s="7">
        <f>'1 datos preparados'!M779</f>
        <v/>
      </c>
      <c r="O786" s="7">
        <f>'1 datos preparados'!N779</f>
        <v/>
      </c>
      <c r="P786" s="7">
        <f>'1 datos preparados'!O779</f>
        <v/>
      </c>
      <c r="Q786" s="7">
        <f>'1 datos preparados'!P779</f>
        <v/>
      </c>
      <c r="R786" s="7">
        <f>'1 datos preparados'!Q779</f>
        <v/>
      </c>
      <c r="S786" s="7">
        <f>'1 datos preparados'!R779</f>
        <v/>
      </c>
      <c r="T786" s="7">
        <f>'1 datos preparados'!S779</f>
        <v/>
      </c>
      <c r="U786" s="7">
        <f>'1 datos preparados'!T779</f>
        <v/>
      </c>
      <c r="V786" s="8">
        <f>$AC$12+D786*$AC$13+E786*$AC$14+F786*$AC$15+G786*$AC$16+H786*$AC$17+I786*$AC$18+J786*$AC$19+K786*$AC$20+L786*$AC$21+M786*$AC$22+N786*$AC$23+O786*$AC$24+P786*$AC$25+Q786*$AC$26+R786*$AC$27+S786*$AC$28+T786*$AC$29+U786*$AC$30</f>
        <v/>
      </c>
      <c r="W786" s="8">
        <f>1/(1+EXP(-V786))</f>
        <v/>
      </c>
      <c r="X786" s="9">
        <f>-IF(C786=1,LN(W786),LN(1-W786))</f>
        <v/>
      </c>
      <c r="Y786" s="10">
        <f>IF(W786&gt;$AC$33,1,0)</f>
        <v/>
      </c>
      <c r="Z786">
        <f>IF(Y786=C786,1,0)</f>
        <v/>
      </c>
    </row>
    <row r="787">
      <c r="A787">
        <f>'1 datos preparados'!A780</f>
        <v/>
      </c>
      <c r="B787" s="5">
        <f>'1 datos preparados'!U780</f>
        <v/>
      </c>
      <c r="C787">
        <f>'1 datos preparados'!B780</f>
        <v/>
      </c>
      <c r="D787" s="7">
        <f>'1 datos preparados'!C780</f>
        <v/>
      </c>
      <c r="E787" s="7">
        <f>'1 datos preparados'!D780</f>
        <v/>
      </c>
      <c r="F787" s="7">
        <f>'1 datos preparados'!E780</f>
        <v/>
      </c>
      <c r="G787" s="7">
        <f>'1 datos preparados'!F780</f>
        <v/>
      </c>
      <c r="H787" s="7">
        <f>'1 datos preparados'!G780</f>
        <v/>
      </c>
      <c r="I787" s="7">
        <f>'1 datos preparados'!H780</f>
        <v/>
      </c>
      <c r="J787" s="7">
        <f>'1 datos preparados'!I780</f>
        <v/>
      </c>
      <c r="K787" s="7">
        <f>'1 datos preparados'!J780</f>
        <v/>
      </c>
      <c r="L787" s="7">
        <f>'1 datos preparados'!K780</f>
        <v/>
      </c>
      <c r="M787" s="7">
        <f>'1 datos preparados'!L780</f>
        <v/>
      </c>
      <c r="N787" s="7">
        <f>'1 datos preparados'!M780</f>
        <v/>
      </c>
      <c r="O787" s="7">
        <f>'1 datos preparados'!N780</f>
        <v/>
      </c>
      <c r="P787" s="7">
        <f>'1 datos preparados'!O780</f>
        <v/>
      </c>
      <c r="Q787" s="7">
        <f>'1 datos preparados'!P780</f>
        <v/>
      </c>
      <c r="R787" s="7">
        <f>'1 datos preparados'!Q780</f>
        <v/>
      </c>
      <c r="S787" s="7">
        <f>'1 datos preparados'!R780</f>
        <v/>
      </c>
      <c r="T787" s="7">
        <f>'1 datos preparados'!S780</f>
        <v/>
      </c>
      <c r="U787" s="7">
        <f>'1 datos preparados'!T780</f>
        <v/>
      </c>
      <c r="V787" s="8">
        <f>$AC$12+D787*$AC$13+E787*$AC$14+F787*$AC$15+G787*$AC$16+H787*$AC$17+I787*$AC$18+J787*$AC$19+K787*$AC$20+L787*$AC$21+M787*$AC$22+N787*$AC$23+O787*$AC$24+P787*$AC$25+Q787*$AC$26+R787*$AC$27+S787*$AC$28+T787*$AC$29+U787*$AC$30</f>
        <v/>
      </c>
      <c r="W787" s="8">
        <f>1/(1+EXP(-V787))</f>
        <v/>
      </c>
      <c r="X787" s="9">
        <f>-IF(C787=1,LN(W787),LN(1-W787))</f>
        <v/>
      </c>
      <c r="Y787" s="10">
        <f>IF(W787&gt;$AC$33,1,0)</f>
        <v/>
      </c>
      <c r="Z787">
        <f>IF(Y787=C787,1,0)</f>
        <v/>
      </c>
    </row>
    <row r="788">
      <c r="A788">
        <f>'1 datos preparados'!A781</f>
        <v/>
      </c>
      <c r="B788" s="5">
        <f>'1 datos preparados'!U781</f>
        <v/>
      </c>
      <c r="C788">
        <f>'1 datos preparados'!B781</f>
        <v/>
      </c>
      <c r="D788" s="7">
        <f>'1 datos preparados'!C781</f>
        <v/>
      </c>
      <c r="E788" s="7">
        <f>'1 datos preparados'!D781</f>
        <v/>
      </c>
      <c r="F788" s="7">
        <f>'1 datos preparados'!E781</f>
        <v/>
      </c>
      <c r="G788" s="7">
        <f>'1 datos preparados'!F781</f>
        <v/>
      </c>
      <c r="H788" s="7">
        <f>'1 datos preparados'!G781</f>
        <v/>
      </c>
      <c r="I788" s="7">
        <f>'1 datos preparados'!H781</f>
        <v/>
      </c>
      <c r="J788" s="7">
        <f>'1 datos preparados'!I781</f>
        <v/>
      </c>
      <c r="K788" s="7">
        <f>'1 datos preparados'!J781</f>
        <v/>
      </c>
      <c r="L788" s="7">
        <f>'1 datos preparados'!K781</f>
        <v/>
      </c>
      <c r="M788" s="7">
        <f>'1 datos preparados'!L781</f>
        <v/>
      </c>
      <c r="N788" s="7">
        <f>'1 datos preparados'!M781</f>
        <v/>
      </c>
      <c r="O788" s="7">
        <f>'1 datos preparados'!N781</f>
        <v/>
      </c>
      <c r="P788" s="7">
        <f>'1 datos preparados'!O781</f>
        <v/>
      </c>
      <c r="Q788" s="7">
        <f>'1 datos preparados'!P781</f>
        <v/>
      </c>
      <c r="R788" s="7">
        <f>'1 datos preparados'!Q781</f>
        <v/>
      </c>
      <c r="S788" s="7">
        <f>'1 datos preparados'!R781</f>
        <v/>
      </c>
      <c r="T788" s="7">
        <f>'1 datos preparados'!S781</f>
        <v/>
      </c>
      <c r="U788" s="7">
        <f>'1 datos preparados'!T781</f>
        <v/>
      </c>
      <c r="V788" s="8">
        <f>$AC$12+D788*$AC$13+E788*$AC$14+F788*$AC$15+G788*$AC$16+H788*$AC$17+I788*$AC$18+J788*$AC$19+K788*$AC$20+L788*$AC$21+M788*$AC$22+N788*$AC$23+O788*$AC$24+P788*$AC$25+Q788*$AC$26+R788*$AC$27+S788*$AC$28+T788*$AC$29+U788*$AC$30</f>
        <v/>
      </c>
      <c r="W788" s="8">
        <f>1/(1+EXP(-V788))</f>
        <v/>
      </c>
      <c r="X788" s="9">
        <f>-IF(C788=1,LN(W788),LN(1-W788))</f>
        <v/>
      </c>
      <c r="Y788" s="10">
        <f>IF(W788&gt;$AC$33,1,0)</f>
        <v/>
      </c>
      <c r="Z788">
        <f>IF(Y788=C788,1,0)</f>
        <v/>
      </c>
    </row>
    <row r="789">
      <c r="A789">
        <f>'1 datos preparados'!A782</f>
        <v/>
      </c>
      <c r="B789" s="5">
        <f>'1 datos preparados'!U782</f>
        <v/>
      </c>
      <c r="C789">
        <f>'1 datos preparados'!B782</f>
        <v/>
      </c>
      <c r="D789" s="7">
        <f>'1 datos preparados'!C782</f>
        <v/>
      </c>
      <c r="E789" s="7">
        <f>'1 datos preparados'!D782</f>
        <v/>
      </c>
      <c r="F789" s="7">
        <f>'1 datos preparados'!E782</f>
        <v/>
      </c>
      <c r="G789" s="7">
        <f>'1 datos preparados'!F782</f>
        <v/>
      </c>
      <c r="H789" s="7">
        <f>'1 datos preparados'!G782</f>
        <v/>
      </c>
      <c r="I789" s="7">
        <f>'1 datos preparados'!H782</f>
        <v/>
      </c>
      <c r="J789" s="7">
        <f>'1 datos preparados'!I782</f>
        <v/>
      </c>
      <c r="K789" s="7">
        <f>'1 datos preparados'!J782</f>
        <v/>
      </c>
      <c r="L789" s="7">
        <f>'1 datos preparados'!K782</f>
        <v/>
      </c>
      <c r="M789" s="7">
        <f>'1 datos preparados'!L782</f>
        <v/>
      </c>
      <c r="N789" s="7">
        <f>'1 datos preparados'!M782</f>
        <v/>
      </c>
      <c r="O789" s="7">
        <f>'1 datos preparados'!N782</f>
        <v/>
      </c>
      <c r="P789" s="7">
        <f>'1 datos preparados'!O782</f>
        <v/>
      </c>
      <c r="Q789" s="7">
        <f>'1 datos preparados'!P782</f>
        <v/>
      </c>
      <c r="R789" s="7">
        <f>'1 datos preparados'!Q782</f>
        <v/>
      </c>
      <c r="S789" s="7">
        <f>'1 datos preparados'!R782</f>
        <v/>
      </c>
      <c r="T789" s="7">
        <f>'1 datos preparados'!S782</f>
        <v/>
      </c>
      <c r="U789" s="7">
        <f>'1 datos preparados'!T782</f>
        <v/>
      </c>
      <c r="V789" s="8">
        <f>$AC$12+D789*$AC$13+E789*$AC$14+F789*$AC$15+G789*$AC$16+H789*$AC$17+I789*$AC$18+J789*$AC$19+K789*$AC$20+L789*$AC$21+M789*$AC$22+N789*$AC$23+O789*$AC$24+P789*$AC$25+Q789*$AC$26+R789*$AC$27+S789*$AC$28+T789*$AC$29+U789*$AC$30</f>
        <v/>
      </c>
      <c r="W789" s="8">
        <f>1/(1+EXP(-V789))</f>
        <v/>
      </c>
      <c r="X789" s="9">
        <f>-IF(C789=1,LN(W789),LN(1-W789))</f>
        <v/>
      </c>
      <c r="Y789" s="10">
        <f>IF(W789&gt;$AC$33,1,0)</f>
        <v/>
      </c>
      <c r="Z789">
        <f>IF(Y789=C789,1,0)</f>
        <v/>
      </c>
    </row>
    <row r="790">
      <c r="A790">
        <f>'1 datos preparados'!A783</f>
        <v/>
      </c>
      <c r="B790" s="5">
        <f>'1 datos preparados'!U783</f>
        <v/>
      </c>
      <c r="C790">
        <f>'1 datos preparados'!B783</f>
        <v/>
      </c>
      <c r="D790" s="7">
        <f>'1 datos preparados'!C783</f>
        <v/>
      </c>
      <c r="E790" s="7">
        <f>'1 datos preparados'!D783</f>
        <v/>
      </c>
      <c r="F790" s="7">
        <f>'1 datos preparados'!E783</f>
        <v/>
      </c>
      <c r="G790" s="7">
        <f>'1 datos preparados'!F783</f>
        <v/>
      </c>
      <c r="H790" s="7">
        <f>'1 datos preparados'!G783</f>
        <v/>
      </c>
      <c r="I790" s="7">
        <f>'1 datos preparados'!H783</f>
        <v/>
      </c>
      <c r="J790" s="7">
        <f>'1 datos preparados'!I783</f>
        <v/>
      </c>
      <c r="K790" s="7">
        <f>'1 datos preparados'!J783</f>
        <v/>
      </c>
      <c r="L790" s="7">
        <f>'1 datos preparados'!K783</f>
        <v/>
      </c>
      <c r="M790" s="7">
        <f>'1 datos preparados'!L783</f>
        <v/>
      </c>
      <c r="N790" s="7">
        <f>'1 datos preparados'!M783</f>
        <v/>
      </c>
      <c r="O790" s="7">
        <f>'1 datos preparados'!N783</f>
        <v/>
      </c>
      <c r="P790" s="7">
        <f>'1 datos preparados'!O783</f>
        <v/>
      </c>
      <c r="Q790" s="7">
        <f>'1 datos preparados'!P783</f>
        <v/>
      </c>
      <c r="R790" s="7">
        <f>'1 datos preparados'!Q783</f>
        <v/>
      </c>
      <c r="S790" s="7">
        <f>'1 datos preparados'!R783</f>
        <v/>
      </c>
      <c r="T790" s="7">
        <f>'1 datos preparados'!S783</f>
        <v/>
      </c>
      <c r="U790" s="7">
        <f>'1 datos preparados'!T783</f>
        <v/>
      </c>
      <c r="V790" s="8">
        <f>$AC$12+D790*$AC$13+E790*$AC$14+F790*$AC$15+G790*$AC$16+H790*$AC$17+I790*$AC$18+J790*$AC$19+K790*$AC$20+L790*$AC$21+M790*$AC$22+N790*$AC$23+O790*$AC$24+P790*$AC$25+Q790*$AC$26+R790*$AC$27+S790*$AC$28+T790*$AC$29+U790*$AC$30</f>
        <v/>
      </c>
      <c r="W790" s="8">
        <f>1/(1+EXP(-V790))</f>
        <v/>
      </c>
      <c r="X790" s="9">
        <f>-IF(C790=1,LN(W790),LN(1-W790))</f>
        <v/>
      </c>
      <c r="Y790" s="10">
        <f>IF(W790&gt;$AC$33,1,0)</f>
        <v/>
      </c>
      <c r="Z790">
        <f>IF(Y790=C790,1,0)</f>
        <v/>
      </c>
    </row>
    <row r="791">
      <c r="A791">
        <f>'1 datos preparados'!A784</f>
        <v/>
      </c>
      <c r="B791" s="5">
        <f>'1 datos preparados'!U784</f>
        <v/>
      </c>
      <c r="C791">
        <f>'1 datos preparados'!B784</f>
        <v/>
      </c>
      <c r="D791" s="7">
        <f>'1 datos preparados'!C784</f>
        <v/>
      </c>
      <c r="E791" s="7">
        <f>'1 datos preparados'!D784</f>
        <v/>
      </c>
      <c r="F791" s="7">
        <f>'1 datos preparados'!E784</f>
        <v/>
      </c>
      <c r="G791" s="7">
        <f>'1 datos preparados'!F784</f>
        <v/>
      </c>
      <c r="H791" s="7">
        <f>'1 datos preparados'!G784</f>
        <v/>
      </c>
      <c r="I791" s="7">
        <f>'1 datos preparados'!H784</f>
        <v/>
      </c>
      <c r="J791" s="7">
        <f>'1 datos preparados'!I784</f>
        <v/>
      </c>
      <c r="K791" s="7">
        <f>'1 datos preparados'!J784</f>
        <v/>
      </c>
      <c r="L791" s="7">
        <f>'1 datos preparados'!K784</f>
        <v/>
      </c>
      <c r="M791" s="7">
        <f>'1 datos preparados'!L784</f>
        <v/>
      </c>
      <c r="N791" s="7">
        <f>'1 datos preparados'!M784</f>
        <v/>
      </c>
      <c r="O791" s="7">
        <f>'1 datos preparados'!N784</f>
        <v/>
      </c>
      <c r="P791" s="7">
        <f>'1 datos preparados'!O784</f>
        <v/>
      </c>
      <c r="Q791" s="7">
        <f>'1 datos preparados'!P784</f>
        <v/>
      </c>
      <c r="R791" s="7">
        <f>'1 datos preparados'!Q784</f>
        <v/>
      </c>
      <c r="S791" s="7">
        <f>'1 datos preparados'!R784</f>
        <v/>
      </c>
      <c r="T791" s="7">
        <f>'1 datos preparados'!S784</f>
        <v/>
      </c>
      <c r="U791" s="7">
        <f>'1 datos preparados'!T784</f>
        <v/>
      </c>
      <c r="V791" s="8">
        <f>$AC$12+D791*$AC$13+E791*$AC$14+F791*$AC$15+G791*$AC$16+H791*$AC$17+I791*$AC$18+J791*$AC$19+K791*$AC$20+L791*$AC$21+M791*$AC$22+N791*$AC$23+O791*$AC$24+P791*$AC$25+Q791*$AC$26+R791*$AC$27+S791*$AC$28+T791*$AC$29+U791*$AC$30</f>
        <v/>
      </c>
      <c r="W791" s="8">
        <f>1/(1+EXP(-V791))</f>
        <v/>
      </c>
      <c r="X791" s="9">
        <f>-IF(C791=1,LN(W791),LN(1-W791))</f>
        <v/>
      </c>
      <c r="Y791" s="10">
        <f>IF(W791&gt;$AC$33,1,0)</f>
        <v/>
      </c>
      <c r="Z791">
        <f>IF(Y791=C791,1,0)</f>
        <v/>
      </c>
    </row>
    <row r="792">
      <c r="A792">
        <f>'1 datos preparados'!A785</f>
        <v/>
      </c>
      <c r="B792" s="5">
        <f>'1 datos preparados'!U785</f>
        <v/>
      </c>
      <c r="C792">
        <f>'1 datos preparados'!B785</f>
        <v/>
      </c>
      <c r="D792" s="7">
        <f>'1 datos preparados'!C785</f>
        <v/>
      </c>
      <c r="E792" s="7">
        <f>'1 datos preparados'!D785</f>
        <v/>
      </c>
      <c r="F792" s="7">
        <f>'1 datos preparados'!E785</f>
        <v/>
      </c>
      <c r="G792" s="7">
        <f>'1 datos preparados'!F785</f>
        <v/>
      </c>
      <c r="H792" s="7">
        <f>'1 datos preparados'!G785</f>
        <v/>
      </c>
      <c r="I792" s="7">
        <f>'1 datos preparados'!H785</f>
        <v/>
      </c>
      <c r="J792" s="7">
        <f>'1 datos preparados'!I785</f>
        <v/>
      </c>
      <c r="K792" s="7">
        <f>'1 datos preparados'!J785</f>
        <v/>
      </c>
      <c r="L792" s="7">
        <f>'1 datos preparados'!K785</f>
        <v/>
      </c>
      <c r="M792" s="7">
        <f>'1 datos preparados'!L785</f>
        <v/>
      </c>
      <c r="N792" s="7">
        <f>'1 datos preparados'!M785</f>
        <v/>
      </c>
      <c r="O792" s="7">
        <f>'1 datos preparados'!N785</f>
        <v/>
      </c>
      <c r="P792" s="7">
        <f>'1 datos preparados'!O785</f>
        <v/>
      </c>
      <c r="Q792" s="7">
        <f>'1 datos preparados'!P785</f>
        <v/>
      </c>
      <c r="R792" s="7">
        <f>'1 datos preparados'!Q785</f>
        <v/>
      </c>
      <c r="S792" s="7">
        <f>'1 datos preparados'!R785</f>
        <v/>
      </c>
      <c r="T792" s="7">
        <f>'1 datos preparados'!S785</f>
        <v/>
      </c>
      <c r="U792" s="7">
        <f>'1 datos preparados'!T785</f>
        <v/>
      </c>
      <c r="V792" s="8">
        <f>$AC$12+D792*$AC$13+E792*$AC$14+F792*$AC$15+G792*$AC$16+H792*$AC$17+I792*$AC$18+J792*$AC$19+K792*$AC$20+L792*$AC$21+M792*$AC$22+N792*$AC$23+O792*$AC$24+P792*$AC$25+Q792*$AC$26+R792*$AC$27+S792*$AC$28+T792*$AC$29+U792*$AC$30</f>
        <v/>
      </c>
      <c r="W792" s="8">
        <f>1/(1+EXP(-V792))</f>
        <v/>
      </c>
      <c r="X792" s="9">
        <f>-IF(C792=1,LN(W792),LN(1-W792))</f>
        <v/>
      </c>
      <c r="Y792" s="10">
        <f>IF(W792&gt;$AC$33,1,0)</f>
        <v/>
      </c>
      <c r="Z792">
        <f>IF(Y792=C792,1,0)</f>
        <v/>
      </c>
    </row>
    <row r="793">
      <c r="A793">
        <f>'1 datos preparados'!A786</f>
        <v/>
      </c>
      <c r="B793" s="5">
        <f>'1 datos preparados'!U786</f>
        <v/>
      </c>
      <c r="C793">
        <f>'1 datos preparados'!B786</f>
        <v/>
      </c>
      <c r="D793" s="7">
        <f>'1 datos preparados'!C786</f>
        <v/>
      </c>
      <c r="E793" s="7">
        <f>'1 datos preparados'!D786</f>
        <v/>
      </c>
      <c r="F793" s="7">
        <f>'1 datos preparados'!E786</f>
        <v/>
      </c>
      <c r="G793" s="7">
        <f>'1 datos preparados'!F786</f>
        <v/>
      </c>
      <c r="H793" s="7">
        <f>'1 datos preparados'!G786</f>
        <v/>
      </c>
      <c r="I793" s="7">
        <f>'1 datos preparados'!H786</f>
        <v/>
      </c>
      <c r="J793" s="7">
        <f>'1 datos preparados'!I786</f>
        <v/>
      </c>
      <c r="K793" s="7">
        <f>'1 datos preparados'!J786</f>
        <v/>
      </c>
      <c r="L793" s="7">
        <f>'1 datos preparados'!K786</f>
        <v/>
      </c>
      <c r="M793" s="7">
        <f>'1 datos preparados'!L786</f>
        <v/>
      </c>
      <c r="N793" s="7">
        <f>'1 datos preparados'!M786</f>
        <v/>
      </c>
      <c r="O793" s="7">
        <f>'1 datos preparados'!N786</f>
        <v/>
      </c>
      <c r="P793" s="7">
        <f>'1 datos preparados'!O786</f>
        <v/>
      </c>
      <c r="Q793" s="7">
        <f>'1 datos preparados'!P786</f>
        <v/>
      </c>
      <c r="R793" s="7">
        <f>'1 datos preparados'!Q786</f>
        <v/>
      </c>
      <c r="S793" s="7">
        <f>'1 datos preparados'!R786</f>
        <v/>
      </c>
      <c r="T793" s="7">
        <f>'1 datos preparados'!S786</f>
        <v/>
      </c>
      <c r="U793" s="7">
        <f>'1 datos preparados'!T786</f>
        <v/>
      </c>
      <c r="V793" s="8">
        <f>$AC$12+D793*$AC$13+E793*$AC$14+F793*$AC$15+G793*$AC$16+H793*$AC$17+I793*$AC$18+J793*$AC$19+K793*$AC$20+L793*$AC$21+M793*$AC$22+N793*$AC$23+O793*$AC$24+P793*$AC$25+Q793*$AC$26+R793*$AC$27+S793*$AC$28+T793*$AC$29+U793*$AC$30</f>
        <v/>
      </c>
      <c r="W793" s="8">
        <f>1/(1+EXP(-V793))</f>
        <v/>
      </c>
      <c r="X793" s="9">
        <f>-IF(C793=1,LN(W793),LN(1-W793))</f>
        <v/>
      </c>
      <c r="Y793" s="10">
        <f>IF(W793&gt;$AC$33,1,0)</f>
        <v/>
      </c>
      <c r="Z793">
        <f>IF(Y793=C793,1,0)</f>
        <v/>
      </c>
    </row>
    <row r="794">
      <c r="A794">
        <f>'1 datos preparados'!A787</f>
        <v/>
      </c>
      <c r="B794" s="5">
        <f>'1 datos preparados'!U787</f>
        <v/>
      </c>
      <c r="C794">
        <f>'1 datos preparados'!B787</f>
        <v/>
      </c>
      <c r="D794" s="7">
        <f>'1 datos preparados'!C787</f>
        <v/>
      </c>
      <c r="E794" s="7">
        <f>'1 datos preparados'!D787</f>
        <v/>
      </c>
      <c r="F794" s="7">
        <f>'1 datos preparados'!E787</f>
        <v/>
      </c>
      <c r="G794" s="7">
        <f>'1 datos preparados'!F787</f>
        <v/>
      </c>
      <c r="H794" s="7">
        <f>'1 datos preparados'!G787</f>
        <v/>
      </c>
      <c r="I794" s="7">
        <f>'1 datos preparados'!H787</f>
        <v/>
      </c>
      <c r="J794" s="7">
        <f>'1 datos preparados'!I787</f>
        <v/>
      </c>
      <c r="K794" s="7">
        <f>'1 datos preparados'!J787</f>
        <v/>
      </c>
      <c r="L794" s="7">
        <f>'1 datos preparados'!K787</f>
        <v/>
      </c>
      <c r="M794" s="7">
        <f>'1 datos preparados'!L787</f>
        <v/>
      </c>
      <c r="N794" s="7">
        <f>'1 datos preparados'!M787</f>
        <v/>
      </c>
      <c r="O794" s="7">
        <f>'1 datos preparados'!N787</f>
        <v/>
      </c>
      <c r="P794" s="7">
        <f>'1 datos preparados'!O787</f>
        <v/>
      </c>
      <c r="Q794" s="7">
        <f>'1 datos preparados'!P787</f>
        <v/>
      </c>
      <c r="R794" s="7">
        <f>'1 datos preparados'!Q787</f>
        <v/>
      </c>
      <c r="S794" s="7">
        <f>'1 datos preparados'!R787</f>
        <v/>
      </c>
      <c r="T794" s="7">
        <f>'1 datos preparados'!S787</f>
        <v/>
      </c>
      <c r="U794" s="7">
        <f>'1 datos preparados'!T787</f>
        <v/>
      </c>
      <c r="V794" s="8">
        <f>$AC$12+D794*$AC$13+E794*$AC$14+F794*$AC$15+G794*$AC$16+H794*$AC$17+I794*$AC$18+J794*$AC$19+K794*$AC$20+L794*$AC$21+M794*$AC$22+N794*$AC$23+O794*$AC$24+P794*$AC$25+Q794*$AC$26+R794*$AC$27+S794*$AC$28+T794*$AC$29+U794*$AC$30</f>
        <v/>
      </c>
      <c r="W794" s="8">
        <f>1/(1+EXP(-V794))</f>
        <v/>
      </c>
      <c r="X794" s="9">
        <f>-IF(C794=1,LN(W794),LN(1-W794))</f>
        <v/>
      </c>
      <c r="Y794" s="10">
        <f>IF(W794&gt;$AC$33,1,0)</f>
        <v/>
      </c>
      <c r="Z794">
        <f>IF(Y794=C794,1,0)</f>
        <v/>
      </c>
    </row>
    <row r="795">
      <c r="A795">
        <f>'1 datos preparados'!A788</f>
        <v/>
      </c>
      <c r="B795" s="5">
        <f>'1 datos preparados'!U788</f>
        <v/>
      </c>
      <c r="C795">
        <f>'1 datos preparados'!B788</f>
        <v/>
      </c>
      <c r="D795" s="7">
        <f>'1 datos preparados'!C788</f>
        <v/>
      </c>
      <c r="E795" s="7">
        <f>'1 datos preparados'!D788</f>
        <v/>
      </c>
      <c r="F795" s="7">
        <f>'1 datos preparados'!E788</f>
        <v/>
      </c>
      <c r="G795" s="7">
        <f>'1 datos preparados'!F788</f>
        <v/>
      </c>
      <c r="H795" s="7">
        <f>'1 datos preparados'!G788</f>
        <v/>
      </c>
      <c r="I795" s="7">
        <f>'1 datos preparados'!H788</f>
        <v/>
      </c>
      <c r="J795" s="7">
        <f>'1 datos preparados'!I788</f>
        <v/>
      </c>
      <c r="K795" s="7">
        <f>'1 datos preparados'!J788</f>
        <v/>
      </c>
      <c r="L795" s="7">
        <f>'1 datos preparados'!K788</f>
        <v/>
      </c>
      <c r="M795" s="7">
        <f>'1 datos preparados'!L788</f>
        <v/>
      </c>
      <c r="N795" s="7">
        <f>'1 datos preparados'!M788</f>
        <v/>
      </c>
      <c r="O795" s="7">
        <f>'1 datos preparados'!N788</f>
        <v/>
      </c>
      <c r="P795" s="7">
        <f>'1 datos preparados'!O788</f>
        <v/>
      </c>
      <c r="Q795" s="7">
        <f>'1 datos preparados'!P788</f>
        <v/>
      </c>
      <c r="R795" s="7">
        <f>'1 datos preparados'!Q788</f>
        <v/>
      </c>
      <c r="S795" s="7">
        <f>'1 datos preparados'!R788</f>
        <v/>
      </c>
      <c r="T795" s="7">
        <f>'1 datos preparados'!S788</f>
        <v/>
      </c>
      <c r="U795" s="7">
        <f>'1 datos preparados'!T788</f>
        <v/>
      </c>
      <c r="V795" s="8">
        <f>$AC$12+D795*$AC$13+E795*$AC$14+F795*$AC$15+G795*$AC$16+H795*$AC$17+I795*$AC$18+J795*$AC$19+K795*$AC$20+L795*$AC$21+M795*$AC$22+N795*$AC$23+O795*$AC$24+P795*$AC$25+Q795*$AC$26+R795*$AC$27+S795*$AC$28+T795*$AC$29+U795*$AC$30</f>
        <v/>
      </c>
      <c r="W795" s="8">
        <f>1/(1+EXP(-V795))</f>
        <v/>
      </c>
      <c r="X795" s="9">
        <f>-IF(C795=1,LN(W795),LN(1-W795))</f>
        <v/>
      </c>
      <c r="Y795" s="10">
        <f>IF(W795&gt;$AC$33,1,0)</f>
        <v/>
      </c>
      <c r="Z795">
        <f>IF(Y795=C795,1,0)</f>
        <v/>
      </c>
    </row>
    <row r="796">
      <c r="A796">
        <f>'1 datos preparados'!A789</f>
        <v/>
      </c>
      <c r="B796" s="5">
        <f>'1 datos preparados'!U789</f>
        <v/>
      </c>
      <c r="C796">
        <f>'1 datos preparados'!B789</f>
        <v/>
      </c>
      <c r="D796" s="7">
        <f>'1 datos preparados'!C789</f>
        <v/>
      </c>
      <c r="E796" s="7">
        <f>'1 datos preparados'!D789</f>
        <v/>
      </c>
      <c r="F796" s="7">
        <f>'1 datos preparados'!E789</f>
        <v/>
      </c>
      <c r="G796" s="7">
        <f>'1 datos preparados'!F789</f>
        <v/>
      </c>
      <c r="H796" s="7">
        <f>'1 datos preparados'!G789</f>
        <v/>
      </c>
      <c r="I796" s="7">
        <f>'1 datos preparados'!H789</f>
        <v/>
      </c>
      <c r="J796" s="7">
        <f>'1 datos preparados'!I789</f>
        <v/>
      </c>
      <c r="K796" s="7">
        <f>'1 datos preparados'!J789</f>
        <v/>
      </c>
      <c r="L796" s="7">
        <f>'1 datos preparados'!K789</f>
        <v/>
      </c>
      <c r="M796" s="7">
        <f>'1 datos preparados'!L789</f>
        <v/>
      </c>
      <c r="N796" s="7">
        <f>'1 datos preparados'!M789</f>
        <v/>
      </c>
      <c r="O796" s="7">
        <f>'1 datos preparados'!N789</f>
        <v/>
      </c>
      <c r="P796" s="7">
        <f>'1 datos preparados'!O789</f>
        <v/>
      </c>
      <c r="Q796" s="7">
        <f>'1 datos preparados'!P789</f>
        <v/>
      </c>
      <c r="R796" s="7">
        <f>'1 datos preparados'!Q789</f>
        <v/>
      </c>
      <c r="S796" s="7">
        <f>'1 datos preparados'!R789</f>
        <v/>
      </c>
      <c r="T796" s="7">
        <f>'1 datos preparados'!S789</f>
        <v/>
      </c>
      <c r="U796" s="7">
        <f>'1 datos preparados'!T789</f>
        <v/>
      </c>
      <c r="V796" s="8">
        <f>$AC$12+D796*$AC$13+E796*$AC$14+F796*$AC$15+G796*$AC$16+H796*$AC$17+I796*$AC$18+J796*$AC$19+K796*$AC$20+L796*$AC$21+M796*$AC$22+N796*$AC$23+O796*$AC$24+P796*$AC$25+Q796*$AC$26+R796*$AC$27+S796*$AC$28+T796*$AC$29+U796*$AC$30</f>
        <v/>
      </c>
      <c r="W796" s="8">
        <f>1/(1+EXP(-V796))</f>
        <v/>
      </c>
      <c r="X796" s="9">
        <f>-IF(C796=1,LN(W796),LN(1-W796))</f>
        <v/>
      </c>
      <c r="Y796" s="10">
        <f>IF(W796&gt;$AC$33,1,0)</f>
        <v/>
      </c>
      <c r="Z796">
        <f>IF(Y796=C796,1,0)</f>
        <v/>
      </c>
    </row>
    <row r="797">
      <c r="A797">
        <f>'1 datos preparados'!A790</f>
        <v/>
      </c>
      <c r="B797" s="5">
        <f>'1 datos preparados'!U790</f>
        <v/>
      </c>
      <c r="C797">
        <f>'1 datos preparados'!B790</f>
        <v/>
      </c>
      <c r="D797" s="7">
        <f>'1 datos preparados'!C790</f>
        <v/>
      </c>
      <c r="E797" s="7">
        <f>'1 datos preparados'!D790</f>
        <v/>
      </c>
      <c r="F797" s="7">
        <f>'1 datos preparados'!E790</f>
        <v/>
      </c>
      <c r="G797" s="7">
        <f>'1 datos preparados'!F790</f>
        <v/>
      </c>
      <c r="H797" s="7">
        <f>'1 datos preparados'!G790</f>
        <v/>
      </c>
      <c r="I797" s="7">
        <f>'1 datos preparados'!H790</f>
        <v/>
      </c>
      <c r="J797" s="7">
        <f>'1 datos preparados'!I790</f>
        <v/>
      </c>
      <c r="K797" s="7">
        <f>'1 datos preparados'!J790</f>
        <v/>
      </c>
      <c r="L797" s="7">
        <f>'1 datos preparados'!K790</f>
        <v/>
      </c>
      <c r="M797" s="7">
        <f>'1 datos preparados'!L790</f>
        <v/>
      </c>
      <c r="N797" s="7">
        <f>'1 datos preparados'!M790</f>
        <v/>
      </c>
      <c r="O797" s="7">
        <f>'1 datos preparados'!N790</f>
        <v/>
      </c>
      <c r="P797" s="7">
        <f>'1 datos preparados'!O790</f>
        <v/>
      </c>
      <c r="Q797" s="7">
        <f>'1 datos preparados'!P790</f>
        <v/>
      </c>
      <c r="R797" s="7">
        <f>'1 datos preparados'!Q790</f>
        <v/>
      </c>
      <c r="S797" s="7">
        <f>'1 datos preparados'!R790</f>
        <v/>
      </c>
      <c r="T797" s="7">
        <f>'1 datos preparados'!S790</f>
        <v/>
      </c>
      <c r="U797" s="7">
        <f>'1 datos preparados'!T790</f>
        <v/>
      </c>
      <c r="V797" s="8">
        <f>$AC$12+D797*$AC$13+E797*$AC$14+F797*$AC$15+G797*$AC$16+H797*$AC$17+I797*$AC$18+J797*$AC$19+K797*$AC$20+L797*$AC$21+M797*$AC$22+N797*$AC$23+O797*$AC$24+P797*$AC$25+Q797*$AC$26+R797*$AC$27+S797*$AC$28+T797*$AC$29+U797*$AC$30</f>
        <v/>
      </c>
      <c r="W797" s="8">
        <f>1/(1+EXP(-V797))</f>
        <v/>
      </c>
      <c r="X797" s="9">
        <f>-IF(C797=1,LN(W797),LN(1-W797))</f>
        <v/>
      </c>
      <c r="Y797" s="10">
        <f>IF(W797&gt;$AC$33,1,0)</f>
        <v/>
      </c>
      <c r="Z797">
        <f>IF(Y797=C797,1,0)</f>
        <v/>
      </c>
    </row>
    <row r="798">
      <c r="A798">
        <f>'1 datos preparados'!A791</f>
        <v/>
      </c>
      <c r="B798" s="5">
        <f>'1 datos preparados'!U791</f>
        <v/>
      </c>
      <c r="C798">
        <f>'1 datos preparados'!B791</f>
        <v/>
      </c>
      <c r="D798" s="7">
        <f>'1 datos preparados'!C791</f>
        <v/>
      </c>
      <c r="E798" s="7">
        <f>'1 datos preparados'!D791</f>
        <v/>
      </c>
      <c r="F798" s="7">
        <f>'1 datos preparados'!E791</f>
        <v/>
      </c>
      <c r="G798" s="7">
        <f>'1 datos preparados'!F791</f>
        <v/>
      </c>
      <c r="H798" s="7">
        <f>'1 datos preparados'!G791</f>
        <v/>
      </c>
      <c r="I798" s="7">
        <f>'1 datos preparados'!H791</f>
        <v/>
      </c>
      <c r="J798" s="7">
        <f>'1 datos preparados'!I791</f>
        <v/>
      </c>
      <c r="K798" s="7">
        <f>'1 datos preparados'!J791</f>
        <v/>
      </c>
      <c r="L798" s="7">
        <f>'1 datos preparados'!K791</f>
        <v/>
      </c>
      <c r="M798" s="7">
        <f>'1 datos preparados'!L791</f>
        <v/>
      </c>
      <c r="N798" s="7">
        <f>'1 datos preparados'!M791</f>
        <v/>
      </c>
      <c r="O798" s="7">
        <f>'1 datos preparados'!N791</f>
        <v/>
      </c>
      <c r="P798" s="7">
        <f>'1 datos preparados'!O791</f>
        <v/>
      </c>
      <c r="Q798" s="7">
        <f>'1 datos preparados'!P791</f>
        <v/>
      </c>
      <c r="R798" s="7">
        <f>'1 datos preparados'!Q791</f>
        <v/>
      </c>
      <c r="S798" s="7">
        <f>'1 datos preparados'!R791</f>
        <v/>
      </c>
      <c r="T798" s="7">
        <f>'1 datos preparados'!S791</f>
        <v/>
      </c>
      <c r="U798" s="7">
        <f>'1 datos preparados'!T791</f>
        <v/>
      </c>
      <c r="V798" s="8">
        <f>$AC$12+D798*$AC$13+E798*$AC$14+F798*$AC$15+G798*$AC$16+H798*$AC$17+I798*$AC$18+J798*$AC$19+K798*$AC$20+L798*$AC$21+M798*$AC$22+N798*$AC$23+O798*$AC$24+P798*$AC$25+Q798*$AC$26+R798*$AC$27+S798*$AC$28+T798*$AC$29+U798*$AC$30</f>
        <v/>
      </c>
      <c r="W798" s="8">
        <f>1/(1+EXP(-V798))</f>
        <v/>
      </c>
      <c r="X798" s="9">
        <f>-IF(C798=1,LN(W798),LN(1-W798))</f>
        <v/>
      </c>
      <c r="Y798" s="10">
        <f>IF(W798&gt;$AC$33,1,0)</f>
        <v/>
      </c>
      <c r="Z798">
        <f>IF(Y798=C798,1,0)</f>
        <v/>
      </c>
    </row>
    <row r="799">
      <c r="A799">
        <f>'1 datos preparados'!A792</f>
        <v/>
      </c>
      <c r="B799" s="5">
        <f>'1 datos preparados'!U792</f>
        <v/>
      </c>
      <c r="C799">
        <f>'1 datos preparados'!B792</f>
        <v/>
      </c>
      <c r="D799" s="7">
        <f>'1 datos preparados'!C792</f>
        <v/>
      </c>
      <c r="E799" s="7">
        <f>'1 datos preparados'!D792</f>
        <v/>
      </c>
      <c r="F799" s="7">
        <f>'1 datos preparados'!E792</f>
        <v/>
      </c>
      <c r="G799" s="7">
        <f>'1 datos preparados'!F792</f>
        <v/>
      </c>
      <c r="H799" s="7">
        <f>'1 datos preparados'!G792</f>
        <v/>
      </c>
      <c r="I799" s="7">
        <f>'1 datos preparados'!H792</f>
        <v/>
      </c>
      <c r="J799" s="7">
        <f>'1 datos preparados'!I792</f>
        <v/>
      </c>
      <c r="K799" s="7">
        <f>'1 datos preparados'!J792</f>
        <v/>
      </c>
      <c r="L799" s="7">
        <f>'1 datos preparados'!K792</f>
        <v/>
      </c>
      <c r="M799" s="7">
        <f>'1 datos preparados'!L792</f>
        <v/>
      </c>
      <c r="N799" s="7">
        <f>'1 datos preparados'!M792</f>
        <v/>
      </c>
      <c r="O799" s="7">
        <f>'1 datos preparados'!N792</f>
        <v/>
      </c>
      <c r="P799" s="7">
        <f>'1 datos preparados'!O792</f>
        <v/>
      </c>
      <c r="Q799" s="7">
        <f>'1 datos preparados'!P792</f>
        <v/>
      </c>
      <c r="R799" s="7">
        <f>'1 datos preparados'!Q792</f>
        <v/>
      </c>
      <c r="S799" s="7">
        <f>'1 datos preparados'!R792</f>
        <v/>
      </c>
      <c r="T799" s="7">
        <f>'1 datos preparados'!S792</f>
        <v/>
      </c>
      <c r="U799" s="7">
        <f>'1 datos preparados'!T792</f>
        <v/>
      </c>
      <c r="V799" s="8">
        <f>$AC$12+D799*$AC$13+E799*$AC$14+F799*$AC$15+G799*$AC$16+H799*$AC$17+I799*$AC$18+J799*$AC$19+K799*$AC$20+L799*$AC$21+M799*$AC$22+N799*$AC$23+O799*$AC$24+P799*$AC$25+Q799*$AC$26+R799*$AC$27+S799*$AC$28+T799*$AC$29+U799*$AC$30</f>
        <v/>
      </c>
      <c r="W799" s="8">
        <f>1/(1+EXP(-V799))</f>
        <v/>
      </c>
      <c r="X799" s="9">
        <f>-IF(C799=1,LN(W799),LN(1-W799))</f>
        <v/>
      </c>
      <c r="Y799" s="10">
        <f>IF(W799&gt;$AC$33,1,0)</f>
        <v/>
      </c>
      <c r="Z799">
        <f>IF(Y799=C799,1,0)</f>
        <v/>
      </c>
    </row>
    <row r="800">
      <c r="A800">
        <f>'1 datos preparados'!A793</f>
        <v/>
      </c>
      <c r="B800" s="5">
        <f>'1 datos preparados'!U793</f>
        <v/>
      </c>
      <c r="C800">
        <f>'1 datos preparados'!B793</f>
        <v/>
      </c>
      <c r="D800" s="7">
        <f>'1 datos preparados'!C793</f>
        <v/>
      </c>
      <c r="E800" s="7">
        <f>'1 datos preparados'!D793</f>
        <v/>
      </c>
      <c r="F800" s="7">
        <f>'1 datos preparados'!E793</f>
        <v/>
      </c>
      <c r="G800" s="7">
        <f>'1 datos preparados'!F793</f>
        <v/>
      </c>
      <c r="H800" s="7">
        <f>'1 datos preparados'!G793</f>
        <v/>
      </c>
      <c r="I800" s="7">
        <f>'1 datos preparados'!H793</f>
        <v/>
      </c>
      <c r="J800" s="7">
        <f>'1 datos preparados'!I793</f>
        <v/>
      </c>
      <c r="K800" s="7">
        <f>'1 datos preparados'!J793</f>
        <v/>
      </c>
      <c r="L800" s="7">
        <f>'1 datos preparados'!K793</f>
        <v/>
      </c>
      <c r="M800" s="7">
        <f>'1 datos preparados'!L793</f>
        <v/>
      </c>
      <c r="N800" s="7">
        <f>'1 datos preparados'!M793</f>
        <v/>
      </c>
      <c r="O800" s="7">
        <f>'1 datos preparados'!N793</f>
        <v/>
      </c>
      <c r="P800" s="7">
        <f>'1 datos preparados'!O793</f>
        <v/>
      </c>
      <c r="Q800" s="7">
        <f>'1 datos preparados'!P793</f>
        <v/>
      </c>
      <c r="R800" s="7">
        <f>'1 datos preparados'!Q793</f>
        <v/>
      </c>
      <c r="S800" s="7">
        <f>'1 datos preparados'!R793</f>
        <v/>
      </c>
      <c r="T800" s="7">
        <f>'1 datos preparados'!S793</f>
        <v/>
      </c>
      <c r="U800" s="7">
        <f>'1 datos preparados'!T793</f>
        <v/>
      </c>
      <c r="V800" s="8">
        <f>$AC$12+D800*$AC$13+E800*$AC$14+F800*$AC$15+G800*$AC$16+H800*$AC$17+I800*$AC$18+J800*$AC$19+K800*$AC$20+L800*$AC$21+M800*$AC$22+N800*$AC$23+O800*$AC$24+P800*$AC$25+Q800*$AC$26+R800*$AC$27+S800*$AC$28+T800*$AC$29+U800*$AC$30</f>
        <v/>
      </c>
      <c r="W800" s="8">
        <f>1/(1+EXP(-V800))</f>
        <v/>
      </c>
      <c r="X800" s="9">
        <f>-IF(C800=1,LN(W800),LN(1-W800))</f>
        <v/>
      </c>
      <c r="Y800" s="10">
        <f>IF(W800&gt;$AC$33,1,0)</f>
        <v/>
      </c>
      <c r="Z800">
        <f>IF(Y800=C800,1,0)</f>
        <v/>
      </c>
    </row>
    <row r="801">
      <c r="A801">
        <f>'1 datos preparados'!A794</f>
        <v/>
      </c>
      <c r="B801" s="5">
        <f>'1 datos preparados'!U794</f>
        <v/>
      </c>
      <c r="C801">
        <f>'1 datos preparados'!B794</f>
        <v/>
      </c>
      <c r="D801" s="7">
        <f>'1 datos preparados'!C794</f>
        <v/>
      </c>
      <c r="E801" s="7">
        <f>'1 datos preparados'!D794</f>
        <v/>
      </c>
      <c r="F801" s="7">
        <f>'1 datos preparados'!E794</f>
        <v/>
      </c>
      <c r="G801" s="7">
        <f>'1 datos preparados'!F794</f>
        <v/>
      </c>
      <c r="H801" s="7">
        <f>'1 datos preparados'!G794</f>
        <v/>
      </c>
      <c r="I801" s="7">
        <f>'1 datos preparados'!H794</f>
        <v/>
      </c>
      <c r="J801" s="7">
        <f>'1 datos preparados'!I794</f>
        <v/>
      </c>
      <c r="K801" s="7">
        <f>'1 datos preparados'!J794</f>
        <v/>
      </c>
      <c r="L801" s="7">
        <f>'1 datos preparados'!K794</f>
        <v/>
      </c>
      <c r="M801" s="7">
        <f>'1 datos preparados'!L794</f>
        <v/>
      </c>
      <c r="N801" s="7">
        <f>'1 datos preparados'!M794</f>
        <v/>
      </c>
      <c r="O801" s="7">
        <f>'1 datos preparados'!N794</f>
        <v/>
      </c>
      <c r="P801" s="7">
        <f>'1 datos preparados'!O794</f>
        <v/>
      </c>
      <c r="Q801" s="7">
        <f>'1 datos preparados'!P794</f>
        <v/>
      </c>
      <c r="R801" s="7">
        <f>'1 datos preparados'!Q794</f>
        <v/>
      </c>
      <c r="S801" s="7">
        <f>'1 datos preparados'!R794</f>
        <v/>
      </c>
      <c r="T801" s="7">
        <f>'1 datos preparados'!S794</f>
        <v/>
      </c>
      <c r="U801" s="7">
        <f>'1 datos preparados'!T794</f>
        <v/>
      </c>
      <c r="V801" s="8">
        <f>$AC$12+D801*$AC$13+E801*$AC$14+F801*$AC$15+G801*$AC$16+H801*$AC$17+I801*$AC$18+J801*$AC$19+K801*$AC$20+L801*$AC$21+M801*$AC$22+N801*$AC$23+O801*$AC$24+P801*$AC$25+Q801*$AC$26+R801*$AC$27+S801*$AC$28+T801*$AC$29+U801*$AC$30</f>
        <v/>
      </c>
      <c r="W801" s="8">
        <f>1/(1+EXP(-V801))</f>
        <v/>
      </c>
      <c r="X801" s="9">
        <f>-IF(C801=1,LN(W801),LN(1-W801))</f>
        <v/>
      </c>
      <c r="Y801" s="10">
        <f>IF(W801&gt;$AC$33,1,0)</f>
        <v/>
      </c>
      <c r="Z801">
        <f>IF(Y801=C801,1,0)</f>
        <v/>
      </c>
    </row>
    <row r="802">
      <c r="A802">
        <f>'1 datos preparados'!A795</f>
        <v/>
      </c>
      <c r="B802" s="5">
        <f>'1 datos preparados'!U795</f>
        <v/>
      </c>
      <c r="C802">
        <f>'1 datos preparados'!B795</f>
        <v/>
      </c>
      <c r="D802" s="7">
        <f>'1 datos preparados'!C795</f>
        <v/>
      </c>
      <c r="E802" s="7">
        <f>'1 datos preparados'!D795</f>
        <v/>
      </c>
      <c r="F802" s="7">
        <f>'1 datos preparados'!E795</f>
        <v/>
      </c>
      <c r="G802" s="7">
        <f>'1 datos preparados'!F795</f>
        <v/>
      </c>
      <c r="H802" s="7">
        <f>'1 datos preparados'!G795</f>
        <v/>
      </c>
      <c r="I802" s="7">
        <f>'1 datos preparados'!H795</f>
        <v/>
      </c>
      <c r="J802" s="7">
        <f>'1 datos preparados'!I795</f>
        <v/>
      </c>
      <c r="K802" s="7">
        <f>'1 datos preparados'!J795</f>
        <v/>
      </c>
      <c r="L802" s="7">
        <f>'1 datos preparados'!K795</f>
        <v/>
      </c>
      <c r="M802" s="7">
        <f>'1 datos preparados'!L795</f>
        <v/>
      </c>
      <c r="N802" s="7">
        <f>'1 datos preparados'!M795</f>
        <v/>
      </c>
      <c r="O802" s="7">
        <f>'1 datos preparados'!N795</f>
        <v/>
      </c>
      <c r="P802" s="7">
        <f>'1 datos preparados'!O795</f>
        <v/>
      </c>
      <c r="Q802" s="7">
        <f>'1 datos preparados'!P795</f>
        <v/>
      </c>
      <c r="R802" s="7">
        <f>'1 datos preparados'!Q795</f>
        <v/>
      </c>
      <c r="S802" s="7">
        <f>'1 datos preparados'!R795</f>
        <v/>
      </c>
      <c r="T802" s="7">
        <f>'1 datos preparados'!S795</f>
        <v/>
      </c>
      <c r="U802" s="7">
        <f>'1 datos preparados'!T795</f>
        <v/>
      </c>
      <c r="V802" s="8">
        <f>$AC$12+D802*$AC$13+E802*$AC$14+F802*$AC$15+G802*$AC$16+H802*$AC$17+I802*$AC$18+J802*$AC$19+K802*$AC$20+L802*$AC$21+M802*$AC$22+N802*$AC$23+O802*$AC$24+P802*$AC$25+Q802*$AC$26+R802*$AC$27+S802*$AC$28+T802*$AC$29+U802*$AC$30</f>
        <v/>
      </c>
      <c r="W802" s="8">
        <f>1/(1+EXP(-V802))</f>
        <v/>
      </c>
      <c r="X802" s="9">
        <f>-IF(C802=1,LN(W802),LN(1-W802))</f>
        <v/>
      </c>
      <c r="Y802" s="10">
        <f>IF(W802&gt;$AC$33,1,0)</f>
        <v/>
      </c>
      <c r="Z802">
        <f>IF(Y802=C802,1,0)</f>
        <v/>
      </c>
    </row>
    <row r="803">
      <c r="A803">
        <f>'1 datos preparados'!A796</f>
        <v/>
      </c>
      <c r="B803" s="5">
        <f>'1 datos preparados'!U796</f>
        <v/>
      </c>
      <c r="C803">
        <f>'1 datos preparados'!B796</f>
        <v/>
      </c>
      <c r="D803" s="7">
        <f>'1 datos preparados'!C796</f>
        <v/>
      </c>
      <c r="E803" s="7">
        <f>'1 datos preparados'!D796</f>
        <v/>
      </c>
      <c r="F803" s="7">
        <f>'1 datos preparados'!E796</f>
        <v/>
      </c>
      <c r="G803" s="7">
        <f>'1 datos preparados'!F796</f>
        <v/>
      </c>
      <c r="H803" s="7">
        <f>'1 datos preparados'!G796</f>
        <v/>
      </c>
      <c r="I803" s="7">
        <f>'1 datos preparados'!H796</f>
        <v/>
      </c>
      <c r="J803" s="7">
        <f>'1 datos preparados'!I796</f>
        <v/>
      </c>
      <c r="K803" s="7">
        <f>'1 datos preparados'!J796</f>
        <v/>
      </c>
      <c r="L803" s="7">
        <f>'1 datos preparados'!K796</f>
        <v/>
      </c>
      <c r="M803" s="7">
        <f>'1 datos preparados'!L796</f>
        <v/>
      </c>
      <c r="N803" s="7">
        <f>'1 datos preparados'!M796</f>
        <v/>
      </c>
      <c r="O803" s="7">
        <f>'1 datos preparados'!N796</f>
        <v/>
      </c>
      <c r="P803" s="7">
        <f>'1 datos preparados'!O796</f>
        <v/>
      </c>
      <c r="Q803" s="7">
        <f>'1 datos preparados'!P796</f>
        <v/>
      </c>
      <c r="R803" s="7">
        <f>'1 datos preparados'!Q796</f>
        <v/>
      </c>
      <c r="S803" s="7">
        <f>'1 datos preparados'!R796</f>
        <v/>
      </c>
      <c r="T803" s="7">
        <f>'1 datos preparados'!S796</f>
        <v/>
      </c>
      <c r="U803" s="7">
        <f>'1 datos preparados'!T796</f>
        <v/>
      </c>
      <c r="V803" s="8">
        <f>$AC$12+D803*$AC$13+E803*$AC$14+F803*$AC$15+G803*$AC$16+H803*$AC$17+I803*$AC$18+J803*$AC$19+K803*$AC$20+L803*$AC$21+M803*$AC$22+N803*$AC$23+O803*$AC$24+P803*$AC$25+Q803*$AC$26+R803*$AC$27+S803*$AC$28+T803*$AC$29+U803*$AC$30</f>
        <v/>
      </c>
      <c r="W803" s="8">
        <f>1/(1+EXP(-V803))</f>
        <v/>
      </c>
      <c r="X803" s="9">
        <f>-IF(C803=1,LN(W803),LN(1-W803))</f>
        <v/>
      </c>
      <c r="Y803" s="10">
        <f>IF(W803&gt;$AC$33,1,0)</f>
        <v/>
      </c>
      <c r="Z803">
        <f>IF(Y803=C803,1,0)</f>
        <v/>
      </c>
    </row>
    <row r="804">
      <c r="A804">
        <f>'1 datos preparados'!A797</f>
        <v/>
      </c>
      <c r="B804" s="5">
        <f>'1 datos preparados'!U797</f>
        <v/>
      </c>
      <c r="C804">
        <f>'1 datos preparados'!B797</f>
        <v/>
      </c>
      <c r="D804" s="7">
        <f>'1 datos preparados'!C797</f>
        <v/>
      </c>
      <c r="E804" s="7">
        <f>'1 datos preparados'!D797</f>
        <v/>
      </c>
      <c r="F804" s="7">
        <f>'1 datos preparados'!E797</f>
        <v/>
      </c>
      <c r="G804" s="7">
        <f>'1 datos preparados'!F797</f>
        <v/>
      </c>
      <c r="H804" s="7">
        <f>'1 datos preparados'!G797</f>
        <v/>
      </c>
      <c r="I804" s="7">
        <f>'1 datos preparados'!H797</f>
        <v/>
      </c>
      <c r="J804" s="7">
        <f>'1 datos preparados'!I797</f>
        <v/>
      </c>
      <c r="K804" s="7">
        <f>'1 datos preparados'!J797</f>
        <v/>
      </c>
      <c r="L804" s="7">
        <f>'1 datos preparados'!K797</f>
        <v/>
      </c>
      <c r="M804" s="7">
        <f>'1 datos preparados'!L797</f>
        <v/>
      </c>
      <c r="N804" s="7">
        <f>'1 datos preparados'!M797</f>
        <v/>
      </c>
      <c r="O804" s="7">
        <f>'1 datos preparados'!N797</f>
        <v/>
      </c>
      <c r="P804" s="7">
        <f>'1 datos preparados'!O797</f>
        <v/>
      </c>
      <c r="Q804" s="7">
        <f>'1 datos preparados'!P797</f>
        <v/>
      </c>
      <c r="R804" s="7">
        <f>'1 datos preparados'!Q797</f>
        <v/>
      </c>
      <c r="S804" s="7">
        <f>'1 datos preparados'!R797</f>
        <v/>
      </c>
      <c r="T804" s="7">
        <f>'1 datos preparados'!S797</f>
        <v/>
      </c>
      <c r="U804" s="7">
        <f>'1 datos preparados'!T797</f>
        <v/>
      </c>
      <c r="V804" s="8">
        <f>$AC$12+D804*$AC$13+E804*$AC$14+F804*$AC$15+G804*$AC$16+H804*$AC$17+I804*$AC$18+J804*$AC$19+K804*$AC$20+L804*$AC$21+M804*$AC$22+N804*$AC$23+O804*$AC$24+P804*$AC$25+Q804*$AC$26+R804*$AC$27+S804*$AC$28+T804*$AC$29+U804*$AC$30</f>
        <v/>
      </c>
      <c r="W804" s="8">
        <f>1/(1+EXP(-V804))</f>
        <v/>
      </c>
      <c r="X804" s="9">
        <f>-IF(C804=1,LN(W804),LN(1-W804))</f>
        <v/>
      </c>
      <c r="Y804" s="10">
        <f>IF(W804&gt;$AC$33,1,0)</f>
        <v/>
      </c>
      <c r="Z804">
        <f>IF(Y804=C804,1,0)</f>
        <v/>
      </c>
    </row>
    <row r="805">
      <c r="A805">
        <f>'1 datos preparados'!A798</f>
        <v/>
      </c>
      <c r="B805" s="5">
        <f>'1 datos preparados'!U798</f>
        <v/>
      </c>
      <c r="C805">
        <f>'1 datos preparados'!B798</f>
        <v/>
      </c>
      <c r="D805" s="7">
        <f>'1 datos preparados'!C798</f>
        <v/>
      </c>
      <c r="E805" s="7">
        <f>'1 datos preparados'!D798</f>
        <v/>
      </c>
      <c r="F805" s="7">
        <f>'1 datos preparados'!E798</f>
        <v/>
      </c>
      <c r="G805" s="7">
        <f>'1 datos preparados'!F798</f>
        <v/>
      </c>
      <c r="H805" s="7">
        <f>'1 datos preparados'!G798</f>
        <v/>
      </c>
      <c r="I805" s="7">
        <f>'1 datos preparados'!H798</f>
        <v/>
      </c>
      <c r="J805" s="7">
        <f>'1 datos preparados'!I798</f>
        <v/>
      </c>
      <c r="K805" s="7">
        <f>'1 datos preparados'!J798</f>
        <v/>
      </c>
      <c r="L805" s="7">
        <f>'1 datos preparados'!K798</f>
        <v/>
      </c>
      <c r="M805" s="7">
        <f>'1 datos preparados'!L798</f>
        <v/>
      </c>
      <c r="N805" s="7">
        <f>'1 datos preparados'!M798</f>
        <v/>
      </c>
      <c r="O805" s="7">
        <f>'1 datos preparados'!N798</f>
        <v/>
      </c>
      <c r="P805" s="7">
        <f>'1 datos preparados'!O798</f>
        <v/>
      </c>
      <c r="Q805" s="7">
        <f>'1 datos preparados'!P798</f>
        <v/>
      </c>
      <c r="R805" s="7">
        <f>'1 datos preparados'!Q798</f>
        <v/>
      </c>
      <c r="S805" s="7">
        <f>'1 datos preparados'!R798</f>
        <v/>
      </c>
      <c r="T805" s="7">
        <f>'1 datos preparados'!S798</f>
        <v/>
      </c>
      <c r="U805" s="7">
        <f>'1 datos preparados'!T798</f>
        <v/>
      </c>
      <c r="V805" s="8">
        <f>$AC$12+D805*$AC$13+E805*$AC$14+F805*$AC$15+G805*$AC$16+H805*$AC$17+I805*$AC$18+J805*$AC$19+K805*$AC$20+L805*$AC$21+M805*$AC$22+N805*$AC$23+O805*$AC$24+P805*$AC$25+Q805*$AC$26+R805*$AC$27+S805*$AC$28+T805*$AC$29+U805*$AC$30</f>
        <v/>
      </c>
      <c r="W805" s="8">
        <f>1/(1+EXP(-V805))</f>
        <v/>
      </c>
      <c r="X805" s="9">
        <f>-IF(C805=1,LN(W805),LN(1-W805))</f>
        <v/>
      </c>
      <c r="Y805" s="10">
        <f>IF(W805&gt;$AC$33,1,0)</f>
        <v/>
      </c>
      <c r="Z805">
        <f>IF(Y805=C805,1,0)</f>
        <v/>
      </c>
    </row>
    <row r="806">
      <c r="A806">
        <f>'1 datos preparados'!A799</f>
        <v/>
      </c>
      <c r="B806" s="5">
        <f>'1 datos preparados'!U799</f>
        <v/>
      </c>
      <c r="C806">
        <f>'1 datos preparados'!B799</f>
        <v/>
      </c>
      <c r="D806" s="7">
        <f>'1 datos preparados'!C799</f>
        <v/>
      </c>
      <c r="E806" s="7">
        <f>'1 datos preparados'!D799</f>
        <v/>
      </c>
      <c r="F806" s="7">
        <f>'1 datos preparados'!E799</f>
        <v/>
      </c>
      <c r="G806" s="7">
        <f>'1 datos preparados'!F799</f>
        <v/>
      </c>
      <c r="H806" s="7">
        <f>'1 datos preparados'!G799</f>
        <v/>
      </c>
      <c r="I806" s="7">
        <f>'1 datos preparados'!H799</f>
        <v/>
      </c>
      <c r="J806" s="7">
        <f>'1 datos preparados'!I799</f>
        <v/>
      </c>
      <c r="K806" s="7">
        <f>'1 datos preparados'!J799</f>
        <v/>
      </c>
      <c r="L806" s="7">
        <f>'1 datos preparados'!K799</f>
        <v/>
      </c>
      <c r="M806" s="7">
        <f>'1 datos preparados'!L799</f>
        <v/>
      </c>
      <c r="N806" s="7">
        <f>'1 datos preparados'!M799</f>
        <v/>
      </c>
      <c r="O806" s="7">
        <f>'1 datos preparados'!N799</f>
        <v/>
      </c>
      <c r="P806" s="7">
        <f>'1 datos preparados'!O799</f>
        <v/>
      </c>
      <c r="Q806" s="7">
        <f>'1 datos preparados'!P799</f>
        <v/>
      </c>
      <c r="R806" s="7">
        <f>'1 datos preparados'!Q799</f>
        <v/>
      </c>
      <c r="S806" s="7">
        <f>'1 datos preparados'!R799</f>
        <v/>
      </c>
      <c r="T806" s="7">
        <f>'1 datos preparados'!S799</f>
        <v/>
      </c>
      <c r="U806" s="7">
        <f>'1 datos preparados'!T799</f>
        <v/>
      </c>
      <c r="V806" s="8">
        <f>$AC$12+D806*$AC$13+E806*$AC$14+F806*$AC$15+G806*$AC$16+H806*$AC$17+I806*$AC$18+J806*$AC$19+K806*$AC$20+L806*$AC$21+M806*$AC$22+N806*$AC$23+O806*$AC$24+P806*$AC$25+Q806*$AC$26+R806*$AC$27+S806*$AC$28+T806*$AC$29+U806*$AC$30</f>
        <v/>
      </c>
      <c r="W806" s="8">
        <f>1/(1+EXP(-V806))</f>
        <v/>
      </c>
      <c r="X806" s="9">
        <f>-IF(C806=1,LN(W806),LN(1-W806))</f>
        <v/>
      </c>
      <c r="Y806" s="10">
        <f>IF(W806&gt;$AC$33,1,0)</f>
        <v/>
      </c>
      <c r="Z806">
        <f>IF(Y806=C806,1,0)</f>
        <v/>
      </c>
    </row>
    <row r="807">
      <c r="A807">
        <f>'1 datos preparados'!A800</f>
        <v/>
      </c>
      <c r="B807" s="5">
        <f>'1 datos preparados'!U800</f>
        <v/>
      </c>
      <c r="C807">
        <f>'1 datos preparados'!B800</f>
        <v/>
      </c>
      <c r="D807" s="7">
        <f>'1 datos preparados'!C800</f>
        <v/>
      </c>
      <c r="E807" s="7">
        <f>'1 datos preparados'!D800</f>
        <v/>
      </c>
      <c r="F807" s="7">
        <f>'1 datos preparados'!E800</f>
        <v/>
      </c>
      <c r="G807" s="7">
        <f>'1 datos preparados'!F800</f>
        <v/>
      </c>
      <c r="H807" s="7">
        <f>'1 datos preparados'!G800</f>
        <v/>
      </c>
      <c r="I807" s="7">
        <f>'1 datos preparados'!H800</f>
        <v/>
      </c>
      <c r="J807" s="7">
        <f>'1 datos preparados'!I800</f>
        <v/>
      </c>
      <c r="K807" s="7">
        <f>'1 datos preparados'!J800</f>
        <v/>
      </c>
      <c r="L807" s="7">
        <f>'1 datos preparados'!K800</f>
        <v/>
      </c>
      <c r="M807" s="7">
        <f>'1 datos preparados'!L800</f>
        <v/>
      </c>
      <c r="N807" s="7">
        <f>'1 datos preparados'!M800</f>
        <v/>
      </c>
      <c r="O807" s="7">
        <f>'1 datos preparados'!N800</f>
        <v/>
      </c>
      <c r="P807" s="7">
        <f>'1 datos preparados'!O800</f>
        <v/>
      </c>
      <c r="Q807" s="7">
        <f>'1 datos preparados'!P800</f>
        <v/>
      </c>
      <c r="R807" s="7">
        <f>'1 datos preparados'!Q800</f>
        <v/>
      </c>
      <c r="S807" s="7">
        <f>'1 datos preparados'!R800</f>
        <v/>
      </c>
      <c r="T807" s="7">
        <f>'1 datos preparados'!S800</f>
        <v/>
      </c>
      <c r="U807" s="7">
        <f>'1 datos preparados'!T800</f>
        <v/>
      </c>
      <c r="V807" s="8">
        <f>$AC$12+D807*$AC$13+E807*$AC$14+F807*$AC$15+G807*$AC$16+H807*$AC$17+I807*$AC$18+J807*$AC$19+K807*$AC$20+L807*$AC$21+M807*$AC$22+N807*$AC$23+O807*$AC$24+P807*$AC$25+Q807*$AC$26+R807*$AC$27+S807*$AC$28+T807*$AC$29+U807*$AC$30</f>
        <v/>
      </c>
      <c r="W807" s="8">
        <f>1/(1+EXP(-V807))</f>
        <v/>
      </c>
      <c r="X807" s="9">
        <f>-IF(C807=1,LN(W807),LN(1-W807))</f>
        <v/>
      </c>
      <c r="Y807" s="10">
        <f>IF(W807&gt;$AC$33,1,0)</f>
        <v/>
      </c>
      <c r="Z807">
        <f>IF(Y807=C807,1,0)</f>
        <v/>
      </c>
    </row>
    <row r="808">
      <c r="A808">
        <f>'1 datos preparados'!A801</f>
        <v/>
      </c>
      <c r="B808" s="5">
        <f>'1 datos preparados'!U801</f>
        <v/>
      </c>
      <c r="C808">
        <f>'1 datos preparados'!B801</f>
        <v/>
      </c>
      <c r="D808" s="7">
        <f>'1 datos preparados'!C801</f>
        <v/>
      </c>
      <c r="E808" s="7">
        <f>'1 datos preparados'!D801</f>
        <v/>
      </c>
      <c r="F808" s="7">
        <f>'1 datos preparados'!E801</f>
        <v/>
      </c>
      <c r="G808" s="7">
        <f>'1 datos preparados'!F801</f>
        <v/>
      </c>
      <c r="H808" s="7">
        <f>'1 datos preparados'!G801</f>
        <v/>
      </c>
      <c r="I808" s="7">
        <f>'1 datos preparados'!H801</f>
        <v/>
      </c>
      <c r="J808" s="7">
        <f>'1 datos preparados'!I801</f>
        <v/>
      </c>
      <c r="K808" s="7">
        <f>'1 datos preparados'!J801</f>
        <v/>
      </c>
      <c r="L808" s="7">
        <f>'1 datos preparados'!K801</f>
        <v/>
      </c>
      <c r="M808" s="7">
        <f>'1 datos preparados'!L801</f>
        <v/>
      </c>
      <c r="N808" s="7">
        <f>'1 datos preparados'!M801</f>
        <v/>
      </c>
      <c r="O808" s="7">
        <f>'1 datos preparados'!N801</f>
        <v/>
      </c>
      <c r="P808" s="7">
        <f>'1 datos preparados'!O801</f>
        <v/>
      </c>
      <c r="Q808" s="7">
        <f>'1 datos preparados'!P801</f>
        <v/>
      </c>
      <c r="R808" s="7">
        <f>'1 datos preparados'!Q801</f>
        <v/>
      </c>
      <c r="S808" s="7">
        <f>'1 datos preparados'!R801</f>
        <v/>
      </c>
      <c r="T808" s="7">
        <f>'1 datos preparados'!S801</f>
        <v/>
      </c>
      <c r="U808" s="7">
        <f>'1 datos preparados'!T801</f>
        <v/>
      </c>
      <c r="V808" s="8">
        <f>$AC$12+D808*$AC$13+E808*$AC$14+F808*$AC$15+G808*$AC$16+H808*$AC$17+I808*$AC$18+J808*$AC$19+K808*$AC$20+L808*$AC$21+M808*$AC$22+N808*$AC$23+O808*$AC$24+P808*$AC$25+Q808*$AC$26+R808*$AC$27+S808*$AC$28+T808*$AC$29+U808*$AC$30</f>
        <v/>
      </c>
      <c r="W808" s="8">
        <f>1/(1+EXP(-V808))</f>
        <v/>
      </c>
      <c r="X808" s="9">
        <f>-IF(C808=1,LN(W808),LN(1-W808))</f>
        <v/>
      </c>
      <c r="Y808" s="10">
        <f>IF(W808&gt;$AC$33,1,0)</f>
        <v/>
      </c>
      <c r="Z808">
        <f>IF(Y808=C808,1,0)</f>
        <v/>
      </c>
    </row>
    <row r="809">
      <c r="A809">
        <f>'1 datos preparados'!A802</f>
        <v/>
      </c>
      <c r="B809" s="5">
        <f>'1 datos preparados'!U802</f>
        <v/>
      </c>
      <c r="C809">
        <f>'1 datos preparados'!B802</f>
        <v/>
      </c>
      <c r="D809" s="7">
        <f>'1 datos preparados'!C802</f>
        <v/>
      </c>
      <c r="E809" s="7">
        <f>'1 datos preparados'!D802</f>
        <v/>
      </c>
      <c r="F809" s="7">
        <f>'1 datos preparados'!E802</f>
        <v/>
      </c>
      <c r="G809" s="7">
        <f>'1 datos preparados'!F802</f>
        <v/>
      </c>
      <c r="H809" s="7">
        <f>'1 datos preparados'!G802</f>
        <v/>
      </c>
      <c r="I809" s="7">
        <f>'1 datos preparados'!H802</f>
        <v/>
      </c>
      <c r="J809" s="7">
        <f>'1 datos preparados'!I802</f>
        <v/>
      </c>
      <c r="K809" s="7">
        <f>'1 datos preparados'!J802</f>
        <v/>
      </c>
      <c r="L809" s="7">
        <f>'1 datos preparados'!K802</f>
        <v/>
      </c>
      <c r="M809" s="7">
        <f>'1 datos preparados'!L802</f>
        <v/>
      </c>
      <c r="N809" s="7">
        <f>'1 datos preparados'!M802</f>
        <v/>
      </c>
      <c r="O809" s="7">
        <f>'1 datos preparados'!N802</f>
        <v/>
      </c>
      <c r="P809" s="7">
        <f>'1 datos preparados'!O802</f>
        <v/>
      </c>
      <c r="Q809" s="7">
        <f>'1 datos preparados'!P802</f>
        <v/>
      </c>
      <c r="R809" s="7">
        <f>'1 datos preparados'!Q802</f>
        <v/>
      </c>
      <c r="S809" s="7">
        <f>'1 datos preparados'!R802</f>
        <v/>
      </c>
      <c r="T809" s="7">
        <f>'1 datos preparados'!S802</f>
        <v/>
      </c>
      <c r="U809" s="7">
        <f>'1 datos preparados'!T802</f>
        <v/>
      </c>
      <c r="V809" s="8">
        <f>$AC$12+D809*$AC$13+E809*$AC$14+F809*$AC$15+G809*$AC$16+H809*$AC$17+I809*$AC$18+J809*$AC$19+K809*$AC$20+L809*$AC$21+M809*$AC$22+N809*$AC$23+O809*$AC$24+P809*$AC$25+Q809*$AC$26+R809*$AC$27+S809*$AC$28+T809*$AC$29+U809*$AC$30</f>
        <v/>
      </c>
      <c r="W809" s="8">
        <f>1/(1+EXP(-V809))</f>
        <v/>
      </c>
      <c r="X809" s="9">
        <f>-IF(C809=1,LN(W809),LN(1-W809))</f>
        <v/>
      </c>
      <c r="Y809" s="10">
        <f>IF(W809&gt;$AC$33,1,0)</f>
        <v/>
      </c>
      <c r="Z809">
        <f>IF(Y809=C809,1,0)</f>
        <v/>
      </c>
    </row>
    <row r="810">
      <c r="A810">
        <f>'1 datos preparados'!A803</f>
        <v/>
      </c>
      <c r="B810" s="5">
        <f>'1 datos preparados'!U803</f>
        <v/>
      </c>
      <c r="C810">
        <f>'1 datos preparados'!B803</f>
        <v/>
      </c>
      <c r="D810" s="7">
        <f>'1 datos preparados'!C803</f>
        <v/>
      </c>
      <c r="E810" s="7">
        <f>'1 datos preparados'!D803</f>
        <v/>
      </c>
      <c r="F810" s="7">
        <f>'1 datos preparados'!E803</f>
        <v/>
      </c>
      <c r="G810" s="7">
        <f>'1 datos preparados'!F803</f>
        <v/>
      </c>
      <c r="H810" s="7">
        <f>'1 datos preparados'!G803</f>
        <v/>
      </c>
      <c r="I810" s="7">
        <f>'1 datos preparados'!H803</f>
        <v/>
      </c>
      <c r="J810" s="7">
        <f>'1 datos preparados'!I803</f>
        <v/>
      </c>
      <c r="K810" s="7">
        <f>'1 datos preparados'!J803</f>
        <v/>
      </c>
      <c r="L810" s="7">
        <f>'1 datos preparados'!K803</f>
        <v/>
      </c>
      <c r="M810" s="7">
        <f>'1 datos preparados'!L803</f>
        <v/>
      </c>
      <c r="N810" s="7">
        <f>'1 datos preparados'!M803</f>
        <v/>
      </c>
      <c r="O810" s="7">
        <f>'1 datos preparados'!N803</f>
        <v/>
      </c>
      <c r="P810" s="7">
        <f>'1 datos preparados'!O803</f>
        <v/>
      </c>
      <c r="Q810" s="7">
        <f>'1 datos preparados'!P803</f>
        <v/>
      </c>
      <c r="R810" s="7">
        <f>'1 datos preparados'!Q803</f>
        <v/>
      </c>
      <c r="S810" s="7">
        <f>'1 datos preparados'!R803</f>
        <v/>
      </c>
      <c r="T810" s="7">
        <f>'1 datos preparados'!S803</f>
        <v/>
      </c>
      <c r="U810" s="7">
        <f>'1 datos preparados'!T803</f>
        <v/>
      </c>
      <c r="V810" s="8">
        <f>$AC$12+D810*$AC$13+E810*$AC$14+F810*$AC$15+G810*$AC$16+H810*$AC$17+I810*$AC$18+J810*$AC$19+K810*$AC$20+L810*$AC$21+M810*$AC$22+N810*$AC$23+O810*$AC$24+P810*$AC$25+Q810*$AC$26+R810*$AC$27+S810*$AC$28+T810*$AC$29+U810*$AC$30</f>
        <v/>
      </c>
      <c r="W810" s="8">
        <f>1/(1+EXP(-V810))</f>
        <v/>
      </c>
      <c r="X810" s="9">
        <f>-IF(C810=1,LN(W810),LN(1-W810))</f>
        <v/>
      </c>
      <c r="Y810" s="10">
        <f>IF(W810&gt;$AC$33,1,0)</f>
        <v/>
      </c>
      <c r="Z810">
        <f>IF(Y810=C810,1,0)</f>
        <v/>
      </c>
    </row>
    <row r="811">
      <c r="A811">
        <f>'1 datos preparados'!A804</f>
        <v/>
      </c>
      <c r="B811" s="5">
        <f>'1 datos preparados'!U804</f>
        <v/>
      </c>
      <c r="C811">
        <f>'1 datos preparados'!B804</f>
        <v/>
      </c>
      <c r="D811" s="7">
        <f>'1 datos preparados'!C804</f>
        <v/>
      </c>
      <c r="E811" s="7">
        <f>'1 datos preparados'!D804</f>
        <v/>
      </c>
      <c r="F811" s="7">
        <f>'1 datos preparados'!E804</f>
        <v/>
      </c>
      <c r="G811" s="7">
        <f>'1 datos preparados'!F804</f>
        <v/>
      </c>
      <c r="H811" s="7">
        <f>'1 datos preparados'!G804</f>
        <v/>
      </c>
      <c r="I811" s="7">
        <f>'1 datos preparados'!H804</f>
        <v/>
      </c>
      <c r="J811" s="7">
        <f>'1 datos preparados'!I804</f>
        <v/>
      </c>
      <c r="K811" s="7">
        <f>'1 datos preparados'!J804</f>
        <v/>
      </c>
      <c r="L811" s="7">
        <f>'1 datos preparados'!K804</f>
        <v/>
      </c>
      <c r="M811" s="7">
        <f>'1 datos preparados'!L804</f>
        <v/>
      </c>
      <c r="N811" s="7">
        <f>'1 datos preparados'!M804</f>
        <v/>
      </c>
      <c r="O811" s="7">
        <f>'1 datos preparados'!N804</f>
        <v/>
      </c>
      <c r="P811" s="7">
        <f>'1 datos preparados'!O804</f>
        <v/>
      </c>
      <c r="Q811" s="7">
        <f>'1 datos preparados'!P804</f>
        <v/>
      </c>
      <c r="R811" s="7">
        <f>'1 datos preparados'!Q804</f>
        <v/>
      </c>
      <c r="S811" s="7">
        <f>'1 datos preparados'!R804</f>
        <v/>
      </c>
      <c r="T811" s="7">
        <f>'1 datos preparados'!S804</f>
        <v/>
      </c>
      <c r="U811" s="7">
        <f>'1 datos preparados'!T804</f>
        <v/>
      </c>
      <c r="V811" s="8">
        <f>$AC$12+D811*$AC$13+E811*$AC$14+F811*$AC$15+G811*$AC$16+H811*$AC$17+I811*$AC$18+J811*$AC$19+K811*$AC$20+L811*$AC$21+M811*$AC$22+N811*$AC$23+O811*$AC$24+P811*$AC$25+Q811*$AC$26+R811*$AC$27+S811*$AC$28+T811*$AC$29+U811*$AC$30</f>
        <v/>
      </c>
      <c r="W811" s="8">
        <f>1/(1+EXP(-V811))</f>
        <v/>
      </c>
      <c r="X811" s="9">
        <f>-IF(C811=1,LN(W811),LN(1-W811))</f>
        <v/>
      </c>
      <c r="Y811" s="10">
        <f>IF(W811&gt;$AC$33,1,0)</f>
        <v/>
      </c>
      <c r="Z811">
        <f>IF(Y811=C811,1,0)</f>
        <v/>
      </c>
    </row>
    <row r="812">
      <c r="A812">
        <f>'1 datos preparados'!A805</f>
        <v/>
      </c>
      <c r="B812" s="5">
        <f>'1 datos preparados'!U805</f>
        <v/>
      </c>
      <c r="C812">
        <f>'1 datos preparados'!B805</f>
        <v/>
      </c>
      <c r="D812" s="7">
        <f>'1 datos preparados'!C805</f>
        <v/>
      </c>
      <c r="E812" s="7">
        <f>'1 datos preparados'!D805</f>
        <v/>
      </c>
      <c r="F812" s="7">
        <f>'1 datos preparados'!E805</f>
        <v/>
      </c>
      <c r="G812" s="7">
        <f>'1 datos preparados'!F805</f>
        <v/>
      </c>
      <c r="H812" s="7">
        <f>'1 datos preparados'!G805</f>
        <v/>
      </c>
      <c r="I812" s="7">
        <f>'1 datos preparados'!H805</f>
        <v/>
      </c>
      <c r="J812" s="7">
        <f>'1 datos preparados'!I805</f>
        <v/>
      </c>
      <c r="K812" s="7">
        <f>'1 datos preparados'!J805</f>
        <v/>
      </c>
      <c r="L812" s="7">
        <f>'1 datos preparados'!K805</f>
        <v/>
      </c>
      <c r="M812" s="7">
        <f>'1 datos preparados'!L805</f>
        <v/>
      </c>
      <c r="N812" s="7">
        <f>'1 datos preparados'!M805</f>
        <v/>
      </c>
      <c r="O812" s="7">
        <f>'1 datos preparados'!N805</f>
        <v/>
      </c>
      <c r="P812" s="7">
        <f>'1 datos preparados'!O805</f>
        <v/>
      </c>
      <c r="Q812" s="7">
        <f>'1 datos preparados'!P805</f>
        <v/>
      </c>
      <c r="R812" s="7">
        <f>'1 datos preparados'!Q805</f>
        <v/>
      </c>
      <c r="S812" s="7">
        <f>'1 datos preparados'!R805</f>
        <v/>
      </c>
      <c r="T812" s="7">
        <f>'1 datos preparados'!S805</f>
        <v/>
      </c>
      <c r="U812" s="7">
        <f>'1 datos preparados'!T805</f>
        <v/>
      </c>
      <c r="V812" s="8">
        <f>$AC$12+D812*$AC$13+E812*$AC$14+F812*$AC$15+G812*$AC$16+H812*$AC$17+I812*$AC$18+J812*$AC$19+K812*$AC$20+L812*$AC$21+M812*$AC$22+N812*$AC$23+O812*$AC$24+P812*$AC$25+Q812*$AC$26+R812*$AC$27+S812*$AC$28+T812*$AC$29+U812*$AC$30</f>
        <v/>
      </c>
      <c r="W812" s="8">
        <f>1/(1+EXP(-V812))</f>
        <v/>
      </c>
      <c r="X812" s="9">
        <f>-IF(C812=1,LN(W812),LN(1-W812))</f>
        <v/>
      </c>
      <c r="Y812" s="10">
        <f>IF(W812&gt;$AC$33,1,0)</f>
        <v/>
      </c>
      <c r="Z812">
        <f>IF(Y812=C812,1,0)</f>
        <v/>
      </c>
    </row>
    <row r="813">
      <c r="A813">
        <f>'1 datos preparados'!A806</f>
        <v/>
      </c>
      <c r="B813" s="5">
        <f>'1 datos preparados'!U806</f>
        <v/>
      </c>
      <c r="C813">
        <f>'1 datos preparados'!B806</f>
        <v/>
      </c>
      <c r="D813" s="7">
        <f>'1 datos preparados'!C806</f>
        <v/>
      </c>
      <c r="E813" s="7">
        <f>'1 datos preparados'!D806</f>
        <v/>
      </c>
      <c r="F813" s="7">
        <f>'1 datos preparados'!E806</f>
        <v/>
      </c>
      <c r="G813" s="7">
        <f>'1 datos preparados'!F806</f>
        <v/>
      </c>
      <c r="H813" s="7">
        <f>'1 datos preparados'!G806</f>
        <v/>
      </c>
      <c r="I813" s="7">
        <f>'1 datos preparados'!H806</f>
        <v/>
      </c>
      <c r="J813" s="7">
        <f>'1 datos preparados'!I806</f>
        <v/>
      </c>
      <c r="K813" s="7">
        <f>'1 datos preparados'!J806</f>
        <v/>
      </c>
      <c r="L813" s="7">
        <f>'1 datos preparados'!K806</f>
        <v/>
      </c>
      <c r="M813" s="7">
        <f>'1 datos preparados'!L806</f>
        <v/>
      </c>
      <c r="N813" s="7">
        <f>'1 datos preparados'!M806</f>
        <v/>
      </c>
      <c r="O813" s="7">
        <f>'1 datos preparados'!N806</f>
        <v/>
      </c>
      <c r="P813" s="7">
        <f>'1 datos preparados'!O806</f>
        <v/>
      </c>
      <c r="Q813" s="7">
        <f>'1 datos preparados'!P806</f>
        <v/>
      </c>
      <c r="R813" s="7">
        <f>'1 datos preparados'!Q806</f>
        <v/>
      </c>
      <c r="S813" s="7">
        <f>'1 datos preparados'!R806</f>
        <v/>
      </c>
      <c r="T813" s="7">
        <f>'1 datos preparados'!S806</f>
        <v/>
      </c>
      <c r="U813" s="7">
        <f>'1 datos preparados'!T806</f>
        <v/>
      </c>
      <c r="V813" s="8">
        <f>$AC$12+D813*$AC$13+E813*$AC$14+F813*$AC$15+G813*$AC$16+H813*$AC$17+I813*$AC$18+J813*$AC$19+K813*$AC$20+L813*$AC$21+M813*$AC$22+N813*$AC$23+O813*$AC$24+P813*$AC$25+Q813*$AC$26+R813*$AC$27+S813*$AC$28+T813*$AC$29+U813*$AC$30</f>
        <v/>
      </c>
      <c r="W813" s="8">
        <f>1/(1+EXP(-V813))</f>
        <v/>
      </c>
      <c r="X813" s="9">
        <f>-IF(C813=1,LN(W813),LN(1-W813))</f>
        <v/>
      </c>
      <c r="Y813" s="10">
        <f>IF(W813&gt;$AC$33,1,0)</f>
        <v/>
      </c>
      <c r="Z813">
        <f>IF(Y813=C813,1,0)</f>
        <v/>
      </c>
    </row>
    <row r="814">
      <c r="A814">
        <f>'1 datos preparados'!A807</f>
        <v/>
      </c>
      <c r="B814" s="5">
        <f>'1 datos preparados'!U807</f>
        <v/>
      </c>
      <c r="C814">
        <f>'1 datos preparados'!B807</f>
        <v/>
      </c>
      <c r="D814" s="7">
        <f>'1 datos preparados'!C807</f>
        <v/>
      </c>
      <c r="E814" s="7">
        <f>'1 datos preparados'!D807</f>
        <v/>
      </c>
      <c r="F814" s="7">
        <f>'1 datos preparados'!E807</f>
        <v/>
      </c>
      <c r="G814" s="7">
        <f>'1 datos preparados'!F807</f>
        <v/>
      </c>
      <c r="H814" s="7">
        <f>'1 datos preparados'!G807</f>
        <v/>
      </c>
      <c r="I814" s="7">
        <f>'1 datos preparados'!H807</f>
        <v/>
      </c>
      <c r="J814" s="7">
        <f>'1 datos preparados'!I807</f>
        <v/>
      </c>
      <c r="K814" s="7">
        <f>'1 datos preparados'!J807</f>
        <v/>
      </c>
      <c r="L814" s="7">
        <f>'1 datos preparados'!K807</f>
        <v/>
      </c>
      <c r="M814" s="7">
        <f>'1 datos preparados'!L807</f>
        <v/>
      </c>
      <c r="N814" s="7">
        <f>'1 datos preparados'!M807</f>
        <v/>
      </c>
      <c r="O814" s="7">
        <f>'1 datos preparados'!N807</f>
        <v/>
      </c>
      <c r="P814" s="7">
        <f>'1 datos preparados'!O807</f>
        <v/>
      </c>
      <c r="Q814" s="7">
        <f>'1 datos preparados'!P807</f>
        <v/>
      </c>
      <c r="R814" s="7">
        <f>'1 datos preparados'!Q807</f>
        <v/>
      </c>
      <c r="S814" s="7">
        <f>'1 datos preparados'!R807</f>
        <v/>
      </c>
      <c r="T814" s="7">
        <f>'1 datos preparados'!S807</f>
        <v/>
      </c>
      <c r="U814" s="7">
        <f>'1 datos preparados'!T807</f>
        <v/>
      </c>
      <c r="V814" s="8">
        <f>$AC$12+D814*$AC$13+E814*$AC$14+F814*$AC$15+G814*$AC$16+H814*$AC$17+I814*$AC$18+J814*$AC$19+K814*$AC$20+L814*$AC$21+M814*$AC$22+N814*$AC$23+O814*$AC$24+P814*$AC$25+Q814*$AC$26+R814*$AC$27+S814*$AC$28+T814*$AC$29+U814*$AC$30</f>
        <v/>
      </c>
      <c r="W814" s="8">
        <f>1/(1+EXP(-V814))</f>
        <v/>
      </c>
      <c r="X814" s="9">
        <f>-IF(C814=1,LN(W814),LN(1-W814))</f>
        <v/>
      </c>
      <c r="Y814" s="10">
        <f>IF(W814&gt;$AC$33,1,0)</f>
        <v/>
      </c>
      <c r="Z814">
        <f>IF(Y814=C814,1,0)</f>
        <v/>
      </c>
    </row>
    <row r="815">
      <c r="A815">
        <f>'1 datos preparados'!A808</f>
        <v/>
      </c>
      <c r="B815" s="5">
        <f>'1 datos preparados'!U808</f>
        <v/>
      </c>
      <c r="C815">
        <f>'1 datos preparados'!B808</f>
        <v/>
      </c>
      <c r="D815" s="7">
        <f>'1 datos preparados'!C808</f>
        <v/>
      </c>
      <c r="E815" s="7">
        <f>'1 datos preparados'!D808</f>
        <v/>
      </c>
      <c r="F815" s="7">
        <f>'1 datos preparados'!E808</f>
        <v/>
      </c>
      <c r="G815" s="7">
        <f>'1 datos preparados'!F808</f>
        <v/>
      </c>
      <c r="H815" s="7">
        <f>'1 datos preparados'!G808</f>
        <v/>
      </c>
      <c r="I815" s="7">
        <f>'1 datos preparados'!H808</f>
        <v/>
      </c>
      <c r="J815" s="7">
        <f>'1 datos preparados'!I808</f>
        <v/>
      </c>
      <c r="K815" s="7">
        <f>'1 datos preparados'!J808</f>
        <v/>
      </c>
      <c r="L815" s="7">
        <f>'1 datos preparados'!K808</f>
        <v/>
      </c>
      <c r="M815" s="7">
        <f>'1 datos preparados'!L808</f>
        <v/>
      </c>
      <c r="N815" s="7">
        <f>'1 datos preparados'!M808</f>
        <v/>
      </c>
      <c r="O815" s="7">
        <f>'1 datos preparados'!N808</f>
        <v/>
      </c>
      <c r="P815" s="7">
        <f>'1 datos preparados'!O808</f>
        <v/>
      </c>
      <c r="Q815" s="7">
        <f>'1 datos preparados'!P808</f>
        <v/>
      </c>
      <c r="R815" s="7">
        <f>'1 datos preparados'!Q808</f>
        <v/>
      </c>
      <c r="S815" s="7">
        <f>'1 datos preparados'!R808</f>
        <v/>
      </c>
      <c r="T815" s="7">
        <f>'1 datos preparados'!S808</f>
        <v/>
      </c>
      <c r="U815" s="7">
        <f>'1 datos preparados'!T808</f>
        <v/>
      </c>
      <c r="V815" s="8">
        <f>$AC$12+D815*$AC$13+E815*$AC$14+F815*$AC$15+G815*$AC$16+H815*$AC$17+I815*$AC$18+J815*$AC$19+K815*$AC$20+L815*$AC$21+M815*$AC$22+N815*$AC$23+O815*$AC$24+P815*$AC$25+Q815*$AC$26+R815*$AC$27+S815*$AC$28+T815*$AC$29+U815*$AC$30</f>
        <v/>
      </c>
      <c r="W815" s="8">
        <f>1/(1+EXP(-V815))</f>
        <v/>
      </c>
      <c r="X815" s="9">
        <f>-IF(C815=1,LN(W815),LN(1-W815))</f>
        <v/>
      </c>
      <c r="Y815" s="10">
        <f>IF(W815&gt;$AC$33,1,0)</f>
        <v/>
      </c>
      <c r="Z815">
        <f>IF(Y815=C815,1,0)</f>
        <v/>
      </c>
    </row>
    <row r="816">
      <c r="A816">
        <f>'1 datos preparados'!A809</f>
        <v/>
      </c>
      <c r="B816" s="5">
        <f>'1 datos preparados'!U809</f>
        <v/>
      </c>
      <c r="C816">
        <f>'1 datos preparados'!B809</f>
        <v/>
      </c>
      <c r="D816" s="7">
        <f>'1 datos preparados'!C809</f>
        <v/>
      </c>
      <c r="E816" s="7">
        <f>'1 datos preparados'!D809</f>
        <v/>
      </c>
      <c r="F816" s="7">
        <f>'1 datos preparados'!E809</f>
        <v/>
      </c>
      <c r="G816" s="7">
        <f>'1 datos preparados'!F809</f>
        <v/>
      </c>
      <c r="H816" s="7">
        <f>'1 datos preparados'!G809</f>
        <v/>
      </c>
      <c r="I816" s="7">
        <f>'1 datos preparados'!H809</f>
        <v/>
      </c>
      <c r="J816" s="7">
        <f>'1 datos preparados'!I809</f>
        <v/>
      </c>
      <c r="K816" s="7">
        <f>'1 datos preparados'!J809</f>
        <v/>
      </c>
      <c r="L816" s="7">
        <f>'1 datos preparados'!K809</f>
        <v/>
      </c>
      <c r="M816" s="7">
        <f>'1 datos preparados'!L809</f>
        <v/>
      </c>
      <c r="N816" s="7">
        <f>'1 datos preparados'!M809</f>
        <v/>
      </c>
      <c r="O816" s="7">
        <f>'1 datos preparados'!N809</f>
        <v/>
      </c>
      <c r="P816" s="7">
        <f>'1 datos preparados'!O809</f>
        <v/>
      </c>
      <c r="Q816" s="7">
        <f>'1 datos preparados'!P809</f>
        <v/>
      </c>
      <c r="R816" s="7">
        <f>'1 datos preparados'!Q809</f>
        <v/>
      </c>
      <c r="S816" s="7">
        <f>'1 datos preparados'!R809</f>
        <v/>
      </c>
      <c r="T816" s="7">
        <f>'1 datos preparados'!S809</f>
        <v/>
      </c>
      <c r="U816" s="7">
        <f>'1 datos preparados'!T809</f>
        <v/>
      </c>
      <c r="V816" s="8">
        <f>$AC$12+D816*$AC$13+E816*$AC$14+F816*$AC$15+G816*$AC$16+H816*$AC$17+I816*$AC$18+J816*$AC$19+K816*$AC$20+L816*$AC$21+M816*$AC$22+N816*$AC$23+O816*$AC$24+P816*$AC$25+Q816*$AC$26+R816*$AC$27+S816*$AC$28+T816*$AC$29+U816*$AC$30</f>
        <v/>
      </c>
      <c r="W816" s="8">
        <f>1/(1+EXP(-V816))</f>
        <v/>
      </c>
      <c r="X816" s="9">
        <f>-IF(C816=1,LN(W816),LN(1-W816))</f>
        <v/>
      </c>
      <c r="Y816" s="10">
        <f>IF(W816&gt;$AC$33,1,0)</f>
        <v/>
      </c>
      <c r="Z816">
        <f>IF(Y816=C816,1,0)</f>
        <v/>
      </c>
    </row>
    <row r="817">
      <c r="A817">
        <f>'1 datos preparados'!A810</f>
        <v/>
      </c>
      <c r="B817" s="5">
        <f>'1 datos preparados'!U810</f>
        <v/>
      </c>
      <c r="C817">
        <f>'1 datos preparados'!B810</f>
        <v/>
      </c>
      <c r="D817" s="7">
        <f>'1 datos preparados'!C810</f>
        <v/>
      </c>
      <c r="E817" s="7">
        <f>'1 datos preparados'!D810</f>
        <v/>
      </c>
      <c r="F817" s="7">
        <f>'1 datos preparados'!E810</f>
        <v/>
      </c>
      <c r="G817" s="7">
        <f>'1 datos preparados'!F810</f>
        <v/>
      </c>
      <c r="H817" s="7">
        <f>'1 datos preparados'!G810</f>
        <v/>
      </c>
      <c r="I817" s="7">
        <f>'1 datos preparados'!H810</f>
        <v/>
      </c>
      <c r="J817" s="7">
        <f>'1 datos preparados'!I810</f>
        <v/>
      </c>
      <c r="K817" s="7">
        <f>'1 datos preparados'!J810</f>
        <v/>
      </c>
      <c r="L817" s="7">
        <f>'1 datos preparados'!K810</f>
        <v/>
      </c>
      <c r="M817" s="7">
        <f>'1 datos preparados'!L810</f>
        <v/>
      </c>
      <c r="N817" s="7">
        <f>'1 datos preparados'!M810</f>
        <v/>
      </c>
      <c r="O817" s="7">
        <f>'1 datos preparados'!N810</f>
        <v/>
      </c>
      <c r="P817" s="7">
        <f>'1 datos preparados'!O810</f>
        <v/>
      </c>
      <c r="Q817" s="7">
        <f>'1 datos preparados'!P810</f>
        <v/>
      </c>
      <c r="R817" s="7">
        <f>'1 datos preparados'!Q810</f>
        <v/>
      </c>
      <c r="S817" s="7">
        <f>'1 datos preparados'!R810</f>
        <v/>
      </c>
      <c r="T817" s="7">
        <f>'1 datos preparados'!S810</f>
        <v/>
      </c>
      <c r="U817" s="7">
        <f>'1 datos preparados'!T810</f>
        <v/>
      </c>
      <c r="V817" s="8">
        <f>$AC$12+D817*$AC$13+E817*$AC$14+F817*$AC$15+G817*$AC$16+H817*$AC$17+I817*$AC$18+J817*$AC$19+K817*$AC$20+L817*$AC$21+M817*$AC$22+N817*$AC$23+O817*$AC$24+P817*$AC$25+Q817*$AC$26+R817*$AC$27+S817*$AC$28+T817*$AC$29+U817*$AC$30</f>
        <v/>
      </c>
      <c r="W817" s="8">
        <f>1/(1+EXP(-V817))</f>
        <v/>
      </c>
      <c r="X817" s="9">
        <f>-IF(C817=1,LN(W817),LN(1-W817))</f>
        <v/>
      </c>
      <c r="Y817" s="10">
        <f>IF(W817&gt;$AC$33,1,0)</f>
        <v/>
      </c>
      <c r="Z817">
        <f>IF(Y817=C817,1,0)</f>
        <v/>
      </c>
    </row>
    <row r="818">
      <c r="A818">
        <f>'1 datos preparados'!A811</f>
        <v/>
      </c>
      <c r="B818" s="5">
        <f>'1 datos preparados'!U811</f>
        <v/>
      </c>
      <c r="C818">
        <f>'1 datos preparados'!B811</f>
        <v/>
      </c>
      <c r="D818" s="7">
        <f>'1 datos preparados'!C811</f>
        <v/>
      </c>
      <c r="E818" s="7">
        <f>'1 datos preparados'!D811</f>
        <v/>
      </c>
      <c r="F818" s="7">
        <f>'1 datos preparados'!E811</f>
        <v/>
      </c>
      <c r="G818" s="7">
        <f>'1 datos preparados'!F811</f>
        <v/>
      </c>
      <c r="H818" s="7">
        <f>'1 datos preparados'!G811</f>
        <v/>
      </c>
      <c r="I818" s="7">
        <f>'1 datos preparados'!H811</f>
        <v/>
      </c>
      <c r="J818" s="7">
        <f>'1 datos preparados'!I811</f>
        <v/>
      </c>
      <c r="K818" s="7">
        <f>'1 datos preparados'!J811</f>
        <v/>
      </c>
      <c r="L818" s="7">
        <f>'1 datos preparados'!K811</f>
        <v/>
      </c>
      <c r="M818" s="7">
        <f>'1 datos preparados'!L811</f>
        <v/>
      </c>
      <c r="N818" s="7">
        <f>'1 datos preparados'!M811</f>
        <v/>
      </c>
      <c r="O818" s="7">
        <f>'1 datos preparados'!N811</f>
        <v/>
      </c>
      <c r="P818" s="7">
        <f>'1 datos preparados'!O811</f>
        <v/>
      </c>
      <c r="Q818" s="7">
        <f>'1 datos preparados'!P811</f>
        <v/>
      </c>
      <c r="R818" s="7">
        <f>'1 datos preparados'!Q811</f>
        <v/>
      </c>
      <c r="S818" s="7">
        <f>'1 datos preparados'!R811</f>
        <v/>
      </c>
      <c r="T818" s="7">
        <f>'1 datos preparados'!S811</f>
        <v/>
      </c>
      <c r="U818" s="7">
        <f>'1 datos preparados'!T811</f>
        <v/>
      </c>
      <c r="V818" s="8">
        <f>$AC$12+D818*$AC$13+E818*$AC$14+F818*$AC$15+G818*$AC$16+H818*$AC$17+I818*$AC$18+J818*$AC$19+K818*$AC$20+L818*$AC$21+M818*$AC$22+N818*$AC$23+O818*$AC$24+P818*$AC$25+Q818*$AC$26+R818*$AC$27+S818*$AC$28+T818*$AC$29+U818*$AC$30</f>
        <v/>
      </c>
      <c r="W818" s="8">
        <f>1/(1+EXP(-V818))</f>
        <v/>
      </c>
      <c r="X818" s="9">
        <f>-IF(C818=1,LN(W818),LN(1-W818))</f>
        <v/>
      </c>
      <c r="Y818" s="10">
        <f>IF(W818&gt;$AC$33,1,0)</f>
        <v/>
      </c>
      <c r="Z818">
        <f>IF(Y818=C818,1,0)</f>
        <v/>
      </c>
    </row>
    <row r="819">
      <c r="A819">
        <f>'1 datos preparados'!A812</f>
        <v/>
      </c>
      <c r="B819" s="5">
        <f>'1 datos preparados'!U812</f>
        <v/>
      </c>
      <c r="C819">
        <f>'1 datos preparados'!B812</f>
        <v/>
      </c>
      <c r="D819" s="7">
        <f>'1 datos preparados'!C812</f>
        <v/>
      </c>
      <c r="E819" s="7">
        <f>'1 datos preparados'!D812</f>
        <v/>
      </c>
      <c r="F819" s="7">
        <f>'1 datos preparados'!E812</f>
        <v/>
      </c>
      <c r="G819" s="7">
        <f>'1 datos preparados'!F812</f>
        <v/>
      </c>
      <c r="H819" s="7">
        <f>'1 datos preparados'!G812</f>
        <v/>
      </c>
      <c r="I819" s="7">
        <f>'1 datos preparados'!H812</f>
        <v/>
      </c>
      <c r="J819" s="7">
        <f>'1 datos preparados'!I812</f>
        <v/>
      </c>
      <c r="K819" s="7">
        <f>'1 datos preparados'!J812</f>
        <v/>
      </c>
      <c r="L819" s="7">
        <f>'1 datos preparados'!K812</f>
        <v/>
      </c>
      <c r="M819" s="7">
        <f>'1 datos preparados'!L812</f>
        <v/>
      </c>
      <c r="N819" s="7">
        <f>'1 datos preparados'!M812</f>
        <v/>
      </c>
      <c r="O819" s="7">
        <f>'1 datos preparados'!N812</f>
        <v/>
      </c>
      <c r="P819" s="7">
        <f>'1 datos preparados'!O812</f>
        <v/>
      </c>
      <c r="Q819" s="7">
        <f>'1 datos preparados'!P812</f>
        <v/>
      </c>
      <c r="R819" s="7">
        <f>'1 datos preparados'!Q812</f>
        <v/>
      </c>
      <c r="S819" s="7">
        <f>'1 datos preparados'!R812</f>
        <v/>
      </c>
      <c r="T819" s="7">
        <f>'1 datos preparados'!S812</f>
        <v/>
      </c>
      <c r="U819" s="7">
        <f>'1 datos preparados'!T812</f>
        <v/>
      </c>
      <c r="V819" s="8">
        <f>$AC$12+D819*$AC$13+E819*$AC$14+F819*$AC$15+G819*$AC$16+H819*$AC$17+I819*$AC$18+J819*$AC$19+K819*$AC$20+L819*$AC$21+M819*$AC$22+N819*$AC$23+O819*$AC$24+P819*$AC$25+Q819*$AC$26+R819*$AC$27+S819*$AC$28+T819*$AC$29+U819*$AC$30</f>
        <v/>
      </c>
      <c r="W819" s="8">
        <f>1/(1+EXP(-V819))</f>
        <v/>
      </c>
      <c r="X819" s="9">
        <f>-IF(C819=1,LN(W819),LN(1-W819))</f>
        <v/>
      </c>
      <c r="Y819" s="10">
        <f>IF(W819&gt;$AC$33,1,0)</f>
        <v/>
      </c>
      <c r="Z819">
        <f>IF(Y819=C819,1,0)</f>
        <v/>
      </c>
    </row>
    <row r="820">
      <c r="A820">
        <f>'1 datos preparados'!A813</f>
        <v/>
      </c>
      <c r="B820" s="5">
        <f>'1 datos preparados'!U813</f>
        <v/>
      </c>
      <c r="C820">
        <f>'1 datos preparados'!B813</f>
        <v/>
      </c>
      <c r="D820" s="7">
        <f>'1 datos preparados'!C813</f>
        <v/>
      </c>
      <c r="E820" s="7">
        <f>'1 datos preparados'!D813</f>
        <v/>
      </c>
      <c r="F820" s="7">
        <f>'1 datos preparados'!E813</f>
        <v/>
      </c>
      <c r="G820" s="7">
        <f>'1 datos preparados'!F813</f>
        <v/>
      </c>
      <c r="H820" s="7">
        <f>'1 datos preparados'!G813</f>
        <v/>
      </c>
      <c r="I820" s="7">
        <f>'1 datos preparados'!H813</f>
        <v/>
      </c>
      <c r="J820" s="7">
        <f>'1 datos preparados'!I813</f>
        <v/>
      </c>
      <c r="K820" s="7">
        <f>'1 datos preparados'!J813</f>
        <v/>
      </c>
      <c r="L820" s="7">
        <f>'1 datos preparados'!K813</f>
        <v/>
      </c>
      <c r="M820" s="7">
        <f>'1 datos preparados'!L813</f>
        <v/>
      </c>
      <c r="N820" s="7">
        <f>'1 datos preparados'!M813</f>
        <v/>
      </c>
      <c r="O820" s="7">
        <f>'1 datos preparados'!N813</f>
        <v/>
      </c>
      <c r="P820" s="7">
        <f>'1 datos preparados'!O813</f>
        <v/>
      </c>
      <c r="Q820" s="7">
        <f>'1 datos preparados'!P813</f>
        <v/>
      </c>
      <c r="R820" s="7">
        <f>'1 datos preparados'!Q813</f>
        <v/>
      </c>
      <c r="S820" s="7">
        <f>'1 datos preparados'!R813</f>
        <v/>
      </c>
      <c r="T820" s="7">
        <f>'1 datos preparados'!S813</f>
        <v/>
      </c>
      <c r="U820" s="7">
        <f>'1 datos preparados'!T813</f>
        <v/>
      </c>
      <c r="V820" s="8">
        <f>$AC$12+D820*$AC$13+E820*$AC$14+F820*$AC$15+G820*$AC$16+H820*$AC$17+I820*$AC$18+J820*$AC$19+K820*$AC$20+L820*$AC$21+M820*$AC$22+N820*$AC$23+O820*$AC$24+P820*$AC$25+Q820*$AC$26+R820*$AC$27+S820*$AC$28+T820*$AC$29+U820*$AC$30</f>
        <v/>
      </c>
      <c r="W820" s="8">
        <f>1/(1+EXP(-V820))</f>
        <v/>
      </c>
      <c r="X820" s="9">
        <f>-IF(C820=1,LN(W820),LN(1-W820))</f>
        <v/>
      </c>
      <c r="Y820" s="10">
        <f>IF(W820&gt;$AC$33,1,0)</f>
        <v/>
      </c>
      <c r="Z820">
        <f>IF(Y820=C820,1,0)</f>
        <v/>
      </c>
    </row>
    <row r="821">
      <c r="A821">
        <f>'1 datos preparados'!A814</f>
        <v/>
      </c>
      <c r="B821" s="5">
        <f>'1 datos preparados'!U814</f>
        <v/>
      </c>
      <c r="C821">
        <f>'1 datos preparados'!B814</f>
        <v/>
      </c>
      <c r="D821" s="7">
        <f>'1 datos preparados'!C814</f>
        <v/>
      </c>
      <c r="E821" s="7">
        <f>'1 datos preparados'!D814</f>
        <v/>
      </c>
      <c r="F821" s="7">
        <f>'1 datos preparados'!E814</f>
        <v/>
      </c>
      <c r="G821" s="7">
        <f>'1 datos preparados'!F814</f>
        <v/>
      </c>
      <c r="H821" s="7">
        <f>'1 datos preparados'!G814</f>
        <v/>
      </c>
      <c r="I821" s="7">
        <f>'1 datos preparados'!H814</f>
        <v/>
      </c>
      <c r="J821" s="7">
        <f>'1 datos preparados'!I814</f>
        <v/>
      </c>
      <c r="K821" s="7">
        <f>'1 datos preparados'!J814</f>
        <v/>
      </c>
      <c r="L821" s="7">
        <f>'1 datos preparados'!K814</f>
        <v/>
      </c>
      <c r="M821" s="7">
        <f>'1 datos preparados'!L814</f>
        <v/>
      </c>
      <c r="N821" s="7">
        <f>'1 datos preparados'!M814</f>
        <v/>
      </c>
      <c r="O821" s="7">
        <f>'1 datos preparados'!N814</f>
        <v/>
      </c>
      <c r="P821" s="7">
        <f>'1 datos preparados'!O814</f>
        <v/>
      </c>
      <c r="Q821" s="7">
        <f>'1 datos preparados'!P814</f>
        <v/>
      </c>
      <c r="R821" s="7">
        <f>'1 datos preparados'!Q814</f>
        <v/>
      </c>
      <c r="S821" s="7">
        <f>'1 datos preparados'!R814</f>
        <v/>
      </c>
      <c r="T821" s="7">
        <f>'1 datos preparados'!S814</f>
        <v/>
      </c>
      <c r="U821" s="7">
        <f>'1 datos preparados'!T814</f>
        <v/>
      </c>
      <c r="V821" s="8">
        <f>$AC$12+D821*$AC$13+E821*$AC$14+F821*$AC$15+G821*$AC$16+H821*$AC$17+I821*$AC$18+J821*$AC$19+K821*$AC$20+L821*$AC$21+M821*$AC$22+N821*$AC$23+O821*$AC$24+P821*$AC$25+Q821*$AC$26+R821*$AC$27+S821*$AC$28+T821*$AC$29+U821*$AC$30</f>
        <v/>
      </c>
      <c r="W821" s="8">
        <f>1/(1+EXP(-V821))</f>
        <v/>
      </c>
      <c r="X821" s="9">
        <f>-IF(C821=1,LN(W821),LN(1-W821))</f>
        <v/>
      </c>
      <c r="Y821" s="10">
        <f>IF(W821&gt;$AC$33,1,0)</f>
        <v/>
      </c>
      <c r="Z821">
        <f>IF(Y821=C821,1,0)</f>
        <v/>
      </c>
    </row>
    <row r="822">
      <c r="A822">
        <f>'1 datos preparados'!A815</f>
        <v/>
      </c>
      <c r="B822" s="5">
        <f>'1 datos preparados'!U815</f>
        <v/>
      </c>
      <c r="C822">
        <f>'1 datos preparados'!B815</f>
        <v/>
      </c>
      <c r="D822" s="7">
        <f>'1 datos preparados'!C815</f>
        <v/>
      </c>
      <c r="E822" s="7">
        <f>'1 datos preparados'!D815</f>
        <v/>
      </c>
      <c r="F822" s="7">
        <f>'1 datos preparados'!E815</f>
        <v/>
      </c>
      <c r="G822" s="7">
        <f>'1 datos preparados'!F815</f>
        <v/>
      </c>
      <c r="H822" s="7">
        <f>'1 datos preparados'!G815</f>
        <v/>
      </c>
      <c r="I822" s="7">
        <f>'1 datos preparados'!H815</f>
        <v/>
      </c>
      <c r="J822" s="7">
        <f>'1 datos preparados'!I815</f>
        <v/>
      </c>
      <c r="K822" s="7">
        <f>'1 datos preparados'!J815</f>
        <v/>
      </c>
      <c r="L822" s="7">
        <f>'1 datos preparados'!K815</f>
        <v/>
      </c>
      <c r="M822" s="7">
        <f>'1 datos preparados'!L815</f>
        <v/>
      </c>
      <c r="N822" s="7">
        <f>'1 datos preparados'!M815</f>
        <v/>
      </c>
      <c r="O822" s="7">
        <f>'1 datos preparados'!N815</f>
        <v/>
      </c>
      <c r="P822" s="7">
        <f>'1 datos preparados'!O815</f>
        <v/>
      </c>
      <c r="Q822" s="7">
        <f>'1 datos preparados'!P815</f>
        <v/>
      </c>
      <c r="R822" s="7">
        <f>'1 datos preparados'!Q815</f>
        <v/>
      </c>
      <c r="S822" s="7">
        <f>'1 datos preparados'!R815</f>
        <v/>
      </c>
      <c r="T822" s="7">
        <f>'1 datos preparados'!S815</f>
        <v/>
      </c>
      <c r="U822" s="7">
        <f>'1 datos preparados'!T815</f>
        <v/>
      </c>
      <c r="V822" s="8">
        <f>$AC$12+D822*$AC$13+E822*$AC$14+F822*$AC$15+G822*$AC$16+H822*$AC$17+I822*$AC$18+J822*$AC$19+K822*$AC$20+L822*$AC$21+M822*$AC$22+N822*$AC$23+O822*$AC$24+P822*$AC$25+Q822*$AC$26+R822*$AC$27+S822*$AC$28+T822*$AC$29+U822*$AC$30</f>
        <v/>
      </c>
      <c r="W822" s="8">
        <f>1/(1+EXP(-V822))</f>
        <v/>
      </c>
      <c r="X822" s="9">
        <f>-IF(C822=1,LN(W822),LN(1-W822))</f>
        <v/>
      </c>
      <c r="Y822" s="10">
        <f>IF(W822&gt;$AC$33,1,0)</f>
        <v/>
      </c>
      <c r="Z822">
        <f>IF(Y822=C822,1,0)</f>
        <v/>
      </c>
    </row>
    <row r="823">
      <c r="A823">
        <f>'1 datos preparados'!A816</f>
        <v/>
      </c>
      <c r="B823" s="5">
        <f>'1 datos preparados'!U816</f>
        <v/>
      </c>
      <c r="C823">
        <f>'1 datos preparados'!B816</f>
        <v/>
      </c>
      <c r="D823" s="7">
        <f>'1 datos preparados'!C816</f>
        <v/>
      </c>
      <c r="E823" s="7">
        <f>'1 datos preparados'!D816</f>
        <v/>
      </c>
      <c r="F823" s="7">
        <f>'1 datos preparados'!E816</f>
        <v/>
      </c>
      <c r="G823" s="7">
        <f>'1 datos preparados'!F816</f>
        <v/>
      </c>
      <c r="H823" s="7">
        <f>'1 datos preparados'!G816</f>
        <v/>
      </c>
      <c r="I823" s="7">
        <f>'1 datos preparados'!H816</f>
        <v/>
      </c>
      <c r="J823" s="7">
        <f>'1 datos preparados'!I816</f>
        <v/>
      </c>
      <c r="K823" s="7">
        <f>'1 datos preparados'!J816</f>
        <v/>
      </c>
      <c r="L823" s="7">
        <f>'1 datos preparados'!K816</f>
        <v/>
      </c>
      <c r="M823" s="7">
        <f>'1 datos preparados'!L816</f>
        <v/>
      </c>
      <c r="N823" s="7">
        <f>'1 datos preparados'!M816</f>
        <v/>
      </c>
      <c r="O823" s="7">
        <f>'1 datos preparados'!N816</f>
        <v/>
      </c>
      <c r="P823" s="7">
        <f>'1 datos preparados'!O816</f>
        <v/>
      </c>
      <c r="Q823" s="7">
        <f>'1 datos preparados'!P816</f>
        <v/>
      </c>
      <c r="R823" s="7">
        <f>'1 datos preparados'!Q816</f>
        <v/>
      </c>
      <c r="S823" s="7">
        <f>'1 datos preparados'!R816</f>
        <v/>
      </c>
      <c r="T823" s="7">
        <f>'1 datos preparados'!S816</f>
        <v/>
      </c>
      <c r="U823" s="7">
        <f>'1 datos preparados'!T816</f>
        <v/>
      </c>
      <c r="V823" s="8">
        <f>$AC$12+D823*$AC$13+E823*$AC$14+F823*$AC$15+G823*$AC$16+H823*$AC$17+I823*$AC$18+J823*$AC$19+K823*$AC$20+L823*$AC$21+M823*$AC$22+N823*$AC$23+O823*$AC$24+P823*$AC$25+Q823*$AC$26+R823*$AC$27+S823*$AC$28+T823*$AC$29+U823*$AC$30</f>
        <v/>
      </c>
      <c r="W823" s="8">
        <f>1/(1+EXP(-V823))</f>
        <v/>
      </c>
      <c r="X823" s="9">
        <f>-IF(C823=1,LN(W823),LN(1-W823))</f>
        <v/>
      </c>
      <c r="Y823" s="10">
        <f>IF(W823&gt;$AC$33,1,0)</f>
        <v/>
      </c>
      <c r="Z823">
        <f>IF(Y823=C823,1,0)</f>
        <v/>
      </c>
    </row>
    <row r="824">
      <c r="A824">
        <f>'1 datos preparados'!A817</f>
        <v/>
      </c>
      <c r="B824" s="5">
        <f>'1 datos preparados'!U817</f>
        <v/>
      </c>
      <c r="C824">
        <f>'1 datos preparados'!B817</f>
        <v/>
      </c>
      <c r="D824" s="7">
        <f>'1 datos preparados'!C817</f>
        <v/>
      </c>
      <c r="E824" s="7">
        <f>'1 datos preparados'!D817</f>
        <v/>
      </c>
      <c r="F824" s="7">
        <f>'1 datos preparados'!E817</f>
        <v/>
      </c>
      <c r="G824" s="7">
        <f>'1 datos preparados'!F817</f>
        <v/>
      </c>
      <c r="H824" s="7">
        <f>'1 datos preparados'!G817</f>
        <v/>
      </c>
      <c r="I824" s="7">
        <f>'1 datos preparados'!H817</f>
        <v/>
      </c>
      <c r="J824" s="7">
        <f>'1 datos preparados'!I817</f>
        <v/>
      </c>
      <c r="K824" s="7">
        <f>'1 datos preparados'!J817</f>
        <v/>
      </c>
      <c r="L824" s="7">
        <f>'1 datos preparados'!K817</f>
        <v/>
      </c>
      <c r="M824" s="7">
        <f>'1 datos preparados'!L817</f>
        <v/>
      </c>
      <c r="N824" s="7">
        <f>'1 datos preparados'!M817</f>
        <v/>
      </c>
      <c r="O824" s="7">
        <f>'1 datos preparados'!N817</f>
        <v/>
      </c>
      <c r="P824" s="7">
        <f>'1 datos preparados'!O817</f>
        <v/>
      </c>
      <c r="Q824" s="7">
        <f>'1 datos preparados'!P817</f>
        <v/>
      </c>
      <c r="R824" s="7">
        <f>'1 datos preparados'!Q817</f>
        <v/>
      </c>
      <c r="S824" s="7">
        <f>'1 datos preparados'!R817</f>
        <v/>
      </c>
      <c r="T824" s="7">
        <f>'1 datos preparados'!S817</f>
        <v/>
      </c>
      <c r="U824" s="7">
        <f>'1 datos preparados'!T817</f>
        <v/>
      </c>
      <c r="V824" s="8">
        <f>$AC$12+D824*$AC$13+E824*$AC$14+F824*$AC$15+G824*$AC$16+H824*$AC$17+I824*$AC$18+J824*$AC$19+K824*$AC$20+L824*$AC$21+M824*$AC$22+N824*$AC$23+O824*$AC$24+P824*$AC$25+Q824*$AC$26+R824*$AC$27+S824*$AC$28+T824*$AC$29+U824*$AC$30</f>
        <v/>
      </c>
      <c r="W824" s="8">
        <f>1/(1+EXP(-V824))</f>
        <v/>
      </c>
      <c r="X824" s="9">
        <f>-IF(C824=1,LN(W824),LN(1-W824))</f>
        <v/>
      </c>
      <c r="Y824" s="10">
        <f>IF(W824&gt;$AC$33,1,0)</f>
        <v/>
      </c>
      <c r="Z824">
        <f>IF(Y824=C824,1,0)</f>
        <v/>
      </c>
    </row>
    <row r="825">
      <c r="A825">
        <f>'1 datos preparados'!A818</f>
        <v/>
      </c>
      <c r="B825" s="5">
        <f>'1 datos preparados'!U818</f>
        <v/>
      </c>
      <c r="C825">
        <f>'1 datos preparados'!B818</f>
        <v/>
      </c>
      <c r="D825" s="7">
        <f>'1 datos preparados'!C818</f>
        <v/>
      </c>
      <c r="E825" s="7">
        <f>'1 datos preparados'!D818</f>
        <v/>
      </c>
      <c r="F825" s="7">
        <f>'1 datos preparados'!E818</f>
        <v/>
      </c>
      <c r="G825" s="7">
        <f>'1 datos preparados'!F818</f>
        <v/>
      </c>
      <c r="H825" s="7">
        <f>'1 datos preparados'!G818</f>
        <v/>
      </c>
      <c r="I825" s="7">
        <f>'1 datos preparados'!H818</f>
        <v/>
      </c>
      <c r="J825" s="7">
        <f>'1 datos preparados'!I818</f>
        <v/>
      </c>
      <c r="K825" s="7">
        <f>'1 datos preparados'!J818</f>
        <v/>
      </c>
      <c r="L825" s="7">
        <f>'1 datos preparados'!K818</f>
        <v/>
      </c>
      <c r="M825" s="7">
        <f>'1 datos preparados'!L818</f>
        <v/>
      </c>
      <c r="N825" s="7">
        <f>'1 datos preparados'!M818</f>
        <v/>
      </c>
      <c r="O825" s="7">
        <f>'1 datos preparados'!N818</f>
        <v/>
      </c>
      <c r="P825" s="7">
        <f>'1 datos preparados'!O818</f>
        <v/>
      </c>
      <c r="Q825" s="7">
        <f>'1 datos preparados'!P818</f>
        <v/>
      </c>
      <c r="R825" s="7">
        <f>'1 datos preparados'!Q818</f>
        <v/>
      </c>
      <c r="S825" s="7">
        <f>'1 datos preparados'!R818</f>
        <v/>
      </c>
      <c r="T825" s="7">
        <f>'1 datos preparados'!S818</f>
        <v/>
      </c>
      <c r="U825" s="7">
        <f>'1 datos preparados'!T818</f>
        <v/>
      </c>
      <c r="V825" s="8">
        <f>$AC$12+D825*$AC$13+E825*$AC$14+F825*$AC$15+G825*$AC$16+H825*$AC$17+I825*$AC$18+J825*$AC$19+K825*$AC$20+L825*$AC$21+M825*$AC$22+N825*$AC$23+O825*$AC$24+P825*$AC$25+Q825*$AC$26+R825*$AC$27+S825*$AC$28+T825*$AC$29+U825*$AC$30</f>
        <v/>
      </c>
      <c r="W825" s="8">
        <f>1/(1+EXP(-V825))</f>
        <v/>
      </c>
      <c r="X825" s="9">
        <f>-IF(C825=1,LN(W825),LN(1-W825))</f>
        <v/>
      </c>
      <c r="Y825" s="10">
        <f>IF(W825&gt;$AC$33,1,0)</f>
        <v/>
      </c>
      <c r="Z825">
        <f>IF(Y825=C825,1,0)</f>
        <v/>
      </c>
    </row>
    <row r="826">
      <c r="A826">
        <f>'1 datos preparados'!A819</f>
        <v/>
      </c>
      <c r="B826" s="5">
        <f>'1 datos preparados'!U819</f>
        <v/>
      </c>
      <c r="C826">
        <f>'1 datos preparados'!B819</f>
        <v/>
      </c>
      <c r="D826" s="7">
        <f>'1 datos preparados'!C819</f>
        <v/>
      </c>
      <c r="E826" s="7">
        <f>'1 datos preparados'!D819</f>
        <v/>
      </c>
      <c r="F826" s="7">
        <f>'1 datos preparados'!E819</f>
        <v/>
      </c>
      <c r="G826" s="7">
        <f>'1 datos preparados'!F819</f>
        <v/>
      </c>
      <c r="H826" s="7">
        <f>'1 datos preparados'!G819</f>
        <v/>
      </c>
      <c r="I826" s="7">
        <f>'1 datos preparados'!H819</f>
        <v/>
      </c>
      <c r="J826" s="7">
        <f>'1 datos preparados'!I819</f>
        <v/>
      </c>
      <c r="K826" s="7">
        <f>'1 datos preparados'!J819</f>
        <v/>
      </c>
      <c r="L826" s="7">
        <f>'1 datos preparados'!K819</f>
        <v/>
      </c>
      <c r="M826" s="7">
        <f>'1 datos preparados'!L819</f>
        <v/>
      </c>
      <c r="N826" s="7">
        <f>'1 datos preparados'!M819</f>
        <v/>
      </c>
      <c r="O826" s="7">
        <f>'1 datos preparados'!N819</f>
        <v/>
      </c>
      <c r="P826" s="7">
        <f>'1 datos preparados'!O819</f>
        <v/>
      </c>
      <c r="Q826" s="7">
        <f>'1 datos preparados'!P819</f>
        <v/>
      </c>
      <c r="R826" s="7">
        <f>'1 datos preparados'!Q819</f>
        <v/>
      </c>
      <c r="S826" s="7">
        <f>'1 datos preparados'!R819</f>
        <v/>
      </c>
      <c r="T826" s="7">
        <f>'1 datos preparados'!S819</f>
        <v/>
      </c>
      <c r="U826" s="7">
        <f>'1 datos preparados'!T819</f>
        <v/>
      </c>
      <c r="V826" s="8">
        <f>$AC$12+D826*$AC$13+E826*$AC$14+F826*$AC$15+G826*$AC$16+H826*$AC$17+I826*$AC$18+J826*$AC$19+K826*$AC$20+L826*$AC$21+M826*$AC$22+N826*$AC$23+O826*$AC$24+P826*$AC$25+Q826*$AC$26+R826*$AC$27+S826*$AC$28+T826*$AC$29+U826*$AC$30</f>
        <v/>
      </c>
      <c r="W826" s="8">
        <f>1/(1+EXP(-V826))</f>
        <v/>
      </c>
      <c r="X826" s="9">
        <f>-IF(C826=1,LN(W826),LN(1-W826))</f>
        <v/>
      </c>
      <c r="Y826" s="10">
        <f>IF(W826&gt;$AC$33,1,0)</f>
        <v/>
      </c>
      <c r="Z826">
        <f>IF(Y826=C826,1,0)</f>
        <v/>
      </c>
    </row>
    <row r="827">
      <c r="A827">
        <f>'1 datos preparados'!A820</f>
        <v/>
      </c>
      <c r="B827" s="5">
        <f>'1 datos preparados'!U820</f>
        <v/>
      </c>
      <c r="C827">
        <f>'1 datos preparados'!B820</f>
        <v/>
      </c>
      <c r="D827" s="7">
        <f>'1 datos preparados'!C820</f>
        <v/>
      </c>
      <c r="E827" s="7">
        <f>'1 datos preparados'!D820</f>
        <v/>
      </c>
      <c r="F827" s="7">
        <f>'1 datos preparados'!E820</f>
        <v/>
      </c>
      <c r="G827" s="7">
        <f>'1 datos preparados'!F820</f>
        <v/>
      </c>
      <c r="H827" s="7">
        <f>'1 datos preparados'!G820</f>
        <v/>
      </c>
      <c r="I827" s="7">
        <f>'1 datos preparados'!H820</f>
        <v/>
      </c>
      <c r="J827" s="7">
        <f>'1 datos preparados'!I820</f>
        <v/>
      </c>
      <c r="K827" s="7">
        <f>'1 datos preparados'!J820</f>
        <v/>
      </c>
      <c r="L827" s="7">
        <f>'1 datos preparados'!K820</f>
        <v/>
      </c>
      <c r="M827" s="7">
        <f>'1 datos preparados'!L820</f>
        <v/>
      </c>
      <c r="N827" s="7">
        <f>'1 datos preparados'!M820</f>
        <v/>
      </c>
      <c r="O827" s="7">
        <f>'1 datos preparados'!N820</f>
        <v/>
      </c>
      <c r="P827" s="7">
        <f>'1 datos preparados'!O820</f>
        <v/>
      </c>
      <c r="Q827" s="7">
        <f>'1 datos preparados'!P820</f>
        <v/>
      </c>
      <c r="R827" s="7">
        <f>'1 datos preparados'!Q820</f>
        <v/>
      </c>
      <c r="S827" s="7">
        <f>'1 datos preparados'!R820</f>
        <v/>
      </c>
      <c r="T827" s="7">
        <f>'1 datos preparados'!S820</f>
        <v/>
      </c>
      <c r="U827" s="7">
        <f>'1 datos preparados'!T820</f>
        <v/>
      </c>
      <c r="V827" s="8">
        <f>$AC$12+D827*$AC$13+E827*$AC$14+F827*$AC$15+G827*$AC$16+H827*$AC$17+I827*$AC$18+J827*$AC$19+K827*$AC$20+L827*$AC$21+M827*$AC$22+N827*$AC$23+O827*$AC$24+P827*$AC$25+Q827*$AC$26+R827*$AC$27+S827*$AC$28+T827*$AC$29+U827*$AC$30</f>
        <v/>
      </c>
      <c r="W827" s="8">
        <f>1/(1+EXP(-V827))</f>
        <v/>
      </c>
      <c r="X827" s="9">
        <f>-IF(C827=1,LN(W827),LN(1-W827))</f>
        <v/>
      </c>
      <c r="Y827" s="10">
        <f>IF(W827&gt;$AC$33,1,0)</f>
        <v/>
      </c>
      <c r="Z827">
        <f>IF(Y827=C827,1,0)</f>
        <v/>
      </c>
    </row>
    <row r="828">
      <c r="A828">
        <f>'1 datos preparados'!A821</f>
        <v/>
      </c>
      <c r="B828" s="5">
        <f>'1 datos preparados'!U821</f>
        <v/>
      </c>
      <c r="C828">
        <f>'1 datos preparados'!B821</f>
        <v/>
      </c>
      <c r="D828" s="7">
        <f>'1 datos preparados'!C821</f>
        <v/>
      </c>
      <c r="E828" s="7">
        <f>'1 datos preparados'!D821</f>
        <v/>
      </c>
      <c r="F828" s="7">
        <f>'1 datos preparados'!E821</f>
        <v/>
      </c>
      <c r="G828" s="7">
        <f>'1 datos preparados'!F821</f>
        <v/>
      </c>
      <c r="H828" s="7">
        <f>'1 datos preparados'!G821</f>
        <v/>
      </c>
      <c r="I828" s="7">
        <f>'1 datos preparados'!H821</f>
        <v/>
      </c>
      <c r="J828" s="7">
        <f>'1 datos preparados'!I821</f>
        <v/>
      </c>
      <c r="K828" s="7">
        <f>'1 datos preparados'!J821</f>
        <v/>
      </c>
      <c r="L828" s="7">
        <f>'1 datos preparados'!K821</f>
        <v/>
      </c>
      <c r="M828" s="7">
        <f>'1 datos preparados'!L821</f>
        <v/>
      </c>
      <c r="N828" s="7">
        <f>'1 datos preparados'!M821</f>
        <v/>
      </c>
      <c r="O828" s="7">
        <f>'1 datos preparados'!N821</f>
        <v/>
      </c>
      <c r="P828" s="7">
        <f>'1 datos preparados'!O821</f>
        <v/>
      </c>
      <c r="Q828" s="7">
        <f>'1 datos preparados'!P821</f>
        <v/>
      </c>
      <c r="R828" s="7">
        <f>'1 datos preparados'!Q821</f>
        <v/>
      </c>
      <c r="S828" s="7">
        <f>'1 datos preparados'!R821</f>
        <v/>
      </c>
      <c r="T828" s="7">
        <f>'1 datos preparados'!S821</f>
        <v/>
      </c>
      <c r="U828" s="7">
        <f>'1 datos preparados'!T821</f>
        <v/>
      </c>
      <c r="V828" s="8">
        <f>$AC$12+D828*$AC$13+E828*$AC$14+F828*$AC$15+G828*$AC$16+H828*$AC$17+I828*$AC$18+J828*$AC$19+K828*$AC$20+L828*$AC$21+M828*$AC$22+N828*$AC$23+O828*$AC$24+P828*$AC$25+Q828*$AC$26+R828*$AC$27+S828*$AC$28+T828*$AC$29+U828*$AC$30</f>
        <v/>
      </c>
      <c r="W828" s="8">
        <f>1/(1+EXP(-V828))</f>
        <v/>
      </c>
      <c r="X828" s="9">
        <f>-IF(C828=1,LN(W828),LN(1-W828))</f>
        <v/>
      </c>
      <c r="Y828" s="10">
        <f>IF(W828&gt;$AC$33,1,0)</f>
        <v/>
      </c>
      <c r="Z828">
        <f>IF(Y828=C828,1,0)</f>
        <v/>
      </c>
    </row>
    <row r="829">
      <c r="A829">
        <f>'1 datos preparados'!A822</f>
        <v/>
      </c>
      <c r="B829" s="5">
        <f>'1 datos preparados'!U822</f>
        <v/>
      </c>
      <c r="C829">
        <f>'1 datos preparados'!B822</f>
        <v/>
      </c>
      <c r="D829" s="7">
        <f>'1 datos preparados'!C822</f>
        <v/>
      </c>
      <c r="E829" s="7">
        <f>'1 datos preparados'!D822</f>
        <v/>
      </c>
      <c r="F829" s="7">
        <f>'1 datos preparados'!E822</f>
        <v/>
      </c>
      <c r="G829" s="7">
        <f>'1 datos preparados'!F822</f>
        <v/>
      </c>
      <c r="H829" s="7">
        <f>'1 datos preparados'!G822</f>
        <v/>
      </c>
      <c r="I829" s="7">
        <f>'1 datos preparados'!H822</f>
        <v/>
      </c>
      <c r="J829" s="7">
        <f>'1 datos preparados'!I822</f>
        <v/>
      </c>
      <c r="K829" s="7">
        <f>'1 datos preparados'!J822</f>
        <v/>
      </c>
      <c r="L829" s="7">
        <f>'1 datos preparados'!K822</f>
        <v/>
      </c>
      <c r="M829" s="7">
        <f>'1 datos preparados'!L822</f>
        <v/>
      </c>
      <c r="N829" s="7">
        <f>'1 datos preparados'!M822</f>
        <v/>
      </c>
      <c r="O829" s="7">
        <f>'1 datos preparados'!N822</f>
        <v/>
      </c>
      <c r="P829" s="7">
        <f>'1 datos preparados'!O822</f>
        <v/>
      </c>
      <c r="Q829" s="7">
        <f>'1 datos preparados'!P822</f>
        <v/>
      </c>
      <c r="R829" s="7">
        <f>'1 datos preparados'!Q822</f>
        <v/>
      </c>
      <c r="S829" s="7">
        <f>'1 datos preparados'!R822</f>
        <v/>
      </c>
      <c r="T829" s="7">
        <f>'1 datos preparados'!S822</f>
        <v/>
      </c>
      <c r="U829" s="7">
        <f>'1 datos preparados'!T822</f>
        <v/>
      </c>
      <c r="V829" s="8">
        <f>$AC$12+D829*$AC$13+E829*$AC$14+F829*$AC$15+G829*$AC$16+H829*$AC$17+I829*$AC$18+J829*$AC$19+K829*$AC$20+L829*$AC$21+M829*$AC$22+N829*$AC$23+O829*$AC$24+P829*$AC$25+Q829*$AC$26+R829*$AC$27+S829*$AC$28+T829*$AC$29+U829*$AC$30</f>
        <v/>
      </c>
      <c r="W829" s="8">
        <f>1/(1+EXP(-V829))</f>
        <v/>
      </c>
      <c r="X829" s="9">
        <f>-IF(C829=1,LN(W829),LN(1-W829))</f>
        <v/>
      </c>
      <c r="Y829" s="10">
        <f>IF(W829&gt;$AC$33,1,0)</f>
        <v/>
      </c>
      <c r="Z829">
        <f>IF(Y829=C829,1,0)</f>
        <v/>
      </c>
    </row>
    <row r="830">
      <c r="A830">
        <f>'1 datos preparados'!A823</f>
        <v/>
      </c>
      <c r="B830" s="5">
        <f>'1 datos preparados'!U823</f>
        <v/>
      </c>
      <c r="C830">
        <f>'1 datos preparados'!B823</f>
        <v/>
      </c>
      <c r="D830" s="7">
        <f>'1 datos preparados'!C823</f>
        <v/>
      </c>
      <c r="E830" s="7">
        <f>'1 datos preparados'!D823</f>
        <v/>
      </c>
      <c r="F830" s="7">
        <f>'1 datos preparados'!E823</f>
        <v/>
      </c>
      <c r="G830" s="7">
        <f>'1 datos preparados'!F823</f>
        <v/>
      </c>
      <c r="H830" s="7">
        <f>'1 datos preparados'!G823</f>
        <v/>
      </c>
      <c r="I830" s="7">
        <f>'1 datos preparados'!H823</f>
        <v/>
      </c>
      <c r="J830" s="7">
        <f>'1 datos preparados'!I823</f>
        <v/>
      </c>
      <c r="K830" s="7">
        <f>'1 datos preparados'!J823</f>
        <v/>
      </c>
      <c r="L830" s="7">
        <f>'1 datos preparados'!K823</f>
        <v/>
      </c>
      <c r="M830" s="7">
        <f>'1 datos preparados'!L823</f>
        <v/>
      </c>
      <c r="N830" s="7">
        <f>'1 datos preparados'!M823</f>
        <v/>
      </c>
      <c r="O830" s="7">
        <f>'1 datos preparados'!N823</f>
        <v/>
      </c>
      <c r="P830" s="7">
        <f>'1 datos preparados'!O823</f>
        <v/>
      </c>
      <c r="Q830" s="7">
        <f>'1 datos preparados'!P823</f>
        <v/>
      </c>
      <c r="R830" s="7">
        <f>'1 datos preparados'!Q823</f>
        <v/>
      </c>
      <c r="S830" s="7">
        <f>'1 datos preparados'!R823</f>
        <v/>
      </c>
      <c r="T830" s="7">
        <f>'1 datos preparados'!S823</f>
        <v/>
      </c>
      <c r="U830" s="7">
        <f>'1 datos preparados'!T823</f>
        <v/>
      </c>
      <c r="V830" s="8">
        <f>$AC$12+D830*$AC$13+E830*$AC$14+F830*$AC$15+G830*$AC$16+H830*$AC$17+I830*$AC$18+J830*$AC$19+K830*$AC$20+L830*$AC$21+M830*$AC$22+N830*$AC$23+O830*$AC$24+P830*$AC$25+Q830*$AC$26+R830*$AC$27+S830*$AC$28+T830*$AC$29+U830*$AC$30</f>
        <v/>
      </c>
      <c r="W830" s="8">
        <f>1/(1+EXP(-V830))</f>
        <v/>
      </c>
      <c r="X830" s="9">
        <f>-IF(C830=1,LN(W830),LN(1-W830))</f>
        <v/>
      </c>
      <c r="Y830" s="10">
        <f>IF(W830&gt;$AC$33,1,0)</f>
        <v/>
      </c>
      <c r="Z830">
        <f>IF(Y830=C830,1,0)</f>
        <v/>
      </c>
    </row>
    <row r="831">
      <c r="A831">
        <f>'1 datos preparados'!A824</f>
        <v/>
      </c>
      <c r="B831" s="5">
        <f>'1 datos preparados'!U824</f>
        <v/>
      </c>
      <c r="C831">
        <f>'1 datos preparados'!B824</f>
        <v/>
      </c>
      <c r="D831" s="7">
        <f>'1 datos preparados'!C824</f>
        <v/>
      </c>
      <c r="E831" s="7">
        <f>'1 datos preparados'!D824</f>
        <v/>
      </c>
      <c r="F831" s="7">
        <f>'1 datos preparados'!E824</f>
        <v/>
      </c>
      <c r="G831" s="7">
        <f>'1 datos preparados'!F824</f>
        <v/>
      </c>
      <c r="H831" s="7">
        <f>'1 datos preparados'!G824</f>
        <v/>
      </c>
      <c r="I831" s="7">
        <f>'1 datos preparados'!H824</f>
        <v/>
      </c>
      <c r="J831" s="7">
        <f>'1 datos preparados'!I824</f>
        <v/>
      </c>
      <c r="K831" s="7">
        <f>'1 datos preparados'!J824</f>
        <v/>
      </c>
      <c r="L831" s="7">
        <f>'1 datos preparados'!K824</f>
        <v/>
      </c>
      <c r="M831" s="7">
        <f>'1 datos preparados'!L824</f>
        <v/>
      </c>
      <c r="N831" s="7">
        <f>'1 datos preparados'!M824</f>
        <v/>
      </c>
      <c r="O831" s="7">
        <f>'1 datos preparados'!N824</f>
        <v/>
      </c>
      <c r="P831" s="7">
        <f>'1 datos preparados'!O824</f>
        <v/>
      </c>
      <c r="Q831" s="7">
        <f>'1 datos preparados'!P824</f>
        <v/>
      </c>
      <c r="R831" s="7">
        <f>'1 datos preparados'!Q824</f>
        <v/>
      </c>
      <c r="S831" s="7">
        <f>'1 datos preparados'!R824</f>
        <v/>
      </c>
      <c r="T831" s="7">
        <f>'1 datos preparados'!S824</f>
        <v/>
      </c>
      <c r="U831" s="7">
        <f>'1 datos preparados'!T824</f>
        <v/>
      </c>
      <c r="V831" s="8">
        <f>$AC$12+D831*$AC$13+E831*$AC$14+F831*$AC$15+G831*$AC$16+H831*$AC$17+I831*$AC$18+J831*$AC$19+K831*$AC$20+L831*$AC$21+M831*$AC$22+N831*$AC$23+O831*$AC$24+P831*$AC$25+Q831*$AC$26+R831*$AC$27+S831*$AC$28+T831*$AC$29+U831*$AC$30</f>
        <v/>
      </c>
      <c r="W831" s="8">
        <f>1/(1+EXP(-V831))</f>
        <v/>
      </c>
      <c r="X831" s="9">
        <f>-IF(C831=1,LN(W831),LN(1-W831))</f>
        <v/>
      </c>
      <c r="Y831" s="10">
        <f>IF(W831&gt;$AC$33,1,0)</f>
        <v/>
      </c>
      <c r="Z831">
        <f>IF(Y831=C831,1,0)</f>
        <v/>
      </c>
    </row>
    <row r="832">
      <c r="A832">
        <f>'1 datos preparados'!A825</f>
        <v/>
      </c>
      <c r="B832" s="5">
        <f>'1 datos preparados'!U825</f>
        <v/>
      </c>
      <c r="C832">
        <f>'1 datos preparados'!B825</f>
        <v/>
      </c>
      <c r="D832" s="7">
        <f>'1 datos preparados'!C825</f>
        <v/>
      </c>
      <c r="E832" s="7">
        <f>'1 datos preparados'!D825</f>
        <v/>
      </c>
      <c r="F832" s="7">
        <f>'1 datos preparados'!E825</f>
        <v/>
      </c>
      <c r="G832" s="7">
        <f>'1 datos preparados'!F825</f>
        <v/>
      </c>
      <c r="H832" s="7">
        <f>'1 datos preparados'!G825</f>
        <v/>
      </c>
      <c r="I832" s="7">
        <f>'1 datos preparados'!H825</f>
        <v/>
      </c>
      <c r="J832" s="7">
        <f>'1 datos preparados'!I825</f>
        <v/>
      </c>
      <c r="K832" s="7">
        <f>'1 datos preparados'!J825</f>
        <v/>
      </c>
      <c r="L832" s="7">
        <f>'1 datos preparados'!K825</f>
        <v/>
      </c>
      <c r="M832" s="7">
        <f>'1 datos preparados'!L825</f>
        <v/>
      </c>
      <c r="N832" s="7">
        <f>'1 datos preparados'!M825</f>
        <v/>
      </c>
      <c r="O832" s="7">
        <f>'1 datos preparados'!N825</f>
        <v/>
      </c>
      <c r="P832" s="7">
        <f>'1 datos preparados'!O825</f>
        <v/>
      </c>
      <c r="Q832" s="7">
        <f>'1 datos preparados'!P825</f>
        <v/>
      </c>
      <c r="R832" s="7">
        <f>'1 datos preparados'!Q825</f>
        <v/>
      </c>
      <c r="S832" s="7">
        <f>'1 datos preparados'!R825</f>
        <v/>
      </c>
      <c r="T832" s="7">
        <f>'1 datos preparados'!S825</f>
        <v/>
      </c>
      <c r="U832" s="7">
        <f>'1 datos preparados'!T825</f>
        <v/>
      </c>
      <c r="V832" s="8">
        <f>$AC$12+D832*$AC$13+E832*$AC$14+F832*$AC$15+G832*$AC$16+H832*$AC$17+I832*$AC$18+J832*$AC$19+K832*$AC$20+L832*$AC$21+M832*$AC$22+N832*$AC$23+O832*$AC$24+P832*$AC$25+Q832*$AC$26+R832*$AC$27+S832*$AC$28+T832*$AC$29+U832*$AC$30</f>
        <v/>
      </c>
      <c r="W832" s="8">
        <f>1/(1+EXP(-V832))</f>
        <v/>
      </c>
      <c r="X832" s="9">
        <f>-IF(C832=1,LN(W832),LN(1-W832))</f>
        <v/>
      </c>
      <c r="Y832" s="10">
        <f>IF(W832&gt;$AC$33,1,0)</f>
        <v/>
      </c>
      <c r="Z832">
        <f>IF(Y832=C832,1,0)</f>
        <v/>
      </c>
    </row>
    <row r="833">
      <c r="A833">
        <f>'1 datos preparados'!A826</f>
        <v/>
      </c>
      <c r="B833" s="5">
        <f>'1 datos preparados'!U826</f>
        <v/>
      </c>
      <c r="C833">
        <f>'1 datos preparados'!B826</f>
        <v/>
      </c>
      <c r="D833" s="7">
        <f>'1 datos preparados'!C826</f>
        <v/>
      </c>
      <c r="E833" s="7">
        <f>'1 datos preparados'!D826</f>
        <v/>
      </c>
      <c r="F833" s="7">
        <f>'1 datos preparados'!E826</f>
        <v/>
      </c>
      <c r="G833" s="7">
        <f>'1 datos preparados'!F826</f>
        <v/>
      </c>
      <c r="H833" s="7">
        <f>'1 datos preparados'!G826</f>
        <v/>
      </c>
      <c r="I833" s="7">
        <f>'1 datos preparados'!H826</f>
        <v/>
      </c>
      <c r="J833" s="7">
        <f>'1 datos preparados'!I826</f>
        <v/>
      </c>
      <c r="K833" s="7">
        <f>'1 datos preparados'!J826</f>
        <v/>
      </c>
      <c r="L833" s="7">
        <f>'1 datos preparados'!K826</f>
        <v/>
      </c>
      <c r="M833" s="7">
        <f>'1 datos preparados'!L826</f>
        <v/>
      </c>
      <c r="N833" s="7">
        <f>'1 datos preparados'!M826</f>
        <v/>
      </c>
      <c r="O833" s="7">
        <f>'1 datos preparados'!N826</f>
        <v/>
      </c>
      <c r="P833" s="7">
        <f>'1 datos preparados'!O826</f>
        <v/>
      </c>
      <c r="Q833" s="7">
        <f>'1 datos preparados'!P826</f>
        <v/>
      </c>
      <c r="R833" s="7">
        <f>'1 datos preparados'!Q826</f>
        <v/>
      </c>
      <c r="S833" s="7">
        <f>'1 datos preparados'!R826</f>
        <v/>
      </c>
      <c r="T833" s="7">
        <f>'1 datos preparados'!S826</f>
        <v/>
      </c>
      <c r="U833" s="7">
        <f>'1 datos preparados'!T826</f>
        <v/>
      </c>
      <c r="V833" s="8">
        <f>$AC$12+D833*$AC$13+E833*$AC$14+F833*$AC$15+G833*$AC$16+H833*$AC$17+I833*$AC$18+J833*$AC$19+K833*$AC$20+L833*$AC$21+M833*$AC$22+N833*$AC$23+O833*$AC$24+P833*$AC$25+Q833*$AC$26+R833*$AC$27+S833*$AC$28+T833*$AC$29+U833*$AC$30</f>
        <v/>
      </c>
      <c r="W833" s="8">
        <f>1/(1+EXP(-V833))</f>
        <v/>
      </c>
      <c r="X833" s="9">
        <f>-IF(C833=1,LN(W833),LN(1-W833))</f>
        <v/>
      </c>
      <c r="Y833" s="10">
        <f>IF(W833&gt;$AC$33,1,0)</f>
        <v/>
      </c>
      <c r="Z833">
        <f>IF(Y833=C833,1,0)</f>
        <v/>
      </c>
    </row>
    <row r="834">
      <c r="A834">
        <f>'1 datos preparados'!A827</f>
        <v/>
      </c>
      <c r="B834" s="5">
        <f>'1 datos preparados'!U827</f>
        <v/>
      </c>
      <c r="C834">
        <f>'1 datos preparados'!B827</f>
        <v/>
      </c>
      <c r="D834" s="7">
        <f>'1 datos preparados'!C827</f>
        <v/>
      </c>
      <c r="E834" s="7">
        <f>'1 datos preparados'!D827</f>
        <v/>
      </c>
      <c r="F834" s="7">
        <f>'1 datos preparados'!E827</f>
        <v/>
      </c>
      <c r="G834" s="7">
        <f>'1 datos preparados'!F827</f>
        <v/>
      </c>
      <c r="H834" s="7">
        <f>'1 datos preparados'!G827</f>
        <v/>
      </c>
      <c r="I834" s="7">
        <f>'1 datos preparados'!H827</f>
        <v/>
      </c>
      <c r="J834" s="7">
        <f>'1 datos preparados'!I827</f>
        <v/>
      </c>
      <c r="K834" s="7">
        <f>'1 datos preparados'!J827</f>
        <v/>
      </c>
      <c r="L834" s="7">
        <f>'1 datos preparados'!K827</f>
        <v/>
      </c>
      <c r="M834" s="7">
        <f>'1 datos preparados'!L827</f>
        <v/>
      </c>
      <c r="N834" s="7">
        <f>'1 datos preparados'!M827</f>
        <v/>
      </c>
      <c r="O834" s="7">
        <f>'1 datos preparados'!N827</f>
        <v/>
      </c>
      <c r="P834" s="7">
        <f>'1 datos preparados'!O827</f>
        <v/>
      </c>
      <c r="Q834" s="7">
        <f>'1 datos preparados'!P827</f>
        <v/>
      </c>
      <c r="R834" s="7">
        <f>'1 datos preparados'!Q827</f>
        <v/>
      </c>
      <c r="S834" s="7">
        <f>'1 datos preparados'!R827</f>
        <v/>
      </c>
      <c r="T834" s="7">
        <f>'1 datos preparados'!S827</f>
        <v/>
      </c>
      <c r="U834" s="7">
        <f>'1 datos preparados'!T827</f>
        <v/>
      </c>
      <c r="V834" s="8">
        <f>$AC$12+D834*$AC$13+E834*$AC$14+F834*$AC$15+G834*$AC$16+H834*$AC$17+I834*$AC$18+J834*$AC$19+K834*$AC$20+L834*$AC$21+M834*$AC$22+N834*$AC$23+O834*$AC$24+P834*$AC$25+Q834*$AC$26+R834*$AC$27+S834*$AC$28+T834*$AC$29+U834*$AC$30</f>
        <v/>
      </c>
      <c r="W834" s="8">
        <f>1/(1+EXP(-V834))</f>
        <v/>
      </c>
      <c r="X834" s="9">
        <f>-IF(C834=1,LN(W834),LN(1-W834))</f>
        <v/>
      </c>
      <c r="Y834" s="10">
        <f>IF(W834&gt;$AC$33,1,0)</f>
        <v/>
      </c>
      <c r="Z834">
        <f>IF(Y834=C834,1,0)</f>
        <v/>
      </c>
    </row>
    <row r="835">
      <c r="A835">
        <f>'1 datos preparados'!A828</f>
        <v/>
      </c>
      <c r="B835" s="5">
        <f>'1 datos preparados'!U828</f>
        <v/>
      </c>
      <c r="C835">
        <f>'1 datos preparados'!B828</f>
        <v/>
      </c>
      <c r="D835" s="7">
        <f>'1 datos preparados'!C828</f>
        <v/>
      </c>
      <c r="E835" s="7">
        <f>'1 datos preparados'!D828</f>
        <v/>
      </c>
      <c r="F835" s="7">
        <f>'1 datos preparados'!E828</f>
        <v/>
      </c>
      <c r="G835" s="7">
        <f>'1 datos preparados'!F828</f>
        <v/>
      </c>
      <c r="H835" s="7">
        <f>'1 datos preparados'!G828</f>
        <v/>
      </c>
      <c r="I835" s="7">
        <f>'1 datos preparados'!H828</f>
        <v/>
      </c>
      <c r="J835" s="7">
        <f>'1 datos preparados'!I828</f>
        <v/>
      </c>
      <c r="K835" s="7">
        <f>'1 datos preparados'!J828</f>
        <v/>
      </c>
      <c r="L835" s="7">
        <f>'1 datos preparados'!K828</f>
        <v/>
      </c>
      <c r="M835" s="7">
        <f>'1 datos preparados'!L828</f>
        <v/>
      </c>
      <c r="N835" s="7">
        <f>'1 datos preparados'!M828</f>
        <v/>
      </c>
      <c r="O835" s="7">
        <f>'1 datos preparados'!N828</f>
        <v/>
      </c>
      <c r="P835" s="7">
        <f>'1 datos preparados'!O828</f>
        <v/>
      </c>
      <c r="Q835" s="7">
        <f>'1 datos preparados'!P828</f>
        <v/>
      </c>
      <c r="R835" s="7">
        <f>'1 datos preparados'!Q828</f>
        <v/>
      </c>
      <c r="S835" s="7">
        <f>'1 datos preparados'!R828</f>
        <v/>
      </c>
      <c r="T835" s="7">
        <f>'1 datos preparados'!S828</f>
        <v/>
      </c>
      <c r="U835" s="7">
        <f>'1 datos preparados'!T828</f>
        <v/>
      </c>
      <c r="V835" s="8">
        <f>$AC$12+D835*$AC$13+E835*$AC$14+F835*$AC$15+G835*$AC$16+H835*$AC$17+I835*$AC$18+J835*$AC$19+K835*$AC$20+L835*$AC$21+M835*$AC$22+N835*$AC$23+O835*$AC$24+P835*$AC$25+Q835*$AC$26+R835*$AC$27+S835*$AC$28+T835*$AC$29+U835*$AC$30</f>
        <v/>
      </c>
      <c r="W835" s="8">
        <f>1/(1+EXP(-V835))</f>
        <v/>
      </c>
      <c r="X835" s="9">
        <f>-IF(C835=1,LN(W835),LN(1-W835))</f>
        <v/>
      </c>
      <c r="Y835" s="10">
        <f>IF(W835&gt;$AC$33,1,0)</f>
        <v/>
      </c>
      <c r="Z835">
        <f>IF(Y835=C835,1,0)</f>
        <v/>
      </c>
    </row>
    <row r="836">
      <c r="A836">
        <f>'1 datos preparados'!A829</f>
        <v/>
      </c>
      <c r="B836" s="5">
        <f>'1 datos preparados'!U829</f>
        <v/>
      </c>
      <c r="C836">
        <f>'1 datos preparados'!B829</f>
        <v/>
      </c>
      <c r="D836" s="7">
        <f>'1 datos preparados'!C829</f>
        <v/>
      </c>
      <c r="E836" s="7">
        <f>'1 datos preparados'!D829</f>
        <v/>
      </c>
      <c r="F836" s="7">
        <f>'1 datos preparados'!E829</f>
        <v/>
      </c>
      <c r="G836" s="7">
        <f>'1 datos preparados'!F829</f>
        <v/>
      </c>
      <c r="H836" s="7">
        <f>'1 datos preparados'!G829</f>
        <v/>
      </c>
      <c r="I836" s="7">
        <f>'1 datos preparados'!H829</f>
        <v/>
      </c>
      <c r="J836" s="7">
        <f>'1 datos preparados'!I829</f>
        <v/>
      </c>
      <c r="K836" s="7">
        <f>'1 datos preparados'!J829</f>
        <v/>
      </c>
      <c r="L836" s="7">
        <f>'1 datos preparados'!K829</f>
        <v/>
      </c>
      <c r="M836" s="7">
        <f>'1 datos preparados'!L829</f>
        <v/>
      </c>
      <c r="N836" s="7">
        <f>'1 datos preparados'!M829</f>
        <v/>
      </c>
      <c r="O836" s="7">
        <f>'1 datos preparados'!N829</f>
        <v/>
      </c>
      <c r="P836" s="7">
        <f>'1 datos preparados'!O829</f>
        <v/>
      </c>
      <c r="Q836" s="7">
        <f>'1 datos preparados'!P829</f>
        <v/>
      </c>
      <c r="R836" s="7">
        <f>'1 datos preparados'!Q829</f>
        <v/>
      </c>
      <c r="S836" s="7">
        <f>'1 datos preparados'!R829</f>
        <v/>
      </c>
      <c r="T836" s="7">
        <f>'1 datos preparados'!S829</f>
        <v/>
      </c>
      <c r="U836" s="7">
        <f>'1 datos preparados'!T829</f>
        <v/>
      </c>
      <c r="V836" s="8">
        <f>$AC$12+D836*$AC$13+E836*$AC$14+F836*$AC$15+G836*$AC$16+H836*$AC$17+I836*$AC$18+J836*$AC$19+K836*$AC$20+L836*$AC$21+M836*$AC$22+N836*$AC$23+O836*$AC$24+P836*$AC$25+Q836*$AC$26+R836*$AC$27+S836*$AC$28+T836*$AC$29+U836*$AC$30</f>
        <v/>
      </c>
      <c r="W836" s="8">
        <f>1/(1+EXP(-V836))</f>
        <v/>
      </c>
      <c r="X836" s="9">
        <f>-IF(C836=1,LN(W836),LN(1-W836))</f>
        <v/>
      </c>
      <c r="Y836" s="10">
        <f>IF(W836&gt;$AC$33,1,0)</f>
        <v/>
      </c>
      <c r="Z836">
        <f>IF(Y836=C836,1,0)</f>
        <v/>
      </c>
    </row>
    <row r="837">
      <c r="A837">
        <f>'1 datos preparados'!A830</f>
        <v/>
      </c>
      <c r="B837" s="5">
        <f>'1 datos preparados'!U830</f>
        <v/>
      </c>
      <c r="C837">
        <f>'1 datos preparados'!B830</f>
        <v/>
      </c>
      <c r="D837" s="7">
        <f>'1 datos preparados'!C830</f>
        <v/>
      </c>
      <c r="E837" s="7">
        <f>'1 datos preparados'!D830</f>
        <v/>
      </c>
      <c r="F837" s="7">
        <f>'1 datos preparados'!E830</f>
        <v/>
      </c>
      <c r="G837" s="7">
        <f>'1 datos preparados'!F830</f>
        <v/>
      </c>
      <c r="H837" s="7">
        <f>'1 datos preparados'!G830</f>
        <v/>
      </c>
      <c r="I837" s="7">
        <f>'1 datos preparados'!H830</f>
        <v/>
      </c>
      <c r="J837" s="7">
        <f>'1 datos preparados'!I830</f>
        <v/>
      </c>
      <c r="K837" s="7">
        <f>'1 datos preparados'!J830</f>
        <v/>
      </c>
      <c r="L837" s="7">
        <f>'1 datos preparados'!K830</f>
        <v/>
      </c>
      <c r="M837" s="7">
        <f>'1 datos preparados'!L830</f>
        <v/>
      </c>
      <c r="N837" s="7">
        <f>'1 datos preparados'!M830</f>
        <v/>
      </c>
      <c r="O837" s="7">
        <f>'1 datos preparados'!N830</f>
        <v/>
      </c>
      <c r="P837" s="7">
        <f>'1 datos preparados'!O830</f>
        <v/>
      </c>
      <c r="Q837" s="7">
        <f>'1 datos preparados'!P830</f>
        <v/>
      </c>
      <c r="R837" s="7">
        <f>'1 datos preparados'!Q830</f>
        <v/>
      </c>
      <c r="S837" s="7">
        <f>'1 datos preparados'!R830</f>
        <v/>
      </c>
      <c r="T837" s="7">
        <f>'1 datos preparados'!S830</f>
        <v/>
      </c>
      <c r="U837" s="7">
        <f>'1 datos preparados'!T830</f>
        <v/>
      </c>
      <c r="V837" s="8">
        <f>$AC$12+D837*$AC$13+E837*$AC$14+F837*$AC$15+G837*$AC$16+H837*$AC$17+I837*$AC$18+J837*$AC$19+K837*$AC$20+L837*$AC$21+M837*$AC$22+N837*$AC$23+O837*$AC$24+P837*$AC$25+Q837*$AC$26+R837*$AC$27+S837*$AC$28+T837*$AC$29+U837*$AC$30</f>
        <v/>
      </c>
      <c r="W837" s="8">
        <f>1/(1+EXP(-V837))</f>
        <v/>
      </c>
      <c r="X837" s="9">
        <f>-IF(C837=1,LN(W837),LN(1-W837))</f>
        <v/>
      </c>
      <c r="Y837" s="10">
        <f>IF(W837&gt;$AC$33,1,0)</f>
        <v/>
      </c>
      <c r="Z837">
        <f>IF(Y837=C837,1,0)</f>
        <v/>
      </c>
    </row>
    <row r="838">
      <c r="A838">
        <f>'1 datos preparados'!A831</f>
        <v/>
      </c>
      <c r="B838" s="5">
        <f>'1 datos preparados'!U831</f>
        <v/>
      </c>
      <c r="C838">
        <f>'1 datos preparados'!B831</f>
        <v/>
      </c>
      <c r="D838" s="7">
        <f>'1 datos preparados'!C831</f>
        <v/>
      </c>
      <c r="E838" s="7">
        <f>'1 datos preparados'!D831</f>
        <v/>
      </c>
      <c r="F838" s="7">
        <f>'1 datos preparados'!E831</f>
        <v/>
      </c>
      <c r="G838" s="7">
        <f>'1 datos preparados'!F831</f>
        <v/>
      </c>
      <c r="H838" s="7">
        <f>'1 datos preparados'!G831</f>
        <v/>
      </c>
      <c r="I838" s="7">
        <f>'1 datos preparados'!H831</f>
        <v/>
      </c>
      <c r="J838" s="7">
        <f>'1 datos preparados'!I831</f>
        <v/>
      </c>
      <c r="K838" s="7">
        <f>'1 datos preparados'!J831</f>
        <v/>
      </c>
      <c r="L838" s="7">
        <f>'1 datos preparados'!K831</f>
        <v/>
      </c>
      <c r="M838" s="7">
        <f>'1 datos preparados'!L831</f>
        <v/>
      </c>
      <c r="N838" s="7">
        <f>'1 datos preparados'!M831</f>
        <v/>
      </c>
      <c r="O838" s="7">
        <f>'1 datos preparados'!N831</f>
        <v/>
      </c>
      <c r="P838" s="7">
        <f>'1 datos preparados'!O831</f>
        <v/>
      </c>
      <c r="Q838" s="7">
        <f>'1 datos preparados'!P831</f>
        <v/>
      </c>
      <c r="R838" s="7">
        <f>'1 datos preparados'!Q831</f>
        <v/>
      </c>
      <c r="S838" s="7">
        <f>'1 datos preparados'!R831</f>
        <v/>
      </c>
      <c r="T838" s="7">
        <f>'1 datos preparados'!S831</f>
        <v/>
      </c>
      <c r="U838" s="7">
        <f>'1 datos preparados'!T831</f>
        <v/>
      </c>
      <c r="V838" s="8">
        <f>$AC$12+D838*$AC$13+E838*$AC$14+F838*$AC$15+G838*$AC$16+H838*$AC$17+I838*$AC$18+J838*$AC$19+K838*$AC$20+L838*$AC$21+M838*$AC$22+N838*$AC$23+O838*$AC$24+P838*$AC$25+Q838*$AC$26+R838*$AC$27+S838*$AC$28+T838*$AC$29+U838*$AC$30</f>
        <v/>
      </c>
      <c r="W838" s="8">
        <f>1/(1+EXP(-V838))</f>
        <v/>
      </c>
      <c r="X838" s="9">
        <f>-IF(C838=1,LN(W838),LN(1-W838))</f>
        <v/>
      </c>
      <c r="Y838" s="10">
        <f>IF(W838&gt;$AC$33,1,0)</f>
        <v/>
      </c>
      <c r="Z838">
        <f>IF(Y838=C838,1,0)</f>
        <v/>
      </c>
    </row>
    <row r="839">
      <c r="A839">
        <f>'1 datos preparados'!A832</f>
        <v/>
      </c>
      <c r="B839" s="5">
        <f>'1 datos preparados'!U832</f>
        <v/>
      </c>
      <c r="C839">
        <f>'1 datos preparados'!B832</f>
        <v/>
      </c>
      <c r="D839" s="7">
        <f>'1 datos preparados'!C832</f>
        <v/>
      </c>
      <c r="E839" s="7">
        <f>'1 datos preparados'!D832</f>
        <v/>
      </c>
      <c r="F839" s="7">
        <f>'1 datos preparados'!E832</f>
        <v/>
      </c>
      <c r="G839" s="7">
        <f>'1 datos preparados'!F832</f>
        <v/>
      </c>
      <c r="H839" s="7">
        <f>'1 datos preparados'!G832</f>
        <v/>
      </c>
      <c r="I839" s="7">
        <f>'1 datos preparados'!H832</f>
        <v/>
      </c>
      <c r="J839" s="7">
        <f>'1 datos preparados'!I832</f>
        <v/>
      </c>
      <c r="K839" s="7">
        <f>'1 datos preparados'!J832</f>
        <v/>
      </c>
      <c r="L839" s="7">
        <f>'1 datos preparados'!K832</f>
        <v/>
      </c>
      <c r="M839" s="7">
        <f>'1 datos preparados'!L832</f>
        <v/>
      </c>
      <c r="N839" s="7">
        <f>'1 datos preparados'!M832</f>
        <v/>
      </c>
      <c r="O839" s="7">
        <f>'1 datos preparados'!N832</f>
        <v/>
      </c>
      <c r="P839" s="7">
        <f>'1 datos preparados'!O832</f>
        <v/>
      </c>
      <c r="Q839" s="7">
        <f>'1 datos preparados'!P832</f>
        <v/>
      </c>
      <c r="R839" s="7">
        <f>'1 datos preparados'!Q832</f>
        <v/>
      </c>
      <c r="S839" s="7">
        <f>'1 datos preparados'!R832</f>
        <v/>
      </c>
      <c r="T839" s="7">
        <f>'1 datos preparados'!S832</f>
        <v/>
      </c>
      <c r="U839" s="7">
        <f>'1 datos preparados'!T832</f>
        <v/>
      </c>
      <c r="V839" s="8">
        <f>$AC$12+D839*$AC$13+E839*$AC$14+F839*$AC$15+G839*$AC$16+H839*$AC$17+I839*$AC$18+J839*$AC$19+K839*$AC$20+L839*$AC$21+M839*$AC$22+N839*$AC$23+O839*$AC$24+P839*$AC$25+Q839*$AC$26+R839*$AC$27+S839*$AC$28+T839*$AC$29+U839*$AC$30</f>
        <v/>
      </c>
      <c r="W839" s="8">
        <f>1/(1+EXP(-V839))</f>
        <v/>
      </c>
      <c r="X839" s="9">
        <f>-IF(C839=1,LN(W839),LN(1-W839))</f>
        <v/>
      </c>
      <c r="Y839" s="10">
        <f>IF(W839&gt;$AC$33,1,0)</f>
        <v/>
      </c>
      <c r="Z839">
        <f>IF(Y839=C839,1,0)</f>
        <v/>
      </c>
    </row>
    <row r="840">
      <c r="A840">
        <f>'1 datos preparados'!A833</f>
        <v/>
      </c>
      <c r="B840" s="5">
        <f>'1 datos preparados'!U833</f>
        <v/>
      </c>
      <c r="C840">
        <f>'1 datos preparados'!B833</f>
        <v/>
      </c>
      <c r="D840" s="7">
        <f>'1 datos preparados'!C833</f>
        <v/>
      </c>
      <c r="E840" s="7">
        <f>'1 datos preparados'!D833</f>
        <v/>
      </c>
      <c r="F840" s="7">
        <f>'1 datos preparados'!E833</f>
        <v/>
      </c>
      <c r="G840" s="7">
        <f>'1 datos preparados'!F833</f>
        <v/>
      </c>
      <c r="H840" s="7">
        <f>'1 datos preparados'!G833</f>
        <v/>
      </c>
      <c r="I840" s="7">
        <f>'1 datos preparados'!H833</f>
        <v/>
      </c>
      <c r="J840" s="7">
        <f>'1 datos preparados'!I833</f>
        <v/>
      </c>
      <c r="K840" s="7">
        <f>'1 datos preparados'!J833</f>
        <v/>
      </c>
      <c r="L840" s="7">
        <f>'1 datos preparados'!K833</f>
        <v/>
      </c>
      <c r="M840" s="7">
        <f>'1 datos preparados'!L833</f>
        <v/>
      </c>
      <c r="N840" s="7">
        <f>'1 datos preparados'!M833</f>
        <v/>
      </c>
      <c r="O840" s="7">
        <f>'1 datos preparados'!N833</f>
        <v/>
      </c>
      <c r="P840" s="7">
        <f>'1 datos preparados'!O833</f>
        <v/>
      </c>
      <c r="Q840" s="7">
        <f>'1 datos preparados'!P833</f>
        <v/>
      </c>
      <c r="R840" s="7">
        <f>'1 datos preparados'!Q833</f>
        <v/>
      </c>
      <c r="S840" s="7">
        <f>'1 datos preparados'!R833</f>
        <v/>
      </c>
      <c r="T840" s="7">
        <f>'1 datos preparados'!S833</f>
        <v/>
      </c>
      <c r="U840" s="7">
        <f>'1 datos preparados'!T833</f>
        <v/>
      </c>
      <c r="V840" s="8">
        <f>$AC$12+D840*$AC$13+E840*$AC$14+F840*$AC$15+G840*$AC$16+H840*$AC$17+I840*$AC$18+J840*$AC$19+K840*$AC$20+L840*$AC$21+M840*$AC$22+N840*$AC$23+O840*$AC$24+P840*$AC$25+Q840*$AC$26+R840*$AC$27+S840*$AC$28+T840*$AC$29+U840*$AC$30</f>
        <v/>
      </c>
      <c r="W840" s="8">
        <f>1/(1+EXP(-V840))</f>
        <v/>
      </c>
      <c r="X840" s="9">
        <f>-IF(C840=1,LN(W840),LN(1-W840))</f>
        <v/>
      </c>
      <c r="Y840" s="10">
        <f>IF(W840&gt;$AC$33,1,0)</f>
        <v/>
      </c>
      <c r="Z840">
        <f>IF(Y840=C840,1,0)</f>
        <v/>
      </c>
    </row>
    <row r="841">
      <c r="A841">
        <f>'1 datos preparados'!A834</f>
        <v/>
      </c>
      <c r="B841" s="5">
        <f>'1 datos preparados'!U834</f>
        <v/>
      </c>
      <c r="C841">
        <f>'1 datos preparados'!B834</f>
        <v/>
      </c>
      <c r="D841" s="7">
        <f>'1 datos preparados'!C834</f>
        <v/>
      </c>
      <c r="E841" s="7">
        <f>'1 datos preparados'!D834</f>
        <v/>
      </c>
      <c r="F841" s="7">
        <f>'1 datos preparados'!E834</f>
        <v/>
      </c>
      <c r="G841" s="7">
        <f>'1 datos preparados'!F834</f>
        <v/>
      </c>
      <c r="H841" s="7">
        <f>'1 datos preparados'!G834</f>
        <v/>
      </c>
      <c r="I841" s="7">
        <f>'1 datos preparados'!H834</f>
        <v/>
      </c>
      <c r="J841" s="7">
        <f>'1 datos preparados'!I834</f>
        <v/>
      </c>
      <c r="K841" s="7">
        <f>'1 datos preparados'!J834</f>
        <v/>
      </c>
      <c r="L841" s="7">
        <f>'1 datos preparados'!K834</f>
        <v/>
      </c>
      <c r="M841" s="7">
        <f>'1 datos preparados'!L834</f>
        <v/>
      </c>
      <c r="N841" s="7">
        <f>'1 datos preparados'!M834</f>
        <v/>
      </c>
      <c r="O841" s="7">
        <f>'1 datos preparados'!N834</f>
        <v/>
      </c>
      <c r="P841" s="7">
        <f>'1 datos preparados'!O834</f>
        <v/>
      </c>
      <c r="Q841" s="7">
        <f>'1 datos preparados'!P834</f>
        <v/>
      </c>
      <c r="R841" s="7">
        <f>'1 datos preparados'!Q834</f>
        <v/>
      </c>
      <c r="S841" s="7">
        <f>'1 datos preparados'!R834</f>
        <v/>
      </c>
      <c r="T841" s="7">
        <f>'1 datos preparados'!S834</f>
        <v/>
      </c>
      <c r="U841" s="7">
        <f>'1 datos preparados'!T834</f>
        <v/>
      </c>
      <c r="V841" s="8">
        <f>$AC$12+D841*$AC$13+E841*$AC$14+F841*$AC$15+G841*$AC$16+H841*$AC$17+I841*$AC$18+J841*$AC$19+K841*$AC$20+L841*$AC$21+M841*$AC$22+N841*$AC$23+O841*$AC$24+P841*$AC$25+Q841*$AC$26+R841*$AC$27+S841*$AC$28+T841*$AC$29+U841*$AC$30</f>
        <v/>
      </c>
      <c r="W841" s="8">
        <f>1/(1+EXP(-V841))</f>
        <v/>
      </c>
      <c r="X841" s="9">
        <f>-IF(C841=1,LN(W841),LN(1-W841))</f>
        <v/>
      </c>
      <c r="Y841" s="10">
        <f>IF(W841&gt;$AC$33,1,0)</f>
        <v/>
      </c>
      <c r="Z841">
        <f>IF(Y841=C841,1,0)</f>
        <v/>
      </c>
    </row>
    <row r="842">
      <c r="A842">
        <f>'1 datos preparados'!A835</f>
        <v/>
      </c>
      <c r="B842" s="5">
        <f>'1 datos preparados'!U835</f>
        <v/>
      </c>
      <c r="C842">
        <f>'1 datos preparados'!B835</f>
        <v/>
      </c>
      <c r="D842" s="7">
        <f>'1 datos preparados'!C835</f>
        <v/>
      </c>
      <c r="E842" s="7">
        <f>'1 datos preparados'!D835</f>
        <v/>
      </c>
      <c r="F842" s="7">
        <f>'1 datos preparados'!E835</f>
        <v/>
      </c>
      <c r="G842" s="7">
        <f>'1 datos preparados'!F835</f>
        <v/>
      </c>
      <c r="H842" s="7">
        <f>'1 datos preparados'!G835</f>
        <v/>
      </c>
      <c r="I842" s="7">
        <f>'1 datos preparados'!H835</f>
        <v/>
      </c>
      <c r="J842" s="7">
        <f>'1 datos preparados'!I835</f>
        <v/>
      </c>
      <c r="K842" s="7">
        <f>'1 datos preparados'!J835</f>
        <v/>
      </c>
      <c r="L842" s="7">
        <f>'1 datos preparados'!K835</f>
        <v/>
      </c>
      <c r="M842" s="7">
        <f>'1 datos preparados'!L835</f>
        <v/>
      </c>
      <c r="N842" s="7">
        <f>'1 datos preparados'!M835</f>
        <v/>
      </c>
      <c r="O842" s="7">
        <f>'1 datos preparados'!N835</f>
        <v/>
      </c>
      <c r="P842" s="7">
        <f>'1 datos preparados'!O835</f>
        <v/>
      </c>
      <c r="Q842" s="7">
        <f>'1 datos preparados'!P835</f>
        <v/>
      </c>
      <c r="R842" s="7">
        <f>'1 datos preparados'!Q835</f>
        <v/>
      </c>
      <c r="S842" s="7">
        <f>'1 datos preparados'!R835</f>
        <v/>
      </c>
      <c r="T842" s="7">
        <f>'1 datos preparados'!S835</f>
        <v/>
      </c>
      <c r="U842" s="7">
        <f>'1 datos preparados'!T835</f>
        <v/>
      </c>
      <c r="V842" s="8">
        <f>$AC$12+D842*$AC$13+E842*$AC$14+F842*$AC$15+G842*$AC$16+H842*$AC$17+I842*$AC$18+J842*$AC$19+K842*$AC$20+L842*$AC$21+M842*$AC$22+N842*$AC$23+O842*$AC$24+P842*$AC$25+Q842*$AC$26+R842*$AC$27+S842*$AC$28+T842*$AC$29+U842*$AC$30</f>
        <v/>
      </c>
      <c r="W842" s="8">
        <f>1/(1+EXP(-V842))</f>
        <v/>
      </c>
      <c r="X842" s="9">
        <f>-IF(C842=1,LN(W842),LN(1-W842))</f>
        <v/>
      </c>
      <c r="Y842" s="10">
        <f>IF(W842&gt;$AC$33,1,0)</f>
        <v/>
      </c>
      <c r="Z842">
        <f>IF(Y842=C842,1,0)</f>
        <v/>
      </c>
    </row>
    <row r="843">
      <c r="A843">
        <f>'1 datos preparados'!A836</f>
        <v/>
      </c>
      <c r="B843" s="5">
        <f>'1 datos preparados'!U836</f>
        <v/>
      </c>
      <c r="C843">
        <f>'1 datos preparados'!B836</f>
        <v/>
      </c>
      <c r="D843" s="7">
        <f>'1 datos preparados'!C836</f>
        <v/>
      </c>
      <c r="E843" s="7">
        <f>'1 datos preparados'!D836</f>
        <v/>
      </c>
      <c r="F843" s="7">
        <f>'1 datos preparados'!E836</f>
        <v/>
      </c>
      <c r="G843" s="7">
        <f>'1 datos preparados'!F836</f>
        <v/>
      </c>
      <c r="H843" s="7">
        <f>'1 datos preparados'!G836</f>
        <v/>
      </c>
      <c r="I843" s="7">
        <f>'1 datos preparados'!H836</f>
        <v/>
      </c>
      <c r="J843" s="7">
        <f>'1 datos preparados'!I836</f>
        <v/>
      </c>
      <c r="K843" s="7">
        <f>'1 datos preparados'!J836</f>
        <v/>
      </c>
      <c r="L843" s="7">
        <f>'1 datos preparados'!K836</f>
        <v/>
      </c>
      <c r="M843" s="7">
        <f>'1 datos preparados'!L836</f>
        <v/>
      </c>
      <c r="N843" s="7">
        <f>'1 datos preparados'!M836</f>
        <v/>
      </c>
      <c r="O843" s="7">
        <f>'1 datos preparados'!N836</f>
        <v/>
      </c>
      <c r="P843" s="7">
        <f>'1 datos preparados'!O836</f>
        <v/>
      </c>
      <c r="Q843" s="7">
        <f>'1 datos preparados'!P836</f>
        <v/>
      </c>
      <c r="R843" s="7">
        <f>'1 datos preparados'!Q836</f>
        <v/>
      </c>
      <c r="S843" s="7">
        <f>'1 datos preparados'!R836</f>
        <v/>
      </c>
      <c r="T843" s="7">
        <f>'1 datos preparados'!S836</f>
        <v/>
      </c>
      <c r="U843" s="7">
        <f>'1 datos preparados'!T836</f>
        <v/>
      </c>
      <c r="V843" s="8">
        <f>$AC$12+D843*$AC$13+E843*$AC$14+F843*$AC$15+G843*$AC$16+H843*$AC$17+I843*$AC$18+J843*$AC$19+K843*$AC$20+L843*$AC$21+M843*$AC$22+N843*$AC$23+O843*$AC$24+P843*$AC$25+Q843*$AC$26+R843*$AC$27+S843*$AC$28+T843*$AC$29+U843*$AC$30</f>
        <v/>
      </c>
      <c r="W843" s="8">
        <f>1/(1+EXP(-V843))</f>
        <v/>
      </c>
      <c r="X843" s="9">
        <f>-IF(C843=1,LN(W843),LN(1-W843))</f>
        <v/>
      </c>
      <c r="Y843" s="10">
        <f>IF(W843&gt;$AC$33,1,0)</f>
        <v/>
      </c>
      <c r="Z843">
        <f>IF(Y843=C843,1,0)</f>
        <v/>
      </c>
    </row>
    <row r="844">
      <c r="A844">
        <f>'1 datos preparados'!A837</f>
        <v/>
      </c>
      <c r="B844" s="5">
        <f>'1 datos preparados'!U837</f>
        <v/>
      </c>
      <c r="C844">
        <f>'1 datos preparados'!B837</f>
        <v/>
      </c>
      <c r="D844" s="7">
        <f>'1 datos preparados'!C837</f>
        <v/>
      </c>
      <c r="E844" s="7">
        <f>'1 datos preparados'!D837</f>
        <v/>
      </c>
      <c r="F844" s="7">
        <f>'1 datos preparados'!E837</f>
        <v/>
      </c>
      <c r="G844" s="7">
        <f>'1 datos preparados'!F837</f>
        <v/>
      </c>
      <c r="H844" s="7">
        <f>'1 datos preparados'!G837</f>
        <v/>
      </c>
      <c r="I844" s="7">
        <f>'1 datos preparados'!H837</f>
        <v/>
      </c>
      <c r="J844" s="7">
        <f>'1 datos preparados'!I837</f>
        <v/>
      </c>
      <c r="K844" s="7">
        <f>'1 datos preparados'!J837</f>
        <v/>
      </c>
      <c r="L844" s="7">
        <f>'1 datos preparados'!K837</f>
        <v/>
      </c>
      <c r="M844" s="7">
        <f>'1 datos preparados'!L837</f>
        <v/>
      </c>
      <c r="N844" s="7">
        <f>'1 datos preparados'!M837</f>
        <v/>
      </c>
      <c r="O844" s="7">
        <f>'1 datos preparados'!N837</f>
        <v/>
      </c>
      <c r="P844" s="7">
        <f>'1 datos preparados'!O837</f>
        <v/>
      </c>
      <c r="Q844" s="7">
        <f>'1 datos preparados'!P837</f>
        <v/>
      </c>
      <c r="R844" s="7">
        <f>'1 datos preparados'!Q837</f>
        <v/>
      </c>
      <c r="S844" s="7">
        <f>'1 datos preparados'!R837</f>
        <v/>
      </c>
      <c r="T844" s="7">
        <f>'1 datos preparados'!S837</f>
        <v/>
      </c>
      <c r="U844" s="7">
        <f>'1 datos preparados'!T837</f>
        <v/>
      </c>
      <c r="V844" s="8">
        <f>$AC$12+D844*$AC$13+E844*$AC$14+F844*$AC$15+G844*$AC$16+H844*$AC$17+I844*$AC$18+J844*$AC$19+K844*$AC$20+L844*$AC$21+M844*$AC$22+N844*$AC$23+O844*$AC$24+P844*$AC$25+Q844*$AC$26+R844*$AC$27+S844*$AC$28+T844*$AC$29+U844*$AC$30</f>
        <v/>
      </c>
      <c r="W844" s="8">
        <f>1/(1+EXP(-V844))</f>
        <v/>
      </c>
      <c r="X844" s="9">
        <f>-IF(C844=1,LN(W844),LN(1-W844))</f>
        <v/>
      </c>
      <c r="Y844" s="10">
        <f>IF(W844&gt;$AC$33,1,0)</f>
        <v/>
      </c>
      <c r="Z844">
        <f>IF(Y844=C844,1,0)</f>
        <v/>
      </c>
    </row>
    <row r="845">
      <c r="A845">
        <f>'1 datos preparados'!A838</f>
        <v/>
      </c>
      <c r="B845" s="5">
        <f>'1 datos preparados'!U838</f>
        <v/>
      </c>
      <c r="C845">
        <f>'1 datos preparados'!B838</f>
        <v/>
      </c>
      <c r="D845" s="7">
        <f>'1 datos preparados'!C838</f>
        <v/>
      </c>
      <c r="E845" s="7">
        <f>'1 datos preparados'!D838</f>
        <v/>
      </c>
      <c r="F845" s="7">
        <f>'1 datos preparados'!E838</f>
        <v/>
      </c>
      <c r="G845" s="7">
        <f>'1 datos preparados'!F838</f>
        <v/>
      </c>
      <c r="H845" s="7">
        <f>'1 datos preparados'!G838</f>
        <v/>
      </c>
      <c r="I845" s="7">
        <f>'1 datos preparados'!H838</f>
        <v/>
      </c>
      <c r="J845" s="7">
        <f>'1 datos preparados'!I838</f>
        <v/>
      </c>
      <c r="K845" s="7">
        <f>'1 datos preparados'!J838</f>
        <v/>
      </c>
      <c r="L845" s="7">
        <f>'1 datos preparados'!K838</f>
        <v/>
      </c>
      <c r="M845" s="7">
        <f>'1 datos preparados'!L838</f>
        <v/>
      </c>
      <c r="N845" s="7">
        <f>'1 datos preparados'!M838</f>
        <v/>
      </c>
      <c r="O845" s="7">
        <f>'1 datos preparados'!N838</f>
        <v/>
      </c>
      <c r="P845" s="7">
        <f>'1 datos preparados'!O838</f>
        <v/>
      </c>
      <c r="Q845" s="7">
        <f>'1 datos preparados'!P838</f>
        <v/>
      </c>
      <c r="R845" s="7">
        <f>'1 datos preparados'!Q838</f>
        <v/>
      </c>
      <c r="S845" s="7">
        <f>'1 datos preparados'!R838</f>
        <v/>
      </c>
      <c r="T845" s="7">
        <f>'1 datos preparados'!S838</f>
        <v/>
      </c>
      <c r="U845" s="7">
        <f>'1 datos preparados'!T838</f>
        <v/>
      </c>
      <c r="V845" s="8">
        <f>$AC$12+D845*$AC$13+E845*$AC$14+F845*$AC$15+G845*$AC$16+H845*$AC$17+I845*$AC$18+J845*$AC$19+K845*$AC$20+L845*$AC$21+M845*$AC$22+N845*$AC$23+O845*$AC$24+P845*$AC$25+Q845*$AC$26+R845*$AC$27+S845*$AC$28+T845*$AC$29+U845*$AC$30</f>
        <v/>
      </c>
      <c r="W845" s="8">
        <f>1/(1+EXP(-V845))</f>
        <v/>
      </c>
      <c r="X845" s="9">
        <f>-IF(C845=1,LN(W845),LN(1-W845))</f>
        <v/>
      </c>
      <c r="Y845" s="10">
        <f>IF(W845&gt;$AC$33,1,0)</f>
        <v/>
      </c>
      <c r="Z845">
        <f>IF(Y845=C845,1,0)</f>
        <v/>
      </c>
    </row>
    <row r="846">
      <c r="A846">
        <f>'1 datos preparados'!A839</f>
        <v/>
      </c>
      <c r="B846" s="5">
        <f>'1 datos preparados'!U839</f>
        <v/>
      </c>
      <c r="C846">
        <f>'1 datos preparados'!B839</f>
        <v/>
      </c>
      <c r="D846" s="7">
        <f>'1 datos preparados'!C839</f>
        <v/>
      </c>
      <c r="E846" s="7">
        <f>'1 datos preparados'!D839</f>
        <v/>
      </c>
      <c r="F846" s="7">
        <f>'1 datos preparados'!E839</f>
        <v/>
      </c>
      <c r="G846" s="7">
        <f>'1 datos preparados'!F839</f>
        <v/>
      </c>
      <c r="H846" s="7">
        <f>'1 datos preparados'!G839</f>
        <v/>
      </c>
      <c r="I846" s="7">
        <f>'1 datos preparados'!H839</f>
        <v/>
      </c>
      <c r="J846" s="7">
        <f>'1 datos preparados'!I839</f>
        <v/>
      </c>
      <c r="K846" s="7">
        <f>'1 datos preparados'!J839</f>
        <v/>
      </c>
      <c r="L846" s="7">
        <f>'1 datos preparados'!K839</f>
        <v/>
      </c>
      <c r="M846" s="7">
        <f>'1 datos preparados'!L839</f>
        <v/>
      </c>
      <c r="N846" s="7">
        <f>'1 datos preparados'!M839</f>
        <v/>
      </c>
      <c r="O846" s="7">
        <f>'1 datos preparados'!N839</f>
        <v/>
      </c>
      <c r="P846" s="7">
        <f>'1 datos preparados'!O839</f>
        <v/>
      </c>
      <c r="Q846" s="7">
        <f>'1 datos preparados'!P839</f>
        <v/>
      </c>
      <c r="R846" s="7">
        <f>'1 datos preparados'!Q839</f>
        <v/>
      </c>
      <c r="S846" s="7">
        <f>'1 datos preparados'!R839</f>
        <v/>
      </c>
      <c r="T846" s="7">
        <f>'1 datos preparados'!S839</f>
        <v/>
      </c>
      <c r="U846" s="7">
        <f>'1 datos preparados'!T839</f>
        <v/>
      </c>
      <c r="V846" s="8">
        <f>$AC$12+D846*$AC$13+E846*$AC$14+F846*$AC$15+G846*$AC$16+H846*$AC$17+I846*$AC$18+J846*$AC$19+K846*$AC$20+L846*$AC$21+M846*$AC$22+N846*$AC$23+O846*$AC$24+P846*$AC$25+Q846*$AC$26+R846*$AC$27+S846*$AC$28+T846*$AC$29+U846*$AC$30</f>
        <v/>
      </c>
      <c r="W846" s="8">
        <f>1/(1+EXP(-V846))</f>
        <v/>
      </c>
      <c r="X846" s="9">
        <f>-IF(C846=1,LN(W846),LN(1-W846))</f>
        <v/>
      </c>
      <c r="Y846" s="10">
        <f>IF(W846&gt;$AC$33,1,0)</f>
        <v/>
      </c>
      <c r="Z846">
        <f>IF(Y846=C846,1,0)</f>
        <v/>
      </c>
    </row>
    <row r="847">
      <c r="A847">
        <f>'1 datos preparados'!A840</f>
        <v/>
      </c>
      <c r="B847" s="5">
        <f>'1 datos preparados'!U840</f>
        <v/>
      </c>
      <c r="C847">
        <f>'1 datos preparados'!B840</f>
        <v/>
      </c>
      <c r="D847" s="7">
        <f>'1 datos preparados'!C840</f>
        <v/>
      </c>
      <c r="E847" s="7">
        <f>'1 datos preparados'!D840</f>
        <v/>
      </c>
      <c r="F847" s="7">
        <f>'1 datos preparados'!E840</f>
        <v/>
      </c>
      <c r="G847" s="7">
        <f>'1 datos preparados'!F840</f>
        <v/>
      </c>
      <c r="H847" s="7">
        <f>'1 datos preparados'!G840</f>
        <v/>
      </c>
      <c r="I847" s="7">
        <f>'1 datos preparados'!H840</f>
        <v/>
      </c>
      <c r="J847" s="7">
        <f>'1 datos preparados'!I840</f>
        <v/>
      </c>
      <c r="K847" s="7">
        <f>'1 datos preparados'!J840</f>
        <v/>
      </c>
      <c r="L847" s="7">
        <f>'1 datos preparados'!K840</f>
        <v/>
      </c>
      <c r="M847" s="7">
        <f>'1 datos preparados'!L840</f>
        <v/>
      </c>
      <c r="N847" s="7">
        <f>'1 datos preparados'!M840</f>
        <v/>
      </c>
      <c r="O847" s="7">
        <f>'1 datos preparados'!N840</f>
        <v/>
      </c>
      <c r="P847" s="7">
        <f>'1 datos preparados'!O840</f>
        <v/>
      </c>
      <c r="Q847" s="7">
        <f>'1 datos preparados'!P840</f>
        <v/>
      </c>
      <c r="R847" s="7">
        <f>'1 datos preparados'!Q840</f>
        <v/>
      </c>
      <c r="S847" s="7">
        <f>'1 datos preparados'!R840</f>
        <v/>
      </c>
      <c r="T847" s="7">
        <f>'1 datos preparados'!S840</f>
        <v/>
      </c>
      <c r="U847" s="7">
        <f>'1 datos preparados'!T840</f>
        <v/>
      </c>
      <c r="V847" s="8">
        <f>$AC$12+D847*$AC$13+E847*$AC$14+F847*$AC$15+G847*$AC$16+H847*$AC$17+I847*$AC$18+J847*$AC$19+K847*$AC$20+L847*$AC$21+M847*$AC$22+N847*$AC$23+O847*$AC$24+P847*$AC$25+Q847*$AC$26+R847*$AC$27+S847*$AC$28+T847*$AC$29+U847*$AC$30</f>
        <v/>
      </c>
      <c r="W847" s="8">
        <f>1/(1+EXP(-V847))</f>
        <v/>
      </c>
      <c r="X847" s="9">
        <f>-IF(C847=1,LN(W847),LN(1-W847))</f>
        <v/>
      </c>
      <c r="Y847" s="10">
        <f>IF(W847&gt;$AC$33,1,0)</f>
        <v/>
      </c>
      <c r="Z847">
        <f>IF(Y847=C847,1,0)</f>
        <v/>
      </c>
    </row>
    <row r="848">
      <c r="A848">
        <f>'1 datos preparados'!A841</f>
        <v/>
      </c>
      <c r="B848" s="5">
        <f>'1 datos preparados'!U841</f>
        <v/>
      </c>
      <c r="C848">
        <f>'1 datos preparados'!B841</f>
        <v/>
      </c>
      <c r="D848" s="7">
        <f>'1 datos preparados'!C841</f>
        <v/>
      </c>
      <c r="E848" s="7">
        <f>'1 datos preparados'!D841</f>
        <v/>
      </c>
      <c r="F848" s="7">
        <f>'1 datos preparados'!E841</f>
        <v/>
      </c>
      <c r="G848" s="7">
        <f>'1 datos preparados'!F841</f>
        <v/>
      </c>
      <c r="H848" s="7">
        <f>'1 datos preparados'!G841</f>
        <v/>
      </c>
      <c r="I848" s="7">
        <f>'1 datos preparados'!H841</f>
        <v/>
      </c>
      <c r="J848" s="7">
        <f>'1 datos preparados'!I841</f>
        <v/>
      </c>
      <c r="K848" s="7">
        <f>'1 datos preparados'!J841</f>
        <v/>
      </c>
      <c r="L848" s="7">
        <f>'1 datos preparados'!K841</f>
        <v/>
      </c>
      <c r="M848" s="7">
        <f>'1 datos preparados'!L841</f>
        <v/>
      </c>
      <c r="N848" s="7">
        <f>'1 datos preparados'!M841</f>
        <v/>
      </c>
      <c r="O848" s="7">
        <f>'1 datos preparados'!N841</f>
        <v/>
      </c>
      <c r="P848" s="7">
        <f>'1 datos preparados'!O841</f>
        <v/>
      </c>
      <c r="Q848" s="7">
        <f>'1 datos preparados'!P841</f>
        <v/>
      </c>
      <c r="R848" s="7">
        <f>'1 datos preparados'!Q841</f>
        <v/>
      </c>
      <c r="S848" s="7">
        <f>'1 datos preparados'!R841</f>
        <v/>
      </c>
      <c r="T848" s="7">
        <f>'1 datos preparados'!S841</f>
        <v/>
      </c>
      <c r="U848" s="7">
        <f>'1 datos preparados'!T841</f>
        <v/>
      </c>
      <c r="V848" s="8">
        <f>$AC$12+D848*$AC$13+E848*$AC$14+F848*$AC$15+G848*$AC$16+H848*$AC$17+I848*$AC$18+J848*$AC$19+K848*$AC$20+L848*$AC$21+M848*$AC$22+N848*$AC$23+O848*$AC$24+P848*$AC$25+Q848*$AC$26+R848*$AC$27+S848*$AC$28+T848*$AC$29+U848*$AC$30</f>
        <v/>
      </c>
      <c r="W848" s="8">
        <f>1/(1+EXP(-V848))</f>
        <v/>
      </c>
      <c r="X848" s="9">
        <f>-IF(C848=1,LN(W848),LN(1-W848))</f>
        <v/>
      </c>
      <c r="Y848" s="10">
        <f>IF(W848&gt;$AC$33,1,0)</f>
        <v/>
      </c>
      <c r="Z848">
        <f>IF(Y848=C848,1,0)</f>
        <v/>
      </c>
    </row>
    <row r="849">
      <c r="A849">
        <f>'1 datos preparados'!A842</f>
        <v/>
      </c>
      <c r="B849" s="5">
        <f>'1 datos preparados'!U842</f>
        <v/>
      </c>
      <c r="C849">
        <f>'1 datos preparados'!B842</f>
        <v/>
      </c>
      <c r="D849" s="7">
        <f>'1 datos preparados'!C842</f>
        <v/>
      </c>
      <c r="E849" s="7">
        <f>'1 datos preparados'!D842</f>
        <v/>
      </c>
      <c r="F849" s="7">
        <f>'1 datos preparados'!E842</f>
        <v/>
      </c>
      <c r="G849" s="7">
        <f>'1 datos preparados'!F842</f>
        <v/>
      </c>
      <c r="H849" s="7">
        <f>'1 datos preparados'!G842</f>
        <v/>
      </c>
      <c r="I849" s="7">
        <f>'1 datos preparados'!H842</f>
        <v/>
      </c>
      <c r="J849" s="7">
        <f>'1 datos preparados'!I842</f>
        <v/>
      </c>
      <c r="K849" s="7">
        <f>'1 datos preparados'!J842</f>
        <v/>
      </c>
      <c r="L849" s="7">
        <f>'1 datos preparados'!K842</f>
        <v/>
      </c>
      <c r="M849" s="7">
        <f>'1 datos preparados'!L842</f>
        <v/>
      </c>
      <c r="N849" s="7">
        <f>'1 datos preparados'!M842</f>
        <v/>
      </c>
      <c r="O849" s="7">
        <f>'1 datos preparados'!N842</f>
        <v/>
      </c>
      <c r="P849" s="7">
        <f>'1 datos preparados'!O842</f>
        <v/>
      </c>
      <c r="Q849" s="7">
        <f>'1 datos preparados'!P842</f>
        <v/>
      </c>
      <c r="R849" s="7">
        <f>'1 datos preparados'!Q842</f>
        <v/>
      </c>
      <c r="S849" s="7">
        <f>'1 datos preparados'!R842</f>
        <v/>
      </c>
      <c r="T849" s="7">
        <f>'1 datos preparados'!S842</f>
        <v/>
      </c>
      <c r="U849" s="7">
        <f>'1 datos preparados'!T842</f>
        <v/>
      </c>
      <c r="V849" s="8">
        <f>$AC$12+D849*$AC$13+E849*$AC$14+F849*$AC$15+G849*$AC$16+H849*$AC$17+I849*$AC$18+J849*$AC$19+K849*$AC$20+L849*$AC$21+M849*$AC$22+N849*$AC$23+O849*$AC$24+P849*$AC$25+Q849*$AC$26+R849*$AC$27+S849*$AC$28+T849*$AC$29+U849*$AC$30</f>
        <v/>
      </c>
      <c r="W849" s="8">
        <f>1/(1+EXP(-V849))</f>
        <v/>
      </c>
      <c r="X849" s="9">
        <f>-IF(C849=1,LN(W849),LN(1-W849))</f>
        <v/>
      </c>
      <c r="Y849" s="10">
        <f>IF(W849&gt;$AC$33,1,0)</f>
        <v/>
      </c>
      <c r="Z849">
        <f>IF(Y849=C849,1,0)</f>
        <v/>
      </c>
    </row>
    <row r="850">
      <c r="A850">
        <f>'1 datos preparados'!A843</f>
        <v/>
      </c>
      <c r="B850" s="5">
        <f>'1 datos preparados'!U843</f>
        <v/>
      </c>
      <c r="C850">
        <f>'1 datos preparados'!B843</f>
        <v/>
      </c>
      <c r="D850" s="7">
        <f>'1 datos preparados'!C843</f>
        <v/>
      </c>
      <c r="E850" s="7">
        <f>'1 datos preparados'!D843</f>
        <v/>
      </c>
      <c r="F850" s="7">
        <f>'1 datos preparados'!E843</f>
        <v/>
      </c>
      <c r="G850" s="7">
        <f>'1 datos preparados'!F843</f>
        <v/>
      </c>
      <c r="H850" s="7">
        <f>'1 datos preparados'!G843</f>
        <v/>
      </c>
      <c r="I850" s="7">
        <f>'1 datos preparados'!H843</f>
        <v/>
      </c>
      <c r="J850" s="7">
        <f>'1 datos preparados'!I843</f>
        <v/>
      </c>
      <c r="K850" s="7">
        <f>'1 datos preparados'!J843</f>
        <v/>
      </c>
      <c r="L850" s="7">
        <f>'1 datos preparados'!K843</f>
        <v/>
      </c>
      <c r="M850" s="7">
        <f>'1 datos preparados'!L843</f>
        <v/>
      </c>
      <c r="N850" s="7">
        <f>'1 datos preparados'!M843</f>
        <v/>
      </c>
      <c r="O850" s="7">
        <f>'1 datos preparados'!N843</f>
        <v/>
      </c>
      <c r="P850" s="7">
        <f>'1 datos preparados'!O843</f>
        <v/>
      </c>
      <c r="Q850" s="7">
        <f>'1 datos preparados'!P843</f>
        <v/>
      </c>
      <c r="R850" s="7">
        <f>'1 datos preparados'!Q843</f>
        <v/>
      </c>
      <c r="S850" s="7">
        <f>'1 datos preparados'!R843</f>
        <v/>
      </c>
      <c r="T850" s="7">
        <f>'1 datos preparados'!S843</f>
        <v/>
      </c>
      <c r="U850" s="7">
        <f>'1 datos preparados'!T843</f>
        <v/>
      </c>
      <c r="V850" s="8">
        <f>$AC$12+D850*$AC$13+E850*$AC$14+F850*$AC$15+G850*$AC$16+H850*$AC$17+I850*$AC$18+J850*$AC$19+K850*$AC$20+L850*$AC$21+M850*$AC$22+N850*$AC$23+O850*$AC$24+P850*$AC$25+Q850*$AC$26+R850*$AC$27+S850*$AC$28+T850*$AC$29+U850*$AC$30</f>
        <v/>
      </c>
      <c r="W850" s="8">
        <f>1/(1+EXP(-V850))</f>
        <v/>
      </c>
      <c r="X850" s="9">
        <f>-IF(C850=1,LN(W850),LN(1-W850))</f>
        <v/>
      </c>
      <c r="Y850" s="10">
        <f>IF(W850&gt;$AC$33,1,0)</f>
        <v/>
      </c>
      <c r="Z850">
        <f>IF(Y850=C850,1,0)</f>
        <v/>
      </c>
    </row>
    <row r="851">
      <c r="A851">
        <f>'1 datos preparados'!A844</f>
        <v/>
      </c>
      <c r="B851" s="5">
        <f>'1 datos preparados'!U844</f>
        <v/>
      </c>
      <c r="C851">
        <f>'1 datos preparados'!B844</f>
        <v/>
      </c>
      <c r="D851" s="7">
        <f>'1 datos preparados'!C844</f>
        <v/>
      </c>
      <c r="E851" s="7">
        <f>'1 datos preparados'!D844</f>
        <v/>
      </c>
      <c r="F851" s="7">
        <f>'1 datos preparados'!E844</f>
        <v/>
      </c>
      <c r="G851" s="7">
        <f>'1 datos preparados'!F844</f>
        <v/>
      </c>
      <c r="H851" s="7">
        <f>'1 datos preparados'!G844</f>
        <v/>
      </c>
      <c r="I851" s="7">
        <f>'1 datos preparados'!H844</f>
        <v/>
      </c>
      <c r="J851" s="7">
        <f>'1 datos preparados'!I844</f>
        <v/>
      </c>
      <c r="K851" s="7">
        <f>'1 datos preparados'!J844</f>
        <v/>
      </c>
      <c r="L851" s="7">
        <f>'1 datos preparados'!K844</f>
        <v/>
      </c>
      <c r="M851" s="7">
        <f>'1 datos preparados'!L844</f>
        <v/>
      </c>
      <c r="N851" s="7">
        <f>'1 datos preparados'!M844</f>
        <v/>
      </c>
      <c r="O851" s="7">
        <f>'1 datos preparados'!N844</f>
        <v/>
      </c>
      <c r="P851" s="7">
        <f>'1 datos preparados'!O844</f>
        <v/>
      </c>
      <c r="Q851" s="7">
        <f>'1 datos preparados'!P844</f>
        <v/>
      </c>
      <c r="R851" s="7">
        <f>'1 datos preparados'!Q844</f>
        <v/>
      </c>
      <c r="S851" s="7">
        <f>'1 datos preparados'!R844</f>
        <v/>
      </c>
      <c r="T851" s="7">
        <f>'1 datos preparados'!S844</f>
        <v/>
      </c>
      <c r="U851" s="7">
        <f>'1 datos preparados'!T844</f>
        <v/>
      </c>
      <c r="V851" s="8">
        <f>$AC$12+D851*$AC$13+E851*$AC$14+F851*$AC$15+G851*$AC$16+H851*$AC$17+I851*$AC$18+J851*$AC$19+K851*$AC$20+L851*$AC$21+M851*$AC$22+N851*$AC$23+O851*$AC$24+P851*$AC$25+Q851*$AC$26+R851*$AC$27+S851*$AC$28+T851*$AC$29+U851*$AC$30</f>
        <v/>
      </c>
      <c r="W851" s="8">
        <f>1/(1+EXP(-V851))</f>
        <v/>
      </c>
      <c r="X851" s="9">
        <f>-IF(C851=1,LN(W851),LN(1-W851))</f>
        <v/>
      </c>
      <c r="Y851" s="10">
        <f>IF(W851&gt;$AC$33,1,0)</f>
        <v/>
      </c>
      <c r="Z851">
        <f>IF(Y851=C851,1,0)</f>
        <v/>
      </c>
    </row>
    <row r="852">
      <c r="A852">
        <f>'1 datos preparados'!A845</f>
        <v/>
      </c>
      <c r="B852" s="5">
        <f>'1 datos preparados'!U845</f>
        <v/>
      </c>
      <c r="C852">
        <f>'1 datos preparados'!B845</f>
        <v/>
      </c>
      <c r="D852" s="7">
        <f>'1 datos preparados'!C845</f>
        <v/>
      </c>
      <c r="E852" s="7">
        <f>'1 datos preparados'!D845</f>
        <v/>
      </c>
      <c r="F852" s="7">
        <f>'1 datos preparados'!E845</f>
        <v/>
      </c>
      <c r="G852" s="7">
        <f>'1 datos preparados'!F845</f>
        <v/>
      </c>
      <c r="H852" s="7">
        <f>'1 datos preparados'!G845</f>
        <v/>
      </c>
      <c r="I852" s="7">
        <f>'1 datos preparados'!H845</f>
        <v/>
      </c>
      <c r="J852" s="7">
        <f>'1 datos preparados'!I845</f>
        <v/>
      </c>
      <c r="K852" s="7">
        <f>'1 datos preparados'!J845</f>
        <v/>
      </c>
      <c r="L852" s="7">
        <f>'1 datos preparados'!K845</f>
        <v/>
      </c>
      <c r="M852" s="7">
        <f>'1 datos preparados'!L845</f>
        <v/>
      </c>
      <c r="N852" s="7">
        <f>'1 datos preparados'!M845</f>
        <v/>
      </c>
      <c r="O852" s="7">
        <f>'1 datos preparados'!N845</f>
        <v/>
      </c>
      <c r="P852" s="7">
        <f>'1 datos preparados'!O845</f>
        <v/>
      </c>
      <c r="Q852" s="7">
        <f>'1 datos preparados'!P845</f>
        <v/>
      </c>
      <c r="R852" s="7">
        <f>'1 datos preparados'!Q845</f>
        <v/>
      </c>
      <c r="S852" s="7">
        <f>'1 datos preparados'!R845</f>
        <v/>
      </c>
      <c r="T852" s="7">
        <f>'1 datos preparados'!S845</f>
        <v/>
      </c>
      <c r="U852" s="7">
        <f>'1 datos preparados'!T845</f>
        <v/>
      </c>
      <c r="V852" s="8">
        <f>$AC$12+D852*$AC$13+E852*$AC$14+F852*$AC$15+G852*$AC$16+H852*$AC$17+I852*$AC$18+J852*$AC$19+K852*$AC$20+L852*$AC$21+M852*$AC$22+N852*$AC$23+O852*$AC$24+P852*$AC$25+Q852*$AC$26+R852*$AC$27+S852*$AC$28+T852*$AC$29+U852*$AC$30</f>
        <v/>
      </c>
      <c r="W852" s="8">
        <f>1/(1+EXP(-V852))</f>
        <v/>
      </c>
      <c r="X852" s="9">
        <f>-IF(C852=1,LN(W852),LN(1-W852))</f>
        <v/>
      </c>
      <c r="Y852" s="10">
        <f>IF(W852&gt;$AC$33,1,0)</f>
        <v/>
      </c>
      <c r="Z852">
        <f>IF(Y852=C852,1,0)</f>
        <v/>
      </c>
    </row>
    <row r="853">
      <c r="A853">
        <f>'1 datos preparados'!A846</f>
        <v/>
      </c>
      <c r="B853" s="5">
        <f>'1 datos preparados'!U846</f>
        <v/>
      </c>
      <c r="C853">
        <f>'1 datos preparados'!B846</f>
        <v/>
      </c>
      <c r="D853" s="7">
        <f>'1 datos preparados'!C846</f>
        <v/>
      </c>
      <c r="E853" s="7">
        <f>'1 datos preparados'!D846</f>
        <v/>
      </c>
      <c r="F853" s="7">
        <f>'1 datos preparados'!E846</f>
        <v/>
      </c>
      <c r="G853" s="7">
        <f>'1 datos preparados'!F846</f>
        <v/>
      </c>
      <c r="H853" s="7">
        <f>'1 datos preparados'!G846</f>
        <v/>
      </c>
      <c r="I853" s="7">
        <f>'1 datos preparados'!H846</f>
        <v/>
      </c>
      <c r="J853" s="7">
        <f>'1 datos preparados'!I846</f>
        <v/>
      </c>
      <c r="K853" s="7">
        <f>'1 datos preparados'!J846</f>
        <v/>
      </c>
      <c r="L853" s="7">
        <f>'1 datos preparados'!K846</f>
        <v/>
      </c>
      <c r="M853" s="7">
        <f>'1 datos preparados'!L846</f>
        <v/>
      </c>
      <c r="N853" s="7">
        <f>'1 datos preparados'!M846</f>
        <v/>
      </c>
      <c r="O853" s="7">
        <f>'1 datos preparados'!N846</f>
        <v/>
      </c>
      <c r="P853" s="7">
        <f>'1 datos preparados'!O846</f>
        <v/>
      </c>
      <c r="Q853" s="7">
        <f>'1 datos preparados'!P846</f>
        <v/>
      </c>
      <c r="R853" s="7">
        <f>'1 datos preparados'!Q846</f>
        <v/>
      </c>
      <c r="S853" s="7">
        <f>'1 datos preparados'!R846</f>
        <v/>
      </c>
      <c r="T853" s="7">
        <f>'1 datos preparados'!S846</f>
        <v/>
      </c>
      <c r="U853" s="7">
        <f>'1 datos preparados'!T846</f>
        <v/>
      </c>
      <c r="V853" s="8">
        <f>$AC$12+D853*$AC$13+E853*$AC$14+F853*$AC$15+G853*$AC$16+H853*$AC$17+I853*$AC$18+J853*$AC$19+K853*$AC$20+L853*$AC$21+M853*$AC$22+N853*$AC$23+O853*$AC$24+P853*$AC$25+Q853*$AC$26+R853*$AC$27+S853*$AC$28+T853*$AC$29+U853*$AC$30</f>
        <v/>
      </c>
      <c r="W853" s="8">
        <f>1/(1+EXP(-V853))</f>
        <v/>
      </c>
      <c r="X853" s="9">
        <f>-IF(C853=1,LN(W853),LN(1-W853))</f>
        <v/>
      </c>
      <c r="Y853" s="10">
        <f>IF(W853&gt;$AC$33,1,0)</f>
        <v/>
      </c>
      <c r="Z853">
        <f>IF(Y853=C853,1,0)</f>
        <v/>
      </c>
    </row>
    <row r="854">
      <c r="A854">
        <f>'1 datos preparados'!A847</f>
        <v/>
      </c>
      <c r="B854" s="5">
        <f>'1 datos preparados'!U847</f>
        <v/>
      </c>
      <c r="C854">
        <f>'1 datos preparados'!B847</f>
        <v/>
      </c>
      <c r="D854" s="7">
        <f>'1 datos preparados'!C847</f>
        <v/>
      </c>
      <c r="E854" s="7">
        <f>'1 datos preparados'!D847</f>
        <v/>
      </c>
      <c r="F854" s="7">
        <f>'1 datos preparados'!E847</f>
        <v/>
      </c>
      <c r="G854" s="7">
        <f>'1 datos preparados'!F847</f>
        <v/>
      </c>
      <c r="H854" s="7">
        <f>'1 datos preparados'!G847</f>
        <v/>
      </c>
      <c r="I854" s="7">
        <f>'1 datos preparados'!H847</f>
        <v/>
      </c>
      <c r="J854" s="7">
        <f>'1 datos preparados'!I847</f>
        <v/>
      </c>
      <c r="K854" s="7">
        <f>'1 datos preparados'!J847</f>
        <v/>
      </c>
      <c r="L854" s="7">
        <f>'1 datos preparados'!K847</f>
        <v/>
      </c>
      <c r="M854" s="7">
        <f>'1 datos preparados'!L847</f>
        <v/>
      </c>
      <c r="N854" s="7">
        <f>'1 datos preparados'!M847</f>
        <v/>
      </c>
      <c r="O854" s="7">
        <f>'1 datos preparados'!N847</f>
        <v/>
      </c>
      <c r="P854" s="7">
        <f>'1 datos preparados'!O847</f>
        <v/>
      </c>
      <c r="Q854" s="7">
        <f>'1 datos preparados'!P847</f>
        <v/>
      </c>
      <c r="R854" s="7">
        <f>'1 datos preparados'!Q847</f>
        <v/>
      </c>
      <c r="S854" s="7">
        <f>'1 datos preparados'!R847</f>
        <v/>
      </c>
      <c r="T854" s="7">
        <f>'1 datos preparados'!S847</f>
        <v/>
      </c>
      <c r="U854" s="7">
        <f>'1 datos preparados'!T847</f>
        <v/>
      </c>
      <c r="V854" s="8">
        <f>$AC$12+D854*$AC$13+E854*$AC$14+F854*$AC$15+G854*$AC$16+H854*$AC$17+I854*$AC$18+J854*$AC$19+K854*$AC$20+L854*$AC$21+M854*$AC$22+N854*$AC$23+O854*$AC$24+P854*$AC$25+Q854*$AC$26+R854*$AC$27+S854*$AC$28+T854*$AC$29+U854*$AC$30</f>
        <v/>
      </c>
      <c r="W854" s="8">
        <f>1/(1+EXP(-V854))</f>
        <v/>
      </c>
      <c r="X854" s="9">
        <f>-IF(C854=1,LN(W854),LN(1-W854))</f>
        <v/>
      </c>
      <c r="Y854" s="10">
        <f>IF(W854&gt;$AC$33,1,0)</f>
        <v/>
      </c>
      <c r="Z854">
        <f>IF(Y854=C854,1,0)</f>
        <v/>
      </c>
    </row>
    <row r="855">
      <c r="A855">
        <f>'1 datos preparados'!A848</f>
        <v/>
      </c>
      <c r="B855" s="5">
        <f>'1 datos preparados'!U848</f>
        <v/>
      </c>
      <c r="C855">
        <f>'1 datos preparados'!B848</f>
        <v/>
      </c>
      <c r="D855" s="7">
        <f>'1 datos preparados'!C848</f>
        <v/>
      </c>
      <c r="E855" s="7">
        <f>'1 datos preparados'!D848</f>
        <v/>
      </c>
      <c r="F855" s="7">
        <f>'1 datos preparados'!E848</f>
        <v/>
      </c>
      <c r="G855" s="7">
        <f>'1 datos preparados'!F848</f>
        <v/>
      </c>
      <c r="H855" s="7">
        <f>'1 datos preparados'!G848</f>
        <v/>
      </c>
      <c r="I855" s="7">
        <f>'1 datos preparados'!H848</f>
        <v/>
      </c>
      <c r="J855" s="7">
        <f>'1 datos preparados'!I848</f>
        <v/>
      </c>
      <c r="K855" s="7">
        <f>'1 datos preparados'!J848</f>
        <v/>
      </c>
      <c r="L855" s="7">
        <f>'1 datos preparados'!K848</f>
        <v/>
      </c>
      <c r="M855" s="7">
        <f>'1 datos preparados'!L848</f>
        <v/>
      </c>
      <c r="N855" s="7">
        <f>'1 datos preparados'!M848</f>
        <v/>
      </c>
      <c r="O855" s="7">
        <f>'1 datos preparados'!N848</f>
        <v/>
      </c>
      <c r="P855" s="7">
        <f>'1 datos preparados'!O848</f>
        <v/>
      </c>
      <c r="Q855" s="7">
        <f>'1 datos preparados'!P848</f>
        <v/>
      </c>
      <c r="R855" s="7">
        <f>'1 datos preparados'!Q848</f>
        <v/>
      </c>
      <c r="S855" s="7">
        <f>'1 datos preparados'!R848</f>
        <v/>
      </c>
      <c r="T855" s="7">
        <f>'1 datos preparados'!S848</f>
        <v/>
      </c>
      <c r="U855" s="7">
        <f>'1 datos preparados'!T848</f>
        <v/>
      </c>
      <c r="V855" s="8">
        <f>$AC$12+D855*$AC$13+E855*$AC$14+F855*$AC$15+G855*$AC$16+H855*$AC$17+I855*$AC$18+J855*$AC$19+K855*$AC$20+L855*$AC$21+M855*$AC$22+N855*$AC$23+O855*$AC$24+P855*$AC$25+Q855*$AC$26+R855*$AC$27+S855*$AC$28+T855*$AC$29+U855*$AC$30</f>
        <v/>
      </c>
      <c r="W855" s="8">
        <f>1/(1+EXP(-V855))</f>
        <v/>
      </c>
      <c r="X855" s="9">
        <f>-IF(C855=1,LN(W855),LN(1-W855))</f>
        <v/>
      </c>
      <c r="Y855" s="10">
        <f>IF(W855&gt;$AC$33,1,0)</f>
        <v/>
      </c>
      <c r="Z855">
        <f>IF(Y855=C855,1,0)</f>
        <v/>
      </c>
    </row>
    <row r="856">
      <c r="A856">
        <f>'1 datos preparados'!A849</f>
        <v/>
      </c>
      <c r="B856" s="5">
        <f>'1 datos preparados'!U849</f>
        <v/>
      </c>
      <c r="C856">
        <f>'1 datos preparados'!B849</f>
        <v/>
      </c>
      <c r="D856" s="7">
        <f>'1 datos preparados'!C849</f>
        <v/>
      </c>
      <c r="E856" s="7">
        <f>'1 datos preparados'!D849</f>
        <v/>
      </c>
      <c r="F856" s="7">
        <f>'1 datos preparados'!E849</f>
        <v/>
      </c>
      <c r="G856" s="7">
        <f>'1 datos preparados'!F849</f>
        <v/>
      </c>
      <c r="H856" s="7">
        <f>'1 datos preparados'!G849</f>
        <v/>
      </c>
      <c r="I856" s="7">
        <f>'1 datos preparados'!H849</f>
        <v/>
      </c>
      <c r="J856" s="7">
        <f>'1 datos preparados'!I849</f>
        <v/>
      </c>
      <c r="K856" s="7">
        <f>'1 datos preparados'!J849</f>
        <v/>
      </c>
      <c r="L856" s="7">
        <f>'1 datos preparados'!K849</f>
        <v/>
      </c>
      <c r="M856" s="7">
        <f>'1 datos preparados'!L849</f>
        <v/>
      </c>
      <c r="N856" s="7">
        <f>'1 datos preparados'!M849</f>
        <v/>
      </c>
      <c r="O856" s="7">
        <f>'1 datos preparados'!N849</f>
        <v/>
      </c>
      <c r="P856" s="7">
        <f>'1 datos preparados'!O849</f>
        <v/>
      </c>
      <c r="Q856" s="7">
        <f>'1 datos preparados'!P849</f>
        <v/>
      </c>
      <c r="R856" s="7">
        <f>'1 datos preparados'!Q849</f>
        <v/>
      </c>
      <c r="S856" s="7">
        <f>'1 datos preparados'!R849</f>
        <v/>
      </c>
      <c r="T856" s="7">
        <f>'1 datos preparados'!S849</f>
        <v/>
      </c>
      <c r="U856" s="7">
        <f>'1 datos preparados'!T849</f>
        <v/>
      </c>
      <c r="V856" s="8">
        <f>$AC$12+D856*$AC$13+E856*$AC$14+F856*$AC$15+G856*$AC$16+H856*$AC$17+I856*$AC$18+J856*$AC$19+K856*$AC$20+L856*$AC$21+M856*$AC$22+N856*$AC$23+O856*$AC$24+P856*$AC$25+Q856*$AC$26+R856*$AC$27+S856*$AC$28+T856*$AC$29+U856*$AC$30</f>
        <v/>
      </c>
      <c r="W856" s="8">
        <f>1/(1+EXP(-V856))</f>
        <v/>
      </c>
      <c r="X856" s="9">
        <f>-IF(C856=1,LN(W856),LN(1-W856))</f>
        <v/>
      </c>
      <c r="Y856" s="10">
        <f>IF(W856&gt;$AC$33,1,0)</f>
        <v/>
      </c>
      <c r="Z856">
        <f>IF(Y856=C856,1,0)</f>
        <v/>
      </c>
    </row>
    <row r="857">
      <c r="A857">
        <f>'1 datos preparados'!A850</f>
        <v/>
      </c>
      <c r="B857" s="5">
        <f>'1 datos preparados'!U850</f>
        <v/>
      </c>
      <c r="C857">
        <f>'1 datos preparados'!B850</f>
        <v/>
      </c>
      <c r="D857" s="7">
        <f>'1 datos preparados'!C850</f>
        <v/>
      </c>
      <c r="E857" s="7">
        <f>'1 datos preparados'!D850</f>
        <v/>
      </c>
      <c r="F857" s="7">
        <f>'1 datos preparados'!E850</f>
        <v/>
      </c>
      <c r="G857" s="7">
        <f>'1 datos preparados'!F850</f>
        <v/>
      </c>
      <c r="H857" s="7">
        <f>'1 datos preparados'!G850</f>
        <v/>
      </c>
      <c r="I857" s="7">
        <f>'1 datos preparados'!H850</f>
        <v/>
      </c>
      <c r="J857" s="7">
        <f>'1 datos preparados'!I850</f>
        <v/>
      </c>
      <c r="K857" s="7">
        <f>'1 datos preparados'!J850</f>
        <v/>
      </c>
      <c r="L857" s="7">
        <f>'1 datos preparados'!K850</f>
        <v/>
      </c>
      <c r="M857" s="7">
        <f>'1 datos preparados'!L850</f>
        <v/>
      </c>
      <c r="N857" s="7">
        <f>'1 datos preparados'!M850</f>
        <v/>
      </c>
      <c r="O857" s="7">
        <f>'1 datos preparados'!N850</f>
        <v/>
      </c>
      <c r="P857" s="7">
        <f>'1 datos preparados'!O850</f>
        <v/>
      </c>
      <c r="Q857" s="7">
        <f>'1 datos preparados'!P850</f>
        <v/>
      </c>
      <c r="R857" s="7">
        <f>'1 datos preparados'!Q850</f>
        <v/>
      </c>
      <c r="S857" s="7">
        <f>'1 datos preparados'!R850</f>
        <v/>
      </c>
      <c r="T857" s="7">
        <f>'1 datos preparados'!S850</f>
        <v/>
      </c>
      <c r="U857" s="7">
        <f>'1 datos preparados'!T850</f>
        <v/>
      </c>
      <c r="V857" s="8">
        <f>$AC$12+D857*$AC$13+E857*$AC$14+F857*$AC$15+G857*$AC$16+H857*$AC$17+I857*$AC$18+J857*$AC$19+K857*$AC$20+L857*$AC$21+M857*$AC$22+N857*$AC$23+O857*$AC$24+P857*$AC$25+Q857*$AC$26+R857*$AC$27+S857*$AC$28+T857*$AC$29+U857*$AC$30</f>
        <v/>
      </c>
      <c r="W857" s="8">
        <f>1/(1+EXP(-V857))</f>
        <v/>
      </c>
      <c r="X857" s="9">
        <f>-IF(C857=1,LN(W857),LN(1-W857))</f>
        <v/>
      </c>
      <c r="Y857" s="10">
        <f>IF(W857&gt;$AC$33,1,0)</f>
        <v/>
      </c>
      <c r="Z857">
        <f>IF(Y857=C857,1,0)</f>
        <v/>
      </c>
    </row>
    <row r="858">
      <c r="A858">
        <f>'1 datos preparados'!A851</f>
        <v/>
      </c>
      <c r="B858" s="5">
        <f>'1 datos preparados'!U851</f>
        <v/>
      </c>
      <c r="C858">
        <f>'1 datos preparados'!B851</f>
        <v/>
      </c>
      <c r="D858" s="7">
        <f>'1 datos preparados'!C851</f>
        <v/>
      </c>
      <c r="E858" s="7">
        <f>'1 datos preparados'!D851</f>
        <v/>
      </c>
      <c r="F858" s="7">
        <f>'1 datos preparados'!E851</f>
        <v/>
      </c>
      <c r="G858" s="7">
        <f>'1 datos preparados'!F851</f>
        <v/>
      </c>
      <c r="H858" s="7">
        <f>'1 datos preparados'!G851</f>
        <v/>
      </c>
      <c r="I858" s="7">
        <f>'1 datos preparados'!H851</f>
        <v/>
      </c>
      <c r="J858" s="7">
        <f>'1 datos preparados'!I851</f>
        <v/>
      </c>
      <c r="K858" s="7">
        <f>'1 datos preparados'!J851</f>
        <v/>
      </c>
      <c r="L858" s="7">
        <f>'1 datos preparados'!K851</f>
        <v/>
      </c>
      <c r="M858" s="7">
        <f>'1 datos preparados'!L851</f>
        <v/>
      </c>
      <c r="N858" s="7">
        <f>'1 datos preparados'!M851</f>
        <v/>
      </c>
      <c r="O858" s="7">
        <f>'1 datos preparados'!N851</f>
        <v/>
      </c>
      <c r="P858" s="7">
        <f>'1 datos preparados'!O851</f>
        <v/>
      </c>
      <c r="Q858" s="7">
        <f>'1 datos preparados'!P851</f>
        <v/>
      </c>
      <c r="R858" s="7">
        <f>'1 datos preparados'!Q851</f>
        <v/>
      </c>
      <c r="S858" s="7">
        <f>'1 datos preparados'!R851</f>
        <v/>
      </c>
      <c r="T858" s="7">
        <f>'1 datos preparados'!S851</f>
        <v/>
      </c>
      <c r="U858" s="7">
        <f>'1 datos preparados'!T851</f>
        <v/>
      </c>
      <c r="V858" s="8">
        <f>$AC$12+D858*$AC$13+E858*$AC$14+F858*$AC$15+G858*$AC$16+H858*$AC$17+I858*$AC$18+J858*$AC$19+K858*$AC$20+L858*$AC$21+M858*$AC$22+N858*$AC$23+O858*$AC$24+P858*$AC$25+Q858*$AC$26+R858*$AC$27+S858*$AC$28+T858*$AC$29+U858*$AC$30</f>
        <v/>
      </c>
      <c r="W858" s="8">
        <f>1/(1+EXP(-V858))</f>
        <v/>
      </c>
      <c r="X858" s="9">
        <f>-IF(C858=1,LN(W858),LN(1-W858))</f>
        <v/>
      </c>
      <c r="Y858" s="10">
        <f>IF(W858&gt;$AC$33,1,0)</f>
        <v/>
      </c>
      <c r="Z858">
        <f>IF(Y858=C858,1,0)</f>
        <v/>
      </c>
    </row>
    <row r="859">
      <c r="A859">
        <f>'1 datos preparados'!A852</f>
        <v/>
      </c>
      <c r="B859" s="5">
        <f>'1 datos preparados'!U852</f>
        <v/>
      </c>
      <c r="C859">
        <f>'1 datos preparados'!B852</f>
        <v/>
      </c>
      <c r="D859" s="7">
        <f>'1 datos preparados'!C852</f>
        <v/>
      </c>
      <c r="E859" s="7">
        <f>'1 datos preparados'!D852</f>
        <v/>
      </c>
      <c r="F859" s="7">
        <f>'1 datos preparados'!E852</f>
        <v/>
      </c>
      <c r="G859" s="7">
        <f>'1 datos preparados'!F852</f>
        <v/>
      </c>
      <c r="H859" s="7">
        <f>'1 datos preparados'!G852</f>
        <v/>
      </c>
      <c r="I859" s="7">
        <f>'1 datos preparados'!H852</f>
        <v/>
      </c>
      <c r="J859" s="7">
        <f>'1 datos preparados'!I852</f>
        <v/>
      </c>
      <c r="K859" s="7">
        <f>'1 datos preparados'!J852</f>
        <v/>
      </c>
      <c r="L859" s="7">
        <f>'1 datos preparados'!K852</f>
        <v/>
      </c>
      <c r="M859" s="7">
        <f>'1 datos preparados'!L852</f>
        <v/>
      </c>
      <c r="N859" s="7">
        <f>'1 datos preparados'!M852</f>
        <v/>
      </c>
      <c r="O859" s="7">
        <f>'1 datos preparados'!N852</f>
        <v/>
      </c>
      <c r="P859" s="7">
        <f>'1 datos preparados'!O852</f>
        <v/>
      </c>
      <c r="Q859" s="7">
        <f>'1 datos preparados'!P852</f>
        <v/>
      </c>
      <c r="R859" s="7">
        <f>'1 datos preparados'!Q852</f>
        <v/>
      </c>
      <c r="S859" s="7">
        <f>'1 datos preparados'!R852</f>
        <v/>
      </c>
      <c r="T859" s="7">
        <f>'1 datos preparados'!S852</f>
        <v/>
      </c>
      <c r="U859" s="7">
        <f>'1 datos preparados'!T852</f>
        <v/>
      </c>
      <c r="V859" s="8">
        <f>$AC$12+D859*$AC$13+E859*$AC$14+F859*$AC$15+G859*$AC$16+H859*$AC$17+I859*$AC$18+J859*$AC$19+K859*$AC$20+L859*$AC$21+M859*$AC$22+N859*$AC$23+O859*$AC$24+P859*$AC$25+Q859*$AC$26+R859*$AC$27+S859*$AC$28+T859*$AC$29+U859*$AC$30</f>
        <v/>
      </c>
      <c r="W859" s="8">
        <f>1/(1+EXP(-V859))</f>
        <v/>
      </c>
      <c r="X859" s="9">
        <f>-IF(C859=1,LN(W859),LN(1-W859))</f>
        <v/>
      </c>
      <c r="Y859" s="10">
        <f>IF(W859&gt;$AC$33,1,0)</f>
        <v/>
      </c>
      <c r="Z859">
        <f>IF(Y859=C859,1,0)</f>
        <v/>
      </c>
    </row>
    <row r="860">
      <c r="A860">
        <f>'1 datos preparados'!A853</f>
        <v/>
      </c>
      <c r="B860" s="5">
        <f>'1 datos preparados'!U853</f>
        <v/>
      </c>
      <c r="C860">
        <f>'1 datos preparados'!B853</f>
        <v/>
      </c>
      <c r="D860" s="7">
        <f>'1 datos preparados'!C853</f>
        <v/>
      </c>
      <c r="E860" s="7">
        <f>'1 datos preparados'!D853</f>
        <v/>
      </c>
      <c r="F860" s="7">
        <f>'1 datos preparados'!E853</f>
        <v/>
      </c>
      <c r="G860" s="7">
        <f>'1 datos preparados'!F853</f>
        <v/>
      </c>
      <c r="H860" s="7">
        <f>'1 datos preparados'!G853</f>
        <v/>
      </c>
      <c r="I860" s="7">
        <f>'1 datos preparados'!H853</f>
        <v/>
      </c>
      <c r="J860" s="7">
        <f>'1 datos preparados'!I853</f>
        <v/>
      </c>
      <c r="K860" s="7">
        <f>'1 datos preparados'!J853</f>
        <v/>
      </c>
      <c r="L860" s="7">
        <f>'1 datos preparados'!K853</f>
        <v/>
      </c>
      <c r="M860" s="7">
        <f>'1 datos preparados'!L853</f>
        <v/>
      </c>
      <c r="N860" s="7">
        <f>'1 datos preparados'!M853</f>
        <v/>
      </c>
      <c r="O860" s="7">
        <f>'1 datos preparados'!N853</f>
        <v/>
      </c>
      <c r="P860" s="7">
        <f>'1 datos preparados'!O853</f>
        <v/>
      </c>
      <c r="Q860" s="7">
        <f>'1 datos preparados'!P853</f>
        <v/>
      </c>
      <c r="R860" s="7">
        <f>'1 datos preparados'!Q853</f>
        <v/>
      </c>
      <c r="S860" s="7">
        <f>'1 datos preparados'!R853</f>
        <v/>
      </c>
      <c r="T860" s="7">
        <f>'1 datos preparados'!S853</f>
        <v/>
      </c>
      <c r="U860" s="7">
        <f>'1 datos preparados'!T853</f>
        <v/>
      </c>
      <c r="V860" s="8">
        <f>$AC$12+D860*$AC$13+E860*$AC$14+F860*$AC$15+G860*$AC$16+H860*$AC$17+I860*$AC$18+J860*$AC$19+K860*$AC$20+L860*$AC$21+M860*$AC$22+N860*$AC$23+O860*$AC$24+P860*$AC$25+Q860*$AC$26+R860*$AC$27+S860*$AC$28+T860*$AC$29+U860*$AC$30</f>
        <v/>
      </c>
      <c r="W860" s="8">
        <f>1/(1+EXP(-V860))</f>
        <v/>
      </c>
      <c r="X860" s="9">
        <f>-IF(C860=1,LN(W860),LN(1-W860))</f>
        <v/>
      </c>
      <c r="Y860" s="10">
        <f>IF(W860&gt;$AC$33,1,0)</f>
        <v/>
      </c>
      <c r="Z860">
        <f>IF(Y860=C860,1,0)</f>
        <v/>
      </c>
    </row>
    <row r="861">
      <c r="A861">
        <f>'1 datos preparados'!A854</f>
        <v/>
      </c>
      <c r="B861" s="5">
        <f>'1 datos preparados'!U854</f>
        <v/>
      </c>
      <c r="C861">
        <f>'1 datos preparados'!B854</f>
        <v/>
      </c>
      <c r="D861" s="7">
        <f>'1 datos preparados'!C854</f>
        <v/>
      </c>
      <c r="E861" s="7">
        <f>'1 datos preparados'!D854</f>
        <v/>
      </c>
      <c r="F861" s="7">
        <f>'1 datos preparados'!E854</f>
        <v/>
      </c>
      <c r="G861" s="7">
        <f>'1 datos preparados'!F854</f>
        <v/>
      </c>
      <c r="H861" s="7">
        <f>'1 datos preparados'!G854</f>
        <v/>
      </c>
      <c r="I861" s="7">
        <f>'1 datos preparados'!H854</f>
        <v/>
      </c>
      <c r="J861" s="7">
        <f>'1 datos preparados'!I854</f>
        <v/>
      </c>
      <c r="K861" s="7">
        <f>'1 datos preparados'!J854</f>
        <v/>
      </c>
      <c r="L861" s="7">
        <f>'1 datos preparados'!K854</f>
        <v/>
      </c>
      <c r="M861" s="7">
        <f>'1 datos preparados'!L854</f>
        <v/>
      </c>
      <c r="N861" s="7">
        <f>'1 datos preparados'!M854</f>
        <v/>
      </c>
      <c r="O861" s="7">
        <f>'1 datos preparados'!N854</f>
        <v/>
      </c>
      <c r="P861" s="7">
        <f>'1 datos preparados'!O854</f>
        <v/>
      </c>
      <c r="Q861" s="7">
        <f>'1 datos preparados'!P854</f>
        <v/>
      </c>
      <c r="R861" s="7">
        <f>'1 datos preparados'!Q854</f>
        <v/>
      </c>
      <c r="S861" s="7">
        <f>'1 datos preparados'!R854</f>
        <v/>
      </c>
      <c r="T861" s="7">
        <f>'1 datos preparados'!S854</f>
        <v/>
      </c>
      <c r="U861" s="7">
        <f>'1 datos preparados'!T854</f>
        <v/>
      </c>
      <c r="V861" s="8">
        <f>$AC$12+D861*$AC$13+E861*$AC$14+F861*$AC$15+G861*$AC$16+H861*$AC$17+I861*$AC$18+J861*$AC$19+K861*$AC$20+L861*$AC$21+M861*$AC$22+N861*$AC$23+O861*$AC$24+P861*$AC$25+Q861*$AC$26+R861*$AC$27+S861*$AC$28+T861*$AC$29+U861*$AC$30</f>
        <v/>
      </c>
      <c r="W861" s="8">
        <f>1/(1+EXP(-V861))</f>
        <v/>
      </c>
      <c r="X861" s="9">
        <f>-IF(C861=1,LN(W861),LN(1-W861))</f>
        <v/>
      </c>
      <c r="Y861" s="10">
        <f>IF(W861&gt;$AC$33,1,0)</f>
        <v/>
      </c>
      <c r="Z861">
        <f>IF(Y861=C861,1,0)</f>
        <v/>
      </c>
    </row>
    <row r="862">
      <c r="A862">
        <f>'1 datos preparados'!A855</f>
        <v/>
      </c>
      <c r="B862" s="5">
        <f>'1 datos preparados'!U855</f>
        <v/>
      </c>
      <c r="C862">
        <f>'1 datos preparados'!B855</f>
        <v/>
      </c>
      <c r="D862" s="7">
        <f>'1 datos preparados'!C855</f>
        <v/>
      </c>
      <c r="E862" s="7">
        <f>'1 datos preparados'!D855</f>
        <v/>
      </c>
      <c r="F862" s="7">
        <f>'1 datos preparados'!E855</f>
        <v/>
      </c>
      <c r="G862" s="7">
        <f>'1 datos preparados'!F855</f>
        <v/>
      </c>
      <c r="H862" s="7">
        <f>'1 datos preparados'!G855</f>
        <v/>
      </c>
      <c r="I862" s="7">
        <f>'1 datos preparados'!H855</f>
        <v/>
      </c>
      <c r="J862" s="7">
        <f>'1 datos preparados'!I855</f>
        <v/>
      </c>
      <c r="K862" s="7">
        <f>'1 datos preparados'!J855</f>
        <v/>
      </c>
      <c r="L862" s="7">
        <f>'1 datos preparados'!K855</f>
        <v/>
      </c>
      <c r="M862" s="7">
        <f>'1 datos preparados'!L855</f>
        <v/>
      </c>
      <c r="N862" s="7">
        <f>'1 datos preparados'!M855</f>
        <v/>
      </c>
      <c r="O862" s="7">
        <f>'1 datos preparados'!N855</f>
        <v/>
      </c>
      <c r="P862" s="7">
        <f>'1 datos preparados'!O855</f>
        <v/>
      </c>
      <c r="Q862" s="7">
        <f>'1 datos preparados'!P855</f>
        <v/>
      </c>
      <c r="R862" s="7">
        <f>'1 datos preparados'!Q855</f>
        <v/>
      </c>
      <c r="S862" s="7">
        <f>'1 datos preparados'!R855</f>
        <v/>
      </c>
      <c r="T862" s="7">
        <f>'1 datos preparados'!S855</f>
        <v/>
      </c>
      <c r="U862" s="7">
        <f>'1 datos preparados'!T855</f>
        <v/>
      </c>
      <c r="V862" s="8">
        <f>$AC$12+D862*$AC$13+E862*$AC$14+F862*$AC$15+G862*$AC$16+H862*$AC$17+I862*$AC$18+J862*$AC$19+K862*$AC$20+L862*$AC$21+M862*$AC$22+N862*$AC$23+O862*$AC$24+P862*$AC$25+Q862*$AC$26+R862*$AC$27+S862*$AC$28+T862*$AC$29+U862*$AC$30</f>
        <v/>
      </c>
      <c r="W862" s="8">
        <f>1/(1+EXP(-V862))</f>
        <v/>
      </c>
      <c r="X862" s="9">
        <f>-IF(C862=1,LN(W862),LN(1-W862))</f>
        <v/>
      </c>
      <c r="Y862" s="10">
        <f>IF(W862&gt;$AC$33,1,0)</f>
        <v/>
      </c>
      <c r="Z862">
        <f>IF(Y862=C862,1,0)</f>
        <v/>
      </c>
    </row>
    <row r="863">
      <c r="A863">
        <f>'1 datos preparados'!A856</f>
        <v/>
      </c>
      <c r="B863" s="5">
        <f>'1 datos preparados'!U856</f>
        <v/>
      </c>
      <c r="C863">
        <f>'1 datos preparados'!B856</f>
        <v/>
      </c>
      <c r="D863" s="7">
        <f>'1 datos preparados'!C856</f>
        <v/>
      </c>
      <c r="E863" s="7">
        <f>'1 datos preparados'!D856</f>
        <v/>
      </c>
      <c r="F863" s="7">
        <f>'1 datos preparados'!E856</f>
        <v/>
      </c>
      <c r="G863" s="7">
        <f>'1 datos preparados'!F856</f>
        <v/>
      </c>
      <c r="H863" s="7">
        <f>'1 datos preparados'!G856</f>
        <v/>
      </c>
      <c r="I863" s="7">
        <f>'1 datos preparados'!H856</f>
        <v/>
      </c>
      <c r="J863" s="7">
        <f>'1 datos preparados'!I856</f>
        <v/>
      </c>
      <c r="K863" s="7">
        <f>'1 datos preparados'!J856</f>
        <v/>
      </c>
      <c r="L863" s="7">
        <f>'1 datos preparados'!K856</f>
        <v/>
      </c>
      <c r="M863" s="7">
        <f>'1 datos preparados'!L856</f>
        <v/>
      </c>
      <c r="N863" s="7">
        <f>'1 datos preparados'!M856</f>
        <v/>
      </c>
      <c r="O863" s="7">
        <f>'1 datos preparados'!N856</f>
        <v/>
      </c>
      <c r="P863" s="7">
        <f>'1 datos preparados'!O856</f>
        <v/>
      </c>
      <c r="Q863" s="7">
        <f>'1 datos preparados'!P856</f>
        <v/>
      </c>
      <c r="R863" s="7">
        <f>'1 datos preparados'!Q856</f>
        <v/>
      </c>
      <c r="S863" s="7">
        <f>'1 datos preparados'!R856</f>
        <v/>
      </c>
      <c r="T863" s="7">
        <f>'1 datos preparados'!S856</f>
        <v/>
      </c>
      <c r="U863" s="7">
        <f>'1 datos preparados'!T856</f>
        <v/>
      </c>
      <c r="V863" s="8">
        <f>$AC$12+D863*$AC$13+E863*$AC$14+F863*$AC$15+G863*$AC$16+H863*$AC$17+I863*$AC$18+J863*$AC$19+K863*$AC$20+L863*$AC$21+M863*$AC$22+N863*$AC$23+O863*$AC$24+P863*$AC$25+Q863*$AC$26+R863*$AC$27+S863*$AC$28+T863*$AC$29+U863*$AC$30</f>
        <v/>
      </c>
      <c r="W863" s="8">
        <f>1/(1+EXP(-V863))</f>
        <v/>
      </c>
      <c r="X863" s="9">
        <f>-IF(C863=1,LN(W863),LN(1-W863))</f>
        <v/>
      </c>
      <c r="Y863" s="10">
        <f>IF(W863&gt;$AC$33,1,0)</f>
        <v/>
      </c>
      <c r="Z863">
        <f>IF(Y863=C863,1,0)</f>
        <v/>
      </c>
    </row>
    <row r="864">
      <c r="A864">
        <f>'1 datos preparados'!A857</f>
        <v/>
      </c>
      <c r="B864" s="5">
        <f>'1 datos preparados'!U857</f>
        <v/>
      </c>
      <c r="C864">
        <f>'1 datos preparados'!B857</f>
        <v/>
      </c>
      <c r="D864" s="7">
        <f>'1 datos preparados'!C857</f>
        <v/>
      </c>
      <c r="E864" s="7">
        <f>'1 datos preparados'!D857</f>
        <v/>
      </c>
      <c r="F864" s="7">
        <f>'1 datos preparados'!E857</f>
        <v/>
      </c>
      <c r="G864" s="7">
        <f>'1 datos preparados'!F857</f>
        <v/>
      </c>
      <c r="H864" s="7">
        <f>'1 datos preparados'!G857</f>
        <v/>
      </c>
      <c r="I864" s="7">
        <f>'1 datos preparados'!H857</f>
        <v/>
      </c>
      <c r="J864" s="7">
        <f>'1 datos preparados'!I857</f>
        <v/>
      </c>
      <c r="K864" s="7">
        <f>'1 datos preparados'!J857</f>
        <v/>
      </c>
      <c r="L864" s="7">
        <f>'1 datos preparados'!K857</f>
        <v/>
      </c>
      <c r="M864" s="7">
        <f>'1 datos preparados'!L857</f>
        <v/>
      </c>
      <c r="N864" s="7">
        <f>'1 datos preparados'!M857</f>
        <v/>
      </c>
      <c r="O864" s="7">
        <f>'1 datos preparados'!N857</f>
        <v/>
      </c>
      <c r="P864" s="7">
        <f>'1 datos preparados'!O857</f>
        <v/>
      </c>
      <c r="Q864" s="7">
        <f>'1 datos preparados'!P857</f>
        <v/>
      </c>
      <c r="R864" s="7">
        <f>'1 datos preparados'!Q857</f>
        <v/>
      </c>
      <c r="S864" s="7">
        <f>'1 datos preparados'!R857</f>
        <v/>
      </c>
      <c r="T864" s="7">
        <f>'1 datos preparados'!S857</f>
        <v/>
      </c>
      <c r="U864" s="7">
        <f>'1 datos preparados'!T857</f>
        <v/>
      </c>
      <c r="V864" s="8">
        <f>$AC$12+D864*$AC$13+E864*$AC$14+F864*$AC$15+G864*$AC$16+H864*$AC$17+I864*$AC$18+J864*$AC$19+K864*$AC$20+L864*$AC$21+M864*$AC$22+N864*$AC$23+O864*$AC$24+P864*$AC$25+Q864*$AC$26+R864*$AC$27+S864*$AC$28+T864*$AC$29+U864*$AC$30</f>
        <v/>
      </c>
      <c r="W864" s="8">
        <f>1/(1+EXP(-V864))</f>
        <v/>
      </c>
      <c r="X864" s="9">
        <f>-IF(C864=1,LN(W864),LN(1-W864))</f>
        <v/>
      </c>
      <c r="Y864" s="10">
        <f>IF(W864&gt;$AC$33,1,0)</f>
        <v/>
      </c>
      <c r="Z864">
        <f>IF(Y864=C864,1,0)</f>
        <v/>
      </c>
    </row>
    <row r="865">
      <c r="A865">
        <f>'1 datos preparados'!A858</f>
        <v/>
      </c>
      <c r="B865" s="5">
        <f>'1 datos preparados'!U858</f>
        <v/>
      </c>
      <c r="C865">
        <f>'1 datos preparados'!B858</f>
        <v/>
      </c>
      <c r="D865" s="7">
        <f>'1 datos preparados'!C858</f>
        <v/>
      </c>
      <c r="E865" s="7">
        <f>'1 datos preparados'!D858</f>
        <v/>
      </c>
      <c r="F865" s="7">
        <f>'1 datos preparados'!E858</f>
        <v/>
      </c>
      <c r="G865" s="7">
        <f>'1 datos preparados'!F858</f>
        <v/>
      </c>
      <c r="H865" s="7">
        <f>'1 datos preparados'!G858</f>
        <v/>
      </c>
      <c r="I865" s="7">
        <f>'1 datos preparados'!H858</f>
        <v/>
      </c>
      <c r="J865" s="7">
        <f>'1 datos preparados'!I858</f>
        <v/>
      </c>
      <c r="K865" s="7">
        <f>'1 datos preparados'!J858</f>
        <v/>
      </c>
      <c r="L865" s="7">
        <f>'1 datos preparados'!K858</f>
        <v/>
      </c>
      <c r="M865" s="7">
        <f>'1 datos preparados'!L858</f>
        <v/>
      </c>
      <c r="N865" s="7">
        <f>'1 datos preparados'!M858</f>
        <v/>
      </c>
      <c r="O865" s="7">
        <f>'1 datos preparados'!N858</f>
        <v/>
      </c>
      <c r="P865" s="7">
        <f>'1 datos preparados'!O858</f>
        <v/>
      </c>
      <c r="Q865" s="7">
        <f>'1 datos preparados'!P858</f>
        <v/>
      </c>
      <c r="R865" s="7">
        <f>'1 datos preparados'!Q858</f>
        <v/>
      </c>
      <c r="S865" s="7">
        <f>'1 datos preparados'!R858</f>
        <v/>
      </c>
      <c r="T865" s="7">
        <f>'1 datos preparados'!S858</f>
        <v/>
      </c>
      <c r="U865" s="7">
        <f>'1 datos preparados'!T858</f>
        <v/>
      </c>
      <c r="V865" s="8">
        <f>$AC$12+D865*$AC$13+E865*$AC$14+F865*$AC$15+G865*$AC$16+H865*$AC$17+I865*$AC$18+J865*$AC$19+K865*$AC$20+L865*$AC$21+M865*$AC$22+N865*$AC$23+O865*$AC$24+P865*$AC$25+Q865*$AC$26+R865*$AC$27+S865*$AC$28+T865*$AC$29+U865*$AC$30</f>
        <v/>
      </c>
      <c r="W865" s="8">
        <f>1/(1+EXP(-V865))</f>
        <v/>
      </c>
      <c r="X865" s="9">
        <f>-IF(C865=1,LN(W865),LN(1-W865))</f>
        <v/>
      </c>
      <c r="Y865" s="10">
        <f>IF(W865&gt;$AC$33,1,0)</f>
        <v/>
      </c>
      <c r="Z865">
        <f>IF(Y865=C865,1,0)</f>
        <v/>
      </c>
    </row>
    <row r="866">
      <c r="A866">
        <f>'1 datos preparados'!A859</f>
        <v/>
      </c>
      <c r="B866" s="5">
        <f>'1 datos preparados'!U859</f>
        <v/>
      </c>
      <c r="C866">
        <f>'1 datos preparados'!B859</f>
        <v/>
      </c>
      <c r="D866" s="7">
        <f>'1 datos preparados'!C859</f>
        <v/>
      </c>
      <c r="E866" s="7">
        <f>'1 datos preparados'!D859</f>
        <v/>
      </c>
      <c r="F866" s="7">
        <f>'1 datos preparados'!E859</f>
        <v/>
      </c>
      <c r="G866" s="7">
        <f>'1 datos preparados'!F859</f>
        <v/>
      </c>
      <c r="H866" s="7">
        <f>'1 datos preparados'!G859</f>
        <v/>
      </c>
      <c r="I866" s="7">
        <f>'1 datos preparados'!H859</f>
        <v/>
      </c>
      <c r="J866" s="7">
        <f>'1 datos preparados'!I859</f>
        <v/>
      </c>
      <c r="K866" s="7">
        <f>'1 datos preparados'!J859</f>
        <v/>
      </c>
      <c r="L866" s="7">
        <f>'1 datos preparados'!K859</f>
        <v/>
      </c>
      <c r="M866" s="7">
        <f>'1 datos preparados'!L859</f>
        <v/>
      </c>
      <c r="N866" s="7">
        <f>'1 datos preparados'!M859</f>
        <v/>
      </c>
      <c r="O866" s="7">
        <f>'1 datos preparados'!N859</f>
        <v/>
      </c>
      <c r="P866" s="7">
        <f>'1 datos preparados'!O859</f>
        <v/>
      </c>
      <c r="Q866" s="7">
        <f>'1 datos preparados'!P859</f>
        <v/>
      </c>
      <c r="R866" s="7">
        <f>'1 datos preparados'!Q859</f>
        <v/>
      </c>
      <c r="S866" s="7">
        <f>'1 datos preparados'!R859</f>
        <v/>
      </c>
      <c r="T866" s="7">
        <f>'1 datos preparados'!S859</f>
        <v/>
      </c>
      <c r="U866" s="7">
        <f>'1 datos preparados'!T859</f>
        <v/>
      </c>
      <c r="V866" s="8">
        <f>$AC$12+D866*$AC$13+E866*$AC$14+F866*$AC$15+G866*$AC$16+H866*$AC$17+I866*$AC$18+J866*$AC$19+K866*$AC$20+L866*$AC$21+M866*$AC$22+N866*$AC$23+O866*$AC$24+P866*$AC$25+Q866*$AC$26+R866*$AC$27+S866*$AC$28+T866*$AC$29+U866*$AC$30</f>
        <v/>
      </c>
      <c r="W866" s="8">
        <f>1/(1+EXP(-V866))</f>
        <v/>
      </c>
      <c r="X866" s="9">
        <f>-IF(C866=1,LN(W866),LN(1-W866))</f>
        <v/>
      </c>
      <c r="Y866" s="10">
        <f>IF(W866&gt;$AC$33,1,0)</f>
        <v/>
      </c>
      <c r="Z866">
        <f>IF(Y866=C866,1,0)</f>
        <v/>
      </c>
    </row>
    <row r="867">
      <c r="A867">
        <f>'1 datos preparados'!A860</f>
        <v/>
      </c>
      <c r="B867" s="5">
        <f>'1 datos preparados'!U860</f>
        <v/>
      </c>
      <c r="C867">
        <f>'1 datos preparados'!B860</f>
        <v/>
      </c>
      <c r="D867" s="7">
        <f>'1 datos preparados'!C860</f>
        <v/>
      </c>
      <c r="E867" s="7">
        <f>'1 datos preparados'!D860</f>
        <v/>
      </c>
      <c r="F867" s="7">
        <f>'1 datos preparados'!E860</f>
        <v/>
      </c>
      <c r="G867" s="7">
        <f>'1 datos preparados'!F860</f>
        <v/>
      </c>
      <c r="H867" s="7">
        <f>'1 datos preparados'!G860</f>
        <v/>
      </c>
      <c r="I867" s="7">
        <f>'1 datos preparados'!H860</f>
        <v/>
      </c>
      <c r="J867" s="7">
        <f>'1 datos preparados'!I860</f>
        <v/>
      </c>
      <c r="K867" s="7">
        <f>'1 datos preparados'!J860</f>
        <v/>
      </c>
      <c r="L867" s="7">
        <f>'1 datos preparados'!K860</f>
        <v/>
      </c>
      <c r="M867" s="7">
        <f>'1 datos preparados'!L860</f>
        <v/>
      </c>
      <c r="N867" s="7">
        <f>'1 datos preparados'!M860</f>
        <v/>
      </c>
      <c r="O867" s="7">
        <f>'1 datos preparados'!N860</f>
        <v/>
      </c>
      <c r="P867" s="7">
        <f>'1 datos preparados'!O860</f>
        <v/>
      </c>
      <c r="Q867" s="7">
        <f>'1 datos preparados'!P860</f>
        <v/>
      </c>
      <c r="R867" s="7">
        <f>'1 datos preparados'!Q860</f>
        <v/>
      </c>
      <c r="S867" s="7">
        <f>'1 datos preparados'!R860</f>
        <v/>
      </c>
      <c r="T867" s="7">
        <f>'1 datos preparados'!S860</f>
        <v/>
      </c>
      <c r="U867" s="7">
        <f>'1 datos preparados'!T860</f>
        <v/>
      </c>
      <c r="V867" s="8">
        <f>$AC$12+D867*$AC$13+E867*$AC$14+F867*$AC$15+G867*$AC$16+H867*$AC$17+I867*$AC$18+J867*$AC$19+K867*$AC$20+L867*$AC$21+M867*$AC$22+N867*$AC$23+O867*$AC$24+P867*$AC$25+Q867*$AC$26+R867*$AC$27+S867*$AC$28+T867*$AC$29+U867*$AC$30</f>
        <v/>
      </c>
      <c r="W867" s="8">
        <f>1/(1+EXP(-V867))</f>
        <v/>
      </c>
      <c r="X867" s="9">
        <f>-IF(C867=1,LN(W867),LN(1-W867))</f>
        <v/>
      </c>
      <c r="Y867" s="10">
        <f>IF(W867&gt;$AC$33,1,0)</f>
        <v/>
      </c>
      <c r="Z867">
        <f>IF(Y867=C867,1,0)</f>
        <v/>
      </c>
    </row>
    <row r="868">
      <c r="A868">
        <f>'1 datos preparados'!A861</f>
        <v/>
      </c>
      <c r="B868" s="5">
        <f>'1 datos preparados'!U861</f>
        <v/>
      </c>
      <c r="C868">
        <f>'1 datos preparados'!B861</f>
        <v/>
      </c>
      <c r="D868" s="7">
        <f>'1 datos preparados'!C861</f>
        <v/>
      </c>
      <c r="E868" s="7">
        <f>'1 datos preparados'!D861</f>
        <v/>
      </c>
      <c r="F868" s="7">
        <f>'1 datos preparados'!E861</f>
        <v/>
      </c>
      <c r="G868" s="7">
        <f>'1 datos preparados'!F861</f>
        <v/>
      </c>
      <c r="H868" s="7">
        <f>'1 datos preparados'!G861</f>
        <v/>
      </c>
      <c r="I868" s="7">
        <f>'1 datos preparados'!H861</f>
        <v/>
      </c>
      <c r="J868" s="7">
        <f>'1 datos preparados'!I861</f>
        <v/>
      </c>
      <c r="K868" s="7">
        <f>'1 datos preparados'!J861</f>
        <v/>
      </c>
      <c r="L868" s="7">
        <f>'1 datos preparados'!K861</f>
        <v/>
      </c>
      <c r="M868" s="7">
        <f>'1 datos preparados'!L861</f>
        <v/>
      </c>
      <c r="N868" s="7">
        <f>'1 datos preparados'!M861</f>
        <v/>
      </c>
      <c r="O868" s="7">
        <f>'1 datos preparados'!N861</f>
        <v/>
      </c>
      <c r="P868" s="7">
        <f>'1 datos preparados'!O861</f>
        <v/>
      </c>
      <c r="Q868" s="7">
        <f>'1 datos preparados'!P861</f>
        <v/>
      </c>
      <c r="R868" s="7">
        <f>'1 datos preparados'!Q861</f>
        <v/>
      </c>
      <c r="S868" s="7">
        <f>'1 datos preparados'!R861</f>
        <v/>
      </c>
      <c r="T868" s="7">
        <f>'1 datos preparados'!S861</f>
        <v/>
      </c>
      <c r="U868" s="7">
        <f>'1 datos preparados'!T861</f>
        <v/>
      </c>
      <c r="V868" s="8">
        <f>$AC$12+D868*$AC$13+E868*$AC$14+F868*$AC$15+G868*$AC$16+H868*$AC$17+I868*$AC$18+J868*$AC$19+K868*$AC$20+L868*$AC$21+M868*$AC$22+N868*$AC$23+O868*$AC$24+P868*$AC$25+Q868*$AC$26+R868*$AC$27+S868*$AC$28+T868*$AC$29+U868*$AC$30</f>
        <v/>
      </c>
      <c r="W868" s="8">
        <f>1/(1+EXP(-V868))</f>
        <v/>
      </c>
      <c r="X868" s="9">
        <f>-IF(C868=1,LN(W868),LN(1-W868))</f>
        <v/>
      </c>
      <c r="Y868" s="10">
        <f>IF(W868&gt;$AC$33,1,0)</f>
        <v/>
      </c>
      <c r="Z868">
        <f>IF(Y868=C868,1,0)</f>
        <v/>
      </c>
    </row>
    <row r="869">
      <c r="A869">
        <f>'1 datos preparados'!A862</f>
        <v/>
      </c>
      <c r="B869" s="5">
        <f>'1 datos preparados'!U862</f>
        <v/>
      </c>
      <c r="C869">
        <f>'1 datos preparados'!B862</f>
        <v/>
      </c>
      <c r="D869" s="7">
        <f>'1 datos preparados'!C862</f>
        <v/>
      </c>
      <c r="E869" s="7">
        <f>'1 datos preparados'!D862</f>
        <v/>
      </c>
      <c r="F869" s="7">
        <f>'1 datos preparados'!E862</f>
        <v/>
      </c>
      <c r="G869" s="7">
        <f>'1 datos preparados'!F862</f>
        <v/>
      </c>
      <c r="H869" s="7">
        <f>'1 datos preparados'!G862</f>
        <v/>
      </c>
      <c r="I869" s="7">
        <f>'1 datos preparados'!H862</f>
        <v/>
      </c>
      <c r="J869" s="7">
        <f>'1 datos preparados'!I862</f>
        <v/>
      </c>
      <c r="K869" s="7">
        <f>'1 datos preparados'!J862</f>
        <v/>
      </c>
      <c r="L869" s="7">
        <f>'1 datos preparados'!K862</f>
        <v/>
      </c>
      <c r="M869" s="7">
        <f>'1 datos preparados'!L862</f>
        <v/>
      </c>
      <c r="N869" s="7">
        <f>'1 datos preparados'!M862</f>
        <v/>
      </c>
      <c r="O869" s="7">
        <f>'1 datos preparados'!N862</f>
        <v/>
      </c>
      <c r="P869" s="7">
        <f>'1 datos preparados'!O862</f>
        <v/>
      </c>
      <c r="Q869" s="7">
        <f>'1 datos preparados'!P862</f>
        <v/>
      </c>
      <c r="R869" s="7">
        <f>'1 datos preparados'!Q862</f>
        <v/>
      </c>
      <c r="S869" s="7">
        <f>'1 datos preparados'!R862</f>
        <v/>
      </c>
      <c r="T869" s="7">
        <f>'1 datos preparados'!S862</f>
        <v/>
      </c>
      <c r="U869" s="7">
        <f>'1 datos preparados'!T862</f>
        <v/>
      </c>
      <c r="V869" s="8">
        <f>$AC$12+D869*$AC$13+E869*$AC$14+F869*$AC$15+G869*$AC$16+H869*$AC$17+I869*$AC$18+J869*$AC$19+K869*$AC$20+L869*$AC$21+M869*$AC$22+N869*$AC$23+O869*$AC$24+P869*$AC$25+Q869*$AC$26+R869*$AC$27+S869*$AC$28+T869*$AC$29+U869*$AC$30</f>
        <v/>
      </c>
      <c r="W869" s="8">
        <f>1/(1+EXP(-V869))</f>
        <v/>
      </c>
      <c r="X869" s="9">
        <f>-IF(C869=1,LN(W869),LN(1-W869))</f>
        <v/>
      </c>
      <c r="Y869" s="10">
        <f>IF(W869&gt;$AC$33,1,0)</f>
        <v/>
      </c>
      <c r="Z869">
        <f>IF(Y869=C869,1,0)</f>
        <v/>
      </c>
    </row>
    <row r="870">
      <c r="A870">
        <f>'1 datos preparados'!A863</f>
        <v/>
      </c>
      <c r="B870" s="5">
        <f>'1 datos preparados'!U863</f>
        <v/>
      </c>
      <c r="C870">
        <f>'1 datos preparados'!B863</f>
        <v/>
      </c>
      <c r="D870" s="7">
        <f>'1 datos preparados'!C863</f>
        <v/>
      </c>
      <c r="E870" s="7">
        <f>'1 datos preparados'!D863</f>
        <v/>
      </c>
      <c r="F870" s="7">
        <f>'1 datos preparados'!E863</f>
        <v/>
      </c>
      <c r="G870" s="7">
        <f>'1 datos preparados'!F863</f>
        <v/>
      </c>
      <c r="H870" s="7">
        <f>'1 datos preparados'!G863</f>
        <v/>
      </c>
      <c r="I870" s="7">
        <f>'1 datos preparados'!H863</f>
        <v/>
      </c>
      <c r="J870" s="7">
        <f>'1 datos preparados'!I863</f>
        <v/>
      </c>
      <c r="K870" s="7">
        <f>'1 datos preparados'!J863</f>
        <v/>
      </c>
      <c r="L870" s="7">
        <f>'1 datos preparados'!K863</f>
        <v/>
      </c>
      <c r="M870" s="7">
        <f>'1 datos preparados'!L863</f>
        <v/>
      </c>
      <c r="N870" s="7">
        <f>'1 datos preparados'!M863</f>
        <v/>
      </c>
      <c r="O870" s="7">
        <f>'1 datos preparados'!N863</f>
        <v/>
      </c>
      <c r="P870" s="7">
        <f>'1 datos preparados'!O863</f>
        <v/>
      </c>
      <c r="Q870" s="7">
        <f>'1 datos preparados'!P863</f>
        <v/>
      </c>
      <c r="R870" s="7">
        <f>'1 datos preparados'!Q863</f>
        <v/>
      </c>
      <c r="S870" s="7">
        <f>'1 datos preparados'!R863</f>
        <v/>
      </c>
      <c r="T870" s="7">
        <f>'1 datos preparados'!S863</f>
        <v/>
      </c>
      <c r="U870" s="7">
        <f>'1 datos preparados'!T863</f>
        <v/>
      </c>
      <c r="V870" s="8">
        <f>$AC$12+D870*$AC$13+E870*$AC$14+F870*$AC$15+G870*$AC$16+H870*$AC$17+I870*$AC$18+J870*$AC$19+K870*$AC$20+L870*$AC$21+M870*$AC$22+N870*$AC$23+O870*$AC$24+P870*$AC$25+Q870*$AC$26+R870*$AC$27+S870*$AC$28+T870*$AC$29+U870*$AC$30</f>
        <v/>
      </c>
      <c r="W870" s="8">
        <f>1/(1+EXP(-V870))</f>
        <v/>
      </c>
      <c r="X870" s="9">
        <f>-IF(C870=1,LN(W870),LN(1-W870))</f>
        <v/>
      </c>
      <c r="Y870" s="10">
        <f>IF(W870&gt;$AC$33,1,0)</f>
        <v/>
      </c>
      <c r="Z870">
        <f>IF(Y870=C870,1,0)</f>
        <v/>
      </c>
    </row>
    <row r="871">
      <c r="A871">
        <f>'1 datos preparados'!A864</f>
        <v/>
      </c>
      <c r="B871" s="5">
        <f>'1 datos preparados'!U864</f>
        <v/>
      </c>
      <c r="C871">
        <f>'1 datos preparados'!B864</f>
        <v/>
      </c>
      <c r="D871" s="7">
        <f>'1 datos preparados'!C864</f>
        <v/>
      </c>
      <c r="E871" s="7">
        <f>'1 datos preparados'!D864</f>
        <v/>
      </c>
      <c r="F871" s="7">
        <f>'1 datos preparados'!E864</f>
        <v/>
      </c>
      <c r="G871" s="7">
        <f>'1 datos preparados'!F864</f>
        <v/>
      </c>
      <c r="H871" s="7">
        <f>'1 datos preparados'!G864</f>
        <v/>
      </c>
      <c r="I871" s="7">
        <f>'1 datos preparados'!H864</f>
        <v/>
      </c>
      <c r="J871" s="7">
        <f>'1 datos preparados'!I864</f>
        <v/>
      </c>
      <c r="K871" s="7">
        <f>'1 datos preparados'!J864</f>
        <v/>
      </c>
      <c r="L871" s="7">
        <f>'1 datos preparados'!K864</f>
        <v/>
      </c>
      <c r="M871" s="7">
        <f>'1 datos preparados'!L864</f>
        <v/>
      </c>
      <c r="N871" s="7">
        <f>'1 datos preparados'!M864</f>
        <v/>
      </c>
      <c r="O871" s="7">
        <f>'1 datos preparados'!N864</f>
        <v/>
      </c>
      <c r="P871" s="7">
        <f>'1 datos preparados'!O864</f>
        <v/>
      </c>
      <c r="Q871" s="7">
        <f>'1 datos preparados'!P864</f>
        <v/>
      </c>
      <c r="R871" s="7">
        <f>'1 datos preparados'!Q864</f>
        <v/>
      </c>
      <c r="S871" s="7">
        <f>'1 datos preparados'!R864</f>
        <v/>
      </c>
      <c r="T871" s="7">
        <f>'1 datos preparados'!S864</f>
        <v/>
      </c>
      <c r="U871" s="7">
        <f>'1 datos preparados'!T864</f>
        <v/>
      </c>
      <c r="V871" s="8">
        <f>$AC$12+D871*$AC$13+E871*$AC$14+F871*$AC$15+G871*$AC$16+H871*$AC$17+I871*$AC$18+J871*$AC$19+K871*$AC$20+L871*$AC$21+M871*$AC$22+N871*$AC$23+O871*$AC$24+P871*$AC$25+Q871*$AC$26+R871*$AC$27+S871*$AC$28+T871*$AC$29+U871*$AC$30</f>
        <v/>
      </c>
      <c r="W871" s="8">
        <f>1/(1+EXP(-V871))</f>
        <v/>
      </c>
      <c r="X871" s="9">
        <f>-IF(C871=1,LN(W871),LN(1-W871))</f>
        <v/>
      </c>
      <c r="Y871" s="10">
        <f>IF(W871&gt;$AC$33,1,0)</f>
        <v/>
      </c>
      <c r="Z871">
        <f>IF(Y871=C871,1,0)</f>
        <v/>
      </c>
    </row>
    <row r="872">
      <c r="A872">
        <f>'1 datos preparados'!A865</f>
        <v/>
      </c>
      <c r="B872" s="5">
        <f>'1 datos preparados'!U865</f>
        <v/>
      </c>
      <c r="C872">
        <f>'1 datos preparados'!B865</f>
        <v/>
      </c>
      <c r="D872" s="7">
        <f>'1 datos preparados'!C865</f>
        <v/>
      </c>
      <c r="E872" s="7">
        <f>'1 datos preparados'!D865</f>
        <v/>
      </c>
      <c r="F872" s="7">
        <f>'1 datos preparados'!E865</f>
        <v/>
      </c>
      <c r="G872" s="7">
        <f>'1 datos preparados'!F865</f>
        <v/>
      </c>
      <c r="H872" s="7">
        <f>'1 datos preparados'!G865</f>
        <v/>
      </c>
      <c r="I872" s="7">
        <f>'1 datos preparados'!H865</f>
        <v/>
      </c>
      <c r="J872" s="7">
        <f>'1 datos preparados'!I865</f>
        <v/>
      </c>
      <c r="K872" s="7">
        <f>'1 datos preparados'!J865</f>
        <v/>
      </c>
      <c r="L872" s="7">
        <f>'1 datos preparados'!K865</f>
        <v/>
      </c>
      <c r="M872" s="7">
        <f>'1 datos preparados'!L865</f>
        <v/>
      </c>
      <c r="N872" s="7">
        <f>'1 datos preparados'!M865</f>
        <v/>
      </c>
      <c r="O872" s="7">
        <f>'1 datos preparados'!N865</f>
        <v/>
      </c>
      <c r="P872" s="7">
        <f>'1 datos preparados'!O865</f>
        <v/>
      </c>
      <c r="Q872" s="7">
        <f>'1 datos preparados'!P865</f>
        <v/>
      </c>
      <c r="R872" s="7">
        <f>'1 datos preparados'!Q865</f>
        <v/>
      </c>
      <c r="S872" s="7">
        <f>'1 datos preparados'!R865</f>
        <v/>
      </c>
      <c r="T872" s="7">
        <f>'1 datos preparados'!S865</f>
        <v/>
      </c>
      <c r="U872" s="7">
        <f>'1 datos preparados'!T865</f>
        <v/>
      </c>
      <c r="V872" s="8">
        <f>$AC$12+D872*$AC$13+E872*$AC$14+F872*$AC$15+G872*$AC$16+H872*$AC$17+I872*$AC$18+J872*$AC$19+K872*$AC$20+L872*$AC$21+M872*$AC$22+N872*$AC$23+O872*$AC$24+P872*$AC$25+Q872*$AC$26+R872*$AC$27+S872*$AC$28+T872*$AC$29+U872*$AC$30</f>
        <v/>
      </c>
      <c r="W872" s="8">
        <f>1/(1+EXP(-V872))</f>
        <v/>
      </c>
      <c r="X872" s="9">
        <f>-IF(C872=1,LN(W872),LN(1-W872))</f>
        <v/>
      </c>
      <c r="Y872" s="10">
        <f>IF(W872&gt;$AC$33,1,0)</f>
        <v/>
      </c>
      <c r="Z872">
        <f>IF(Y872=C872,1,0)</f>
        <v/>
      </c>
    </row>
    <row r="873">
      <c r="A873">
        <f>'1 datos preparados'!A866</f>
        <v/>
      </c>
      <c r="B873" s="5">
        <f>'1 datos preparados'!U866</f>
        <v/>
      </c>
      <c r="C873">
        <f>'1 datos preparados'!B866</f>
        <v/>
      </c>
      <c r="D873" s="7">
        <f>'1 datos preparados'!C866</f>
        <v/>
      </c>
      <c r="E873" s="7">
        <f>'1 datos preparados'!D866</f>
        <v/>
      </c>
      <c r="F873" s="7">
        <f>'1 datos preparados'!E866</f>
        <v/>
      </c>
      <c r="G873" s="7">
        <f>'1 datos preparados'!F866</f>
        <v/>
      </c>
      <c r="H873" s="7">
        <f>'1 datos preparados'!G866</f>
        <v/>
      </c>
      <c r="I873" s="7">
        <f>'1 datos preparados'!H866</f>
        <v/>
      </c>
      <c r="J873" s="7">
        <f>'1 datos preparados'!I866</f>
        <v/>
      </c>
      <c r="K873" s="7">
        <f>'1 datos preparados'!J866</f>
        <v/>
      </c>
      <c r="L873" s="7">
        <f>'1 datos preparados'!K866</f>
        <v/>
      </c>
      <c r="M873" s="7">
        <f>'1 datos preparados'!L866</f>
        <v/>
      </c>
      <c r="N873" s="7">
        <f>'1 datos preparados'!M866</f>
        <v/>
      </c>
      <c r="O873" s="7">
        <f>'1 datos preparados'!N866</f>
        <v/>
      </c>
      <c r="P873" s="7">
        <f>'1 datos preparados'!O866</f>
        <v/>
      </c>
      <c r="Q873" s="7">
        <f>'1 datos preparados'!P866</f>
        <v/>
      </c>
      <c r="R873" s="7">
        <f>'1 datos preparados'!Q866</f>
        <v/>
      </c>
      <c r="S873" s="7">
        <f>'1 datos preparados'!R866</f>
        <v/>
      </c>
      <c r="T873" s="7">
        <f>'1 datos preparados'!S866</f>
        <v/>
      </c>
      <c r="U873" s="7">
        <f>'1 datos preparados'!T866</f>
        <v/>
      </c>
      <c r="V873" s="8">
        <f>$AC$12+D873*$AC$13+E873*$AC$14+F873*$AC$15+G873*$AC$16+H873*$AC$17+I873*$AC$18+J873*$AC$19+K873*$AC$20+L873*$AC$21+M873*$AC$22+N873*$AC$23+O873*$AC$24+P873*$AC$25+Q873*$AC$26+R873*$AC$27+S873*$AC$28+T873*$AC$29+U873*$AC$30</f>
        <v/>
      </c>
      <c r="W873" s="8">
        <f>1/(1+EXP(-V873))</f>
        <v/>
      </c>
      <c r="X873" s="9">
        <f>-IF(C873=1,LN(W873),LN(1-W873))</f>
        <v/>
      </c>
      <c r="Y873" s="10">
        <f>IF(W873&gt;$AC$33,1,0)</f>
        <v/>
      </c>
      <c r="Z873">
        <f>IF(Y873=C873,1,0)</f>
        <v/>
      </c>
    </row>
    <row r="874">
      <c r="A874">
        <f>'1 datos preparados'!A867</f>
        <v/>
      </c>
      <c r="B874" s="5">
        <f>'1 datos preparados'!U867</f>
        <v/>
      </c>
      <c r="C874">
        <f>'1 datos preparados'!B867</f>
        <v/>
      </c>
      <c r="D874" s="7">
        <f>'1 datos preparados'!C867</f>
        <v/>
      </c>
      <c r="E874" s="7">
        <f>'1 datos preparados'!D867</f>
        <v/>
      </c>
      <c r="F874" s="7">
        <f>'1 datos preparados'!E867</f>
        <v/>
      </c>
      <c r="G874" s="7">
        <f>'1 datos preparados'!F867</f>
        <v/>
      </c>
      <c r="H874" s="7">
        <f>'1 datos preparados'!G867</f>
        <v/>
      </c>
      <c r="I874" s="7">
        <f>'1 datos preparados'!H867</f>
        <v/>
      </c>
      <c r="J874" s="7">
        <f>'1 datos preparados'!I867</f>
        <v/>
      </c>
      <c r="K874" s="7">
        <f>'1 datos preparados'!J867</f>
        <v/>
      </c>
      <c r="L874" s="7">
        <f>'1 datos preparados'!K867</f>
        <v/>
      </c>
      <c r="M874" s="7">
        <f>'1 datos preparados'!L867</f>
        <v/>
      </c>
      <c r="N874" s="7">
        <f>'1 datos preparados'!M867</f>
        <v/>
      </c>
      <c r="O874" s="7">
        <f>'1 datos preparados'!N867</f>
        <v/>
      </c>
      <c r="P874" s="7">
        <f>'1 datos preparados'!O867</f>
        <v/>
      </c>
      <c r="Q874" s="7">
        <f>'1 datos preparados'!P867</f>
        <v/>
      </c>
      <c r="R874" s="7">
        <f>'1 datos preparados'!Q867</f>
        <v/>
      </c>
      <c r="S874" s="7">
        <f>'1 datos preparados'!R867</f>
        <v/>
      </c>
      <c r="T874" s="7">
        <f>'1 datos preparados'!S867</f>
        <v/>
      </c>
      <c r="U874" s="7">
        <f>'1 datos preparados'!T867</f>
        <v/>
      </c>
      <c r="V874" s="8">
        <f>$AC$12+D874*$AC$13+E874*$AC$14+F874*$AC$15+G874*$AC$16+H874*$AC$17+I874*$AC$18+J874*$AC$19+K874*$AC$20+L874*$AC$21+M874*$AC$22+N874*$AC$23+O874*$AC$24+P874*$AC$25+Q874*$AC$26+R874*$AC$27+S874*$AC$28+T874*$AC$29+U874*$AC$30</f>
        <v/>
      </c>
      <c r="W874" s="8">
        <f>1/(1+EXP(-V874))</f>
        <v/>
      </c>
      <c r="X874" s="9">
        <f>-IF(C874=1,LN(W874),LN(1-W874))</f>
        <v/>
      </c>
      <c r="Y874" s="10">
        <f>IF(W874&gt;$AC$33,1,0)</f>
        <v/>
      </c>
      <c r="Z874">
        <f>IF(Y874=C874,1,0)</f>
        <v/>
      </c>
    </row>
    <row r="875">
      <c r="A875">
        <f>'1 datos preparados'!A868</f>
        <v/>
      </c>
      <c r="B875" s="5">
        <f>'1 datos preparados'!U868</f>
        <v/>
      </c>
      <c r="C875">
        <f>'1 datos preparados'!B868</f>
        <v/>
      </c>
      <c r="D875" s="7">
        <f>'1 datos preparados'!C868</f>
        <v/>
      </c>
      <c r="E875" s="7">
        <f>'1 datos preparados'!D868</f>
        <v/>
      </c>
      <c r="F875" s="7">
        <f>'1 datos preparados'!E868</f>
        <v/>
      </c>
      <c r="G875" s="7">
        <f>'1 datos preparados'!F868</f>
        <v/>
      </c>
      <c r="H875" s="7">
        <f>'1 datos preparados'!G868</f>
        <v/>
      </c>
      <c r="I875" s="7">
        <f>'1 datos preparados'!H868</f>
        <v/>
      </c>
      <c r="J875" s="7">
        <f>'1 datos preparados'!I868</f>
        <v/>
      </c>
      <c r="K875" s="7">
        <f>'1 datos preparados'!J868</f>
        <v/>
      </c>
      <c r="L875" s="7">
        <f>'1 datos preparados'!K868</f>
        <v/>
      </c>
      <c r="M875" s="7">
        <f>'1 datos preparados'!L868</f>
        <v/>
      </c>
      <c r="N875" s="7">
        <f>'1 datos preparados'!M868</f>
        <v/>
      </c>
      <c r="O875" s="7">
        <f>'1 datos preparados'!N868</f>
        <v/>
      </c>
      <c r="P875" s="7">
        <f>'1 datos preparados'!O868</f>
        <v/>
      </c>
      <c r="Q875" s="7">
        <f>'1 datos preparados'!P868</f>
        <v/>
      </c>
      <c r="R875" s="7">
        <f>'1 datos preparados'!Q868</f>
        <v/>
      </c>
      <c r="S875" s="7">
        <f>'1 datos preparados'!R868</f>
        <v/>
      </c>
      <c r="T875" s="7">
        <f>'1 datos preparados'!S868</f>
        <v/>
      </c>
      <c r="U875" s="7">
        <f>'1 datos preparados'!T868</f>
        <v/>
      </c>
      <c r="V875" s="8">
        <f>$AC$12+D875*$AC$13+E875*$AC$14+F875*$AC$15+G875*$AC$16+H875*$AC$17+I875*$AC$18+J875*$AC$19+K875*$AC$20+L875*$AC$21+M875*$AC$22+N875*$AC$23+O875*$AC$24+P875*$AC$25+Q875*$AC$26+R875*$AC$27+S875*$AC$28+T875*$AC$29+U875*$AC$30</f>
        <v/>
      </c>
      <c r="W875" s="8">
        <f>1/(1+EXP(-V875))</f>
        <v/>
      </c>
      <c r="X875" s="9">
        <f>-IF(C875=1,LN(W875),LN(1-W875))</f>
        <v/>
      </c>
      <c r="Y875" s="10">
        <f>IF(W875&gt;$AC$33,1,0)</f>
        <v/>
      </c>
      <c r="Z875">
        <f>IF(Y875=C875,1,0)</f>
        <v/>
      </c>
    </row>
    <row r="876">
      <c r="A876">
        <f>'1 datos preparados'!A869</f>
        <v/>
      </c>
      <c r="B876" s="5">
        <f>'1 datos preparados'!U869</f>
        <v/>
      </c>
      <c r="C876">
        <f>'1 datos preparados'!B869</f>
        <v/>
      </c>
      <c r="D876" s="7">
        <f>'1 datos preparados'!C869</f>
        <v/>
      </c>
      <c r="E876" s="7">
        <f>'1 datos preparados'!D869</f>
        <v/>
      </c>
      <c r="F876" s="7">
        <f>'1 datos preparados'!E869</f>
        <v/>
      </c>
      <c r="G876" s="7">
        <f>'1 datos preparados'!F869</f>
        <v/>
      </c>
      <c r="H876" s="7">
        <f>'1 datos preparados'!G869</f>
        <v/>
      </c>
      <c r="I876" s="7">
        <f>'1 datos preparados'!H869</f>
        <v/>
      </c>
      <c r="J876" s="7">
        <f>'1 datos preparados'!I869</f>
        <v/>
      </c>
      <c r="K876" s="7">
        <f>'1 datos preparados'!J869</f>
        <v/>
      </c>
      <c r="L876" s="7">
        <f>'1 datos preparados'!K869</f>
        <v/>
      </c>
      <c r="M876" s="7">
        <f>'1 datos preparados'!L869</f>
        <v/>
      </c>
      <c r="N876" s="7">
        <f>'1 datos preparados'!M869</f>
        <v/>
      </c>
      <c r="O876" s="7">
        <f>'1 datos preparados'!N869</f>
        <v/>
      </c>
      <c r="P876" s="7">
        <f>'1 datos preparados'!O869</f>
        <v/>
      </c>
      <c r="Q876" s="7">
        <f>'1 datos preparados'!P869</f>
        <v/>
      </c>
      <c r="R876" s="7">
        <f>'1 datos preparados'!Q869</f>
        <v/>
      </c>
      <c r="S876" s="7">
        <f>'1 datos preparados'!R869</f>
        <v/>
      </c>
      <c r="T876" s="7">
        <f>'1 datos preparados'!S869</f>
        <v/>
      </c>
      <c r="U876" s="7">
        <f>'1 datos preparados'!T869</f>
        <v/>
      </c>
      <c r="V876" s="8">
        <f>$AC$12+D876*$AC$13+E876*$AC$14+F876*$AC$15+G876*$AC$16+H876*$AC$17+I876*$AC$18+J876*$AC$19+K876*$AC$20+L876*$AC$21+M876*$AC$22+N876*$AC$23+O876*$AC$24+P876*$AC$25+Q876*$AC$26+R876*$AC$27+S876*$AC$28+T876*$AC$29+U876*$AC$30</f>
        <v/>
      </c>
      <c r="W876" s="8">
        <f>1/(1+EXP(-V876))</f>
        <v/>
      </c>
      <c r="X876" s="9">
        <f>-IF(C876=1,LN(W876),LN(1-W876))</f>
        <v/>
      </c>
      <c r="Y876" s="10">
        <f>IF(W876&gt;$AC$33,1,0)</f>
        <v/>
      </c>
      <c r="Z876">
        <f>IF(Y876=C876,1,0)</f>
        <v/>
      </c>
    </row>
    <row r="877">
      <c r="A877">
        <f>'1 datos preparados'!A870</f>
        <v/>
      </c>
      <c r="B877" s="5">
        <f>'1 datos preparados'!U870</f>
        <v/>
      </c>
      <c r="C877">
        <f>'1 datos preparados'!B870</f>
        <v/>
      </c>
      <c r="D877" s="7">
        <f>'1 datos preparados'!C870</f>
        <v/>
      </c>
      <c r="E877" s="7">
        <f>'1 datos preparados'!D870</f>
        <v/>
      </c>
      <c r="F877" s="7">
        <f>'1 datos preparados'!E870</f>
        <v/>
      </c>
      <c r="G877" s="7">
        <f>'1 datos preparados'!F870</f>
        <v/>
      </c>
      <c r="H877" s="7">
        <f>'1 datos preparados'!G870</f>
        <v/>
      </c>
      <c r="I877" s="7">
        <f>'1 datos preparados'!H870</f>
        <v/>
      </c>
      <c r="J877" s="7">
        <f>'1 datos preparados'!I870</f>
        <v/>
      </c>
      <c r="K877" s="7">
        <f>'1 datos preparados'!J870</f>
        <v/>
      </c>
      <c r="L877" s="7">
        <f>'1 datos preparados'!K870</f>
        <v/>
      </c>
      <c r="M877" s="7">
        <f>'1 datos preparados'!L870</f>
        <v/>
      </c>
      <c r="N877" s="7">
        <f>'1 datos preparados'!M870</f>
        <v/>
      </c>
      <c r="O877" s="7">
        <f>'1 datos preparados'!N870</f>
        <v/>
      </c>
      <c r="P877" s="7">
        <f>'1 datos preparados'!O870</f>
        <v/>
      </c>
      <c r="Q877" s="7">
        <f>'1 datos preparados'!P870</f>
        <v/>
      </c>
      <c r="R877" s="7">
        <f>'1 datos preparados'!Q870</f>
        <v/>
      </c>
      <c r="S877" s="7">
        <f>'1 datos preparados'!R870</f>
        <v/>
      </c>
      <c r="T877" s="7">
        <f>'1 datos preparados'!S870</f>
        <v/>
      </c>
      <c r="U877" s="7">
        <f>'1 datos preparados'!T870</f>
        <v/>
      </c>
      <c r="V877" s="8">
        <f>$AC$12+D877*$AC$13+E877*$AC$14+F877*$AC$15+G877*$AC$16+H877*$AC$17+I877*$AC$18+J877*$AC$19+K877*$AC$20+L877*$AC$21+M877*$AC$22+N877*$AC$23+O877*$AC$24+P877*$AC$25+Q877*$AC$26+R877*$AC$27+S877*$AC$28+T877*$AC$29+U877*$AC$30</f>
        <v/>
      </c>
      <c r="W877" s="8">
        <f>1/(1+EXP(-V877))</f>
        <v/>
      </c>
      <c r="X877" s="9">
        <f>-IF(C877=1,LN(W877),LN(1-W877))</f>
        <v/>
      </c>
      <c r="Y877" s="10">
        <f>IF(W877&gt;$AC$33,1,0)</f>
        <v/>
      </c>
      <c r="Z877">
        <f>IF(Y877=C877,1,0)</f>
        <v/>
      </c>
    </row>
    <row r="878">
      <c r="A878">
        <f>'1 datos preparados'!A871</f>
        <v/>
      </c>
      <c r="B878" s="5">
        <f>'1 datos preparados'!U871</f>
        <v/>
      </c>
      <c r="C878">
        <f>'1 datos preparados'!B871</f>
        <v/>
      </c>
      <c r="D878" s="7">
        <f>'1 datos preparados'!C871</f>
        <v/>
      </c>
      <c r="E878" s="7">
        <f>'1 datos preparados'!D871</f>
        <v/>
      </c>
      <c r="F878" s="7">
        <f>'1 datos preparados'!E871</f>
        <v/>
      </c>
      <c r="G878" s="7">
        <f>'1 datos preparados'!F871</f>
        <v/>
      </c>
      <c r="H878" s="7">
        <f>'1 datos preparados'!G871</f>
        <v/>
      </c>
      <c r="I878" s="7">
        <f>'1 datos preparados'!H871</f>
        <v/>
      </c>
      <c r="J878" s="7">
        <f>'1 datos preparados'!I871</f>
        <v/>
      </c>
      <c r="K878" s="7">
        <f>'1 datos preparados'!J871</f>
        <v/>
      </c>
      <c r="L878" s="7">
        <f>'1 datos preparados'!K871</f>
        <v/>
      </c>
      <c r="M878" s="7">
        <f>'1 datos preparados'!L871</f>
        <v/>
      </c>
      <c r="N878" s="7">
        <f>'1 datos preparados'!M871</f>
        <v/>
      </c>
      <c r="O878" s="7">
        <f>'1 datos preparados'!N871</f>
        <v/>
      </c>
      <c r="P878" s="7">
        <f>'1 datos preparados'!O871</f>
        <v/>
      </c>
      <c r="Q878" s="7">
        <f>'1 datos preparados'!P871</f>
        <v/>
      </c>
      <c r="R878" s="7">
        <f>'1 datos preparados'!Q871</f>
        <v/>
      </c>
      <c r="S878" s="7">
        <f>'1 datos preparados'!R871</f>
        <v/>
      </c>
      <c r="T878" s="7">
        <f>'1 datos preparados'!S871</f>
        <v/>
      </c>
      <c r="U878" s="7">
        <f>'1 datos preparados'!T871</f>
        <v/>
      </c>
      <c r="V878" s="8">
        <f>$AC$12+D878*$AC$13+E878*$AC$14+F878*$AC$15+G878*$AC$16+H878*$AC$17+I878*$AC$18+J878*$AC$19+K878*$AC$20+L878*$AC$21+M878*$AC$22+N878*$AC$23+O878*$AC$24+P878*$AC$25+Q878*$AC$26+R878*$AC$27+S878*$AC$28+T878*$AC$29+U878*$AC$30</f>
        <v/>
      </c>
      <c r="W878" s="8">
        <f>1/(1+EXP(-V878))</f>
        <v/>
      </c>
      <c r="X878" s="9">
        <f>-IF(C878=1,LN(W878),LN(1-W878))</f>
        <v/>
      </c>
      <c r="Y878" s="10">
        <f>IF(W878&gt;$AC$33,1,0)</f>
        <v/>
      </c>
      <c r="Z878">
        <f>IF(Y878=C878,1,0)</f>
        <v/>
      </c>
    </row>
    <row r="879">
      <c r="A879">
        <f>'1 datos preparados'!A872</f>
        <v/>
      </c>
      <c r="B879" s="5">
        <f>'1 datos preparados'!U872</f>
        <v/>
      </c>
      <c r="C879">
        <f>'1 datos preparados'!B872</f>
        <v/>
      </c>
      <c r="D879" s="7">
        <f>'1 datos preparados'!C872</f>
        <v/>
      </c>
      <c r="E879" s="7">
        <f>'1 datos preparados'!D872</f>
        <v/>
      </c>
      <c r="F879" s="7">
        <f>'1 datos preparados'!E872</f>
        <v/>
      </c>
      <c r="G879" s="7">
        <f>'1 datos preparados'!F872</f>
        <v/>
      </c>
      <c r="H879" s="7">
        <f>'1 datos preparados'!G872</f>
        <v/>
      </c>
      <c r="I879" s="7">
        <f>'1 datos preparados'!H872</f>
        <v/>
      </c>
      <c r="J879" s="7">
        <f>'1 datos preparados'!I872</f>
        <v/>
      </c>
      <c r="K879" s="7">
        <f>'1 datos preparados'!J872</f>
        <v/>
      </c>
      <c r="L879" s="7">
        <f>'1 datos preparados'!K872</f>
        <v/>
      </c>
      <c r="M879" s="7">
        <f>'1 datos preparados'!L872</f>
        <v/>
      </c>
      <c r="N879" s="7">
        <f>'1 datos preparados'!M872</f>
        <v/>
      </c>
      <c r="O879" s="7">
        <f>'1 datos preparados'!N872</f>
        <v/>
      </c>
      <c r="P879" s="7">
        <f>'1 datos preparados'!O872</f>
        <v/>
      </c>
      <c r="Q879" s="7">
        <f>'1 datos preparados'!P872</f>
        <v/>
      </c>
      <c r="R879" s="7">
        <f>'1 datos preparados'!Q872</f>
        <v/>
      </c>
      <c r="S879" s="7">
        <f>'1 datos preparados'!R872</f>
        <v/>
      </c>
      <c r="T879" s="7">
        <f>'1 datos preparados'!S872</f>
        <v/>
      </c>
      <c r="U879" s="7">
        <f>'1 datos preparados'!T872</f>
        <v/>
      </c>
      <c r="V879" s="8">
        <f>$AC$12+D879*$AC$13+E879*$AC$14+F879*$AC$15+G879*$AC$16+H879*$AC$17+I879*$AC$18+J879*$AC$19+K879*$AC$20+L879*$AC$21+M879*$AC$22+N879*$AC$23+O879*$AC$24+P879*$AC$25+Q879*$AC$26+R879*$AC$27+S879*$AC$28+T879*$AC$29+U879*$AC$30</f>
        <v/>
      </c>
      <c r="W879" s="8">
        <f>1/(1+EXP(-V879))</f>
        <v/>
      </c>
      <c r="X879" s="9">
        <f>-IF(C879=1,LN(W879),LN(1-W879))</f>
        <v/>
      </c>
      <c r="Y879" s="10">
        <f>IF(W879&gt;$AC$33,1,0)</f>
        <v/>
      </c>
      <c r="Z879">
        <f>IF(Y879=C879,1,0)</f>
        <v/>
      </c>
    </row>
    <row r="880">
      <c r="A880">
        <f>'1 datos preparados'!A873</f>
        <v/>
      </c>
      <c r="B880" s="5">
        <f>'1 datos preparados'!U873</f>
        <v/>
      </c>
      <c r="C880">
        <f>'1 datos preparados'!B873</f>
        <v/>
      </c>
      <c r="D880" s="7">
        <f>'1 datos preparados'!C873</f>
        <v/>
      </c>
      <c r="E880" s="7">
        <f>'1 datos preparados'!D873</f>
        <v/>
      </c>
      <c r="F880" s="7">
        <f>'1 datos preparados'!E873</f>
        <v/>
      </c>
      <c r="G880" s="7">
        <f>'1 datos preparados'!F873</f>
        <v/>
      </c>
      <c r="H880" s="7">
        <f>'1 datos preparados'!G873</f>
        <v/>
      </c>
      <c r="I880" s="7">
        <f>'1 datos preparados'!H873</f>
        <v/>
      </c>
      <c r="J880" s="7">
        <f>'1 datos preparados'!I873</f>
        <v/>
      </c>
      <c r="K880" s="7">
        <f>'1 datos preparados'!J873</f>
        <v/>
      </c>
      <c r="L880" s="7">
        <f>'1 datos preparados'!K873</f>
        <v/>
      </c>
      <c r="M880" s="7">
        <f>'1 datos preparados'!L873</f>
        <v/>
      </c>
      <c r="N880" s="7">
        <f>'1 datos preparados'!M873</f>
        <v/>
      </c>
      <c r="O880" s="7">
        <f>'1 datos preparados'!N873</f>
        <v/>
      </c>
      <c r="P880" s="7">
        <f>'1 datos preparados'!O873</f>
        <v/>
      </c>
      <c r="Q880" s="7">
        <f>'1 datos preparados'!P873</f>
        <v/>
      </c>
      <c r="R880" s="7">
        <f>'1 datos preparados'!Q873</f>
        <v/>
      </c>
      <c r="S880" s="7">
        <f>'1 datos preparados'!R873</f>
        <v/>
      </c>
      <c r="T880" s="7">
        <f>'1 datos preparados'!S873</f>
        <v/>
      </c>
      <c r="U880" s="7">
        <f>'1 datos preparados'!T873</f>
        <v/>
      </c>
      <c r="V880" s="8">
        <f>$AC$12+D880*$AC$13+E880*$AC$14+F880*$AC$15+G880*$AC$16+H880*$AC$17+I880*$AC$18+J880*$AC$19+K880*$AC$20+L880*$AC$21+M880*$AC$22+N880*$AC$23+O880*$AC$24+P880*$AC$25+Q880*$AC$26+R880*$AC$27+S880*$AC$28+T880*$AC$29+U880*$AC$30</f>
        <v/>
      </c>
      <c r="W880" s="8">
        <f>1/(1+EXP(-V880))</f>
        <v/>
      </c>
      <c r="X880" s="9">
        <f>-IF(C880=1,LN(W880),LN(1-W880))</f>
        <v/>
      </c>
      <c r="Y880" s="10">
        <f>IF(W880&gt;$AC$33,1,0)</f>
        <v/>
      </c>
      <c r="Z880">
        <f>IF(Y880=C880,1,0)</f>
        <v/>
      </c>
    </row>
    <row r="881">
      <c r="A881">
        <f>'1 datos preparados'!A874</f>
        <v/>
      </c>
      <c r="B881" s="5">
        <f>'1 datos preparados'!U874</f>
        <v/>
      </c>
      <c r="C881">
        <f>'1 datos preparados'!B874</f>
        <v/>
      </c>
      <c r="D881" s="7">
        <f>'1 datos preparados'!C874</f>
        <v/>
      </c>
      <c r="E881" s="7">
        <f>'1 datos preparados'!D874</f>
        <v/>
      </c>
      <c r="F881" s="7">
        <f>'1 datos preparados'!E874</f>
        <v/>
      </c>
      <c r="G881" s="7">
        <f>'1 datos preparados'!F874</f>
        <v/>
      </c>
      <c r="H881" s="7">
        <f>'1 datos preparados'!G874</f>
        <v/>
      </c>
      <c r="I881" s="7">
        <f>'1 datos preparados'!H874</f>
        <v/>
      </c>
      <c r="J881" s="7">
        <f>'1 datos preparados'!I874</f>
        <v/>
      </c>
      <c r="K881" s="7">
        <f>'1 datos preparados'!J874</f>
        <v/>
      </c>
      <c r="L881" s="7">
        <f>'1 datos preparados'!K874</f>
        <v/>
      </c>
      <c r="M881" s="7">
        <f>'1 datos preparados'!L874</f>
        <v/>
      </c>
      <c r="N881" s="7">
        <f>'1 datos preparados'!M874</f>
        <v/>
      </c>
      <c r="O881" s="7">
        <f>'1 datos preparados'!N874</f>
        <v/>
      </c>
      <c r="P881" s="7">
        <f>'1 datos preparados'!O874</f>
        <v/>
      </c>
      <c r="Q881" s="7">
        <f>'1 datos preparados'!P874</f>
        <v/>
      </c>
      <c r="R881" s="7">
        <f>'1 datos preparados'!Q874</f>
        <v/>
      </c>
      <c r="S881" s="7">
        <f>'1 datos preparados'!R874</f>
        <v/>
      </c>
      <c r="T881" s="7">
        <f>'1 datos preparados'!S874</f>
        <v/>
      </c>
      <c r="U881" s="7">
        <f>'1 datos preparados'!T874</f>
        <v/>
      </c>
      <c r="V881" s="8">
        <f>$AC$12+D881*$AC$13+E881*$AC$14+F881*$AC$15+G881*$AC$16+H881*$AC$17+I881*$AC$18+J881*$AC$19+K881*$AC$20+L881*$AC$21+M881*$AC$22+N881*$AC$23+O881*$AC$24+P881*$AC$25+Q881*$AC$26+R881*$AC$27+S881*$AC$28+T881*$AC$29+U881*$AC$30</f>
        <v/>
      </c>
      <c r="W881" s="8">
        <f>1/(1+EXP(-V881))</f>
        <v/>
      </c>
      <c r="X881" s="9">
        <f>-IF(C881=1,LN(W881),LN(1-W881))</f>
        <v/>
      </c>
      <c r="Y881" s="10">
        <f>IF(W881&gt;$AC$33,1,0)</f>
        <v/>
      </c>
      <c r="Z881">
        <f>IF(Y881=C881,1,0)</f>
        <v/>
      </c>
    </row>
    <row r="882">
      <c r="A882">
        <f>'1 datos preparados'!A875</f>
        <v/>
      </c>
      <c r="B882" s="5">
        <f>'1 datos preparados'!U875</f>
        <v/>
      </c>
      <c r="C882">
        <f>'1 datos preparados'!B875</f>
        <v/>
      </c>
      <c r="D882" s="7">
        <f>'1 datos preparados'!C875</f>
        <v/>
      </c>
      <c r="E882" s="7">
        <f>'1 datos preparados'!D875</f>
        <v/>
      </c>
      <c r="F882" s="7">
        <f>'1 datos preparados'!E875</f>
        <v/>
      </c>
      <c r="G882" s="7">
        <f>'1 datos preparados'!F875</f>
        <v/>
      </c>
      <c r="H882" s="7">
        <f>'1 datos preparados'!G875</f>
        <v/>
      </c>
      <c r="I882" s="7">
        <f>'1 datos preparados'!H875</f>
        <v/>
      </c>
      <c r="J882" s="7">
        <f>'1 datos preparados'!I875</f>
        <v/>
      </c>
      <c r="K882" s="7">
        <f>'1 datos preparados'!J875</f>
        <v/>
      </c>
      <c r="L882" s="7">
        <f>'1 datos preparados'!K875</f>
        <v/>
      </c>
      <c r="M882" s="7">
        <f>'1 datos preparados'!L875</f>
        <v/>
      </c>
      <c r="N882" s="7">
        <f>'1 datos preparados'!M875</f>
        <v/>
      </c>
      <c r="O882" s="7">
        <f>'1 datos preparados'!N875</f>
        <v/>
      </c>
      <c r="P882" s="7">
        <f>'1 datos preparados'!O875</f>
        <v/>
      </c>
      <c r="Q882" s="7">
        <f>'1 datos preparados'!P875</f>
        <v/>
      </c>
      <c r="R882" s="7">
        <f>'1 datos preparados'!Q875</f>
        <v/>
      </c>
      <c r="S882" s="7">
        <f>'1 datos preparados'!R875</f>
        <v/>
      </c>
      <c r="T882" s="7">
        <f>'1 datos preparados'!S875</f>
        <v/>
      </c>
      <c r="U882" s="7">
        <f>'1 datos preparados'!T875</f>
        <v/>
      </c>
      <c r="V882" s="8">
        <f>$AC$12+D882*$AC$13+E882*$AC$14+F882*$AC$15+G882*$AC$16+H882*$AC$17+I882*$AC$18+J882*$AC$19+K882*$AC$20+L882*$AC$21+M882*$AC$22+N882*$AC$23+O882*$AC$24+P882*$AC$25+Q882*$AC$26+R882*$AC$27+S882*$AC$28+T882*$AC$29+U882*$AC$30</f>
        <v/>
      </c>
      <c r="W882" s="8">
        <f>1/(1+EXP(-V882))</f>
        <v/>
      </c>
      <c r="X882" s="9">
        <f>-IF(C882=1,LN(W882),LN(1-W882))</f>
        <v/>
      </c>
      <c r="Y882" s="10">
        <f>IF(W882&gt;$AC$33,1,0)</f>
        <v/>
      </c>
      <c r="Z882">
        <f>IF(Y882=C882,1,0)</f>
        <v/>
      </c>
    </row>
    <row r="883">
      <c r="A883">
        <f>'1 datos preparados'!A876</f>
        <v/>
      </c>
      <c r="B883" s="5">
        <f>'1 datos preparados'!U876</f>
        <v/>
      </c>
      <c r="C883">
        <f>'1 datos preparados'!B876</f>
        <v/>
      </c>
      <c r="D883" s="7">
        <f>'1 datos preparados'!C876</f>
        <v/>
      </c>
      <c r="E883" s="7">
        <f>'1 datos preparados'!D876</f>
        <v/>
      </c>
      <c r="F883" s="7">
        <f>'1 datos preparados'!E876</f>
        <v/>
      </c>
      <c r="G883" s="7">
        <f>'1 datos preparados'!F876</f>
        <v/>
      </c>
      <c r="H883" s="7">
        <f>'1 datos preparados'!G876</f>
        <v/>
      </c>
      <c r="I883" s="7">
        <f>'1 datos preparados'!H876</f>
        <v/>
      </c>
      <c r="J883" s="7">
        <f>'1 datos preparados'!I876</f>
        <v/>
      </c>
      <c r="K883" s="7">
        <f>'1 datos preparados'!J876</f>
        <v/>
      </c>
      <c r="L883" s="7">
        <f>'1 datos preparados'!K876</f>
        <v/>
      </c>
      <c r="M883" s="7">
        <f>'1 datos preparados'!L876</f>
        <v/>
      </c>
      <c r="N883" s="7">
        <f>'1 datos preparados'!M876</f>
        <v/>
      </c>
      <c r="O883" s="7">
        <f>'1 datos preparados'!N876</f>
        <v/>
      </c>
      <c r="P883" s="7">
        <f>'1 datos preparados'!O876</f>
        <v/>
      </c>
      <c r="Q883" s="7">
        <f>'1 datos preparados'!P876</f>
        <v/>
      </c>
      <c r="R883" s="7">
        <f>'1 datos preparados'!Q876</f>
        <v/>
      </c>
      <c r="S883" s="7">
        <f>'1 datos preparados'!R876</f>
        <v/>
      </c>
      <c r="T883" s="7">
        <f>'1 datos preparados'!S876</f>
        <v/>
      </c>
      <c r="U883" s="7">
        <f>'1 datos preparados'!T876</f>
        <v/>
      </c>
      <c r="V883" s="8">
        <f>$AC$12+D883*$AC$13+E883*$AC$14+F883*$AC$15+G883*$AC$16+H883*$AC$17+I883*$AC$18+J883*$AC$19+K883*$AC$20+L883*$AC$21+M883*$AC$22+N883*$AC$23+O883*$AC$24+P883*$AC$25+Q883*$AC$26+R883*$AC$27+S883*$AC$28+T883*$AC$29+U883*$AC$30</f>
        <v/>
      </c>
      <c r="W883" s="8">
        <f>1/(1+EXP(-V883))</f>
        <v/>
      </c>
      <c r="X883" s="9">
        <f>-IF(C883=1,LN(W883),LN(1-W883))</f>
        <v/>
      </c>
      <c r="Y883" s="10">
        <f>IF(W883&gt;$AC$33,1,0)</f>
        <v/>
      </c>
      <c r="Z883">
        <f>IF(Y883=C883,1,0)</f>
        <v/>
      </c>
    </row>
    <row r="884">
      <c r="A884">
        <f>'1 datos preparados'!A877</f>
        <v/>
      </c>
      <c r="B884" s="5">
        <f>'1 datos preparados'!U877</f>
        <v/>
      </c>
      <c r="C884">
        <f>'1 datos preparados'!B877</f>
        <v/>
      </c>
      <c r="D884" s="7">
        <f>'1 datos preparados'!C877</f>
        <v/>
      </c>
      <c r="E884" s="7">
        <f>'1 datos preparados'!D877</f>
        <v/>
      </c>
      <c r="F884" s="7">
        <f>'1 datos preparados'!E877</f>
        <v/>
      </c>
      <c r="G884" s="7">
        <f>'1 datos preparados'!F877</f>
        <v/>
      </c>
      <c r="H884" s="7">
        <f>'1 datos preparados'!G877</f>
        <v/>
      </c>
      <c r="I884" s="7">
        <f>'1 datos preparados'!H877</f>
        <v/>
      </c>
      <c r="J884" s="7">
        <f>'1 datos preparados'!I877</f>
        <v/>
      </c>
      <c r="K884" s="7">
        <f>'1 datos preparados'!J877</f>
        <v/>
      </c>
      <c r="L884" s="7">
        <f>'1 datos preparados'!K877</f>
        <v/>
      </c>
      <c r="M884" s="7">
        <f>'1 datos preparados'!L877</f>
        <v/>
      </c>
      <c r="N884" s="7">
        <f>'1 datos preparados'!M877</f>
        <v/>
      </c>
      <c r="O884" s="7">
        <f>'1 datos preparados'!N877</f>
        <v/>
      </c>
      <c r="P884" s="7">
        <f>'1 datos preparados'!O877</f>
        <v/>
      </c>
      <c r="Q884" s="7">
        <f>'1 datos preparados'!P877</f>
        <v/>
      </c>
      <c r="R884" s="7">
        <f>'1 datos preparados'!Q877</f>
        <v/>
      </c>
      <c r="S884" s="7">
        <f>'1 datos preparados'!R877</f>
        <v/>
      </c>
      <c r="T884" s="7">
        <f>'1 datos preparados'!S877</f>
        <v/>
      </c>
      <c r="U884" s="7">
        <f>'1 datos preparados'!T877</f>
        <v/>
      </c>
      <c r="V884" s="8">
        <f>$AC$12+D884*$AC$13+E884*$AC$14+F884*$AC$15+G884*$AC$16+H884*$AC$17+I884*$AC$18+J884*$AC$19+K884*$AC$20+L884*$AC$21+M884*$AC$22+N884*$AC$23+O884*$AC$24+P884*$AC$25+Q884*$AC$26+R884*$AC$27+S884*$AC$28+T884*$AC$29+U884*$AC$30</f>
        <v/>
      </c>
      <c r="W884" s="8">
        <f>1/(1+EXP(-V884))</f>
        <v/>
      </c>
      <c r="X884" s="9">
        <f>-IF(C884=1,LN(W884),LN(1-W884))</f>
        <v/>
      </c>
      <c r="Y884" s="10">
        <f>IF(W884&gt;$AC$33,1,0)</f>
        <v/>
      </c>
      <c r="Z884">
        <f>IF(Y884=C884,1,0)</f>
        <v/>
      </c>
    </row>
    <row r="885">
      <c r="A885">
        <f>'1 datos preparados'!A878</f>
        <v/>
      </c>
      <c r="B885" s="5">
        <f>'1 datos preparados'!U878</f>
        <v/>
      </c>
      <c r="C885">
        <f>'1 datos preparados'!B878</f>
        <v/>
      </c>
      <c r="D885" s="7">
        <f>'1 datos preparados'!C878</f>
        <v/>
      </c>
      <c r="E885" s="7">
        <f>'1 datos preparados'!D878</f>
        <v/>
      </c>
      <c r="F885" s="7">
        <f>'1 datos preparados'!E878</f>
        <v/>
      </c>
      <c r="G885" s="7">
        <f>'1 datos preparados'!F878</f>
        <v/>
      </c>
      <c r="H885" s="7">
        <f>'1 datos preparados'!G878</f>
        <v/>
      </c>
      <c r="I885" s="7">
        <f>'1 datos preparados'!H878</f>
        <v/>
      </c>
      <c r="J885" s="7">
        <f>'1 datos preparados'!I878</f>
        <v/>
      </c>
      <c r="K885" s="7">
        <f>'1 datos preparados'!J878</f>
        <v/>
      </c>
      <c r="L885" s="7">
        <f>'1 datos preparados'!K878</f>
        <v/>
      </c>
      <c r="M885" s="7">
        <f>'1 datos preparados'!L878</f>
        <v/>
      </c>
      <c r="N885" s="7">
        <f>'1 datos preparados'!M878</f>
        <v/>
      </c>
      <c r="O885" s="7">
        <f>'1 datos preparados'!N878</f>
        <v/>
      </c>
      <c r="P885" s="7">
        <f>'1 datos preparados'!O878</f>
        <v/>
      </c>
      <c r="Q885" s="7">
        <f>'1 datos preparados'!P878</f>
        <v/>
      </c>
      <c r="R885" s="7">
        <f>'1 datos preparados'!Q878</f>
        <v/>
      </c>
      <c r="S885" s="7">
        <f>'1 datos preparados'!R878</f>
        <v/>
      </c>
      <c r="T885" s="7">
        <f>'1 datos preparados'!S878</f>
        <v/>
      </c>
      <c r="U885" s="7">
        <f>'1 datos preparados'!T878</f>
        <v/>
      </c>
      <c r="V885" s="8">
        <f>$AC$12+D885*$AC$13+E885*$AC$14+F885*$AC$15+G885*$AC$16+H885*$AC$17+I885*$AC$18+J885*$AC$19+K885*$AC$20+L885*$AC$21+M885*$AC$22+N885*$AC$23+O885*$AC$24+P885*$AC$25+Q885*$AC$26+R885*$AC$27+S885*$AC$28+T885*$AC$29+U885*$AC$30</f>
        <v/>
      </c>
      <c r="W885" s="8">
        <f>1/(1+EXP(-V885))</f>
        <v/>
      </c>
      <c r="X885" s="9">
        <f>-IF(C885=1,LN(W885),LN(1-W885))</f>
        <v/>
      </c>
      <c r="Y885" s="10">
        <f>IF(W885&gt;$AC$33,1,0)</f>
        <v/>
      </c>
      <c r="Z885">
        <f>IF(Y885=C885,1,0)</f>
        <v/>
      </c>
    </row>
    <row r="886">
      <c r="A886">
        <f>'1 datos preparados'!A879</f>
        <v/>
      </c>
      <c r="B886" s="5">
        <f>'1 datos preparados'!U879</f>
        <v/>
      </c>
      <c r="C886">
        <f>'1 datos preparados'!B879</f>
        <v/>
      </c>
      <c r="D886" s="7">
        <f>'1 datos preparados'!C879</f>
        <v/>
      </c>
      <c r="E886" s="7">
        <f>'1 datos preparados'!D879</f>
        <v/>
      </c>
      <c r="F886" s="7">
        <f>'1 datos preparados'!E879</f>
        <v/>
      </c>
      <c r="G886" s="7">
        <f>'1 datos preparados'!F879</f>
        <v/>
      </c>
      <c r="H886" s="7">
        <f>'1 datos preparados'!G879</f>
        <v/>
      </c>
      <c r="I886" s="7">
        <f>'1 datos preparados'!H879</f>
        <v/>
      </c>
      <c r="J886" s="7">
        <f>'1 datos preparados'!I879</f>
        <v/>
      </c>
      <c r="K886" s="7">
        <f>'1 datos preparados'!J879</f>
        <v/>
      </c>
      <c r="L886" s="7">
        <f>'1 datos preparados'!K879</f>
        <v/>
      </c>
      <c r="M886" s="7">
        <f>'1 datos preparados'!L879</f>
        <v/>
      </c>
      <c r="N886" s="7">
        <f>'1 datos preparados'!M879</f>
        <v/>
      </c>
      <c r="O886" s="7">
        <f>'1 datos preparados'!N879</f>
        <v/>
      </c>
      <c r="P886" s="7">
        <f>'1 datos preparados'!O879</f>
        <v/>
      </c>
      <c r="Q886" s="7">
        <f>'1 datos preparados'!P879</f>
        <v/>
      </c>
      <c r="R886" s="7">
        <f>'1 datos preparados'!Q879</f>
        <v/>
      </c>
      <c r="S886" s="7">
        <f>'1 datos preparados'!R879</f>
        <v/>
      </c>
      <c r="T886" s="7">
        <f>'1 datos preparados'!S879</f>
        <v/>
      </c>
      <c r="U886" s="7">
        <f>'1 datos preparados'!T879</f>
        <v/>
      </c>
      <c r="V886" s="8">
        <f>$AC$12+D886*$AC$13+E886*$AC$14+F886*$AC$15+G886*$AC$16+H886*$AC$17+I886*$AC$18+J886*$AC$19+K886*$AC$20+L886*$AC$21+M886*$AC$22+N886*$AC$23+O886*$AC$24+P886*$AC$25+Q886*$AC$26+R886*$AC$27+S886*$AC$28+T886*$AC$29+U886*$AC$30</f>
        <v/>
      </c>
      <c r="W886" s="8">
        <f>1/(1+EXP(-V886))</f>
        <v/>
      </c>
      <c r="X886" s="9">
        <f>-IF(C886=1,LN(W886),LN(1-W886))</f>
        <v/>
      </c>
      <c r="Y886" s="10">
        <f>IF(W886&gt;$AC$33,1,0)</f>
        <v/>
      </c>
      <c r="Z886">
        <f>IF(Y886=C886,1,0)</f>
        <v/>
      </c>
    </row>
    <row r="887">
      <c r="A887">
        <f>'1 datos preparados'!A880</f>
        <v/>
      </c>
      <c r="B887" s="5">
        <f>'1 datos preparados'!U880</f>
        <v/>
      </c>
      <c r="C887">
        <f>'1 datos preparados'!B880</f>
        <v/>
      </c>
      <c r="D887" s="7">
        <f>'1 datos preparados'!C880</f>
        <v/>
      </c>
      <c r="E887" s="7">
        <f>'1 datos preparados'!D880</f>
        <v/>
      </c>
      <c r="F887" s="7">
        <f>'1 datos preparados'!E880</f>
        <v/>
      </c>
      <c r="G887" s="7">
        <f>'1 datos preparados'!F880</f>
        <v/>
      </c>
      <c r="H887" s="7">
        <f>'1 datos preparados'!G880</f>
        <v/>
      </c>
      <c r="I887" s="7">
        <f>'1 datos preparados'!H880</f>
        <v/>
      </c>
      <c r="J887" s="7">
        <f>'1 datos preparados'!I880</f>
        <v/>
      </c>
      <c r="K887" s="7">
        <f>'1 datos preparados'!J880</f>
        <v/>
      </c>
      <c r="L887" s="7">
        <f>'1 datos preparados'!K880</f>
        <v/>
      </c>
      <c r="M887" s="7">
        <f>'1 datos preparados'!L880</f>
        <v/>
      </c>
      <c r="N887" s="7">
        <f>'1 datos preparados'!M880</f>
        <v/>
      </c>
      <c r="O887" s="7">
        <f>'1 datos preparados'!N880</f>
        <v/>
      </c>
      <c r="P887" s="7">
        <f>'1 datos preparados'!O880</f>
        <v/>
      </c>
      <c r="Q887" s="7">
        <f>'1 datos preparados'!P880</f>
        <v/>
      </c>
      <c r="R887" s="7">
        <f>'1 datos preparados'!Q880</f>
        <v/>
      </c>
      <c r="S887" s="7">
        <f>'1 datos preparados'!R880</f>
        <v/>
      </c>
      <c r="T887" s="7">
        <f>'1 datos preparados'!S880</f>
        <v/>
      </c>
      <c r="U887" s="7">
        <f>'1 datos preparados'!T880</f>
        <v/>
      </c>
      <c r="V887" s="8">
        <f>$AC$12+D887*$AC$13+E887*$AC$14+F887*$AC$15+G887*$AC$16+H887*$AC$17+I887*$AC$18+J887*$AC$19+K887*$AC$20+L887*$AC$21+M887*$AC$22+N887*$AC$23+O887*$AC$24+P887*$AC$25+Q887*$AC$26+R887*$AC$27+S887*$AC$28+T887*$AC$29+U887*$AC$30</f>
        <v/>
      </c>
      <c r="W887" s="8">
        <f>1/(1+EXP(-V887))</f>
        <v/>
      </c>
      <c r="X887" s="9">
        <f>-IF(C887=1,LN(W887),LN(1-W887))</f>
        <v/>
      </c>
      <c r="Y887" s="10">
        <f>IF(W887&gt;$AC$33,1,0)</f>
        <v/>
      </c>
      <c r="Z887">
        <f>IF(Y887=C887,1,0)</f>
        <v/>
      </c>
    </row>
    <row r="888">
      <c r="A888">
        <f>'1 datos preparados'!A881</f>
        <v/>
      </c>
      <c r="B888" s="5">
        <f>'1 datos preparados'!U881</f>
        <v/>
      </c>
      <c r="C888">
        <f>'1 datos preparados'!B881</f>
        <v/>
      </c>
      <c r="D888" s="7">
        <f>'1 datos preparados'!C881</f>
        <v/>
      </c>
      <c r="E888" s="7">
        <f>'1 datos preparados'!D881</f>
        <v/>
      </c>
      <c r="F888" s="7">
        <f>'1 datos preparados'!E881</f>
        <v/>
      </c>
      <c r="G888" s="7">
        <f>'1 datos preparados'!F881</f>
        <v/>
      </c>
      <c r="H888" s="7">
        <f>'1 datos preparados'!G881</f>
        <v/>
      </c>
      <c r="I888" s="7">
        <f>'1 datos preparados'!H881</f>
        <v/>
      </c>
      <c r="J888" s="7">
        <f>'1 datos preparados'!I881</f>
        <v/>
      </c>
      <c r="K888" s="7">
        <f>'1 datos preparados'!J881</f>
        <v/>
      </c>
      <c r="L888" s="7">
        <f>'1 datos preparados'!K881</f>
        <v/>
      </c>
      <c r="M888" s="7">
        <f>'1 datos preparados'!L881</f>
        <v/>
      </c>
      <c r="N888" s="7">
        <f>'1 datos preparados'!M881</f>
        <v/>
      </c>
      <c r="O888" s="7">
        <f>'1 datos preparados'!N881</f>
        <v/>
      </c>
      <c r="P888" s="7">
        <f>'1 datos preparados'!O881</f>
        <v/>
      </c>
      <c r="Q888" s="7">
        <f>'1 datos preparados'!P881</f>
        <v/>
      </c>
      <c r="R888" s="7">
        <f>'1 datos preparados'!Q881</f>
        <v/>
      </c>
      <c r="S888" s="7">
        <f>'1 datos preparados'!R881</f>
        <v/>
      </c>
      <c r="T888" s="7">
        <f>'1 datos preparados'!S881</f>
        <v/>
      </c>
      <c r="U888" s="7">
        <f>'1 datos preparados'!T881</f>
        <v/>
      </c>
      <c r="V888" s="8">
        <f>$AC$12+D888*$AC$13+E888*$AC$14+F888*$AC$15+G888*$AC$16+H888*$AC$17+I888*$AC$18+J888*$AC$19+K888*$AC$20+L888*$AC$21+M888*$AC$22+N888*$AC$23+O888*$AC$24+P888*$AC$25+Q888*$AC$26+R888*$AC$27+S888*$AC$28+T888*$AC$29+U888*$AC$30</f>
        <v/>
      </c>
      <c r="W888" s="8">
        <f>1/(1+EXP(-V888))</f>
        <v/>
      </c>
      <c r="X888" s="9">
        <f>-IF(C888=1,LN(W888),LN(1-W888))</f>
        <v/>
      </c>
      <c r="Y888" s="10">
        <f>IF(W888&gt;$AC$33,1,0)</f>
        <v/>
      </c>
      <c r="Z888">
        <f>IF(Y888=C888,1,0)</f>
        <v/>
      </c>
    </row>
    <row r="889">
      <c r="A889">
        <f>'1 datos preparados'!A882</f>
        <v/>
      </c>
      <c r="B889" s="5">
        <f>'1 datos preparados'!U882</f>
        <v/>
      </c>
      <c r="C889">
        <f>'1 datos preparados'!B882</f>
        <v/>
      </c>
      <c r="D889" s="7">
        <f>'1 datos preparados'!C882</f>
        <v/>
      </c>
      <c r="E889" s="7">
        <f>'1 datos preparados'!D882</f>
        <v/>
      </c>
      <c r="F889" s="7">
        <f>'1 datos preparados'!E882</f>
        <v/>
      </c>
      <c r="G889" s="7">
        <f>'1 datos preparados'!F882</f>
        <v/>
      </c>
      <c r="H889" s="7">
        <f>'1 datos preparados'!G882</f>
        <v/>
      </c>
      <c r="I889" s="7">
        <f>'1 datos preparados'!H882</f>
        <v/>
      </c>
      <c r="J889" s="7">
        <f>'1 datos preparados'!I882</f>
        <v/>
      </c>
      <c r="K889" s="7">
        <f>'1 datos preparados'!J882</f>
        <v/>
      </c>
      <c r="L889" s="7">
        <f>'1 datos preparados'!K882</f>
        <v/>
      </c>
      <c r="M889" s="7">
        <f>'1 datos preparados'!L882</f>
        <v/>
      </c>
      <c r="N889" s="7">
        <f>'1 datos preparados'!M882</f>
        <v/>
      </c>
      <c r="O889" s="7">
        <f>'1 datos preparados'!N882</f>
        <v/>
      </c>
      <c r="P889" s="7">
        <f>'1 datos preparados'!O882</f>
        <v/>
      </c>
      <c r="Q889" s="7">
        <f>'1 datos preparados'!P882</f>
        <v/>
      </c>
      <c r="R889" s="7">
        <f>'1 datos preparados'!Q882</f>
        <v/>
      </c>
      <c r="S889" s="7">
        <f>'1 datos preparados'!R882</f>
        <v/>
      </c>
      <c r="T889" s="7">
        <f>'1 datos preparados'!S882</f>
        <v/>
      </c>
      <c r="U889" s="7">
        <f>'1 datos preparados'!T882</f>
        <v/>
      </c>
      <c r="V889" s="8">
        <f>$AC$12+D889*$AC$13+E889*$AC$14+F889*$AC$15+G889*$AC$16+H889*$AC$17+I889*$AC$18+J889*$AC$19+K889*$AC$20+L889*$AC$21+M889*$AC$22+N889*$AC$23+O889*$AC$24+P889*$AC$25+Q889*$AC$26+R889*$AC$27+S889*$AC$28+T889*$AC$29+U889*$AC$30</f>
        <v/>
      </c>
      <c r="W889" s="8">
        <f>1/(1+EXP(-V889))</f>
        <v/>
      </c>
      <c r="X889" s="9">
        <f>-IF(C889=1,LN(W889),LN(1-W889))</f>
        <v/>
      </c>
      <c r="Y889" s="10">
        <f>IF(W889&gt;$AC$33,1,0)</f>
        <v/>
      </c>
      <c r="Z889">
        <f>IF(Y889=C889,1,0)</f>
        <v/>
      </c>
    </row>
    <row r="890">
      <c r="A890">
        <f>'1 datos preparados'!A883</f>
        <v/>
      </c>
      <c r="B890" s="5">
        <f>'1 datos preparados'!U883</f>
        <v/>
      </c>
      <c r="C890">
        <f>'1 datos preparados'!B883</f>
        <v/>
      </c>
      <c r="D890" s="7">
        <f>'1 datos preparados'!C883</f>
        <v/>
      </c>
      <c r="E890" s="7">
        <f>'1 datos preparados'!D883</f>
        <v/>
      </c>
      <c r="F890" s="7">
        <f>'1 datos preparados'!E883</f>
        <v/>
      </c>
      <c r="G890" s="7">
        <f>'1 datos preparados'!F883</f>
        <v/>
      </c>
      <c r="H890" s="7">
        <f>'1 datos preparados'!G883</f>
        <v/>
      </c>
      <c r="I890" s="7">
        <f>'1 datos preparados'!H883</f>
        <v/>
      </c>
      <c r="J890" s="7">
        <f>'1 datos preparados'!I883</f>
        <v/>
      </c>
      <c r="K890" s="7">
        <f>'1 datos preparados'!J883</f>
        <v/>
      </c>
      <c r="L890" s="7">
        <f>'1 datos preparados'!K883</f>
        <v/>
      </c>
      <c r="M890" s="7">
        <f>'1 datos preparados'!L883</f>
        <v/>
      </c>
      <c r="N890" s="7">
        <f>'1 datos preparados'!M883</f>
        <v/>
      </c>
      <c r="O890" s="7">
        <f>'1 datos preparados'!N883</f>
        <v/>
      </c>
      <c r="P890" s="7">
        <f>'1 datos preparados'!O883</f>
        <v/>
      </c>
      <c r="Q890" s="7">
        <f>'1 datos preparados'!P883</f>
        <v/>
      </c>
      <c r="R890" s="7">
        <f>'1 datos preparados'!Q883</f>
        <v/>
      </c>
      <c r="S890" s="7">
        <f>'1 datos preparados'!R883</f>
        <v/>
      </c>
      <c r="T890" s="7">
        <f>'1 datos preparados'!S883</f>
        <v/>
      </c>
      <c r="U890" s="7">
        <f>'1 datos preparados'!T883</f>
        <v/>
      </c>
      <c r="V890" s="8">
        <f>$AC$12+D890*$AC$13+E890*$AC$14+F890*$AC$15+G890*$AC$16+H890*$AC$17+I890*$AC$18+J890*$AC$19+K890*$AC$20+L890*$AC$21+M890*$AC$22+N890*$AC$23+O890*$AC$24+P890*$AC$25+Q890*$AC$26+R890*$AC$27+S890*$AC$28+T890*$AC$29+U890*$AC$30</f>
        <v/>
      </c>
      <c r="W890" s="8">
        <f>1/(1+EXP(-V890))</f>
        <v/>
      </c>
      <c r="X890" s="9">
        <f>-IF(C890=1,LN(W890),LN(1-W890))</f>
        <v/>
      </c>
      <c r="Y890" s="10">
        <f>IF(W890&gt;$AC$33,1,0)</f>
        <v/>
      </c>
      <c r="Z890">
        <f>IF(Y890=C890,1,0)</f>
        <v/>
      </c>
    </row>
    <row r="891">
      <c r="A891">
        <f>'1 datos preparados'!A884</f>
        <v/>
      </c>
      <c r="B891" s="5">
        <f>'1 datos preparados'!U884</f>
        <v/>
      </c>
      <c r="C891">
        <f>'1 datos preparados'!B884</f>
        <v/>
      </c>
      <c r="D891" s="7">
        <f>'1 datos preparados'!C884</f>
        <v/>
      </c>
      <c r="E891" s="7">
        <f>'1 datos preparados'!D884</f>
        <v/>
      </c>
      <c r="F891" s="7">
        <f>'1 datos preparados'!E884</f>
        <v/>
      </c>
      <c r="G891" s="7">
        <f>'1 datos preparados'!F884</f>
        <v/>
      </c>
      <c r="H891" s="7">
        <f>'1 datos preparados'!G884</f>
        <v/>
      </c>
      <c r="I891" s="7">
        <f>'1 datos preparados'!H884</f>
        <v/>
      </c>
      <c r="J891" s="7">
        <f>'1 datos preparados'!I884</f>
        <v/>
      </c>
      <c r="K891" s="7">
        <f>'1 datos preparados'!J884</f>
        <v/>
      </c>
      <c r="L891" s="7">
        <f>'1 datos preparados'!K884</f>
        <v/>
      </c>
      <c r="M891" s="7">
        <f>'1 datos preparados'!L884</f>
        <v/>
      </c>
      <c r="N891" s="7">
        <f>'1 datos preparados'!M884</f>
        <v/>
      </c>
      <c r="O891" s="7">
        <f>'1 datos preparados'!N884</f>
        <v/>
      </c>
      <c r="P891" s="7">
        <f>'1 datos preparados'!O884</f>
        <v/>
      </c>
      <c r="Q891" s="7">
        <f>'1 datos preparados'!P884</f>
        <v/>
      </c>
      <c r="R891" s="7">
        <f>'1 datos preparados'!Q884</f>
        <v/>
      </c>
      <c r="S891" s="7">
        <f>'1 datos preparados'!R884</f>
        <v/>
      </c>
      <c r="T891" s="7">
        <f>'1 datos preparados'!S884</f>
        <v/>
      </c>
      <c r="U891" s="7">
        <f>'1 datos preparados'!T884</f>
        <v/>
      </c>
      <c r="V891" s="8">
        <f>$AC$12+D891*$AC$13+E891*$AC$14+F891*$AC$15+G891*$AC$16+H891*$AC$17+I891*$AC$18+J891*$AC$19+K891*$AC$20+L891*$AC$21+M891*$AC$22+N891*$AC$23+O891*$AC$24+P891*$AC$25+Q891*$AC$26+R891*$AC$27+S891*$AC$28+T891*$AC$29+U891*$AC$30</f>
        <v/>
      </c>
      <c r="W891" s="8">
        <f>1/(1+EXP(-V891))</f>
        <v/>
      </c>
      <c r="X891" s="9">
        <f>-IF(C891=1,LN(W891),LN(1-W891))</f>
        <v/>
      </c>
      <c r="Y891" s="10">
        <f>IF(W891&gt;$AC$33,1,0)</f>
        <v/>
      </c>
      <c r="Z891">
        <f>IF(Y891=C891,1,0)</f>
        <v/>
      </c>
    </row>
    <row r="892">
      <c r="A892">
        <f>'1 datos preparados'!A885</f>
        <v/>
      </c>
      <c r="B892" s="5">
        <f>'1 datos preparados'!U885</f>
        <v/>
      </c>
      <c r="C892">
        <f>'1 datos preparados'!B885</f>
        <v/>
      </c>
      <c r="D892" s="7">
        <f>'1 datos preparados'!C885</f>
        <v/>
      </c>
      <c r="E892" s="7">
        <f>'1 datos preparados'!D885</f>
        <v/>
      </c>
      <c r="F892" s="7">
        <f>'1 datos preparados'!E885</f>
        <v/>
      </c>
      <c r="G892" s="7">
        <f>'1 datos preparados'!F885</f>
        <v/>
      </c>
      <c r="H892" s="7">
        <f>'1 datos preparados'!G885</f>
        <v/>
      </c>
      <c r="I892" s="7">
        <f>'1 datos preparados'!H885</f>
        <v/>
      </c>
      <c r="J892" s="7">
        <f>'1 datos preparados'!I885</f>
        <v/>
      </c>
      <c r="K892" s="7">
        <f>'1 datos preparados'!J885</f>
        <v/>
      </c>
      <c r="L892" s="7">
        <f>'1 datos preparados'!K885</f>
        <v/>
      </c>
      <c r="M892" s="7">
        <f>'1 datos preparados'!L885</f>
        <v/>
      </c>
      <c r="N892" s="7">
        <f>'1 datos preparados'!M885</f>
        <v/>
      </c>
      <c r="O892" s="7">
        <f>'1 datos preparados'!N885</f>
        <v/>
      </c>
      <c r="P892" s="7">
        <f>'1 datos preparados'!O885</f>
        <v/>
      </c>
      <c r="Q892" s="7">
        <f>'1 datos preparados'!P885</f>
        <v/>
      </c>
      <c r="R892" s="7">
        <f>'1 datos preparados'!Q885</f>
        <v/>
      </c>
      <c r="S892" s="7">
        <f>'1 datos preparados'!R885</f>
        <v/>
      </c>
      <c r="T892" s="7">
        <f>'1 datos preparados'!S885</f>
        <v/>
      </c>
      <c r="U892" s="7">
        <f>'1 datos preparados'!T885</f>
        <v/>
      </c>
      <c r="V892" s="8">
        <f>$AC$12+D892*$AC$13+E892*$AC$14+F892*$AC$15+G892*$AC$16+H892*$AC$17+I892*$AC$18+J892*$AC$19+K892*$AC$20+L892*$AC$21+M892*$AC$22+N892*$AC$23+O892*$AC$24+P892*$AC$25+Q892*$AC$26+R892*$AC$27+S892*$AC$28+T892*$AC$29+U892*$AC$30</f>
        <v/>
      </c>
      <c r="W892" s="8">
        <f>1/(1+EXP(-V892))</f>
        <v/>
      </c>
      <c r="X892" s="9">
        <f>-IF(C892=1,LN(W892),LN(1-W892))</f>
        <v/>
      </c>
      <c r="Y892" s="10">
        <f>IF(W892&gt;$AC$33,1,0)</f>
        <v/>
      </c>
      <c r="Z892">
        <f>IF(Y892=C892,1,0)</f>
        <v/>
      </c>
    </row>
    <row r="893">
      <c r="A893">
        <f>'1 datos preparados'!A886</f>
        <v/>
      </c>
      <c r="B893" s="5">
        <f>'1 datos preparados'!U886</f>
        <v/>
      </c>
      <c r="C893">
        <f>'1 datos preparados'!B886</f>
        <v/>
      </c>
      <c r="D893" s="7">
        <f>'1 datos preparados'!C886</f>
        <v/>
      </c>
      <c r="E893" s="7">
        <f>'1 datos preparados'!D886</f>
        <v/>
      </c>
      <c r="F893" s="7">
        <f>'1 datos preparados'!E886</f>
        <v/>
      </c>
      <c r="G893" s="7">
        <f>'1 datos preparados'!F886</f>
        <v/>
      </c>
      <c r="H893" s="7">
        <f>'1 datos preparados'!G886</f>
        <v/>
      </c>
      <c r="I893" s="7">
        <f>'1 datos preparados'!H886</f>
        <v/>
      </c>
      <c r="J893" s="7">
        <f>'1 datos preparados'!I886</f>
        <v/>
      </c>
      <c r="K893" s="7">
        <f>'1 datos preparados'!J886</f>
        <v/>
      </c>
      <c r="L893" s="7">
        <f>'1 datos preparados'!K886</f>
        <v/>
      </c>
      <c r="M893" s="7">
        <f>'1 datos preparados'!L886</f>
        <v/>
      </c>
      <c r="N893" s="7">
        <f>'1 datos preparados'!M886</f>
        <v/>
      </c>
      <c r="O893" s="7">
        <f>'1 datos preparados'!N886</f>
        <v/>
      </c>
      <c r="P893" s="7">
        <f>'1 datos preparados'!O886</f>
        <v/>
      </c>
      <c r="Q893" s="7">
        <f>'1 datos preparados'!P886</f>
        <v/>
      </c>
      <c r="R893" s="7">
        <f>'1 datos preparados'!Q886</f>
        <v/>
      </c>
      <c r="S893" s="7">
        <f>'1 datos preparados'!R886</f>
        <v/>
      </c>
      <c r="T893" s="7">
        <f>'1 datos preparados'!S886</f>
        <v/>
      </c>
      <c r="U893" s="7">
        <f>'1 datos preparados'!T886</f>
        <v/>
      </c>
      <c r="V893" s="8">
        <f>$AC$12+D893*$AC$13+E893*$AC$14+F893*$AC$15+G893*$AC$16+H893*$AC$17+I893*$AC$18+J893*$AC$19+K893*$AC$20+L893*$AC$21+M893*$AC$22+N893*$AC$23+O893*$AC$24+P893*$AC$25+Q893*$AC$26+R893*$AC$27+S893*$AC$28+T893*$AC$29+U893*$AC$30</f>
        <v/>
      </c>
      <c r="W893" s="8">
        <f>1/(1+EXP(-V893))</f>
        <v/>
      </c>
      <c r="X893" s="9">
        <f>-IF(C893=1,LN(W893),LN(1-W893))</f>
        <v/>
      </c>
      <c r="Y893" s="10">
        <f>IF(W893&gt;$AC$33,1,0)</f>
        <v/>
      </c>
      <c r="Z893">
        <f>IF(Y893=C893,1,0)</f>
        <v/>
      </c>
    </row>
    <row r="894">
      <c r="A894">
        <f>'1 datos preparados'!A887</f>
        <v/>
      </c>
      <c r="B894" s="5">
        <f>'1 datos preparados'!U887</f>
        <v/>
      </c>
      <c r="C894">
        <f>'1 datos preparados'!B887</f>
        <v/>
      </c>
      <c r="D894" s="7">
        <f>'1 datos preparados'!C887</f>
        <v/>
      </c>
      <c r="E894" s="7">
        <f>'1 datos preparados'!D887</f>
        <v/>
      </c>
      <c r="F894" s="7">
        <f>'1 datos preparados'!E887</f>
        <v/>
      </c>
      <c r="G894" s="7">
        <f>'1 datos preparados'!F887</f>
        <v/>
      </c>
      <c r="H894" s="7">
        <f>'1 datos preparados'!G887</f>
        <v/>
      </c>
      <c r="I894" s="7">
        <f>'1 datos preparados'!H887</f>
        <v/>
      </c>
      <c r="J894" s="7">
        <f>'1 datos preparados'!I887</f>
        <v/>
      </c>
      <c r="K894" s="7">
        <f>'1 datos preparados'!J887</f>
        <v/>
      </c>
      <c r="L894" s="7">
        <f>'1 datos preparados'!K887</f>
        <v/>
      </c>
      <c r="M894" s="7">
        <f>'1 datos preparados'!L887</f>
        <v/>
      </c>
      <c r="N894" s="7">
        <f>'1 datos preparados'!M887</f>
        <v/>
      </c>
      <c r="O894" s="7">
        <f>'1 datos preparados'!N887</f>
        <v/>
      </c>
      <c r="P894" s="7">
        <f>'1 datos preparados'!O887</f>
        <v/>
      </c>
      <c r="Q894" s="7">
        <f>'1 datos preparados'!P887</f>
        <v/>
      </c>
      <c r="R894" s="7">
        <f>'1 datos preparados'!Q887</f>
        <v/>
      </c>
      <c r="S894" s="7">
        <f>'1 datos preparados'!R887</f>
        <v/>
      </c>
      <c r="T894" s="7">
        <f>'1 datos preparados'!S887</f>
        <v/>
      </c>
      <c r="U894" s="7">
        <f>'1 datos preparados'!T887</f>
        <v/>
      </c>
      <c r="V894" s="8">
        <f>$AC$12+D894*$AC$13+E894*$AC$14+F894*$AC$15+G894*$AC$16+H894*$AC$17+I894*$AC$18+J894*$AC$19+K894*$AC$20+L894*$AC$21+M894*$AC$22+N894*$AC$23+O894*$AC$24+P894*$AC$25+Q894*$AC$26+R894*$AC$27+S894*$AC$28+T894*$AC$29+U894*$AC$30</f>
        <v/>
      </c>
      <c r="W894" s="8">
        <f>1/(1+EXP(-V894))</f>
        <v/>
      </c>
      <c r="X894" s="9">
        <f>-IF(C894=1,LN(W894),LN(1-W894))</f>
        <v/>
      </c>
      <c r="Y894" s="10">
        <f>IF(W894&gt;$AC$33,1,0)</f>
        <v/>
      </c>
      <c r="Z894">
        <f>IF(Y894=C894,1,0)</f>
        <v/>
      </c>
    </row>
    <row r="895">
      <c r="A895">
        <f>'1 datos preparados'!A888</f>
        <v/>
      </c>
      <c r="B895" s="5">
        <f>'1 datos preparados'!U888</f>
        <v/>
      </c>
      <c r="C895">
        <f>'1 datos preparados'!B888</f>
        <v/>
      </c>
      <c r="D895" s="7">
        <f>'1 datos preparados'!C888</f>
        <v/>
      </c>
      <c r="E895" s="7">
        <f>'1 datos preparados'!D888</f>
        <v/>
      </c>
      <c r="F895" s="7">
        <f>'1 datos preparados'!E888</f>
        <v/>
      </c>
      <c r="G895" s="7">
        <f>'1 datos preparados'!F888</f>
        <v/>
      </c>
      <c r="H895" s="7">
        <f>'1 datos preparados'!G888</f>
        <v/>
      </c>
      <c r="I895" s="7">
        <f>'1 datos preparados'!H888</f>
        <v/>
      </c>
      <c r="J895" s="7">
        <f>'1 datos preparados'!I888</f>
        <v/>
      </c>
      <c r="K895" s="7">
        <f>'1 datos preparados'!J888</f>
        <v/>
      </c>
      <c r="L895" s="7">
        <f>'1 datos preparados'!K888</f>
        <v/>
      </c>
      <c r="M895" s="7">
        <f>'1 datos preparados'!L888</f>
        <v/>
      </c>
      <c r="N895" s="7">
        <f>'1 datos preparados'!M888</f>
        <v/>
      </c>
      <c r="O895" s="7">
        <f>'1 datos preparados'!N888</f>
        <v/>
      </c>
      <c r="P895" s="7">
        <f>'1 datos preparados'!O888</f>
        <v/>
      </c>
      <c r="Q895" s="7">
        <f>'1 datos preparados'!P888</f>
        <v/>
      </c>
      <c r="R895" s="7">
        <f>'1 datos preparados'!Q888</f>
        <v/>
      </c>
      <c r="S895" s="7">
        <f>'1 datos preparados'!R888</f>
        <v/>
      </c>
      <c r="T895" s="7">
        <f>'1 datos preparados'!S888</f>
        <v/>
      </c>
      <c r="U895" s="7">
        <f>'1 datos preparados'!T888</f>
        <v/>
      </c>
      <c r="V895" s="8">
        <f>$AC$12+D895*$AC$13+E895*$AC$14+F895*$AC$15+G895*$AC$16+H895*$AC$17+I895*$AC$18+J895*$AC$19+K895*$AC$20+L895*$AC$21+M895*$AC$22+N895*$AC$23+O895*$AC$24+P895*$AC$25+Q895*$AC$26+R895*$AC$27+S895*$AC$28+T895*$AC$29+U895*$AC$30</f>
        <v/>
      </c>
      <c r="W895" s="8">
        <f>1/(1+EXP(-V895))</f>
        <v/>
      </c>
      <c r="X895" s="9">
        <f>-IF(C895=1,LN(W895),LN(1-W895))</f>
        <v/>
      </c>
      <c r="Y895" s="10">
        <f>IF(W895&gt;$AC$33,1,0)</f>
        <v/>
      </c>
      <c r="Z895">
        <f>IF(Y895=C895,1,0)</f>
        <v/>
      </c>
    </row>
    <row r="896">
      <c r="A896">
        <f>'1 datos preparados'!A889</f>
        <v/>
      </c>
      <c r="B896" s="5">
        <f>'1 datos preparados'!U889</f>
        <v/>
      </c>
      <c r="C896">
        <f>'1 datos preparados'!B889</f>
        <v/>
      </c>
      <c r="D896" s="7">
        <f>'1 datos preparados'!C889</f>
        <v/>
      </c>
      <c r="E896" s="7">
        <f>'1 datos preparados'!D889</f>
        <v/>
      </c>
      <c r="F896" s="7">
        <f>'1 datos preparados'!E889</f>
        <v/>
      </c>
      <c r="G896" s="7">
        <f>'1 datos preparados'!F889</f>
        <v/>
      </c>
      <c r="H896" s="7">
        <f>'1 datos preparados'!G889</f>
        <v/>
      </c>
      <c r="I896" s="7">
        <f>'1 datos preparados'!H889</f>
        <v/>
      </c>
      <c r="J896" s="7">
        <f>'1 datos preparados'!I889</f>
        <v/>
      </c>
      <c r="K896" s="7">
        <f>'1 datos preparados'!J889</f>
        <v/>
      </c>
      <c r="L896" s="7">
        <f>'1 datos preparados'!K889</f>
        <v/>
      </c>
      <c r="M896" s="7">
        <f>'1 datos preparados'!L889</f>
        <v/>
      </c>
      <c r="N896" s="7">
        <f>'1 datos preparados'!M889</f>
        <v/>
      </c>
      <c r="O896" s="7">
        <f>'1 datos preparados'!N889</f>
        <v/>
      </c>
      <c r="P896" s="7">
        <f>'1 datos preparados'!O889</f>
        <v/>
      </c>
      <c r="Q896" s="7">
        <f>'1 datos preparados'!P889</f>
        <v/>
      </c>
      <c r="R896" s="7">
        <f>'1 datos preparados'!Q889</f>
        <v/>
      </c>
      <c r="S896" s="7">
        <f>'1 datos preparados'!R889</f>
        <v/>
      </c>
      <c r="T896" s="7">
        <f>'1 datos preparados'!S889</f>
        <v/>
      </c>
      <c r="U896" s="7">
        <f>'1 datos preparados'!T889</f>
        <v/>
      </c>
      <c r="V896" s="8">
        <f>$AC$12+D896*$AC$13+E896*$AC$14+F896*$AC$15+G896*$AC$16+H896*$AC$17+I896*$AC$18+J896*$AC$19+K896*$AC$20+L896*$AC$21+M896*$AC$22+N896*$AC$23+O896*$AC$24+P896*$AC$25+Q896*$AC$26+R896*$AC$27+S896*$AC$28+T896*$AC$29+U896*$AC$30</f>
        <v/>
      </c>
      <c r="W896" s="8">
        <f>1/(1+EXP(-V896))</f>
        <v/>
      </c>
      <c r="X896" s="9">
        <f>-IF(C896=1,LN(W896),LN(1-W896))</f>
        <v/>
      </c>
      <c r="Y896" s="10">
        <f>IF(W896&gt;$AC$33,1,0)</f>
        <v/>
      </c>
      <c r="Z896">
        <f>IF(Y896=C896,1,0)</f>
        <v/>
      </c>
    </row>
    <row r="897">
      <c r="A897">
        <f>'1 datos preparados'!A890</f>
        <v/>
      </c>
      <c r="B897" s="5">
        <f>'1 datos preparados'!U890</f>
        <v/>
      </c>
      <c r="C897">
        <f>'1 datos preparados'!B890</f>
        <v/>
      </c>
      <c r="D897" s="7">
        <f>'1 datos preparados'!C890</f>
        <v/>
      </c>
      <c r="E897" s="7">
        <f>'1 datos preparados'!D890</f>
        <v/>
      </c>
      <c r="F897" s="7">
        <f>'1 datos preparados'!E890</f>
        <v/>
      </c>
      <c r="G897" s="7">
        <f>'1 datos preparados'!F890</f>
        <v/>
      </c>
      <c r="H897" s="7">
        <f>'1 datos preparados'!G890</f>
        <v/>
      </c>
      <c r="I897" s="7">
        <f>'1 datos preparados'!H890</f>
        <v/>
      </c>
      <c r="J897" s="7">
        <f>'1 datos preparados'!I890</f>
        <v/>
      </c>
      <c r="K897" s="7">
        <f>'1 datos preparados'!J890</f>
        <v/>
      </c>
      <c r="L897" s="7">
        <f>'1 datos preparados'!K890</f>
        <v/>
      </c>
      <c r="M897" s="7">
        <f>'1 datos preparados'!L890</f>
        <v/>
      </c>
      <c r="N897" s="7">
        <f>'1 datos preparados'!M890</f>
        <v/>
      </c>
      <c r="O897" s="7">
        <f>'1 datos preparados'!N890</f>
        <v/>
      </c>
      <c r="P897" s="7">
        <f>'1 datos preparados'!O890</f>
        <v/>
      </c>
      <c r="Q897" s="7">
        <f>'1 datos preparados'!P890</f>
        <v/>
      </c>
      <c r="R897" s="7">
        <f>'1 datos preparados'!Q890</f>
        <v/>
      </c>
      <c r="S897" s="7">
        <f>'1 datos preparados'!R890</f>
        <v/>
      </c>
      <c r="T897" s="7">
        <f>'1 datos preparados'!S890</f>
        <v/>
      </c>
      <c r="U897" s="7">
        <f>'1 datos preparados'!T890</f>
        <v/>
      </c>
      <c r="V897" s="8">
        <f>$AC$12+D897*$AC$13+E897*$AC$14+F897*$AC$15+G897*$AC$16+H897*$AC$17+I897*$AC$18+J897*$AC$19+K897*$AC$20+L897*$AC$21+M897*$AC$22+N897*$AC$23+O897*$AC$24+P897*$AC$25+Q897*$AC$26+R897*$AC$27+S897*$AC$28+T897*$AC$29+U897*$AC$30</f>
        <v/>
      </c>
      <c r="W897" s="8">
        <f>1/(1+EXP(-V897))</f>
        <v/>
      </c>
      <c r="X897" s="9">
        <f>-IF(C897=1,LN(W897),LN(1-W897))</f>
        <v/>
      </c>
      <c r="Y897" s="10">
        <f>IF(W897&gt;$AC$33,1,0)</f>
        <v/>
      </c>
      <c r="Z897">
        <f>IF(Y897=C897,1,0)</f>
        <v/>
      </c>
    </row>
    <row r="898">
      <c r="A898">
        <f>'1 datos preparados'!A891</f>
        <v/>
      </c>
      <c r="B898" s="5">
        <f>'1 datos preparados'!U891</f>
        <v/>
      </c>
      <c r="C898">
        <f>'1 datos preparados'!B891</f>
        <v/>
      </c>
      <c r="D898" s="7">
        <f>'1 datos preparados'!C891</f>
        <v/>
      </c>
      <c r="E898" s="7">
        <f>'1 datos preparados'!D891</f>
        <v/>
      </c>
      <c r="F898" s="7">
        <f>'1 datos preparados'!E891</f>
        <v/>
      </c>
      <c r="G898" s="7">
        <f>'1 datos preparados'!F891</f>
        <v/>
      </c>
      <c r="H898" s="7">
        <f>'1 datos preparados'!G891</f>
        <v/>
      </c>
      <c r="I898" s="7">
        <f>'1 datos preparados'!H891</f>
        <v/>
      </c>
      <c r="J898" s="7">
        <f>'1 datos preparados'!I891</f>
        <v/>
      </c>
      <c r="K898" s="7">
        <f>'1 datos preparados'!J891</f>
        <v/>
      </c>
      <c r="L898" s="7">
        <f>'1 datos preparados'!K891</f>
        <v/>
      </c>
      <c r="M898" s="7">
        <f>'1 datos preparados'!L891</f>
        <v/>
      </c>
      <c r="N898" s="7">
        <f>'1 datos preparados'!M891</f>
        <v/>
      </c>
      <c r="O898" s="7">
        <f>'1 datos preparados'!N891</f>
        <v/>
      </c>
      <c r="P898" s="7">
        <f>'1 datos preparados'!O891</f>
        <v/>
      </c>
      <c r="Q898" s="7">
        <f>'1 datos preparados'!P891</f>
        <v/>
      </c>
      <c r="R898" s="7">
        <f>'1 datos preparados'!Q891</f>
        <v/>
      </c>
      <c r="S898" s="7">
        <f>'1 datos preparados'!R891</f>
        <v/>
      </c>
      <c r="T898" s="7">
        <f>'1 datos preparados'!S891</f>
        <v/>
      </c>
      <c r="U898" s="7">
        <f>'1 datos preparados'!T891</f>
        <v/>
      </c>
      <c r="V898" s="8">
        <f>$AC$12+D898*$AC$13+E898*$AC$14+F898*$AC$15+G898*$AC$16+H898*$AC$17+I898*$AC$18+J898*$AC$19+K898*$AC$20+L898*$AC$21+M898*$AC$22+N898*$AC$23+O898*$AC$24+P898*$AC$25+Q898*$AC$26+R898*$AC$27+S898*$AC$28+T898*$AC$29+U898*$AC$30</f>
        <v/>
      </c>
      <c r="W898" s="8">
        <f>1/(1+EXP(-V898))</f>
        <v/>
      </c>
      <c r="X898" s="9">
        <f>-IF(C898=1,LN(W898),LN(1-W898))</f>
        <v/>
      </c>
      <c r="Y898" s="10">
        <f>IF(W898&gt;$AC$33,1,0)</f>
        <v/>
      </c>
      <c r="Z898">
        <f>IF(Y898=C898,1,0)</f>
        <v/>
      </c>
    </row>
    <row r="899">
      <c r="A899">
        <f>'1 datos preparados'!A892</f>
        <v/>
      </c>
      <c r="B899" s="5">
        <f>'1 datos preparados'!U892</f>
        <v/>
      </c>
      <c r="C899">
        <f>'1 datos preparados'!B892</f>
        <v/>
      </c>
      <c r="D899" s="7">
        <f>'1 datos preparados'!C892</f>
        <v/>
      </c>
      <c r="E899" s="7">
        <f>'1 datos preparados'!D892</f>
        <v/>
      </c>
      <c r="F899" s="7">
        <f>'1 datos preparados'!E892</f>
        <v/>
      </c>
      <c r="G899" s="7">
        <f>'1 datos preparados'!F892</f>
        <v/>
      </c>
      <c r="H899" s="7">
        <f>'1 datos preparados'!G892</f>
        <v/>
      </c>
      <c r="I899" s="7">
        <f>'1 datos preparados'!H892</f>
        <v/>
      </c>
      <c r="J899" s="7">
        <f>'1 datos preparados'!I892</f>
        <v/>
      </c>
      <c r="K899" s="7">
        <f>'1 datos preparados'!J892</f>
        <v/>
      </c>
      <c r="L899" s="7">
        <f>'1 datos preparados'!K892</f>
        <v/>
      </c>
      <c r="M899" s="7">
        <f>'1 datos preparados'!L892</f>
        <v/>
      </c>
      <c r="N899" s="7">
        <f>'1 datos preparados'!M892</f>
        <v/>
      </c>
      <c r="O899" s="7">
        <f>'1 datos preparados'!N892</f>
        <v/>
      </c>
      <c r="P899" s="7">
        <f>'1 datos preparados'!O892</f>
        <v/>
      </c>
      <c r="Q899" s="7">
        <f>'1 datos preparados'!P892</f>
        <v/>
      </c>
      <c r="R899" s="7">
        <f>'1 datos preparados'!Q892</f>
        <v/>
      </c>
      <c r="S899" s="7">
        <f>'1 datos preparados'!R892</f>
        <v/>
      </c>
      <c r="T899" s="7">
        <f>'1 datos preparados'!S892</f>
        <v/>
      </c>
      <c r="U899" s="7">
        <f>'1 datos preparados'!T892</f>
        <v/>
      </c>
      <c r="V899" s="8">
        <f>$AC$12+D899*$AC$13+E899*$AC$14+F899*$AC$15+G899*$AC$16+H899*$AC$17+I899*$AC$18+J899*$AC$19+K899*$AC$20+L899*$AC$21+M899*$AC$22+N899*$AC$23+O899*$AC$24+P899*$AC$25+Q899*$AC$26+R899*$AC$27+S899*$AC$28+T899*$AC$29+U899*$AC$30</f>
        <v/>
      </c>
      <c r="W899" s="8">
        <f>1/(1+EXP(-V899))</f>
        <v/>
      </c>
      <c r="X899" s="9">
        <f>-IF(C899=1,LN(W899),LN(1-W899))</f>
        <v/>
      </c>
      <c r="Y899" s="10">
        <f>IF(W899&gt;$AC$33,1,0)</f>
        <v/>
      </c>
      <c r="Z899">
        <f>IF(Y899=C899,1,0)</f>
        <v/>
      </c>
    </row>
    <row r="900">
      <c r="A900">
        <f>'1 datos preparados'!A893</f>
        <v/>
      </c>
      <c r="B900" s="5">
        <f>'1 datos preparados'!U893</f>
        <v/>
      </c>
      <c r="C900">
        <f>'1 datos preparados'!B893</f>
        <v/>
      </c>
      <c r="D900" s="7">
        <f>'1 datos preparados'!C893</f>
        <v/>
      </c>
      <c r="E900" s="7">
        <f>'1 datos preparados'!D893</f>
        <v/>
      </c>
      <c r="F900" s="7">
        <f>'1 datos preparados'!E893</f>
        <v/>
      </c>
      <c r="G900" s="7">
        <f>'1 datos preparados'!F893</f>
        <v/>
      </c>
      <c r="H900" s="7">
        <f>'1 datos preparados'!G893</f>
        <v/>
      </c>
      <c r="I900" s="7">
        <f>'1 datos preparados'!H893</f>
        <v/>
      </c>
      <c r="J900" s="7">
        <f>'1 datos preparados'!I893</f>
        <v/>
      </c>
      <c r="K900" s="7">
        <f>'1 datos preparados'!J893</f>
        <v/>
      </c>
      <c r="L900" s="7">
        <f>'1 datos preparados'!K893</f>
        <v/>
      </c>
      <c r="M900" s="7">
        <f>'1 datos preparados'!L893</f>
        <v/>
      </c>
      <c r="N900" s="7">
        <f>'1 datos preparados'!M893</f>
        <v/>
      </c>
      <c r="O900" s="7">
        <f>'1 datos preparados'!N893</f>
        <v/>
      </c>
      <c r="P900" s="7">
        <f>'1 datos preparados'!O893</f>
        <v/>
      </c>
      <c r="Q900" s="7">
        <f>'1 datos preparados'!P893</f>
        <v/>
      </c>
      <c r="R900" s="7">
        <f>'1 datos preparados'!Q893</f>
        <v/>
      </c>
      <c r="S900" s="7">
        <f>'1 datos preparados'!R893</f>
        <v/>
      </c>
      <c r="T900" s="7">
        <f>'1 datos preparados'!S893</f>
        <v/>
      </c>
      <c r="U900" s="7">
        <f>'1 datos preparados'!T893</f>
        <v/>
      </c>
      <c r="V900" s="8">
        <f>$AC$12+D900*$AC$13+E900*$AC$14+F900*$AC$15+G900*$AC$16+H900*$AC$17+I900*$AC$18+J900*$AC$19+K900*$AC$20+L900*$AC$21+M900*$AC$22+N900*$AC$23+O900*$AC$24+P900*$AC$25+Q900*$AC$26+R900*$AC$27+S900*$AC$28+T900*$AC$29+U900*$AC$30</f>
        <v/>
      </c>
      <c r="W900" s="8">
        <f>1/(1+EXP(-V900))</f>
        <v/>
      </c>
      <c r="X900" s="9">
        <f>-IF(C900=1,LN(W900),LN(1-W900))</f>
        <v/>
      </c>
      <c r="Y900" s="10">
        <f>IF(W900&gt;$AC$33,1,0)</f>
        <v/>
      </c>
      <c r="Z900">
        <f>IF(Y900=C900,1,0)</f>
        <v/>
      </c>
    </row>
    <row r="901">
      <c r="A901">
        <f>'1 datos preparados'!A894</f>
        <v/>
      </c>
      <c r="B901" s="5">
        <f>'1 datos preparados'!U894</f>
        <v/>
      </c>
      <c r="C901">
        <f>'1 datos preparados'!B894</f>
        <v/>
      </c>
      <c r="D901" s="7">
        <f>'1 datos preparados'!C894</f>
        <v/>
      </c>
      <c r="E901" s="7">
        <f>'1 datos preparados'!D894</f>
        <v/>
      </c>
      <c r="F901" s="7">
        <f>'1 datos preparados'!E894</f>
        <v/>
      </c>
      <c r="G901" s="7">
        <f>'1 datos preparados'!F894</f>
        <v/>
      </c>
      <c r="H901" s="7">
        <f>'1 datos preparados'!G894</f>
        <v/>
      </c>
      <c r="I901" s="7">
        <f>'1 datos preparados'!H894</f>
        <v/>
      </c>
      <c r="J901" s="7">
        <f>'1 datos preparados'!I894</f>
        <v/>
      </c>
      <c r="K901" s="7">
        <f>'1 datos preparados'!J894</f>
        <v/>
      </c>
      <c r="L901" s="7">
        <f>'1 datos preparados'!K894</f>
        <v/>
      </c>
      <c r="M901" s="7">
        <f>'1 datos preparados'!L894</f>
        <v/>
      </c>
      <c r="N901" s="7">
        <f>'1 datos preparados'!M894</f>
        <v/>
      </c>
      <c r="O901" s="7">
        <f>'1 datos preparados'!N894</f>
        <v/>
      </c>
      <c r="P901" s="7">
        <f>'1 datos preparados'!O894</f>
        <v/>
      </c>
      <c r="Q901" s="7">
        <f>'1 datos preparados'!P894</f>
        <v/>
      </c>
      <c r="R901" s="7">
        <f>'1 datos preparados'!Q894</f>
        <v/>
      </c>
      <c r="S901" s="7">
        <f>'1 datos preparados'!R894</f>
        <v/>
      </c>
      <c r="T901" s="7">
        <f>'1 datos preparados'!S894</f>
        <v/>
      </c>
      <c r="U901" s="7">
        <f>'1 datos preparados'!T894</f>
        <v/>
      </c>
      <c r="V901" s="8">
        <f>$AC$12+D901*$AC$13+E901*$AC$14+F901*$AC$15+G901*$AC$16+H901*$AC$17+I901*$AC$18+J901*$AC$19+K901*$AC$20+L901*$AC$21+M901*$AC$22+N901*$AC$23+O901*$AC$24+P901*$AC$25+Q901*$AC$26+R901*$AC$27+S901*$AC$28+T901*$AC$29+U901*$AC$30</f>
        <v/>
      </c>
      <c r="W901" s="8">
        <f>1/(1+EXP(-V901))</f>
        <v/>
      </c>
      <c r="X901" s="9">
        <f>-IF(C901=1,LN(W901),LN(1-W901))</f>
        <v/>
      </c>
      <c r="Y901" s="10">
        <f>IF(W901&gt;$AC$33,1,0)</f>
        <v/>
      </c>
      <c r="Z901">
        <f>IF(Y901=C901,1,0)</f>
        <v/>
      </c>
    </row>
    <row r="902">
      <c r="A902">
        <f>'1 datos preparados'!A895</f>
        <v/>
      </c>
      <c r="B902" s="5">
        <f>'1 datos preparados'!U895</f>
        <v/>
      </c>
      <c r="C902">
        <f>'1 datos preparados'!B895</f>
        <v/>
      </c>
      <c r="D902" s="7">
        <f>'1 datos preparados'!C895</f>
        <v/>
      </c>
      <c r="E902" s="7">
        <f>'1 datos preparados'!D895</f>
        <v/>
      </c>
      <c r="F902" s="7">
        <f>'1 datos preparados'!E895</f>
        <v/>
      </c>
      <c r="G902" s="7">
        <f>'1 datos preparados'!F895</f>
        <v/>
      </c>
      <c r="H902" s="7">
        <f>'1 datos preparados'!G895</f>
        <v/>
      </c>
      <c r="I902" s="7">
        <f>'1 datos preparados'!H895</f>
        <v/>
      </c>
      <c r="J902" s="7">
        <f>'1 datos preparados'!I895</f>
        <v/>
      </c>
      <c r="K902" s="7">
        <f>'1 datos preparados'!J895</f>
        <v/>
      </c>
      <c r="L902" s="7">
        <f>'1 datos preparados'!K895</f>
        <v/>
      </c>
      <c r="M902" s="7">
        <f>'1 datos preparados'!L895</f>
        <v/>
      </c>
      <c r="N902" s="7">
        <f>'1 datos preparados'!M895</f>
        <v/>
      </c>
      <c r="O902" s="7">
        <f>'1 datos preparados'!N895</f>
        <v/>
      </c>
      <c r="P902" s="7">
        <f>'1 datos preparados'!O895</f>
        <v/>
      </c>
      <c r="Q902" s="7">
        <f>'1 datos preparados'!P895</f>
        <v/>
      </c>
      <c r="R902" s="7">
        <f>'1 datos preparados'!Q895</f>
        <v/>
      </c>
      <c r="S902" s="7">
        <f>'1 datos preparados'!R895</f>
        <v/>
      </c>
      <c r="T902" s="7">
        <f>'1 datos preparados'!S895</f>
        <v/>
      </c>
      <c r="U902" s="7">
        <f>'1 datos preparados'!T895</f>
        <v/>
      </c>
      <c r="V902" s="8">
        <f>$AC$12+D902*$AC$13+E902*$AC$14+F902*$AC$15+G902*$AC$16+H902*$AC$17+I902*$AC$18+J902*$AC$19+K902*$AC$20+L902*$AC$21+M902*$AC$22+N902*$AC$23+O902*$AC$24+P902*$AC$25+Q902*$AC$26+R902*$AC$27+S902*$AC$28+T902*$AC$29+U902*$AC$30</f>
        <v/>
      </c>
      <c r="W902" s="8">
        <f>1/(1+EXP(-V902))</f>
        <v/>
      </c>
      <c r="X902" s="9">
        <f>-IF(C902=1,LN(W902),LN(1-W902))</f>
        <v/>
      </c>
      <c r="Y902" s="10">
        <f>IF(W902&gt;$AC$33,1,0)</f>
        <v/>
      </c>
      <c r="Z902">
        <f>IF(Y902=C902,1,0)</f>
        <v/>
      </c>
    </row>
    <row r="903">
      <c r="A903">
        <f>'1 datos preparados'!A896</f>
        <v/>
      </c>
      <c r="B903" s="5">
        <f>'1 datos preparados'!U896</f>
        <v/>
      </c>
      <c r="C903">
        <f>'1 datos preparados'!B896</f>
        <v/>
      </c>
      <c r="D903" s="7">
        <f>'1 datos preparados'!C896</f>
        <v/>
      </c>
      <c r="E903" s="7">
        <f>'1 datos preparados'!D896</f>
        <v/>
      </c>
      <c r="F903" s="7">
        <f>'1 datos preparados'!E896</f>
        <v/>
      </c>
      <c r="G903" s="7">
        <f>'1 datos preparados'!F896</f>
        <v/>
      </c>
      <c r="H903" s="7">
        <f>'1 datos preparados'!G896</f>
        <v/>
      </c>
      <c r="I903" s="7">
        <f>'1 datos preparados'!H896</f>
        <v/>
      </c>
      <c r="J903" s="7">
        <f>'1 datos preparados'!I896</f>
        <v/>
      </c>
      <c r="K903" s="7">
        <f>'1 datos preparados'!J896</f>
        <v/>
      </c>
      <c r="L903" s="7">
        <f>'1 datos preparados'!K896</f>
        <v/>
      </c>
      <c r="M903" s="7">
        <f>'1 datos preparados'!L896</f>
        <v/>
      </c>
      <c r="N903" s="7">
        <f>'1 datos preparados'!M896</f>
        <v/>
      </c>
      <c r="O903" s="7">
        <f>'1 datos preparados'!N896</f>
        <v/>
      </c>
      <c r="P903" s="7">
        <f>'1 datos preparados'!O896</f>
        <v/>
      </c>
      <c r="Q903" s="7">
        <f>'1 datos preparados'!P896</f>
        <v/>
      </c>
      <c r="R903" s="7">
        <f>'1 datos preparados'!Q896</f>
        <v/>
      </c>
      <c r="S903" s="7">
        <f>'1 datos preparados'!R896</f>
        <v/>
      </c>
      <c r="T903" s="7">
        <f>'1 datos preparados'!S896</f>
        <v/>
      </c>
      <c r="U903" s="7">
        <f>'1 datos preparados'!T896</f>
        <v/>
      </c>
      <c r="V903" s="8">
        <f>$AC$12+D903*$AC$13+E903*$AC$14+F903*$AC$15+G903*$AC$16+H903*$AC$17+I903*$AC$18+J903*$AC$19+K903*$AC$20+L903*$AC$21+M903*$AC$22+N903*$AC$23+O903*$AC$24+P903*$AC$25+Q903*$AC$26+R903*$AC$27+S903*$AC$28+T903*$AC$29+U903*$AC$30</f>
        <v/>
      </c>
      <c r="W903" s="8">
        <f>1/(1+EXP(-V903))</f>
        <v/>
      </c>
      <c r="X903" s="9">
        <f>-IF(C903=1,LN(W903),LN(1-W903))</f>
        <v/>
      </c>
      <c r="Y903" s="10">
        <f>IF(W903&gt;$AC$33,1,0)</f>
        <v/>
      </c>
      <c r="Z903">
        <f>IF(Y903=C903,1,0)</f>
        <v/>
      </c>
    </row>
    <row r="904">
      <c r="A904">
        <f>'1 datos preparados'!A897</f>
        <v/>
      </c>
      <c r="B904" s="5">
        <f>'1 datos preparados'!U897</f>
        <v/>
      </c>
      <c r="C904">
        <f>'1 datos preparados'!B897</f>
        <v/>
      </c>
      <c r="D904" s="7">
        <f>'1 datos preparados'!C897</f>
        <v/>
      </c>
      <c r="E904" s="7">
        <f>'1 datos preparados'!D897</f>
        <v/>
      </c>
      <c r="F904" s="7">
        <f>'1 datos preparados'!E897</f>
        <v/>
      </c>
      <c r="G904" s="7">
        <f>'1 datos preparados'!F897</f>
        <v/>
      </c>
      <c r="H904" s="7">
        <f>'1 datos preparados'!G897</f>
        <v/>
      </c>
      <c r="I904" s="7">
        <f>'1 datos preparados'!H897</f>
        <v/>
      </c>
      <c r="J904" s="7">
        <f>'1 datos preparados'!I897</f>
        <v/>
      </c>
      <c r="K904" s="7">
        <f>'1 datos preparados'!J897</f>
        <v/>
      </c>
      <c r="L904" s="7">
        <f>'1 datos preparados'!K897</f>
        <v/>
      </c>
      <c r="M904" s="7">
        <f>'1 datos preparados'!L897</f>
        <v/>
      </c>
      <c r="N904" s="7">
        <f>'1 datos preparados'!M897</f>
        <v/>
      </c>
      <c r="O904" s="7">
        <f>'1 datos preparados'!N897</f>
        <v/>
      </c>
      <c r="P904" s="7">
        <f>'1 datos preparados'!O897</f>
        <v/>
      </c>
      <c r="Q904" s="7">
        <f>'1 datos preparados'!P897</f>
        <v/>
      </c>
      <c r="R904" s="7">
        <f>'1 datos preparados'!Q897</f>
        <v/>
      </c>
      <c r="S904" s="7">
        <f>'1 datos preparados'!R897</f>
        <v/>
      </c>
      <c r="T904" s="7">
        <f>'1 datos preparados'!S897</f>
        <v/>
      </c>
      <c r="U904" s="7">
        <f>'1 datos preparados'!T897</f>
        <v/>
      </c>
      <c r="V904" s="8">
        <f>$AC$12+D904*$AC$13+E904*$AC$14+F904*$AC$15+G904*$AC$16+H904*$AC$17+I904*$AC$18+J904*$AC$19+K904*$AC$20+L904*$AC$21+M904*$AC$22+N904*$AC$23+O904*$AC$24+P904*$AC$25+Q904*$AC$26+R904*$AC$27+S904*$AC$28+T904*$AC$29+U904*$AC$30</f>
        <v/>
      </c>
      <c r="W904" s="8">
        <f>1/(1+EXP(-V904))</f>
        <v/>
      </c>
      <c r="X904" s="9">
        <f>-IF(C904=1,LN(W904),LN(1-W904))</f>
        <v/>
      </c>
      <c r="Y904" s="10">
        <f>IF(W904&gt;$AC$33,1,0)</f>
        <v/>
      </c>
      <c r="Z904">
        <f>IF(Y904=C904,1,0)</f>
        <v/>
      </c>
    </row>
    <row r="905">
      <c r="A905">
        <f>'1 datos preparados'!A898</f>
        <v/>
      </c>
      <c r="B905" s="5">
        <f>'1 datos preparados'!U898</f>
        <v/>
      </c>
      <c r="C905">
        <f>'1 datos preparados'!B898</f>
        <v/>
      </c>
      <c r="D905" s="7">
        <f>'1 datos preparados'!C898</f>
        <v/>
      </c>
      <c r="E905" s="7">
        <f>'1 datos preparados'!D898</f>
        <v/>
      </c>
      <c r="F905" s="7">
        <f>'1 datos preparados'!E898</f>
        <v/>
      </c>
      <c r="G905" s="7">
        <f>'1 datos preparados'!F898</f>
        <v/>
      </c>
      <c r="H905" s="7">
        <f>'1 datos preparados'!G898</f>
        <v/>
      </c>
      <c r="I905" s="7">
        <f>'1 datos preparados'!H898</f>
        <v/>
      </c>
      <c r="J905" s="7">
        <f>'1 datos preparados'!I898</f>
        <v/>
      </c>
      <c r="K905" s="7">
        <f>'1 datos preparados'!J898</f>
        <v/>
      </c>
      <c r="L905" s="7">
        <f>'1 datos preparados'!K898</f>
        <v/>
      </c>
      <c r="M905" s="7">
        <f>'1 datos preparados'!L898</f>
        <v/>
      </c>
      <c r="N905" s="7">
        <f>'1 datos preparados'!M898</f>
        <v/>
      </c>
      <c r="O905" s="7">
        <f>'1 datos preparados'!N898</f>
        <v/>
      </c>
      <c r="P905" s="7">
        <f>'1 datos preparados'!O898</f>
        <v/>
      </c>
      <c r="Q905" s="7">
        <f>'1 datos preparados'!P898</f>
        <v/>
      </c>
      <c r="R905" s="7">
        <f>'1 datos preparados'!Q898</f>
        <v/>
      </c>
      <c r="S905" s="7">
        <f>'1 datos preparados'!R898</f>
        <v/>
      </c>
      <c r="T905" s="7">
        <f>'1 datos preparados'!S898</f>
        <v/>
      </c>
      <c r="U905" s="7">
        <f>'1 datos preparados'!T898</f>
        <v/>
      </c>
      <c r="V905" s="8">
        <f>$AC$12+D905*$AC$13+E905*$AC$14+F905*$AC$15+G905*$AC$16+H905*$AC$17+I905*$AC$18+J905*$AC$19+K905*$AC$20+L905*$AC$21+M905*$AC$22+N905*$AC$23+O905*$AC$24+P905*$AC$25+Q905*$AC$26+R905*$AC$27+S905*$AC$28+T905*$AC$29+U905*$AC$30</f>
        <v/>
      </c>
      <c r="W905" s="8">
        <f>1/(1+EXP(-V905))</f>
        <v/>
      </c>
      <c r="X905" s="9">
        <f>-IF(C905=1,LN(W905),LN(1-W905))</f>
        <v/>
      </c>
      <c r="Y905" s="10">
        <f>IF(W905&gt;$AC$33,1,0)</f>
        <v/>
      </c>
      <c r="Z905">
        <f>IF(Y905=C905,1,0)</f>
        <v/>
      </c>
    </row>
    <row r="906">
      <c r="A906">
        <f>'1 datos preparados'!A899</f>
        <v/>
      </c>
      <c r="B906" s="5">
        <f>'1 datos preparados'!U899</f>
        <v/>
      </c>
      <c r="C906">
        <f>'1 datos preparados'!B899</f>
        <v/>
      </c>
      <c r="D906" s="7">
        <f>'1 datos preparados'!C899</f>
        <v/>
      </c>
      <c r="E906" s="7">
        <f>'1 datos preparados'!D899</f>
        <v/>
      </c>
      <c r="F906" s="7">
        <f>'1 datos preparados'!E899</f>
        <v/>
      </c>
      <c r="G906" s="7">
        <f>'1 datos preparados'!F899</f>
        <v/>
      </c>
      <c r="H906" s="7">
        <f>'1 datos preparados'!G899</f>
        <v/>
      </c>
      <c r="I906" s="7">
        <f>'1 datos preparados'!H899</f>
        <v/>
      </c>
      <c r="J906" s="7">
        <f>'1 datos preparados'!I899</f>
        <v/>
      </c>
      <c r="K906" s="7">
        <f>'1 datos preparados'!J899</f>
        <v/>
      </c>
      <c r="L906" s="7">
        <f>'1 datos preparados'!K899</f>
        <v/>
      </c>
      <c r="M906" s="7">
        <f>'1 datos preparados'!L899</f>
        <v/>
      </c>
      <c r="N906" s="7">
        <f>'1 datos preparados'!M899</f>
        <v/>
      </c>
      <c r="O906" s="7">
        <f>'1 datos preparados'!N899</f>
        <v/>
      </c>
      <c r="P906" s="7">
        <f>'1 datos preparados'!O899</f>
        <v/>
      </c>
      <c r="Q906" s="7">
        <f>'1 datos preparados'!P899</f>
        <v/>
      </c>
      <c r="R906" s="7">
        <f>'1 datos preparados'!Q899</f>
        <v/>
      </c>
      <c r="S906" s="7">
        <f>'1 datos preparados'!R899</f>
        <v/>
      </c>
      <c r="T906" s="7">
        <f>'1 datos preparados'!S899</f>
        <v/>
      </c>
      <c r="U906" s="7">
        <f>'1 datos preparados'!T899</f>
        <v/>
      </c>
      <c r="V906" s="8">
        <f>$AC$12+D906*$AC$13+E906*$AC$14+F906*$AC$15+G906*$AC$16+H906*$AC$17+I906*$AC$18+J906*$AC$19+K906*$AC$20+L906*$AC$21+M906*$AC$22+N906*$AC$23+O906*$AC$24+P906*$AC$25+Q906*$AC$26+R906*$AC$27+S906*$AC$28+T906*$AC$29+U906*$AC$30</f>
        <v/>
      </c>
      <c r="W906" s="8">
        <f>1/(1+EXP(-V906))</f>
        <v/>
      </c>
      <c r="X906" s="9">
        <f>-IF(C906=1,LN(W906),LN(1-W906))</f>
        <v/>
      </c>
      <c r="Y906" s="10">
        <f>IF(W906&gt;$AC$33,1,0)</f>
        <v/>
      </c>
      <c r="Z906">
        <f>IF(Y906=C906,1,0)</f>
        <v/>
      </c>
    </row>
    <row r="907">
      <c r="A907">
        <f>'1 datos preparados'!A900</f>
        <v/>
      </c>
      <c r="B907" s="5">
        <f>'1 datos preparados'!U900</f>
        <v/>
      </c>
      <c r="C907">
        <f>'1 datos preparados'!B900</f>
        <v/>
      </c>
      <c r="D907" s="7">
        <f>'1 datos preparados'!C900</f>
        <v/>
      </c>
      <c r="E907" s="7">
        <f>'1 datos preparados'!D900</f>
        <v/>
      </c>
      <c r="F907" s="7">
        <f>'1 datos preparados'!E900</f>
        <v/>
      </c>
      <c r="G907" s="7">
        <f>'1 datos preparados'!F900</f>
        <v/>
      </c>
      <c r="H907" s="7">
        <f>'1 datos preparados'!G900</f>
        <v/>
      </c>
      <c r="I907" s="7">
        <f>'1 datos preparados'!H900</f>
        <v/>
      </c>
      <c r="J907" s="7">
        <f>'1 datos preparados'!I900</f>
        <v/>
      </c>
      <c r="K907" s="7">
        <f>'1 datos preparados'!J900</f>
        <v/>
      </c>
      <c r="L907" s="7">
        <f>'1 datos preparados'!K900</f>
        <v/>
      </c>
      <c r="M907" s="7">
        <f>'1 datos preparados'!L900</f>
        <v/>
      </c>
      <c r="N907" s="7">
        <f>'1 datos preparados'!M900</f>
        <v/>
      </c>
      <c r="O907" s="7">
        <f>'1 datos preparados'!N900</f>
        <v/>
      </c>
      <c r="P907" s="7">
        <f>'1 datos preparados'!O900</f>
        <v/>
      </c>
      <c r="Q907" s="7">
        <f>'1 datos preparados'!P900</f>
        <v/>
      </c>
      <c r="R907" s="7">
        <f>'1 datos preparados'!Q900</f>
        <v/>
      </c>
      <c r="S907" s="7">
        <f>'1 datos preparados'!R900</f>
        <v/>
      </c>
      <c r="T907" s="7">
        <f>'1 datos preparados'!S900</f>
        <v/>
      </c>
      <c r="U907" s="7">
        <f>'1 datos preparados'!T900</f>
        <v/>
      </c>
      <c r="V907" s="8">
        <f>$AC$12+D907*$AC$13+E907*$AC$14+F907*$AC$15+G907*$AC$16+H907*$AC$17+I907*$AC$18+J907*$AC$19+K907*$AC$20+L907*$AC$21+M907*$AC$22+N907*$AC$23+O907*$AC$24+P907*$AC$25+Q907*$AC$26+R907*$AC$27+S907*$AC$28+T907*$AC$29+U907*$AC$30</f>
        <v/>
      </c>
      <c r="W907" s="8">
        <f>1/(1+EXP(-V907))</f>
        <v/>
      </c>
      <c r="X907" s="9">
        <f>-IF(C907=1,LN(W907),LN(1-W907))</f>
        <v/>
      </c>
      <c r="Y907" s="10">
        <f>IF(W907&gt;$AC$33,1,0)</f>
        <v/>
      </c>
      <c r="Z907">
        <f>IF(Y907=C907,1,0)</f>
        <v/>
      </c>
    </row>
    <row r="908">
      <c r="A908">
        <f>'1 datos preparados'!A901</f>
        <v/>
      </c>
      <c r="B908" s="5">
        <f>'1 datos preparados'!U901</f>
        <v/>
      </c>
      <c r="C908">
        <f>'1 datos preparados'!B901</f>
        <v/>
      </c>
      <c r="D908" s="7">
        <f>'1 datos preparados'!C901</f>
        <v/>
      </c>
      <c r="E908" s="7">
        <f>'1 datos preparados'!D901</f>
        <v/>
      </c>
      <c r="F908" s="7">
        <f>'1 datos preparados'!E901</f>
        <v/>
      </c>
      <c r="G908" s="7">
        <f>'1 datos preparados'!F901</f>
        <v/>
      </c>
      <c r="H908" s="7">
        <f>'1 datos preparados'!G901</f>
        <v/>
      </c>
      <c r="I908" s="7">
        <f>'1 datos preparados'!H901</f>
        <v/>
      </c>
      <c r="J908" s="7">
        <f>'1 datos preparados'!I901</f>
        <v/>
      </c>
      <c r="K908" s="7">
        <f>'1 datos preparados'!J901</f>
        <v/>
      </c>
      <c r="L908" s="7">
        <f>'1 datos preparados'!K901</f>
        <v/>
      </c>
      <c r="M908" s="7">
        <f>'1 datos preparados'!L901</f>
        <v/>
      </c>
      <c r="N908" s="7">
        <f>'1 datos preparados'!M901</f>
        <v/>
      </c>
      <c r="O908" s="7">
        <f>'1 datos preparados'!N901</f>
        <v/>
      </c>
      <c r="P908" s="7">
        <f>'1 datos preparados'!O901</f>
        <v/>
      </c>
      <c r="Q908" s="7">
        <f>'1 datos preparados'!P901</f>
        <v/>
      </c>
      <c r="R908" s="7">
        <f>'1 datos preparados'!Q901</f>
        <v/>
      </c>
      <c r="S908" s="7">
        <f>'1 datos preparados'!R901</f>
        <v/>
      </c>
      <c r="T908" s="7">
        <f>'1 datos preparados'!S901</f>
        <v/>
      </c>
      <c r="U908" s="7">
        <f>'1 datos preparados'!T901</f>
        <v/>
      </c>
      <c r="V908" s="8">
        <f>$AC$12+D908*$AC$13+E908*$AC$14+F908*$AC$15+G908*$AC$16+H908*$AC$17+I908*$AC$18+J908*$AC$19+K908*$AC$20+L908*$AC$21+M908*$AC$22+N908*$AC$23+O908*$AC$24+P908*$AC$25+Q908*$AC$26+R908*$AC$27+S908*$AC$28+T908*$AC$29+U908*$AC$30</f>
        <v/>
      </c>
      <c r="W908" s="8">
        <f>1/(1+EXP(-V908))</f>
        <v/>
      </c>
      <c r="X908" s="9">
        <f>-IF(C908=1,LN(W908),LN(1-W908))</f>
        <v/>
      </c>
      <c r="Y908" s="10">
        <f>IF(W908&gt;$AC$33,1,0)</f>
        <v/>
      </c>
      <c r="Z908">
        <f>IF(Y908=C908,1,0)</f>
        <v/>
      </c>
    </row>
    <row r="909">
      <c r="A909">
        <f>'1 datos preparados'!A902</f>
        <v/>
      </c>
      <c r="B909" s="5">
        <f>'1 datos preparados'!U902</f>
        <v/>
      </c>
      <c r="C909">
        <f>'1 datos preparados'!B902</f>
        <v/>
      </c>
      <c r="D909" s="7">
        <f>'1 datos preparados'!C902</f>
        <v/>
      </c>
      <c r="E909" s="7">
        <f>'1 datos preparados'!D902</f>
        <v/>
      </c>
      <c r="F909" s="7">
        <f>'1 datos preparados'!E902</f>
        <v/>
      </c>
      <c r="G909" s="7">
        <f>'1 datos preparados'!F902</f>
        <v/>
      </c>
      <c r="H909" s="7">
        <f>'1 datos preparados'!G902</f>
        <v/>
      </c>
      <c r="I909" s="7">
        <f>'1 datos preparados'!H902</f>
        <v/>
      </c>
      <c r="J909" s="7">
        <f>'1 datos preparados'!I902</f>
        <v/>
      </c>
      <c r="K909" s="7">
        <f>'1 datos preparados'!J902</f>
        <v/>
      </c>
      <c r="L909" s="7">
        <f>'1 datos preparados'!K902</f>
        <v/>
      </c>
      <c r="M909" s="7">
        <f>'1 datos preparados'!L902</f>
        <v/>
      </c>
      <c r="N909" s="7">
        <f>'1 datos preparados'!M902</f>
        <v/>
      </c>
      <c r="O909" s="7">
        <f>'1 datos preparados'!N902</f>
        <v/>
      </c>
      <c r="P909" s="7">
        <f>'1 datos preparados'!O902</f>
        <v/>
      </c>
      <c r="Q909" s="7">
        <f>'1 datos preparados'!P902</f>
        <v/>
      </c>
      <c r="R909" s="7">
        <f>'1 datos preparados'!Q902</f>
        <v/>
      </c>
      <c r="S909" s="7">
        <f>'1 datos preparados'!R902</f>
        <v/>
      </c>
      <c r="T909" s="7">
        <f>'1 datos preparados'!S902</f>
        <v/>
      </c>
      <c r="U909" s="7">
        <f>'1 datos preparados'!T902</f>
        <v/>
      </c>
      <c r="V909" s="8">
        <f>$AC$12+D909*$AC$13+E909*$AC$14+F909*$AC$15+G909*$AC$16+H909*$AC$17+I909*$AC$18+J909*$AC$19+K909*$AC$20+L909*$AC$21+M909*$AC$22+N909*$AC$23+O909*$AC$24+P909*$AC$25+Q909*$AC$26+R909*$AC$27+S909*$AC$28+T909*$AC$29+U909*$AC$30</f>
        <v/>
      </c>
      <c r="W909" s="8">
        <f>1/(1+EXP(-V909))</f>
        <v/>
      </c>
      <c r="X909" s="9">
        <f>-IF(C909=1,LN(W909),LN(1-W909))</f>
        <v/>
      </c>
      <c r="Y909" s="10">
        <f>IF(W909&gt;$AC$33,1,0)</f>
        <v/>
      </c>
      <c r="Z909">
        <f>IF(Y909=C909,1,0)</f>
        <v/>
      </c>
    </row>
    <row r="910">
      <c r="A910">
        <f>'1 datos preparados'!A903</f>
        <v/>
      </c>
      <c r="B910" s="5">
        <f>'1 datos preparados'!U903</f>
        <v/>
      </c>
      <c r="C910">
        <f>'1 datos preparados'!B903</f>
        <v/>
      </c>
      <c r="D910" s="7">
        <f>'1 datos preparados'!C903</f>
        <v/>
      </c>
      <c r="E910" s="7">
        <f>'1 datos preparados'!D903</f>
        <v/>
      </c>
      <c r="F910" s="7">
        <f>'1 datos preparados'!E903</f>
        <v/>
      </c>
      <c r="G910" s="7">
        <f>'1 datos preparados'!F903</f>
        <v/>
      </c>
      <c r="H910" s="7">
        <f>'1 datos preparados'!G903</f>
        <v/>
      </c>
      <c r="I910" s="7">
        <f>'1 datos preparados'!H903</f>
        <v/>
      </c>
      <c r="J910" s="7">
        <f>'1 datos preparados'!I903</f>
        <v/>
      </c>
      <c r="K910" s="7">
        <f>'1 datos preparados'!J903</f>
        <v/>
      </c>
      <c r="L910" s="7">
        <f>'1 datos preparados'!K903</f>
        <v/>
      </c>
      <c r="M910" s="7">
        <f>'1 datos preparados'!L903</f>
        <v/>
      </c>
      <c r="N910" s="7">
        <f>'1 datos preparados'!M903</f>
        <v/>
      </c>
      <c r="O910" s="7">
        <f>'1 datos preparados'!N903</f>
        <v/>
      </c>
      <c r="P910" s="7">
        <f>'1 datos preparados'!O903</f>
        <v/>
      </c>
      <c r="Q910" s="7">
        <f>'1 datos preparados'!P903</f>
        <v/>
      </c>
      <c r="R910" s="7">
        <f>'1 datos preparados'!Q903</f>
        <v/>
      </c>
      <c r="S910" s="7">
        <f>'1 datos preparados'!R903</f>
        <v/>
      </c>
      <c r="T910" s="7">
        <f>'1 datos preparados'!S903</f>
        <v/>
      </c>
      <c r="U910" s="7">
        <f>'1 datos preparados'!T903</f>
        <v/>
      </c>
      <c r="V910" s="8">
        <f>$AC$12+D910*$AC$13+E910*$AC$14+F910*$AC$15+G910*$AC$16+H910*$AC$17+I910*$AC$18+J910*$AC$19+K910*$AC$20+L910*$AC$21+M910*$AC$22+N910*$AC$23+O910*$AC$24+P910*$AC$25+Q910*$AC$26+R910*$AC$27+S910*$AC$28+T910*$AC$29+U910*$AC$30</f>
        <v/>
      </c>
      <c r="W910" s="8">
        <f>1/(1+EXP(-V910))</f>
        <v/>
      </c>
      <c r="X910" s="9">
        <f>-IF(C910=1,LN(W910),LN(1-W910))</f>
        <v/>
      </c>
      <c r="Y910" s="10">
        <f>IF(W910&gt;$AC$33,1,0)</f>
        <v/>
      </c>
      <c r="Z910">
        <f>IF(Y910=C910,1,0)</f>
        <v/>
      </c>
    </row>
    <row r="911">
      <c r="A911">
        <f>'1 datos preparados'!A904</f>
        <v/>
      </c>
      <c r="B911" s="5">
        <f>'1 datos preparados'!U904</f>
        <v/>
      </c>
      <c r="C911">
        <f>'1 datos preparados'!B904</f>
        <v/>
      </c>
      <c r="D911" s="7">
        <f>'1 datos preparados'!C904</f>
        <v/>
      </c>
      <c r="E911" s="7">
        <f>'1 datos preparados'!D904</f>
        <v/>
      </c>
      <c r="F911" s="7">
        <f>'1 datos preparados'!E904</f>
        <v/>
      </c>
      <c r="G911" s="7">
        <f>'1 datos preparados'!F904</f>
        <v/>
      </c>
      <c r="H911" s="7">
        <f>'1 datos preparados'!G904</f>
        <v/>
      </c>
      <c r="I911" s="7">
        <f>'1 datos preparados'!H904</f>
        <v/>
      </c>
      <c r="J911" s="7">
        <f>'1 datos preparados'!I904</f>
        <v/>
      </c>
      <c r="K911" s="7">
        <f>'1 datos preparados'!J904</f>
        <v/>
      </c>
      <c r="L911" s="7">
        <f>'1 datos preparados'!K904</f>
        <v/>
      </c>
      <c r="M911" s="7">
        <f>'1 datos preparados'!L904</f>
        <v/>
      </c>
      <c r="N911" s="7">
        <f>'1 datos preparados'!M904</f>
        <v/>
      </c>
      <c r="O911" s="7">
        <f>'1 datos preparados'!N904</f>
        <v/>
      </c>
      <c r="P911" s="7">
        <f>'1 datos preparados'!O904</f>
        <v/>
      </c>
      <c r="Q911" s="7">
        <f>'1 datos preparados'!P904</f>
        <v/>
      </c>
      <c r="R911" s="7">
        <f>'1 datos preparados'!Q904</f>
        <v/>
      </c>
      <c r="S911" s="7">
        <f>'1 datos preparados'!R904</f>
        <v/>
      </c>
      <c r="T911" s="7">
        <f>'1 datos preparados'!S904</f>
        <v/>
      </c>
      <c r="U911" s="7">
        <f>'1 datos preparados'!T904</f>
        <v/>
      </c>
      <c r="V911" s="8">
        <f>$AC$12+D911*$AC$13+E911*$AC$14+F911*$AC$15+G911*$AC$16+H911*$AC$17+I911*$AC$18+J911*$AC$19+K911*$AC$20+L911*$AC$21+M911*$AC$22+N911*$AC$23+O911*$AC$24+P911*$AC$25+Q911*$AC$26+R911*$AC$27+S911*$AC$28+T911*$AC$29+U911*$AC$30</f>
        <v/>
      </c>
      <c r="W911" s="8">
        <f>1/(1+EXP(-V911))</f>
        <v/>
      </c>
      <c r="X911" s="9">
        <f>-IF(C911=1,LN(W911),LN(1-W911))</f>
        <v/>
      </c>
      <c r="Y911" s="10">
        <f>IF(W911&gt;$AC$33,1,0)</f>
        <v/>
      </c>
      <c r="Z911">
        <f>IF(Y911=C911,1,0)</f>
        <v/>
      </c>
    </row>
    <row r="912">
      <c r="A912">
        <f>'1 datos preparados'!A905</f>
        <v/>
      </c>
      <c r="B912" s="5">
        <f>'1 datos preparados'!U905</f>
        <v/>
      </c>
      <c r="C912">
        <f>'1 datos preparados'!B905</f>
        <v/>
      </c>
      <c r="D912" s="7">
        <f>'1 datos preparados'!C905</f>
        <v/>
      </c>
      <c r="E912" s="7">
        <f>'1 datos preparados'!D905</f>
        <v/>
      </c>
      <c r="F912" s="7">
        <f>'1 datos preparados'!E905</f>
        <v/>
      </c>
      <c r="G912" s="7">
        <f>'1 datos preparados'!F905</f>
        <v/>
      </c>
      <c r="H912" s="7">
        <f>'1 datos preparados'!G905</f>
        <v/>
      </c>
      <c r="I912" s="7">
        <f>'1 datos preparados'!H905</f>
        <v/>
      </c>
      <c r="J912" s="7">
        <f>'1 datos preparados'!I905</f>
        <v/>
      </c>
      <c r="K912" s="7">
        <f>'1 datos preparados'!J905</f>
        <v/>
      </c>
      <c r="L912" s="7">
        <f>'1 datos preparados'!K905</f>
        <v/>
      </c>
      <c r="M912" s="7">
        <f>'1 datos preparados'!L905</f>
        <v/>
      </c>
      <c r="N912" s="7">
        <f>'1 datos preparados'!M905</f>
        <v/>
      </c>
      <c r="O912" s="7">
        <f>'1 datos preparados'!N905</f>
        <v/>
      </c>
      <c r="P912" s="7">
        <f>'1 datos preparados'!O905</f>
        <v/>
      </c>
      <c r="Q912" s="7">
        <f>'1 datos preparados'!P905</f>
        <v/>
      </c>
      <c r="R912" s="7">
        <f>'1 datos preparados'!Q905</f>
        <v/>
      </c>
      <c r="S912" s="7">
        <f>'1 datos preparados'!R905</f>
        <v/>
      </c>
      <c r="T912" s="7">
        <f>'1 datos preparados'!S905</f>
        <v/>
      </c>
      <c r="U912" s="7">
        <f>'1 datos preparados'!T905</f>
        <v/>
      </c>
      <c r="V912" s="8">
        <f>$AC$12+D912*$AC$13+E912*$AC$14+F912*$AC$15+G912*$AC$16+H912*$AC$17+I912*$AC$18+J912*$AC$19+K912*$AC$20+L912*$AC$21+M912*$AC$22+N912*$AC$23+O912*$AC$24+P912*$AC$25+Q912*$AC$26+R912*$AC$27+S912*$AC$28+T912*$AC$29+U912*$AC$30</f>
        <v/>
      </c>
      <c r="W912" s="8">
        <f>1/(1+EXP(-V912))</f>
        <v/>
      </c>
      <c r="X912" s="9">
        <f>-IF(C912=1,LN(W912),LN(1-W912))</f>
        <v/>
      </c>
      <c r="Y912" s="10">
        <f>IF(W912&gt;$AC$33,1,0)</f>
        <v/>
      </c>
      <c r="Z912">
        <f>IF(Y912=C912,1,0)</f>
        <v/>
      </c>
    </row>
    <row r="913">
      <c r="A913">
        <f>'1 datos preparados'!A906</f>
        <v/>
      </c>
      <c r="B913" s="5">
        <f>'1 datos preparados'!U906</f>
        <v/>
      </c>
      <c r="C913">
        <f>'1 datos preparados'!B906</f>
        <v/>
      </c>
      <c r="D913" s="7">
        <f>'1 datos preparados'!C906</f>
        <v/>
      </c>
      <c r="E913" s="7">
        <f>'1 datos preparados'!D906</f>
        <v/>
      </c>
      <c r="F913" s="7">
        <f>'1 datos preparados'!E906</f>
        <v/>
      </c>
      <c r="G913" s="7">
        <f>'1 datos preparados'!F906</f>
        <v/>
      </c>
      <c r="H913" s="7">
        <f>'1 datos preparados'!G906</f>
        <v/>
      </c>
      <c r="I913" s="7">
        <f>'1 datos preparados'!H906</f>
        <v/>
      </c>
      <c r="J913" s="7">
        <f>'1 datos preparados'!I906</f>
        <v/>
      </c>
      <c r="K913" s="7">
        <f>'1 datos preparados'!J906</f>
        <v/>
      </c>
      <c r="L913" s="7">
        <f>'1 datos preparados'!K906</f>
        <v/>
      </c>
      <c r="M913" s="7">
        <f>'1 datos preparados'!L906</f>
        <v/>
      </c>
      <c r="N913" s="7">
        <f>'1 datos preparados'!M906</f>
        <v/>
      </c>
      <c r="O913" s="7">
        <f>'1 datos preparados'!N906</f>
        <v/>
      </c>
      <c r="P913" s="7">
        <f>'1 datos preparados'!O906</f>
        <v/>
      </c>
      <c r="Q913" s="7">
        <f>'1 datos preparados'!P906</f>
        <v/>
      </c>
      <c r="R913" s="7">
        <f>'1 datos preparados'!Q906</f>
        <v/>
      </c>
      <c r="S913" s="7">
        <f>'1 datos preparados'!R906</f>
        <v/>
      </c>
      <c r="T913" s="7">
        <f>'1 datos preparados'!S906</f>
        <v/>
      </c>
      <c r="U913" s="7">
        <f>'1 datos preparados'!T906</f>
        <v/>
      </c>
      <c r="V913" s="8">
        <f>$AC$12+D913*$AC$13+E913*$AC$14+F913*$AC$15+G913*$AC$16+H913*$AC$17+I913*$AC$18+J913*$AC$19+K913*$AC$20+L913*$AC$21+M913*$AC$22+N913*$AC$23+O913*$AC$24+P913*$AC$25+Q913*$AC$26+R913*$AC$27+S913*$AC$28+T913*$AC$29+U913*$AC$30</f>
        <v/>
      </c>
      <c r="W913" s="8">
        <f>1/(1+EXP(-V913))</f>
        <v/>
      </c>
      <c r="X913" s="9">
        <f>-IF(C913=1,LN(W913),LN(1-W913))</f>
        <v/>
      </c>
      <c r="Y913" s="10">
        <f>IF(W913&gt;$AC$33,1,0)</f>
        <v/>
      </c>
      <c r="Z913">
        <f>IF(Y913=C913,1,0)</f>
        <v/>
      </c>
    </row>
    <row r="914">
      <c r="A914">
        <f>'1 datos preparados'!A907</f>
        <v/>
      </c>
      <c r="B914" s="5">
        <f>'1 datos preparados'!U907</f>
        <v/>
      </c>
      <c r="C914">
        <f>'1 datos preparados'!B907</f>
        <v/>
      </c>
      <c r="D914" s="7">
        <f>'1 datos preparados'!C907</f>
        <v/>
      </c>
      <c r="E914" s="7">
        <f>'1 datos preparados'!D907</f>
        <v/>
      </c>
      <c r="F914" s="7">
        <f>'1 datos preparados'!E907</f>
        <v/>
      </c>
      <c r="G914" s="7">
        <f>'1 datos preparados'!F907</f>
        <v/>
      </c>
      <c r="H914" s="7">
        <f>'1 datos preparados'!G907</f>
        <v/>
      </c>
      <c r="I914" s="7">
        <f>'1 datos preparados'!H907</f>
        <v/>
      </c>
      <c r="J914" s="7">
        <f>'1 datos preparados'!I907</f>
        <v/>
      </c>
      <c r="K914" s="7">
        <f>'1 datos preparados'!J907</f>
        <v/>
      </c>
      <c r="L914" s="7">
        <f>'1 datos preparados'!K907</f>
        <v/>
      </c>
      <c r="M914" s="7">
        <f>'1 datos preparados'!L907</f>
        <v/>
      </c>
      <c r="N914" s="7">
        <f>'1 datos preparados'!M907</f>
        <v/>
      </c>
      <c r="O914" s="7">
        <f>'1 datos preparados'!N907</f>
        <v/>
      </c>
      <c r="P914" s="7">
        <f>'1 datos preparados'!O907</f>
        <v/>
      </c>
      <c r="Q914" s="7">
        <f>'1 datos preparados'!P907</f>
        <v/>
      </c>
      <c r="R914" s="7">
        <f>'1 datos preparados'!Q907</f>
        <v/>
      </c>
      <c r="S914" s="7">
        <f>'1 datos preparados'!R907</f>
        <v/>
      </c>
      <c r="T914" s="7">
        <f>'1 datos preparados'!S907</f>
        <v/>
      </c>
      <c r="U914" s="7">
        <f>'1 datos preparados'!T907</f>
        <v/>
      </c>
      <c r="V914" s="8">
        <f>$AC$12+D914*$AC$13+E914*$AC$14+F914*$AC$15+G914*$AC$16+H914*$AC$17+I914*$AC$18+J914*$AC$19+K914*$AC$20+L914*$AC$21+M914*$AC$22+N914*$AC$23+O914*$AC$24+P914*$AC$25+Q914*$AC$26+R914*$AC$27+S914*$AC$28+T914*$AC$29+U914*$AC$30</f>
        <v/>
      </c>
      <c r="W914" s="8">
        <f>1/(1+EXP(-V914))</f>
        <v/>
      </c>
      <c r="X914" s="9">
        <f>-IF(C914=1,LN(W914),LN(1-W914))</f>
        <v/>
      </c>
      <c r="Y914" s="10">
        <f>IF(W914&gt;$AC$33,1,0)</f>
        <v/>
      </c>
      <c r="Z914">
        <f>IF(Y914=C914,1,0)</f>
        <v/>
      </c>
    </row>
    <row r="915">
      <c r="A915">
        <f>'1 datos preparados'!A908</f>
        <v/>
      </c>
      <c r="B915" s="5">
        <f>'1 datos preparados'!U908</f>
        <v/>
      </c>
      <c r="C915">
        <f>'1 datos preparados'!B908</f>
        <v/>
      </c>
      <c r="D915" s="7">
        <f>'1 datos preparados'!C908</f>
        <v/>
      </c>
      <c r="E915" s="7">
        <f>'1 datos preparados'!D908</f>
        <v/>
      </c>
      <c r="F915" s="7">
        <f>'1 datos preparados'!E908</f>
        <v/>
      </c>
      <c r="G915" s="7">
        <f>'1 datos preparados'!F908</f>
        <v/>
      </c>
      <c r="H915" s="7">
        <f>'1 datos preparados'!G908</f>
        <v/>
      </c>
      <c r="I915" s="7">
        <f>'1 datos preparados'!H908</f>
        <v/>
      </c>
      <c r="J915" s="7">
        <f>'1 datos preparados'!I908</f>
        <v/>
      </c>
      <c r="K915" s="7">
        <f>'1 datos preparados'!J908</f>
        <v/>
      </c>
      <c r="L915" s="7">
        <f>'1 datos preparados'!K908</f>
        <v/>
      </c>
      <c r="M915" s="7">
        <f>'1 datos preparados'!L908</f>
        <v/>
      </c>
      <c r="N915" s="7">
        <f>'1 datos preparados'!M908</f>
        <v/>
      </c>
      <c r="O915" s="7">
        <f>'1 datos preparados'!N908</f>
        <v/>
      </c>
      <c r="P915" s="7">
        <f>'1 datos preparados'!O908</f>
        <v/>
      </c>
      <c r="Q915" s="7">
        <f>'1 datos preparados'!P908</f>
        <v/>
      </c>
      <c r="R915" s="7">
        <f>'1 datos preparados'!Q908</f>
        <v/>
      </c>
      <c r="S915" s="7">
        <f>'1 datos preparados'!R908</f>
        <v/>
      </c>
      <c r="T915" s="7">
        <f>'1 datos preparados'!S908</f>
        <v/>
      </c>
      <c r="U915" s="7">
        <f>'1 datos preparados'!T908</f>
        <v/>
      </c>
      <c r="V915" s="8">
        <f>$AC$12+D915*$AC$13+E915*$AC$14+F915*$AC$15+G915*$AC$16+H915*$AC$17+I915*$AC$18+J915*$AC$19+K915*$AC$20+L915*$AC$21+M915*$AC$22+N915*$AC$23+O915*$AC$24+P915*$AC$25+Q915*$AC$26+R915*$AC$27+S915*$AC$28+T915*$AC$29+U915*$AC$30</f>
        <v/>
      </c>
      <c r="W915" s="8">
        <f>1/(1+EXP(-V915))</f>
        <v/>
      </c>
      <c r="X915" s="9">
        <f>-IF(C915=1,LN(W915),LN(1-W915))</f>
        <v/>
      </c>
      <c r="Y915" s="10">
        <f>IF(W915&gt;$AC$33,1,0)</f>
        <v/>
      </c>
      <c r="Z915">
        <f>IF(Y915=C915,1,0)</f>
        <v/>
      </c>
    </row>
    <row r="916">
      <c r="A916">
        <f>'1 datos preparados'!A909</f>
        <v/>
      </c>
      <c r="B916" s="5">
        <f>'1 datos preparados'!U909</f>
        <v/>
      </c>
      <c r="C916">
        <f>'1 datos preparados'!B909</f>
        <v/>
      </c>
      <c r="D916" s="7">
        <f>'1 datos preparados'!C909</f>
        <v/>
      </c>
      <c r="E916" s="7">
        <f>'1 datos preparados'!D909</f>
        <v/>
      </c>
      <c r="F916" s="7">
        <f>'1 datos preparados'!E909</f>
        <v/>
      </c>
      <c r="G916" s="7">
        <f>'1 datos preparados'!F909</f>
        <v/>
      </c>
      <c r="H916" s="7">
        <f>'1 datos preparados'!G909</f>
        <v/>
      </c>
      <c r="I916" s="7">
        <f>'1 datos preparados'!H909</f>
        <v/>
      </c>
      <c r="J916" s="7">
        <f>'1 datos preparados'!I909</f>
        <v/>
      </c>
      <c r="K916" s="7">
        <f>'1 datos preparados'!J909</f>
        <v/>
      </c>
      <c r="L916" s="7">
        <f>'1 datos preparados'!K909</f>
        <v/>
      </c>
      <c r="M916" s="7">
        <f>'1 datos preparados'!L909</f>
        <v/>
      </c>
      <c r="N916" s="7">
        <f>'1 datos preparados'!M909</f>
        <v/>
      </c>
      <c r="O916" s="7">
        <f>'1 datos preparados'!N909</f>
        <v/>
      </c>
      <c r="P916" s="7">
        <f>'1 datos preparados'!O909</f>
        <v/>
      </c>
      <c r="Q916" s="7">
        <f>'1 datos preparados'!P909</f>
        <v/>
      </c>
      <c r="R916" s="7">
        <f>'1 datos preparados'!Q909</f>
        <v/>
      </c>
      <c r="S916" s="7">
        <f>'1 datos preparados'!R909</f>
        <v/>
      </c>
      <c r="T916" s="7">
        <f>'1 datos preparados'!S909</f>
        <v/>
      </c>
      <c r="U916" s="7">
        <f>'1 datos preparados'!T909</f>
        <v/>
      </c>
      <c r="V916" s="8">
        <f>$AC$12+D916*$AC$13+E916*$AC$14+F916*$AC$15+G916*$AC$16+H916*$AC$17+I916*$AC$18+J916*$AC$19+K916*$AC$20+L916*$AC$21+M916*$AC$22+N916*$AC$23+O916*$AC$24+P916*$AC$25+Q916*$AC$26+R916*$AC$27+S916*$AC$28+T916*$AC$29+U916*$AC$30</f>
        <v/>
      </c>
      <c r="W916" s="8">
        <f>1/(1+EXP(-V916))</f>
        <v/>
      </c>
      <c r="X916" s="9">
        <f>-IF(C916=1,LN(W916),LN(1-W916))</f>
        <v/>
      </c>
      <c r="Y916" s="10">
        <f>IF(W916&gt;$AC$33,1,0)</f>
        <v/>
      </c>
      <c r="Z916">
        <f>IF(Y916=C916,1,0)</f>
        <v/>
      </c>
    </row>
    <row r="917">
      <c r="A917">
        <f>'1 datos preparados'!A910</f>
        <v/>
      </c>
      <c r="B917" s="5">
        <f>'1 datos preparados'!U910</f>
        <v/>
      </c>
      <c r="C917">
        <f>'1 datos preparados'!B910</f>
        <v/>
      </c>
      <c r="D917" s="7">
        <f>'1 datos preparados'!C910</f>
        <v/>
      </c>
      <c r="E917" s="7">
        <f>'1 datos preparados'!D910</f>
        <v/>
      </c>
      <c r="F917" s="7">
        <f>'1 datos preparados'!E910</f>
        <v/>
      </c>
      <c r="G917" s="7">
        <f>'1 datos preparados'!F910</f>
        <v/>
      </c>
      <c r="H917" s="7">
        <f>'1 datos preparados'!G910</f>
        <v/>
      </c>
      <c r="I917" s="7">
        <f>'1 datos preparados'!H910</f>
        <v/>
      </c>
      <c r="J917" s="7">
        <f>'1 datos preparados'!I910</f>
        <v/>
      </c>
      <c r="K917" s="7">
        <f>'1 datos preparados'!J910</f>
        <v/>
      </c>
      <c r="L917" s="7">
        <f>'1 datos preparados'!K910</f>
        <v/>
      </c>
      <c r="M917" s="7">
        <f>'1 datos preparados'!L910</f>
        <v/>
      </c>
      <c r="N917" s="7">
        <f>'1 datos preparados'!M910</f>
        <v/>
      </c>
      <c r="O917" s="7">
        <f>'1 datos preparados'!N910</f>
        <v/>
      </c>
      <c r="P917" s="7">
        <f>'1 datos preparados'!O910</f>
        <v/>
      </c>
      <c r="Q917" s="7">
        <f>'1 datos preparados'!P910</f>
        <v/>
      </c>
      <c r="R917" s="7">
        <f>'1 datos preparados'!Q910</f>
        <v/>
      </c>
      <c r="S917" s="7">
        <f>'1 datos preparados'!R910</f>
        <v/>
      </c>
      <c r="T917" s="7">
        <f>'1 datos preparados'!S910</f>
        <v/>
      </c>
      <c r="U917" s="7">
        <f>'1 datos preparados'!T910</f>
        <v/>
      </c>
      <c r="V917" s="8">
        <f>$AC$12+D917*$AC$13+E917*$AC$14+F917*$AC$15+G917*$AC$16+H917*$AC$17+I917*$AC$18+J917*$AC$19+K917*$AC$20+L917*$AC$21+M917*$AC$22+N917*$AC$23+O917*$AC$24+P917*$AC$25+Q917*$AC$26+R917*$AC$27+S917*$AC$28+T917*$AC$29+U917*$AC$30</f>
        <v/>
      </c>
      <c r="W917" s="8">
        <f>1/(1+EXP(-V917))</f>
        <v/>
      </c>
      <c r="X917" s="9">
        <f>-IF(C917=1,LN(W917),LN(1-W917))</f>
        <v/>
      </c>
      <c r="Y917" s="10">
        <f>IF(W917&gt;$AC$33,1,0)</f>
        <v/>
      </c>
      <c r="Z917">
        <f>IF(Y917=C917,1,0)</f>
        <v/>
      </c>
    </row>
    <row r="918">
      <c r="A918">
        <f>'1 datos preparados'!A911</f>
        <v/>
      </c>
      <c r="B918" s="5">
        <f>'1 datos preparados'!U911</f>
        <v/>
      </c>
      <c r="C918">
        <f>'1 datos preparados'!B911</f>
        <v/>
      </c>
      <c r="D918" s="7">
        <f>'1 datos preparados'!C911</f>
        <v/>
      </c>
      <c r="E918" s="7">
        <f>'1 datos preparados'!D911</f>
        <v/>
      </c>
      <c r="F918" s="7">
        <f>'1 datos preparados'!E911</f>
        <v/>
      </c>
      <c r="G918" s="7">
        <f>'1 datos preparados'!F911</f>
        <v/>
      </c>
      <c r="H918" s="7">
        <f>'1 datos preparados'!G911</f>
        <v/>
      </c>
      <c r="I918" s="7">
        <f>'1 datos preparados'!H911</f>
        <v/>
      </c>
      <c r="J918" s="7">
        <f>'1 datos preparados'!I911</f>
        <v/>
      </c>
      <c r="K918" s="7">
        <f>'1 datos preparados'!J911</f>
        <v/>
      </c>
      <c r="L918" s="7">
        <f>'1 datos preparados'!K911</f>
        <v/>
      </c>
      <c r="M918" s="7">
        <f>'1 datos preparados'!L911</f>
        <v/>
      </c>
      <c r="N918" s="7">
        <f>'1 datos preparados'!M911</f>
        <v/>
      </c>
      <c r="O918" s="7">
        <f>'1 datos preparados'!N911</f>
        <v/>
      </c>
      <c r="P918" s="7">
        <f>'1 datos preparados'!O911</f>
        <v/>
      </c>
      <c r="Q918" s="7">
        <f>'1 datos preparados'!P911</f>
        <v/>
      </c>
      <c r="R918" s="7">
        <f>'1 datos preparados'!Q911</f>
        <v/>
      </c>
      <c r="S918" s="7">
        <f>'1 datos preparados'!R911</f>
        <v/>
      </c>
      <c r="T918" s="7">
        <f>'1 datos preparados'!S911</f>
        <v/>
      </c>
      <c r="U918" s="7">
        <f>'1 datos preparados'!T911</f>
        <v/>
      </c>
      <c r="V918" s="8">
        <f>$AC$12+D918*$AC$13+E918*$AC$14+F918*$AC$15+G918*$AC$16+H918*$AC$17+I918*$AC$18+J918*$AC$19+K918*$AC$20+L918*$AC$21+M918*$AC$22+N918*$AC$23+O918*$AC$24+P918*$AC$25+Q918*$AC$26+R918*$AC$27+S918*$AC$28+T918*$AC$29+U918*$AC$30</f>
        <v/>
      </c>
      <c r="W918" s="8">
        <f>1/(1+EXP(-V918))</f>
        <v/>
      </c>
      <c r="X918" s="9">
        <f>-IF(C918=1,LN(W918),LN(1-W918))</f>
        <v/>
      </c>
      <c r="Y918" s="10">
        <f>IF(W918&gt;$AC$33,1,0)</f>
        <v/>
      </c>
      <c r="Z918">
        <f>IF(Y918=C918,1,0)</f>
        <v/>
      </c>
    </row>
    <row r="919">
      <c r="A919">
        <f>'1 datos preparados'!A912</f>
        <v/>
      </c>
      <c r="B919" s="5">
        <f>'1 datos preparados'!U912</f>
        <v/>
      </c>
      <c r="C919">
        <f>'1 datos preparados'!B912</f>
        <v/>
      </c>
      <c r="D919" s="7">
        <f>'1 datos preparados'!C912</f>
        <v/>
      </c>
      <c r="E919" s="7">
        <f>'1 datos preparados'!D912</f>
        <v/>
      </c>
      <c r="F919" s="7">
        <f>'1 datos preparados'!E912</f>
        <v/>
      </c>
      <c r="G919" s="7">
        <f>'1 datos preparados'!F912</f>
        <v/>
      </c>
      <c r="H919" s="7">
        <f>'1 datos preparados'!G912</f>
        <v/>
      </c>
      <c r="I919" s="7">
        <f>'1 datos preparados'!H912</f>
        <v/>
      </c>
      <c r="J919" s="7">
        <f>'1 datos preparados'!I912</f>
        <v/>
      </c>
      <c r="K919" s="7">
        <f>'1 datos preparados'!J912</f>
        <v/>
      </c>
      <c r="L919" s="7">
        <f>'1 datos preparados'!K912</f>
        <v/>
      </c>
      <c r="M919" s="7">
        <f>'1 datos preparados'!L912</f>
        <v/>
      </c>
      <c r="N919" s="7">
        <f>'1 datos preparados'!M912</f>
        <v/>
      </c>
      <c r="O919" s="7">
        <f>'1 datos preparados'!N912</f>
        <v/>
      </c>
      <c r="P919" s="7">
        <f>'1 datos preparados'!O912</f>
        <v/>
      </c>
      <c r="Q919" s="7">
        <f>'1 datos preparados'!P912</f>
        <v/>
      </c>
      <c r="R919" s="7">
        <f>'1 datos preparados'!Q912</f>
        <v/>
      </c>
      <c r="S919" s="7">
        <f>'1 datos preparados'!R912</f>
        <v/>
      </c>
      <c r="T919" s="7">
        <f>'1 datos preparados'!S912</f>
        <v/>
      </c>
      <c r="U919" s="7">
        <f>'1 datos preparados'!T912</f>
        <v/>
      </c>
      <c r="V919" s="8">
        <f>$AC$12+D919*$AC$13+E919*$AC$14+F919*$AC$15+G919*$AC$16+H919*$AC$17+I919*$AC$18+J919*$AC$19+K919*$AC$20+L919*$AC$21+M919*$AC$22+N919*$AC$23+O919*$AC$24+P919*$AC$25+Q919*$AC$26+R919*$AC$27+S919*$AC$28+T919*$AC$29+U919*$AC$30</f>
        <v/>
      </c>
      <c r="W919" s="8">
        <f>1/(1+EXP(-V919))</f>
        <v/>
      </c>
      <c r="X919" s="9">
        <f>-IF(C919=1,LN(W919),LN(1-W919))</f>
        <v/>
      </c>
      <c r="Y919" s="10">
        <f>IF(W919&gt;$AC$33,1,0)</f>
        <v/>
      </c>
      <c r="Z919">
        <f>IF(Y919=C919,1,0)</f>
        <v/>
      </c>
    </row>
    <row r="920">
      <c r="A920">
        <f>'1 datos preparados'!A913</f>
        <v/>
      </c>
      <c r="B920" s="5">
        <f>'1 datos preparados'!U913</f>
        <v/>
      </c>
      <c r="C920">
        <f>'1 datos preparados'!B913</f>
        <v/>
      </c>
      <c r="D920" s="7">
        <f>'1 datos preparados'!C913</f>
        <v/>
      </c>
      <c r="E920" s="7">
        <f>'1 datos preparados'!D913</f>
        <v/>
      </c>
      <c r="F920" s="7">
        <f>'1 datos preparados'!E913</f>
        <v/>
      </c>
      <c r="G920" s="7">
        <f>'1 datos preparados'!F913</f>
        <v/>
      </c>
      <c r="H920" s="7">
        <f>'1 datos preparados'!G913</f>
        <v/>
      </c>
      <c r="I920" s="7">
        <f>'1 datos preparados'!H913</f>
        <v/>
      </c>
      <c r="J920" s="7">
        <f>'1 datos preparados'!I913</f>
        <v/>
      </c>
      <c r="K920" s="7">
        <f>'1 datos preparados'!J913</f>
        <v/>
      </c>
      <c r="L920" s="7">
        <f>'1 datos preparados'!K913</f>
        <v/>
      </c>
      <c r="M920" s="7">
        <f>'1 datos preparados'!L913</f>
        <v/>
      </c>
      <c r="N920" s="7">
        <f>'1 datos preparados'!M913</f>
        <v/>
      </c>
      <c r="O920" s="7">
        <f>'1 datos preparados'!N913</f>
        <v/>
      </c>
      <c r="P920" s="7">
        <f>'1 datos preparados'!O913</f>
        <v/>
      </c>
      <c r="Q920" s="7">
        <f>'1 datos preparados'!P913</f>
        <v/>
      </c>
      <c r="R920" s="7">
        <f>'1 datos preparados'!Q913</f>
        <v/>
      </c>
      <c r="S920" s="7">
        <f>'1 datos preparados'!R913</f>
        <v/>
      </c>
      <c r="T920" s="7">
        <f>'1 datos preparados'!S913</f>
        <v/>
      </c>
      <c r="U920" s="7">
        <f>'1 datos preparados'!T913</f>
        <v/>
      </c>
      <c r="V920" s="8">
        <f>$AC$12+D920*$AC$13+E920*$AC$14+F920*$AC$15+G920*$AC$16+H920*$AC$17+I920*$AC$18+J920*$AC$19+K920*$AC$20+L920*$AC$21+M920*$AC$22+N920*$AC$23+O920*$AC$24+P920*$AC$25+Q920*$AC$26+R920*$AC$27+S920*$AC$28+T920*$AC$29+U920*$AC$30</f>
        <v/>
      </c>
      <c r="W920" s="8">
        <f>1/(1+EXP(-V920))</f>
        <v/>
      </c>
      <c r="X920" s="9">
        <f>-IF(C920=1,LN(W920),LN(1-W920))</f>
        <v/>
      </c>
      <c r="Y920" s="10">
        <f>IF(W920&gt;$AC$33,1,0)</f>
        <v/>
      </c>
      <c r="Z920">
        <f>IF(Y920=C920,1,0)</f>
        <v/>
      </c>
    </row>
    <row r="921">
      <c r="A921">
        <f>'1 datos preparados'!A914</f>
        <v/>
      </c>
      <c r="B921" s="5">
        <f>'1 datos preparados'!U914</f>
        <v/>
      </c>
      <c r="C921">
        <f>'1 datos preparados'!B914</f>
        <v/>
      </c>
      <c r="D921" s="7">
        <f>'1 datos preparados'!C914</f>
        <v/>
      </c>
      <c r="E921" s="7">
        <f>'1 datos preparados'!D914</f>
        <v/>
      </c>
      <c r="F921" s="7">
        <f>'1 datos preparados'!E914</f>
        <v/>
      </c>
      <c r="G921" s="7">
        <f>'1 datos preparados'!F914</f>
        <v/>
      </c>
      <c r="H921" s="7">
        <f>'1 datos preparados'!G914</f>
        <v/>
      </c>
      <c r="I921" s="7">
        <f>'1 datos preparados'!H914</f>
        <v/>
      </c>
      <c r="J921" s="7">
        <f>'1 datos preparados'!I914</f>
        <v/>
      </c>
      <c r="K921" s="7">
        <f>'1 datos preparados'!J914</f>
        <v/>
      </c>
      <c r="L921" s="7">
        <f>'1 datos preparados'!K914</f>
        <v/>
      </c>
      <c r="M921" s="7">
        <f>'1 datos preparados'!L914</f>
        <v/>
      </c>
      <c r="N921" s="7">
        <f>'1 datos preparados'!M914</f>
        <v/>
      </c>
      <c r="O921" s="7">
        <f>'1 datos preparados'!N914</f>
        <v/>
      </c>
      <c r="P921" s="7">
        <f>'1 datos preparados'!O914</f>
        <v/>
      </c>
      <c r="Q921" s="7">
        <f>'1 datos preparados'!P914</f>
        <v/>
      </c>
      <c r="R921" s="7">
        <f>'1 datos preparados'!Q914</f>
        <v/>
      </c>
      <c r="S921" s="7">
        <f>'1 datos preparados'!R914</f>
        <v/>
      </c>
      <c r="T921" s="7">
        <f>'1 datos preparados'!S914</f>
        <v/>
      </c>
      <c r="U921" s="7">
        <f>'1 datos preparados'!T914</f>
        <v/>
      </c>
      <c r="V921" s="8">
        <f>$AC$12+D921*$AC$13+E921*$AC$14+F921*$AC$15+G921*$AC$16+H921*$AC$17+I921*$AC$18+J921*$AC$19+K921*$AC$20+L921*$AC$21+M921*$AC$22+N921*$AC$23+O921*$AC$24+P921*$AC$25+Q921*$AC$26+R921*$AC$27+S921*$AC$28+T921*$AC$29+U921*$AC$30</f>
        <v/>
      </c>
      <c r="W921" s="8">
        <f>1/(1+EXP(-V921))</f>
        <v/>
      </c>
      <c r="X921" s="9">
        <f>-IF(C921=1,LN(W921),LN(1-W921))</f>
        <v/>
      </c>
      <c r="Y921" s="10">
        <f>IF(W921&gt;$AC$33,1,0)</f>
        <v/>
      </c>
      <c r="Z921">
        <f>IF(Y921=C921,1,0)</f>
        <v/>
      </c>
    </row>
    <row r="922">
      <c r="A922">
        <f>'1 datos preparados'!A915</f>
        <v/>
      </c>
      <c r="B922" s="5">
        <f>'1 datos preparados'!U915</f>
        <v/>
      </c>
      <c r="C922">
        <f>'1 datos preparados'!B915</f>
        <v/>
      </c>
      <c r="D922" s="7">
        <f>'1 datos preparados'!C915</f>
        <v/>
      </c>
      <c r="E922" s="7">
        <f>'1 datos preparados'!D915</f>
        <v/>
      </c>
      <c r="F922" s="7">
        <f>'1 datos preparados'!E915</f>
        <v/>
      </c>
      <c r="G922" s="7">
        <f>'1 datos preparados'!F915</f>
        <v/>
      </c>
      <c r="H922" s="7">
        <f>'1 datos preparados'!G915</f>
        <v/>
      </c>
      <c r="I922" s="7">
        <f>'1 datos preparados'!H915</f>
        <v/>
      </c>
      <c r="J922" s="7">
        <f>'1 datos preparados'!I915</f>
        <v/>
      </c>
      <c r="K922" s="7">
        <f>'1 datos preparados'!J915</f>
        <v/>
      </c>
      <c r="L922" s="7">
        <f>'1 datos preparados'!K915</f>
        <v/>
      </c>
      <c r="M922" s="7">
        <f>'1 datos preparados'!L915</f>
        <v/>
      </c>
      <c r="N922" s="7">
        <f>'1 datos preparados'!M915</f>
        <v/>
      </c>
      <c r="O922" s="7">
        <f>'1 datos preparados'!N915</f>
        <v/>
      </c>
      <c r="P922" s="7">
        <f>'1 datos preparados'!O915</f>
        <v/>
      </c>
      <c r="Q922" s="7">
        <f>'1 datos preparados'!P915</f>
        <v/>
      </c>
      <c r="R922" s="7">
        <f>'1 datos preparados'!Q915</f>
        <v/>
      </c>
      <c r="S922" s="7">
        <f>'1 datos preparados'!R915</f>
        <v/>
      </c>
      <c r="T922" s="7">
        <f>'1 datos preparados'!S915</f>
        <v/>
      </c>
      <c r="U922" s="7">
        <f>'1 datos preparados'!T915</f>
        <v/>
      </c>
      <c r="V922" s="8">
        <f>$AC$12+D922*$AC$13+E922*$AC$14+F922*$AC$15+G922*$AC$16+H922*$AC$17+I922*$AC$18+J922*$AC$19+K922*$AC$20+L922*$AC$21+M922*$AC$22+N922*$AC$23+O922*$AC$24+P922*$AC$25+Q922*$AC$26+R922*$AC$27+S922*$AC$28+T922*$AC$29+U922*$AC$30</f>
        <v/>
      </c>
      <c r="W922" s="8">
        <f>1/(1+EXP(-V922))</f>
        <v/>
      </c>
      <c r="X922" s="9">
        <f>-IF(C922=1,LN(W922),LN(1-W922))</f>
        <v/>
      </c>
      <c r="Y922" s="10">
        <f>IF(W922&gt;$AC$33,1,0)</f>
        <v/>
      </c>
      <c r="Z922">
        <f>IF(Y922=C922,1,0)</f>
        <v/>
      </c>
    </row>
    <row r="923">
      <c r="A923">
        <f>'1 datos preparados'!A916</f>
        <v/>
      </c>
      <c r="B923" s="5">
        <f>'1 datos preparados'!U916</f>
        <v/>
      </c>
      <c r="C923">
        <f>'1 datos preparados'!B916</f>
        <v/>
      </c>
      <c r="D923" s="7">
        <f>'1 datos preparados'!C916</f>
        <v/>
      </c>
      <c r="E923" s="7">
        <f>'1 datos preparados'!D916</f>
        <v/>
      </c>
      <c r="F923" s="7">
        <f>'1 datos preparados'!E916</f>
        <v/>
      </c>
      <c r="G923" s="7">
        <f>'1 datos preparados'!F916</f>
        <v/>
      </c>
      <c r="H923" s="7">
        <f>'1 datos preparados'!G916</f>
        <v/>
      </c>
      <c r="I923" s="7">
        <f>'1 datos preparados'!H916</f>
        <v/>
      </c>
      <c r="J923" s="7">
        <f>'1 datos preparados'!I916</f>
        <v/>
      </c>
      <c r="K923" s="7">
        <f>'1 datos preparados'!J916</f>
        <v/>
      </c>
      <c r="L923" s="7">
        <f>'1 datos preparados'!K916</f>
        <v/>
      </c>
      <c r="M923" s="7">
        <f>'1 datos preparados'!L916</f>
        <v/>
      </c>
      <c r="N923" s="7">
        <f>'1 datos preparados'!M916</f>
        <v/>
      </c>
      <c r="O923" s="7">
        <f>'1 datos preparados'!N916</f>
        <v/>
      </c>
      <c r="P923" s="7">
        <f>'1 datos preparados'!O916</f>
        <v/>
      </c>
      <c r="Q923" s="7">
        <f>'1 datos preparados'!P916</f>
        <v/>
      </c>
      <c r="R923" s="7">
        <f>'1 datos preparados'!Q916</f>
        <v/>
      </c>
      <c r="S923" s="7">
        <f>'1 datos preparados'!R916</f>
        <v/>
      </c>
      <c r="T923" s="7">
        <f>'1 datos preparados'!S916</f>
        <v/>
      </c>
      <c r="U923" s="7">
        <f>'1 datos preparados'!T916</f>
        <v/>
      </c>
      <c r="V923" s="8">
        <f>$AC$12+D923*$AC$13+E923*$AC$14+F923*$AC$15+G923*$AC$16+H923*$AC$17+I923*$AC$18+J923*$AC$19+K923*$AC$20+L923*$AC$21+M923*$AC$22+N923*$AC$23+O923*$AC$24+P923*$AC$25+Q923*$AC$26+R923*$AC$27+S923*$AC$28+T923*$AC$29+U923*$AC$30</f>
        <v/>
      </c>
      <c r="W923" s="8">
        <f>1/(1+EXP(-V923))</f>
        <v/>
      </c>
      <c r="X923" s="9">
        <f>-IF(C923=1,LN(W923),LN(1-W923))</f>
        <v/>
      </c>
      <c r="Y923" s="10">
        <f>IF(W923&gt;$AC$33,1,0)</f>
        <v/>
      </c>
      <c r="Z923">
        <f>IF(Y923=C923,1,0)</f>
        <v/>
      </c>
    </row>
    <row r="924">
      <c r="A924">
        <f>'1 datos preparados'!A917</f>
        <v/>
      </c>
      <c r="B924" s="5">
        <f>'1 datos preparados'!U917</f>
        <v/>
      </c>
      <c r="C924">
        <f>'1 datos preparados'!B917</f>
        <v/>
      </c>
      <c r="D924" s="7">
        <f>'1 datos preparados'!C917</f>
        <v/>
      </c>
      <c r="E924" s="7">
        <f>'1 datos preparados'!D917</f>
        <v/>
      </c>
      <c r="F924" s="7">
        <f>'1 datos preparados'!E917</f>
        <v/>
      </c>
      <c r="G924" s="7">
        <f>'1 datos preparados'!F917</f>
        <v/>
      </c>
      <c r="H924" s="7">
        <f>'1 datos preparados'!G917</f>
        <v/>
      </c>
      <c r="I924" s="7">
        <f>'1 datos preparados'!H917</f>
        <v/>
      </c>
      <c r="J924" s="7">
        <f>'1 datos preparados'!I917</f>
        <v/>
      </c>
      <c r="K924" s="7">
        <f>'1 datos preparados'!J917</f>
        <v/>
      </c>
      <c r="L924" s="7">
        <f>'1 datos preparados'!K917</f>
        <v/>
      </c>
      <c r="M924" s="7">
        <f>'1 datos preparados'!L917</f>
        <v/>
      </c>
      <c r="N924" s="7">
        <f>'1 datos preparados'!M917</f>
        <v/>
      </c>
      <c r="O924" s="7">
        <f>'1 datos preparados'!N917</f>
        <v/>
      </c>
      <c r="P924" s="7">
        <f>'1 datos preparados'!O917</f>
        <v/>
      </c>
      <c r="Q924" s="7">
        <f>'1 datos preparados'!P917</f>
        <v/>
      </c>
      <c r="R924" s="7">
        <f>'1 datos preparados'!Q917</f>
        <v/>
      </c>
      <c r="S924" s="7">
        <f>'1 datos preparados'!R917</f>
        <v/>
      </c>
      <c r="T924" s="7">
        <f>'1 datos preparados'!S917</f>
        <v/>
      </c>
      <c r="U924" s="7">
        <f>'1 datos preparados'!T917</f>
        <v/>
      </c>
      <c r="V924" s="8">
        <f>$AC$12+D924*$AC$13+E924*$AC$14+F924*$AC$15+G924*$AC$16+H924*$AC$17+I924*$AC$18+J924*$AC$19+K924*$AC$20+L924*$AC$21+M924*$AC$22+N924*$AC$23+O924*$AC$24+P924*$AC$25+Q924*$AC$26+R924*$AC$27+S924*$AC$28+T924*$AC$29+U924*$AC$30</f>
        <v/>
      </c>
      <c r="W924" s="8">
        <f>1/(1+EXP(-V924))</f>
        <v/>
      </c>
      <c r="X924" s="9">
        <f>-IF(C924=1,LN(W924),LN(1-W924))</f>
        <v/>
      </c>
      <c r="Y924" s="10">
        <f>IF(W924&gt;$AC$33,1,0)</f>
        <v/>
      </c>
      <c r="Z924">
        <f>IF(Y924=C924,1,0)</f>
        <v/>
      </c>
    </row>
    <row r="925">
      <c r="A925">
        <f>'1 datos preparados'!A918</f>
        <v/>
      </c>
      <c r="B925" s="5">
        <f>'1 datos preparados'!U918</f>
        <v/>
      </c>
      <c r="C925">
        <f>'1 datos preparados'!B918</f>
        <v/>
      </c>
      <c r="D925" s="7">
        <f>'1 datos preparados'!C918</f>
        <v/>
      </c>
      <c r="E925" s="7">
        <f>'1 datos preparados'!D918</f>
        <v/>
      </c>
      <c r="F925" s="7">
        <f>'1 datos preparados'!E918</f>
        <v/>
      </c>
      <c r="G925" s="7">
        <f>'1 datos preparados'!F918</f>
        <v/>
      </c>
      <c r="H925" s="7">
        <f>'1 datos preparados'!G918</f>
        <v/>
      </c>
      <c r="I925" s="7">
        <f>'1 datos preparados'!H918</f>
        <v/>
      </c>
      <c r="J925" s="7">
        <f>'1 datos preparados'!I918</f>
        <v/>
      </c>
      <c r="K925" s="7">
        <f>'1 datos preparados'!J918</f>
        <v/>
      </c>
      <c r="L925" s="7">
        <f>'1 datos preparados'!K918</f>
        <v/>
      </c>
      <c r="M925" s="7">
        <f>'1 datos preparados'!L918</f>
        <v/>
      </c>
      <c r="N925" s="7">
        <f>'1 datos preparados'!M918</f>
        <v/>
      </c>
      <c r="O925" s="7">
        <f>'1 datos preparados'!N918</f>
        <v/>
      </c>
      <c r="P925" s="7">
        <f>'1 datos preparados'!O918</f>
        <v/>
      </c>
      <c r="Q925" s="7">
        <f>'1 datos preparados'!P918</f>
        <v/>
      </c>
      <c r="R925" s="7">
        <f>'1 datos preparados'!Q918</f>
        <v/>
      </c>
      <c r="S925" s="7">
        <f>'1 datos preparados'!R918</f>
        <v/>
      </c>
      <c r="T925" s="7">
        <f>'1 datos preparados'!S918</f>
        <v/>
      </c>
      <c r="U925" s="7">
        <f>'1 datos preparados'!T918</f>
        <v/>
      </c>
      <c r="V925" s="8">
        <f>$AC$12+D925*$AC$13+E925*$AC$14+F925*$AC$15+G925*$AC$16+H925*$AC$17+I925*$AC$18+J925*$AC$19+K925*$AC$20+L925*$AC$21+M925*$AC$22+N925*$AC$23+O925*$AC$24+P925*$AC$25+Q925*$AC$26+R925*$AC$27+S925*$AC$28+T925*$AC$29+U925*$AC$30</f>
        <v/>
      </c>
      <c r="W925" s="8">
        <f>1/(1+EXP(-V925))</f>
        <v/>
      </c>
      <c r="X925" s="9">
        <f>-IF(C925=1,LN(W925),LN(1-W925))</f>
        <v/>
      </c>
      <c r="Y925" s="10">
        <f>IF(W925&gt;$AC$33,1,0)</f>
        <v/>
      </c>
      <c r="Z925">
        <f>IF(Y925=C925,1,0)</f>
        <v/>
      </c>
    </row>
    <row r="926">
      <c r="A926">
        <f>'1 datos preparados'!A919</f>
        <v/>
      </c>
      <c r="B926" s="5">
        <f>'1 datos preparados'!U919</f>
        <v/>
      </c>
      <c r="C926">
        <f>'1 datos preparados'!B919</f>
        <v/>
      </c>
      <c r="D926" s="7">
        <f>'1 datos preparados'!C919</f>
        <v/>
      </c>
      <c r="E926" s="7">
        <f>'1 datos preparados'!D919</f>
        <v/>
      </c>
      <c r="F926" s="7">
        <f>'1 datos preparados'!E919</f>
        <v/>
      </c>
      <c r="G926" s="7">
        <f>'1 datos preparados'!F919</f>
        <v/>
      </c>
      <c r="H926" s="7">
        <f>'1 datos preparados'!G919</f>
        <v/>
      </c>
      <c r="I926" s="7">
        <f>'1 datos preparados'!H919</f>
        <v/>
      </c>
      <c r="J926" s="7">
        <f>'1 datos preparados'!I919</f>
        <v/>
      </c>
      <c r="K926" s="7">
        <f>'1 datos preparados'!J919</f>
        <v/>
      </c>
      <c r="L926" s="7">
        <f>'1 datos preparados'!K919</f>
        <v/>
      </c>
      <c r="M926" s="7">
        <f>'1 datos preparados'!L919</f>
        <v/>
      </c>
      <c r="N926" s="7">
        <f>'1 datos preparados'!M919</f>
        <v/>
      </c>
      <c r="O926" s="7">
        <f>'1 datos preparados'!N919</f>
        <v/>
      </c>
      <c r="P926" s="7">
        <f>'1 datos preparados'!O919</f>
        <v/>
      </c>
      <c r="Q926" s="7">
        <f>'1 datos preparados'!P919</f>
        <v/>
      </c>
      <c r="R926" s="7">
        <f>'1 datos preparados'!Q919</f>
        <v/>
      </c>
      <c r="S926" s="7">
        <f>'1 datos preparados'!R919</f>
        <v/>
      </c>
      <c r="T926" s="7">
        <f>'1 datos preparados'!S919</f>
        <v/>
      </c>
      <c r="U926" s="7">
        <f>'1 datos preparados'!T919</f>
        <v/>
      </c>
      <c r="V926" s="8">
        <f>$AC$12+D926*$AC$13+E926*$AC$14+F926*$AC$15+G926*$AC$16+H926*$AC$17+I926*$AC$18+J926*$AC$19+K926*$AC$20+L926*$AC$21+M926*$AC$22+N926*$AC$23+O926*$AC$24+P926*$AC$25+Q926*$AC$26+R926*$AC$27+S926*$AC$28+T926*$AC$29+U926*$AC$30</f>
        <v/>
      </c>
      <c r="W926" s="8">
        <f>1/(1+EXP(-V926))</f>
        <v/>
      </c>
      <c r="X926" s="9">
        <f>-IF(C926=1,LN(W926),LN(1-W926))</f>
        <v/>
      </c>
      <c r="Y926" s="10">
        <f>IF(W926&gt;$AC$33,1,0)</f>
        <v/>
      </c>
      <c r="Z926">
        <f>IF(Y926=C926,1,0)</f>
        <v/>
      </c>
    </row>
    <row r="927">
      <c r="A927">
        <f>'1 datos preparados'!A920</f>
        <v/>
      </c>
      <c r="B927" s="5">
        <f>'1 datos preparados'!U920</f>
        <v/>
      </c>
      <c r="C927">
        <f>'1 datos preparados'!B920</f>
        <v/>
      </c>
      <c r="D927" s="7">
        <f>'1 datos preparados'!C920</f>
        <v/>
      </c>
      <c r="E927" s="7">
        <f>'1 datos preparados'!D920</f>
        <v/>
      </c>
      <c r="F927" s="7">
        <f>'1 datos preparados'!E920</f>
        <v/>
      </c>
      <c r="G927" s="7">
        <f>'1 datos preparados'!F920</f>
        <v/>
      </c>
      <c r="H927" s="7">
        <f>'1 datos preparados'!G920</f>
        <v/>
      </c>
      <c r="I927" s="7">
        <f>'1 datos preparados'!H920</f>
        <v/>
      </c>
      <c r="J927" s="7">
        <f>'1 datos preparados'!I920</f>
        <v/>
      </c>
      <c r="K927" s="7">
        <f>'1 datos preparados'!J920</f>
        <v/>
      </c>
      <c r="L927" s="7">
        <f>'1 datos preparados'!K920</f>
        <v/>
      </c>
      <c r="M927" s="7">
        <f>'1 datos preparados'!L920</f>
        <v/>
      </c>
      <c r="N927" s="7">
        <f>'1 datos preparados'!M920</f>
        <v/>
      </c>
      <c r="O927" s="7">
        <f>'1 datos preparados'!N920</f>
        <v/>
      </c>
      <c r="P927" s="7">
        <f>'1 datos preparados'!O920</f>
        <v/>
      </c>
      <c r="Q927" s="7">
        <f>'1 datos preparados'!P920</f>
        <v/>
      </c>
      <c r="R927" s="7">
        <f>'1 datos preparados'!Q920</f>
        <v/>
      </c>
      <c r="S927" s="7">
        <f>'1 datos preparados'!R920</f>
        <v/>
      </c>
      <c r="T927" s="7">
        <f>'1 datos preparados'!S920</f>
        <v/>
      </c>
      <c r="U927" s="7">
        <f>'1 datos preparados'!T920</f>
        <v/>
      </c>
      <c r="V927" s="8">
        <f>$AC$12+D927*$AC$13+E927*$AC$14+F927*$AC$15+G927*$AC$16+H927*$AC$17+I927*$AC$18+J927*$AC$19+K927*$AC$20+L927*$AC$21+M927*$AC$22+N927*$AC$23+O927*$AC$24+P927*$AC$25+Q927*$AC$26+R927*$AC$27+S927*$AC$28+T927*$AC$29+U927*$AC$30</f>
        <v/>
      </c>
      <c r="W927" s="8">
        <f>1/(1+EXP(-V927))</f>
        <v/>
      </c>
      <c r="X927" s="9">
        <f>-IF(C927=1,LN(W927),LN(1-W927))</f>
        <v/>
      </c>
      <c r="Y927" s="10">
        <f>IF(W927&gt;$AC$33,1,0)</f>
        <v/>
      </c>
      <c r="Z927">
        <f>IF(Y927=C927,1,0)</f>
        <v/>
      </c>
    </row>
    <row r="928">
      <c r="A928">
        <f>'1 datos preparados'!A921</f>
        <v/>
      </c>
      <c r="B928" s="5">
        <f>'1 datos preparados'!U921</f>
        <v/>
      </c>
      <c r="C928">
        <f>'1 datos preparados'!B921</f>
        <v/>
      </c>
      <c r="D928" s="7">
        <f>'1 datos preparados'!C921</f>
        <v/>
      </c>
      <c r="E928" s="7">
        <f>'1 datos preparados'!D921</f>
        <v/>
      </c>
      <c r="F928" s="7">
        <f>'1 datos preparados'!E921</f>
        <v/>
      </c>
      <c r="G928" s="7">
        <f>'1 datos preparados'!F921</f>
        <v/>
      </c>
      <c r="H928" s="7">
        <f>'1 datos preparados'!G921</f>
        <v/>
      </c>
      <c r="I928" s="7">
        <f>'1 datos preparados'!H921</f>
        <v/>
      </c>
      <c r="J928" s="7">
        <f>'1 datos preparados'!I921</f>
        <v/>
      </c>
      <c r="K928" s="7">
        <f>'1 datos preparados'!J921</f>
        <v/>
      </c>
      <c r="L928" s="7">
        <f>'1 datos preparados'!K921</f>
        <v/>
      </c>
      <c r="M928" s="7">
        <f>'1 datos preparados'!L921</f>
        <v/>
      </c>
      <c r="N928" s="7">
        <f>'1 datos preparados'!M921</f>
        <v/>
      </c>
      <c r="O928" s="7">
        <f>'1 datos preparados'!N921</f>
        <v/>
      </c>
      <c r="P928" s="7">
        <f>'1 datos preparados'!O921</f>
        <v/>
      </c>
      <c r="Q928" s="7">
        <f>'1 datos preparados'!P921</f>
        <v/>
      </c>
      <c r="R928" s="7">
        <f>'1 datos preparados'!Q921</f>
        <v/>
      </c>
      <c r="S928" s="7">
        <f>'1 datos preparados'!R921</f>
        <v/>
      </c>
      <c r="T928" s="7">
        <f>'1 datos preparados'!S921</f>
        <v/>
      </c>
      <c r="U928" s="7">
        <f>'1 datos preparados'!T921</f>
        <v/>
      </c>
      <c r="V928" s="8">
        <f>$AC$12+D928*$AC$13+E928*$AC$14+F928*$AC$15+G928*$AC$16+H928*$AC$17+I928*$AC$18+J928*$AC$19+K928*$AC$20+L928*$AC$21+M928*$AC$22+N928*$AC$23+O928*$AC$24+P928*$AC$25+Q928*$AC$26+R928*$AC$27+S928*$AC$28+T928*$AC$29+U928*$AC$30</f>
        <v/>
      </c>
      <c r="W928" s="8">
        <f>1/(1+EXP(-V928))</f>
        <v/>
      </c>
      <c r="X928" s="9">
        <f>-IF(C928=1,LN(W928),LN(1-W928))</f>
        <v/>
      </c>
      <c r="Y928" s="10">
        <f>IF(W928&gt;$AC$33,1,0)</f>
        <v/>
      </c>
      <c r="Z928">
        <f>IF(Y928=C928,1,0)</f>
        <v/>
      </c>
    </row>
    <row r="929">
      <c r="A929">
        <f>'1 datos preparados'!A922</f>
        <v/>
      </c>
      <c r="B929" s="5">
        <f>'1 datos preparados'!U922</f>
        <v/>
      </c>
      <c r="C929">
        <f>'1 datos preparados'!B922</f>
        <v/>
      </c>
      <c r="D929" s="7">
        <f>'1 datos preparados'!C922</f>
        <v/>
      </c>
      <c r="E929" s="7">
        <f>'1 datos preparados'!D922</f>
        <v/>
      </c>
      <c r="F929" s="7">
        <f>'1 datos preparados'!E922</f>
        <v/>
      </c>
      <c r="G929" s="7">
        <f>'1 datos preparados'!F922</f>
        <v/>
      </c>
      <c r="H929" s="7">
        <f>'1 datos preparados'!G922</f>
        <v/>
      </c>
      <c r="I929" s="7">
        <f>'1 datos preparados'!H922</f>
        <v/>
      </c>
      <c r="J929" s="7">
        <f>'1 datos preparados'!I922</f>
        <v/>
      </c>
      <c r="K929" s="7">
        <f>'1 datos preparados'!J922</f>
        <v/>
      </c>
      <c r="L929" s="7">
        <f>'1 datos preparados'!K922</f>
        <v/>
      </c>
      <c r="M929" s="7">
        <f>'1 datos preparados'!L922</f>
        <v/>
      </c>
      <c r="N929" s="7">
        <f>'1 datos preparados'!M922</f>
        <v/>
      </c>
      <c r="O929" s="7">
        <f>'1 datos preparados'!N922</f>
        <v/>
      </c>
      <c r="P929" s="7">
        <f>'1 datos preparados'!O922</f>
        <v/>
      </c>
      <c r="Q929" s="7">
        <f>'1 datos preparados'!P922</f>
        <v/>
      </c>
      <c r="R929" s="7">
        <f>'1 datos preparados'!Q922</f>
        <v/>
      </c>
      <c r="S929" s="7">
        <f>'1 datos preparados'!R922</f>
        <v/>
      </c>
      <c r="T929" s="7">
        <f>'1 datos preparados'!S922</f>
        <v/>
      </c>
      <c r="U929" s="7">
        <f>'1 datos preparados'!T922</f>
        <v/>
      </c>
      <c r="V929" s="8">
        <f>$AC$12+D929*$AC$13+E929*$AC$14+F929*$AC$15+G929*$AC$16+H929*$AC$17+I929*$AC$18+J929*$AC$19+K929*$AC$20+L929*$AC$21+M929*$AC$22+N929*$AC$23+O929*$AC$24+P929*$AC$25+Q929*$AC$26+R929*$AC$27+S929*$AC$28+T929*$AC$29+U929*$AC$30</f>
        <v/>
      </c>
      <c r="W929" s="8">
        <f>1/(1+EXP(-V929))</f>
        <v/>
      </c>
      <c r="X929" s="9">
        <f>-IF(C929=1,LN(W929),LN(1-W929))</f>
        <v/>
      </c>
      <c r="Y929" s="10">
        <f>IF(W929&gt;$AC$33,1,0)</f>
        <v/>
      </c>
      <c r="Z929">
        <f>IF(Y929=C929,1,0)</f>
        <v/>
      </c>
    </row>
    <row r="930">
      <c r="A930">
        <f>'1 datos preparados'!A923</f>
        <v/>
      </c>
      <c r="B930" s="5">
        <f>'1 datos preparados'!U923</f>
        <v/>
      </c>
      <c r="C930">
        <f>'1 datos preparados'!B923</f>
        <v/>
      </c>
      <c r="D930" s="7">
        <f>'1 datos preparados'!C923</f>
        <v/>
      </c>
      <c r="E930" s="7">
        <f>'1 datos preparados'!D923</f>
        <v/>
      </c>
      <c r="F930" s="7">
        <f>'1 datos preparados'!E923</f>
        <v/>
      </c>
      <c r="G930" s="7">
        <f>'1 datos preparados'!F923</f>
        <v/>
      </c>
      <c r="H930" s="7">
        <f>'1 datos preparados'!G923</f>
        <v/>
      </c>
      <c r="I930" s="7">
        <f>'1 datos preparados'!H923</f>
        <v/>
      </c>
      <c r="J930" s="7">
        <f>'1 datos preparados'!I923</f>
        <v/>
      </c>
      <c r="K930" s="7">
        <f>'1 datos preparados'!J923</f>
        <v/>
      </c>
      <c r="L930" s="7">
        <f>'1 datos preparados'!K923</f>
        <v/>
      </c>
      <c r="M930" s="7">
        <f>'1 datos preparados'!L923</f>
        <v/>
      </c>
      <c r="N930" s="7">
        <f>'1 datos preparados'!M923</f>
        <v/>
      </c>
      <c r="O930" s="7">
        <f>'1 datos preparados'!N923</f>
        <v/>
      </c>
      <c r="P930" s="7">
        <f>'1 datos preparados'!O923</f>
        <v/>
      </c>
      <c r="Q930" s="7">
        <f>'1 datos preparados'!P923</f>
        <v/>
      </c>
      <c r="R930" s="7">
        <f>'1 datos preparados'!Q923</f>
        <v/>
      </c>
      <c r="S930" s="7">
        <f>'1 datos preparados'!R923</f>
        <v/>
      </c>
      <c r="T930" s="7">
        <f>'1 datos preparados'!S923</f>
        <v/>
      </c>
      <c r="U930" s="7">
        <f>'1 datos preparados'!T923</f>
        <v/>
      </c>
      <c r="V930" s="8">
        <f>$AC$12+D930*$AC$13+E930*$AC$14+F930*$AC$15+G930*$AC$16+H930*$AC$17+I930*$AC$18+J930*$AC$19+K930*$AC$20+L930*$AC$21+M930*$AC$22+N930*$AC$23+O930*$AC$24+P930*$AC$25+Q930*$AC$26+R930*$AC$27+S930*$AC$28+T930*$AC$29+U930*$AC$30</f>
        <v/>
      </c>
      <c r="W930" s="8">
        <f>1/(1+EXP(-V930))</f>
        <v/>
      </c>
      <c r="X930" s="9">
        <f>-IF(C930=1,LN(W930),LN(1-W930))</f>
        <v/>
      </c>
      <c r="Y930" s="10">
        <f>IF(W930&gt;$AC$33,1,0)</f>
        <v/>
      </c>
      <c r="Z930">
        <f>IF(Y930=C930,1,0)</f>
        <v/>
      </c>
    </row>
    <row r="931">
      <c r="A931">
        <f>'1 datos preparados'!A924</f>
        <v/>
      </c>
      <c r="B931" s="5">
        <f>'1 datos preparados'!U924</f>
        <v/>
      </c>
      <c r="C931">
        <f>'1 datos preparados'!B924</f>
        <v/>
      </c>
      <c r="D931" s="7">
        <f>'1 datos preparados'!C924</f>
        <v/>
      </c>
      <c r="E931" s="7">
        <f>'1 datos preparados'!D924</f>
        <v/>
      </c>
      <c r="F931" s="7">
        <f>'1 datos preparados'!E924</f>
        <v/>
      </c>
      <c r="G931" s="7">
        <f>'1 datos preparados'!F924</f>
        <v/>
      </c>
      <c r="H931" s="7">
        <f>'1 datos preparados'!G924</f>
        <v/>
      </c>
      <c r="I931" s="7">
        <f>'1 datos preparados'!H924</f>
        <v/>
      </c>
      <c r="J931" s="7">
        <f>'1 datos preparados'!I924</f>
        <v/>
      </c>
      <c r="K931" s="7">
        <f>'1 datos preparados'!J924</f>
        <v/>
      </c>
      <c r="L931" s="7">
        <f>'1 datos preparados'!K924</f>
        <v/>
      </c>
      <c r="M931" s="7">
        <f>'1 datos preparados'!L924</f>
        <v/>
      </c>
      <c r="N931" s="7">
        <f>'1 datos preparados'!M924</f>
        <v/>
      </c>
      <c r="O931" s="7">
        <f>'1 datos preparados'!N924</f>
        <v/>
      </c>
      <c r="P931" s="7">
        <f>'1 datos preparados'!O924</f>
        <v/>
      </c>
      <c r="Q931" s="7">
        <f>'1 datos preparados'!P924</f>
        <v/>
      </c>
      <c r="R931" s="7">
        <f>'1 datos preparados'!Q924</f>
        <v/>
      </c>
      <c r="S931" s="7">
        <f>'1 datos preparados'!R924</f>
        <v/>
      </c>
      <c r="T931" s="7">
        <f>'1 datos preparados'!S924</f>
        <v/>
      </c>
      <c r="U931" s="7">
        <f>'1 datos preparados'!T924</f>
        <v/>
      </c>
      <c r="V931" s="8">
        <f>$AC$12+D931*$AC$13+E931*$AC$14+F931*$AC$15+G931*$AC$16+H931*$AC$17+I931*$AC$18+J931*$AC$19+K931*$AC$20+L931*$AC$21+M931*$AC$22+N931*$AC$23+O931*$AC$24+P931*$AC$25+Q931*$AC$26+R931*$AC$27+S931*$AC$28+T931*$AC$29+U931*$AC$30</f>
        <v/>
      </c>
      <c r="W931" s="8">
        <f>1/(1+EXP(-V931))</f>
        <v/>
      </c>
      <c r="X931" s="9">
        <f>-IF(C931=1,LN(W931),LN(1-W931))</f>
        <v/>
      </c>
      <c r="Y931" s="10">
        <f>IF(W931&gt;$AC$33,1,0)</f>
        <v/>
      </c>
      <c r="Z931">
        <f>IF(Y931=C931,1,0)</f>
        <v/>
      </c>
    </row>
    <row r="932">
      <c r="A932">
        <f>'1 datos preparados'!A925</f>
        <v/>
      </c>
      <c r="B932" s="5">
        <f>'1 datos preparados'!U925</f>
        <v/>
      </c>
      <c r="C932">
        <f>'1 datos preparados'!B925</f>
        <v/>
      </c>
      <c r="D932" s="7">
        <f>'1 datos preparados'!C925</f>
        <v/>
      </c>
      <c r="E932" s="7">
        <f>'1 datos preparados'!D925</f>
        <v/>
      </c>
      <c r="F932" s="7">
        <f>'1 datos preparados'!E925</f>
        <v/>
      </c>
      <c r="G932" s="7">
        <f>'1 datos preparados'!F925</f>
        <v/>
      </c>
      <c r="H932" s="7">
        <f>'1 datos preparados'!G925</f>
        <v/>
      </c>
      <c r="I932" s="7">
        <f>'1 datos preparados'!H925</f>
        <v/>
      </c>
      <c r="J932" s="7">
        <f>'1 datos preparados'!I925</f>
        <v/>
      </c>
      <c r="K932" s="7">
        <f>'1 datos preparados'!J925</f>
        <v/>
      </c>
      <c r="L932" s="7">
        <f>'1 datos preparados'!K925</f>
        <v/>
      </c>
      <c r="M932" s="7">
        <f>'1 datos preparados'!L925</f>
        <v/>
      </c>
      <c r="N932" s="7">
        <f>'1 datos preparados'!M925</f>
        <v/>
      </c>
      <c r="O932" s="7">
        <f>'1 datos preparados'!N925</f>
        <v/>
      </c>
      <c r="P932" s="7">
        <f>'1 datos preparados'!O925</f>
        <v/>
      </c>
      <c r="Q932" s="7">
        <f>'1 datos preparados'!P925</f>
        <v/>
      </c>
      <c r="R932" s="7">
        <f>'1 datos preparados'!Q925</f>
        <v/>
      </c>
      <c r="S932" s="7">
        <f>'1 datos preparados'!R925</f>
        <v/>
      </c>
      <c r="T932" s="7">
        <f>'1 datos preparados'!S925</f>
        <v/>
      </c>
      <c r="U932" s="7">
        <f>'1 datos preparados'!T925</f>
        <v/>
      </c>
      <c r="V932" s="8">
        <f>$AC$12+D932*$AC$13+E932*$AC$14+F932*$AC$15+G932*$AC$16+H932*$AC$17+I932*$AC$18+J932*$AC$19+K932*$AC$20+L932*$AC$21+M932*$AC$22+N932*$AC$23+O932*$AC$24+P932*$AC$25+Q932*$AC$26+R932*$AC$27+S932*$AC$28+T932*$AC$29+U932*$AC$30</f>
        <v/>
      </c>
      <c r="W932" s="8">
        <f>1/(1+EXP(-V932))</f>
        <v/>
      </c>
      <c r="X932" s="9">
        <f>-IF(C932=1,LN(W932),LN(1-W932))</f>
        <v/>
      </c>
      <c r="Y932" s="10">
        <f>IF(W932&gt;$AC$33,1,0)</f>
        <v/>
      </c>
      <c r="Z932">
        <f>IF(Y932=C932,1,0)</f>
        <v/>
      </c>
    </row>
    <row r="933">
      <c r="A933">
        <f>'1 datos preparados'!A926</f>
        <v/>
      </c>
      <c r="B933" s="5">
        <f>'1 datos preparados'!U926</f>
        <v/>
      </c>
      <c r="C933">
        <f>'1 datos preparados'!B926</f>
        <v/>
      </c>
      <c r="D933" s="7">
        <f>'1 datos preparados'!C926</f>
        <v/>
      </c>
      <c r="E933" s="7">
        <f>'1 datos preparados'!D926</f>
        <v/>
      </c>
      <c r="F933" s="7">
        <f>'1 datos preparados'!E926</f>
        <v/>
      </c>
      <c r="G933" s="7">
        <f>'1 datos preparados'!F926</f>
        <v/>
      </c>
      <c r="H933" s="7">
        <f>'1 datos preparados'!G926</f>
        <v/>
      </c>
      <c r="I933" s="7">
        <f>'1 datos preparados'!H926</f>
        <v/>
      </c>
      <c r="J933" s="7">
        <f>'1 datos preparados'!I926</f>
        <v/>
      </c>
      <c r="K933" s="7">
        <f>'1 datos preparados'!J926</f>
        <v/>
      </c>
      <c r="L933" s="7">
        <f>'1 datos preparados'!K926</f>
        <v/>
      </c>
      <c r="M933" s="7">
        <f>'1 datos preparados'!L926</f>
        <v/>
      </c>
      <c r="N933" s="7">
        <f>'1 datos preparados'!M926</f>
        <v/>
      </c>
      <c r="O933" s="7">
        <f>'1 datos preparados'!N926</f>
        <v/>
      </c>
      <c r="P933" s="7">
        <f>'1 datos preparados'!O926</f>
        <v/>
      </c>
      <c r="Q933" s="7">
        <f>'1 datos preparados'!P926</f>
        <v/>
      </c>
      <c r="R933" s="7">
        <f>'1 datos preparados'!Q926</f>
        <v/>
      </c>
      <c r="S933" s="7">
        <f>'1 datos preparados'!R926</f>
        <v/>
      </c>
      <c r="T933" s="7">
        <f>'1 datos preparados'!S926</f>
        <v/>
      </c>
      <c r="U933" s="7">
        <f>'1 datos preparados'!T926</f>
        <v/>
      </c>
      <c r="V933" s="8">
        <f>$AC$12+D933*$AC$13+E933*$AC$14+F933*$AC$15+G933*$AC$16+H933*$AC$17+I933*$AC$18+J933*$AC$19+K933*$AC$20+L933*$AC$21+M933*$AC$22+N933*$AC$23+O933*$AC$24+P933*$AC$25+Q933*$AC$26+R933*$AC$27+S933*$AC$28+T933*$AC$29+U933*$AC$30</f>
        <v/>
      </c>
      <c r="W933" s="8">
        <f>1/(1+EXP(-V933))</f>
        <v/>
      </c>
      <c r="X933" s="9">
        <f>-IF(C933=1,LN(W933),LN(1-W933))</f>
        <v/>
      </c>
      <c r="Y933" s="10">
        <f>IF(W933&gt;$AC$33,1,0)</f>
        <v/>
      </c>
      <c r="Z933">
        <f>IF(Y933=C933,1,0)</f>
        <v/>
      </c>
    </row>
    <row r="934">
      <c r="A934">
        <f>'1 datos preparados'!A927</f>
        <v/>
      </c>
      <c r="B934" s="5">
        <f>'1 datos preparados'!U927</f>
        <v/>
      </c>
      <c r="C934">
        <f>'1 datos preparados'!B927</f>
        <v/>
      </c>
      <c r="D934" s="7">
        <f>'1 datos preparados'!C927</f>
        <v/>
      </c>
      <c r="E934" s="7">
        <f>'1 datos preparados'!D927</f>
        <v/>
      </c>
      <c r="F934" s="7">
        <f>'1 datos preparados'!E927</f>
        <v/>
      </c>
      <c r="G934" s="7">
        <f>'1 datos preparados'!F927</f>
        <v/>
      </c>
      <c r="H934" s="7">
        <f>'1 datos preparados'!G927</f>
        <v/>
      </c>
      <c r="I934" s="7">
        <f>'1 datos preparados'!H927</f>
        <v/>
      </c>
      <c r="J934" s="7">
        <f>'1 datos preparados'!I927</f>
        <v/>
      </c>
      <c r="K934" s="7">
        <f>'1 datos preparados'!J927</f>
        <v/>
      </c>
      <c r="L934" s="7">
        <f>'1 datos preparados'!K927</f>
        <v/>
      </c>
      <c r="M934" s="7">
        <f>'1 datos preparados'!L927</f>
        <v/>
      </c>
      <c r="N934" s="7">
        <f>'1 datos preparados'!M927</f>
        <v/>
      </c>
      <c r="O934" s="7">
        <f>'1 datos preparados'!N927</f>
        <v/>
      </c>
      <c r="P934" s="7">
        <f>'1 datos preparados'!O927</f>
        <v/>
      </c>
      <c r="Q934" s="7">
        <f>'1 datos preparados'!P927</f>
        <v/>
      </c>
      <c r="R934" s="7">
        <f>'1 datos preparados'!Q927</f>
        <v/>
      </c>
      <c r="S934" s="7">
        <f>'1 datos preparados'!R927</f>
        <v/>
      </c>
      <c r="T934" s="7">
        <f>'1 datos preparados'!S927</f>
        <v/>
      </c>
      <c r="U934" s="7">
        <f>'1 datos preparados'!T927</f>
        <v/>
      </c>
      <c r="V934" s="8">
        <f>$AC$12+D934*$AC$13+E934*$AC$14+F934*$AC$15+G934*$AC$16+H934*$AC$17+I934*$AC$18+J934*$AC$19+K934*$AC$20+L934*$AC$21+M934*$AC$22+N934*$AC$23+O934*$AC$24+P934*$AC$25+Q934*$AC$26+R934*$AC$27+S934*$AC$28+T934*$AC$29+U934*$AC$30</f>
        <v/>
      </c>
      <c r="W934" s="8">
        <f>1/(1+EXP(-V934))</f>
        <v/>
      </c>
      <c r="X934" s="9">
        <f>-IF(C934=1,LN(W934),LN(1-W934))</f>
        <v/>
      </c>
      <c r="Y934" s="10">
        <f>IF(W934&gt;$AC$33,1,0)</f>
        <v/>
      </c>
      <c r="Z934">
        <f>IF(Y934=C934,1,0)</f>
        <v/>
      </c>
    </row>
    <row r="935">
      <c r="A935">
        <f>'1 datos preparados'!A928</f>
        <v/>
      </c>
      <c r="B935" s="5">
        <f>'1 datos preparados'!U928</f>
        <v/>
      </c>
      <c r="C935">
        <f>'1 datos preparados'!B928</f>
        <v/>
      </c>
      <c r="D935" s="7">
        <f>'1 datos preparados'!C928</f>
        <v/>
      </c>
      <c r="E935" s="7">
        <f>'1 datos preparados'!D928</f>
        <v/>
      </c>
      <c r="F935" s="7">
        <f>'1 datos preparados'!E928</f>
        <v/>
      </c>
      <c r="G935" s="7">
        <f>'1 datos preparados'!F928</f>
        <v/>
      </c>
      <c r="H935" s="7">
        <f>'1 datos preparados'!G928</f>
        <v/>
      </c>
      <c r="I935" s="7">
        <f>'1 datos preparados'!H928</f>
        <v/>
      </c>
      <c r="J935" s="7">
        <f>'1 datos preparados'!I928</f>
        <v/>
      </c>
      <c r="K935" s="7">
        <f>'1 datos preparados'!J928</f>
        <v/>
      </c>
      <c r="L935" s="7">
        <f>'1 datos preparados'!K928</f>
        <v/>
      </c>
      <c r="M935" s="7">
        <f>'1 datos preparados'!L928</f>
        <v/>
      </c>
      <c r="N935" s="7">
        <f>'1 datos preparados'!M928</f>
        <v/>
      </c>
      <c r="O935" s="7">
        <f>'1 datos preparados'!N928</f>
        <v/>
      </c>
      <c r="P935" s="7">
        <f>'1 datos preparados'!O928</f>
        <v/>
      </c>
      <c r="Q935" s="7">
        <f>'1 datos preparados'!P928</f>
        <v/>
      </c>
      <c r="R935" s="7">
        <f>'1 datos preparados'!Q928</f>
        <v/>
      </c>
      <c r="S935" s="7">
        <f>'1 datos preparados'!R928</f>
        <v/>
      </c>
      <c r="T935" s="7">
        <f>'1 datos preparados'!S928</f>
        <v/>
      </c>
      <c r="U935" s="7">
        <f>'1 datos preparados'!T928</f>
        <v/>
      </c>
      <c r="V935" s="8">
        <f>$AC$12+D935*$AC$13+E935*$AC$14+F935*$AC$15+G935*$AC$16+H935*$AC$17+I935*$AC$18+J935*$AC$19+K935*$AC$20+L935*$AC$21+M935*$AC$22+N935*$AC$23+O935*$AC$24+P935*$AC$25+Q935*$AC$26+R935*$AC$27+S935*$AC$28+T935*$AC$29+U935*$AC$30</f>
        <v/>
      </c>
      <c r="W935" s="8">
        <f>1/(1+EXP(-V935))</f>
        <v/>
      </c>
      <c r="X935" s="9">
        <f>-IF(C935=1,LN(W935),LN(1-W935))</f>
        <v/>
      </c>
      <c r="Y935" s="10">
        <f>IF(W935&gt;$AC$33,1,0)</f>
        <v/>
      </c>
      <c r="Z935">
        <f>IF(Y935=C935,1,0)</f>
        <v/>
      </c>
    </row>
    <row r="936">
      <c r="A936">
        <f>'1 datos preparados'!A929</f>
        <v/>
      </c>
      <c r="B936" s="5">
        <f>'1 datos preparados'!U929</f>
        <v/>
      </c>
      <c r="C936">
        <f>'1 datos preparados'!B929</f>
        <v/>
      </c>
      <c r="D936" s="7">
        <f>'1 datos preparados'!C929</f>
        <v/>
      </c>
      <c r="E936" s="7">
        <f>'1 datos preparados'!D929</f>
        <v/>
      </c>
      <c r="F936" s="7">
        <f>'1 datos preparados'!E929</f>
        <v/>
      </c>
      <c r="G936" s="7">
        <f>'1 datos preparados'!F929</f>
        <v/>
      </c>
      <c r="H936" s="7">
        <f>'1 datos preparados'!G929</f>
        <v/>
      </c>
      <c r="I936" s="7">
        <f>'1 datos preparados'!H929</f>
        <v/>
      </c>
      <c r="J936" s="7">
        <f>'1 datos preparados'!I929</f>
        <v/>
      </c>
      <c r="K936" s="7">
        <f>'1 datos preparados'!J929</f>
        <v/>
      </c>
      <c r="L936" s="7">
        <f>'1 datos preparados'!K929</f>
        <v/>
      </c>
      <c r="M936" s="7">
        <f>'1 datos preparados'!L929</f>
        <v/>
      </c>
      <c r="N936" s="7">
        <f>'1 datos preparados'!M929</f>
        <v/>
      </c>
      <c r="O936" s="7">
        <f>'1 datos preparados'!N929</f>
        <v/>
      </c>
      <c r="P936" s="7">
        <f>'1 datos preparados'!O929</f>
        <v/>
      </c>
      <c r="Q936" s="7">
        <f>'1 datos preparados'!P929</f>
        <v/>
      </c>
      <c r="R936" s="7">
        <f>'1 datos preparados'!Q929</f>
        <v/>
      </c>
      <c r="S936" s="7">
        <f>'1 datos preparados'!R929</f>
        <v/>
      </c>
      <c r="T936" s="7">
        <f>'1 datos preparados'!S929</f>
        <v/>
      </c>
      <c r="U936" s="7">
        <f>'1 datos preparados'!T929</f>
        <v/>
      </c>
      <c r="V936" s="8">
        <f>$AC$12+D936*$AC$13+E936*$AC$14+F936*$AC$15+G936*$AC$16+H936*$AC$17+I936*$AC$18+J936*$AC$19+K936*$AC$20+L936*$AC$21+M936*$AC$22+N936*$AC$23+O936*$AC$24+P936*$AC$25+Q936*$AC$26+R936*$AC$27+S936*$AC$28+T936*$AC$29+U936*$AC$30</f>
        <v/>
      </c>
      <c r="W936" s="8">
        <f>1/(1+EXP(-V936))</f>
        <v/>
      </c>
      <c r="X936" s="9">
        <f>-IF(C936=1,LN(W936),LN(1-W936))</f>
        <v/>
      </c>
      <c r="Y936" s="10">
        <f>IF(W936&gt;$AC$33,1,0)</f>
        <v/>
      </c>
      <c r="Z936">
        <f>IF(Y936=C936,1,0)</f>
        <v/>
      </c>
    </row>
    <row r="937">
      <c r="A937">
        <f>'1 datos preparados'!A930</f>
        <v/>
      </c>
      <c r="B937" s="5">
        <f>'1 datos preparados'!U930</f>
        <v/>
      </c>
      <c r="C937">
        <f>'1 datos preparados'!B930</f>
        <v/>
      </c>
      <c r="D937" s="7">
        <f>'1 datos preparados'!C930</f>
        <v/>
      </c>
      <c r="E937" s="7">
        <f>'1 datos preparados'!D930</f>
        <v/>
      </c>
      <c r="F937" s="7">
        <f>'1 datos preparados'!E930</f>
        <v/>
      </c>
      <c r="G937" s="7">
        <f>'1 datos preparados'!F930</f>
        <v/>
      </c>
      <c r="H937" s="7">
        <f>'1 datos preparados'!G930</f>
        <v/>
      </c>
      <c r="I937" s="7">
        <f>'1 datos preparados'!H930</f>
        <v/>
      </c>
      <c r="J937" s="7">
        <f>'1 datos preparados'!I930</f>
        <v/>
      </c>
      <c r="K937" s="7">
        <f>'1 datos preparados'!J930</f>
        <v/>
      </c>
      <c r="L937" s="7">
        <f>'1 datos preparados'!K930</f>
        <v/>
      </c>
      <c r="M937" s="7">
        <f>'1 datos preparados'!L930</f>
        <v/>
      </c>
      <c r="N937" s="7">
        <f>'1 datos preparados'!M930</f>
        <v/>
      </c>
      <c r="O937" s="7">
        <f>'1 datos preparados'!N930</f>
        <v/>
      </c>
      <c r="P937" s="7">
        <f>'1 datos preparados'!O930</f>
        <v/>
      </c>
      <c r="Q937" s="7">
        <f>'1 datos preparados'!P930</f>
        <v/>
      </c>
      <c r="R937" s="7">
        <f>'1 datos preparados'!Q930</f>
        <v/>
      </c>
      <c r="S937" s="7">
        <f>'1 datos preparados'!R930</f>
        <v/>
      </c>
      <c r="T937" s="7">
        <f>'1 datos preparados'!S930</f>
        <v/>
      </c>
      <c r="U937" s="7">
        <f>'1 datos preparados'!T930</f>
        <v/>
      </c>
      <c r="V937" s="8">
        <f>$AC$12+D937*$AC$13+E937*$AC$14+F937*$AC$15+G937*$AC$16+H937*$AC$17+I937*$AC$18+J937*$AC$19+K937*$AC$20+L937*$AC$21+M937*$AC$22+N937*$AC$23+O937*$AC$24+P937*$AC$25+Q937*$AC$26+R937*$AC$27+S937*$AC$28+T937*$AC$29+U937*$AC$30</f>
        <v/>
      </c>
      <c r="W937" s="8">
        <f>1/(1+EXP(-V937))</f>
        <v/>
      </c>
      <c r="X937" s="9">
        <f>-IF(C937=1,LN(W937),LN(1-W937))</f>
        <v/>
      </c>
      <c r="Y937" s="10">
        <f>IF(W937&gt;$AC$33,1,0)</f>
        <v/>
      </c>
      <c r="Z937">
        <f>IF(Y937=C937,1,0)</f>
        <v/>
      </c>
    </row>
    <row r="938">
      <c r="A938">
        <f>'1 datos preparados'!A931</f>
        <v/>
      </c>
      <c r="B938" s="5">
        <f>'1 datos preparados'!U931</f>
        <v/>
      </c>
      <c r="C938">
        <f>'1 datos preparados'!B931</f>
        <v/>
      </c>
      <c r="D938" s="7">
        <f>'1 datos preparados'!C931</f>
        <v/>
      </c>
      <c r="E938" s="7">
        <f>'1 datos preparados'!D931</f>
        <v/>
      </c>
      <c r="F938" s="7">
        <f>'1 datos preparados'!E931</f>
        <v/>
      </c>
      <c r="G938" s="7">
        <f>'1 datos preparados'!F931</f>
        <v/>
      </c>
      <c r="H938" s="7">
        <f>'1 datos preparados'!G931</f>
        <v/>
      </c>
      <c r="I938" s="7">
        <f>'1 datos preparados'!H931</f>
        <v/>
      </c>
      <c r="J938" s="7">
        <f>'1 datos preparados'!I931</f>
        <v/>
      </c>
      <c r="K938" s="7">
        <f>'1 datos preparados'!J931</f>
        <v/>
      </c>
      <c r="L938" s="7">
        <f>'1 datos preparados'!K931</f>
        <v/>
      </c>
      <c r="M938" s="7">
        <f>'1 datos preparados'!L931</f>
        <v/>
      </c>
      <c r="N938" s="7">
        <f>'1 datos preparados'!M931</f>
        <v/>
      </c>
      <c r="O938" s="7">
        <f>'1 datos preparados'!N931</f>
        <v/>
      </c>
      <c r="P938" s="7">
        <f>'1 datos preparados'!O931</f>
        <v/>
      </c>
      <c r="Q938" s="7">
        <f>'1 datos preparados'!P931</f>
        <v/>
      </c>
      <c r="R938" s="7">
        <f>'1 datos preparados'!Q931</f>
        <v/>
      </c>
      <c r="S938" s="7">
        <f>'1 datos preparados'!R931</f>
        <v/>
      </c>
      <c r="T938" s="7">
        <f>'1 datos preparados'!S931</f>
        <v/>
      </c>
      <c r="U938" s="7">
        <f>'1 datos preparados'!T931</f>
        <v/>
      </c>
      <c r="V938" s="8">
        <f>$AC$12+D938*$AC$13+E938*$AC$14+F938*$AC$15+G938*$AC$16+H938*$AC$17+I938*$AC$18+J938*$AC$19+K938*$AC$20+L938*$AC$21+M938*$AC$22+N938*$AC$23+O938*$AC$24+P938*$AC$25+Q938*$AC$26+R938*$AC$27+S938*$AC$28+T938*$AC$29+U938*$AC$30</f>
        <v/>
      </c>
      <c r="W938" s="8">
        <f>1/(1+EXP(-V938))</f>
        <v/>
      </c>
      <c r="X938" s="9">
        <f>-IF(C938=1,LN(W938),LN(1-W938))</f>
        <v/>
      </c>
      <c r="Y938" s="10">
        <f>IF(W938&gt;$AC$33,1,0)</f>
        <v/>
      </c>
      <c r="Z938">
        <f>IF(Y938=C938,1,0)</f>
        <v/>
      </c>
    </row>
    <row r="939">
      <c r="A939">
        <f>'1 datos preparados'!A932</f>
        <v/>
      </c>
      <c r="B939" s="5">
        <f>'1 datos preparados'!U932</f>
        <v/>
      </c>
      <c r="C939">
        <f>'1 datos preparados'!B932</f>
        <v/>
      </c>
      <c r="D939" s="7">
        <f>'1 datos preparados'!C932</f>
        <v/>
      </c>
      <c r="E939" s="7">
        <f>'1 datos preparados'!D932</f>
        <v/>
      </c>
      <c r="F939" s="7">
        <f>'1 datos preparados'!E932</f>
        <v/>
      </c>
      <c r="G939" s="7">
        <f>'1 datos preparados'!F932</f>
        <v/>
      </c>
      <c r="H939" s="7">
        <f>'1 datos preparados'!G932</f>
        <v/>
      </c>
      <c r="I939" s="7">
        <f>'1 datos preparados'!H932</f>
        <v/>
      </c>
      <c r="J939" s="7">
        <f>'1 datos preparados'!I932</f>
        <v/>
      </c>
      <c r="K939" s="7">
        <f>'1 datos preparados'!J932</f>
        <v/>
      </c>
      <c r="L939" s="7">
        <f>'1 datos preparados'!K932</f>
        <v/>
      </c>
      <c r="M939" s="7">
        <f>'1 datos preparados'!L932</f>
        <v/>
      </c>
      <c r="N939" s="7">
        <f>'1 datos preparados'!M932</f>
        <v/>
      </c>
      <c r="O939" s="7">
        <f>'1 datos preparados'!N932</f>
        <v/>
      </c>
      <c r="P939" s="7">
        <f>'1 datos preparados'!O932</f>
        <v/>
      </c>
      <c r="Q939" s="7">
        <f>'1 datos preparados'!P932</f>
        <v/>
      </c>
      <c r="R939" s="7">
        <f>'1 datos preparados'!Q932</f>
        <v/>
      </c>
      <c r="S939" s="7">
        <f>'1 datos preparados'!R932</f>
        <v/>
      </c>
      <c r="T939" s="7">
        <f>'1 datos preparados'!S932</f>
        <v/>
      </c>
      <c r="U939" s="7">
        <f>'1 datos preparados'!T932</f>
        <v/>
      </c>
      <c r="V939" s="8">
        <f>$AC$12+D939*$AC$13+E939*$AC$14+F939*$AC$15+G939*$AC$16+H939*$AC$17+I939*$AC$18+J939*$AC$19+K939*$AC$20+L939*$AC$21+M939*$AC$22+N939*$AC$23+O939*$AC$24+P939*$AC$25+Q939*$AC$26+R939*$AC$27+S939*$AC$28+T939*$AC$29+U939*$AC$30</f>
        <v/>
      </c>
      <c r="W939" s="8">
        <f>1/(1+EXP(-V939))</f>
        <v/>
      </c>
      <c r="X939" s="9">
        <f>-IF(C939=1,LN(W939),LN(1-W939))</f>
        <v/>
      </c>
      <c r="Y939" s="10">
        <f>IF(W939&gt;$AC$33,1,0)</f>
        <v/>
      </c>
      <c r="Z939">
        <f>IF(Y939=C939,1,0)</f>
        <v/>
      </c>
    </row>
    <row r="940">
      <c r="A940">
        <f>'1 datos preparados'!A933</f>
        <v/>
      </c>
      <c r="B940" s="5">
        <f>'1 datos preparados'!U933</f>
        <v/>
      </c>
      <c r="C940">
        <f>'1 datos preparados'!B933</f>
        <v/>
      </c>
      <c r="D940" s="7">
        <f>'1 datos preparados'!C933</f>
        <v/>
      </c>
      <c r="E940" s="7">
        <f>'1 datos preparados'!D933</f>
        <v/>
      </c>
      <c r="F940" s="7">
        <f>'1 datos preparados'!E933</f>
        <v/>
      </c>
      <c r="G940" s="7">
        <f>'1 datos preparados'!F933</f>
        <v/>
      </c>
      <c r="H940" s="7">
        <f>'1 datos preparados'!G933</f>
        <v/>
      </c>
      <c r="I940" s="7">
        <f>'1 datos preparados'!H933</f>
        <v/>
      </c>
      <c r="J940" s="7">
        <f>'1 datos preparados'!I933</f>
        <v/>
      </c>
      <c r="K940" s="7">
        <f>'1 datos preparados'!J933</f>
        <v/>
      </c>
      <c r="L940" s="7">
        <f>'1 datos preparados'!K933</f>
        <v/>
      </c>
      <c r="M940" s="7">
        <f>'1 datos preparados'!L933</f>
        <v/>
      </c>
      <c r="N940" s="7">
        <f>'1 datos preparados'!M933</f>
        <v/>
      </c>
      <c r="O940" s="7">
        <f>'1 datos preparados'!N933</f>
        <v/>
      </c>
      <c r="P940" s="7">
        <f>'1 datos preparados'!O933</f>
        <v/>
      </c>
      <c r="Q940" s="7">
        <f>'1 datos preparados'!P933</f>
        <v/>
      </c>
      <c r="R940" s="7">
        <f>'1 datos preparados'!Q933</f>
        <v/>
      </c>
      <c r="S940" s="7">
        <f>'1 datos preparados'!R933</f>
        <v/>
      </c>
      <c r="T940" s="7">
        <f>'1 datos preparados'!S933</f>
        <v/>
      </c>
      <c r="U940" s="7">
        <f>'1 datos preparados'!T933</f>
        <v/>
      </c>
      <c r="V940" s="8">
        <f>$AC$12+D940*$AC$13+E940*$AC$14+F940*$AC$15+G940*$AC$16+H940*$AC$17+I940*$AC$18+J940*$AC$19+K940*$AC$20+L940*$AC$21+M940*$AC$22+N940*$AC$23+O940*$AC$24+P940*$AC$25+Q940*$AC$26+R940*$AC$27+S940*$AC$28+T940*$AC$29+U940*$AC$30</f>
        <v/>
      </c>
      <c r="W940" s="8">
        <f>1/(1+EXP(-V940))</f>
        <v/>
      </c>
      <c r="X940" s="9">
        <f>-IF(C940=1,LN(W940),LN(1-W940))</f>
        <v/>
      </c>
      <c r="Y940" s="10">
        <f>IF(W940&gt;$AC$33,1,0)</f>
        <v/>
      </c>
      <c r="Z940">
        <f>IF(Y940=C940,1,0)</f>
        <v/>
      </c>
    </row>
    <row r="941">
      <c r="A941">
        <f>'1 datos preparados'!A934</f>
        <v/>
      </c>
      <c r="B941" s="5">
        <f>'1 datos preparados'!U934</f>
        <v/>
      </c>
      <c r="C941">
        <f>'1 datos preparados'!B934</f>
        <v/>
      </c>
      <c r="D941" s="7">
        <f>'1 datos preparados'!C934</f>
        <v/>
      </c>
      <c r="E941" s="7">
        <f>'1 datos preparados'!D934</f>
        <v/>
      </c>
      <c r="F941" s="7">
        <f>'1 datos preparados'!E934</f>
        <v/>
      </c>
      <c r="G941" s="7">
        <f>'1 datos preparados'!F934</f>
        <v/>
      </c>
      <c r="H941" s="7">
        <f>'1 datos preparados'!G934</f>
        <v/>
      </c>
      <c r="I941" s="7">
        <f>'1 datos preparados'!H934</f>
        <v/>
      </c>
      <c r="J941" s="7">
        <f>'1 datos preparados'!I934</f>
        <v/>
      </c>
      <c r="K941" s="7">
        <f>'1 datos preparados'!J934</f>
        <v/>
      </c>
      <c r="L941" s="7">
        <f>'1 datos preparados'!K934</f>
        <v/>
      </c>
      <c r="M941" s="7">
        <f>'1 datos preparados'!L934</f>
        <v/>
      </c>
      <c r="N941" s="7">
        <f>'1 datos preparados'!M934</f>
        <v/>
      </c>
      <c r="O941" s="7">
        <f>'1 datos preparados'!N934</f>
        <v/>
      </c>
      <c r="P941" s="7">
        <f>'1 datos preparados'!O934</f>
        <v/>
      </c>
      <c r="Q941" s="7">
        <f>'1 datos preparados'!P934</f>
        <v/>
      </c>
      <c r="R941" s="7">
        <f>'1 datos preparados'!Q934</f>
        <v/>
      </c>
      <c r="S941" s="7">
        <f>'1 datos preparados'!R934</f>
        <v/>
      </c>
      <c r="T941" s="7">
        <f>'1 datos preparados'!S934</f>
        <v/>
      </c>
      <c r="U941" s="7">
        <f>'1 datos preparados'!T934</f>
        <v/>
      </c>
      <c r="V941" s="8">
        <f>$AC$12+D941*$AC$13+E941*$AC$14+F941*$AC$15+G941*$AC$16+H941*$AC$17+I941*$AC$18+J941*$AC$19+K941*$AC$20+L941*$AC$21+M941*$AC$22+N941*$AC$23+O941*$AC$24+P941*$AC$25+Q941*$AC$26+R941*$AC$27+S941*$AC$28+T941*$AC$29+U941*$AC$30</f>
        <v/>
      </c>
      <c r="W941" s="8">
        <f>1/(1+EXP(-V941))</f>
        <v/>
      </c>
      <c r="X941" s="9">
        <f>-IF(C941=1,LN(W941),LN(1-W941))</f>
        <v/>
      </c>
      <c r="Y941" s="10">
        <f>IF(W941&gt;$AC$33,1,0)</f>
        <v/>
      </c>
      <c r="Z941">
        <f>IF(Y941=C941,1,0)</f>
        <v/>
      </c>
    </row>
    <row r="942">
      <c r="A942">
        <f>'1 datos preparados'!A935</f>
        <v/>
      </c>
      <c r="B942" s="5">
        <f>'1 datos preparados'!U935</f>
        <v/>
      </c>
      <c r="C942">
        <f>'1 datos preparados'!B935</f>
        <v/>
      </c>
      <c r="D942" s="7">
        <f>'1 datos preparados'!C935</f>
        <v/>
      </c>
      <c r="E942" s="7">
        <f>'1 datos preparados'!D935</f>
        <v/>
      </c>
      <c r="F942" s="7">
        <f>'1 datos preparados'!E935</f>
        <v/>
      </c>
      <c r="G942" s="7">
        <f>'1 datos preparados'!F935</f>
        <v/>
      </c>
      <c r="H942" s="7">
        <f>'1 datos preparados'!G935</f>
        <v/>
      </c>
      <c r="I942" s="7">
        <f>'1 datos preparados'!H935</f>
        <v/>
      </c>
      <c r="J942" s="7">
        <f>'1 datos preparados'!I935</f>
        <v/>
      </c>
      <c r="K942" s="7">
        <f>'1 datos preparados'!J935</f>
        <v/>
      </c>
      <c r="L942" s="7">
        <f>'1 datos preparados'!K935</f>
        <v/>
      </c>
      <c r="M942" s="7">
        <f>'1 datos preparados'!L935</f>
        <v/>
      </c>
      <c r="N942" s="7">
        <f>'1 datos preparados'!M935</f>
        <v/>
      </c>
      <c r="O942" s="7">
        <f>'1 datos preparados'!N935</f>
        <v/>
      </c>
      <c r="P942" s="7">
        <f>'1 datos preparados'!O935</f>
        <v/>
      </c>
      <c r="Q942" s="7">
        <f>'1 datos preparados'!P935</f>
        <v/>
      </c>
      <c r="R942" s="7">
        <f>'1 datos preparados'!Q935</f>
        <v/>
      </c>
      <c r="S942" s="7">
        <f>'1 datos preparados'!R935</f>
        <v/>
      </c>
      <c r="T942" s="7">
        <f>'1 datos preparados'!S935</f>
        <v/>
      </c>
      <c r="U942" s="7">
        <f>'1 datos preparados'!T935</f>
        <v/>
      </c>
      <c r="V942" s="8">
        <f>$AC$12+D942*$AC$13+E942*$AC$14+F942*$AC$15+G942*$AC$16+H942*$AC$17+I942*$AC$18+J942*$AC$19+K942*$AC$20+L942*$AC$21+M942*$AC$22+N942*$AC$23+O942*$AC$24+P942*$AC$25+Q942*$AC$26+R942*$AC$27+S942*$AC$28+T942*$AC$29+U942*$AC$30</f>
        <v/>
      </c>
      <c r="W942" s="8">
        <f>1/(1+EXP(-V942))</f>
        <v/>
      </c>
      <c r="X942" s="9">
        <f>-IF(C942=1,LN(W942),LN(1-W942))</f>
        <v/>
      </c>
      <c r="Y942" s="10">
        <f>IF(W942&gt;$AC$33,1,0)</f>
        <v/>
      </c>
      <c r="Z942">
        <f>IF(Y942=C942,1,0)</f>
        <v/>
      </c>
    </row>
    <row r="943">
      <c r="A943">
        <f>'1 datos preparados'!A936</f>
        <v/>
      </c>
      <c r="B943" s="5">
        <f>'1 datos preparados'!U936</f>
        <v/>
      </c>
      <c r="C943">
        <f>'1 datos preparados'!B936</f>
        <v/>
      </c>
      <c r="D943" s="7">
        <f>'1 datos preparados'!C936</f>
        <v/>
      </c>
      <c r="E943" s="7">
        <f>'1 datos preparados'!D936</f>
        <v/>
      </c>
      <c r="F943" s="7">
        <f>'1 datos preparados'!E936</f>
        <v/>
      </c>
      <c r="G943" s="7">
        <f>'1 datos preparados'!F936</f>
        <v/>
      </c>
      <c r="H943" s="7">
        <f>'1 datos preparados'!G936</f>
        <v/>
      </c>
      <c r="I943" s="7">
        <f>'1 datos preparados'!H936</f>
        <v/>
      </c>
      <c r="J943" s="7">
        <f>'1 datos preparados'!I936</f>
        <v/>
      </c>
      <c r="K943" s="7">
        <f>'1 datos preparados'!J936</f>
        <v/>
      </c>
      <c r="L943" s="7">
        <f>'1 datos preparados'!K936</f>
        <v/>
      </c>
      <c r="M943" s="7">
        <f>'1 datos preparados'!L936</f>
        <v/>
      </c>
      <c r="N943" s="7">
        <f>'1 datos preparados'!M936</f>
        <v/>
      </c>
      <c r="O943" s="7">
        <f>'1 datos preparados'!N936</f>
        <v/>
      </c>
      <c r="P943" s="7">
        <f>'1 datos preparados'!O936</f>
        <v/>
      </c>
      <c r="Q943" s="7">
        <f>'1 datos preparados'!P936</f>
        <v/>
      </c>
      <c r="R943" s="7">
        <f>'1 datos preparados'!Q936</f>
        <v/>
      </c>
      <c r="S943" s="7">
        <f>'1 datos preparados'!R936</f>
        <v/>
      </c>
      <c r="T943" s="7">
        <f>'1 datos preparados'!S936</f>
        <v/>
      </c>
      <c r="U943" s="7">
        <f>'1 datos preparados'!T936</f>
        <v/>
      </c>
      <c r="V943" s="8">
        <f>$AC$12+D943*$AC$13+E943*$AC$14+F943*$AC$15+G943*$AC$16+H943*$AC$17+I943*$AC$18+J943*$AC$19+K943*$AC$20+L943*$AC$21+M943*$AC$22+N943*$AC$23+O943*$AC$24+P943*$AC$25+Q943*$AC$26+R943*$AC$27+S943*$AC$28+T943*$AC$29+U943*$AC$30</f>
        <v/>
      </c>
      <c r="W943" s="8">
        <f>1/(1+EXP(-V943))</f>
        <v/>
      </c>
      <c r="X943" s="9">
        <f>-IF(C943=1,LN(W943),LN(1-W943))</f>
        <v/>
      </c>
      <c r="Y943" s="10">
        <f>IF(W943&gt;$AC$33,1,0)</f>
        <v/>
      </c>
      <c r="Z943">
        <f>IF(Y943=C943,1,0)</f>
        <v/>
      </c>
    </row>
    <row r="944">
      <c r="A944">
        <f>'1 datos preparados'!A937</f>
        <v/>
      </c>
      <c r="B944" s="5">
        <f>'1 datos preparados'!U937</f>
        <v/>
      </c>
      <c r="C944">
        <f>'1 datos preparados'!B937</f>
        <v/>
      </c>
      <c r="D944" s="7">
        <f>'1 datos preparados'!C937</f>
        <v/>
      </c>
      <c r="E944" s="7">
        <f>'1 datos preparados'!D937</f>
        <v/>
      </c>
      <c r="F944" s="7">
        <f>'1 datos preparados'!E937</f>
        <v/>
      </c>
      <c r="G944" s="7">
        <f>'1 datos preparados'!F937</f>
        <v/>
      </c>
      <c r="H944" s="7">
        <f>'1 datos preparados'!G937</f>
        <v/>
      </c>
      <c r="I944" s="7">
        <f>'1 datos preparados'!H937</f>
        <v/>
      </c>
      <c r="J944" s="7">
        <f>'1 datos preparados'!I937</f>
        <v/>
      </c>
      <c r="K944" s="7">
        <f>'1 datos preparados'!J937</f>
        <v/>
      </c>
      <c r="L944" s="7">
        <f>'1 datos preparados'!K937</f>
        <v/>
      </c>
      <c r="M944" s="7">
        <f>'1 datos preparados'!L937</f>
        <v/>
      </c>
      <c r="N944" s="7">
        <f>'1 datos preparados'!M937</f>
        <v/>
      </c>
      <c r="O944" s="7">
        <f>'1 datos preparados'!N937</f>
        <v/>
      </c>
      <c r="P944" s="7">
        <f>'1 datos preparados'!O937</f>
        <v/>
      </c>
      <c r="Q944" s="7">
        <f>'1 datos preparados'!P937</f>
        <v/>
      </c>
      <c r="R944" s="7">
        <f>'1 datos preparados'!Q937</f>
        <v/>
      </c>
      <c r="S944" s="7">
        <f>'1 datos preparados'!R937</f>
        <v/>
      </c>
      <c r="T944" s="7">
        <f>'1 datos preparados'!S937</f>
        <v/>
      </c>
      <c r="U944" s="7">
        <f>'1 datos preparados'!T937</f>
        <v/>
      </c>
      <c r="V944" s="8">
        <f>$AC$12+D944*$AC$13+E944*$AC$14+F944*$AC$15+G944*$AC$16+H944*$AC$17+I944*$AC$18+J944*$AC$19+K944*$AC$20+L944*$AC$21+M944*$AC$22+N944*$AC$23+O944*$AC$24+P944*$AC$25+Q944*$AC$26+R944*$AC$27+S944*$AC$28+T944*$AC$29+U944*$AC$30</f>
        <v/>
      </c>
      <c r="W944" s="8">
        <f>1/(1+EXP(-V944))</f>
        <v/>
      </c>
      <c r="X944" s="9">
        <f>-IF(C944=1,LN(W944),LN(1-W944))</f>
        <v/>
      </c>
      <c r="Y944" s="10">
        <f>IF(W944&gt;$AC$33,1,0)</f>
        <v/>
      </c>
      <c r="Z944">
        <f>IF(Y944=C944,1,0)</f>
        <v/>
      </c>
    </row>
    <row r="945">
      <c r="A945">
        <f>'1 datos preparados'!A938</f>
        <v/>
      </c>
      <c r="B945" s="5">
        <f>'1 datos preparados'!U938</f>
        <v/>
      </c>
      <c r="C945">
        <f>'1 datos preparados'!B938</f>
        <v/>
      </c>
      <c r="D945" s="7">
        <f>'1 datos preparados'!C938</f>
        <v/>
      </c>
      <c r="E945" s="7">
        <f>'1 datos preparados'!D938</f>
        <v/>
      </c>
      <c r="F945" s="7">
        <f>'1 datos preparados'!E938</f>
        <v/>
      </c>
      <c r="G945" s="7">
        <f>'1 datos preparados'!F938</f>
        <v/>
      </c>
      <c r="H945" s="7">
        <f>'1 datos preparados'!G938</f>
        <v/>
      </c>
      <c r="I945" s="7">
        <f>'1 datos preparados'!H938</f>
        <v/>
      </c>
      <c r="J945" s="7">
        <f>'1 datos preparados'!I938</f>
        <v/>
      </c>
      <c r="K945" s="7">
        <f>'1 datos preparados'!J938</f>
        <v/>
      </c>
      <c r="L945" s="7">
        <f>'1 datos preparados'!K938</f>
        <v/>
      </c>
      <c r="M945" s="7">
        <f>'1 datos preparados'!L938</f>
        <v/>
      </c>
      <c r="N945" s="7">
        <f>'1 datos preparados'!M938</f>
        <v/>
      </c>
      <c r="O945" s="7">
        <f>'1 datos preparados'!N938</f>
        <v/>
      </c>
      <c r="P945" s="7">
        <f>'1 datos preparados'!O938</f>
        <v/>
      </c>
      <c r="Q945" s="7">
        <f>'1 datos preparados'!P938</f>
        <v/>
      </c>
      <c r="R945" s="7">
        <f>'1 datos preparados'!Q938</f>
        <v/>
      </c>
      <c r="S945" s="7">
        <f>'1 datos preparados'!R938</f>
        <v/>
      </c>
      <c r="T945" s="7">
        <f>'1 datos preparados'!S938</f>
        <v/>
      </c>
      <c r="U945" s="7">
        <f>'1 datos preparados'!T938</f>
        <v/>
      </c>
      <c r="V945" s="8">
        <f>$AC$12+D945*$AC$13+E945*$AC$14+F945*$AC$15+G945*$AC$16+H945*$AC$17+I945*$AC$18+J945*$AC$19+K945*$AC$20+L945*$AC$21+M945*$AC$22+N945*$AC$23+O945*$AC$24+P945*$AC$25+Q945*$AC$26+R945*$AC$27+S945*$AC$28+T945*$AC$29+U945*$AC$30</f>
        <v/>
      </c>
      <c r="W945" s="8">
        <f>1/(1+EXP(-V945))</f>
        <v/>
      </c>
      <c r="X945" s="9">
        <f>-IF(C945=1,LN(W945),LN(1-W945))</f>
        <v/>
      </c>
      <c r="Y945" s="10">
        <f>IF(W945&gt;$AC$33,1,0)</f>
        <v/>
      </c>
      <c r="Z945">
        <f>IF(Y945=C945,1,0)</f>
        <v/>
      </c>
    </row>
    <row r="946">
      <c r="A946">
        <f>'1 datos preparados'!A939</f>
        <v/>
      </c>
      <c r="B946" s="5">
        <f>'1 datos preparados'!U939</f>
        <v/>
      </c>
      <c r="C946">
        <f>'1 datos preparados'!B939</f>
        <v/>
      </c>
      <c r="D946" s="7">
        <f>'1 datos preparados'!C939</f>
        <v/>
      </c>
      <c r="E946" s="7">
        <f>'1 datos preparados'!D939</f>
        <v/>
      </c>
      <c r="F946" s="7">
        <f>'1 datos preparados'!E939</f>
        <v/>
      </c>
      <c r="G946" s="7">
        <f>'1 datos preparados'!F939</f>
        <v/>
      </c>
      <c r="H946" s="7">
        <f>'1 datos preparados'!G939</f>
        <v/>
      </c>
      <c r="I946" s="7">
        <f>'1 datos preparados'!H939</f>
        <v/>
      </c>
      <c r="J946" s="7">
        <f>'1 datos preparados'!I939</f>
        <v/>
      </c>
      <c r="K946" s="7">
        <f>'1 datos preparados'!J939</f>
        <v/>
      </c>
      <c r="L946" s="7">
        <f>'1 datos preparados'!K939</f>
        <v/>
      </c>
      <c r="M946" s="7">
        <f>'1 datos preparados'!L939</f>
        <v/>
      </c>
      <c r="N946" s="7">
        <f>'1 datos preparados'!M939</f>
        <v/>
      </c>
      <c r="O946" s="7">
        <f>'1 datos preparados'!N939</f>
        <v/>
      </c>
      <c r="P946" s="7">
        <f>'1 datos preparados'!O939</f>
        <v/>
      </c>
      <c r="Q946" s="7">
        <f>'1 datos preparados'!P939</f>
        <v/>
      </c>
      <c r="R946" s="7">
        <f>'1 datos preparados'!Q939</f>
        <v/>
      </c>
      <c r="S946" s="7">
        <f>'1 datos preparados'!R939</f>
        <v/>
      </c>
      <c r="T946" s="7">
        <f>'1 datos preparados'!S939</f>
        <v/>
      </c>
      <c r="U946" s="7">
        <f>'1 datos preparados'!T939</f>
        <v/>
      </c>
      <c r="V946" s="8">
        <f>$AC$12+D946*$AC$13+E946*$AC$14+F946*$AC$15+G946*$AC$16+H946*$AC$17+I946*$AC$18+J946*$AC$19+K946*$AC$20+L946*$AC$21+M946*$AC$22+N946*$AC$23+O946*$AC$24+P946*$AC$25+Q946*$AC$26+R946*$AC$27+S946*$AC$28+T946*$AC$29+U946*$AC$30</f>
        <v/>
      </c>
      <c r="W946" s="8">
        <f>1/(1+EXP(-V946))</f>
        <v/>
      </c>
      <c r="X946" s="9">
        <f>-IF(C946=1,LN(W946),LN(1-W946))</f>
        <v/>
      </c>
      <c r="Y946" s="10">
        <f>IF(W946&gt;$AC$33,1,0)</f>
        <v/>
      </c>
      <c r="Z946">
        <f>IF(Y946=C946,1,0)</f>
        <v/>
      </c>
    </row>
    <row r="947">
      <c r="A947">
        <f>'1 datos preparados'!A940</f>
        <v/>
      </c>
      <c r="B947" s="5">
        <f>'1 datos preparados'!U940</f>
        <v/>
      </c>
      <c r="C947">
        <f>'1 datos preparados'!B940</f>
        <v/>
      </c>
      <c r="D947" s="7">
        <f>'1 datos preparados'!C940</f>
        <v/>
      </c>
      <c r="E947" s="7">
        <f>'1 datos preparados'!D940</f>
        <v/>
      </c>
      <c r="F947" s="7">
        <f>'1 datos preparados'!E940</f>
        <v/>
      </c>
      <c r="G947" s="7">
        <f>'1 datos preparados'!F940</f>
        <v/>
      </c>
      <c r="H947" s="7">
        <f>'1 datos preparados'!G940</f>
        <v/>
      </c>
      <c r="I947" s="7">
        <f>'1 datos preparados'!H940</f>
        <v/>
      </c>
      <c r="J947" s="7">
        <f>'1 datos preparados'!I940</f>
        <v/>
      </c>
      <c r="K947" s="7">
        <f>'1 datos preparados'!J940</f>
        <v/>
      </c>
      <c r="L947" s="7">
        <f>'1 datos preparados'!K940</f>
        <v/>
      </c>
      <c r="M947" s="7">
        <f>'1 datos preparados'!L940</f>
        <v/>
      </c>
      <c r="N947" s="7">
        <f>'1 datos preparados'!M940</f>
        <v/>
      </c>
      <c r="O947" s="7">
        <f>'1 datos preparados'!N940</f>
        <v/>
      </c>
      <c r="P947" s="7">
        <f>'1 datos preparados'!O940</f>
        <v/>
      </c>
      <c r="Q947" s="7">
        <f>'1 datos preparados'!P940</f>
        <v/>
      </c>
      <c r="R947" s="7">
        <f>'1 datos preparados'!Q940</f>
        <v/>
      </c>
      <c r="S947" s="7">
        <f>'1 datos preparados'!R940</f>
        <v/>
      </c>
      <c r="T947" s="7">
        <f>'1 datos preparados'!S940</f>
        <v/>
      </c>
      <c r="U947" s="7">
        <f>'1 datos preparados'!T940</f>
        <v/>
      </c>
      <c r="V947" s="8">
        <f>$AC$12+D947*$AC$13+E947*$AC$14+F947*$AC$15+G947*$AC$16+H947*$AC$17+I947*$AC$18+J947*$AC$19+K947*$AC$20+L947*$AC$21+M947*$AC$22+N947*$AC$23+O947*$AC$24+P947*$AC$25+Q947*$AC$26+R947*$AC$27+S947*$AC$28+T947*$AC$29+U947*$AC$30</f>
        <v/>
      </c>
      <c r="W947" s="8">
        <f>1/(1+EXP(-V947))</f>
        <v/>
      </c>
      <c r="X947" s="9">
        <f>-IF(C947=1,LN(W947),LN(1-W947))</f>
        <v/>
      </c>
      <c r="Y947" s="10">
        <f>IF(W947&gt;$AC$33,1,0)</f>
        <v/>
      </c>
      <c r="Z947">
        <f>IF(Y947=C947,1,0)</f>
        <v/>
      </c>
    </row>
    <row r="948">
      <c r="A948">
        <f>'1 datos preparados'!A941</f>
        <v/>
      </c>
      <c r="B948" s="5">
        <f>'1 datos preparados'!U941</f>
        <v/>
      </c>
      <c r="C948">
        <f>'1 datos preparados'!B941</f>
        <v/>
      </c>
      <c r="D948" s="7">
        <f>'1 datos preparados'!C941</f>
        <v/>
      </c>
      <c r="E948" s="7">
        <f>'1 datos preparados'!D941</f>
        <v/>
      </c>
      <c r="F948" s="7">
        <f>'1 datos preparados'!E941</f>
        <v/>
      </c>
      <c r="G948" s="7">
        <f>'1 datos preparados'!F941</f>
        <v/>
      </c>
      <c r="H948" s="7">
        <f>'1 datos preparados'!G941</f>
        <v/>
      </c>
      <c r="I948" s="7">
        <f>'1 datos preparados'!H941</f>
        <v/>
      </c>
      <c r="J948" s="7">
        <f>'1 datos preparados'!I941</f>
        <v/>
      </c>
      <c r="K948" s="7">
        <f>'1 datos preparados'!J941</f>
        <v/>
      </c>
      <c r="L948" s="7">
        <f>'1 datos preparados'!K941</f>
        <v/>
      </c>
      <c r="M948" s="7">
        <f>'1 datos preparados'!L941</f>
        <v/>
      </c>
      <c r="N948" s="7">
        <f>'1 datos preparados'!M941</f>
        <v/>
      </c>
      <c r="O948" s="7">
        <f>'1 datos preparados'!N941</f>
        <v/>
      </c>
      <c r="P948" s="7">
        <f>'1 datos preparados'!O941</f>
        <v/>
      </c>
      <c r="Q948" s="7">
        <f>'1 datos preparados'!P941</f>
        <v/>
      </c>
      <c r="R948" s="7">
        <f>'1 datos preparados'!Q941</f>
        <v/>
      </c>
      <c r="S948" s="7">
        <f>'1 datos preparados'!R941</f>
        <v/>
      </c>
      <c r="T948" s="7">
        <f>'1 datos preparados'!S941</f>
        <v/>
      </c>
      <c r="U948" s="7">
        <f>'1 datos preparados'!T941</f>
        <v/>
      </c>
      <c r="V948" s="8">
        <f>$AC$12+D948*$AC$13+E948*$AC$14+F948*$AC$15+G948*$AC$16+H948*$AC$17+I948*$AC$18+J948*$AC$19+K948*$AC$20+L948*$AC$21+M948*$AC$22+N948*$AC$23+O948*$AC$24+P948*$AC$25+Q948*$AC$26+R948*$AC$27+S948*$AC$28+T948*$AC$29+U948*$AC$30</f>
        <v/>
      </c>
      <c r="W948" s="8">
        <f>1/(1+EXP(-V948))</f>
        <v/>
      </c>
      <c r="X948" s="9">
        <f>-IF(C948=1,LN(W948),LN(1-W948))</f>
        <v/>
      </c>
      <c r="Y948" s="10">
        <f>IF(W948&gt;$AC$33,1,0)</f>
        <v/>
      </c>
      <c r="Z948">
        <f>IF(Y948=C948,1,0)</f>
        <v/>
      </c>
    </row>
    <row r="949">
      <c r="A949">
        <f>'1 datos preparados'!A942</f>
        <v/>
      </c>
      <c r="B949" s="5">
        <f>'1 datos preparados'!U942</f>
        <v/>
      </c>
      <c r="C949">
        <f>'1 datos preparados'!B942</f>
        <v/>
      </c>
      <c r="D949" s="7">
        <f>'1 datos preparados'!C942</f>
        <v/>
      </c>
      <c r="E949" s="7">
        <f>'1 datos preparados'!D942</f>
        <v/>
      </c>
      <c r="F949" s="7">
        <f>'1 datos preparados'!E942</f>
        <v/>
      </c>
      <c r="G949" s="7">
        <f>'1 datos preparados'!F942</f>
        <v/>
      </c>
      <c r="H949" s="7">
        <f>'1 datos preparados'!G942</f>
        <v/>
      </c>
      <c r="I949" s="7">
        <f>'1 datos preparados'!H942</f>
        <v/>
      </c>
      <c r="J949" s="7">
        <f>'1 datos preparados'!I942</f>
        <v/>
      </c>
      <c r="K949" s="7">
        <f>'1 datos preparados'!J942</f>
        <v/>
      </c>
      <c r="L949" s="7">
        <f>'1 datos preparados'!K942</f>
        <v/>
      </c>
      <c r="M949" s="7">
        <f>'1 datos preparados'!L942</f>
        <v/>
      </c>
      <c r="N949" s="7">
        <f>'1 datos preparados'!M942</f>
        <v/>
      </c>
      <c r="O949" s="7">
        <f>'1 datos preparados'!N942</f>
        <v/>
      </c>
      <c r="P949" s="7">
        <f>'1 datos preparados'!O942</f>
        <v/>
      </c>
      <c r="Q949" s="7">
        <f>'1 datos preparados'!P942</f>
        <v/>
      </c>
      <c r="R949" s="7">
        <f>'1 datos preparados'!Q942</f>
        <v/>
      </c>
      <c r="S949" s="7">
        <f>'1 datos preparados'!R942</f>
        <v/>
      </c>
      <c r="T949" s="7">
        <f>'1 datos preparados'!S942</f>
        <v/>
      </c>
      <c r="U949" s="7">
        <f>'1 datos preparados'!T942</f>
        <v/>
      </c>
      <c r="V949" s="8">
        <f>$AC$12+D949*$AC$13+E949*$AC$14+F949*$AC$15+G949*$AC$16+H949*$AC$17+I949*$AC$18+J949*$AC$19+K949*$AC$20+L949*$AC$21+M949*$AC$22+N949*$AC$23+O949*$AC$24+P949*$AC$25+Q949*$AC$26+R949*$AC$27+S949*$AC$28+T949*$AC$29+U949*$AC$30</f>
        <v/>
      </c>
      <c r="W949" s="8">
        <f>1/(1+EXP(-V949))</f>
        <v/>
      </c>
      <c r="X949" s="9">
        <f>-IF(C949=1,LN(W949),LN(1-W949))</f>
        <v/>
      </c>
      <c r="Y949" s="10">
        <f>IF(W949&gt;$AC$33,1,0)</f>
        <v/>
      </c>
      <c r="Z949">
        <f>IF(Y949=C949,1,0)</f>
        <v/>
      </c>
    </row>
    <row r="950">
      <c r="A950">
        <f>'1 datos preparados'!A943</f>
        <v/>
      </c>
      <c r="B950" s="5">
        <f>'1 datos preparados'!U943</f>
        <v/>
      </c>
      <c r="C950">
        <f>'1 datos preparados'!B943</f>
        <v/>
      </c>
      <c r="D950" s="7">
        <f>'1 datos preparados'!C943</f>
        <v/>
      </c>
      <c r="E950" s="7">
        <f>'1 datos preparados'!D943</f>
        <v/>
      </c>
      <c r="F950" s="7">
        <f>'1 datos preparados'!E943</f>
        <v/>
      </c>
      <c r="G950" s="7">
        <f>'1 datos preparados'!F943</f>
        <v/>
      </c>
      <c r="H950" s="7">
        <f>'1 datos preparados'!G943</f>
        <v/>
      </c>
      <c r="I950" s="7">
        <f>'1 datos preparados'!H943</f>
        <v/>
      </c>
      <c r="J950" s="7">
        <f>'1 datos preparados'!I943</f>
        <v/>
      </c>
      <c r="K950" s="7">
        <f>'1 datos preparados'!J943</f>
        <v/>
      </c>
      <c r="L950" s="7">
        <f>'1 datos preparados'!K943</f>
        <v/>
      </c>
      <c r="M950" s="7">
        <f>'1 datos preparados'!L943</f>
        <v/>
      </c>
      <c r="N950" s="7">
        <f>'1 datos preparados'!M943</f>
        <v/>
      </c>
      <c r="O950" s="7">
        <f>'1 datos preparados'!N943</f>
        <v/>
      </c>
      <c r="P950" s="7">
        <f>'1 datos preparados'!O943</f>
        <v/>
      </c>
      <c r="Q950" s="7">
        <f>'1 datos preparados'!P943</f>
        <v/>
      </c>
      <c r="R950" s="7">
        <f>'1 datos preparados'!Q943</f>
        <v/>
      </c>
      <c r="S950" s="7">
        <f>'1 datos preparados'!R943</f>
        <v/>
      </c>
      <c r="T950" s="7">
        <f>'1 datos preparados'!S943</f>
        <v/>
      </c>
      <c r="U950" s="7">
        <f>'1 datos preparados'!T943</f>
        <v/>
      </c>
      <c r="V950" s="8">
        <f>$AC$12+D950*$AC$13+E950*$AC$14+F950*$AC$15+G950*$AC$16+H950*$AC$17+I950*$AC$18+J950*$AC$19+K950*$AC$20+L950*$AC$21+M950*$AC$22+N950*$AC$23+O950*$AC$24+P950*$AC$25+Q950*$AC$26+R950*$AC$27+S950*$AC$28+T950*$AC$29+U950*$AC$30</f>
        <v/>
      </c>
      <c r="W950" s="8">
        <f>1/(1+EXP(-V950))</f>
        <v/>
      </c>
      <c r="X950" s="9">
        <f>-IF(C950=1,LN(W950),LN(1-W950))</f>
        <v/>
      </c>
      <c r="Y950" s="10">
        <f>IF(W950&gt;$AC$33,1,0)</f>
        <v/>
      </c>
      <c r="Z950">
        <f>IF(Y950=C950,1,0)</f>
        <v/>
      </c>
    </row>
    <row r="951">
      <c r="A951">
        <f>'1 datos preparados'!A944</f>
        <v/>
      </c>
      <c r="B951" s="5">
        <f>'1 datos preparados'!U944</f>
        <v/>
      </c>
      <c r="C951">
        <f>'1 datos preparados'!B944</f>
        <v/>
      </c>
      <c r="D951" s="7">
        <f>'1 datos preparados'!C944</f>
        <v/>
      </c>
      <c r="E951" s="7">
        <f>'1 datos preparados'!D944</f>
        <v/>
      </c>
      <c r="F951" s="7">
        <f>'1 datos preparados'!E944</f>
        <v/>
      </c>
      <c r="G951" s="7">
        <f>'1 datos preparados'!F944</f>
        <v/>
      </c>
      <c r="H951" s="7">
        <f>'1 datos preparados'!G944</f>
        <v/>
      </c>
      <c r="I951" s="7">
        <f>'1 datos preparados'!H944</f>
        <v/>
      </c>
      <c r="J951" s="7">
        <f>'1 datos preparados'!I944</f>
        <v/>
      </c>
      <c r="K951" s="7">
        <f>'1 datos preparados'!J944</f>
        <v/>
      </c>
      <c r="L951" s="7">
        <f>'1 datos preparados'!K944</f>
        <v/>
      </c>
      <c r="M951" s="7">
        <f>'1 datos preparados'!L944</f>
        <v/>
      </c>
      <c r="N951" s="7">
        <f>'1 datos preparados'!M944</f>
        <v/>
      </c>
      <c r="O951" s="7">
        <f>'1 datos preparados'!N944</f>
        <v/>
      </c>
      <c r="P951" s="7">
        <f>'1 datos preparados'!O944</f>
        <v/>
      </c>
      <c r="Q951" s="7">
        <f>'1 datos preparados'!P944</f>
        <v/>
      </c>
      <c r="R951" s="7">
        <f>'1 datos preparados'!Q944</f>
        <v/>
      </c>
      <c r="S951" s="7">
        <f>'1 datos preparados'!R944</f>
        <v/>
      </c>
      <c r="T951" s="7">
        <f>'1 datos preparados'!S944</f>
        <v/>
      </c>
      <c r="U951" s="7">
        <f>'1 datos preparados'!T944</f>
        <v/>
      </c>
      <c r="V951" s="8">
        <f>$AC$12+D951*$AC$13+E951*$AC$14+F951*$AC$15+G951*$AC$16+H951*$AC$17+I951*$AC$18+J951*$AC$19+K951*$AC$20+L951*$AC$21+M951*$AC$22+N951*$AC$23+O951*$AC$24+P951*$AC$25+Q951*$AC$26+R951*$AC$27+S951*$AC$28+T951*$AC$29+U951*$AC$30</f>
        <v/>
      </c>
      <c r="W951" s="8">
        <f>1/(1+EXP(-V951))</f>
        <v/>
      </c>
      <c r="X951" s="9">
        <f>-IF(C951=1,LN(W951),LN(1-W951))</f>
        <v/>
      </c>
      <c r="Y951" s="10">
        <f>IF(W951&gt;$AC$33,1,0)</f>
        <v/>
      </c>
      <c r="Z951">
        <f>IF(Y951=C951,1,0)</f>
        <v/>
      </c>
    </row>
    <row r="952">
      <c r="A952">
        <f>'1 datos preparados'!A945</f>
        <v/>
      </c>
      <c r="B952" s="5">
        <f>'1 datos preparados'!U945</f>
        <v/>
      </c>
      <c r="C952">
        <f>'1 datos preparados'!B945</f>
        <v/>
      </c>
      <c r="D952" s="7">
        <f>'1 datos preparados'!C945</f>
        <v/>
      </c>
      <c r="E952" s="7">
        <f>'1 datos preparados'!D945</f>
        <v/>
      </c>
      <c r="F952" s="7">
        <f>'1 datos preparados'!E945</f>
        <v/>
      </c>
      <c r="G952" s="7">
        <f>'1 datos preparados'!F945</f>
        <v/>
      </c>
      <c r="H952" s="7">
        <f>'1 datos preparados'!G945</f>
        <v/>
      </c>
      <c r="I952" s="7">
        <f>'1 datos preparados'!H945</f>
        <v/>
      </c>
      <c r="J952" s="7">
        <f>'1 datos preparados'!I945</f>
        <v/>
      </c>
      <c r="K952" s="7">
        <f>'1 datos preparados'!J945</f>
        <v/>
      </c>
      <c r="L952" s="7">
        <f>'1 datos preparados'!K945</f>
        <v/>
      </c>
      <c r="M952" s="7">
        <f>'1 datos preparados'!L945</f>
        <v/>
      </c>
      <c r="N952" s="7">
        <f>'1 datos preparados'!M945</f>
        <v/>
      </c>
      <c r="O952" s="7">
        <f>'1 datos preparados'!N945</f>
        <v/>
      </c>
      <c r="P952" s="7">
        <f>'1 datos preparados'!O945</f>
        <v/>
      </c>
      <c r="Q952" s="7">
        <f>'1 datos preparados'!P945</f>
        <v/>
      </c>
      <c r="R952" s="7">
        <f>'1 datos preparados'!Q945</f>
        <v/>
      </c>
      <c r="S952" s="7">
        <f>'1 datos preparados'!R945</f>
        <v/>
      </c>
      <c r="T952" s="7">
        <f>'1 datos preparados'!S945</f>
        <v/>
      </c>
      <c r="U952" s="7">
        <f>'1 datos preparados'!T945</f>
        <v/>
      </c>
      <c r="V952" s="8">
        <f>$AC$12+D952*$AC$13+E952*$AC$14+F952*$AC$15+G952*$AC$16+H952*$AC$17+I952*$AC$18+J952*$AC$19+K952*$AC$20+L952*$AC$21+M952*$AC$22+N952*$AC$23+O952*$AC$24+P952*$AC$25+Q952*$AC$26+R952*$AC$27+S952*$AC$28+T952*$AC$29+U952*$AC$30</f>
        <v/>
      </c>
      <c r="W952" s="8">
        <f>1/(1+EXP(-V952))</f>
        <v/>
      </c>
      <c r="X952" s="9">
        <f>-IF(C952=1,LN(W952),LN(1-W952))</f>
        <v/>
      </c>
      <c r="Y952" s="10">
        <f>IF(W952&gt;$AC$33,1,0)</f>
        <v/>
      </c>
      <c r="Z952">
        <f>IF(Y952=C952,1,0)</f>
        <v/>
      </c>
    </row>
    <row r="953">
      <c r="A953">
        <f>'1 datos preparados'!A946</f>
        <v/>
      </c>
      <c r="B953" s="5">
        <f>'1 datos preparados'!U946</f>
        <v/>
      </c>
      <c r="C953">
        <f>'1 datos preparados'!B946</f>
        <v/>
      </c>
      <c r="D953" s="7">
        <f>'1 datos preparados'!C946</f>
        <v/>
      </c>
      <c r="E953" s="7">
        <f>'1 datos preparados'!D946</f>
        <v/>
      </c>
      <c r="F953" s="7">
        <f>'1 datos preparados'!E946</f>
        <v/>
      </c>
      <c r="G953" s="7">
        <f>'1 datos preparados'!F946</f>
        <v/>
      </c>
      <c r="H953" s="7">
        <f>'1 datos preparados'!G946</f>
        <v/>
      </c>
      <c r="I953" s="7">
        <f>'1 datos preparados'!H946</f>
        <v/>
      </c>
      <c r="J953" s="7">
        <f>'1 datos preparados'!I946</f>
        <v/>
      </c>
      <c r="K953" s="7">
        <f>'1 datos preparados'!J946</f>
        <v/>
      </c>
      <c r="L953" s="7">
        <f>'1 datos preparados'!K946</f>
        <v/>
      </c>
      <c r="M953" s="7">
        <f>'1 datos preparados'!L946</f>
        <v/>
      </c>
      <c r="N953" s="7">
        <f>'1 datos preparados'!M946</f>
        <v/>
      </c>
      <c r="O953" s="7">
        <f>'1 datos preparados'!N946</f>
        <v/>
      </c>
      <c r="P953" s="7">
        <f>'1 datos preparados'!O946</f>
        <v/>
      </c>
      <c r="Q953" s="7">
        <f>'1 datos preparados'!P946</f>
        <v/>
      </c>
      <c r="R953" s="7">
        <f>'1 datos preparados'!Q946</f>
        <v/>
      </c>
      <c r="S953" s="7">
        <f>'1 datos preparados'!R946</f>
        <v/>
      </c>
      <c r="T953" s="7">
        <f>'1 datos preparados'!S946</f>
        <v/>
      </c>
      <c r="U953" s="7">
        <f>'1 datos preparados'!T946</f>
        <v/>
      </c>
      <c r="V953" s="8">
        <f>$AC$12+D953*$AC$13+E953*$AC$14+F953*$AC$15+G953*$AC$16+H953*$AC$17+I953*$AC$18+J953*$AC$19+K953*$AC$20+L953*$AC$21+M953*$AC$22+N953*$AC$23+O953*$AC$24+P953*$AC$25+Q953*$AC$26+R953*$AC$27+S953*$AC$28+T953*$AC$29+U953*$AC$30</f>
        <v/>
      </c>
      <c r="W953" s="8">
        <f>1/(1+EXP(-V953))</f>
        <v/>
      </c>
      <c r="X953" s="9">
        <f>-IF(C953=1,LN(W953),LN(1-W953))</f>
        <v/>
      </c>
      <c r="Y953" s="10">
        <f>IF(W953&gt;$AC$33,1,0)</f>
        <v/>
      </c>
      <c r="Z953">
        <f>IF(Y953=C953,1,0)</f>
        <v/>
      </c>
    </row>
    <row r="954">
      <c r="A954">
        <f>'1 datos preparados'!A947</f>
        <v/>
      </c>
      <c r="B954" s="5">
        <f>'1 datos preparados'!U947</f>
        <v/>
      </c>
      <c r="C954">
        <f>'1 datos preparados'!B947</f>
        <v/>
      </c>
      <c r="D954" s="7">
        <f>'1 datos preparados'!C947</f>
        <v/>
      </c>
      <c r="E954" s="7">
        <f>'1 datos preparados'!D947</f>
        <v/>
      </c>
      <c r="F954" s="7">
        <f>'1 datos preparados'!E947</f>
        <v/>
      </c>
      <c r="G954" s="7">
        <f>'1 datos preparados'!F947</f>
        <v/>
      </c>
      <c r="H954" s="7">
        <f>'1 datos preparados'!G947</f>
        <v/>
      </c>
      <c r="I954" s="7">
        <f>'1 datos preparados'!H947</f>
        <v/>
      </c>
      <c r="J954" s="7">
        <f>'1 datos preparados'!I947</f>
        <v/>
      </c>
      <c r="K954" s="7">
        <f>'1 datos preparados'!J947</f>
        <v/>
      </c>
      <c r="L954" s="7">
        <f>'1 datos preparados'!K947</f>
        <v/>
      </c>
      <c r="M954" s="7">
        <f>'1 datos preparados'!L947</f>
        <v/>
      </c>
      <c r="N954" s="7">
        <f>'1 datos preparados'!M947</f>
        <v/>
      </c>
      <c r="O954" s="7">
        <f>'1 datos preparados'!N947</f>
        <v/>
      </c>
      <c r="P954" s="7">
        <f>'1 datos preparados'!O947</f>
        <v/>
      </c>
      <c r="Q954" s="7">
        <f>'1 datos preparados'!P947</f>
        <v/>
      </c>
      <c r="R954" s="7">
        <f>'1 datos preparados'!Q947</f>
        <v/>
      </c>
      <c r="S954" s="7">
        <f>'1 datos preparados'!R947</f>
        <v/>
      </c>
      <c r="T954" s="7">
        <f>'1 datos preparados'!S947</f>
        <v/>
      </c>
      <c r="U954" s="7">
        <f>'1 datos preparados'!T947</f>
        <v/>
      </c>
      <c r="V954" s="8">
        <f>$AC$12+D954*$AC$13+E954*$AC$14+F954*$AC$15+G954*$AC$16+H954*$AC$17+I954*$AC$18+J954*$AC$19+K954*$AC$20+L954*$AC$21+M954*$AC$22+N954*$AC$23+O954*$AC$24+P954*$AC$25+Q954*$AC$26+R954*$AC$27+S954*$AC$28+T954*$AC$29+U954*$AC$30</f>
        <v/>
      </c>
      <c r="W954" s="8">
        <f>1/(1+EXP(-V954))</f>
        <v/>
      </c>
      <c r="X954" s="9">
        <f>-IF(C954=1,LN(W954),LN(1-W954))</f>
        <v/>
      </c>
      <c r="Y954" s="10">
        <f>IF(W954&gt;$AC$33,1,0)</f>
        <v/>
      </c>
      <c r="Z954">
        <f>IF(Y954=C954,1,0)</f>
        <v/>
      </c>
    </row>
    <row r="955">
      <c r="A955">
        <f>'1 datos preparados'!A948</f>
        <v/>
      </c>
      <c r="B955" s="5">
        <f>'1 datos preparados'!U948</f>
        <v/>
      </c>
      <c r="C955">
        <f>'1 datos preparados'!B948</f>
        <v/>
      </c>
      <c r="D955" s="7">
        <f>'1 datos preparados'!C948</f>
        <v/>
      </c>
      <c r="E955" s="7">
        <f>'1 datos preparados'!D948</f>
        <v/>
      </c>
      <c r="F955" s="7">
        <f>'1 datos preparados'!E948</f>
        <v/>
      </c>
      <c r="G955" s="7">
        <f>'1 datos preparados'!F948</f>
        <v/>
      </c>
      <c r="H955" s="7">
        <f>'1 datos preparados'!G948</f>
        <v/>
      </c>
      <c r="I955" s="7">
        <f>'1 datos preparados'!H948</f>
        <v/>
      </c>
      <c r="J955" s="7">
        <f>'1 datos preparados'!I948</f>
        <v/>
      </c>
      <c r="K955" s="7">
        <f>'1 datos preparados'!J948</f>
        <v/>
      </c>
      <c r="L955" s="7">
        <f>'1 datos preparados'!K948</f>
        <v/>
      </c>
      <c r="M955" s="7">
        <f>'1 datos preparados'!L948</f>
        <v/>
      </c>
      <c r="N955" s="7">
        <f>'1 datos preparados'!M948</f>
        <v/>
      </c>
      <c r="O955" s="7">
        <f>'1 datos preparados'!N948</f>
        <v/>
      </c>
      <c r="P955" s="7">
        <f>'1 datos preparados'!O948</f>
        <v/>
      </c>
      <c r="Q955" s="7">
        <f>'1 datos preparados'!P948</f>
        <v/>
      </c>
      <c r="R955" s="7">
        <f>'1 datos preparados'!Q948</f>
        <v/>
      </c>
      <c r="S955" s="7">
        <f>'1 datos preparados'!R948</f>
        <v/>
      </c>
      <c r="T955" s="7">
        <f>'1 datos preparados'!S948</f>
        <v/>
      </c>
      <c r="U955" s="7">
        <f>'1 datos preparados'!T948</f>
        <v/>
      </c>
      <c r="V955" s="8">
        <f>$AC$12+D955*$AC$13+E955*$AC$14+F955*$AC$15+G955*$AC$16+H955*$AC$17+I955*$AC$18+J955*$AC$19+K955*$AC$20+L955*$AC$21+M955*$AC$22+N955*$AC$23+O955*$AC$24+P955*$AC$25+Q955*$AC$26+R955*$AC$27+S955*$AC$28+T955*$AC$29+U955*$AC$30</f>
        <v/>
      </c>
      <c r="W955" s="8">
        <f>1/(1+EXP(-V955))</f>
        <v/>
      </c>
      <c r="X955" s="9">
        <f>-IF(C955=1,LN(W955),LN(1-W955))</f>
        <v/>
      </c>
      <c r="Y955" s="10">
        <f>IF(W955&gt;$AC$33,1,0)</f>
        <v/>
      </c>
      <c r="Z955">
        <f>IF(Y955=C955,1,0)</f>
        <v/>
      </c>
    </row>
    <row r="956">
      <c r="A956">
        <f>'1 datos preparados'!A949</f>
        <v/>
      </c>
      <c r="B956" s="5">
        <f>'1 datos preparados'!U949</f>
        <v/>
      </c>
      <c r="C956">
        <f>'1 datos preparados'!B949</f>
        <v/>
      </c>
      <c r="D956" s="7">
        <f>'1 datos preparados'!C949</f>
        <v/>
      </c>
      <c r="E956" s="7">
        <f>'1 datos preparados'!D949</f>
        <v/>
      </c>
      <c r="F956" s="7">
        <f>'1 datos preparados'!E949</f>
        <v/>
      </c>
      <c r="G956" s="7">
        <f>'1 datos preparados'!F949</f>
        <v/>
      </c>
      <c r="H956" s="7">
        <f>'1 datos preparados'!G949</f>
        <v/>
      </c>
      <c r="I956" s="7">
        <f>'1 datos preparados'!H949</f>
        <v/>
      </c>
      <c r="J956" s="7">
        <f>'1 datos preparados'!I949</f>
        <v/>
      </c>
      <c r="K956" s="7">
        <f>'1 datos preparados'!J949</f>
        <v/>
      </c>
      <c r="L956" s="7">
        <f>'1 datos preparados'!K949</f>
        <v/>
      </c>
      <c r="M956" s="7">
        <f>'1 datos preparados'!L949</f>
        <v/>
      </c>
      <c r="N956" s="7">
        <f>'1 datos preparados'!M949</f>
        <v/>
      </c>
      <c r="O956" s="7">
        <f>'1 datos preparados'!N949</f>
        <v/>
      </c>
      <c r="P956" s="7">
        <f>'1 datos preparados'!O949</f>
        <v/>
      </c>
      <c r="Q956" s="7">
        <f>'1 datos preparados'!P949</f>
        <v/>
      </c>
      <c r="R956" s="7">
        <f>'1 datos preparados'!Q949</f>
        <v/>
      </c>
      <c r="S956" s="7">
        <f>'1 datos preparados'!R949</f>
        <v/>
      </c>
      <c r="T956" s="7">
        <f>'1 datos preparados'!S949</f>
        <v/>
      </c>
      <c r="U956" s="7">
        <f>'1 datos preparados'!T949</f>
        <v/>
      </c>
      <c r="V956" s="8">
        <f>$AC$12+D956*$AC$13+E956*$AC$14+F956*$AC$15+G956*$AC$16+H956*$AC$17+I956*$AC$18+J956*$AC$19+K956*$AC$20+L956*$AC$21+M956*$AC$22+N956*$AC$23+O956*$AC$24+P956*$AC$25+Q956*$AC$26+R956*$AC$27+S956*$AC$28+T956*$AC$29+U956*$AC$30</f>
        <v/>
      </c>
      <c r="W956" s="8">
        <f>1/(1+EXP(-V956))</f>
        <v/>
      </c>
      <c r="X956" s="9">
        <f>-IF(C956=1,LN(W956),LN(1-W956))</f>
        <v/>
      </c>
      <c r="Y956" s="10">
        <f>IF(W956&gt;$AC$33,1,0)</f>
        <v/>
      </c>
      <c r="Z956">
        <f>IF(Y956=C956,1,0)</f>
        <v/>
      </c>
    </row>
    <row r="957">
      <c r="A957">
        <f>'1 datos preparados'!A950</f>
        <v/>
      </c>
      <c r="B957" s="5">
        <f>'1 datos preparados'!U950</f>
        <v/>
      </c>
      <c r="C957">
        <f>'1 datos preparados'!B950</f>
        <v/>
      </c>
      <c r="D957" s="7">
        <f>'1 datos preparados'!C950</f>
        <v/>
      </c>
      <c r="E957" s="7">
        <f>'1 datos preparados'!D950</f>
        <v/>
      </c>
      <c r="F957" s="7">
        <f>'1 datos preparados'!E950</f>
        <v/>
      </c>
      <c r="G957" s="7">
        <f>'1 datos preparados'!F950</f>
        <v/>
      </c>
      <c r="H957" s="7">
        <f>'1 datos preparados'!G950</f>
        <v/>
      </c>
      <c r="I957" s="7">
        <f>'1 datos preparados'!H950</f>
        <v/>
      </c>
      <c r="J957" s="7">
        <f>'1 datos preparados'!I950</f>
        <v/>
      </c>
      <c r="K957" s="7">
        <f>'1 datos preparados'!J950</f>
        <v/>
      </c>
      <c r="L957" s="7">
        <f>'1 datos preparados'!K950</f>
        <v/>
      </c>
      <c r="M957" s="7">
        <f>'1 datos preparados'!L950</f>
        <v/>
      </c>
      <c r="N957" s="7">
        <f>'1 datos preparados'!M950</f>
        <v/>
      </c>
      <c r="O957" s="7">
        <f>'1 datos preparados'!N950</f>
        <v/>
      </c>
      <c r="P957" s="7">
        <f>'1 datos preparados'!O950</f>
        <v/>
      </c>
      <c r="Q957" s="7">
        <f>'1 datos preparados'!P950</f>
        <v/>
      </c>
      <c r="R957" s="7">
        <f>'1 datos preparados'!Q950</f>
        <v/>
      </c>
      <c r="S957" s="7">
        <f>'1 datos preparados'!R950</f>
        <v/>
      </c>
      <c r="T957" s="7">
        <f>'1 datos preparados'!S950</f>
        <v/>
      </c>
      <c r="U957" s="7">
        <f>'1 datos preparados'!T950</f>
        <v/>
      </c>
      <c r="V957" s="8">
        <f>$AC$12+D957*$AC$13+E957*$AC$14+F957*$AC$15+G957*$AC$16+H957*$AC$17+I957*$AC$18+J957*$AC$19+K957*$AC$20+L957*$AC$21+M957*$AC$22+N957*$AC$23+O957*$AC$24+P957*$AC$25+Q957*$AC$26+R957*$AC$27+S957*$AC$28+T957*$AC$29+U957*$AC$30</f>
        <v/>
      </c>
      <c r="W957" s="8">
        <f>1/(1+EXP(-V957))</f>
        <v/>
      </c>
      <c r="X957" s="9">
        <f>-IF(C957=1,LN(W957),LN(1-W957))</f>
        <v/>
      </c>
      <c r="Y957" s="10">
        <f>IF(W957&gt;$AC$33,1,0)</f>
        <v/>
      </c>
      <c r="Z957">
        <f>IF(Y957=C957,1,0)</f>
        <v/>
      </c>
    </row>
    <row r="958">
      <c r="A958">
        <f>'1 datos preparados'!A951</f>
        <v/>
      </c>
      <c r="B958" s="5">
        <f>'1 datos preparados'!U951</f>
        <v/>
      </c>
      <c r="C958">
        <f>'1 datos preparados'!B951</f>
        <v/>
      </c>
      <c r="D958" s="7">
        <f>'1 datos preparados'!C951</f>
        <v/>
      </c>
      <c r="E958" s="7">
        <f>'1 datos preparados'!D951</f>
        <v/>
      </c>
      <c r="F958" s="7">
        <f>'1 datos preparados'!E951</f>
        <v/>
      </c>
      <c r="G958" s="7">
        <f>'1 datos preparados'!F951</f>
        <v/>
      </c>
      <c r="H958" s="7">
        <f>'1 datos preparados'!G951</f>
        <v/>
      </c>
      <c r="I958" s="7">
        <f>'1 datos preparados'!H951</f>
        <v/>
      </c>
      <c r="J958" s="7">
        <f>'1 datos preparados'!I951</f>
        <v/>
      </c>
      <c r="K958" s="7">
        <f>'1 datos preparados'!J951</f>
        <v/>
      </c>
      <c r="L958" s="7">
        <f>'1 datos preparados'!K951</f>
        <v/>
      </c>
      <c r="M958" s="7">
        <f>'1 datos preparados'!L951</f>
        <v/>
      </c>
      <c r="N958" s="7">
        <f>'1 datos preparados'!M951</f>
        <v/>
      </c>
      <c r="O958" s="7">
        <f>'1 datos preparados'!N951</f>
        <v/>
      </c>
      <c r="P958" s="7">
        <f>'1 datos preparados'!O951</f>
        <v/>
      </c>
      <c r="Q958" s="7">
        <f>'1 datos preparados'!P951</f>
        <v/>
      </c>
      <c r="R958" s="7">
        <f>'1 datos preparados'!Q951</f>
        <v/>
      </c>
      <c r="S958" s="7">
        <f>'1 datos preparados'!R951</f>
        <v/>
      </c>
      <c r="T958" s="7">
        <f>'1 datos preparados'!S951</f>
        <v/>
      </c>
      <c r="U958" s="7">
        <f>'1 datos preparados'!T951</f>
        <v/>
      </c>
      <c r="V958" s="8">
        <f>$AC$12+D958*$AC$13+E958*$AC$14+F958*$AC$15+G958*$AC$16+H958*$AC$17+I958*$AC$18+J958*$AC$19+K958*$AC$20+L958*$AC$21+M958*$AC$22+N958*$AC$23+O958*$AC$24+P958*$AC$25+Q958*$AC$26+R958*$AC$27+S958*$AC$28+T958*$AC$29+U958*$AC$30</f>
        <v/>
      </c>
      <c r="W958" s="8">
        <f>1/(1+EXP(-V958))</f>
        <v/>
      </c>
      <c r="X958" s="9">
        <f>-IF(C958=1,LN(W958),LN(1-W958))</f>
        <v/>
      </c>
      <c r="Y958" s="10">
        <f>IF(W958&gt;$AC$33,1,0)</f>
        <v/>
      </c>
      <c r="Z958">
        <f>IF(Y958=C958,1,0)</f>
        <v/>
      </c>
    </row>
    <row r="959">
      <c r="A959">
        <f>'1 datos preparados'!A952</f>
        <v/>
      </c>
      <c r="B959" s="5">
        <f>'1 datos preparados'!U952</f>
        <v/>
      </c>
      <c r="C959">
        <f>'1 datos preparados'!B952</f>
        <v/>
      </c>
      <c r="D959" s="7">
        <f>'1 datos preparados'!C952</f>
        <v/>
      </c>
      <c r="E959" s="7">
        <f>'1 datos preparados'!D952</f>
        <v/>
      </c>
      <c r="F959" s="7">
        <f>'1 datos preparados'!E952</f>
        <v/>
      </c>
      <c r="G959" s="7">
        <f>'1 datos preparados'!F952</f>
        <v/>
      </c>
      <c r="H959" s="7">
        <f>'1 datos preparados'!G952</f>
        <v/>
      </c>
      <c r="I959" s="7">
        <f>'1 datos preparados'!H952</f>
        <v/>
      </c>
      <c r="J959" s="7">
        <f>'1 datos preparados'!I952</f>
        <v/>
      </c>
      <c r="K959" s="7">
        <f>'1 datos preparados'!J952</f>
        <v/>
      </c>
      <c r="L959" s="7">
        <f>'1 datos preparados'!K952</f>
        <v/>
      </c>
      <c r="M959" s="7">
        <f>'1 datos preparados'!L952</f>
        <v/>
      </c>
      <c r="N959" s="7">
        <f>'1 datos preparados'!M952</f>
        <v/>
      </c>
      <c r="O959" s="7">
        <f>'1 datos preparados'!N952</f>
        <v/>
      </c>
      <c r="P959" s="7">
        <f>'1 datos preparados'!O952</f>
        <v/>
      </c>
      <c r="Q959" s="7">
        <f>'1 datos preparados'!P952</f>
        <v/>
      </c>
      <c r="R959" s="7">
        <f>'1 datos preparados'!Q952</f>
        <v/>
      </c>
      <c r="S959" s="7">
        <f>'1 datos preparados'!R952</f>
        <v/>
      </c>
      <c r="T959" s="7">
        <f>'1 datos preparados'!S952</f>
        <v/>
      </c>
      <c r="U959" s="7">
        <f>'1 datos preparados'!T952</f>
        <v/>
      </c>
      <c r="V959" s="8">
        <f>$AC$12+D959*$AC$13+E959*$AC$14+F959*$AC$15+G959*$AC$16+H959*$AC$17+I959*$AC$18+J959*$AC$19+K959*$AC$20+L959*$AC$21+M959*$AC$22+N959*$AC$23+O959*$AC$24+P959*$AC$25+Q959*$AC$26+R959*$AC$27+S959*$AC$28+T959*$AC$29+U959*$AC$30</f>
        <v/>
      </c>
      <c r="W959" s="8">
        <f>1/(1+EXP(-V959))</f>
        <v/>
      </c>
      <c r="X959" s="9">
        <f>-IF(C959=1,LN(W959),LN(1-W959))</f>
        <v/>
      </c>
      <c r="Y959" s="10">
        <f>IF(W959&gt;$AC$33,1,0)</f>
        <v/>
      </c>
      <c r="Z959">
        <f>IF(Y959=C959,1,0)</f>
        <v/>
      </c>
    </row>
    <row r="960">
      <c r="A960">
        <f>'1 datos preparados'!A953</f>
        <v/>
      </c>
      <c r="B960" s="5">
        <f>'1 datos preparados'!U953</f>
        <v/>
      </c>
      <c r="C960">
        <f>'1 datos preparados'!B953</f>
        <v/>
      </c>
      <c r="D960" s="7">
        <f>'1 datos preparados'!C953</f>
        <v/>
      </c>
      <c r="E960" s="7">
        <f>'1 datos preparados'!D953</f>
        <v/>
      </c>
      <c r="F960" s="7">
        <f>'1 datos preparados'!E953</f>
        <v/>
      </c>
      <c r="G960" s="7">
        <f>'1 datos preparados'!F953</f>
        <v/>
      </c>
      <c r="H960" s="7">
        <f>'1 datos preparados'!G953</f>
        <v/>
      </c>
      <c r="I960" s="7">
        <f>'1 datos preparados'!H953</f>
        <v/>
      </c>
      <c r="J960" s="7">
        <f>'1 datos preparados'!I953</f>
        <v/>
      </c>
      <c r="K960" s="7">
        <f>'1 datos preparados'!J953</f>
        <v/>
      </c>
      <c r="L960" s="7">
        <f>'1 datos preparados'!K953</f>
        <v/>
      </c>
      <c r="M960" s="7">
        <f>'1 datos preparados'!L953</f>
        <v/>
      </c>
      <c r="N960" s="7">
        <f>'1 datos preparados'!M953</f>
        <v/>
      </c>
      <c r="O960" s="7">
        <f>'1 datos preparados'!N953</f>
        <v/>
      </c>
      <c r="P960" s="7">
        <f>'1 datos preparados'!O953</f>
        <v/>
      </c>
      <c r="Q960" s="7">
        <f>'1 datos preparados'!P953</f>
        <v/>
      </c>
      <c r="R960" s="7">
        <f>'1 datos preparados'!Q953</f>
        <v/>
      </c>
      <c r="S960" s="7">
        <f>'1 datos preparados'!R953</f>
        <v/>
      </c>
      <c r="T960" s="7">
        <f>'1 datos preparados'!S953</f>
        <v/>
      </c>
      <c r="U960" s="7">
        <f>'1 datos preparados'!T953</f>
        <v/>
      </c>
      <c r="V960" s="8">
        <f>$AC$12+D960*$AC$13+E960*$AC$14+F960*$AC$15+G960*$AC$16+H960*$AC$17+I960*$AC$18+J960*$AC$19+K960*$AC$20+L960*$AC$21+M960*$AC$22+N960*$AC$23+O960*$AC$24+P960*$AC$25+Q960*$AC$26+R960*$AC$27+S960*$AC$28+T960*$AC$29+U960*$AC$30</f>
        <v/>
      </c>
      <c r="W960" s="8">
        <f>1/(1+EXP(-V960))</f>
        <v/>
      </c>
      <c r="X960" s="9">
        <f>-IF(C960=1,LN(W960),LN(1-W960))</f>
        <v/>
      </c>
      <c r="Y960" s="10">
        <f>IF(W960&gt;$AC$33,1,0)</f>
        <v/>
      </c>
      <c r="Z960">
        <f>IF(Y960=C960,1,0)</f>
        <v/>
      </c>
    </row>
    <row r="961">
      <c r="A961">
        <f>'1 datos preparados'!A954</f>
        <v/>
      </c>
      <c r="B961" s="5">
        <f>'1 datos preparados'!U954</f>
        <v/>
      </c>
      <c r="C961">
        <f>'1 datos preparados'!B954</f>
        <v/>
      </c>
      <c r="D961" s="7">
        <f>'1 datos preparados'!C954</f>
        <v/>
      </c>
      <c r="E961" s="7">
        <f>'1 datos preparados'!D954</f>
        <v/>
      </c>
      <c r="F961" s="7">
        <f>'1 datos preparados'!E954</f>
        <v/>
      </c>
      <c r="G961" s="7">
        <f>'1 datos preparados'!F954</f>
        <v/>
      </c>
      <c r="H961" s="7">
        <f>'1 datos preparados'!G954</f>
        <v/>
      </c>
      <c r="I961" s="7">
        <f>'1 datos preparados'!H954</f>
        <v/>
      </c>
      <c r="J961" s="7">
        <f>'1 datos preparados'!I954</f>
        <v/>
      </c>
      <c r="K961" s="7">
        <f>'1 datos preparados'!J954</f>
        <v/>
      </c>
      <c r="L961" s="7">
        <f>'1 datos preparados'!K954</f>
        <v/>
      </c>
      <c r="M961" s="7">
        <f>'1 datos preparados'!L954</f>
        <v/>
      </c>
      <c r="N961" s="7">
        <f>'1 datos preparados'!M954</f>
        <v/>
      </c>
      <c r="O961" s="7">
        <f>'1 datos preparados'!N954</f>
        <v/>
      </c>
      <c r="P961" s="7">
        <f>'1 datos preparados'!O954</f>
        <v/>
      </c>
      <c r="Q961" s="7">
        <f>'1 datos preparados'!P954</f>
        <v/>
      </c>
      <c r="R961" s="7">
        <f>'1 datos preparados'!Q954</f>
        <v/>
      </c>
      <c r="S961" s="7">
        <f>'1 datos preparados'!R954</f>
        <v/>
      </c>
      <c r="T961" s="7">
        <f>'1 datos preparados'!S954</f>
        <v/>
      </c>
      <c r="U961" s="7">
        <f>'1 datos preparados'!T954</f>
        <v/>
      </c>
      <c r="V961" s="8">
        <f>$AC$12+D961*$AC$13+E961*$AC$14+F961*$AC$15+G961*$AC$16+H961*$AC$17+I961*$AC$18+J961*$AC$19+K961*$AC$20+L961*$AC$21+M961*$AC$22+N961*$AC$23+O961*$AC$24+P961*$AC$25+Q961*$AC$26+R961*$AC$27+S961*$AC$28+T961*$AC$29+U961*$AC$30</f>
        <v/>
      </c>
      <c r="W961" s="8">
        <f>1/(1+EXP(-V961))</f>
        <v/>
      </c>
      <c r="X961" s="9">
        <f>-IF(C961=1,LN(W961),LN(1-W961))</f>
        <v/>
      </c>
      <c r="Y961" s="10">
        <f>IF(W961&gt;$AC$33,1,0)</f>
        <v/>
      </c>
      <c r="Z961">
        <f>IF(Y961=C961,1,0)</f>
        <v/>
      </c>
    </row>
    <row r="962">
      <c r="A962">
        <f>'1 datos preparados'!A955</f>
        <v/>
      </c>
      <c r="B962" s="5">
        <f>'1 datos preparados'!U955</f>
        <v/>
      </c>
      <c r="C962">
        <f>'1 datos preparados'!B955</f>
        <v/>
      </c>
      <c r="D962" s="7">
        <f>'1 datos preparados'!C955</f>
        <v/>
      </c>
      <c r="E962" s="7">
        <f>'1 datos preparados'!D955</f>
        <v/>
      </c>
      <c r="F962" s="7">
        <f>'1 datos preparados'!E955</f>
        <v/>
      </c>
      <c r="G962" s="7">
        <f>'1 datos preparados'!F955</f>
        <v/>
      </c>
      <c r="H962" s="7">
        <f>'1 datos preparados'!G955</f>
        <v/>
      </c>
      <c r="I962" s="7">
        <f>'1 datos preparados'!H955</f>
        <v/>
      </c>
      <c r="J962" s="7">
        <f>'1 datos preparados'!I955</f>
        <v/>
      </c>
      <c r="K962" s="7">
        <f>'1 datos preparados'!J955</f>
        <v/>
      </c>
      <c r="L962" s="7">
        <f>'1 datos preparados'!K955</f>
        <v/>
      </c>
      <c r="M962" s="7">
        <f>'1 datos preparados'!L955</f>
        <v/>
      </c>
      <c r="N962" s="7">
        <f>'1 datos preparados'!M955</f>
        <v/>
      </c>
      <c r="O962" s="7">
        <f>'1 datos preparados'!N955</f>
        <v/>
      </c>
      <c r="P962" s="7">
        <f>'1 datos preparados'!O955</f>
        <v/>
      </c>
      <c r="Q962" s="7">
        <f>'1 datos preparados'!P955</f>
        <v/>
      </c>
      <c r="R962" s="7">
        <f>'1 datos preparados'!Q955</f>
        <v/>
      </c>
      <c r="S962" s="7">
        <f>'1 datos preparados'!R955</f>
        <v/>
      </c>
      <c r="T962" s="7">
        <f>'1 datos preparados'!S955</f>
        <v/>
      </c>
      <c r="U962" s="7">
        <f>'1 datos preparados'!T955</f>
        <v/>
      </c>
      <c r="V962" s="8">
        <f>$AC$12+D962*$AC$13+E962*$AC$14+F962*$AC$15+G962*$AC$16+H962*$AC$17+I962*$AC$18+J962*$AC$19+K962*$AC$20+L962*$AC$21+M962*$AC$22+N962*$AC$23+O962*$AC$24+P962*$AC$25+Q962*$AC$26+R962*$AC$27+S962*$AC$28+T962*$AC$29+U962*$AC$30</f>
        <v/>
      </c>
      <c r="W962" s="8">
        <f>1/(1+EXP(-V962))</f>
        <v/>
      </c>
      <c r="X962" s="9">
        <f>-IF(C962=1,LN(W962),LN(1-W962))</f>
        <v/>
      </c>
      <c r="Y962" s="10">
        <f>IF(W962&gt;$AC$33,1,0)</f>
        <v/>
      </c>
      <c r="Z962">
        <f>IF(Y962=C962,1,0)</f>
        <v/>
      </c>
    </row>
    <row r="963">
      <c r="A963">
        <f>'1 datos preparados'!A956</f>
        <v/>
      </c>
      <c r="B963" s="5">
        <f>'1 datos preparados'!U956</f>
        <v/>
      </c>
      <c r="C963">
        <f>'1 datos preparados'!B956</f>
        <v/>
      </c>
      <c r="D963" s="7">
        <f>'1 datos preparados'!C956</f>
        <v/>
      </c>
      <c r="E963" s="7">
        <f>'1 datos preparados'!D956</f>
        <v/>
      </c>
      <c r="F963" s="7">
        <f>'1 datos preparados'!E956</f>
        <v/>
      </c>
      <c r="G963" s="7">
        <f>'1 datos preparados'!F956</f>
        <v/>
      </c>
      <c r="H963" s="7">
        <f>'1 datos preparados'!G956</f>
        <v/>
      </c>
      <c r="I963" s="7">
        <f>'1 datos preparados'!H956</f>
        <v/>
      </c>
      <c r="J963" s="7">
        <f>'1 datos preparados'!I956</f>
        <v/>
      </c>
      <c r="K963" s="7">
        <f>'1 datos preparados'!J956</f>
        <v/>
      </c>
      <c r="L963" s="7">
        <f>'1 datos preparados'!K956</f>
        <v/>
      </c>
      <c r="M963" s="7">
        <f>'1 datos preparados'!L956</f>
        <v/>
      </c>
      <c r="N963" s="7">
        <f>'1 datos preparados'!M956</f>
        <v/>
      </c>
      <c r="O963" s="7">
        <f>'1 datos preparados'!N956</f>
        <v/>
      </c>
      <c r="P963" s="7">
        <f>'1 datos preparados'!O956</f>
        <v/>
      </c>
      <c r="Q963" s="7">
        <f>'1 datos preparados'!P956</f>
        <v/>
      </c>
      <c r="R963" s="7">
        <f>'1 datos preparados'!Q956</f>
        <v/>
      </c>
      <c r="S963" s="7">
        <f>'1 datos preparados'!R956</f>
        <v/>
      </c>
      <c r="T963" s="7">
        <f>'1 datos preparados'!S956</f>
        <v/>
      </c>
      <c r="U963" s="7">
        <f>'1 datos preparados'!T956</f>
        <v/>
      </c>
      <c r="V963" s="8">
        <f>$AC$12+D963*$AC$13+E963*$AC$14+F963*$AC$15+G963*$AC$16+H963*$AC$17+I963*$AC$18+J963*$AC$19+K963*$AC$20+L963*$AC$21+M963*$AC$22+N963*$AC$23+O963*$AC$24+P963*$AC$25+Q963*$AC$26+R963*$AC$27+S963*$AC$28+T963*$AC$29+U963*$AC$30</f>
        <v/>
      </c>
      <c r="W963" s="8">
        <f>1/(1+EXP(-V963))</f>
        <v/>
      </c>
      <c r="X963" s="9">
        <f>-IF(C963=1,LN(W963),LN(1-W963))</f>
        <v/>
      </c>
      <c r="Y963" s="10">
        <f>IF(W963&gt;$AC$33,1,0)</f>
        <v/>
      </c>
      <c r="Z963">
        <f>IF(Y963=C963,1,0)</f>
        <v/>
      </c>
    </row>
    <row r="964">
      <c r="A964">
        <f>'1 datos preparados'!A957</f>
        <v/>
      </c>
      <c r="B964" s="5">
        <f>'1 datos preparados'!U957</f>
        <v/>
      </c>
      <c r="C964">
        <f>'1 datos preparados'!B957</f>
        <v/>
      </c>
      <c r="D964" s="7">
        <f>'1 datos preparados'!C957</f>
        <v/>
      </c>
      <c r="E964" s="7">
        <f>'1 datos preparados'!D957</f>
        <v/>
      </c>
      <c r="F964" s="7">
        <f>'1 datos preparados'!E957</f>
        <v/>
      </c>
      <c r="G964" s="7">
        <f>'1 datos preparados'!F957</f>
        <v/>
      </c>
      <c r="H964" s="7">
        <f>'1 datos preparados'!G957</f>
        <v/>
      </c>
      <c r="I964" s="7">
        <f>'1 datos preparados'!H957</f>
        <v/>
      </c>
      <c r="J964" s="7">
        <f>'1 datos preparados'!I957</f>
        <v/>
      </c>
      <c r="K964" s="7">
        <f>'1 datos preparados'!J957</f>
        <v/>
      </c>
      <c r="L964" s="7">
        <f>'1 datos preparados'!K957</f>
        <v/>
      </c>
      <c r="M964" s="7">
        <f>'1 datos preparados'!L957</f>
        <v/>
      </c>
      <c r="N964" s="7">
        <f>'1 datos preparados'!M957</f>
        <v/>
      </c>
      <c r="O964" s="7">
        <f>'1 datos preparados'!N957</f>
        <v/>
      </c>
      <c r="P964" s="7">
        <f>'1 datos preparados'!O957</f>
        <v/>
      </c>
      <c r="Q964" s="7">
        <f>'1 datos preparados'!P957</f>
        <v/>
      </c>
      <c r="R964" s="7">
        <f>'1 datos preparados'!Q957</f>
        <v/>
      </c>
      <c r="S964" s="7">
        <f>'1 datos preparados'!R957</f>
        <v/>
      </c>
      <c r="T964" s="7">
        <f>'1 datos preparados'!S957</f>
        <v/>
      </c>
      <c r="U964" s="7">
        <f>'1 datos preparados'!T957</f>
        <v/>
      </c>
      <c r="V964" s="8">
        <f>$AC$12+D964*$AC$13+E964*$AC$14+F964*$AC$15+G964*$AC$16+H964*$AC$17+I964*$AC$18+J964*$AC$19+K964*$AC$20+L964*$AC$21+M964*$AC$22+N964*$AC$23+O964*$AC$24+P964*$AC$25+Q964*$AC$26+R964*$AC$27+S964*$AC$28+T964*$AC$29+U964*$AC$30</f>
        <v/>
      </c>
      <c r="W964" s="8">
        <f>1/(1+EXP(-V964))</f>
        <v/>
      </c>
      <c r="X964" s="9">
        <f>-IF(C964=1,LN(W964),LN(1-W964))</f>
        <v/>
      </c>
      <c r="Y964" s="10">
        <f>IF(W964&gt;$AC$33,1,0)</f>
        <v/>
      </c>
      <c r="Z964">
        <f>IF(Y964=C964,1,0)</f>
        <v/>
      </c>
    </row>
    <row r="965">
      <c r="A965">
        <f>'1 datos preparados'!A958</f>
        <v/>
      </c>
      <c r="B965" s="5">
        <f>'1 datos preparados'!U958</f>
        <v/>
      </c>
      <c r="C965">
        <f>'1 datos preparados'!B958</f>
        <v/>
      </c>
      <c r="D965" s="7">
        <f>'1 datos preparados'!C958</f>
        <v/>
      </c>
      <c r="E965" s="7">
        <f>'1 datos preparados'!D958</f>
        <v/>
      </c>
      <c r="F965" s="7">
        <f>'1 datos preparados'!E958</f>
        <v/>
      </c>
      <c r="G965" s="7">
        <f>'1 datos preparados'!F958</f>
        <v/>
      </c>
      <c r="H965" s="7">
        <f>'1 datos preparados'!G958</f>
        <v/>
      </c>
      <c r="I965" s="7">
        <f>'1 datos preparados'!H958</f>
        <v/>
      </c>
      <c r="J965" s="7">
        <f>'1 datos preparados'!I958</f>
        <v/>
      </c>
      <c r="K965" s="7">
        <f>'1 datos preparados'!J958</f>
        <v/>
      </c>
      <c r="L965" s="7">
        <f>'1 datos preparados'!K958</f>
        <v/>
      </c>
      <c r="M965" s="7">
        <f>'1 datos preparados'!L958</f>
        <v/>
      </c>
      <c r="N965" s="7">
        <f>'1 datos preparados'!M958</f>
        <v/>
      </c>
      <c r="O965" s="7">
        <f>'1 datos preparados'!N958</f>
        <v/>
      </c>
      <c r="P965" s="7">
        <f>'1 datos preparados'!O958</f>
        <v/>
      </c>
      <c r="Q965" s="7">
        <f>'1 datos preparados'!P958</f>
        <v/>
      </c>
      <c r="R965" s="7">
        <f>'1 datos preparados'!Q958</f>
        <v/>
      </c>
      <c r="S965" s="7">
        <f>'1 datos preparados'!R958</f>
        <v/>
      </c>
      <c r="T965" s="7">
        <f>'1 datos preparados'!S958</f>
        <v/>
      </c>
      <c r="U965" s="7">
        <f>'1 datos preparados'!T958</f>
        <v/>
      </c>
      <c r="V965" s="8">
        <f>$AC$12+D965*$AC$13+E965*$AC$14+F965*$AC$15+G965*$AC$16+H965*$AC$17+I965*$AC$18+J965*$AC$19+K965*$AC$20+L965*$AC$21+M965*$AC$22+N965*$AC$23+O965*$AC$24+P965*$AC$25+Q965*$AC$26+R965*$AC$27+S965*$AC$28+T965*$AC$29+U965*$AC$30</f>
        <v/>
      </c>
      <c r="W965" s="8">
        <f>1/(1+EXP(-V965))</f>
        <v/>
      </c>
      <c r="X965" s="9">
        <f>-IF(C965=1,LN(W965),LN(1-W965))</f>
        <v/>
      </c>
      <c r="Y965" s="10">
        <f>IF(W965&gt;$AC$33,1,0)</f>
        <v/>
      </c>
      <c r="Z965">
        <f>IF(Y965=C965,1,0)</f>
        <v/>
      </c>
    </row>
    <row r="966">
      <c r="A966">
        <f>'1 datos preparados'!A959</f>
        <v/>
      </c>
      <c r="B966" s="5">
        <f>'1 datos preparados'!U959</f>
        <v/>
      </c>
      <c r="C966">
        <f>'1 datos preparados'!B959</f>
        <v/>
      </c>
      <c r="D966" s="7">
        <f>'1 datos preparados'!C959</f>
        <v/>
      </c>
      <c r="E966" s="7">
        <f>'1 datos preparados'!D959</f>
        <v/>
      </c>
      <c r="F966" s="7">
        <f>'1 datos preparados'!E959</f>
        <v/>
      </c>
      <c r="G966" s="7">
        <f>'1 datos preparados'!F959</f>
        <v/>
      </c>
      <c r="H966" s="7">
        <f>'1 datos preparados'!G959</f>
        <v/>
      </c>
      <c r="I966" s="7">
        <f>'1 datos preparados'!H959</f>
        <v/>
      </c>
      <c r="J966" s="7">
        <f>'1 datos preparados'!I959</f>
        <v/>
      </c>
      <c r="K966" s="7">
        <f>'1 datos preparados'!J959</f>
        <v/>
      </c>
      <c r="L966" s="7">
        <f>'1 datos preparados'!K959</f>
        <v/>
      </c>
      <c r="M966" s="7">
        <f>'1 datos preparados'!L959</f>
        <v/>
      </c>
      <c r="N966" s="7">
        <f>'1 datos preparados'!M959</f>
        <v/>
      </c>
      <c r="O966" s="7">
        <f>'1 datos preparados'!N959</f>
        <v/>
      </c>
      <c r="P966" s="7">
        <f>'1 datos preparados'!O959</f>
        <v/>
      </c>
      <c r="Q966" s="7">
        <f>'1 datos preparados'!P959</f>
        <v/>
      </c>
      <c r="R966" s="7">
        <f>'1 datos preparados'!Q959</f>
        <v/>
      </c>
      <c r="S966" s="7">
        <f>'1 datos preparados'!R959</f>
        <v/>
      </c>
      <c r="T966" s="7">
        <f>'1 datos preparados'!S959</f>
        <v/>
      </c>
      <c r="U966" s="7">
        <f>'1 datos preparados'!T959</f>
        <v/>
      </c>
      <c r="V966" s="8">
        <f>$AC$12+D966*$AC$13+E966*$AC$14+F966*$AC$15+G966*$AC$16+H966*$AC$17+I966*$AC$18+J966*$AC$19+K966*$AC$20+L966*$AC$21+M966*$AC$22+N966*$AC$23+O966*$AC$24+P966*$AC$25+Q966*$AC$26+R966*$AC$27+S966*$AC$28+T966*$AC$29+U966*$AC$30</f>
        <v/>
      </c>
      <c r="W966" s="8">
        <f>1/(1+EXP(-V966))</f>
        <v/>
      </c>
      <c r="X966" s="9">
        <f>-IF(C966=1,LN(W966),LN(1-W966))</f>
        <v/>
      </c>
      <c r="Y966" s="10">
        <f>IF(W966&gt;$AC$33,1,0)</f>
        <v/>
      </c>
      <c r="Z966">
        <f>IF(Y966=C966,1,0)</f>
        <v/>
      </c>
    </row>
    <row r="967">
      <c r="A967">
        <f>'1 datos preparados'!A960</f>
        <v/>
      </c>
      <c r="B967" s="5">
        <f>'1 datos preparados'!U960</f>
        <v/>
      </c>
      <c r="C967">
        <f>'1 datos preparados'!B960</f>
        <v/>
      </c>
      <c r="D967" s="7">
        <f>'1 datos preparados'!C960</f>
        <v/>
      </c>
      <c r="E967" s="7">
        <f>'1 datos preparados'!D960</f>
        <v/>
      </c>
      <c r="F967" s="7">
        <f>'1 datos preparados'!E960</f>
        <v/>
      </c>
      <c r="G967" s="7">
        <f>'1 datos preparados'!F960</f>
        <v/>
      </c>
      <c r="H967" s="7">
        <f>'1 datos preparados'!G960</f>
        <v/>
      </c>
      <c r="I967" s="7">
        <f>'1 datos preparados'!H960</f>
        <v/>
      </c>
      <c r="J967" s="7">
        <f>'1 datos preparados'!I960</f>
        <v/>
      </c>
      <c r="K967" s="7">
        <f>'1 datos preparados'!J960</f>
        <v/>
      </c>
      <c r="L967" s="7">
        <f>'1 datos preparados'!K960</f>
        <v/>
      </c>
      <c r="M967" s="7">
        <f>'1 datos preparados'!L960</f>
        <v/>
      </c>
      <c r="N967" s="7">
        <f>'1 datos preparados'!M960</f>
        <v/>
      </c>
      <c r="O967" s="7">
        <f>'1 datos preparados'!N960</f>
        <v/>
      </c>
      <c r="P967" s="7">
        <f>'1 datos preparados'!O960</f>
        <v/>
      </c>
      <c r="Q967" s="7">
        <f>'1 datos preparados'!P960</f>
        <v/>
      </c>
      <c r="R967" s="7">
        <f>'1 datos preparados'!Q960</f>
        <v/>
      </c>
      <c r="S967" s="7">
        <f>'1 datos preparados'!R960</f>
        <v/>
      </c>
      <c r="T967" s="7">
        <f>'1 datos preparados'!S960</f>
        <v/>
      </c>
      <c r="U967" s="7">
        <f>'1 datos preparados'!T960</f>
        <v/>
      </c>
      <c r="V967" s="8">
        <f>$AC$12+D967*$AC$13+E967*$AC$14+F967*$AC$15+G967*$AC$16+H967*$AC$17+I967*$AC$18+J967*$AC$19+K967*$AC$20+L967*$AC$21+M967*$AC$22+N967*$AC$23+O967*$AC$24+P967*$AC$25+Q967*$AC$26+R967*$AC$27+S967*$AC$28+T967*$AC$29+U967*$AC$30</f>
        <v/>
      </c>
      <c r="W967" s="8">
        <f>1/(1+EXP(-V967))</f>
        <v/>
      </c>
      <c r="X967" s="9">
        <f>-IF(C967=1,LN(W967),LN(1-W967))</f>
        <v/>
      </c>
      <c r="Y967" s="10">
        <f>IF(W967&gt;$AC$33,1,0)</f>
        <v/>
      </c>
      <c r="Z967">
        <f>IF(Y967=C967,1,0)</f>
        <v/>
      </c>
    </row>
    <row r="968">
      <c r="A968">
        <f>'1 datos preparados'!A961</f>
        <v/>
      </c>
      <c r="B968" s="5">
        <f>'1 datos preparados'!U961</f>
        <v/>
      </c>
      <c r="C968">
        <f>'1 datos preparados'!B961</f>
        <v/>
      </c>
      <c r="D968" s="7">
        <f>'1 datos preparados'!C961</f>
        <v/>
      </c>
      <c r="E968" s="7">
        <f>'1 datos preparados'!D961</f>
        <v/>
      </c>
      <c r="F968" s="7">
        <f>'1 datos preparados'!E961</f>
        <v/>
      </c>
      <c r="G968" s="7">
        <f>'1 datos preparados'!F961</f>
        <v/>
      </c>
      <c r="H968" s="7">
        <f>'1 datos preparados'!G961</f>
        <v/>
      </c>
      <c r="I968" s="7">
        <f>'1 datos preparados'!H961</f>
        <v/>
      </c>
      <c r="J968" s="7">
        <f>'1 datos preparados'!I961</f>
        <v/>
      </c>
      <c r="K968" s="7">
        <f>'1 datos preparados'!J961</f>
        <v/>
      </c>
      <c r="L968" s="7">
        <f>'1 datos preparados'!K961</f>
        <v/>
      </c>
      <c r="M968" s="7">
        <f>'1 datos preparados'!L961</f>
        <v/>
      </c>
      <c r="N968" s="7">
        <f>'1 datos preparados'!M961</f>
        <v/>
      </c>
      <c r="O968" s="7">
        <f>'1 datos preparados'!N961</f>
        <v/>
      </c>
      <c r="P968" s="7">
        <f>'1 datos preparados'!O961</f>
        <v/>
      </c>
      <c r="Q968" s="7">
        <f>'1 datos preparados'!P961</f>
        <v/>
      </c>
      <c r="R968" s="7">
        <f>'1 datos preparados'!Q961</f>
        <v/>
      </c>
      <c r="S968" s="7">
        <f>'1 datos preparados'!R961</f>
        <v/>
      </c>
      <c r="T968" s="7">
        <f>'1 datos preparados'!S961</f>
        <v/>
      </c>
      <c r="U968" s="7">
        <f>'1 datos preparados'!T961</f>
        <v/>
      </c>
      <c r="V968" s="8">
        <f>$AC$12+D968*$AC$13+E968*$AC$14+F968*$AC$15+G968*$AC$16+H968*$AC$17+I968*$AC$18+J968*$AC$19+K968*$AC$20+L968*$AC$21+M968*$AC$22+N968*$AC$23+O968*$AC$24+P968*$AC$25+Q968*$AC$26+R968*$AC$27+S968*$AC$28+T968*$AC$29+U968*$AC$30</f>
        <v/>
      </c>
      <c r="W968" s="8">
        <f>1/(1+EXP(-V968))</f>
        <v/>
      </c>
      <c r="X968" s="9">
        <f>-IF(C968=1,LN(W968),LN(1-W968))</f>
        <v/>
      </c>
      <c r="Y968" s="10">
        <f>IF(W968&gt;$AC$33,1,0)</f>
        <v/>
      </c>
      <c r="Z968">
        <f>IF(Y968=C968,1,0)</f>
        <v/>
      </c>
    </row>
    <row r="969">
      <c r="A969">
        <f>'1 datos preparados'!A962</f>
        <v/>
      </c>
      <c r="B969" s="5">
        <f>'1 datos preparados'!U962</f>
        <v/>
      </c>
      <c r="C969">
        <f>'1 datos preparados'!B962</f>
        <v/>
      </c>
      <c r="D969" s="7">
        <f>'1 datos preparados'!C962</f>
        <v/>
      </c>
      <c r="E969" s="7">
        <f>'1 datos preparados'!D962</f>
        <v/>
      </c>
      <c r="F969" s="7">
        <f>'1 datos preparados'!E962</f>
        <v/>
      </c>
      <c r="G969" s="7">
        <f>'1 datos preparados'!F962</f>
        <v/>
      </c>
      <c r="H969" s="7">
        <f>'1 datos preparados'!G962</f>
        <v/>
      </c>
      <c r="I969" s="7">
        <f>'1 datos preparados'!H962</f>
        <v/>
      </c>
      <c r="J969" s="7">
        <f>'1 datos preparados'!I962</f>
        <v/>
      </c>
      <c r="K969" s="7">
        <f>'1 datos preparados'!J962</f>
        <v/>
      </c>
      <c r="L969" s="7">
        <f>'1 datos preparados'!K962</f>
        <v/>
      </c>
      <c r="M969" s="7">
        <f>'1 datos preparados'!L962</f>
        <v/>
      </c>
      <c r="N969" s="7">
        <f>'1 datos preparados'!M962</f>
        <v/>
      </c>
      <c r="O969" s="7">
        <f>'1 datos preparados'!N962</f>
        <v/>
      </c>
      <c r="P969" s="7">
        <f>'1 datos preparados'!O962</f>
        <v/>
      </c>
      <c r="Q969" s="7">
        <f>'1 datos preparados'!P962</f>
        <v/>
      </c>
      <c r="R969" s="7">
        <f>'1 datos preparados'!Q962</f>
        <v/>
      </c>
      <c r="S969" s="7">
        <f>'1 datos preparados'!R962</f>
        <v/>
      </c>
      <c r="T969" s="7">
        <f>'1 datos preparados'!S962</f>
        <v/>
      </c>
      <c r="U969" s="7">
        <f>'1 datos preparados'!T962</f>
        <v/>
      </c>
      <c r="V969" s="8">
        <f>$AC$12+D969*$AC$13+E969*$AC$14+F969*$AC$15+G969*$AC$16+H969*$AC$17+I969*$AC$18+J969*$AC$19+K969*$AC$20+L969*$AC$21+M969*$AC$22+N969*$AC$23+O969*$AC$24+P969*$AC$25+Q969*$AC$26+R969*$AC$27+S969*$AC$28+T969*$AC$29+U969*$AC$30</f>
        <v/>
      </c>
      <c r="W969" s="8">
        <f>1/(1+EXP(-V969))</f>
        <v/>
      </c>
      <c r="X969" s="9">
        <f>-IF(C969=1,LN(W969),LN(1-W969))</f>
        <v/>
      </c>
      <c r="Y969" s="10">
        <f>IF(W969&gt;$AC$33,1,0)</f>
        <v/>
      </c>
      <c r="Z969">
        <f>IF(Y969=C969,1,0)</f>
        <v/>
      </c>
    </row>
    <row r="970">
      <c r="A970">
        <f>'1 datos preparados'!A963</f>
        <v/>
      </c>
      <c r="B970" s="5">
        <f>'1 datos preparados'!U963</f>
        <v/>
      </c>
      <c r="C970">
        <f>'1 datos preparados'!B963</f>
        <v/>
      </c>
      <c r="D970" s="7">
        <f>'1 datos preparados'!C963</f>
        <v/>
      </c>
      <c r="E970" s="7">
        <f>'1 datos preparados'!D963</f>
        <v/>
      </c>
      <c r="F970" s="7">
        <f>'1 datos preparados'!E963</f>
        <v/>
      </c>
      <c r="G970" s="7">
        <f>'1 datos preparados'!F963</f>
        <v/>
      </c>
      <c r="H970" s="7">
        <f>'1 datos preparados'!G963</f>
        <v/>
      </c>
      <c r="I970" s="7">
        <f>'1 datos preparados'!H963</f>
        <v/>
      </c>
      <c r="J970" s="7">
        <f>'1 datos preparados'!I963</f>
        <v/>
      </c>
      <c r="K970" s="7">
        <f>'1 datos preparados'!J963</f>
        <v/>
      </c>
      <c r="L970" s="7">
        <f>'1 datos preparados'!K963</f>
        <v/>
      </c>
      <c r="M970" s="7">
        <f>'1 datos preparados'!L963</f>
        <v/>
      </c>
      <c r="N970" s="7">
        <f>'1 datos preparados'!M963</f>
        <v/>
      </c>
      <c r="O970" s="7">
        <f>'1 datos preparados'!N963</f>
        <v/>
      </c>
      <c r="P970" s="7">
        <f>'1 datos preparados'!O963</f>
        <v/>
      </c>
      <c r="Q970" s="7">
        <f>'1 datos preparados'!P963</f>
        <v/>
      </c>
      <c r="R970" s="7">
        <f>'1 datos preparados'!Q963</f>
        <v/>
      </c>
      <c r="S970" s="7">
        <f>'1 datos preparados'!R963</f>
        <v/>
      </c>
      <c r="T970" s="7">
        <f>'1 datos preparados'!S963</f>
        <v/>
      </c>
      <c r="U970" s="7">
        <f>'1 datos preparados'!T963</f>
        <v/>
      </c>
      <c r="V970" s="8">
        <f>$AC$12+D970*$AC$13+E970*$AC$14+F970*$AC$15+G970*$AC$16+H970*$AC$17+I970*$AC$18+J970*$AC$19+K970*$AC$20+L970*$AC$21+M970*$AC$22+N970*$AC$23+O970*$AC$24+P970*$AC$25+Q970*$AC$26+R970*$AC$27+S970*$AC$28+T970*$AC$29+U970*$AC$30</f>
        <v/>
      </c>
      <c r="W970" s="8">
        <f>1/(1+EXP(-V970))</f>
        <v/>
      </c>
      <c r="X970" s="9">
        <f>-IF(C970=1,LN(W970),LN(1-W970))</f>
        <v/>
      </c>
      <c r="Y970" s="10">
        <f>IF(W970&gt;$AC$33,1,0)</f>
        <v/>
      </c>
      <c r="Z970">
        <f>IF(Y970=C970,1,0)</f>
        <v/>
      </c>
    </row>
    <row r="971">
      <c r="A971">
        <f>'1 datos preparados'!A964</f>
        <v/>
      </c>
      <c r="B971" s="5">
        <f>'1 datos preparados'!U964</f>
        <v/>
      </c>
      <c r="C971">
        <f>'1 datos preparados'!B964</f>
        <v/>
      </c>
      <c r="D971" s="7">
        <f>'1 datos preparados'!C964</f>
        <v/>
      </c>
      <c r="E971" s="7">
        <f>'1 datos preparados'!D964</f>
        <v/>
      </c>
      <c r="F971" s="7">
        <f>'1 datos preparados'!E964</f>
        <v/>
      </c>
      <c r="G971" s="7">
        <f>'1 datos preparados'!F964</f>
        <v/>
      </c>
      <c r="H971" s="7">
        <f>'1 datos preparados'!G964</f>
        <v/>
      </c>
      <c r="I971" s="7">
        <f>'1 datos preparados'!H964</f>
        <v/>
      </c>
      <c r="J971" s="7">
        <f>'1 datos preparados'!I964</f>
        <v/>
      </c>
      <c r="K971" s="7">
        <f>'1 datos preparados'!J964</f>
        <v/>
      </c>
      <c r="L971" s="7">
        <f>'1 datos preparados'!K964</f>
        <v/>
      </c>
      <c r="M971" s="7">
        <f>'1 datos preparados'!L964</f>
        <v/>
      </c>
      <c r="N971" s="7">
        <f>'1 datos preparados'!M964</f>
        <v/>
      </c>
      <c r="O971" s="7">
        <f>'1 datos preparados'!N964</f>
        <v/>
      </c>
      <c r="P971" s="7">
        <f>'1 datos preparados'!O964</f>
        <v/>
      </c>
      <c r="Q971" s="7">
        <f>'1 datos preparados'!P964</f>
        <v/>
      </c>
      <c r="R971" s="7">
        <f>'1 datos preparados'!Q964</f>
        <v/>
      </c>
      <c r="S971" s="7">
        <f>'1 datos preparados'!R964</f>
        <v/>
      </c>
      <c r="T971" s="7">
        <f>'1 datos preparados'!S964</f>
        <v/>
      </c>
      <c r="U971" s="7">
        <f>'1 datos preparados'!T964</f>
        <v/>
      </c>
      <c r="V971" s="8">
        <f>$AC$12+D971*$AC$13+E971*$AC$14+F971*$AC$15+G971*$AC$16+H971*$AC$17+I971*$AC$18+J971*$AC$19+K971*$AC$20+L971*$AC$21+M971*$AC$22+N971*$AC$23+O971*$AC$24+P971*$AC$25+Q971*$AC$26+R971*$AC$27+S971*$AC$28+T971*$AC$29+U971*$AC$30</f>
        <v/>
      </c>
      <c r="W971" s="8">
        <f>1/(1+EXP(-V971))</f>
        <v/>
      </c>
      <c r="X971" s="9">
        <f>-IF(C971=1,LN(W971),LN(1-W971))</f>
        <v/>
      </c>
      <c r="Y971" s="10">
        <f>IF(W971&gt;$AC$33,1,0)</f>
        <v/>
      </c>
      <c r="Z971">
        <f>IF(Y971=C971,1,0)</f>
        <v/>
      </c>
    </row>
    <row r="972">
      <c r="A972">
        <f>'1 datos preparados'!A965</f>
        <v/>
      </c>
      <c r="B972" s="5">
        <f>'1 datos preparados'!U965</f>
        <v/>
      </c>
      <c r="C972">
        <f>'1 datos preparados'!B965</f>
        <v/>
      </c>
      <c r="D972" s="7">
        <f>'1 datos preparados'!C965</f>
        <v/>
      </c>
      <c r="E972" s="7">
        <f>'1 datos preparados'!D965</f>
        <v/>
      </c>
      <c r="F972" s="7">
        <f>'1 datos preparados'!E965</f>
        <v/>
      </c>
      <c r="G972" s="7">
        <f>'1 datos preparados'!F965</f>
        <v/>
      </c>
      <c r="H972" s="7">
        <f>'1 datos preparados'!G965</f>
        <v/>
      </c>
      <c r="I972" s="7">
        <f>'1 datos preparados'!H965</f>
        <v/>
      </c>
      <c r="J972" s="7">
        <f>'1 datos preparados'!I965</f>
        <v/>
      </c>
      <c r="K972" s="7">
        <f>'1 datos preparados'!J965</f>
        <v/>
      </c>
      <c r="L972" s="7">
        <f>'1 datos preparados'!K965</f>
        <v/>
      </c>
      <c r="M972" s="7">
        <f>'1 datos preparados'!L965</f>
        <v/>
      </c>
      <c r="N972" s="7">
        <f>'1 datos preparados'!M965</f>
        <v/>
      </c>
      <c r="O972" s="7">
        <f>'1 datos preparados'!N965</f>
        <v/>
      </c>
      <c r="P972" s="7">
        <f>'1 datos preparados'!O965</f>
        <v/>
      </c>
      <c r="Q972" s="7">
        <f>'1 datos preparados'!P965</f>
        <v/>
      </c>
      <c r="R972" s="7">
        <f>'1 datos preparados'!Q965</f>
        <v/>
      </c>
      <c r="S972" s="7">
        <f>'1 datos preparados'!R965</f>
        <v/>
      </c>
      <c r="T972" s="7">
        <f>'1 datos preparados'!S965</f>
        <v/>
      </c>
      <c r="U972" s="7">
        <f>'1 datos preparados'!T965</f>
        <v/>
      </c>
      <c r="V972" s="8">
        <f>$AC$12+D972*$AC$13+E972*$AC$14+F972*$AC$15+G972*$AC$16+H972*$AC$17+I972*$AC$18+J972*$AC$19+K972*$AC$20+L972*$AC$21+M972*$AC$22+N972*$AC$23+O972*$AC$24+P972*$AC$25+Q972*$AC$26+R972*$AC$27+S972*$AC$28+T972*$AC$29+U972*$AC$30</f>
        <v/>
      </c>
      <c r="W972" s="8">
        <f>1/(1+EXP(-V972))</f>
        <v/>
      </c>
      <c r="X972" s="9">
        <f>-IF(C972=1,LN(W972),LN(1-W972))</f>
        <v/>
      </c>
      <c r="Y972" s="10">
        <f>IF(W972&gt;$AC$33,1,0)</f>
        <v/>
      </c>
      <c r="Z972">
        <f>IF(Y972=C972,1,0)</f>
        <v/>
      </c>
    </row>
    <row r="973">
      <c r="A973">
        <f>'1 datos preparados'!A966</f>
        <v/>
      </c>
      <c r="B973" s="5">
        <f>'1 datos preparados'!U966</f>
        <v/>
      </c>
      <c r="C973">
        <f>'1 datos preparados'!B966</f>
        <v/>
      </c>
      <c r="D973" s="7">
        <f>'1 datos preparados'!C966</f>
        <v/>
      </c>
      <c r="E973" s="7">
        <f>'1 datos preparados'!D966</f>
        <v/>
      </c>
      <c r="F973" s="7">
        <f>'1 datos preparados'!E966</f>
        <v/>
      </c>
      <c r="G973" s="7">
        <f>'1 datos preparados'!F966</f>
        <v/>
      </c>
      <c r="H973" s="7">
        <f>'1 datos preparados'!G966</f>
        <v/>
      </c>
      <c r="I973" s="7">
        <f>'1 datos preparados'!H966</f>
        <v/>
      </c>
      <c r="J973" s="7">
        <f>'1 datos preparados'!I966</f>
        <v/>
      </c>
      <c r="K973" s="7">
        <f>'1 datos preparados'!J966</f>
        <v/>
      </c>
      <c r="L973" s="7">
        <f>'1 datos preparados'!K966</f>
        <v/>
      </c>
      <c r="M973" s="7">
        <f>'1 datos preparados'!L966</f>
        <v/>
      </c>
      <c r="N973" s="7">
        <f>'1 datos preparados'!M966</f>
        <v/>
      </c>
      <c r="O973" s="7">
        <f>'1 datos preparados'!N966</f>
        <v/>
      </c>
      <c r="P973" s="7">
        <f>'1 datos preparados'!O966</f>
        <v/>
      </c>
      <c r="Q973" s="7">
        <f>'1 datos preparados'!P966</f>
        <v/>
      </c>
      <c r="R973" s="7">
        <f>'1 datos preparados'!Q966</f>
        <v/>
      </c>
      <c r="S973" s="7">
        <f>'1 datos preparados'!R966</f>
        <v/>
      </c>
      <c r="T973" s="7">
        <f>'1 datos preparados'!S966</f>
        <v/>
      </c>
      <c r="U973" s="7">
        <f>'1 datos preparados'!T966</f>
        <v/>
      </c>
      <c r="V973" s="8">
        <f>$AC$12+D973*$AC$13+E973*$AC$14+F973*$AC$15+G973*$AC$16+H973*$AC$17+I973*$AC$18+J973*$AC$19+K973*$AC$20+L973*$AC$21+M973*$AC$22+N973*$AC$23+O973*$AC$24+P973*$AC$25+Q973*$AC$26+R973*$AC$27+S973*$AC$28+T973*$AC$29+U973*$AC$30</f>
        <v/>
      </c>
      <c r="W973" s="8">
        <f>1/(1+EXP(-V973))</f>
        <v/>
      </c>
      <c r="X973" s="9">
        <f>-IF(C973=1,LN(W973),LN(1-W973))</f>
        <v/>
      </c>
      <c r="Y973" s="10">
        <f>IF(W973&gt;$AC$33,1,0)</f>
        <v/>
      </c>
      <c r="Z973">
        <f>IF(Y973=C973,1,0)</f>
        <v/>
      </c>
    </row>
    <row r="974">
      <c r="A974">
        <f>'1 datos preparados'!A967</f>
        <v/>
      </c>
      <c r="B974" s="5">
        <f>'1 datos preparados'!U967</f>
        <v/>
      </c>
      <c r="C974">
        <f>'1 datos preparados'!B967</f>
        <v/>
      </c>
      <c r="D974" s="7">
        <f>'1 datos preparados'!C967</f>
        <v/>
      </c>
      <c r="E974" s="7">
        <f>'1 datos preparados'!D967</f>
        <v/>
      </c>
      <c r="F974" s="7">
        <f>'1 datos preparados'!E967</f>
        <v/>
      </c>
      <c r="G974" s="7">
        <f>'1 datos preparados'!F967</f>
        <v/>
      </c>
      <c r="H974" s="7">
        <f>'1 datos preparados'!G967</f>
        <v/>
      </c>
      <c r="I974" s="7">
        <f>'1 datos preparados'!H967</f>
        <v/>
      </c>
      <c r="J974" s="7">
        <f>'1 datos preparados'!I967</f>
        <v/>
      </c>
      <c r="K974" s="7">
        <f>'1 datos preparados'!J967</f>
        <v/>
      </c>
      <c r="L974" s="7">
        <f>'1 datos preparados'!K967</f>
        <v/>
      </c>
      <c r="M974" s="7">
        <f>'1 datos preparados'!L967</f>
        <v/>
      </c>
      <c r="N974" s="7">
        <f>'1 datos preparados'!M967</f>
        <v/>
      </c>
      <c r="O974" s="7">
        <f>'1 datos preparados'!N967</f>
        <v/>
      </c>
      <c r="P974" s="7">
        <f>'1 datos preparados'!O967</f>
        <v/>
      </c>
      <c r="Q974" s="7">
        <f>'1 datos preparados'!P967</f>
        <v/>
      </c>
      <c r="R974" s="7">
        <f>'1 datos preparados'!Q967</f>
        <v/>
      </c>
      <c r="S974" s="7">
        <f>'1 datos preparados'!R967</f>
        <v/>
      </c>
      <c r="T974" s="7">
        <f>'1 datos preparados'!S967</f>
        <v/>
      </c>
      <c r="U974" s="7">
        <f>'1 datos preparados'!T967</f>
        <v/>
      </c>
      <c r="V974" s="8">
        <f>$AC$12+D974*$AC$13+E974*$AC$14+F974*$AC$15+G974*$AC$16+H974*$AC$17+I974*$AC$18+J974*$AC$19+K974*$AC$20+L974*$AC$21+M974*$AC$22+N974*$AC$23+O974*$AC$24+P974*$AC$25+Q974*$AC$26+R974*$AC$27+S974*$AC$28+T974*$AC$29+U974*$AC$30</f>
        <v/>
      </c>
      <c r="W974" s="8">
        <f>1/(1+EXP(-V974))</f>
        <v/>
      </c>
      <c r="X974" s="9">
        <f>-IF(C974=1,LN(W974),LN(1-W974))</f>
        <v/>
      </c>
      <c r="Y974" s="10">
        <f>IF(W974&gt;$AC$33,1,0)</f>
        <v/>
      </c>
      <c r="Z974">
        <f>IF(Y974=C974,1,0)</f>
        <v/>
      </c>
    </row>
    <row r="975">
      <c r="A975">
        <f>'1 datos preparados'!A968</f>
        <v/>
      </c>
      <c r="B975" s="5">
        <f>'1 datos preparados'!U968</f>
        <v/>
      </c>
      <c r="C975">
        <f>'1 datos preparados'!B968</f>
        <v/>
      </c>
      <c r="D975" s="7">
        <f>'1 datos preparados'!C968</f>
        <v/>
      </c>
      <c r="E975" s="7">
        <f>'1 datos preparados'!D968</f>
        <v/>
      </c>
      <c r="F975" s="7">
        <f>'1 datos preparados'!E968</f>
        <v/>
      </c>
      <c r="G975" s="7">
        <f>'1 datos preparados'!F968</f>
        <v/>
      </c>
      <c r="H975" s="7">
        <f>'1 datos preparados'!G968</f>
        <v/>
      </c>
      <c r="I975" s="7">
        <f>'1 datos preparados'!H968</f>
        <v/>
      </c>
      <c r="J975" s="7">
        <f>'1 datos preparados'!I968</f>
        <v/>
      </c>
      <c r="K975" s="7">
        <f>'1 datos preparados'!J968</f>
        <v/>
      </c>
      <c r="L975" s="7">
        <f>'1 datos preparados'!K968</f>
        <v/>
      </c>
      <c r="M975" s="7">
        <f>'1 datos preparados'!L968</f>
        <v/>
      </c>
      <c r="N975" s="7">
        <f>'1 datos preparados'!M968</f>
        <v/>
      </c>
      <c r="O975" s="7">
        <f>'1 datos preparados'!N968</f>
        <v/>
      </c>
      <c r="P975" s="7">
        <f>'1 datos preparados'!O968</f>
        <v/>
      </c>
      <c r="Q975" s="7">
        <f>'1 datos preparados'!P968</f>
        <v/>
      </c>
      <c r="R975" s="7">
        <f>'1 datos preparados'!Q968</f>
        <v/>
      </c>
      <c r="S975" s="7">
        <f>'1 datos preparados'!R968</f>
        <v/>
      </c>
      <c r="T975" s="7">
        <f>'1 datos preparados'!S968</f>
        <v/>
      </c>
      <c r="U975" s="7">
        <f>'1 datos preparados'!T968</f>
        <v/>
      </c>
      <c r="V975" s="8">
        <f>$AC$12+D975*$AC$13+E975*$AC$14+F975*$AC$15+G975*$AC$16+H975*$AC$17+I975*$AC$18+J975*$AC$19+K975*$AC$20+L975*$AC$21+M975*$AC$22+N975*$AC$23+O975*$AC$24+P975*$AC$25+Q975*$AC$26+R975*$AC$27+S975*$AC$28+T975*$AC$29+U975*$AC$30</f>
        <v/>
      </c>
      <c r="W975" s="8">
        <f>1/(1+EXP(-V975))</f>
        <v/>
      </c>
      <c r="X975" s="9">
        <f>-IF(C975=1,LN(W975),LN(1-W975))</f>
        <v/>
      </c>
      <c r="Y975" s="10">
        <f>IF(W975&gt;$AC$33,1,0)</f>
        <v/>
      </c>
      <c r="Z975">
        <f>IF(Y975=C975,1,0)</f>
        <v/>
      </c>
    </row>
    <row r="976">
      <c r="A976">
        <f>'1 datos preparados'!A969</f>
        <v/>
      </c>
      <c r="B976" s="5">
        <f>'1 datos preparados'!U969</f>
        <v/>
      </c>
      <c r="C976">
        <f>'1 datos preparados'!B969</f>
        <v/>
      </c>
      <c r="D976" s="7">
        <f>'1 datos preparados'!C969</f>
        <v/>
      </c>
      <c r="E976" s="7">
        <f>'1 datos preparados'!D969</f>
        <v/>
      </c>
      <c r="F976" s="7">
        <f>'1 datos preparados'!E969</f>
        <v/>
      </c>
      <c r="G976" s="7">
        <f>'1 datos preparados'!F969</f>
        <v/>
      </c>
      <c r="H976" s="7">
        <f>'1 datos preparados'!G969</f>
        <v/>
      </c>
      <c r="I976" s="7">
        <f>'1 datos preparados'!H969</f>
        <v/>
      </c>
      <c r="J976" s="7">
        <f>'1 datos preparados'!I969</f>
        <v/>
      </c>
      <c r="K976" s="7">
        <f>'1 datos preparados'!J969</f>
        <v/>
      </c>
      <c r="L976" s="7">
        <f>'1 datos preparados'!K969</f>
        <v/>
      </c>
      <c r="M976" s="7">
        <f>'1 datos preparados'!L969</f>
        <v/>
      </c>
      <c r="N976" s="7">
        <f>'1 datos preparados'!M969</f>
        <v/>
      </c>
      <c r="O976" s="7">
        <f>'1 datos preparados'!N969</f>
        <v/>
      </c>
      <c r="P976" s="7">
        <f>'1 datos preparados'!O969</f>
        <v/>
      </c>
      <c r="Q976" s="7">
        <f>'1 datos preparados'!P969</f>
        <v/>
      </c>
      <c r="R976" s="7">
        <f>'1 datos preparados'!Q969</f>
        <v/>
      </c>
      <c r="S976" s="7">
        <f>'1 datos preparados'!R969</f>
        <v/>
      </c>
      <c r="T976" s="7">
        <f>'1 datos preparados'!S969</f>
        <v/>
      </c>
      <c r="U976" s="7">
        <f>'1 datos preparados'!T969</f>
        <v/>
      </c>
      <c r="V976" s="8">
        <f>$AC$12+D976*$AC$13+E976*$AC$14+F976*$AC$15+G976*$AC$16+H976*$AC$17+I976*$AC$18+J976*$AC$19+K976*$AC$20+L976*$AC$21+M976*$AC$22+N976*$AC$23+O976*$AC$24+P976*$AC$25+Q976*$AC$26+R976*$AC$27+S976*$AC$28+T976*$AC$29+U976*$AC$30</f>
        <v/>
      </c>
      <c r="W976" s="8">
        <f>1/(1+EXP(-V976))</f>
        <v/>
      </c>
      <c r="X976" s="9">
        <f>-IF(C976=1,LN(W976),LN(1-W976))</f>
        <v/>
      </c>
      <c r="Y976" s="10">
        <f>IF(W976&gt;$AC$33,1,0)</f>
        <v/>
      </c>
      <c r="Z976">
        <f>IF(Y976=C976,1,0)</f>
        <v/>
      </c>
    </row>
    <row r="977">
      <c r="A977">
        <f>'1 datos preparados'!A970</f>
        <v/>
      </c>
      <c r="B977" s="5">
        <f>'1 datos preparados'!U970</f>
        <v/>
      </c>
      <c r="C977">
        <f>'1 datos preparados'!B970</f>
        <v/>
      </c>
      <c r="D977" s="7">
        <f>'1 datos preparados'!C970</f>
        <v/>
      </c>
      <c r="E977" s="7">
        <f>'1 datos preparados'!D970</f>
        <v/>
      </c>
      <c r="F977" s="7">
        <f>'1 datos preparados'!E970</f>
        <v/>
      </c>
      <c r="G977" s="7">
        <f>'1 datos preparados'!F970</f>
        <v/>
      </c>
      <c r="H977" s="7">
        <f>'1 datos preparados'!G970</f>
        <v/>
      </c>
      <c r="I977" s="7">
        <f>'1 datos preparados'!H970</f>
        <v/>
      </c>
      <c r="J977" s="7">
        <f>'1 datos preparados'!I970</f>
        <v/>
      </c>
      <c r="K977" s="7">
        <f>'1 datos preparados'!J970</f>
        <v/>
      </c>
      <c r="L977" s="7">
        <f>'1 datos preparados'!K970</f>
        <v/>
      </c>
      <c r="M977" s="7">
        <f>'1 datos preparados'!L970</f>
        <v/>
      </c>
      <c r="N977" s="7">
        <f>'1 datos preparados'!M970</f>
        <v/>
      </c>
      <c r="O977" s="7">
        <f>'1 datos preparados'!N970</f>
        <v/>
      </c>
      <c r="P977" s="7">
        <f>'1 datos preparados'!O970</f>
        <v/>
      </c>
      <c r="Q977" s="7">
        <f>'1 datos preparados'!P970</f>
        <v/>
      </c>
      <c r="R977" s="7">
        <f>'1 datos preparados'!Q970</f>
        <v/>
      </c>
      <c r="S977" s="7">
        <f>'1 datos preparados'!R970</f>
        <v/>
      </c>
      <c r="T977" s="7">
        <f>'1 datos preparados'!S970</f>
        <v/>
      </c>
      <c r="U977" s="7">
        <f>'1 datos preparados'!T970</f>
        <v/>
      </c>
      <c r="V977" s="8">
        <f>$AC$12+D977*$AC$13+E977*$AC$14+F977*$AC$15+G977*$AC$16+H977*$AC$17+I977*$AC$18+J977*$AC$19+K977*$AC$20+L977*$AC$21+M977*$AC$22+N977*$AC$23+O977*$AC$24+P977*$AC$25+Q977*$AC$26+R977*$AC$27+S977*$AC$28+T977*$AC$29+U977*$AC$30</f>
        <v/>
      </c>
      <c r="W977" s="8">
        <f>1/(1+EXP(-V977))</f>
        <v/>
      </c>
      <c r="X977" s="9">
        <f>-IF(C977=1,LN(W977),LN(1-W977))</f>
        <v/>
      </c>
      <c r="Y977" s="10">
        <f>IF(W977&gt;$AC$33,1,0)</f>
        <v/>
      </c>
      <c r="Z977">
        <f>IF(Y977=C977,1,0)</f>
        <v/>
      </c>
    </row>
    <row r="978">
      <c r="A978">
        <f>'1 datos preparados'!A971</f>
        <v/>
      </c>
      <c r="B978" s="5">
        <f>'1 datos preparados'!U971</f>
        <v/>
      </c>
      <c r="C978">
        <f>'1 datos preparados'!B971</f>
        <v/>
      </c>
      <c r="D978" s="7">
        <f>'1 datos preparados'!C971</f>
        <v/>
      </c>
      <c r="E978" s="7">
        <f>'1 datos preparados'!D971</f>
        <v/>
      </c>
      <c r="F978" s="7">
        <f>'1 datos preparados'!E971</f>
        <v/>
      </c>
      <c r="G978" s="7">
        <f>'1 datos preparados'!F971</f>
        <v/>
      </c>
      <c r="H978" s="7">
        <f>'1 datos preparados'!G971</f>
        <v/>
      </c>
      <c r="I978" s="7">
        <f>'1 datos preparados'!H971</f>
        <v/>
      </c>
      <c r="J978" s="7">
        <f>'1 datos preparados'!I971</f>
        <v/>
      </c>
      <c r="K978" s="7">
        <f>'1 datos preparados'!J971</f>
        <v/>
      </c>
      <c r="L978" s="7">
        <f>'1 datos preparados'!K971</f>
        <v/>
      </c>
      <c r="M978" s="7">
        <f>'1 datos preparados'!L971</f>
        <v/>
      </c>
      <c r="N978" s="7">
        <f>'1 datos preparados'!M971</f>
        <v/>
      </c>
      <c r="O978" s="7">
        <f>'1 datos preparados'!N971</f>
        <v/>
      </c>
      <c r="P978" s="7">
        <f>'1 datos preparados'!O971</f>
        <v/>
      </c>
      <c r="Q978" s="7">
        <f>'1 datos preparados'!P971</f>
        <v/>
      </c>
      <c r="R978" s="7">
        <f>'1 datos preparados'!Q971</f>
        <v/>
      </c>
      <c r="S978" s="7">
        <f>'1 datos preparados'!R971</f>
        <v/>
      </c>
      <c r="T978" s="7">
        <f>'1 datos preparados'!S971</f>
        <v/>
      </c>
      <c r="U978" s="7">
        <f>'1 datos preparados'!T971</f>
        <v/>
      </c>
      <c r="V978" s="8">
        <f>$AC$12+D978*$AC$13+E978*$AC$14+F978*$AC$15+G978*$AC$16+H978*$AC$17+I978*$AC$18+J978*$AC$19+K978*$AC$20+L978*$AC$21+M978*$AC$22+N978*$AC$23+O978*$AC$24+P978*$AC$25+Q978*$AC$26+R978*$AC$27+S978*$AC$28+T978*$AC$29+U978*$AC$30</f>
        <v/>
      </c>
      <c r="W978" s="8">
        <f>1/(1+EXP(-V978))</f>
        <v/>
      </c>
      <c r="X978" s="9">
        <f>-IF(C978=1,LN(W978),LN(1-W978))</f>
        <v/>
      </c>
      <c r="Y978" s="10">
        <f>IF(W978&gt;$AC$33,1,0)</f>
        <v/>
      </c>
      <c r="Z978">
        <f>IF(Y978=C978,1,0)</f>
        <v/>
      </c>
    </row>
    <row r="979">
      <c r="A979">
        <f>'1 datos preparados'!A972</f>
        <v/>
      </c>
      <c r="B979" s="5">
        <f>'1 datos preparados'!U972</f>
        <v/>
      </c>
      <c r="C979">
        <f>'1 datos preparados'!B972</f>
        <v/>
      </c>
      <c r="D979" s="7">
        <f>'1 datos preparados'!C972</f>
        <v/>
      </c>
      <c r="E979" s="7">
        <f>'1 datos preparados'!D972</f>
        <v/>
      </c>
      <c r="F979" s="7">
        <f>'1 datos preparados'!E972</f>
        <v/>
      </c>
      <c r="G979" s="7">
        <f>'1 datos preparados'!F972</f>
        <v/>
      </c>
      <c r="H979" s="7">
        <f>'1 datos preparados'!G972</f>
        <v/>
      </c>
      <c r="I979" s="7">
        <f>'1 datos preparados'!H972</f>
        <v/>
      </c>
      <c r="J979" s="7">
        <f>'1 datos preparados'!I972</f>
        <v/>
      </c>
      <c r="K979" s="7">
        <f>'1 datos preparados'!J972</f>
        <v/>
      </c>
      <c r="L979" s="7">
        <f>'1 datos preparados'!K972</f>
        <v/>
      </c>
      <c r="M979" s="7">
        <f>'1 datos preparados'!L972</f>
        <v/>
      </c>
      <c r="N979" s="7">
        <f>'1 datos preparados'!M972</f>
        <v/>
      </c>
      <c r="O979" s="7">
        <f>'1 datos preparados'!N972</f>
        <v/>
      </c>
      <c r="P979" s="7">
        <f>'1 datos preparados'!O972</f>
        <v/>
      </c>
      <c r="Q979" s="7">
        <f>'1 datos preparados'!P972</f>
        <v/>
      </c>
      <c r="R979" s="7">
        <f>'1 datos preparados'!Q972</f>
        <v/>
      </c>
      <c r="S979" s="7">
        <f>'1 datos preparados'!R972</f>
        <v/>
      </c>
      <c r="T979" s="7">
        <f>'1 datos preparados'!S972</f>
        <v/>
      </c>
      <c r="U979" s="7">
        <f>'1 datos preparados'!T972</f>
        <v/>
      </c>
      <c r="V979" s="8">
        <f>$AC$12+D979*$AC$13+E979*$AC$14+F979*$AC$15+G979*$AC$16+H979*$AC$17+I979*$AC$18+J979*$AC$19+K979*$AC$20+L979*$AC$21+M979*$AC$22+N979*$AC$23+O979*$AC$24+P979*$AC$25+Q979*$AC$26+R979*$AC$27+S979*$AC$28+T979*$AC$29+U979*$AC$30</f>
        <v/>
      </c>
      <c r="W979" s="8">
        <f>1/(1+EXP(-V979))</f>
        <v/>
      </c>
      <c r="X979" s="9">
        <f>-IF(C979=1,LN(W979),LN(1-W979))</f>
        <v/>
      </c>
      <c r="Y979" s="10">
        <f>IF(W979&gt;$AC$33,1,0)</f>
        <v/>
      </c>
      <c r="Z979">
        <f>IF(Y979=C979,1,0)</f>
        <v/>
      </c>
    </row>
    <row r="980">
      <c r="A980">
        <f>'1 datos preparados'!A973</f>
        <v/>
      </c>
      <c r="B980" s="5">
        <f>'1 datos preparados'!U973</f>
        <v/>
      </c>
      <c r="C980">
        <f>'1 datos preparados'!B973</f>
        <v/>
      </c>
      <c r="D980" s="7">
        <f>'1 datos preparados'!C973</f>
        <v/>
      </c>
      <c r="E980" s="7">
        <f>'1 datos preparados'!D973</f>
        <v/>
      </c>
      <c r="F980" s="7">
        <f>'1 datos preparados'!E973</f>
        <v/>
      </c>
      <c r="G980" s="7">
        <f>'1 datos preparados'!F973</f>
        <v/>
      </c>
      <c r="H980" s="7">
        <f>'1 datos preparados'!G973</f>
        <v/>
      </c>
      <c r="I980" s="7">
        <f>'1 datos preparados'!H973</f>
        <v/>
      </c>
      <c r="J980" s="7">
        <f>'1 datos preparados'!I973</f>
        <v/>
      </c>
      <c r="K980" s="7">
        <f>'1 datos preparados'!J973</f>
        <v/>
      </c>
      <c r="L980" s="7">
        <f>'1 datos preparados'!K973</f>
        <v/>
      </c>
      <c r="M980" s="7">
        <f>'1 datos preparados'!L973</f>
        <v/>
      </c>
      <c r="N980" s="7">
        <f>'1 datos preparados'!M973</f>
        <v/>
      </c>
      <c r="O980" s="7">
        <f>'1 datos preparados'!N973</f>
        <v/>
      </c>
      <c r="P980" s="7">
        <f>'1 datos preparados'!O973</f>
        <v/>
      </c>
      <c r="Q980" s="7">
        <f>'1 datos preparados'!P973</f>
        <v/>
      </c>
      <c r="R980" s="7">
        <f>'1 datos preparados'!Q973</f>
        <v/>
      </c>
      <c r="S980" s="7">
        <f>'1 datos preparados'!R973</f>
        <v/>
      </c>
      <c r="T980" s="7">
        <f>'1 datos preparados'!S973</f>
        <v/>
      </c>
      <c r="U980" s="7">
        <f>'1 datos preparados'!T973</f>
        <v/>
      </c>
      <c r="V980" s="8">
        <f>$AC$12+D980*$AC$13+E980*$AC$14+F980*$AC$15+G980*$AC$16+H980*$AC$17+I980*$AC$18+J980*$AC$19+K980*$AC$20+L980*$AC$21+M980*$AC$22+N980*$AC$23+O980*$AC$24+P980*$AC$25+Q980*$AC$26+R980*$AC$27+S980*$AC$28+T980*$AC$29+U980*$AC$30</f>
        <v/>
      </c>
      <c r="W980" s="8">
        <f>1/(1+EXP(-V980))</f>
        <v/>
      </c>
      <c r="X980" s="9">
        <f>-IF(C980=1,LN(W980),LN(1-W980))</f>
        <v/>
      </c>
      <c r="Y980" s="10">
        <f>IF(W980&gt;$AC$33,1,0)</f>
        <v/>
      </c>
      <c r="Z980">
        <f>IF(Y980=C980,1,0)</f>
        <v/>
      </c>
    </row>
    <row r="981">
      <c r="A981">
        <f>'1 datos preparados'!A974</f>
        <v/>
      </c>
      <c r="B981" s="5">
        <f>'1 datos preparados'!U974</f>
        <v/>
      </c>
      <c r="C981">
        <f>'1 datos preparados'!B974</f>
        <v/>
      </c>
      <c r="D981" s="7">
        <f>'1 datos preparados'!C974</f>
        <v/>
      </c>
      <c r="E981" s="7">
        <f>'1 datos preparados'!D974</f>
        <v/>
      </c>
      <c r="F981" s="7">
        <f>'1 datos preparados'!E974</f>
        <v/>
      </c>
      <c r="G981" s="7">
        <f>'1 datos preparados'!F974</f>
        <v/>
      </c>
      <c r="H981" s="7">
        <f>'1 datos preparados'!G974</f>
        <v/>
      </c>
      <c r="I981" s="7">
        <f>'1 datos preparados'!H974</f>
        <v/>
      </c>
      <c r="J981" s="7">
        <f>'1 datos preparados'!I974</f>
        <v/>
      </c>
      <c r="K981" s="7">
        <f>'1 datos preparados'!J974</f>
        <v/>
      </c>
      <c r="L981" s="7">
        <f>'1 datos preparados'!K974</f>
        <v/>
      </c>
      <c r="M981" s="7">
        <f>'1 datos preparados'!L974</f>
        <v/>
      </c>
      <c r="N981" s="7">
        <f>'1 datos preparados'!M974</f>
        <v/>
      </c>
      <c r="O981" s="7">
        <f>'1 datos preparados'!N974</f>
        <v/>
      </c>
      <c r="P981" s="7">
        <f>'1 datos preparados'!O974</f>
        <v/>
      </c>
      <c r="Q981" s="7">
        <f>'1 datos preparados'!P974</f>
        <v/>
      </c>
      <c r="R981" s="7">
        <f>'1 datos preparados'!Q974</f>
        <v/>
      </c>
      <c r="S981" s="7">
        <f>'1 datos preparados'!R974</f>
        <v/>
      </c>
      <c r="T981" s="7">
        <f>'1 datos preparados'!S974</f>
        <v/>
      </c>
      <c r="U981" s="7">
        <f>'1 datos preparados'!T974</f>
        <v/>
      </c>
      <c r="V981" s="8">
        <f>$AC$12+D981*$AC$13+E981*$AC$14+F981*$AC$15+G981*$AC$16+H981*$AC$17+I981*$AC$18+J981*$AC$19+K981*$AC$20+L981*$AC$21+M981*$AC$22+N981*$AC$23+O981*$AC$24+P981*$AC$25+Q981*$AC$26+R981*$AC$27+S981*$AC$28+T981*$AC$29+U981*$AC$30</f>
        <v/>
      </c>
      <c r="W981" s="8">
        <f>1/(1+EXP(-V981))</f>
        <v/>
      </c>
      <c r="X981" s="9">
        <f>-IF(C981=1,LN(W981),LN(1-W981))</f>
        <v/>
      </c>
      <c r="Y981" s="10">
        <f>IF(W981&gt;$AC$33,1,0)</f>
        <v/>
      </c>
      <c r="Z981">
        <f>IF(Y981=C981,1,0)</f>
        <v/>
      </c>
    </row>
    <row r="982">
      <c r="A982">
        <f>'1 datos preparados'!A975</f>
        <v/>
      </c>
      <c r="B982" s="5">
        <f>'1 datos preparados'!U975</f>
        <v/>
      </c>
      <c r="C982">
        <f>'1 datos preparados'!B975</f>
        <v/>
      </c>
      <c r="D982" s="7">
        <f>'1 datos preparados'!C975</f>
        <v/>
      </c>
      <c r="E982" s="7">
        <f>'1 datos preparados'!D975</f>
        <v/>
      </c>
      <c r="F982" s="7">
        <f>'1 datos preparados'!E975</f>
        <v/>
      </c>
      <c r="G982" s="7">
        <f>'1 datos preparados'!F975</f>
        <v/>
      </c>
      <c r="H982" s="7">
        <f>'1 datos preparados'!G975</f>
        <v/>
      </c>
      <c r="I982" s="7">
        <f>'1 datos preparados'!H975</f>
        <v/>
      </c>
      <c r="J982" s="7">
        <f>'1 datos preparados'!I975</f>
        <v/>
      </c>
      <c r="K982" s="7">
        <f>'1 datos preparados'!J975</f>
        <v/>
      </c>
      <c r="L982" s="7">
        <f>'1 datos preparados'!K975</f>
        <v/>
      </c>
      <c r="M982" s="7">
        <f>'1 datos preparados'!L975</f>
        <v/>
      </c>
      <c r="N982" s="7">
        <f>'1 datos preparados'!M975</f>
        <v/>
      </c>
      <c r="O982" s="7">
        <f>'1 datos preparados'!N975</f>
        <v/>
      </c>
      <c r="P982" s="7">
        <f>'1 datos preparados'!O975</f>
        <v/>
      </c>
      <c r="Q982" s="7">
        <f>'1 datos preparados'!P975</f>
        <v/>
      </c>
      <c r="R982" s="7">
        <f>'1 datos preparados'!Q975</f>
        <v/>
      </c>
      <c r="S982" s="7">
        <f>'1 datos preparados'!R975</f>
        <v/>
      </c>
      <c r="T982" s="7">
        <f>'1 datos preparados'!S975</f>
        <v/>
      </c>
      <c r="U982" s="7">
        <f>'1 datos preparados'!T975</f>
        <v/>
      </c>
      <c r="V982" s="8">
        <f>$AC$12+D982*$AC$13+E982*$AC$14+F982*$AC$15+G982*$AC$16+H982*$AC$17+I982*$AC$18+J982*$AC$19+K982*$AC$20+L982*$AC$21+M982*$AC$22+N982*$AC$23+O982*$AC$24+P982*$AC$25+Q982*$AC$26+R982*$AC$27+S982*$AC$28+T982*$AC$29+U982*$AC$30</f>
        <v/>
      </c>
      <c r="W982" s="8">
        <f>1/(1+EXP(-V982))</f>
        <v/>
      </c>
      <c r="X982" s="9">
        <f>-IF(C982=1,LN(W982),LN(1-W982))</f>
        <v/>
      </c>
      <c r="Y982" s="10">
        <f>IF(W982&gt;$AC$33,1,0)</f>
        <v/>
      </c>
      <c r="Z982">
        <f>IF(Y982=C982,1,0)</f>
        <v/>
      </c>
    </row>
    <row r="983">
      <c r="A983">
        <f>'1 datos preparados'!A976</f>
        <v/>
      </c>
      <c r="B983" s="5">
        <f>'1 datos preparados'!U976</f>
        <v/>
      </c>
      <c r="C983">
        <f>'1 datos preparados'!B976</f>
        <v/>
      </c>
      <c r="D983" s="7">
        <f>'1 datos preparados'!C976</f>
        <v/>
      </c>
      <c r="E983" s="7">
        <f>'1 datos preparados'!D976</f>
        <v/>
      </c>
      <c r="F983" s="7">
        <f>'1 datos preparados'!E976</f>
        <v/>
      </c>
      <c r="G983" s="7">
        <f>'1 datos preparados'!F976</f>
        <v/>
      </c>
      <c r="H983" s="7">
        <f>'1 datos preparados'!G976</f>
        <v/>
      </c>
      <c r="I983" s="7">
        <f>'1 datos preparados'!H976</f>
        <v/>
      </c>
      <c r="J983" s="7">
        <f>'1 datos preparados'!I976</f>
        <v/>
      </c>
      <c r="K983" s="7">
        <f>'1 datos preparados'!J976</f>
        <v/>
      </c>
      <c r="L983" s="7">
        <f>'1 datos preparados'!K976</f>
        <v/>
      </c>
      <c r="M983" s="7">
        <f>'1 datos preparados'!L976</f>
        <v/>
      </c>
      <c r="N983" s="7">
        <f>'1 datos preparados'!M976</f>
        <v/>
      </c>
      <c r="O983" s="7">
        <f>'1 datos preparados'!N976</f>
        <v/>
      </c>
      <c r="P983" s="7">
        <f>'1 datos preparados'!O976</f>
        <v/>
      </c>
      <c r="Q983" s="7">
        <f>'1 datos preparados'!P976</f>
        <v/>
      </c>
      <c r="R983" s="7">
        <f>'1 datos preparados'!Q976</f>
        <v/>
      </c>
      <c r="S983" s="7">
        <f>'1 datos preparados'!R976</f>
        <v/>
      </c>
      <c r="T983" s="7">
        <f>'1 datos preparados'!S976</f>
        <v/>
      </c>
      <c r="U983" s="7">
        <f>'1 datos preparados'!T976</f>
        <v/>
      </c>
      <c r="V983" s="8">
        <f>$AC$12+D983*$AC$13+E983*$AC$14+F983*$AC$15+G983*$AC$16+H983*$AC$17+I983*$AC$18+J983*$AC$19+K983*$AC$20+L983*$AC$21+M983*$AC$22+N983*$AC$23+O983*$AC$24+P983*$AC$25+Q983*$AC$26+R983*$AC$27+S983*$AC$28+T983*$AC$29+U983*$AC$30</f>
        <v/>
      </c>
      <c r="W983" s="8">
        <f>1/(1+EXP(-V983))</f>
        <v/>
      </c>
      <c r="X983" s="9">
        <f>-IF(C983=1,LN(W983),LN(1-W983))</f>
        <v/>
      </c>
      <c r="Y983" s="10">
        <f>IF(W983&gt;$AC$33,1,0)</f>
        <v/>
      </c>
      <c r="Z983">
        <f>IF(Y983=C983,1,0)</f>
        <v/>
      </c>
    </row>
    <row r="984">
      <c r="A984">
        <f>'1 datos preparados'!A977</f>
        <v/>
      </c>
      <c r="B984" s="5">
        <f>'1 datos preparados'!U977</f>
        <v/>
      </c>
      <c r="C984">
        <f>'1 datos preparados'!B977</f>
        <v/>
      </c>
      <c r="D984" s="7">
        <f>'1 datos preparados'!C977</f>
        <v/>
      </c>
      <c r="E984" s="7">
        <f>'1 datos preparados'!D977</f>
        <v/>
      </c>
      <c r="F984" s="7">
        <f>'1 datos preparados'!E977</f>
        <v/>
      </c>
      <c r="G984" s="7">
        <f>'1 datos preparados'!F977</f>
        <v/>
      </c>
      <c r="H984" s="7">
        <f>'1 datos preparados'!G977</f>
        <v/>
      </c>
      <c r="I984" s="7">
        <f>'1 datos preparados'!H977</f>
        <v/>
      </c>
      <c r="J984" s="7">
        <f>'1 datos preparados'!I977</f>
        <v/>
      </c>
      <c r="K984" s="7">
        <f>'1 datos preparados'!J977</f>
        <v/>
      </c>
      <c r="L984" s="7">
        <f>'1 datos preparados'!K977</f>
        <v/>
      </c>
      <c r="M984" s="7">
        <f>'1 datos preparados'!L977</f>
        <v/>
      </c>
      <c r="N984" s="7">
        <f>'1 datos preparados'!M977</f>
        <v/>
      </c>
      <c r="O984" s="7">
        <f>'1 datos preparados'!N977</f>
        <v/>
      </c>
      <c r="P984" s="7">
        <f>'1 datos preparados'!O977</f>
        <v/>
      </c>
      <c r="Q984" s="7">
        <f>'1 datos preparados'!P977</f>
        <v/>
      </c>
      <c r="R984" s="7">
        <f>'1 datos preparados'!Q977</f>
        <v/>
      </c>
      <c r="S984" s="7">
        <f>'1 datos preparados'!R977</f>
        <v/>
      </c>
      <c r="T984" s="7">
        <f>'1 datos preparados'!S977</f>
        <v/>
      </c>
      <c r="U984" s="7">
        <f>'1 datos preparados'!T977</f>
        <v/>
      </c>
      <c r="V984" s="8">
        <f>$AC$12+D984*$AC$13+E984*$AC$14+F984*$AC$15+G984*$AC$16+H984*$AC$17+I984*$AC$18+J984*$AC$19+K984*$AC$20+L984*$AC$21+M984*$AC$22+N984*$AC$23+O984*$AC$24+P984*$AC$25+Q984*$AC$26+R984*$AC$27+S984*$AC$28+T984*$AC$29+U984*$AC$30</f>
        <v/>
      </c>
      <c r="W984" s="8">
        <f>1/(1+EXP(-V984))</f>
        <v/>
      </c>
      <c r="X984" s="9">
        <f>-IF(C984=1,LN(W984),LN(1-W984))</f>
        <v/>
      </c>
      <c r="Y984" s="10">
        <f>IF(W984&gt;$AC$33,1,0)</f>
        <v/>
      </c>
      <c r="Z984">
        <f>IF(Y984=C984,1,0)</f>
        <v/>
      </c>
    </row>
    <row r="985">
      <c r="A985">
        <f>'1 datos preparados'!A978</f>
        <v/>
      </c>
      <c r="B985" s="5">
        <f>'1 datos preparados'!U978</f>
        <v/>
      </c>
      <c r="C985">
        <f>'1 datos preparados'!B978</f>
        <v/>
      </c>
      <c r="D985" s="7">
        <f>'1 datos preparados'!C978</f>
        <v/>
      </c>
      <c r="E985" s="7">
        <f>'1 datos preparados'!D978</f>
        <v/>
      </c>
      <c r="F985" s="7">
        <f>'1 datos preparados'!E978</f>
        <v/>
      </c>
      <c r="G985" s="7">
        <f>'1 datos preparados'!F978</f>
        <v/>
      </c>
      <c r="H985" s="7">
        <f>'1 datos preparados'!G978</f>
        <v/>
      </c>
      <c r="I985" s="7">
        <f>'1 datos preparados'!H978</f>
        <v/>
      </c>
      <c r="J985" s="7">
        <f>'1 datos preparados'!I978</f>
        <v/>
      </c>
      <c r="K985" s="7">
        <f>'1 datos preparados'!J978</f>
        <v/>
      </c>
      <c r="L985" s="7">
        <f>'1 datos preparados'!K978</f>
        <v/>
      </c>
      <c r="M985" s="7">
        <f>'1 datos preparados'!L978</f>
        <v/>
      </c>
      <c r="N985" s="7">
        <f>'1 datos preparados'!M978</f>
        <v/>
      </c>
      <c r="O985" s="7">
        <f>'1 datos preparados'!N978</f>
        <v/>
      </c>
      <c r="P985" s="7">
        <f>'1 datos preparados'!O978</f>
        <v/>
      </c>
      <c r="Q985" s="7">
        <f>'1 datos preparados'!P978</f>
        <v/>
      </c>
      <c r="R985" s="7">
        <f>'1 datos preparados'!Q978</f>
        <v/>
      </c>
      <c r="S985" s="7">
        <f>'1 datos preparados'!R978</f>
        <v/>
      </c>
      <c r="T985" s="7">
        <f>'1 datos preparados'!S978</f>
        <v/>
      </c>
      <c r="U985" s="7">
        <f>'1 datos preparados'!T978</f>
        <v/>
      </c>
      <c r="V985" s="8">
        <f>$AC$12+D985*$AC$13+E985*$AC$14+F985*$AC$15+G985*$AC$16+H985*$AC$17+I985*$AC$18+J985*$AC$19+K985*$AC$20+L985*$AC$21+M985*$AC$22+N985*$AC$23+O985*$AC$24+P985*$AC$25+Q985*$AC$26+R985*$AC$27+S985*$AC$28+T985*$AC$29+U985*$AC$30</f>
        <v/>
      </c>
      <c r="W985" s="8">
        <f>1/(1+EXP(-V985))</f>
        <v/>
      </c>
      <c r="X985" s="9">
        <f>-IF(C985=1,LN(W985),LN(1-W985))</f>
        <v/>
      </c>
      <c r="Y985" s="10">
        <f>IF(W985&gt;$AC$33,1,0)</f>
        <v/>
      </c>
      <c r="Z985">
        <f>IF(Y985=C985,1,0)</f>
        <v/>
      </c>
    </row>
    <row r="986">
      <c r="A986">
        <f>'1 datos preparados'!A979</f>
        <v/>
      </c>
      <c r="B986" s="5">
        <f>'1 datos preparados'!U979</f>
        <v/>
      </c>
      <c r="C986">
        <f>'1 datos preparados'!B979</f>
        <v/>
      </c>
      <c r="D986" s="7">
        <f>'1 datos preparados'!C979</f>
        <v/>
      </c>
      <c r="E986" s="7">
        <f>'1 datos preparados'!D979</f>
        <v/>
      </c>
      <c r="F986" s="7">
        <f>'1 datos preparados'!E979</f>
        <v/>
      </c>
      <c r="G986" s="7">
        <f>'1 datos preparados'!F979</f>
        <v/>
      </c>
      <c r="H986" s="7">
        <f>'1 datos preparados'!G979</f>
        <v/>
      </c>
      <c r="I986" s="7">
        <f>'1 datos preparados'!H979</f>
        <v/>
      </c>
      <c r="J986" s="7">
        <f>'1 datos preparados'!I979</f>
        <v/>
      </c>
      <c r="K986" s="7">
        <f>'1 datos preparados'!J979</f>
        <v/>
      </c>
      <c r="L986" s="7">
        <f>'1 datos preparados'!K979</f>
        <v/>
      </c>
      <c r="M986" s="7">
        <f>'1 datos preparados'!L979</f>
        <v/>
      </c>
      <c r="N986" s="7">
        <f>'1 datos preparados'!M979</f>
        <v/>
      </c>
      <c r="O986" s="7">
        <f>'1 datos preparados'!N979</f>
        <v/>
      </c>
      <c r="P986" s="7">
        <f>'1 datos preparados'!O979</f>
        <v/>
      </c>
      <c r="Q986" s="7">
        <f>'1 datos preparados'!P979</f>
        <v/>
      </c>
      <c r="R986" s="7">
        <f>'1 datos preparados'!Q979</f>
        <v/>
      </c>
      <c r="S986" s="7">
        <f>'1 datos preparados'!R979</f>
        <v/>
      </c>
      <c r="T986" s="7">
        <f>'1 datos preparados'!S979</f>
        <v/>
      </c>
      <c r="U986" s="7">
        <f>'1 datos preparados'!T979</f>
        <v/>
      </c>
      <c r="V986" s="8">
        <f>$AC$12+D986*$AC$13+E986*$AC$14+F986*$AC$15+G986*$AC$16+H986*$AC$17+I986*$AC$18+J986*$AC$19+K986*$AC$20+L986*$AC$21+M986*$AC$22+N986*$AC$23+O986*$AC$24+P986*$AC$25+Q986*$AC$26+R986*$AC$27+S986*$AC$28+T986*$AC$29+U986*$AC$30</f>
        <v/>
      </c>
      <c r="W986" s="8">
        <f>1/(1+EXP(-V986))</f>
        <v/>
      </c>
      <c r="X986" s="9">
        <f>-IF(C986=1,LN(W986),LN(1-W986))</f>
        <v/>
      </c>
      <c r="Y986" s="10">
        <f>IF(W986&gt;$AC$33,1,0)</f>
        <v/>
      </c>
      <c r="Z986">
        <f>IF(Y986=C986,1,0)</f>
        <v/>
      </c>
    </row>
    <row r="987">
      <c r="A987">
        <f>'1 datos preparados'!A980</f>
        <v/>
      </c>
      <c r="B987" s="5">
        <f>'1 datos preparados'!U980</f>
        <v/>
      </c>
      <c r="C987">
        <f>'1 datos preparados'!B980</f>
        <v/>
      </c>
      <c r="D987" s="7">
        <f>'1 datos preparados'!C980</f>
        <v/>
      </c>
      <c r="E987" s="7">
        <f>'1 datos preparados'!D980</f>
        <v/>
      </c>
      <c r="F987" s="7">
        <f>'1 datos preparados'!E980</f>
        <v/>
      </c>
      <c r="G987" s="7">
        <f>'1 datos preparados'!F980</f>
        <v/>
      </c>
      <c r="H987" s="7">
        <f>'1 datos preparados'!G980</f>
        <v/>
      </c>
      <c r="I987" s="7">
        <f>'1 datos preparados'!H980</f>
        <v/>
      </c>
      <c r="J987" s="7">
        <f>'1 datos preparados'!I980</f>
        <v/>
      </c>
      <c r="K987" s="7">
        <f>'1 datos preparados'!J980</f>
        <v/>
      </c>
      <c r="L987" s="7">
        <f>'1 datos preparados'!K980</f>
        <v/>
      </c>
      <c r="M987" s="7">
        <f>'1 datos preparados'!L980</f>
        <v/>
      </c>
      <c r="N987" s="7">
        <f>'1 datos preparados'!M980</f>
        <v/>
      </c>
      <c r="O987" s="7">
        <f>'1 datos preparados'!N980</f>
        <v/>
      </c>
      <c r="P987" s="7">
        <f>'1 datos preparados'!O980</f>
        <v/>
      </c>
      <c r="Q987" s="7">
        <f>'1 datos preparados'!P980</f>
        <v/>
      </c>
      <c r="R987" s="7">
        <f>'1 datos preparados'!Q980</f>
        <v/>
      </c>
      <c r="S987" s="7">
        <f>'1 datos preparados'!R980</f>
        <v/>
      </c>
      <c r="T987" s="7">
        <f>'1 datos preparados'!S980</f>
        <v/>
      </c>
      <c r="U987" s="7">
        <f>'1 datos preparados'!T980</f>
        <v/>
      </c>
      <c r="V987" s="8">
        <f>$AC$12+D987*$AC$13+E987*$AC$14+F987*$AC$15+G987*$AC$16+H987*$AC$17+I987*$AC$18+J987*$AC$19+K987*$AC$20+L987*$AC$21+M987*$AC$22+N987*$AC$23+O987*$AC$24+P987*$AC$25+Q987*$AC$26+R987*$AC$27+S987*$AC$28+T987*$AC$29+U987*$AC$30</f>
        <v/>
      </c>
      <c r="W987" s="8">
        <f>1/(1+EXP(-V987))</f>
        <v/>
      </c>
      <c r="X987" s="9">
        <f>-IF(C987=1,LN(W987),LN(1-W987))</f>
        <v/>
      </c>
      <c r="Y987" s="10">
        <f>IF(W987&gt;$AC$33,1,0)</f>
        <v/>
      </c>
      <c r="Z987">
        <f>IF(Y987=C987,1,0)</f>
        <v/>
      </c>
    </row>
    <row r="988">
      <c r="A988">
        <f>'1 datos preparados'!A981</f>
        <v/>
      </c>
      <c r="B988" s="5">
        <f>'1 datos preparados'!U981</f>
        <v/>
      </c>
      <c r="C988">
        <f>'1 datos preparados'!B981</f>
        <v/>
      </c>
      <c r="D988" s="7">
        <f>'1 datos preparados'!C981</f>
        <v/>
      </c>
      <c r="E988" s="7">
        <f>'1 datos preparados'!D981</f>
        <v/>
      </c>
      <c r="F988" s="7">
        <f>'1 datos preparados'!E981</f>
        <v/>
      </c>
      <c r="G988" s="7">
        <f>'1 datos preparados'!F981</f>
        <v/>
      </c>
      <c r="H988" s="7">
        <f>'1 datos preparados'!G981</f>
        <v/>
      </c>
      <c r="I988" s="7">
        <f>'1 datos preparados'!H981</f>
        <v/>
      </c>
      <c r="J988" s="7">
        <f>'1 datos preparados'!I981</f>
        <v/>
      </c>
      <c r="K988" s="7">
        <f>'1 datos preparados'!J981</f>
        <v/>
      </c>
      <c r="L988" s="7">
        <f>'1 datos preparados'!K981</f>
        <v/>
      </c>
      <c r="M988" s="7">
        <f>'1 datos preparados'!L981</f>
        <v/>
      </c>
      <c r="N988" s="7">
        <f>'1 datos preparados'!M981</f>
        <v/>
      </c>
      <c r="O988" s="7">
        <f>'1 datos preparados'!N981</f>
        <v/>
      </c>
      <c r="P988" s="7">
        <f>'1 datos preparados'!O981</f>
        <v/>
      </c>
      <c r="Q988" s="7">
        <f>'1 datos preparados'!P981</f>
        <v/>
      </c>
      <c r="R988" s="7">
        <f>'1 datos preparados'!Q981</f>
        <v/>
      </c>
      <c r="S988" s="7">
        <f>'1 datos preparados'!R981</f>
        <v/>
      </c>
      <c r="T988" s="7">
        <f>'1 datos preparados'!S981</f>
        <v/>
      </c>
      <c r="U988" s="7">
        <f>'1 datos preparados'!T981</f>
        <v/>
      </c>
      <c r="V988" s="8">
        <f>$AC$12+D988*$AC$13+E988*$AC$14+F988*$AC$15+G988*$AC$16+H988*$AC$17+I988*$AC$18+J988*$AC$19+K988*$AC$20+L988*$AC$21+M988*$AC$22+N988*$AC$23+O988*$AC$24+P988*$AC$25+Q988*$AC$26+R988*$AC$27+S988*$AC$28+T988*$AC$29+U988*$AC$30</f>
        <v/>
      </c>
      <c r="W988" s="8">
        <f>1/(1+EXP(-V988))</f>
        <v/>
      </c>
      <c r="X988" s="9">
        <f>-IF(C988=1,LN(W988),LN(1-W988))</f>
        <v/>
      </c>
      <c r="Y988" s="10">
        <f>IF(W988&gt;$AC$33,1,0)</f>
        <v/>
      </c>
      <c r="Z988">
        <f>IF(Y988=C988,1,0)</f>
        <v/>
      </c>
    </row>
    <row r="989">
      <c r="A989">
        <f>'1 datos preparados'!A982</f>
        <v/>
      </c>
      <c r="B989" s="5">
        <f>'1 datos preparados'!U982</f>
        <v/>
      </c>
      <c r="C989">
        <f>'1 datos preparados'!B982</f>
        <v/>
      </c>
      <c r="D989" s="7">
        <f>'1 datos preparados'!C982</f>
        <v/>
      </c>
      <c r="E989" s="7">
        <f>'1 datos preparados'!D982</f>
        <v/>
      </c>
      <c r="F989" s="7">
        <f>'1 datos preparados'!E982</f>
        <v/>
      </c>
      <c r="G989" s="7">
        <f>'1 datos preparados'!F982</f>
        <v/>
      </c>
      <c r="H989" s="7">
        <f>'1 datos preparados'!G982</f>
        <v/>
      </c>
      <c r="I989" s="7">
        <f>'1 datos preparados'!H982</f>
        <v/>
      </c>
      <c r="J989" s="7">
        <f>'1 datos preparados'!I982</f>
        <v/>
      </c>
      <c r="K989" s="7">
        <f>'1 datos preparados'!J982</f>
        <v/>
      </c>
      <c r="L989" s="7">
        <f>'1 datos preparados'!K982</f>
        <v/>
      </c>
      <c r="M989" s="7">
        <f>'1 datos preparados'!L982</f>
        <v/>
      </c>
      <c r="N989" s="7">
        <f>'1 datos preparados'!M982</f>
        <v/>
      </c>
      <c r="O989" s="7">
        <f>'1 datos preparados'!N982</f>
        <v/>
      </c>
      <c r="P989" s="7">
        <f>'1 datos preparados'!O982</f>
        <v/>
      </c>
      <c r="Q989" s="7">
        <f>'1 datos preparados'!P982</f>
        <v/>
      </c>
      <c r="R989" s="7">
        <f>'1 datos preparados'!Q982</f>
        <v/>
      </c>
      <c r="S989" s="7">
        <f>'1 datos preparados'!R982</f>
        <v/>
      </c>
      <c r="T989" s="7">
        <f>'1 datos preparados'!S982</f>
        <v/>
      </c>
      <c r="U989" s="7">
        <f>'1 datos preparados'!T982</f>
        <v/>
      </c>
      <c r="V989" s="8">
        <f>$AC$12+D989*$AC$13+E989*$AC$14+F989*$AC$15+G989*$AC$16+H989*$AC$17+I989*$AC$18+J989*$AC$19+K989*$AC$20+L989*$AC$21+M989*$AC$22+N989*$AC$23+O989*$AC$24+P989*$AC$25+Q989*$AC$26+R989*$AC$27+S989*$AC$28+T989*$AC$29+U989*$AC$30</f>
        <v/>
      </c>
      <c r="W989" s="8">
        <f>1/(1+EXP(-V989))</f>
        <v/>
      </c>
      <c r="X989" s="9">
        <f>-IF(C989=1,LN(W989),LN(1-W989))</f>
        <v/>
      </c>
      <c r="Y989" s="10">
        <f>IF(W989&gt;$AC$33,1,0)</f>
        <v/>
      </c>
      <c r="Z989">
        <f>IF(Y989=C989,1,0)</f>
        <v/>
      </c>
    </row>
    <row r="990">
      <c r="A990">
        <f>'1 datos preparados'!A983</f>
        <v/>
      </c>
      <c r="B990" s="5">
        <f>'1 datos preparados'!U983</f>
        <v/>
      </c>
      <c r="C990">
        <f>'1 datos preparados'!B983</f>
        <v/>
      </c>
      <c r="D990" s="7">
        <f>'1 datos preparados'!C983</f>
        <v/>
      </c>
      <c r="E990" s="7">
        <f>'1 datos preparados'!D983</f>
        <v/>
      </c>
      <c r="F990" s="7">
        <f>'1 datos preparados'!E983</f>
        <v/>
      </c>
      <c r="G990" s="7">
        <f>'1 datos preparados'!F983</f>
        <v/>
      </c>
      <c r="H990" s="7">
        <f>'1 datos preparados'!G983</f>
        <v/>
      </c>
      <c r="I990" s="7">
        <f>'1 datos preparados'!H983</f>
        <v/>
      </c>
      <c r="J990" s="7">
        <f>'1 datos preparados'!I983</f>
        <v/>
      </c>
      <c r="K990" s="7">
        <f>'1 datos preparados'!J983</f>
        <v/>
      </c>
      <c r="L990" s="7">
        <f>'1 datos preparados'!K983</f>
        <v/>
      </c>
      <c r="M990" s="7">
        <f>'1 datos preparados'!L983</f>
        <v/>
      </c>
      <c r="N990" s="7">
        <f>'1 datos preparados'!M983</f>
        <v/>
      </c>
      <c r="O990" s="7">
        <f>'1 datos preparados'!N983</f>
        <v/>
      </c>
      <c r="P990" s="7">
        <f>'1 datos preparados'!O983</f>
        <v/>
      </c>
      <c r="Q990" s="7">
        <f>'1 datos preparados'!P983</f>
        <v/>
      </c>
      <c r="R990" s="7">
        <f>'1 datos preparados'!Q983</f>
        <v/>
      </c>
      <c r="S990" s="7">
        <f>'1 datos preparados'!R983</f>
        <v/>
      </c>
      <c r="T990" s="7">
        <f>'1 datos preparados'!S983</f>
        <v/>
      </c>
      <c r="U990" s="7">
        <f>'1 datos preparados'!T983</f>
        <v/>
      </c>
      <c r="V990" s="8">
        <f>$AC$12+D990*$AC$13+E990*$AC$14+F990*$AC$15+G990*$AC$16+H990*$AC$17+I990*$AC$18+J990*$AC$19+K990*$AC$20+L990*$AC$21+M990*$AC$22+N990*$AC$23+O990*$AC$24+P990*$AC$25+Q990*$AC$26+R990*$AC$27+S990*$AC$28+T990*$AC$29+U990*$AC$30</f>
        <v/>
      </c>
      <c r="W990" s="8">
        <f>1/(1+EXP(-V990))</f>
        <v/>
      </c>
      <c r="X990" s="9">
        <f>-IF(C990=1,LN(W990),LN(1-W990))</f>
        <v/>
      </c>
      <c r="Y990" s="10">
        <f>IF(W990&gt;$AC$33,1,0)</f>
        <v/>
      </c>
      <c r="Z990">
        <f>IF(Y990=C990,1,0)</f>
        <v/>
      </c>
    </row>
    <row r="991">
      <c r="A991">
        <f>'1 datos preparados'!A984</f>
        <v/>
      </c>
      <c r="B991" s="5">
        <f>'1 datos preparados'!U984</f>
        <v/>
      </c>
      <c r="C991">
        <f>'1 datos preparados'!B984</f>
        <v/>
      </c>
      <c r="D991" s="7">
        <f>'1 datos preparados'!C984</f>
        <v/>
      </c>
      <c r="E991" s="7">
        <f>'1 datos preparados'!D984</f>
        <v/>
      </c>
      <c r="F991" s="7">
        <f>'1 datos preparados'!E984</f>
        <v/>
      </c>
      <c r="G991" s="7">
        <f>'1 datos preparados'!F984</f>
        <v/>
      </c>
      <c r="H991" s="7">
        <f>'1 datos preparados'!G984</f>
        <v/>
      </c>
      <c r="I991" s="7">
        <f>'1 datos preparados'!H984</f>
        <v/>
      </c>
      <c r="J991" s="7">
        <f>'1 datos preparados'!I984</f>
        <v/>
      </c>
      <c r="K991" s="7">
        <f>'1 datos preparados'!J984</f>
        <v/>
      </c>
      <c r="L991" s="7">
        <f>'1 datos preparados'!K984</f>
        <v/>
      </c>
      <c r="M991" s="7">
        <f>'1 datos preparados'!L984</f>
        <v/>
      </c>
      <c r="N991" s="7">
        <f>'1 datos preparados'!M984</f>
        <v/>
      </c>
      <c r="O991" s="7">
        <f>'1 datos preparados'!N984</f>
        <v/>
      </c>
      <c r="P991" s="7">
        <f>'1 datos preparados'!O984</f>
        <v/>
      </c>
      <c r="Q991" s="7">
        <f>'1 datos preparados'!P984</f>
        <v/>
      </c>
      <c r="R991" s="7">
        <f>'1 datos preparados'!Q984</f>
        <v/>
      </c>
      <c r="S991" s="7">
        <f>'1 datos preparados'!R984</f>
        <v/>
      </c>
      <c r="T991" s="7">
        <f>'1 datos preparados'!S984</f>
        <v/>
      </c>
      <c r="U991" s="7">
        <f>'1 datos preparados'!T984</f>
        <v/>
      </c>
      <c r="V991" s="8">
        <f>$AC$12+D991*$AC$13+E991*$AC$14+F991*$AC$15+G991*$AC$16+H991*$AC$17+I991*$AC$18+J991*$AC$19+K991*$AC$20+L991*$AC$21+M991*$AC$22+N991*$AC$23+O991*$AC$24+P991*$AC$25+Q991*$AC$26+R991*$AC$27+S991*$AC$28+T991*$AC$29+U991*$AC$30</f>
        <v/>
      </c>
      <c r="W991" s="8">
        <f>1/(1+EXP(-V991))</f>
        <v/>
      </c>
      <c r="X991" s="9">
        <f>-IF(C991=1,LN(W991),LN(1-W991))</f>
        <v/>
      </c>
      <c r="Y991" s="10">
        <f>IF(W991&gt;$AC$33,1,0)</f>
        <v/>
      </c>
      <c r="Z991">
        <f>IF(Y991=C991,1,0)</f>
        <v/>
      </c>
    </row>
    <row r="992">
      <c r="A992">
        <f>'1 datos preparados'!A985</f>
        <v/>
      </c>
      <c r="B992" s="5">
        <f>'1 datos preparados'!U985</f>
        <v/>
      </c>
      <c r="C992">
        <f>'1 datos preparados'!B985</f>
        <v/>
      </c>
      <c r="D992" s="7">
        <f>'1 datos preparados'!C985</f>
        <v/>
      </c>
      <c r="E992" s="7">
        <f>'1 datos preparados'!D985</f>
        <v/>
      </c>
      <c r="F992" s="7">
        <f>'1 datos preparados'!E985</f>
        <v/>
      </c>
      <c r="G992" s="7">
        <f>'1 datos preparados'!F985</f>
        <v/>
      </c>
      <c r="H992" s="7">
        <f>'1 datos preparados'!G985</f>
        <v/>
      </c>
      <c r="I992" s="7">
        <f>'1 datos preparados'!H985</f>
        <v/>
      </c>
      <c r="J992" s="7">
        <f>'1 datos preparados'!I985</f>
        <v/>
      </c>
      <c r="K992" s="7">
        <f>'1 datos preparados'!J985</f>
        <v/>
      </c>
      <c r="L992" s="7">
        <f>'1 datos preparados'!K985</f>
        <v/>
      </c>
      <c r="M992" s="7">
        <f>'1 datos preparados'!L985</f>
        <v/>
      </c>
      <c r="N992" s="7">
        <f>'1 datos preparados'!M985</f>
        <v/>
      </c>
      <c r="O992" s="7">
        <f>'1 datos preparados'!N985</f>
        <v/>
      </c>
      <c r="P992" s="7">
        <f>'1 datos preparados'!O985</f>
        <v/>
      </c>
      <c r="Q992" s="7">
        <f>'1 datos preparados'!P985</f>
        <v/>
      </c>
      <c r="R992" s="7">
        <f>'1 datos preparados'!Q985</f>
        <v/>
      </c>
      <c r="S992" s="7">
        <f>'1 datos preparados'!R985</f>
        <v/>
      </c>
      <c r="T992" s="7">
        <f>'1 datos preparados'!S985</f>
        <v/>
      </c>
      <c r="U992" s="7">
        <f>'1 datos preparados'!T985</f>
        <v/>
      </c>
      <c r="V992" s="8">
        <f>$AC$12+D992*$AC$13+E992*$AC$14+F992*$AC$15+G992*$AC$16+H992*$AC$17+I992*$AC$18+J992*$AC$19+K992*$AC$20+L992*$AC$21+M992*$AC$22+N992*$AC$23+O992*$AC$24+P992*$AC$25+Q992*$AC$26+R992*$AC$27+S992*$AC$28+T992*$AC$29+U992*$AC$30</f>
        <v/>
      </c>
      <c r="W992" s="8">
        <f>1/(1+EXP(-V992))</f>
        <v/>
      </c>
      <c r="X992" s="9">
        <f>-IF(C992=1,LN(W992),LN(1-W992))</f>
        <v/>
      </c>
      <c r="Y992" s="10">
        <f>IF(W992&gt;$AC$33,1,0)</f>
        <v/>
      </c>
      <c r="Z992">
        <f>IF(Y992=C992,1,0)</f>
        <v/>
      </c>
    </row>
    <row r="993">
      <c r="A993">
        <f>'1 datos preparados'!A986</f>
        <v/>
      </c>
      <c r="B993" s="5">
        <f>'1 datos preparados'!U986</f>
        <v/>
      </c>
      <c r="C993">
        <f>'1 datos preparados'!B986</f>
        <v/>
      </c>
      <c r="D993" s="7">
        <f>'1 datos preparados'!C986</f>
        <v/>
      </c>
      <c r="E993" s="7">
        <f>'1 datos preparados'!D986</f>
        <v/>
      </c>
      <c r="F993" s="7">
        <f>'1 datos preparados'!E986</f>
        <v/>
      </c>
      <c r="G993" s="7">
        <f>'1 datos preparados'!F986</f>
        <v/>
      </c>
      <c r="H993" s="7">
        <f>'1 datos preparados'!G986</f>
        <v/>
      </c>
      <c r="I993" s="7">
        <f>'1 datos preparados'!H986</f>
        <v/>
      </c>
      <c r="J993" s="7">
        <f>'1 datos preparados'!I986</f>
        <v/>
      </c>
      <c r="K993" s="7">
        <f>'1 datos preparados'!J986</f>
        <v/>
      </c>
      <c r="L993" s="7">
        <f>'1 datos preparados'!K986</f>
        <v/>
      </c>
      <c r="M993" s="7">
        <f>'1 datos preparados'!L986</f>
        <v/>
      </c>
      <c r="N993" s="7">
        <f>'1 datos preparados'!M986</f>
        <v/>
      </c>
      <c r="O993" s="7">
        <f>'1 datos preparados'!N986</f>
        <v/>
      </c>
      <c r="P993" s="7">
        <f>'1 datos preparados'!O986</f>
        <v/>
      </c>
      <c r="Q993" s="7">
        <f>'1 datos preparados'!P986</f>
        <v/>
      </c>
      <c r="R993" s="7">
        <f>'1 datos preparados'!Q986</f>
        <v/>
      </c>
      <c r="S993" s="7">
        <f>'1 datos preparados'!R986</f>
        <v/>
      </c>
      <c r="T993" s="7">
        <f>'1 datos preparados'!S986</f>
        <v/>
      </c>
      <c r="U993" s="7">
        <f>'1 datos preparados'!T986</f>
        <v/>
      </c>
      <c r="V993" s="8">
        <f>$AC$12+D993*$AC$13+E993*$AC$14+F993*$AC$15+G993*$AC$16+H993*$AC$17+I993*$AC$18+J993*$AC$19+K993*$AC$20+L993*$AC$21+M993*$AC$22+N993*$AC$23+O993*$AC$24+P993*$AC$25+Q993*$AC$26+R993*$AC$27+S993*$AC$28+T993*$AC$29+U993*$AC$30</f>
        <v/>
      </c>
      <c r="W993" s="8">
        <f>1/(1+EXP(-V993))</f>
        <v/>
      </c>
      <c r="X993" s="9">
        <f>-IF(C993=1,LN(W993),LN(1-W993))</f>
        <v/>
      </c>
      <c r="Y993" s="10">
        <f>IF(W993&gt;$AC$33,1,0)</f>
        <v/>
      </c>
      <c r="Z993">
        <f>IF(Y993=C993,1,0)</f>
        <v/>
      </c>
    </row>
    <row r="994">
      <c r="A994">
        <f>'1 datos preparados'!A987</f>
        <v/>
      </c>
      <c r="B994" s="5">
        <f>'1 datos preparados'!U987</f>
        <v/>
      </c>
      <c r="C994">
        <f>'1 datos preparados'!B987</f>
        <v/>
      </c>
      <c r="D994" s="7">
        <f>'1 datos preparados'!C987</f>
        <v/>
      </c>
      <c r="E994" s="7">
        <f>'1 datos preparados'!D987</f>
        <v/>
      </c>
      <c r="F994" s="7">
        <f>'1 datos preparados'!E987</f>
        <v/>
      </c>
      <c r="G994" s="7">
        <f>'1 datos preparados'!F987</f>
        <v/>
      </c>
      <c r="H994" s="7">
        <f>'1 datos preparados'!G987</f>
        <v/>
      </c>
      <c r="I994" s="7">
        <f>'1 datos preparados'!H987</f>
        <v/>
      </c>
      <c r="J994" s="7">
        <f>'1 datos preparados'!I987</f>
        <v/>
      </c>
      <c r="K994" s="7">
        <f>'1 datos preparados'!J987</f>
        <v/>
      </c>
      <c r="L994" s="7">
        <f>'1 datos preparados'!K987</f>
        <v/>
      </c>
      <c r="M994" s="7">
        <f>'1 datos preparados'!L987</f>
        <v/>
      </c>
      <c r="N994" s="7">
        <f>'1 datos preparados'!M987</f>
        <v/>
      </c>
      <c r="O994" s="7">
        <f>'1 datos preparados'!N987</f>
        <v/>
      </c>
      <c r="P994" s="7">
        <f>'1 datos preparados'!O987</f>
        <v/>
      </c>
      <c r="Q994" s="7">
        <f>'1 datos preparados'!P987</f>
        <v/>
      </c>
      <c r="R994" s="7">
        <f>'1 datos preparados'!Q987</f>
        <v/>
      </c>
      <c r="S994" s="7">
        <f>'1 datos preparados'!R987</f>
        <v/>
      </c>
      <c r="T994" s="7">
        <f>'1 datos preparados'!S987</f>
        <v/>
      </c>
      <c r="U994" s="7">
        <f>'1 datos preparados'!T987</f>
        <v/>
      </c>
      <c r="V994" s="8">
        <f>$AC$12+D994*$AC$13+E994*$AC$14+F994*$AC$15+G994*$AC$16+H994*$AC$17+I994*$AC$18+J994*$AC$19+K994*$AC$20+L994*$AC$21+M994*$AC$22+N994*$AC$23+O994*$AC$24+P994*$AC$25+Q994*$AC$26+R994*$AC$27+S994*$AC$28+T994*$AC$29+U994*$AC$30</f>
        <v/>
      </c>
      <c r="W994" s="8">
        <f>1/(1+EXP(-V994))</f>
        <v/>
      </c>
      <c r="X994" s="9">
        <f>-IF(C994=1,LN(W994),LN(1-W994))</f>
        <v/>
      </c>
      <c r="Y994" s="10">
        <f>IF(W994&gt;$AC$33,1,0)</f>
        <v/>
      </c>
      <c r="Z994">
        <f>IF(Y994=C994,1,0)</f>
        <v/>
      </c>
    </row>
    <row r="995">
      <c r="A995">
        <f>'1 datos preparados'!A988</f>
        <v/>
      </c>
      <c r="B995" s="5">
        <f>'1 datos preparados'!U988</f>
        <v/>
      </c>
      <c r="C995">
        <f>'1 datos preparados'!B988</f>
        <v/>
      </c>
      <c r="D995" s="7">
        <f>'1 datos preparados'!C988</f>
        <v/>
      </c>
      <c r="E995" s="7">
        <f>'1 datos preparados'!D988</f>
        <v/>
      </c>
      <c r="F995" s="7">
        <f>'1 datos preparados'!E988</f>
        <v/>
      </c>
      <c r="G995" s="7">
        <f>'1 datos preparados'!F988</f>
        <v/>
      </c>
      <c r="H995" s="7">
        <f>'1 datos preparados'!G988</f>
        <v/>
      </c>
      <c r="I995" s="7">
        <f>'1 datos preparados'!H988</f>
        <v/>
      </c>
      <c r="J995" s="7">
        <f>'1 datos preparados'!I988</f>
        <v/>
      </c>
      <c r="K995" s="7">
        <f>'1 datos preparados'!J988</f>
        <v/>
      </c>
      <c r="L995" s="7">
        <f>'1 datos preparados'!K988</f>
        <v/>
      </c>
      <c r="M995" s="7">
        <f>'1 datos preparados'!L988</f>
        <v/>
      </c>
      <c r="N995" s="7">
        <f>'1 datos preparados'!M988</f>
        <v/>
      </c>
      <c r="O995" s="7">
        <f>'1 datos preparados'!N988</f>
        <v/>
      </c>
      <c r="P995" s="7">
        <f>'1 datos preparados'!O988</f>
        <v/>
      </c>
      <c r="Q995" s="7">
        <f>'1 datos preparados'!P988</f>
        <v/>
      </c>
      <c r="R995" s="7">
        <f>'1 datos preparados'!Q988</f>
        <v/>
      </c>
      <c r="S995" s="7">
        <f>'1 datos preparados'!R988</f>
        <v/>
      </c>
      <c r="T995" s="7">
        <f>'1 datos preparados'!S988</f>
        <v/>
      </c>
      <c r="U995" s="7">
        <f>'1 datos preparados'!T988</f>
        <v/>
      </c>
      <c r="V995" s="8">
        <f>$AC$12+D995*$AC$13+E995*$AC$14+F995*$AC$15+G995*$AC$16+H995*$AC$17+I995*$AC$18+J995*$AC$19+K995*$AC$20+L995*$AC$21+M995*$AC$22+N995*$AC$23+O995*$AC$24+P995*$AC$25+Q995*$AC$26+R995*$AC$27+S995*$AC$28+T995*$AC$29+U995*$AC$30</f>
        <v/>
      </c>
      <c r="W995" s="8">
        <f>1/(1+EXP(-V995))</f>
        <v/>
      </c>
      <c r="X995" s="9">
        <f>-IF(C995=1,LN(W995),LN(1-W995))</f>
        <v/>
      </c>
      <c r="Y995" s="10">
        <f>IF(W995&gt;$AC$33,1,0)</f>
        <v/>
      </c>
      <c r="Z995">
        <f>IF(Y995=C995,1,0)</f>
        <v/>
      </c>
    </row>
    <row r="996">
      <c r="A996">
        <f>'1 datos preparados'!A989</f>
        <v/>
      </c>
      <c r="B996" s="5">
        <f>'1 datos preparados'!U989</f>
        <v/>
      </c>
      <c r="C996">
        <f>'1 datos preparados'!B989</f>
        <v/>
      </c>
      <c r="D996" s="7">
        <f>'1 datos preparados'!C989</f>
        <v/>
      </c>
      <c r="E996" s="7">
        <f>'1 datos preparados'!D989</f>
        <v/>
      </c>
      <c r="F996" s="7">
        <f>'1 datos preparados'!E989</f>
        <v/>
      </c>
      <c r="G996" s="7">
        <f>'1 datos preparados'!F989</f>
        <v/>
      </c>
      <c r="H996" s="7">
        <f>'1 datos preparados'!G989</f>
        <v/>
      </c>
      <c r="I996" s="7">
        <f>'1 datos preparados'!H989</f>
        <v/>
      </c>
      <c r="J996" s="7">
        <f>'1 datos preparados'!I989</f>
        <v/>
      </c>
      <c r="K996" s="7">
        <f>'1 datos preparados'!J989</f>
        <v/>
      </c>
      <c r="L996" s="7">
        <f>'1 datos preparados'!K989</f>
        <v/>
      </c>
      <c r="M996" s="7">
        <f>'1 datos preparados'!L989</f>
        <v/>
      </c>
      <c r="N996" s="7">
        <f>'1 datos preparados'!M989</f>
        <v/>
      </c>
      <c r="O996" s="7">
        <f>'1 datos preparados'!N989</f>
        <v/>
      </c>
      <c r="P996" s="7">
        <f>'1 datos preparados'!O989</f>
        <v/>
      </c>
      <c r="Q996" s="7">
        <f>'1 datos preparados'!P989</f>
        <v/>
      </c>
      <c r="R996" s="7">
        <f>'1 datos preparados'!Q989</f>
        <v/>
      </c>
      <c r="S996" s="7">
        <f>'1 datos preparados'!R989</f>
        <v/>
      </c>
      <c r="T996" s="7">
        <f>'1 datos preparados'!S989</f>
        <v/>
      </c>
      <c r="U996" s="7">
        <f>'1 datos preparados'!T989</f>
        <v/>
      </c>
      <c r="V996" s="8">
        <f>$AC$12+D996*$AC$13+E996*$AC$14+F996*$AC$15+G996*$AC$16+H996*$AC$17+I996*$AC$18+J996*$AC$19+K996*$AC$20+L996*$AC$21+M996*$AC$22+N996*$AC$23+O996*$AC$24+P996*$AC$25+Q996*$AC$26+R996*$AC$27+S996*$AC$28+T996*$AC$29+U996*$AC$30</f>
        <v/>
      </c>
      <c r="W996" s="8">
        <f>1/(1+EXP(-V996))</f>
        <v/>
      </c>
      <c r="X996" s="9">
        <f>-IF(C996=1,LN(W996),LN(1-W996))</f>
        <v/>
      </c>
      <c r="Y996" s="10">
        <f>IF(W996&gt;$AC$33,1,0)</f>
        <v/>
      </c>
      <c r="Z996">
        <f>IF(Y996=C996,1,0)</f>
        <v/>
      </c>
    </row>
    <row r="997">
      <c r="A997">
        <f>'1 datos preparados'!A990</f>
        <v/>
      </c>
      <c r="B997" s="5">
        <f>'1 datos preparados'!U990</f>
        <v/>
      </c>
      <c r="C997">
        <f>'1 datos preparados'!B990</f>
        <v/>
      </c>
      <c r="D997" s="7">
        <f>'1 datos preparados'!C990</f>
        <v/>
      </c>
      <c r="E997" s="7">
        <f>'1 datos preparados'!D990</f>
        <v/>
      </c>
      <c r="F997" s="7">
        <f>'1 datos preparados'!E990</f>
        <v/>
      </c>
      <c r="G997" s="7">
        <f>'1 datos preparados'!F990</f>
        <v/>
      </c>
      <c r="H997" s="7">
        <f>'1 datos preparados'!G990</f>
        <v/>
      </c>
      <c r="I997" s="7">
        <f>'1 datos preparados'!H990</f>
        <v/>
      </c>
      <c r="J997" s="7">
        <f>'1 datos preparados'!I990</f>
        <v/>
      </c>
      <c r="K997" s="7">
        <f>'1 datos preparados'!J990</f>
        <v/>
      </c>
      <c r="L997" s="7">
        <f>'1 datos preparados'!K990</f>
        <v/>
      </c>
      <c r="M997" s="7">
        <f>'1 datos preparados'!L990</f>
        <v/>
      </c>
      <c r="N997" s="7">
        <f>'1 datos preparados'!M990</f>
        <v/>
      </c>
      <c r="O997" s="7">
        <f>'1 datos preparados'!N990</f>
        <v/>
      </c>
      <c r="P997" s="7">
        <f>'1 datos preparados'!O990</f>
        <v/>
      </c>
      <c r="Q997" s="7">
        <f>'1 datos preparados'!P990</f>
        <v/>
      </c>
      <c r="R997" s="7">
        <f>'1 datos preparados'!Q990</f>
        <v/>
      </c>
      <c r="S997" s="7">
        <f>'1 datos preparados'!R990</f>
        <v/>
      </c>
      <c r="T997" s="7">
        <f>'1 datos preparados'!S990</f>
        <v/>
      </c>
      <c r="U997" s="7">
        <f>'1 datos preparados'!T990</f>
        <v/>
      </c>
      <c r="V997" s="8">
        <f>$AC$12+D997*$AC$13+E997*$AC$14+F997*$AC$15+G997*$AC$16+H997*$AC$17+I997*$AC$18+J997*$AC$19+K997*$AC$20+L997*$AC$21+M997*$AC$22+N997*$AC$23+O997*$AC$24+P997*$AC$25+Q997*$AC$26+R997*$AC$27+S997*$AC$28+T997*$AC$29+U997*$AC$30</f>
        <v/>
      </c>
      <c r="W997" s="8">
        <f>1/(1+EXP(-V997))</f>
        <v/>
      </c>
      <c r="X997" s="9">
        <f>-IF(C997=1,LN(W997),LN(1-W997))</f>
        <v/>
      </c>
      <c r="Y997" s="10">
        <f>IF(W997&gt;$AC$33,1,0)</f>
        <v/>
      </c>
      <c r="Z997">
        <f>IF(Y997=C997,1,0)</f>
        <v/>
      </c>
    </row>
    <row r="998">
      <c r="A998">
        <f>'1 datos preparados'!A991</f>
        <v/>
      </c>
      <c r="B998" s="5">
        <f>'1 datos preparados'!U991</f>
        <v/>
      </c>
      <c r="C998">
        <f>'1 datos preparados'!B991</f>
        <v/>
      </c>
      <c r="D998" s="7">
        <f>'1 datos preparados'!C991</f>
        <v/>
      </c>
      <c r="E998" s="7">
        <f>'1 datos preparados'!D991</f>
        <v/>
      </c>
      <c r="F998" s="7">
        <f>'1 datos preparados'!E991</f>
        <v/>
      </c>
      <c r="G998" s="7">
        <f>'1 datos preparados'!F991</f>
        <v/>
      </c>
      <c r="H998" s="7">
        <f>'1 datos preparados'!G991</f>
        <v/>
      </c>
      <c r="I998" s="7">
        <f>'1 datos preparados'!H991</f>
        <v/>
      </c>
      <c r="J998" s="7">
        <f>'1 datos preparados'!I991</f>
        <v/>
      </c>
      <c r="K998" s="7">
        <f>'1 datos preparados'!J991</f>
        <v/>
      </c>
      <c r="L998" s="7">
        <f>'1 datos preparados'!K991</f>
        <v/>
      </c>
      <c r="M998" s="7">
        <f>'1 datos preparados'!L991</f>
        <v/>
      </c>
      <c r="N998" s="7">
        <f>'1 datos preparados'!M991</f>
        <v/>
      </c>
      <c r="O998" s="7">
        <f>'1 datos preparados'!N991</f>
        <v/>
      </c>
      <c r="P998" s="7">
        <f>'1 datos preparados'!O991</f>
        <v/>
      </c>
      <c r="Q998" s="7">
        <f>'1 datos preparados'!P991</f>
        <v/>
      </c>
      <c r="R998" s="7">
        <f>'1 datos preparados'!Q991</f>
        <v/>
      </c>
      <c r="S998" s="7">
        <f>'1 datos preparados'!R991</f>
        <v/>
      </c>
      <c r="T998" s="7">
        <f>'1 datos preparados'!S991</f>
        <v/>
      </c>
      <c r="U998" s="7">
        <f>'1 datos preparados'!T991</f>
        <v/>
      </c>
      <c r="V998" s="8">
        <f>$AC$12+D998*$AC$13+E998*$AC$14+F998*$AC$15+G998*$AC$16+H998*$AC$17+I998*$AC$18+J998*$AC$19+K998*$AC$20+L998*$AC$21+M998*$AC$22+N998*$AC$23+O998*$AC$24+P998*$AC$25+Q998*$AC$26+R998*$AC$27+S998*$AC$28+T998*$AC$29+U998*$AC$30</f>
        <v/>
      </c>
      <c r="W998" s="8">
        <f>1/(1+EXP(-V998))</f>
        <v/>
      </c>
      <c r="X998" s="9">
        <f>-IF(C998=1,LN(W998),LN(1-W998))</f>
        <v/>
      </c>
      <c r="Y998" s="10">
        <f>IF(W998&gt;$AC$33,1,0)</f>
        <v/>
      </c>
      <c r="Z998">
        <f>IF(Y998=C998,1,0)</f>
        <v/>
      </c>
    </row>
    <row r="999">
      <c r="A999">
        <f>'1 datos preparados'!A992</f>
        <v/>
      </c>
      <c r="B999" s="5">
        <f>'1 datos preparados'!U992</f>
        <v/>
      </c>
      <c r="C999">
        <f>'1 datos preparados'!B992</f>
        <v/>
      </c>
      <c r="D999" s="7">
        <f>'1 datos preparados'!C992</f>
        <v/>
      </c>
      <c r="E999" s="7">
        <f>'1 datos preparados'!D992</f>
        <v/>
      </c>
      <c r="F999" s="7">
        <f>'1 datos preparados'!E992</f>
        <v/>
      </c>
      <c r="G999" s="7">
        <f>'1 datos preparados'!F992</f>
        <v/>
      </c>
      <c r="H999" s="7">
        <f>'1 datos preparados'!G992</f>
        <v/>
      </c>
      <c r="I999" s="7">
        <f>'1 datos preparados'!H992</f>
        <v/>
      </c>
      <c r="J999" s="7">
        <f>'1 datos preparados'!I992</f>
        <v/>
      </c>
      <c r="K999" s="7">
        <f>'1 datos preparados'!J992</f>
        <v/>
      </c>
      <c r="L999" s="7">
        <f>'1 datos preparados'!K992</f>
        <v/>
      </c>
      <c r="M999" s="7">
        <f>'1 datos preparados'!L992</f>
        <v/>
      </c>
      <c r="N999" s="7">
        <f>'1 datos preparados'!M992</f>
        <v/>
      </c>
      <c r="O999" s="7">
        <f>'1 datos preparados'!N992</f>
        <v/>
      </c>
      <c r="P999" s="7">
        <f>'1 datos preparados'!O992</f>
        <v/>
      </c>
      <c r="Q999" s="7">
        <f>'1 datos preparados'!P992</f>
        <v/>
      </c>
      <c r="R999" s="7">
        <f>'1 datos preparados'!Q992</f>
        <v/>
      </c>
      <c r="S999" s="7">
        <f>'1 datos preparados'!R992</f>
        <v/>
      </c>
      <c r="T999" s="7">
        <f>'1 datos preparados'!S992</f>
        <v/>
      </c>
      <c r="U999" s="7">
        <f>'1 datos preparados'!T992</f>
        <v/>
      </c>
      <c r="V999" s="8">
        <f>$AC$12+D999*$AC$13+E999*$AC$14+F999*$AC$15+G999*$AC$16+H999*$AC$17+I999*$AC$18+J999*$AC$19+K999*$AC$20+L999*$AC$21+M999*$AC$22+N999*$AC$23+O999*$AC$24+P999*$AC$25+Q999*$AC$26+R999*$AC$27+S999*$AC$28+T999*$AC$29+U999*$AC$30</f>
        <v/>
      </c>
      <c r="W999" s="8">
        <f>1/(1+EXP(-V999))</f>
        <v/>
      </c>
      <c r="X999" s="9">
        <f>-IF(C999=1,LN(W999),LN(1-W999))</f>
        <v/>
      </c>
      <c r="Y999" s="10">
        <f>IF(W999&gt;$AC$33,1,0)</f>
        <v/>
      </c>
      <c r="Z999">
        <f>IF(Y999=C999,1,0)</f>
        <v/>
      </c>
    </row>
    <row r="1000">
      <c r="A1000">
        <f>'1 datos preparados'!A993</f>
        <v/>
      </c>
      <c r="B1000" s="5">
        <f>'1 datos preparados'!U993</f>
        <v/>
      </c>
      <c r="C1000">
        <f>'1 datos preparados'!B993</f>
        <v/>
      </c>
      <c r="D1000" s="7">
        <f>'1 datos preparados'!C993</f>
        <v/>
      </c>
      <c r="E1000" s="7">
        <f>'1 datos preparados'!D993</f>
        <v/>
      </c>
      <c r="F1000" s="7">
        <f>'1 datos preparados'!E993</f>
        <v/>
      </c>
      <c r="G1000" s="7">
        <f>'1 datos preparados'!F993</f>
        <v/>
      </c>
      <c r="H1000" s="7">
        <f>'1 datos preparados'!G993</f>
        <v/>
      </c>
      <c r="I1000" s="7">
        <f>'1 datos preparados'!H993</f>
        <v/>
      </c>
      <c r="J1000" s="7">
        <f>'1 datos preparados'!I993</f>
        <v/>
      </c>
      <c r="K1000" s="7">
        <f>'1 datos preparados'!J993</f>
        <v/>
      </c>
      <c r="L1000" s="7">
        <f>'1 datos preparados'!K993</f>
        <v/>
      </c>
      <c r="M1000" s="7">
        <f>'1 datos preparados'!L993</f>
        <v/>
      </c>
      <c r="N1000" s="7">
        <f>'1 datos preparados'!M993</f>
        <v/>
      </c>
      <c r="O1000" s="7">
        <f>'1 datos preparados'!N993</f>
        <v/>
      </c>
      <c r="P1000" s="7">
        <f>'1 datos preparados'!O993</f>
        <v/>
      </c>
      <c r="Q1000" s="7">
        <f>'1 datos preparados'!P993</f>
        <v/>
      </c>
      <c r="R1000" s="7">
        <f>'1 datos preparados'!Q993</f>
        <v/>
      </c>
      <c r="S1000" s="7">
        <f>'1 datos preparados'!R993</f>
        <v/>
      </c>
      <c r="T1000" s="7">
        <f>'1 datos preparados'!S993</f>
        <v/>
      </c>
      <c r="U1000" s="7">
        <f>'1 datos preparados'!T993</f>
        <v/>
      </c>
      <c r="V1000" s="8">
        <f>$AC$12+D1000*$AC$13+E1000*$AC$14+F1000*$AC$15+G1000*$AC$16+H1000*$AC$17+I1000*$AC$18+J1000*$AC$19+K1000*$AC$20+L1000*$AC$21+M1000*$AC$22+N1000*$AC$23+O1000*$AC$24+P1000*$AC$25+Q1000*$AC$26+R1000*$AC$27+S1000*$AC$28+T1000*$AC$29+U1000*$AC$30</f>
        <v/>
      </c>
      <c r="W1000" s="8">
        <f>1/(1+EXP(-V1000))</f>
        <v/>
      </c>
      <c r="X1000" s="9">
        <f>-IF(C1000=1,LN(W1000),LN(1-W1000))</f>
        <v/>
      </c>
      <c r="Y1000" s="10">
        <f>IF(W1000&gt;$AC$33,1,0)</f>
        <v/>
      </c>
      <c r="Z1000">
        <f>IF(Y1000=C1000,1,0)</f>
        <v/>
      </c>
    </row>
    <row r="1001">
      <c r="A1001">
        <f>'1 datos preparados'!A994</f>
        <v/>
      </c>
      <c r="B1001" s="5">
        <f>'1 datos preparados'!U994</f>
        <v/>
      </c>
      <c r="C1001">
        <f>'1 datos preparados'!B994</f>
        <v/>
      </c>
      <c r="D1001" s="7">
        <f>'1 datos preparados'!C994</f>
        <v/>
      </c>
      <c r="E1001" s="7">
        <f>'1 datos preparados'!D994</f>
        <v/>
      </c>
      <c r="F1001" s="7">
        <f>'1 datos preparados'!E994</f>
        <v/>
      </c>
      <c r="G1001" s="7">
        <f>'1 datos preparados'!F994</f>
        <v/>
      </c>
      <c r="H1001" s="7">
        <f>'1 datos preparados'!G994</f>
        <v/>
      </c>
      <c r="I1001" s="7">
        <f>'1 datos preparados'!H994</f>
        <v/>
      </c>
      <c r="J1001" s="7">
        <f>'1 datos preparados'!I994</f>
        <v/>
      </c>
      <c r="K1001" s="7">
        <f>'1 datos preparados'!J994</f>
        <v/>
      </c>
      <c r="L1001" s="7">
        <f>'1 datos preparados'!K994</f>
        <v/>
      </c>
      <c r="M1001" s="7">
        <f>'1 datos preparados'!L994</f>
        <v/>
      </c>
      <c r="N1001" s="7">
        <f>'1 datos preparados'!M994</f>
        <v/>
      </c>
      <c r="O1001" s="7">
        <f>'1 datos preparados'!N994</f>
        <v/>
      </c>
      <c r="P1001" s="7">
        <f>'1 datos preparados'!O994</f>
        <v/>
      </c>
      <c r="Q1001" s="7">
        <f>'1 datos preparados'!P994</f>
        <v/>
      </c>
      <c r="R1001" s="7">
        <f>'1 datos preparados'!Q994</f>
        <v/>
      </c>
      <c r="S1001" s="7">
        <f>'1 datos preparados'!R994</f>
        <v/>
      </c>
      <c r="T1001" s="7">
        <f>'1 datos preparados'!S994</f>
        <v/>
      </c>
      <c r="U1001" s="7">
        <f>'1 datos preparados'!T994</f>
        <v/>
      </c>
      <c r="V1001" s="8">
        <f>$AC$12+D1001*$AC$13+E1001*$AC$14+F1001*$AC$15+G1001*$AC$16+H1001*$AC$17+I1001*$AC$18+J1001*$AC$19+K1001*$AC$20+L1001*$AC$21+M1001*$AC$22+N1001*$AC$23+O1001*$AC$24+P1001*$AC$25+Q1001*$AC$26+R1001*$AC$27+S1001*$AC$28+T1001*$AC$29+U1001*$AC$30</f>
        <v/>
      </c>
      <c r="W1001" s="8">
        <f>1/(1+EXP(-V1001))</f>
        <v/>
      </c>
      <c r="X1001" s="9">
        <f>-IF(C1001=1,LN(W1001),LN(1-W1001))</f>
        <v/>
      </c>
      <c r="Y1001" s="10">
        <f>IF(W1001&gt;$AC$33,1,0)</f>
        <v/>
      </c>
      <c r="Z1001">
        <f>IF(Y1001=C1001,1,0)</f>
        <v/>
      </c>
    </row>
    <row r="1002">
      <c r="A1002">
        <f>'1 datos preparados'!A995</f>
        <v/>
      </c>
      <c r="B1002" s="5">
        <f>'1 datos preparados'!U995</f>
        <v/>
      </c>
      <c r="C1002">
        <f>'1 datos preparados'!B995</f>
        <v/>
      </c>
      <c r="D1002" s="7">
        <f>'1 datos preparados'!C995</f>
        <v/>
      </c>
      <c r="E1002" s="7">
        <f>'1 datos preparados'!D995</f>
        <v/>
      </c>
      <c r="F1002" s="7">
        <f>'1 datos preparados'!E995</f>
        <v/>
      </c>
      <c r="G1002" s="7">
        <f>'1 datos preparados'!F995</f>
        <v/>
      </c>
      <c r="H1002" s="7">
        <f>'1 datos preparados'!G995</f>
        <v/>
      </c>
      <c r="I1002" s="7">
        <f>'1 datos preparados'!H995</f>
        <v/>
      </c>
      <c r="J1002" s="7">
        <f>'1 datos preparados'!I995</f>
        <v/>
      </c>
      <c r="K1002" s="7">
        <f>'1 datos preparados'!J995</f>
        <v/>
      </c>
      <c r="L1002" s="7">
        <f>'1 datos preparados'!K995</f>
        <v/>
      </c>
      <c r="M1002" s="7">
        <f>'1 datos preparados'!L995</f>
        <v/>
      </c>
      <c r="N1002" s="7">
        <f>'1 datos preparados'!M995</f>
        <v/>
      </c>
      <c r="O1002" s="7">
        <f>'1 datos preparados'!N995</f>
        <v/>
      </c>
      <c r="P1002" s="7">
        <f>'1 datos preparados'!O995</f>
        <v/>
      </c>
      <c r="Q1002" s="7">
        <f>'1 datos preparados'!P995</f>
        <v/>
      </c>
      <c r="R1002" s="7">
        <f>'1 datos preparados'!Q995</f>
        <v/>
      </c>
      <c r="S1002" s="7">
        <f>'1 datos preparados'!R995</f>
        <v/>
      </c>
      <c r="T1002" s="7">
        <f>'1 datos preparados'!S995</f>
        <v/>
      </c>
      <c r="U1002" s="7">
        <f>'1 datos preparados'!T995</f>
        <v/>
      </c>
      <c r="V1002" s="8">
        <f>$AC$12+D1002*$AC$13+E1002*$AC$14+F1002*$AC$15+G1002*$AC$16+H1002*$AC$17+I1002*$AC$18+J1002*$AC$19+K1002*$AC$20+L1002*$AC$21+M1002*$AC$22+N1002*$AC$23+O1002*$AC$24+P1002*$AC$25+Q1002*$AC$26+R1002*$AC$27+S1002*$AC$28+T1002*$AC$29+U1002*$AC$30</f>
        <v/>
      </c>
      <c r="W1002" s="8">
        <f>1/(1+EXP(-V1002))</f>
        <v/>
      </c>
      <c r="X1002" s="9">
        <f>-IF(C1002=1,LN(W1002),LN(1-W1002))</f>
        <v/>
      </c>
      <c r="Y1002" s="10">
        <f>IF(W1002&gt;$AC$33,1,0)</f>
        <v/>
      </c>
      <c r="Z1002">
        <f>IF(Y1002=C1002,1,0)</f>
        <v/>
      </c>
    </row>
    <row r="1003">
      <c r="A1003">
        <f>'1 datos preparados'!A996</f>
        <v/>
      </c>
      <c r="B1003" s="5">
        <f>'1 datos preparados'!U996</f>
        <v/>
      </c>
      <c r="C1003">
        <f>'1 datos preparados'!B996</f>
        <v/>
      </c>
      <c r="D1003" s="7">
        <f>'1 datos preparados'!C996</f>
        <v/>
      </c>
      <c r="E1003" s="7">
        <f>'1 datos preparados'!D996</f>
        <v/>
      </c>
      <c r="F1003" s="7">
        <f>'1 datos preparados'!E996</f>
        <v/>
      </c>
      <c r="G1003" s="7">
        <f>'1 datos preparados'!F996</f>
        <v/>
      </c>
      <c r="H1003" s="7">
        <f>'1 datos preparados'!G996</f>
        <v/>
      </c>
      <c r="I1003" s="7">
        <f>'1 datos preparados'!H996</f>
        <v/>
      </c>
      <c r="J1003" s="7">
        <f>'1 datos preparados'!I996</f>
        <v/>
      </c>
      <c r="K1003" s="7">
        <f>'1 datos preparados'!J996</f>
        <v/>
      </c>
      <c r="L1003" s="7">
        <f>'1 datos preparados'!K996</f>
        <v/>
      </c>
      <c r="M1003" s="7">
        <f>'1 datos preparados'!L996</f>
        <v/>
      </c>
      <c r="N1003" s="7">
        <f>'1 datos preparados'!M996</f>
        <v/>
      </c>
      <c r="O1003" s="7">
        <f>'1 datos preparados'!N996</f>
        <v/>
      </c>
      <c r="P1003" s="7">
        <f>'1 datos preparados'!O996</f>
        <v/>
      </c>
      <c r="Q1003" s="7">
        <f>'1 datos preparados'!P996</f>
        <v/>
      </c>
      <c r="R1003" s="7">
        <f>'1 datos preparados'!Q996</f>
        <v/>
      </c>
      <c r="S1003" s="7">
        <f>'1 datos preparados'!R996</f>
        <v/>
      </c>
      <c r="T1003" s="7">
        <f>'1 datos preparados'!S996</f>
        <v/>
      </c>
      <c r="U1003" s="7">
        <f>'1 datos preparados'!T996</f>
        <v/>
      </c>
      <c r="V1003" s="8">
        <f>$AC$12+D1003*$AC$13+E1003*$AC$14+F1003*$AC$15+G1003*$AC$16+H1003*$AC$17+I1003*$AC$18+J1003*$AC$19+K1003*$AC$20+L1003*$AC$21+M1003*$AC$22+N1003*$AC$23+O1003*$AC$24+P1003*$AC$25+Q1003*$AC$26+R1003*$AC$27+S1003*$AC$28+T1003*$AC$29+U1003*$AC$30</f>
        <v/>
      </c>
      <c r="W1003" s="8">
        <f>1/(1+EXP(-V1003))</f>
        <v/>
      </c>
      <c r="X1003" s="9">
        <f>-IF(C1003=1,LN(W1003),LN(1-W1003))</f>
        <v/>
      </c>
      <c r="Y1003" s="10">
        <f>IF(W1003&gt;$AC$33,1,0)</f>
        <v/>
      </c>
      <c r="Z1003">
        <f>IF(Y1003=C1003,1,0)</f>
        <v/>
      </c>
    </row>
    <row r="1004">
      <c r="A1004">
        <f>'1 datos preparados'!A997</f>
        <v/>
      </c>
      <c r="B1004" s="5">
        <f>'1 datos preparados'!U997</f>
        <v/>
      </c>
      <c r="C1004">
        <f>'1 datos preparados'!B997</f>
        <v/>
      </c>
      <c r="D1004" s="7">
        <f>'1 datos preparados'!C997</f>
        <v/>
      </c>
      <c r="E1004" s="7">
        <f>'1 datos preparados'!D997</f>
        <v/>
      </c>
      <c r="F1004" s="7">
        <f>'1 datos preparados'!E997</f>
        <v/>
      </c>
      <c r="G1004" s="7">
        <f>'1 datos preparados'!F997</f>
        <v/>
      </c>
      <c r="H1004" s="7">
        <f>'1 datos preparados'!G997</f>
        <v/>
      </c>
      <c r="I1004" s="7">
        <f>'1 datos preparados'!H997</f>
        <v/>
      </c>
      <c r="J1004" s="7">
        <f>'1 datos preparados'!I997</f>
        <v/>
      </c>
      <c r="K1004" s="7">
        <f>'1 datos preparados'!J997</f>
        <v/>
      </c>
      <c r="L1004" s="7">
        <f>'1 datos preparados'!K997</f>
        <v/>
      </c>
      <c r="M1004" s="7">
        <f>'1 datos preparados'!L997</f>
        <v/>
      </c>
      <c r="N1004" s="7">
        <f>'1 datos preparados'!M997</f>
        <v/>
      </c>
      <c r="O1004" s="7">
        <f>'1 datos preparados'!N997</f>
        <v/>
      </c>
      <c r="P1004" s="7">
        <f>'1 datos preparados'!O997</f>
        <v/>
      </c>
      <c r="Q1004" s="7">
        <f>'1 datos preparados'!P997</f>
        <v/>
      </c>
      <c r="R1004" s="7">
        <f>'1 datos preparados'!Q997</f>
        <v/>
      </c>
      <c r="S1004" s="7">
        <f>'1 datos preparados'!R997</f>
        <v/>
      </c>
      <c r="T1004" s="7">
        <f>'1 datos preparados'!S997</f>
        <v/>
      </c>
      <c r="U1004" s="7">
        <f>'1 datos preparados'!T997</f>
        <v/>
      </c>
      <c r="V1004" s="8">
        <f>$AC$12+D1004*$AC$13+E1004*$AC$14+F1004*$AC$15+G1004*$AC$16+H1004*$AC$17+I1004*$AC$18+J1004*$AC$19+K1004*$AC$20+L1004*$AC$21+M1004*$AC$22+N1004*$AC$23+O1004*$AC$24+P1004*$AC$25+Q1004*$AC$26+R1004*$AC$27+S1004*$AC$28+T1004*$AC$29+U1004*$AC$30</f>
        <v/>
      </c>
      <c r="W1004" s="8">
        <f>1/(1+EXP(-V1004))</f>
        <v/>
      </c>
      <c r="X1004" s="9">
        <f>-IF(C1004=1,LN(W1004),LN(1-W1004))</f>
        <v/>
      </c>
      <c r="Y1004" s="10">
        <f>IF(W1004&gt;$AC$33,1,0)</f>
        <v/>
      </c>
      <c r="Z1004">
        <f>IF(Y1004=C1004,1,0)</f>
        <v/>
      </c>
    </row>
    <row r="1005">
      <c r="A1005">
        <f>'1 datos preparados'!A998</f>
        <v/>
      </c>
      <c r="B1005" s="5">
        <f>'1 datos preparados'!U998</f>
        <v/>
      </c>
      <c r="C1005">
        <f>'1 datos preparados'!B998</f>
        <v/>
      </c>
      <c r="D1005" s="7">
        <f>'1 datos preparados'!C998</f>
        <v/>
      </c>
      <c r="E1005" s="7">
        <f>'1 datos preparados'!D998</f>
        <v/>
      </c>
      <c r="F1005" s="7">
        <f>'1 datos preparados'!E998</f>
        <v/>
      </c>
      <c r="G1005" s="7">
        <f>'1 datos preparados'!F998</f>
        <v/>
      </c>
      <c r="H1005" s="7">
        <f>'1 datos preparados'!G998</f>
        <v/>
      </c>
      <c r="I1005" s="7">
        <f>'1 datos preparados'!H998</f>
        <v/>
      </c>
      <c r="J1005" s="7">
        <f>'1 datos preparados'!I998</f>
        <v/>
      </c>
      <c r="K1005" s="7">
        <f>'1 datos preparados'!J998</f>
        <v/>
      </c>
      <c r="L1005" s="7">
        <f>'1 datos preparados'!K998</f>
        <v/>
      </c>
      <c r="M1005" s="7">
        <f>'1 datos preparados'!L998</f>
        <v/>
      </c>
      <c r="N1005" s="7">
        <f>'1 datos preparados'!M998</f>
        <v/>
      </c>
      <c r="O1005" s="7">
        <f>'1 datos preparados'!N998</f>
        <v/>
      </c>
      <c r="P1005" s="7">
        <f>'1 datos preparados'!O998</f>
        <v/>
      </c>
      <c r="Q1005" s="7">
        <f>'1 datos preparados'!P998</f>
        <v/>
      </c>
      <c r="R1005" s="7">
        <f>'1 datos preparados'!Q998</f>
        <v/>
      </c>
      <c r="S1005" s="7">
        <f>'1 datos preparados'!R998</f>
        <v/>
      </c>
      <c r="T1005" s="7">
        <f>'1 datos preparados'!S998</f>
        <v/>
      </c>
      <c r="U1005" s="7">
        <f>'1 datos preparados'!T998</f>
        <v/>
      </c>
      <c r="V1005" s="8">
        <f>$AC$12+D1005*$AC$13+E1005*$AC$14+F1005*$AC$15+G1005*$AC$16+H1005*$AC$17+I1005*$AC$18+J1005*$AC$19+K1005*$AC$20+L1005*$AC$21+M1005*$AC$22+N1005*$AC$23+O1005*$AC$24+P1005*$AC$25+Q1005*$AC$26+R1005*$AC$27+S1005*$AC$28+T1005*$AC$29+U1005*$AC$30</f>
        <v/>
      </c>
      <c r="W1005" s="8">
        <f>1/(1+EXP(-V1005))</f>
        <v/>
      </c>
      <c r="X1005" s="9">
        <f>-IF(C1005=1,LN(W1005),LN(1-W1005))</f>
        <v/>
      </c>
      <c r="Y1005" s="10">
        <f>IF(W1005&gt;$AC$33,1,0)</f>
        <v/>
      </c>
      <c r="Z1005">
        <f>IF(Y1005=C1005,1,0)</f>
        <v/>
      </c>
    </row>
    <row r="1006">
      <c r="A1006">
        <f>'1 datos preparados'!A999</f>
        <v/>
      </c>
      <c r="B1006" s="5">
        <f>'1 datos preparados'!U999</f>
        <v/>
      </c>
      <c r="C1006">
        <f>'1 datos preparados'!B999</f>
        <v/>
      </c>
      <c r="D1006" s="7">
        <f>'1 datos preparados'!C999</f>
        <v/>
      </c>
      <c r="E1006" s="7">
        <f>'1 datos preparados'!D999</f>
        <v/>
      </c>
      <c r="F1006" s="7">
        <f>'1 datos preparados'!E999</f>
        <v/>
      </c>
      <c r="G1006" s="7">
        <f>'1 datos preparados'!F999</f>
        <v/>
      </c>
      <c r="H1006" s="7">
        <f>'1 datos preparados'!G999</f>
        <v/>
      </c>
      <c r="I1006" s="7">
        <f>'1 datos preparados'!H999</f>
        <v/>
      </c>
      <c r="J1006" s="7">
        <f>'1 datos preparados'!I999</f>
        <v/>
      </c>
      <c r="K1006" s="7">
        <f>'1 datos preparados'!J999</f>
        <v/>
      </c>
      <c r="L1006" s="7">
        <f>'1 datos preparados'!K999</f>
        <v/>
      </c>
      <c r="M1006" s="7">
        <f>'1 datos preparados'!L999</f>
        <v/>
      </c>
      <c r="N1006" s="7">
        <f>'1 datos preparados'!M999</f>
        <v/>
      </c>
      <c r="O1006" s="7">
        <f>'1 datos preparados'!N999</f>
        <v/>
      </c>
      <c r="P1006" s="7">
        <f>'1 datos preparados'!O999</f>
        <v/>
      </c>
      <c r="Q1006" s="7">
        <f>'1 datos preparados'!P999</f>
        <v/>
      </c>
      <c r="R1006" s="7">
        <f>'1 datos preparados'!Q999</f>
        <v/>
      </c>
      <c r="S1006" s="7">
        <f>'1 datos preparados'!R999</f>
        <v/>
      </c>
      <c r="T1006" s="7">
        <f>'1 datos preparados'!S999</f>
        <v/>
      </c>
      <c r="U1006" s="7">
        <f>'1 datos preparados'!T999</f>
        <v/>
      </c>
      <c r="V1006" s="8">
        <f>$AC$12+D1006*$AC$13+E1006*$AC$14+F1006*$AC$15+G1006*$AC$16+H1006*$AC$17+I1006*$AC$18+J1006*$AC$19+K1006*$AC$20+L1006*$AC$21+M1006*$AC$22+N1006*$AC$23+O1006*$AC$24+P1006*$AC$25+Q1006*$AC$26+R1006*$AC$27+S1006*$AC$28+T1006*$AC$29+U1006*$AC$30</f>
        <v/>
      </c>
      <c r="W1006" s="8">
        <f>1/(1+EXP(-V1006))</f>
        <v/>
      </c>
      <c r="X1006" s="9">
        <f>-IF(C1006=1,LN(W1006),LN(1-W1006))</f>
        <v/>
      </c>
      <c r="Y1006" s="10">
        <f>IF(W1006&gt;$AC$33,1,0)</f>
        <v/>
      </c>
      <c r="Z1006">
        <f>IF(Y1006=C1006,1,0)</f>
        <v/>
      </c>
    </row>
    <row r="1007">
      <c r="A1007">
        <f>'1 datos preparados'!A1000</f>
        <v/>
      </c>
      <c r="B1007" s="5">
        <f>'1 datos preparados'!U1000</f>
        <v/>
      </c>
      <c r="C1007">
        <f>'1 datos preparados'!B1000</f>
        <v/>
      </c>
      <c r="D1007" s="7">
        <f>'1 datos preparados'!C1000</f>
        <v/>
      </c>
      <c r="E1007" s="7">
        <f>'1 datos preparados'!D1000</f>
        <v/>
      </c>
      <c r="F1007" s="7">
        <f>'1 datos preparados'!E1000</f>
        <v/>
      </c>
      <c r="G1007" s="7">
        <f>'1 datos preparados'!F1000</f>
        <v/>
      </c>
      <c r="H1007" s="7">
        <f>'1 datos preparados'!G1000</f>
        <v/>
      </c>
      <c r="I1007" s="7">
        <f>'1 datos preparados'!H1000</f>
        <v/>
      </c>
      <c r="J1007" s="7">
        <f>'1 datos preparados'!I1000</f>
        <v/>
      </c>
      <c r="K1007" s="7">
        <f>'1 datos preparados'!J1000</f>
        <v/>
      </c>
      <c r="L1007" s="7">
        <f>'1 datos preparados'!K1000</f>
        <v/>
      </c>
      <c r="M1007" s="7">
        <f>'1 datos preparados'!L1000</f>
        <v/>
      </c>
      <c r="N1007" s="7">
        <f>'1 datos preparados'!M1000</f>
        <v/>
      </c>
      <c r="O1007" s="7">
        <f>'1 datos preparados'!N1000</f>
        <v/>
      </c>
      <c r="P1007" s="7">
        <f>'1 datos preparados'!O1000</f>
        <v/>
      </c>
      <c r="Q1007" s="7">
        <f>'1 datos preparados'!P1000</f>
        <v/>
      </c>
      <c r="R1007" s="7">
        <f>'1 datos preparados'!Q1000</f>
        <v/>
      </c>
      <c r="S1007" s="7">
        <f>'1 datos preparados'!R1000</f>
        <v/>
      </c>
      <c r="T1007" s="7">
        <f>'1 datos preparados'!S1000</f>
        <v/>
      </c>
      <c r="U1007" s="7">
        <f>'1 datos preparados'!T1000</f>
        <v/>
      </c>
      <c r="V1007" s="8">
        <f>$AC$12+D1007*$AC$13+E1007*$AC$14+F1007*$AC$15+G1007*$AC$16+H1007*$AC$17+I1007*$AC$18+J1007*$AC$19+K1007*$AC$20+L1007*$AC$21+M1007*$AC$22+N1007*$AC$23+O1007*$AC$24+P1007*$AC$25+Q1007*$AC$26+R1007*$AC$27+S1007*$AC$28+T1007*$AC$29+U1007*$AC$30</f>
        <v/>
      </c>
      <c r="W1007" s="8">
        <f>1/(1+EXP(-V1007))</f>
        <v/>
      </c>
      <c r="X1007" s="9">
        <f>-IF(C1007=1,LN(W1007),LN(1-W1007))</f>
        <v/>
      </c>
      <c r="Y1007" s="10">
        <f>IF(W1007&gt;$AC$33,1,0)</f>
        <v/>
      </c>
      <c r="Z1007">
        <f>IF(Y1007=C1007,1,0)</f>
        <v/>
      </c>
    </row>
    <row r="1008">
      <c r="A1008">
        <f>'1 datos preparados'!A1001</f>
        <v/>
      </c>
      <c r="B1008" s="5">
        <f>'1 datos preparados'!U1001</f>
        <v/>
      </c>
      <c r="C1008">
        <f>'1 datos preparados'!B1001</f>
        <v/>
      </c>
      <c r="D1008" s="7">
        <f>'1 datos preparados'!C1001</f>
        <v/>
      </c>
      <c r="E1008" s="7">
        <f>'1 datos preparados'!D1001</f>
        <v/>
      </c>
      <c r="F1008" s="7">
        <f>'1 datos preparados'!E1001</f>
        <v/>
      </c>
      <c r="G1008" s="7">
        <f>'1 datos preparados'!F1001</f>
        <v/>
      </c>
      <c r="H1008" s="7">
        <f>'1 datos preparados'!G1001</f>
        <v/>
      </c>
      <c r="I1008" s="7">
        <f>'1 datos preparados'!H1001</f>
        <v/>
      </c>
      <c r="J1008" s="7">
        <f>'1 datos preparados'!I1001</f>
        <v/>
      </c>
      <c r="K1008" s="7">
        <f>'1 datos preparados'!J1001</f>
        <v/>
      </c>
      <c r="L1008" s="7">
        <f>'1 datos preparados'!K1001</f>
        <v/>
      </c>
      <c r="M1008" s="7">
        <f>'1 datos preparados'!L1001</f>
        <v/>
      </c>
      <c r="N1008" s="7">
        <f>'1 datos preparados'!M1001</f>
        <v/>
      </c>
      <c r="O1008" s="7">
        <f>'1 datos preparados'!N1001</f>
        <v/>
      </c>
      <c r="P1008" s="7">
        <f>'1 datos preparados'!O1001</f>
        <v/>
      </c>
      <c r="Q1008" s="7">
        <f>'1 datos preparados'!P1001</f>
        <v/>
      </c>
      <c r="R1008" s="7">
        <f>'1 datos preparados'!Q1001</f>
        <v/>
      </c>
      <c r="S1008" s="7">
        <f>'1 datos preparados'!R1001</f>
        <v/>
      </c>
      <c r="T1008" s="7">
        <f>'1 datos preparados'!S1001</f>
        <v/>
      </c>
      <c r="U1008" s="7">
        <f>'1 datos preparados'!T1001</f>
        <v/>
      </c>
      <c r="V1008" s="8">
        <f>$AC$12+D1008*$AC$13+E1008*$AC$14+F1008*$AC$15+G1008*$AC$16+H1008*$AC$17+I1008*$AC$18+J1008*$AC$19+K1008*$AC$20+L1008*$AC$21+M1008*$AC$22+N1008*$AC$23+O1008*$AC$24+P1008*$AC$25+Q1008*$AC$26+R1008*$AC$27+S1008*$AC$28+T1008*$AC$29+U1008*$AC$30</f>
        <v/>
      </c>
      <c r="W1008" s="8">
        <f>1/(1+EXP(-V1008))</f>
        <v/>
      </c>
      <c r="X1008" s="9">
        <f>-IF(C1008=1,LN(W1008),LN(1-W1008))</f>
        <v/>
      </c>
      <c r="Y1008" s="10">
        <f>IF(W1008&gt;$AC$33,1,0)</f>
        <v/>
      </c>
      <c r="Z1008">
        <f>IF(Y1008=C1008,1,0)</f>
        <v/>
      </c>
    </row>
    <row r="1009">
      <c r="A1009">
        <f>'1 datos preparados'!A1002</f>
        <v/>
      </c>
      <c r="B1009" s="5">
        <f>'1 datos preparados'!U1002</f>
        <v/>
      </c>
      <c r="C1009">
        <f>'1 datos preparados'!B1002</f>
        <v/>
      </c>
      <c r="D1009" s="7">
        <f>'1 datos preparados'!C1002</f>
        <v/>
      </c>
      <c r="E1009" s="7">
        <f>'1 datos preparados'!D1002</f>
        <v/>
      </c>
      <c r="F1009" s="7">
        <f>'1 datos preparados'!E1002</f>
        <v/>
      </c>
      <c r="G1009" s="7">
        <f>'1 datos preparados'!F1002</f>
        <v/>
      </c>
      <c r="H1009" s="7">
        <f>'1 datos preparados'!G1002</f>
        <v/>
      </c>
      <c r="I1009" s="7">
        <f>'1 datos preparados'!H1002</f>
        <v/>
      </c>
      <c r="J1009" s="7">
        <f>'1 datos preparados'!I1002</f>
        <v/>
      </c>
      <c r="K1009" s="7">
        <f>'1 datos preparados'!J1002</f>
        <v/>
      </c>
      <c r="L1009" s="7">
        <f>'1 datos preparados'!K1002</f>
        <v/>
      </c>
      <c r="M1009" s="7">
        <f>'1 datos preparados'!L1002</f>
        <v/>
      </c>
      <c r="N1009" s="7">
        <f>'1 datos preparados'!M1002</f>
        <v/>
      </c>
      <c r="O1009" s="7">
        <f>'1 datos preparados'!N1002</f>
        <v/>
      </c>
      <c r="P1009" s="7">
        <f>'1 datos preparados'!O1002</f>
        <v/>
      </c>
      <c r="Q1009" s="7">
        <f>'1 datos preparados'!P1002</f>
        <v/>
      </c>
      <c r="R1009" s="7">
        <f>'1 datos preparados'!Q1002</f>
        <v/>
      </c>
      <c r="S1009" s="7">
        <f>'1 datos preparados'!R1002</f>
        <v/>
      </c>
      <c r="T1009" s="7">
        <f>'1 datos preparados'!S1002</f>
        <v/>
      </c>
      <c r="U1009" s="7">
        <f>'1 datos preparados'!T1002</f>
        <v/>
      </c>
      <c r="V1009" s="8">
        <f>$AC$12+D1009*$AC$13+E1009*$AC$14+F1009*$AC$15+G1009*$AC$16+H1009*$AC$17+I1009*$AC$18+J1009*$AC$19+K1009*$AC$20+L1009*$AC$21+M1009*$AC$22+N1009*$AC$23+O1009*$AC$24+P1009*$AC$25+Q1009*$AC$26+R1009*$AC$27+S1009*$AC$28+T1009*$AC$29+U1009*$AC$30</f>
        <v/>
      </c>
      <c r="W1009" s="8">
        <f>1/(1+EXP(-V1009))</f>
        <v/>
      </c>
      <c r="X1009" s="9">
        <f>-IF(C1009=1,LN(W1009),LN(1-W1009))</f>
        <v/>
      </c>
      <c r="Y1009" s="10">
        <f>IF(W1009&gt;$AC$33,1,0)</f>
        <v/>
      </c>
      <c r="Z1009">
        <f>IF(Y1009=C1009,1,0)</f>
        <v/>
      </c>
    </row>
    <row r="1010">
      <c r="A1010">
        <f>'1 datos preparados'!A1003</f>
        <v/>
      </c>
      <c r="B1010" s="5">
        <f>'1 datos preparados'!U1003</f>
        <v/>
      </c>
      <c r="C1010">
        <f>'1 datos preparados'!B1003</f>
        <v/>
      </c>
      <c r="D1010" s="7">
        <f>'1 datos preparados'!C1003</f>
        <v/>
      </c>
      <c r="E1010" s="7">
        <f>'1 datos preparados'!D1003</f>
        <v/>
      </c>
      <c r="F1010" s="7">
        <f>'1 datos preparados'!E1003</f>
        <v/>
      </c>
      <c r="G1010" s="7">
        <f>'1 datos preparados'!F1003</f>
        <v/>
      </c>
      <c r="H1010" s="7">
        <f>'1 datos preparados'!G1003</f>
        <v/>
      </c>
      <c r="I1010" s="7">
        <f>'1 datos preparados'!H1003</f>
        <v/>
      </c>
      <c r="J1010" s="7">
        <f>'1 datos preparados'!I1003</f>
        <v/>
      </c>
      <c r="K1010" s="7">
        <f>'1 datos preparados'!J1003</f>
        <v/>
      </c>
      <c r="L1010" s="7">
        <f>'1 datos preparados'!K1003</f>
        <v/>
      </c>
      <c r="M1010" s="7">
        <f>'1 datos preparados'!L1003</f>
        <v/>
      </c>
      <c r="N1010" s="7">
        <f>'1 datos preparados'!M1003</f>
        <v/>
      </c>
      <c r="O1010" s="7">
        <f>'1 datos preparados'!N1003</f>
        <v/>
      </c>
      <c r="P1010" s="7">
        <f>'1 datos preparados'!O1003</f>
        <v/>
      </c>
      <c r="Q1010" s="7">
        <f>'1 datos preparados'!P1003</f>
        <v/>
      </c>
      <c r="R1010" s="7">
        <f>'1 datos preparados'!Q1003</f>
        <v/>
      </c>
      <c r="S1010" s="7">
        <f>'1 datos preparados'!R1003</f>
        <v/>
      </c>
      <c r="T1010" s="7">
        <f>'1 datos preparados'!S1003</f>
        <v/>
      </c>
      <c r="U1010" s="7">
        <f>'1 datos preparados'!T1003</f>
        <v/>
      </c>
      <c r="V1010" s="8">
        <f>$AC$12+D1010*$AC$13+E1010*$AC$14+F1010*$AC$15+G1010*$AC$16+H1010*$AC$17+I1010*$AC$18+J1010*$AC$19+K1010*$AC$20+L1010*$AC$21+M1010*$AC$22+N1010*$AC$23+O1010*$AC$24+P1010*$AC$25+Q1010*$AC$26+R1010*$AC$27+S1010*$AC$28+T1010*$AC$29+U1010*$AC$30</f>
        <v/>
      </c>
      <c r="W1010" s="8">
        <f>1/(1+EXP(-V1010))</f>
        <v/>
      </c>
      <c r="X1010" s="9">
        <f>-IF(C1010=1,LN(W1010),LN(1-W1010))</f>
        <v/>
      </c>
      <c r="Y1010" s="10">
        <f>IF(W1010&gt;$AC$33,1,0)</f>
        <v/>
      </c>
      <c r="Z1010">
        <f>IF(Y1010=C1010,1,0)</f>
        <v/>
      </c>
    </row>
    <row r="1011">
      <c r="A1011">
        <f>'1 datos preparados'!A1004</f>
        <v/>
      </c>
      <c r="B1011" s="5">
        <f>'1 datos preparados'!U1004</f>
        <v/>
      </c>
      <c r="C1011">
        <f>'1 datos preparados'!B1004</f>
        <v/>
      </c>
      <c r="D1011" s="7">
        <f>'1 datos preparados'!C1004</f>
        <v/>
      </c>
      <c r="E1011" s="7">
        <f>'1 datos preparados'!D1004</f>
        <v/>
      </c>
      <c r="F1011" s="7">
        <f>'1 datos preparados'!E1004</f>
        <v/>
      </c>
      <c r="G1011" s="7">
        <f>'1 datos preparados'!F1004</f>
        <v/>
      </c>
      <c r="H1011" s="7">
        <f>'1 datos preparados'!G1004</f>
        <v/>
      </c>
      <c r="I1011" s="7">
        <f>'1 datos preparados'!H1004</f>
        <v/>
      </c>
      <c r="J1011" s="7">
        <f>'1 datos preparados'!I1004</f>
        <v/>
      </c>
      <c r="K1011" s="7">
        <f>'1 datos preparados'!J1004</f>
        <v/>
      </c>
      <c r="L1011" s="7">
        <f>'1 datos preparados'!K1004</f>
        <v/>
      </c>
      <c r="M1011" s="7">
        <f>'1 datos preparados'!L1004</f>
        <v/>
      </c>
      <c r="N1011" s="7">
        <f>'1 datos preparados'!M1004</f>
        <v/>
      </c>
      <c r="O1011" s="7">
        <f>'1 datos preparados'!N1004</f>
        <v/>
      </c>
      <c r="P1011" s="7">
        <f>'1 datos preparados'!O1004</f>
        <v/>
      </c>
      <c r="Q1011" s="7">
        <f>'1 datos preparados'!P1004</f>
        <v/>
      </c>
      <c r="R1011" s="7">
        <f>'1 datos preparados'!Q1004</f>
        <v/>
      </c>
      <c r="S1011" s="7">
        <f>'1 datos preparados'!R1004</f>
        <v/>
      </c>
      <c r="T1011" s="7">
        <f>'1 datos preparados'!S1004</f>
        <v/>
      </c>
      <c r="U1011" s="7">
        <f>'1 datos preparados'!T1004</f>
        <v/>
      </c>
      <c r="V1011" s="8">
        <f>$AC$12+D1011*$AC$13+E1011*$AC$14+F1011*$AC$15+G1011*$AC$16+H1011*$AC$17+I1011*$AC$18+J1011*$AC$19+K1011*$AC$20+L1011*$AC$21+M1011*$AC$22+N1011*$AC$23+O1011*$AC$24+P1011*$AC$25+Q1011*$AC$26+R1011*$AC$27+S1011*$AC$28+T1011*$AC$29+U1011*$AC$30</f>
        <v/>
      </c>
      <c r="W1011" s="8">
        <f>1/(1+EXP(-V1011))</f>
        <v/>
      </c>
      <c r="X1011" s="9">
        <f>-IF(C1011=1,LN(W1011),LN(1-W1011))</f>
        <v/>
      </c>
      <c r="Y1011" s="10">
        <f>IF(W1011&gt;$AC$33,1,0)</f>
        <v/>
      </c>
      <c r="Z1011">
        <f>IF(Y1011=C1011,1,0)</f>
        <v/>
      </c>
    </row>
  </sheetData>
  <mergeCells count="3">
    <mergeCell ref="A3:R3"/>
    <mergeCell ref="A2:R2"/>
    <mergeCell ref="AB48:AE48"/>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L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18" customWidth="1" min="7" max="7"/>
    <col width="13" customWidth="1" min="8" max="8"/>
    <col width="10" customWidth="1" min="9" max="9"/>
    <col width="14" customWidth="1" min="10" max="10"/>
    <col width="13" customWidth="1" min="11" max="11"/>
    <col width="13" customWidth="1" min="12" max="12"/>
    <col width="18" customWidth="1" min="13" max="13"/>
    <col width="16" customWidth="1" min="14" max="14"/>
    <col width="18" customWidth="1" min="15" max="15"/>
    <col width="19" customWidth="1" min="16" max="16"/>
    <col width="18" customWidth="1" min="17" max="17"/>
    <col width="16" customWidth="1" min="18" max="18"/>
    <col width="15" customWidth="1" min="19" max="19"/>
    <col width="19" customWidth="1" min="20" max="20"/>
    <col width="18" customWidth="1" min="21" max="21"/>
    <col width="10" customWidth="1" min="22" max="22"/>
    <col width="14" customWidth="1" min="23" max="23"/>
    <col width="10" customWidth="1" min="24" max="24"/>
    <col width="11" customWidth="1" min="25" max="25"/>
    <col width="10" customWidth="1" min="26" max="26"/>
    <col width="52" customWidth="1" min="28" max="28"/>
    <col width="21" customWidth="1" min="29" max="29"/>
    <col width="27" customWidth="1" min="30" max="30"/>
    <col width="17" customWidth="1" min="31" max="31"/>
    <col width="24" customWidth="1" min="34" max="34"/>
    <col width="10" customWidth="1" min="35" max="35"/>
    <col width="11" customWidth="1" min="36" max="36"/>
    <col width="11" customWidth="1" min="37" max="37"/>
    <col width="10" customWidth="1" min="38" max="38"/>
  </cols>
  <sheetData>
    <row r="1">
      <c r="A1" s="3" t="inlineStr">
        <is>
          <t>Lasso (L1): cobrar por la suma de los valores absolutos, y dejar pesos en cero</t>
        </is>
      </c>
    </row>
    <row r="2" ht="65" customHeight="1">
      <c r="A2" s="2" t="inlineStr">
        <is>
          <t>Lasso (L1). Ahora J = Σ pérdidas + λ · Σ |theta|. La diferencia con ridge parece de detalle y no lo es: el valor absoluto tiene la misma pendiente λ para un peso grande que para uno chico, así que los pesos pequeños, que aportan poco a la pérdida, terminan exactamente en cero. Lasso hace selección de variables: con λ = 10, siete de los 18 pesos son cero en scikit-learn, y el modelo queda con once variables que rinden casi igual. Es la forma más simple de responder 'qué variables importan de verdad' sin salir de la logística.</t>
        </is>
      </c>
    </row>
    <row r="3" ht="49.5" customHeight="1">
      <c r="A3" s="2" t="inlineStr">
        <is>
          <t>Solver y el valor absoluto no se llevan bien, porque |theta| no tiene derivada en cero: GRG se acerca y deja pesos en 0,002 o −0,004 en vez de exactamente 0. La celda 'pesos con |theta| &lt; 0,01' los cuenta como cero; compárala con la referencia. Si Solver se traba, corre dos veces, o parte desde la referencia gris y verifica que J no baja.</t>
        </is>
      </c>
    </row>
    <row r="4"/>
    <row r="5"/>
    <row r="6"/>
    <row r="7"/>
    <row r="8"/>
    <row r="9"/>
    <row r="10">
      <c r="AB10" s="3" t="inlineStr">
        <is>
          <t>Pesos (theta): parten de la solución sin regularizar del Excel base</t>
        </is>
      </c>
      <c r="AH10" s="3" t="inlineStr">
        <is>
          <t>EVALUACIÓN EN TESTING (con el umbral celeste)</t>
        </is>
      </c>
    </row>
    <row r="11">
      <c r="A11" s="4" t="inlineStr">
        <is>
          <t>id</t>
        </is>
      </c>
      <c r="B11" s="4" t="inlineStr">
        <is>
          <t>conjunto</t>
        </is>
      </c>
      <c r="C11" s="4" t="inlineStr">
        <is>
          <t>y</t>
        </is>
      </c>
      <c r="D11" s="4" t="inlineStr">
        <is>
          <t>duracion</t>
        </is>
      </c>
      <c r="E11" s="4" t="inlineStr">
        <is>
          <t>monto</t>
        </is>
      </c>
      <c r="F11" s="4" t="inlineStr">
        <is>
          <t>edad</t>
        </is>
      </c>
      <c r="G11" s="4" t="inlineStr">
        <is>
          <t>cuota_pct_ingreso</t>
        </is>
      </c>
      <c r="H11" s="4" t="inlineStr">
        <is>
          <t>cta_negativa</t>
        </is>
      </c>
      <c r="I11" s="4" t="inlineStr">
        <is>
          <t>cta_0_200</t>
        </is>
      </c>
      <c r="J11" s="4" t="inlineStr">
        <is>
          <t>cta_sobre_200</t>
        </is>
      </c>
      <c r="K11" s="4" t="inlineStr">
        <is>
          <t>hist_critico</t>
        </is>
      </c>
      <c r="L11" s="4" t="inlineStr">
        <is>
          <t>hist_atrasos</t>
        </is>
      </c>
      <c r="M11" s="4" t="inlineStr">
        <is>
          <t>hist_sin_creditos</t>
        </is>
      </c>
      <c r="N11" s="4" t="inlineStr">
        <is>
          <t>ahorro_100_1000</t>
        </is>
      </c>
      <c r="O11" s="4" t="inlineStr">
        <is>
          <t>ahorro_sobre_1000</t>
        </is>
      </c>
      <c r="P11" s="4" t="inlineStr">
        <is>
          <t>ahorro_desconocido</t>
        </is>
      </c>
      <c r="Q11" s="4" t="inlineStr">
        <is>
          <t>vivienda_arriendo</t>
        </is>
      </c>
      <c r="R11" s="4" t="inlineStr">
        <is>
          <t>vivienda_gratis</t>
        </is>
      </c>
      <c r="S11" s="4" t="inlineStr">
        <is>
          <t>proposito_auto</t>
        </is>
      </c>
      <c r="T11" s="4" t="inlineStr">
        <is>
          <t>proposito_radio_tv</t>
        </is>
      </c>
      <c r="U11" s="4" t="inlineStr">
        <is>
          <t>proposito_muebles</t>
        </is>
      </c>
      <c r="V11" s="4" t="inlineStr">
        <is>
          <t>Z (recta)</t>
        </is>
      </c>
      <c r="W11" s="4" t="inlineStr">
        <is>
          <t>p (logística)</t>
        </is>
      </c>
      <c r="X11" s="4" t="inlineStr">
        <is>
          <t>pérdida</t>
        </is>
      </c>
      <c r="Y11" s="4" t="inlineStr">
        <is>
          <t>predicción</t>
        </is>
      </c>
      <c r="Z11" s="4" t="inlineStr">
        <is>
          <t>acierto</t>
        </is>
      </c>
      <c r="AB11" s="4" t="inlineStr">
        <is>
          <t>variable</t>
        </is>
      </c>
      <c r="AC11" s="4" t="inlineStr">
        <is>
          <t>theta (celeste)</t>
        </is>
      </c>
      <c r="AD11" s="4" t="inlineStr">
        <is>
          <t>referencia scikit-learn, λ = 10</t>
        </is>
      </c>
      <c r="AE11" s="4" t="inlineStr">
        <is>
          <t>|theta|</t>
        </is>
      </c>
    </row>
    <row r="12">
      <c r="A12">
        <f>'1 datos preparados'!A5</f>
        <v/>
      </c>
      <c r="B12" s="5">
        <f>'1 datos preparados'!U5</f>
        <v/>
      </c>
      <c r="C12">
        <f>'1 datos preparados'!B5</f>
        <v/>
      </c>
      <c r="D12" s="7">
        <f>'1 datos preparados'!C5</f>
        <v/>
      </c>
      <c r="E12" s="7">
        <f>'1 datos preparados'!D5</f>
        <v/>
      </c>
      <c r="F12" s="7">
        <f>'1 datos preparados'!E5</f>
        <v/>
      </c>
      <c r="G12" s="7">
        <f>'1 datos preparados'!F5</f>
        <v/>
      </c>
      <c r="H12" s="7">
        <f>'1 datos preparados'!G5</f>
        <v/>
      </c>
      <c r="I12" s="7">
        <f>'1 datos preparados'!H5</f>
        <v/>
      </c>
      <c r="J12" s="7">
        <f>'1 datos preparados'!I5</f>
        <v/>
      </c>
      <c r="K12" s="7">
        <f>'1 datos preparados'!J5</f>
        <v/>
      </c>
      <c r="L12" s="7">
        <f>'1 datos preparados'!K5</f>
        <v/>
      </c>
      <c r="M12" s="7">
        <f>'1 datos preparados'!L5</f>
        <v/>
      </c>
      <c r="N12" s="7">
        <f>'1 datos preparados'!M5</f>
        <v/>
      </c>
      <c r="O12" s="7">
        <f>'1 datos preparados'!N5</f>
        <v/>
      </c>
      <c r="P12" s="7">
        <f>'1 datos preparados'!O5</f>
        <v/>
      </c>
      <c r="Q12" s="7">
        <f>'1 datos preparados'!P5</f>
        <v/>
      </c>
      <c r="R12" s="7">
        <f>'1 datos preparados'!Q5</f>
        <v/>
      </c>
      <c r="S12" s="7">
        <f>'1 datos preparados'!R5</f>
        <v/>
      </c>
      <c r="T12" s="7">
        <f>'1 datos preparados'!S5</f>
        <v/>
      </c>
      <c r="U12" s="7">
        <f>'1 datos preparados'!T5</f>
        <v/>
      </c>
      <c r="V12" s="8">
        <f>$AC$12+D12*$AC$13+E12*$AC$14+F12*$AC$15+G12*$AC$16+H12*$AC$17+I12*$AC$18+J12*$AC$19+K12*$AC$20+L12*$AC$21+M12*$AC$22+N12*$AC$23+O12*$AC$24+P12*$AC$25+Q12*$AC$26+R12*$AC$27+S12*$AC$28+T12*$AC$29+U12*$AC$30</f>
        <v/>
      </c>
      <c r="W12" s="8">
        <f>1/(1+EXP(-V12))</f>
        <v/>
      </c>
      <c r="X12" s="9">
        <f>-IF(C12=1,LN(W12),LN(1-W12))</f>
        <v/>
      </c>
      <c r="Y12" s="10">
        <f>IF(W12&gt;$AC$33,1,0)</f>
        <v/>
      </c>
      <c r="Z12">
        <f>IF(Y12=C12,1,0)</f>
        <v/>
      </c>
      <c r="AB12" t="inlineStr">
        <is>
          <t>intercepto</t>
        </is>
      </c>
      <c r="AC12" s="11" t="n">
        <v>-1.341270962110326</v>
      </c>
      <c r="AD12" s="12" t="n">
        <v>-1.190471255540245</v>
      </c>
      <c r="AE12" t="inlineStr">
        <is>
          <t>(no se penaliza)</t>
        </is>
      </c>
    </row>
    <row r="13">
      <c r="A13">
        <f>'1 datos preparados'!A6</f>
        <v/>
      </c>
      <c r="B13" s="5">
        <f>'1 datos preparados'!U6</f>
        <v/>
      </c>
      <c r="C13">
        <f>'1 datos preparados'!B6</f>
        <v/>
      </c>
      <c r="D13" s="7">
        <f>'1 datos preparados'!C6</f>
        <v/>
      </c>
      <c r="E13" s="7">
        <f>'1 datos preparados'!D6</f>
        <v/>
      </c>
      <c r="F13" s="7">
        <f>'1 datos preparados'!E6</f>
        <v/>
      </c>
      <c r="G13" s="7">
        <f>'1 datos preparados'!F6</f>
        <v/>
      </c>
      <c r="H13" s="7">
        <f>'1 datos preparados'!G6</f>
        <v/>
      </c>
      <c r="I13" s="7">
        <f>'1 datos preparados'!H6</f>
        <v/>
      </c>
      <c r="J13" s="7">
        <f>'1 datos preparados'!I6</f>
        <v/>
      </c>
      <c r="K13" s="7">
        <f>'1 datos preparados'!J6</f>
        <v/>
      </c>
      <c r="L13" s="7">
        <f>'1 datos preparados'!K6</f>
        <v/>
      </c>
      <c r="M13" s="7">
        <f>'1 datos preparados'!L6</f>
        <v/>
      </c>
      <c r="N13" s="7">
        <f>'1 datos preparados'!M6</f>
        <v/>
      </c>
      <c r="O13" s="7">
        <f>'1 datos preparados'!N6</f>
        <v/>
      </c>
      <c r="P13" s="7">
        <f>'1 datos preparados'!O6</f>
        <v/>
      </c>
      <c r="Q13" s="7">
        <f>'1 datos preparados'!P6</f>
        <v/>
      </c>
      <c r="R13" s="7">
        <f>'1 datos preparados'!Q6</f>
        <v/>
      </c>
      <c r="S13" s="7">
        <f>'1 datos preparados'!R6</f>
        <v/>
      </c>
      <c r="T13" s="7">
        <f>'1 datos preparados'!S6</f>
        <v/>
      </c>
      <c r="U13" s="7">
        <f>'1 datos preparados'!T6</f>
        <v/>
      </c>
      <c r="V13" s="8">
        <f>$AC$12+D13*$AC$13+E13*$AC$14+F13*$AC$15+G13*$AC$16+H13*$AC$17+I13*$AC$18+J13*$AC$19+K13*$AC$20+L13*$AC$21+M13*$AC$22+N13*$AC$23+O13*$AC$24+P13*$AC$25+Q13*$AC$26+R13*$AC$27+S13*$AC$28+T13*$AC$29+U13*$AC$30</f>
        <v/>
      </c>
      <c r="W13" s="8">
        <f>1/(1+EXP(-V13))</f>
        <v/>
      </c>
      <c r="X13" s="9">
        <f>-IF(C13=1,LN(W13),LN(1-W13))</f>
        <v/>
      </c>
      <c r="Y13" s="10">
        <f>IF(W13&gt;$AC$33,1,0)</f>
        <v/>
      </c>
      <c r="Z13">
        <f>IF(Y13=C13,1,0)</f>
        <v/>
      </c>
      <c r="AB13" t="inlineStr">
        <is>
          <t>duracion</t>
        </is>
      </c>
      <c r="AC13" s="11" t="n">
        <v>0.3247012549391071</v>
      </c>
      <c r="AD13" s="12" t="n">
        <v>0.2914423264258837</v>
      </c>
      <c r="AE13" s="9">
        <f>ABS(AC13)</f>
        <v/>
      </c>
      <c r="AJ13" s="3" t="inlineStr">
        <is>
          <t>predicho 0</t>
        </is>
      </c>
      <c r="AK13" s="3" t="inlineStr">
        <is>
          <t>predicho 1</t>
        </is>
      </c>
      <c r="AL13" s="3" t="inlineStr">
        <is>
          <t>total</t>
        </is>
      </c>
    </row>
    <row r="14">
      <c r="A14">
        <f>'1 datos preparados'!A7</f>
        <v/>
      </c>
      <c r="B14" s="5">
        <f>'1 datos preparados'!U7</f>
        <v/>
      </c>
      <c r="C14">
        <f>'1 datos preparados'!B7</f>
        <v/>
      </c>
      <c r="D14" s="7">
        <f>'1 datos preparados'!C7</f>
        <v/>
      </c>
      <c r="E14" s="7">
        <f>'1 datos preparados'!D7</f>
        <v/>
      </c>
      <c r="F14" s="7">
        <f>'1 datos preparados'!E7</f>
        <v/>
      </c>
      <c r="G14" s="7">
        <f>'1 datos preparados'!F7</f>
        <v/>
      </c>
      <c r="H14" s="7">
        <f>'1 datos preparados'!G7</f>
        <v/>
      </c>
      <c r="I14" s="7">
        <f>'1 datos preparados'!H7</f>
        <v/>
      </c>
      <c r="J14" s="7">
        <f>'1 datos preparados'!I7</f>
        <v/>
      </c>
      <c r="K14" s="7">
        <f>'1 datos preparados'!J7</f>
        <v/>
      </c>
      <c r="L14" s="7">
        <f>'1 datos preparados'!K7</f>
        <v/>
      </c>
      <c r="M14" s="7">
        <f>'1 datos preparados'!L7</f>
        <v/>
      </c>
      <c r="N14" s="7">
        <f>'1 datos preparados'!M7</f>
        <v/>
      </c>
      <c r="O14" s="7">
        <f>'1 datos preparados'!N7</f>
        <v/>
      </c>
      <c r="P14" s="7">
        <f>'1 datos preparados'!O7</f>
        <v/>
      </c>
      <c r="Q14" s="7">
        <f>'1 datos preparados'!P7</f>
        <v/>
      </c>
      <c r="R14" s="7">
        <f>'1 datos preparados'!Q7</f>
        <v/>
      </c>
      <c r="S14" s="7">
        <f>'1 datos preparados'!R7</f>
        <v/>
      </c>
      <c r="T14" s="7">
        <f>'1 datos preparados'!S7</f>
        <v/>
      </c>
      <c r="U14" s="7">
        <f>'1 datos preparados'!T7</f>
        <v/>
      </c>
      <c r="V14" s="8">
        <f>$AC$12+D14*$AC$13+E14*$AC$14+F14*$AC$15+G14*$AC$16+H14*$AC$17+I14*$AC$18+J14*$AC$19+K14*$AC$20+L14*$AC$21+M14*$AC$22+N14*$AC$23+O14*$AC$24+P14*$AC$25+Q14*$AC$26+R14*$AC$27+S14*$AC$28+T14*$AC$29+U14*$AC$30</f>
        <v/>
      </c>
      <c r="W14" s="8">
        <f>1/(1+EXP(-V14))</f>
        <v/>
      </c>
      <c r="X14" s="9">
        <f>-IF(C14=1,LN(W14),LN(1-W14))</f>
        <v/>
      </c>
      <c r="Y14" s="10">
        <f>IF(W14&gt;$AC$33,1,0)</f>
        <v/>
      </c>
      <c r="Z14">
        <f>IF(Y14=C14,1,0)</f>
        <v/>
      </c>
      <c r="AB14" t="inlineStr">
        <is>
          <t>monto</t>
        </is>
      </c>
      <c r="AC14" s="11" t="n">
        <v>0.1163535941884676</v>
      </c>
      <c r="AD14" s="12" t="n">
        <v>0.01497572106575322</v>
      </c>
      <c r="AE14" s="9">
        <f>ABS(AC14)</f>
        <v/>
      </c>
      <c r="AH14" s="3" t="inlineStr">
        <is>
          <t>real 0 (buen pagador)</t>
        </is>
      </c>
      <c r="AI14" t="inlineStr">
        <is>
          <t>TN | FP</t>
        </is>
      </c>
      <c r="AJ14" s="13">
        <f>COUNTIFS($B$12:$B$1011,"testing",$C$12:$C$1011,0,$Y$12:$Y$1011,0)</f>
        <v/>
      </c>
      <c r="AK14" s="13">
        <f>COUNTIFS($B$12:$B$1011,"testing",$C$12:$C$1011,0,$Y$12:$Y$1011,1)</f>
        <v/>
      </c>
      <c r="AL14">
        <f>AJ14+AK14</f>
        <v/>
      </c>
    </row>
    <row r="15">
      <c r="A15">
        <f>'1 datos preparados'!A8</f>
        <v/>
      </c>
      <c r="B15" s="5">
        <f>'1 datos preparados'!U8</f>
        <v/>
      </c>
      <c r="C15">
        <f>'1 datos preparados'!B8</f>
        <v/>
      </c>
      <c r="D15" s="7">
        <f>'1 datos preparados'!C8</f>
        <v/>
      </c>
      <c r="E15" s="7">
        <f>'1 datos preparados'!D8</f>
        <v/>
      </c>
      <c r="F15" s="7">
        <f>'1 datos preparados'!E8</f>
        <v/>
      </c>
      <c r="G15" s="7">
        <f>'1 datos preparados'!F8</f>
        <v/>
      </c>
      <c r="H15" s="7">
        <f>'1 datos preparados'!G8</f>
        <v/>
      </c>
      <c r="I15" s="7">
        <f>'1 datos preparados'!H8</f>
        <v/>
      </c>
      <c r="J15" s="7">
        <f>'1 datos preparados'!I8</f>
        <v/>
      </c>
      <c r="K15" s="7">
        <f>'1 datos preparados'!J8</f>
        <v/>
      </c>
      <c r="L15" s="7">
        <f>'1 datos preparados'!K8</f>
        <v/>
      </c>
      <c r="M15" s="7">
        <f>'1 datos preparados'!L8</f>
        <v/>
      </c>
      <c r="N15" s="7">
        <f>'1 datos preparados'!M8</f>
        <v/>
      </c>
      <c r="O15" s="7">
        <f>'1 datos preparados'!N8</f>
        <v/>
      </c>
      <c r="P15" s="7">
        <f>'1 datos preparados'!O8</f>
        <v/>
      </c>
      <c r="Q15" s="7">
        <f>'1 datos preparados'!P8</f>
        <v/>
      </c>
      <c r="R15" s="7">
        <f>'1 datos preparados'!Q8</f>
        <v/>
      </c>
      <c r="S15" s="7">
        <f>'1 datos preparados'!R8</f>
        <v/>
      </c>
      <c r="T15" s="7">
        <f>'1 datos preparados'!S8</f>
        <v/>
      </c>
      <c r="U15" s="7">
        <f>'1 datos preparados'!T8</f>
        <v/>
      </c>
      <c r="V15" s="8">
        <f>$AC$12+D15*$AC$13+E15*$AC$14+F15*$AC$15+G15*$AC$16+H15*$AC$17+I15*$AC$18+J15*$AC$19+K15*$AC$20+L15*$AC$21+M15*$AC$22+N15*$AC$23+O15*$AC$24+P15*$AC$25+Q15*$AC$26+R15*$AC$27+S15*$AC$28+T15*$AC$29+U15*$AC$30</f>
        <v/>
      </c>
      <c r="W15" s="8">
        <f>1/(1+EXP(-V15))</f>
        <v/>
      </c>
      <c r="X15" s="9">
        <f>-IF(C15=1,LN(W15),LN(1-W15))</f>
        <v/>
      </c>
      <c r="Y15" s="10">
        <f>IF(W15&gt;$AC$33,1,0)</f>
        <v/>
      </c>
      <c r="Z15">
        <f>IF(Y15=C15,1,0)</f>
        <v/>
      </c>
      <c r="AB15" t="inlineStr">
        <is>
          <t>edad</t>
        </is>
      </c>
      <c r="AC15" s="11" t="n">
        <v>-0.09914522482627074</v>
      </c>
      <c r="AD15" s="12" t="n">
        <v>-0.04461703867676393</v>
      </c>
      <c r="AE15" s="9">
        <f>ABS(AC15)</f>
        <v/>
      </c>
      <c r="AH15" s="3" t="inlineStr">
        <is>
          <t>real 1 (mal pagador)</t>
        </is>
      </c>
      <c r="AI15" t="inlineStr">
        <is>
          <t>FN | TP</t>
        </is>
      </c>
      <c r="AJ15" s="13">
        <f>COUNTIFS($B$12:$B$1011,"testing",$C$12:$C$1011,1,$Y$12:$Y$1011,0)</f>
        <v/>
      </c>
      <c r="AK15" s="13">
        <f>COUNTIFS($B$12:$B$1011,"testing",$C$12:$C$1011,1,$Y$12:$Y$1011,1)</f>
        <v/>
      </c>
      <c r="AL15">
        <f>AJ15+AK15</f>
        <v/>
      </c>
    </row>
    <row r="16">
      <c r="A16">
        <f>'1 datos preparados'!A9</f>
        <v/>
      </c>
      <c r="B16" s="5">
        <f>'1 datos preparados'!U9</f>
        <v/>
      </c>
      <c r="C16">
        <f>'1 datos preparados'!B9</f>
        <v/>
      </c>
      <c r="D16" s="7">
        <f>'1 datos preparados'!C9</f>
        <v/>
      </c>
      <c r="E16" s="7">
        <f>'1 datos preparados'!D9</f>
        <v/>
      </c>
      <c r="F16" s="7">
        <f>'1 datos preparados'!E9</f>
        <v/>
      </c>
      <c r="G16" s="7">
        <f>'1 datos preparados'!F9</f>
        <v/>
      </c>
      <c r="H16" s="7">
        <f>'1 datos preparados'!G9</f>
        <v/>
      </c>
      <c r="I16" s="7">
        <f>'1 datos preparados'!H9</f>
        <v/>
      </c>
      <c r="J16" s="7">
        <f>'1 datos preparados'!I9</f>
        <v/>
      </c>
      <c r="K16" s="7">
        <f>'1 datos preparados'!J9</f>
        <v/>
      </c>
      <c r="L16" s="7">
        <f>'1 datos preparados'!K9</f>
        <v/>
      </c>
      <c r="M16" s="7">
        <f>'1 datos preparados'!L9</f>
        <v/>
      </c>
      <c r="N16" s="7">
        <f>'1 datos preparados'!M9</f>
        <v/>
      </c>
      <c r="O16" s="7">
        <f>'1 datos preparados'!N9</f>
        <v/>
      </c>
      <c r="P16" s="7">
        <f>'1 datos preparados'!O9</f>
        <v/>
      </c>
      <c r="Q16" s="7">
        <f>'1 datos preparados'!P9</f>
        <v/>
      </c>
      <c r="R16" s="7">
        <f>'1 datos preparados'!Q9</f>
        <v/>
      </c>
      <c r="S16" s="7">
        <f>'1 datos preparados'!R9</f>
        <v/>
      </c>
      <c r="T16" s="7">
        <f>'1 datos preparados'!S9</f>
        <v/>
      </c>
      <c r="U16" s="7">
        <f>'1 datos preparados'!T9</f>
        <v/>
      </c>
      <c r="V16" s="8">
        <f>$AC$12+D16*$AC$13+E16*$AC$14+F16*$AC$15+G16*$AC$16+H16*$AC$17+I16*$AC$18+J16*$AC$19+K16*$AC$20+L16*$AC$21+M16*$AC$22+N16*$AC$23+O16*$AC$24+P16*$AC$25+Q16*$AC$26+R16*$AC$27+S16*$AC$28+T16*$AC$29+U16*$AC$30</f>
        <v/>
      </c>
      <c r="W16" s="8">
        <f>1/(1+EXP(-V16))</f>
        <v/>
      </c>
      <c r="X16" s="9">
        <f>-IF(C16=1,LN(W16),LN(1-W16))</f>
        <v/>
      </c>
      <c r="Y16" s="10">
        <f>IF(W16&gt;$AC$33,1,0)</f>
        <v/>
      </c>
      <c r="Z16">
        <f>IF(Y16=C16,1,0)</f>
        <v/>
      </c>
      <c r="AB16" t="inlineStr">
        <is>
          <t>cuota_pct_ingreso</t>
        </is>
      </c>
      <c r="AC16" s="11" t="n">
        <v>0.2872157655933926</v>
      </c>
      <c r="AD16" s="12" t="n">
        <v>0.0850700872399999</v>
      </c>
      <c r="AE16" s="9">
        <f>ABS(AC16)</f>
        <v/>
      </c>
      <c r="AH16" s="3" t="inlineStr">
        <is>
          <t>total</t>
        </is>
      </c>
      <c r="AJ16">
        <f>AJ14+AJ15</f>
        <v/>
      </c>
      <c r="AK16">
        <f>AK14+AK15</f>
        <v/>
      </c>
      <c r="AL16">
        <f>AL14+AL15</f>
        <v/>
      </c>
    </row>
    <row r="17">
      <c r="A17">
        <f>'1 datos preparados'!A10</f>
        <v/>
      </c>
      <c r="B17" s="5">
        <f>'1 datos preparados'!U10</f>
        <v/>
      </c>
      <c r="C17">
        <f>'1 datos preparados'!B10</f>
        <v/>
      </c>
      <c r="D17" s="7">
        <f>'1 datos preparados'!C10</f>
        <v/>
      </c>
      <c r="E17" s="7">
        <f>'1 datos preparados'!D10</f>
        <v/>
      </c>
      <c r="F17" s="7">
        <f>'1 datos preparados'!E10</f>
        <v/>
      </c>
      <c r="G17" s="7">
        <f>'1 datos preparados'!F10</f>
        <v/>
      </c>
      <c r="H17" s="7">
        <f>'1 datos preparados'!G10</f>
        <v/>
      </c>
      <c r="I17" s="7">
        <f>'1 datos preparados'!H10</f>
        <v/>
      </c>
      <c r="J17" s="7">
        <f>'1 datos preparados'!I10</f>
        <v/>
      </c>
      <c r="K17" s="7">
        <f>'1 datos preparados'!J10</f>
        <v/>
      </c>
      <c r="L17" s="7">
        <f>'1 datos preparados'!K10</f>
        <v/>
      </c>
      <c r="M17" s="7">
        <f>'1 datos preparados'!L10</f>
        <v/>
      </c>
      <c r="N17" s="7">
        <f>'1 datos preparados'!M10</f>
        <v/>
      </c>
      <c r="O17" s="7">
        <f>'1 datos preparados'!N10</f>
        <v/>
      </c>
      <c r="P17" s="7">
        <f>'1 datos preparados'!O10</f>
        <v/>
      </c>
      <c r="Q17" s="7">
        <f>'1 datos preparados'!P10</f>
        <v/>
      </c>
      <c r="R17" s="7">
        <f>'1 datos preparados'!Q10</f>
        <v/>
      </c>
      <c r="S17" s="7">
        <f>'1 datos preparados'!R10</f>
        <v/>
      </c>
      <c r="T17" s="7">
        <f>'1 datos preparados'!S10</f>
        <v/>
      </c>
      <c r="U17" s="7">
        <f>'1 datos preparados'!T10</f>
        <v/>
      </c>
      <c r="V17" s="8">
        <f>$AC$12+D17*$AC$13+E17*$AC$14+F17*$AC$15+G17*$AC$16+H17*$AC$17+I17*$AC$18+J17*$AC$19+K17*$AC$20+L17*$AC$21+M17*$AC$22+N17*$AC$23+O17*$AC$24+P17*$AC$25+Q17*$AC$26+R17*$AC$27+S17*$AC$28+T17*$AC$29+U17*$AC$30</f>
        <v/>
      </c>
      <c r="W17" s="8">
        <f>1/(1+EXP(-V17))</f>
        <v/>
      </c>
      <c r="X17" s="9">
        <f>-IF(C17=1,LN(W17),LN(1-W17))</f>
        <v/>
      </c>
      <c r="Y17" s="10">
        <f>IF(W17&gt;$AC$33,1,0)</f>
        <v/>
      </c>
      <c r="Z17">
        <f>IF(Y17=C17,1,0)</f>
        <v/>
      </c>
      <c r="AB17" t="inlineStr">
        <is>
          <t>cta_negativa</t>
        </is>
      </c>
      <c r="AC17" s="11" t="n">
        <v>1.546402670396991</v>
      </c>
      <c r="AD17" s="12" t="n">
        <v>0.9745504706308581</v>
      </c>
      <c r="AE17" s="9">
        <f>ABS(AC17)</f>
        <v/>
      </c>
    </row>
    <row r="18">
      <c r="A18">
        <f>'1 datos preparados'!A11</f>
        <v/>
      </c>
      <c r="B18" s="5">
        <f>'1 datos preparados'!U11</f>
        <v/>
      </c>
      <c r="C18">
        <f>'1 datos preparados'!B11</f>
        <v/>
      </c>
      <c r="D18" s="7">
        <f>'1 datos preparados'!C11</f>
        <v/>
      </c>
      <c r="E18" s="7">
        <f>'1 datos preparados'!D11</f>
        <v/>
      </c>
      <c r="F18" s="7">
        <f>'1 datos preparados'!E11</f>
        <v/>
      </c>
      <c r="G18" s="7">
        <f>'1 datos preparados'!F11</f>
        <v/>
      </c>
      <c r="H18" s="7">
        <f>'1 datos preparados'!G11</f>
        <v/>
      </c>
      <c r="I18" s="7">
        <f>'1 datos preparados'!H11</f>
        <v/>
      </c>
      <c r="J18" s="7">
        <f>'1 datos preparados'!I11</f>
        <v/>
      </c>
      <c r="K18" s="7">
        <f>'1 datos preparados'!J11</f>
        <v/>
      </c>
      <c r="L18" s="7">
        <f>'1 datos preparados'!K11</f>
        <v/>
      </c>
      <c r="M18" s="7">
        <f>'1 datos preparados'!L11</f>
        <v/>
      </c>
      <c r="N18" s="7">
        <f>'1 datos preparados'!M11</f>
        <v/>
      </c>
      <c r="O18" s="7">
        <f>'1 datos preparados'!N11</f>
        <v/>
      </c>
      <c r="P18" s="7">
        <f>'1 datos preparados'!O11</f>
        <v/>
      </c>
      <c r="Q18" s="7">
        <f>'1 datos preparados'!P11</f>
        <v/>
      </c>
      <c r="R18" s="7">
        <f>'1 datos preparados'!Q11</f>
        <v/>
      </c>
      <c r="S18" s="7">
        <f>'1 datos preparados'!R11</f>
        <v/>
      </c>
      <c r="T18" s="7">
        <f>'1 datos preparados'!S11</f>
        <v/>
      </c>
      <c r="U18" s="7">
        <f>'1 datos preparados'!T11</f>
        <v/>
      </c>
      <c r="V18" s="8">
        <f>$AC$12+D18*$AC$13+E18*$AC$14+F18*$AC$15+G18*$AC$16+H18*$AC$17+I18*$AC$18+J18*$AC$19+K18*$AC$20+L18*$AC$21+M18*$AC$22+N18*$AC$23+O18*$AC$24+P18*$AC$25+Q18*$AC$26+R18*$AC$27+S18*$AC$28+T18*$AC$29+U18*$AC$30</f>
        <v/>
      </c>
      <c r="W18" s="8">
        <f>1/(1+EXP(-V18))</f>
        <v/>
      </c>
      <c r="X18" s="9">
        <f>-IF(C18=1,LN(W18),LN(1-W18))</f>
        <v/>
      </c>
      <c r="Y18" s="10">
        <f>IF(W18&gt;$AC$33,1,0)</f>
        <v/>
      </c>
      <c r="Z18">
        <f>IF(Y18=C18,1,0)</f>
        <v/>
      </c>
      <c r="AB18" t="inlineStr">
        <is>
          <t>cta_0_200</t>
        </is>
      </c>
      <c r="AC18" s="11" t="n">
        <v>1.294997779791349</v>
      </c>
      <c r="AD18" s="12" t="n">
        <v>0.6099540907933885</v>
      </c>
      <c r="AE18" s="9">
        <f>ABS(AC18)</f>
        <v/>
      </c>
      <c r="AH18" s="4" t="inlineStr"/>
      <c r="AI18" s="4" t="inlineStr">
        <is>
          <t>precision</t>
        </is>
      </c>
      <c r="AJ18" s="4" t="inlineStr">
        <is>
          <t>recall</t>
        </is>
      </c>
      <c r="AK18" s="4" t="inlineStr">
        <is>
          <t>f1-score</t>
        </is>
      </c>
      <c r="AL18" s="4" t="inlineStr">
        <is>
          <t>support</t>
        </is>
      </c>
    </row>
    <row r="19">
      <c r="A19">
        <f>'1 datos preparados'!A12</f>
        <v/>
      </c>
      <c r="B19" s="5">
        <f>'1 datos preparados'!U12</f>
        <v/>
      </c>
      <c r="C19">
        <f>'1 datos preparados'!B12</f>
        <v/>
      </c>
      <c r="D19" s="7">
        <f>'1 datos preparados'!C12</f>
        <v/>
      </c>
      <c r="E19" s="7">
        <f>'1 datos preparados'!D12</f>
        <v/>
      </c>
      <c r="F19" s="7">
        <f>'1 datos preparados'!E12</f>
        <v/>
      </c>
      <c r="G19" s="7">
        <f>'1 datos preparados'!F12</f>
        <v/>
      </c>
      <c r="H19" s="7">
        <f>'1 datos preparados'!G12</f>
        <v/>
      </c>
      <c r="I19" s="7">
        <f>'1 datos preparados'!H12</f>
        <v/>
      </c>
      <c r="J19" s="7">
        <f>'1 datos preparados'!I12</f>
        <v/>
      </c>
      <c r="K19" s="7">
        <f>'1 datos preparados'!J12</f>
        <v/>
      </c>
      <c r="L19" s="7">
        <f>'1 datos preparados'!K12</f>
        <v/>
      </c>
      <c r="M19" s="7">
        <f>'1 datos preparados'!L12</f>
        <v/>
      </c>
      <c r="N19" s="7">
        <f>'1 datos preparados'!M12</f>
        <v/>
      </c>
      <c r="O19" s="7">
        <f>'1 datos preparados'!N12</f>
        <v/>
      </c>
      <c r="P19" s="7">
        <f>'1 datos preparados'!O12</f>
        <v/>
      </c>
      <c r="Q19" s="7">
        <f>'1 datos preparados'!P12</f>
        <v/>
      </c>
      <c r="R19" s="7">
        <f>'1 datos preparados'!Q12</f>
        <v/>
      </c>
      <c r="S19" s="7">
        <f>'1 datos preparados'!R12</f>
        <v/>
      </c>
      <c r="T19" s="7">
        <f>'1 datos preparados'!S12</f>
        <v/>
      </c>
      <c r="U19" s="7">
        <f>'1 datos preparados'!T12</f>
        <v/>
      </c>
      <c r="V19" s="8">
        <f>$AC$12+D19*$AC$13+E19*$AC$14+F19*$AC$15+G19*$AC$16+H19*$AC$17+I19*$AC$18+J19*$AC$19+K19*$AC$20+L19*$AC$21+M19*$AC$22+N19*$AC$23+O19*$AC$24+P19*$AC$25+Q19*$AC$26+R19*$AC$27+S19*$AC$28+T19*$AC$29+U19*$AC$30</f>
        <v/>
      </c>
      <c r="W19" s="8">
        <f>1/(1+EXP(-V19))</f>
        <v/>
      </c>
      <c r="X19" s="9">
        <f>-IF(C19=1,LN(W19),LN(1-W19))</f>
        <v/>
      </c>
      <c r="Y19" s="10">
        <f>IF(W19&gt;$AC$33,1,0)</f>
        <v/>
      </c>
      <c r="Z19">
        <f>IF(Y19=C19,1,0)</f>
        <v/>
      </c>
      <c r="AB19" t="inlineStr">
        <is>
          <t>cta_sobre_200</t>
        </is>
      </c>
      <c r="AC19" s="11" t="n">
        <v>0.6683615861023957</v>
      </c>
      <c r="AD19" s="12" t="n">
        <v>0</v>
      </c>
      <c r="AE19" s="9">
        <f>ABS(AC19)</f>
        <v/>
      </c>
      <c r="AH19" s="3" t="inlineStr">
        <is>
          <t>clase 0 (paga)</t>
        </is>
      </c>
      <c r="AI19" s="14">
        <f>IF(AJ14+AJ15=0,0,AJ14/(AJ14+AJ15))</f>
        <v/>
      </c>
      <c r="AJ19" s="14">
        <f>IF(AJ14+AK14=0,0,AJ14/(AJ14+AK14))</f>
        <v/>
      </c>
      <c r="AK19" s="14">
        <f>IF(AI19+AJ19=0,0,2*AI19*AJ19/(AI19+AJ19))</f>
        <v/>
      </c>
      <c r="AL19">
        <f>AL14</f>
        <v/>
      </c>
    </row>
    <row r="20">
      <c r="A20">
        <f>'1 datos preparados'!A13</f>
        <v/>
      </c>
      <c r="B20" s="5">
        <f>'1 datos preparados'!U13</f>
        <v/>
      </c>
      <c r="C20">
        <f>'1 datos preparados'!B13</f>
        <v/>
      </c>
      <c r="D20" s="7">
        <f>'1 datos preparados'!C13</f>
        <v/>
      </c>
      <c r="E20" s="7">
        <f>'1 datos preparados'!D13</f>
        <v/>
      </c>
      <c r="F20" s="7">
        <f>'1 datos preparados'!E13</f>
        <v/>
      </c>
      <c r="G20" s="7">
        <f>'1 datos preparados'!F13</f>
        <v/>
      </c>
      <c r="H20" s="7">
        <f>'1 datos preparados'!G13</f>
        <v/>
      </c>
      <c r="I20" s="7">
        <f>'1 datos preparados'!H13</f>
        <v/>
      </c>
      <c r="J20" s="7">
        <f>'1 datos preparados'!I13</f>
        <v/>
      </c>
      <c r="K20" s="7">
        <f>'1 datos preparados'!J13</f>
        <v/>
      </c>
      <c r="L20" s="7">
        <f>'1 datos preparados'!K13</f>
        <v/>
      </c>
      <c r="M20" s="7">
        <f>'1 datos preparados'!L13</f>
        <v/>
      </c>
      <c r="N20" s="7">
        <f>'1 datos preparados'!M13</f>
        <v/>
      </c>
      <c r="O20" s="7">
        <f>'1 datos preparados'!N13</f>
        <v/>
      </c>
      <c r="P20" s="7">
        <f>'1 datos preparados'!O13</f>
        <v/>
      </c>
      <c r="Q20" s="7">
        <f>'1 datos preparados'!P13</f>
        <v/>
      </c>
      <c r="R20" s="7">
        <f>'1 datos preparados'!Q13</f>
        <v/>
      </c>
      <c r="S20" s="7">
        <f>'1 datos preparados'!R13</f>
        <v/>
      </c>
      <c r="T20" s="7">
        <f>'1 datos preparados'!S13</f>
        <v/>
      </c>
      <c r="U20" s="7">
        <f>'1 datos preparados'!T13</f>
        <v/>
      </c>
      <c r="V20" s="8">
        <f>$AC$12+D20*$AC$13+E20*$AC$14+F20*$AC$15+G20*$AC$16+H20*$AC$17+I20*$AC$18+J20*$AC$19+K20*$AC$20+L20*$AC$21+M20*$AC$22+N20*$AC$23+O20*$AC$24+P20*$AC$25+Q20*$AC$26+R20*$AC$27+S20*$AC$28+T20*$AC$29+U20*$AC$30</f>
        <v/>
      </c>
      <c r="W20" s="8">
        <f>1/(1+EXP(-V20))</f>
        <v/>
      </c>
      <c r="X20" s="9">
        <f>-IF(C20=1,LN(W20),LN(1-W20))</f>
        <v/>
      </c>
      <c r="Y20" s="10">
        <f>IF(W20&gt;$AC$33,1,0)</f>
        <v/>
      </c>
      <c r="Z20">
        <f>IF(Y20=C20,1,0)</f>
        <v/>
      </c>
      <c r="AB20" t="inlineStr">
        <is>
          <t>hist_critico</t>
        </is>
      </c>
      <c r="AC20" s="11" t="n">
        <v>-0.6573449373610837</v>
      </c>
      <c r="AD20" s="12" t="n">
        <v>-0.3546961466305654</v>
      </c>
      <c r="AE20" s="9">
        <f>ABS(AC20)</f>
        <v/>
      </c>
      <c r="AH20" s="3" t="inlineStr">
        <is>
          <t>clase 1 (no paga)</t>
        </is>
      </c>
      <c r="AI20" s="14">
        <f>IF(AK15+AK14=0,0,AK15/(AK15+AK14))</f>
        <v/>
      </c>
      <c r="AJ20" s="14">
        <f>IF(AK15+AJ15=0,0,AK15/(AK15+AJ15))</f>
        <v/>
      </c>
      <c r="AK20" s="14">
        <f>IF(AI20+AJ20=0,0,2*AI20*AJ20/(AI20+AJ20))</f>
        <v/>
      </c>
      <c r="AL20">
        <f>AL15</f>
        <v/>
      </c>
    </row>
    <row r="21">
      <c r="A21">
        <f>'1 datos preparados'!A14</f>
        <v/>
      </c>
      <c r="B21" s="5">
        <f>'1 datos preparados'!U14</f>
        <v/>
      </c>
      <c r="C21">
        <f>'1 datos preparados'!B14</f>
        <v/>
      </c>
      <c r="D21" s="7">
        <f>'1 datos preparados'!C14</f>
        <v/>
      </c>
      <c r="E21" s="7">
        <f>'1 datos preparados'!D14</f>
        <v/>
      </c>
      <c r="F21" s="7">
        <f>'1 datos preparados'!E14</f>
        <v/>
      </c>
      <c r="G21" s="7">
        <f>'1 datos preparados'!F14</f>
        <v/>
      </c>
      <c r="H21" s="7">
        <f>'1 datos preparados'!G14</f>
        <v/>
      </c>
      <c r="I21" s="7">
        <f>'1 datos preparados'!H14</f>
        <v/>
      </c>
      <c r="J21" s="7">
        <f>'1 datos preparados'!I14</f>
        <v/>
      </c>
      <c r="K21" s="7">
        <f>'1 datos preparados'!J14</f>
        <v/>
      </c>
      <c r="L21" s="7">
        <f>'1 datos preparados'!K14</f>
        <v/>
      </c>
      <c r="M21" s="7">
        <f>'1 datos preparados'!L14</f>
        <v/>
      </c>
      <c r="N21" s="7">
        <f>'1 datos preparados'!M14</f>
        <v/>
      </c>
      <c r="O21" s="7">
        <f>'1 datos preparados'!N14</f>
        <v/>
      </c>
      <c r="P21" s="7">
        <f>'1 datos preparados'!O14</f>
        <v/>
      </c>
      <c r="Q21" s="7">
        <f>'1 datos preparados'!P14</f>
        <v/>
      </c>
      <c r="R21" s="7">
        <f>'1 datos preparados'!Q14</f>
        <v/>
      </c>
      <c r="S21" s="7">
        <f>'1 datos preparados'!R14</f>
        <v/>
      </c>
      <c r="T21" s="7">
        <f>'1 datos preparados'!S14</f>
        <v/>
      </c>
      <c r="U21" s="7">
        <f>'1 datos preparados'!T14</f>
        <v/>
      </c>
      <c r="V21" s="8">
        <f>$AC$12+D21*$AC$13+E21*$AC$14+F21*$AC$15+G21*$AC$16+H21*$AC$17+I21*$AC$18+J21*$AC$19+K21*$AC$20+L21*$AC$21+M21*$AC$22+N21*$AC$23+O21*$AC$24+P21*$AC$25+Q21*$AC$26+R21*$AC$27+S21*$AC$28+T21*$AC$29+U21*$AC$30</f>
        <v/>
      </c>
      <c r="W21" s="8">
        <f>1/(1+EXP(-V21))</f>
        <v/>
      </c>
      <c r="X21" s="9">
        <f>-IF(C21=1,LN(W21),LN(1-W21))</f>
        <v/>
      </c>
      <c r="Y21" s="10">
        <f>IF(W21&gt;$AC$33,1,0)</f>
        <v/>
      </c>
      <c r="Z21">
        <f>IF(Y21=C21,1,0)</f>
        <v/>
      </c>
      <c r="AB21" t="inlineStr">
        <is>
          <t>hist_atrasos</t>
        </is>
      </c>
      <c r="AC21" s="11" t="n">
        <v>-0.04019551911120235</v>
      </c>
      <c r="AD21" s="12" t="n">
        <v>0</v>
      </c>
      <c r="AE21" s="9">
        <f>ABS(AC21)</f>
        <v/>
      </c>
      <c r="AH21" s="3" t="inlineStr">
        <is>
          <t>accuracy</t>
        </is>
      </c>
      <c r="AK21" s="14">
        <f>(AK15+AJ14)/AL16</f>
        <v/>
      </c>
    </row>
    <row r="22">
      <c r="A22">
        <f>'1 datos preparados'!A15</f>
        <v/>
      </c>
      <c r="B22" s="5">
        <f>'1 datos preparados'!U15</f>
        <v/>
      </c>
      <c r="C22">
        <f>'1 datos preparados'!B15</f>
        <v/>
      </c>
      <c r="D22" s="7">
        <f>'1 datos preparados'!C15</f>
        <v/>
      </c>
      <c r="E22" s="7">
        <f>'1 datos preparados'!D15</f>
        <v/>
      </c>
      <c r="F22" s="7">
        <f>'1 datos preparados'!E15</f>
        <v/>
      </c>
      <c r="G22" s="7">
        <f>'1 datos preparados'!F15</f>
        <v/>
      </c>
      <c r="H22" s="7">
        <f>'1 datos preparados'!G15</f>
        <v/>
      </c>
      <c r="I22" s="7">
        <f>'1 datos preparados'!H15</f>
        <v/>
      </c>
      <c r="J22" s="7">
        <f>'1 datos preparados'!I15</f>
        <v/>
      </c>
      <c r="K22" s="7">
        <f>'1 datos preparados'!J15</f>
        <v/>
      </c>
      <c r="L22" s="7">
        <f>'1 datos preparados'!K15</f>
        <v/>
      </c>
      <c r="M22" s="7">
        <f>'1 datos preparados'!L15</f>
        <v/>
      </c>
      <c r="N22" s="7">
        <f>'1 datos preparados'!M15</f>
        <v/>
      </c>
      <c r="O22" s="7">
        <f>'1 datos preparados'!N15</f>
        <v/>
      </c>
      <c r="P22" s="7">
        <f>'1 datos preparados'!O15</f>
        <v/>
      </c>
      <c r="Q22" s="7">
        <f>'1 datos preparados'!P15</f>
        <v/>
      </c>
      <c r="R22" s="7">
        <f>'1 datos preparados'!Q15</f>
        <v/>
      </c>
      <c r="S22" s="7">
        <f>'1 datos preparados'!R15</f>
        <v/>
      </c>
      <c r="T22" s="7">
        <f>'1 datos preparados'!S15</f>
        <v/>
      </c>
      <c r="U22" s="7">
        <f>'1 datos preparados'!T15</f>
        <v/>
      </c>
      <c r="V22" s="8">
        <f>$AC$12+D22*$AC$13+E22*$AC$14+F22*$AC$15+G22*$AC$16+H22*$AC$17+I22*$AC$18+J22*$AC$19+K22*$AC$20+L22*$AC$21+M22*$AC$22+N22*$AC$23+O22*$AC$24+P22*$AC$25+Q22*$AC$26+R22*$AC$27+S22*$AC$28+T22*$AC$29+U22*$AC$30</f>
        <v/>
      </c>
      <c r="W22" s="8">
        <f>1/(1+EXP(-V22))</f>
        <v/>
      </c>
      <c r="X22" s="9">
        <f>-IF(C22=1,LN(W22),LN(1-W22))</f>
        <v/>
      </c>
      <c r="Y22" s="10">
        <f>IF(W22&gt;$AC$33,1,0)</f>
        <v/>
      </c>
      <c r="Z22">
        <f>IF(Y22=C22,1,0)</f>
        <v/>
      </c>
      <c r="AB22" t="inlineStr">
        <is>
          <t>hist_sin_creditos</t>
        </is>
      </c>
      <c r="AC22" s="11" t="n">
        <v>0.6690656278784681</v>
      </c>
      <c r="AD22" s="12" t="n">
        <v>0.1557054167799621</v>
      </c>
      <c r="AE22" s="9">
        <f>ABS(AC22)</f>
        <v/>
      </c>
    </row>
    <row r="23">
      <c r="A23">
        <f>'1 datos preparados'!A16</f>
        <v/>
      </c>
      <c r="B23" s="5">
        <f>'1 datos preparados'!U16</f>
        <v/>
      </c>
      <c r="C23">
        <f>'1 datos preparados'!B16</f>
        <v/>
      </c>
      <c r="D23" s="7">
        <f>'1 datos preparados'!C16</f>
        <v/>
      </c>
      <c r="E23" s="7">
        <f>'1 datos preparados'!D16</f>
        <v/>
      </c>
      <c r="F23" s="7">
        <f>'1 datos preparados'!E16</f>
        <v/>
      </c>
      <c r="G23" s="7">
        <f>'1 datos preparados'!F16</f>
        <v/>
      </c>
      <c r="H23" s="7">
        <f>'1 datos preparados'!G16</f>
        <v/>
      </c>
      <c r="I23" s="7">
        <f>'1 datos preparados'!H16</f>
        <v/>
      </c>
      <c r="J23" s="7">
        <f>'1 datos preparados'!I16</f>
        <v/>
      </c>
      <c r="K23" s="7">
        <f>'1 datos preparados'!J16</f>
        <v/>
      </c>
      <c r="L23" s="7">
        <f>'1 datos preparados'!K16</f>
        <v/>
      </c>
      <c r="M23" s="7">
        <f>'1 datos preparados'!L16</f>
        <v/>
      </c>
      <c r="N23" s="7">
        <f>'1 datos preparados'!M16</f>
        <v/>
      </c>
      <c r="O23" s="7">
        <f>'1 datos preparados'!N16</f>
        <v/>
      </c>
      <c r="P23" s="7">
        <f>'1 datos preparados'!O16</f>
        <v/>
      </c>
      <c r="Q23" s="7">
        <f>'1 datos preparados'!P16</f>
        <v/>
      </c>
      <c r="R23" s="7">
        <f>'1 datos preparados'!Q16</f>
        <v/>
      </c>
      <c r="S23" s="7">
        <f>'1 datos preparados'!R16</f>
        <v/>
      </c>
      <c r="T23" s="7">
        <f>'1 datos preparados'!S16</f>
        <v/>
      </c>
      <c r="U23" s="7">
        <f>'1 datos preparados'!T16</f>
        <v/>
      </c>
      <c r="V23" s="8">
        <f>$AC$12+D23*$AC$13+E23*$AC$14+F23*$AC$15+G23*$AC$16+H23*$AC$17+I23*$AC$18+J23*$AC$19+K23*$AC$20+L23*$AC$21+M23*$AC$22+N23*$AC$23+O23*$AC$24+P23*$AC$25+Q23*$AC$26+R23*$AC$27+S23*$AC$28+T23*$AC$29+U23*$AC$30</f>
        <v/>
      </c>
      <c r="W23" s="8">
        <f>1/(1+EXP(-V23))</f>
        <v/>
      </c>
      <c r="X23" s="9">
        <f>-IF(C23=1,LN(W23),LN(1-W23))</f>
        <v/>
      </c>
      <c r="Y23" s="10">
        <f>IF(W23&gt;$AC$33,1,0)</f>
        <v/>
      </c>
      <c r="Z23">
        <f>IF(Y23=C23,1,0)</f>
        <v/>
      </c>
      <c r="AB23" t="inlineStr">
        <is>
          <t>ahorro_100_1000</t>
        </is>
      </c>
      <c r="AC23" s="11" t="n">
        <v>-0.3895834298458181</v>
      </c>
      <c r="AD23" s="12" t="n">
        <v>0</v>
      </c>
      <c r="AE23" s="9">
        <f>ABS(AC23)</f>
        <v/>
      </c>
    </row>
    <row r="24">
      <c r="A24">
        <f>'1 datos preparados'!A17</f>
        <v/>
      </c>
      <c r="B24" s="5">
        <f>'1 datos preparados'!U17</f>
        <v/>
      </c>
      <c r="C24">
        <f>'1 datos preparados'!B17</f>
        <v/>
      </c>
      <c r="D24" s="7">
        <f>'1 datos preparados'!C17</f>
        <v/>
      </c>
      <c r="E24" s="7">
        <f>'1 datos preparados'!D17</f>
        <v/>
      </c>
      <c r="F24" s="7">
        <f>'1 datos preparados'!E17</f>
        <v/>
      </c>
      <c r="G24" s="7">
        <f>'1 datos preparados'!F17</f>
        <v/>
      </c>
      <c r="H24" s="7">
        <f>'1 datos preparados'!G17</f>
        <v/>
      </c>
      <c r="I24" s="7">
        <f>'1 datos preparados'!H17</f>
        <v/>
      </c>
      <c r="J24" s="7">
        <f>'1 datos preparados'!I17</f>
        <v/>
      </c>
      <c r="K24" s="7">
        <f>'1 datos preparados'!J17</f>
        <v/>
      </c>
      <c r="L24" s="7">
        <f>'1 datos preparados'!K17</f>
        <v/>
      </c>
      <c r="M24" s="7">
        <f>'1 datos preparados'!L17</f>
        <v/>
      </c>
      <c r="N24" s="7">
        <f>'1 datos preparados'!M17</f>
        <v/>
      </c>
      <c r="O24" s="7">
        <f>'1 datos preparados'!N17</f>
        <v/>
      </c>
      <c r="P24" s="7">
        <f>'1 datos preparados'!O17</f>
        <v/>
      </c>
      <c r="Q24" s="7">
        <f>'1 datos preparados'!P17</f>
        <v/>
      </c>
      <c r="R24" s="7">
        <f>'1 datos preparados'!Q17</f>
        <v/>
      </c>
      <c r="S24" s="7">
        <f>'1 datos preparados'!R17</f>
        <v/>
      </c>
      <c r="T24" s="7">
        <f>'1 datos preparados'!S17</f>
        <v/>
      </c>
      <c r="U24" s="7">
        <f>'1 datos preparados'!T17</f>
        <v/>
      </c>
      <c r="V24" s="8">
        <f>$AC$12+D24*$AC$13+E24*$AC$14+F24*$AC$15+G24*$AC$16+H24*$AC$17+I24*$AC$18+J24*$AC$19+K24*$AC$20+L24*$AC$21+M24*$AC$22+N24*$AC$23+O24*$AC$24+P24*$AC$25+Q24*$AC$26+R24*$AC$27+S24*$AC$28+T24*$AC$29+U24*$AC$30</f>
        <v/>
      </c>
      <c r="W24" s="8">
        <f>1/(1+EXP(-V24))</f>
        <v/>
      </c>
      <c r="X24" s="9">
        <f>-IF(C24=1,LN(W24),LN(1-W24))</f>
        <v/>
      </c>
      <c r="Y24" s="10">
        <f>IF(W24&gt;$AC$33,1,0)</f>
        <v/>
      </c>
      <c r="Z24">
        <f>IF(Y24=C24,1,0)</f>
        <v/>
      </c>
      <c r="AB24" t="inlineStr">
        <is>
          <t>ahorro_sobre_1000</t>
        </is>
      </c>
      <c r="AC24" s="11" t="n">
        <v>-0.8892238593761824</v>
      </c>
      <c r="AD24" s="12" t="n">
        <v>0</v>
      </c>
      <c r="AE24" s="9">
        <f>ABS(AC24)</f>
        <v/>
      </c>
    </row>
    <row r="25">
      <c r="A25">
        <f>'1 datos preparados'!A18</f>
        <v/>
      </c>
      <c r="B25" s="5">
        <f>'1 datos preparados'!U18</f>
        <v/>
      </c>
      <c r="C25">
        <f>'1 datos preparados'!B18</f>
        <v/>
      </c>
      <c r="D25" s="7">
        <f>'1 datos preparados'!C18</f>
        <v/>
      </c>
      <c r="E25" s="7">
        <f>'1 datos preparados'!D18</f>
        <v/>
      </c>
      <c r="F25" s="7">
        <f>'1 datos preparados'!E18</f>
        <v/>
      </c>
      <c r="G25" s="7">
        <f>'1 datos preparados'!F18</f>
        <v/>
      </c>
      <c r="H25" s="7">
        <f>'1 datos preparados'!G18</f>
        <v/>
      </c>
      <c r="I25" s="7">
        <f>'1 datos preparados'!H18</f>
        <v/>
      </c>
      <c r="J25" s="7">
        <f>'1 datos preparados'!I18</f>
        <v/>
      </c>
      <c r="K25" s="7">
        <f>'1 datos preparados'!J18</f>
        <v/>
      </c>
      <c r="L25" s="7">
        <f>'1 datos preparados'!K18</f>
        <v/>
      </c>
      <c r="M25" s="7">
        <f>'1 datos preparados'!L18</f>
        <v/>
      </c>
      <c r="N25" s="7">
        <f>'1 datos preparados'!M18</f>
        <v/>
      </c>
      <c r="O25" s="7">
        <f>'1 datos preparados'!N18</f>
        <v/>
      </c>
      <c r="P25" s="7">
        <f>'1 datos preparados'!O18</f>
        <v/>
      </c>
      <c r="Q25" s="7">
        <f>'1 datos preparados'!P18</f>
        <v/>
      </c>
      <c r="R25" s="7">
        <f>'1 datos preparados'!Q18</f>
        <v/>
      </c>
      <c r="S25" s="7">
        <f>'1 datos preparados'!R18</f>
        <v/>
      </c>
      <c r="T25" s="7">
        <f>'1 datos preparados'!S18</f>
        <v/>
      </c>
      <c r="U25" s="7">
        <f>'1 datos preparados'!T18</f>
        <v/>
      </c>
      <c r="V25" s="8">
        <f>$AC$12+D25*$AC$13+E25*$AC$14+F25*$AC$15+G25*$AC$16+H25*$AC$17+I25*$AC$18+J25*$AC$19+K25*$AC$20+L25*$AC$21+M25*$AC$22+N25*$AC$23+O25*$AC$24+P25*$AC$25+Q25*$AC$26+R25*$AC$27+S25*$AC$28+T25*$AC$29+U25*$AC$30</f>
        <v/>
      </c>
      <c r="W25" s="8">
        <f>1/(1+EXP(-V25))</f>
        <v/>
      </c>
      <c r="X25" s="9">
        <f>-IF(C25=1,LN(W25),LN(1-W25))</f>
        <v/>
      </c>
      <c r="Y25" s="10">
        <f>IF(W25&gt;$AC$33,1,0)</f>
        <v/>
      </c>
      <c r="Z25">
        <f>IF(Y25=C25,1,0)</f>
        <v/>
      </c>
      <c r="AB25" t="inlineStr">
        <is>
          <t>ahorro_desconocido</t>
        </is>
      </c>
      <c r="AC25" s="11" t="n">
        <v>-1.076092926242446</v>
      </c>
      <c r="AD25" s="12" t="n">
        <v>-0.2330874688033207</v>
      </c>
      <c r="AE25" s="9">
        <f>ABS(AC25)</f>
        <v/>
      </c>
    </row>
    <row r="26">
      <c r="A26">
        <f>'1 datos preparados'!A19</f>
        <v/>
      </c>
      <c r="B26" s="5">
        <f>'1 datos preparados'!U19</f>
        <v/>
      </c>
      <c r="C26">
        <f>'1 datos preparados'!B19</f>
        <v/>
      </c>
      <c r="D26" s="7">
        <f>'1 datos preparados'!C19</f>
        <v/>
      </c>
      <c r="E26" s="7">
        <f>'1 datos preparados'!D19</f>
        <v/>
      </c>
      <c r="F26" s="7">
        <f>'1 datos preparados'!E19</f>
        <v/>
      </c>
      <c r="G26" s="7">
        <f>'1 datos preparados'!F19</f>
        <v/>
      </c>
      <c r="H26" s="7">
        <f>'1 datos preparados'!G19</f>
        <v/>
      </c>
      <c r="I26" s="7">
        <f>'1 datos preparados'!H19</f>
        <v/>
      </c>
      <c r="J26" s="7">
        <f>'1 datos preparados'!I19</f>
        <v/>
      </c>
      <c r="K26" s="7">
        <f>'1 datos preparados'!J19</f>
        <v/>
      </c>
      <c r="L26" s="7">
        <f>'1 datos preparados'!K19</f>
        <v/>
      </c>
      <c r="M26" s="7">
        <f>'1 datos preparados'!L19</f>
        <v/>
      </c>
      <c r="N26" s="7">
        <f>'1 datos preparados'!M19</f>
        <v/>
      </c>
      <c r="O26" s="7">
        <f>'1 datos preparados'!N19</f>
        <v/>
      </c>
      <c r="P26" s="7">
        <f>'1 datos preparados'!O19</f>
        <v/>
      </c>
      <c r="Q26" s="7">
        <f>'1 datos preparados'!P19</f>
        <v/>
      </c>
      <c r="R26" s="7">
        <f>'1 datos preparados'!Q19</f>
        <v/>
      </c>
      <c r="S26" s="7">
        <f>'1 datos preparados'!R19</f>
        <v/>
      </c>
      <c r="T26" s="7">
        <f>'1 datos preparados'!S19</f>
        <v/>
      </c>
      <c r="U26" s="7">
        <f>'1 datos preparados'!T19</f>
        <v/>
      </c>
      <c r="V26" s="8">
        <f>$AC$12+D26*$AC$13+E26*$AC$14+F26*$AC$15+G26*$AC$16+H26*$AC$17+I26*$AC$18+J26*$AC$19+K26*$AC$20+L26*$AC$21+M26*$AC$22+N26*$AC$23+O26*$AC$24+P26*$AC$25+Q26*$AC$26+R26*$AC$27+S26*$AC$28+T26*$AC$29+U26*$AC$30</f>
        <v/>
      </c>
      <c r="W26" s="8">
        <f>1/(1+EXP(-V26))</f>
        <v/>
      </c>
      <c r="X26" s="9">
        <f>-IF(C26=1,LN(W26),LN(1-W26))</f>
        <v/>
      </c>
      <c r="Y26" s="10">
        <f>IF(W26&gt;$AC$33,1,0)</f>
        <v/>
      </c>
      <c r="Z26">
        <f>IF(Y26=C26,1,0)</f>
        <v/>
      </c>
      <c r="AB26" t="inlineStr">
        <is>
          <t>vivienda_arriendo</t>
        </is>
      </c>
      <c r="AC26" s="11" t="n">
        <v>0.6538371780658356</v>
      </c>
      <c r="AD26" s="12" t="n">
        <v>0.08412865889629209</v>
      </c>
      <c r="AE26" s="9">
        <f>ABS(AC26)</f>
        <v/>
      </c>
    </row>
    <row r="27">
      <c r="A27">
        <f>'1 datos preparados'!A20</f>
        <v/>
      </c>
      <c r="B27" s="5">
        <f>'1 datos preparados'!U20</f>
        <v/>
      </c>
      <c r="C27">
        <f>'1 datos preparados'!B20</f>
        <v/>
      </c>
      <c r="D27" s="7">
        <f>'1 datos preparados'!C20</f>
        <v/>
      </c>
      <c r="E27" s="7">
        <f>'1 datos preparados'!D20</f>
        <v/>
      </c>
      <c r="F27" s="7">
        <f>'1 datos preparados'!E20</f>
        <v/>
      </c>
      <c r="G27" s="7">
        <f>'1 datos preparados'!F20</f>
        <v/>
      </c>
      <c r="H27" s="7">
        <f>'1 datos preparados'!G20</f>
        <v/>
      </c>
      <c r="I27" s="7">
        <f>'1 datos preparados'!H20</f>
        <v/>
      </c>
      <c r="J27" s="7">
        <f>'1 datos preparados'!I20</f>
        <v/>
      </c>
      <c r="K27" s="7">
        <f>'1 datos preparados'!J20</f>
        <v/>
      </c>
      <c r="L27" s="7">
        <f>'1 datos preparados'!K20</f>
        <v/>
      </c>
      <c r="M27" s="7">
        <f>'1 datos preparados'!L20</f>
        <v/>
      </c>
      <c r="N27" s="7">
        <f>'1 datos preparados'!M20</f>
        <v/>
      </c>
      <c r="O27" s="7">
        <f>'1 datos preparados'!N20</f>
        <v/>
      </c>
      <c r="P27" s="7">
        <f>'1 datos preparados'!O20</f>
        <v/>
      </c>
      <c r="Q27" s="7">
        <f>'1 datos preparados'!P20</f>
        <v/>
      </c>
      <c r="R27" s="7">
        <f>'1 datos preparados'!Q20</f>
        <v/>
      </c>
      <c r="S27" s="7">
        <f>'1 datos preparados'!R20</f>
        <v/>
      </c>
      <c r="T27" s="7">
        <f>'1 datos preparados'!S20</f>
        <v/>
      </c>
      <c r="U27" s="7">
        <f>'1 datos preparados'!T20</f>
        <v/>
      </c>
      <c r="V27" s="8">
        <f>$AC$12+D27*$AC$13+E27*$AC$14+F27*$AC$15+G27*$AC$16+H27*$AC$17+I27*$AC$18+J27*$AC$19+K27*$AC$20+L27*$AC$21+M27*$AC$22+N27*$AC$23+O27*$AC$24+P27*$AC$25+Q27*$AC$26+R27*$AC$27+S27*$AC$28+T27*$AC$29+U27*$AC$30</f>
        <v/>
      </c>
      <c r="W27" s="8">
        <f>1/(1+EXP(-V27))</f>
        <v/>
      </c>
      <c r="X27" s="9">
        <f>-IF(C27=1,LN(W27),LN(1-W27))</f>
        <v/>
      </c>
      <c r="Y27" s="10">
        <f>IF(W27&gt;$AC$33,1,0)</f>
        <v/>
      </c>
      <c r="Z27">
        <f>IF(Y27=C27,1,0)</f>
        <v/>
      </c>
      <c r="AB27" t="inlineStr">
        <is>
          <t>vivienda_gratis</t>
        </is>
      </c>
      <c r="AC27" s="11" t="n">
        <v>0.1953653579159878</v>
      </c>
      <c r="AD27" s="12" t="n">
        <v>0</v>
      </c>
      <c r="AE27" s="9">
        <f>ABS(AC27)</f>
        <v/>
      </c>
    </row>
    <row r="28">
      <c r="A28">
        <f>'1 datos preparados'!A21</f>
        <v/>
      </c>
      <c r="B28" s="5">
        <f>'1 datos preparados'!U21</f>
        <v/>
      </c>
      <c r="C28">
        <f>'1 datos preparados'!B21</f>
        <v/>
      </c>
      <c r="D28" s="7">
        <f>'1 datos preparados'!C21</f>
        <v/>
      </c>
      <c r="E28" s="7">
        <f>'1 datos preparados'!D21</f>
        <v/>
      </c>
      <c r="F28" s="7">
        <f>'1 datos preparados'!E21</f>
        <v/>
      </c>
      <c r="G28" s="7">
        <f>'1 datos preparados'!F21</f>
        <v/>
      </c>
      <c r="H28" s="7">
        <f>'1 datos preparados'!G21</f>
        <v/>
      </c>
      <c r="I28" s="7">
        <f>'1 datos preparados'!H21</f>
        <v/>
      </c>
      <c r="J28" s="7">
        <f>'1 datos preparados'!I21</f>
        <v/>
      </c>
      <c r="K28" s="7">
        <f>'1 datos preparados'!J21</f>
        <v/>
      </c>
      <c r="L28" s="7">
        <f>'1 datos preparados'!K21</f>
        <v/>
      </c>
      <c r="M28" s="7">
        <f>'1 datos preparados'!L21</f>
        <v/>
      </c>
      <c r="N28" s="7">
        <f>'1 datos preparados'!M21</f>
        <v/>
      </c>
      <c r="O28" s="7">
        <f>'1 datos preparados'!N21</f>
        <v/>
      </c>
      <c r="P28" s="7">
        <f>'1 datos preparados'!O21</f>
        <v/>
      </c>
      <c r="Q28" s="7">
        <f>'1 datos preparados'!P21</f>
        <v/>
      </c>
      <c r="R28" s="7">
        <f>'1 datos preparados'!Q21</f>
        <v/>
      </c>
      <c r="S28" s="7">
        <f>'1 datos preparados'!R21</f>
        <v/>
      </c>
      <c r="T28" s="7">
        <f>'1 datos preparados'!S21</f>
        <v/>
      </c>
      <c r="U28" s="7">
        <f>'1 datos preparados'!T21</f>
        <v/>
      </c>
      <c r="V28" s="8">
        <f>$AC$12+D28*$AC$13+E28*$AC$14+F28*$AC$15+G28*$AC$16+H28*$AC$17+I28*$AC$18+J28*$AC$19+K28*$AC$20+L28*$AC$21+M28*$AC$22+N28*$AC$23+O28*$AC$24+P28*$AC$25+Q28*$AC$26+R28*$AC$27+S28*$AC$28+T28*$AC$29+U28*$AC$30</f>
        <v/>
      </c>
      <c r="W28" s="8">
        <f>1/(1+EXP(-V28))</f>
        <v/>
      </c>
      <c r="X28" s="9">
        <f>-IF(C28=1,LN(W28),LN(1-W28))</f>
        <v/>
      </c>
      <c r="Y28" s="10">
        <f>IF(W28&gt;$AC$33,1,0)</f>
        <v/>
      </c>
      <c r="Z28">
        <f>IF(Y28=C28,1,0)</f>
        <v/>
      </c>
      <c r="AB28" t="inlineStr">
        <is>
          <t>proposito_auto</t>
        </is>
      </c>
      <c r="AC28" s="11" t="n">
        <v>-0.08016547581790479</v>
      </c>
      <c r="AD28" s="12" t="n">
        <v>0</v>
      </c>
      <c r="AE28" s="9">
        <f>ABS(AC28)</f>
        <v/>
      </c>
    </row>
    <row r="29">
      <c r="A29">
        <f>'1 datos preparados'!A22</f>
        <v/>
      </c>
      <c r="B29" s="5">
        <f>'1 datos preparados'!U22</f>
        <v/>
      </c>
      <c r="C29">
        <f>'1 datos preparados'!B22</f>
        <v/>
      </c>
      <c r="D29" s="7">
        <f>'1 datos preparados'!C22</f>
        <v/>
      </c>
      <c r="E29" s="7">
        <f>'1 datos preparados'!D22</f>
        <v/>
      </c>
      <c r="F29" s="7">
        <f>'1 datos preparados'!E22</f>
        <v/>
      </c>
      <c r="G29" s="7">
        <f>'1 datos preparados'!F22</f>
        <v/>
      </c>
      <c r="H29" s="7">
        <f>'1 datos preparados'!G22</f>
        <v/>
      </c>
      <c r="I29" s="7">
        <f>'1 datos preparados'!H22</f>
        <v/>
      </c>
      <c r="J29" s="7">
        <f>'1 datos preparados'!I22</f>
        <v/>
      </c>
      <c r="K29" s="7">
        <f>'1 datos preparados'!J22</f>
        <v/>
      </c>
      <c r="L29" s="7">
        <f>'1 datos preparados'!K22</f>
        <v/>
      </c>
      <c r="M29" s="7">
        <f>'1 datos preparados'!L22</f>
        <v/>
      </c>
      <c r="N29" s="7">
        <f>'1 datos preparados'!M22</f>
        <v/>
      </c>
      <c r="O29" s="7">
        <f>'1 datos preparados'!N22</f>
        <v/>
      </c>
      <c r="P29" s="7">
        <f>'1 datos preparados'!O22</f>
        <v/>
      </c>
      <c r="Q29" s="7">
        <f>'1 datos preparados'!P22</f>
        <v/>
      </c>
      <c r="R29" s="7">
        <f>'1 datos preparados'!Q22</f>
        <v/>
      </c>
      <c r="S29" s="7">
        <f>'1 datos preparados'!R22</f>
        <v/>
      </c>
      <c r="T29" s="7">
        <f>'1 datos preparados'!S22</f>
        <v/>
      </c>
      <c r="U29" s="7">
        <f>'1 datos preparados'!T22</f>
        <v/>
      </c>
      <c r="V29" s="8">
        <f>$AC$12+D29*$AC$13+E29*$AC$14+F29*$AC$15+G29*$AC$16+H29*$AC$17+I29*$AC$18+J29*$AC$19+K29*$AC$20+L29*$AC$21+M29*$AC$22+N29*$AC$23+O29*$AC$24+P29*$AC$25+Q29*$AC$26+R29*$AC$27+S29*$AC$28+T29*$AC$29+U29*$AC$30</f>
        <v/>
      </c>
      <c r="W29" s="8">
        <f>1/(1+EXP(-V29))</f>
        <v/>
      </c>
      <c r="X29" s="9">
        <f>-IF(C29=1,LN(W29),LN(1-W29))</f>
        <v/>
      </c>
      <c r="Y29" s="10">
        <f>IF(W29&gt;$AC$33,1,0)</f>
        <v/>
      </c>
      <c r="Z29">
        <f>IF(Y29=C29,1,0)</f>
        <v/>
      </c>
      <c r="AB29" t="inlineStr">
        <is>
          <t>proposito_radio_tv</t>
        </is>
      </c>
      <c r="AC29" s="11" t="n">
        <v>-0.5202106472417524</v>
      </c>
      <c r="AD29" s="12" t="n">
        <v>-0.0649363807593048</v>
      </c>
      <c r="AE29" s="9">
        <f>ABS(AC29)</f>
        <v/>
      </c>
    </row>
    <row r="30">
      <c r="A30">
        <f>'1 datos preparados'!A23</f>
        <v/>
      </c>
      <c r="B30" s="5">
        <f>'1 datos preparados'!U23</f>
        <v/>
      </c>
      <c r="C30">
        <f>'1 datos preparados'!B23</f>
        <v/>
      </c>
      <c r="D30" s="7">
        <f>'1 datos preparados'!C23</f>
        <v/>
      </c>
      <c r="E30" s="7">
        <f>'1 datos preparados'!D23</f>
        <v/>
      </c>
      <c r="F30" s="7">
        <f>'1 datos preparados'!E23</f>
        <v/>
      </c>
      <c r="G30" s="7">
        <f>'1 datos preparados'!F23</f>
        <v/>
      </c>
      <c r="H30" s="7">
        <f>'1 datos preparados'!G23</f>
        <v/>
      </c>
      <c r="I30" s="7">
        <f>'1 datos preparados'!H23</f>
        <v/>
      </c>
      <c r="J30" s="7">
        <f>'1 datos preparados'!I23</f>
        <v/>
      </c>
      <c r="K30" s="7">
        <f>'1 datos preparados'!J23</f>
        <v/>
      </c>
      <c r="L30" s="7">
        <f>'1 datos preparados'!K23</f>
        <v/>
      </c>
      <c r="M30" s="7">
        <f>'1 datos preparados'!L23</f>
        <v/>
      </c>
      <c r="N30" s="7">
        <f>'1 datos preparados'!M23</f>
        <v/>
      </c>
      <c r="O30" s="7">
        <f>'1 datos preparados'!N23</f>
        <v/>
      </c>
      <c r="P30" s="7">
        <f>'1 datos preparados'!O23</f>
        <v/>
      </c>
      <c r="Q30" s="7">
        <f>'1 datos preparados'!P23</f>
        <v/>
      </c>
      <c r="R30" s="7">
        <f>'1 datos preparados'!Q23</f>
        <v/>
      </c>
      <c r="S30" s="7">
        <f>'1 datos preparados'!R23</f>
        <v/>
      </c>
      <c r="T30" s="7">
        <f>'1 datos preparados'!S23</f>
        <v/>
      </c>
      <c r="U30" s="7">
        <f>'1 datos preparados'!T23</f>
        <v/>
      </c>
      <c r="V30" s="8">
        <f>$AC$12+D30*$AC$13+E30*$AC$14+F30*$AC$15+G30*$AC$16+H30*$AC$17+I30*$AC$18+J30*$AC$19+K30*$AC$20+L30*$AC$21+M30*$AC$22+N30*$AC$23+O30*$AC$24+P30*$AC$25+Q30*$AC$26+R30*$AC$27+S30*$AC$28+T30*$AC$29+U30*$AC$30</f>
        <v/>
      </c>
      <c r="W30" s="8">
        <f>1/(1+EXP(-V30))</f>
        <v/>
      </c>
      <c r="X30" s="9">
        <f>-IF(C30=1,LN(W30),LN(1-W30))</f>
        <v/>
      </c>
      <c r="Y30" s="10">
        <f>IF(W30&gt;$AC$33,1,0)</f>
        <v/>
      </c>
      <c r="Z30">
        <f>IF(Y30=C30,1,0)</f>
        <v/>
      </c>
      <c r="AB30" t="inlineStr">
        <is>
          <t>proposito_muebles</t>
        </is>
      </c>
      <c r="AC30" s="11" t="n">
        <v>-0.2818027438096851</v>
      </c>
      <c r="AD30" s="12" t="n">
        <v>0</v>
      </c>
      <c r="AE30" s="9">
        <f>ABS(AC30)</f>
        <v/>
      </c>
    </row>
    <row r="31">
      <c r="A31">
        <f>'1 datos preparados'!A24</f>
        <v/>
      </c>
      <c r="B31" s="5">
        <f>'1 datos preparados'!U24</f>
        <v/>
      </c>
      <c r="C31">
        <f>'1 datos preparados'!B24</f>
        <v/>
      </c>
      <c r="D31" s="7">
        <f>'1 datos preparados'!C24</f>
        <v/>
      </c>
      <c r="E31" s="7">
        <f>'1 datos preparados'!D24</f>
        <v/>
      </c>
      <c r="F31" s="7">
        <f>'1 datos preparados'!E24</f>
        <v/>
      </c>
      <c r="G31" s="7">
        <f>'1 datos preparados'!F24</f>
        <v/>
      </c>
      <c r="H31" s="7">
        <f>'1 datos preparados'!G24</f>
        <v/>
      </c>
      <c r="I31" s="7">
        <f>'1 datos preparados'!H24</f>
        <v/>
      </c>
      <c r="J31" s="7">
        <f>'1 datos preparados'!I24</f>
        <v/>
      </c>
      <c r="K31" s="7">
        <f>'1 datos preparados'!J24</f>
        <v/>
      </c>
      <c r="L31" s="7">
        <f>'1 datos preparados'!K24</f>
        <v/>
      </c>
      <c r="M31" s="7">
        <f>'1 datos preparados'!L24</f>
        <v/>
      </c>
      <c r="N31" s="7">
        <f>'1 datos preparados'!M24</f>
        <v/>
      </c>
      <c r="O31" s="7">
        <f>'1 datos preparados'!N24</f>
        <v/>
      </c>
      <c r="P31" s="7">
        <f>'1 datos preparados'!O24</f>
        <v/>
      </c>
      <c r="Q31" s="7">
        <f>'1 datos preparados'!P24</f>
        <v/>
      </c>
      <c r="R31" s="7">
        <f>'1 datos preparados'!Q24</f>
        <v/>
      </c>
      <c r="S31" s="7">
        <f>'1 datos preparados'!R24</f>
        <v/>
      </c>
      <c r="T31" s="7">
        <f>'1 datos preparados'!S24</f>
        <v/>
      </c>
      <c r="U31" s="7">
        <f>'1 datos preparados'!T24</f>
        <v/>
      </c>
      <c r="V31" s="8">
        <f>$AC$12+D31*$AC$13+E31*$AC$14+F31*$AC$15+G31*$AC$16+H31*$AC$17+I31*$AC$18+J31*$AC$19+K31*$AC$20+L31*$AC$21+M31*$AC$22+N31*$AC$23+O31*$AC$24+P31*$AC$25+Q31*$AC$26+R31*$AC$27+S31*$AC$28+T31*$AC$29+U31*$AC$30</f>
        <v/>
      </c>
      <c r="W31" s="8">
        <f>1/(1+EXP(-V31))</f>
        <v/>
      </c>
      <c r="X31" s="9">
        <f>-IF(C31=1,LN(W31),LN(1-W31))</f>
        <v/>
      </c>
      <c r="Y31" s="10">
        <f>IF(W31&gt;$AC$33,1,0)</f>
        <v/>
      </c>
      <c r="Z31">
        <f>IF(Y31=C31,1,0)</f>
        <v/>
      </c>
    </row>
    <row r="32">
      <c r="A32">
        <f>'1 datos preparados'!A25</f>
        <v/>
      </c>
      <c r="B32" s="5">
        <f>'1 datos preparados'!U25</f>
        <v/>
      </c>
      <c r="C32">
        <f>'1 datos preparados'!B25</f>
        <v/>
      </c>
      <c r="D32" s="7">
        <f>'1 datos preparados'!C25</f>
        <v/>
      </c>
      <c r="E32" s="7">
        <f>'1 datos preparados'!D25</f>
        <v/>
      </c>
      <c r="F32" s="7">
        <f>'1 datos preparados'!E25</f>
        <v/>
      </c>
      <c r="G32" s="7">
        <f>'1 datos preparados'!F25</f>
        <v/>
      </c>
      <c r="H32" s="7">
        <f>'1 datos preparados'!G25</f>
        <v/>
      </c>
      <c r="I32" s="7">
        <f>'1 datos preparados'!H25</f>
        <v/>
      </c>
      <c r="J32" s="7">
        <f>'1 datos preparados'!I25</f>
        <v/>
      </c>
      <c r="K32" s="7">
        <f>'1 datos preparados'!J25</f>
        <v/>
      </c>
      <c r="L32" s="7">
        <f>'1 datos preparados'!K25</f>
        <v/>
      </c>
      <c r="M32" s="7">
        <f>'1 datos preparados'!L25</f>
        <v/>
      </c>
      <c r="N32" s="7">
        <f>'1 datos preparados'!M25</f>
        <v/>
      </c>
      <c r="O32" s="7">
        <f>'1 datos preparados'!N25</f>
        <v/>
      </c>
      <c r="P32" s="7">
        <f>'1 datos preparados'!O25</f>
        <v/>
      </c>
      <c r="Q32" s="7">
        <f>'1 datos preparados'!P25</f>
        <v/>
      </c>
      <c r="R32" s="7">
        <f>'1 datos preparados'!Q25</f>
        <v/>
      </c>
      <c r="S32" s="7">
        <f>'1 datos preparados'!R25</f>
        <v/>
      </c>
      <c r="T32" s="7">
        <f>'1 datos preparados'!S25</f>
        <v/>
      </c>
      <c r="U32" s="7">
        <f>'1 datos preparados'!T25</f>
        <v/>
      </c>
      <c r="V32" s="8">
        <f>$AC$12+D32*$AC$13+E32*$AC$14+F32*$AC$15+G32*$AC$16+H32*$AC$17+I32*$AC$18+J32*$AC$19+K32*$AC$20+L32*$AC$21+M32*$AC$22+N32*$AC$23+O32*$AC$24+P32*$AC$25+Q32*$AC$26+R32*$AC$27+S32*$AC$28+T32*$AC$29+U32*$AC$30</f>
        <v/>
      </c>
      <c r="W32" s="8">
        <f>1/(1+EXP(-V32))</f>
        <v/>
      </c>
      <c r="X32" s="9">
        <f>-IF(C32=1,LN(W32),LN(1-W32))</f>
        <v/>
      </c>
      <c r="Y32" s="10">
        <f>IF(W32&gt;$AC$33,1,0)</f>
        <v/>
      </c>
      <c r="Z32">
        <f>IF(Y32=C32,1,0)</f>
        <v/>
      </c>
      <c r="AB32" s="3" t="inlineStr">
        <is>
          <t>λ (lambda): cuánto cuesta el tamaño de los pesos</t>
        </is>
      </c>
      <c r="AC32" s="15" t="n">
        <v>10</v>
      </c>
    </row>
    <row r="33">
      <c r="A33">
        <f>'1 datos preparados'!A26</f>
        <v/>
      </c>
      <c r="B33" s="5">
        <f>'1 datos preparados'!U26</f>
        <v/>
      </c>
      <c r="C33">
        <f>'1 datos preparados'!B26</f>
        <v/>
      </c>
      <c r="D33" s="7">
        <f>'1 datos preparados'!C26</f>
        <v/>
      </c>
      <c r="E33" s="7">
        <f>'1 datos preparados'!D26</f>
        <v/>
      </c>
      <c r="F33" s="7">
        <f>'1 datos preparados'!E26</f>
        <v/>
      </c>
      <c r="G33" s="7">
        <f>'1 datos preparados'!F26</f>
        <v/>
      </c>
      <c r="H33" s="7">
        <f>'1 datos preparados'!G26</f>
        <v/>
      </c>
      <c r="I33" s="7">
        <f>'1 datos preparados'!H26</f>
        <v/>
      </c>
      <c r="J33" s="7">
        <f>'1 datos preparados'!I26</f>
        <v/>
      </c>
      <c r="K33" s="7">
        <f>'1 datos preparados'!J26</f>
        <v/>
      </c>
      <c r="L33" s="7">
        <f>'1 datos preparados'!K26</f>
        <v/>
      </c>
      <c r="M33" s="7">
        <f>'1 datos preparados'!L26</f>
        <v/>
      </c>
      <c r="N33" s="7">
        <f>'1 datos preparados'!M26</f>
        <v/>
      </c>
      <c r="O33" s="7">
        <f>'1 datos preparados'!N26</f>
        <v/>
      </c>
      <c r="P33" s="7">
        <f>'1 datos preparados'!O26</f>
        <v/>
      </c>
      <c r="Q33" s="7">
        <f>'1 datos preparados'!P26</f>
        <v/>
      </c>
      <c r="R33" s="7">
        <f>'1 datos preparados'!Q26</f>
        <v/>
      </c>
      <c r="S33" s="7">
        <f>'1 datos preparados'!R26</f>
        <v/>
      </c>
      <c r="T33" s="7">
        <f>'1 datos preparados'!S26</f>
        <v/>
      </c>
      <c r="U33" s="7">
        <f>'1 datos preparados'!T26</f>
        <v/>
      </c>
      <c r="V33" s="8">
        <f>$AC$12+D33*$AC$13+E33*$AC$14+F33*$AC$15+G33*$AC$16+H33*$AC$17+I33*$AC$18+J33*$AC$19+K33*$AC$20+L33*$AC$21+M33*$AC$22+N33*$AC$23+O33*$AC$24+P33*$AC$25+Q33*$AC$26+R33*$AC$27+S33*$AC$28+T33*$AC$29+U33*$AC$30</f>
        <v/>
      </c>
      <c r="W33" s="8">
        <f>1/(1+EXP(-V33))</f>
        <v/>
      </c>
      <c r="X33" s="9">
        <f>-IF(C33=1,LN(W33),LN(1-W33))</f>
        <v/>
      </c>
      <c r="Y33" s="10">
        <f>IF(W33&gt;$AC$33,1,0)</f>
        <v/>
      </c>
      <c r="Z33">
        <f>IF(Y33=C33,1,0)</f>
        <v/>
      </c>
      <c r="AB33" s="3" t="inlineStr">
        <is>
          <t>umbral</t>
        </is>
      </c>
      <c r="AC33" s="16" t="n">
        <v>0.5</v>
      </c>
    </row>
    <row r="34">
      <c r="A34">
        <f>'1 datos preparados'!A27</f>
        <v/>
      </c>
      <c r="B34" s="5">
        <f>'1 datos preparados'!U27</f>
        <v/>
      </c>
      <c r="C34">
        <f>'1 datos preparados'!B27</f>
        <v/>
      </c>
      <c r="D34" s="7">
        <f>'1 datos preparados'!C27</f>
        <v/>
      </c>
      <c r="E34" s="7">
        <f>'1 datos preparados'!D27</f>
        <v/>
      </c>
      <c r="F34" s="7">
        <f>'1 datos preparados'!E27</f>
        <v/>
      </c>
      <c r="G34" s="7">
        <f>'1 datos preparados'!F27</f>
        <v/>
      </c>
      <c r="H34" s="7">
        <f>'1 datos preparados'!G27</f>
        <v/>
      </c>
      <c r="I34" s="7">
        <f>'1 datos preparados'!H27</f>
        <v/>
      </c>
      <c r="J34" s="7">
        <f>'1 datos preparados'!I27</f>
        <v/>
      </c>
      <c r="K34" s="7">
        <f>'1 datos preparados'!J27</f>
        <v/>
      </c>
      <c r="L34" s="7">
        <f>'1 datos preparados'!K27</f>
        <v/>
      </c>
      <c r="M34" s="7">
        <f>'1 datos preparados'!L27</f>
        <v/>
      </c>
      <c r="N34" s="7">
        <f>'1 datos preparados'!M27</f>
        <v/>
      </c>
      <c r="O34" s="7">
        <f>'1 datos preparados'!N27</f>
        <v/>
      </c>
      <c r="P34" s="7">
        <f>'1 datos preparados'!O27</f>
        <v/>
      </c>
      <c r="Q34" s="7">
        <f>'1 datos preparados'!P27</f>
        <v/>
      </c>
      <c r="R34" s="7">
        <f>'1 datos preparados'!Q27</f>
        <v/>
      </c>
      <c r="S34" s="7">
        <f>'1 datos preparados'!R27</f>
        <v/>
      </c>
      <c r="T34" s="7">
        <f>'1 datos preparados'!S27</f>
        <v/>
      </c>
      <c r="U34" s="7">
        <f>'1 datos preparados'!T27</f>
        <v/>
      </c>
      <c r="V34" s="8">
        <f>$AC$12+D34*$AC$13+E34*$AC$14+F34*$AC$15+G34*$AC$16+H34*$AC$17+I34*$AC$18+J34*$AC$19+K34*$AC$20+L34*$AC$21+M34*$AC$22+N34*$AC$23+O34*$AC$24+P34*$AC$25+Q34*$AC$26+R34*$AC$27+S34*$AC$28+T34*$AC$29+U34*$AC$30</f>
        <v/>
      </c>
      <c r="W34" s="8">
        <f>1/(1+EXP(-V34))</f>
        <v/>
      </c>
      <c r="X34" s="9">
        <f>-IF(C34=1,LN(W34),LN(1-W34))</f>
        <v/>
      </c>
      <c r="Y34" s="10">
        <f>IF(W34&gt;$AC$33,1,0)</f>
        <v/>
      </c>
      <c r="Z34">
        <f>IF(Y34=C34,1,0)</f>
        <v/>
      </c>
    </row>
    <row r="35">
      <c r="A35">
        <f>'1 datos preparados'!A28</f>
        <v/>
      </c>
      <c r="B35" s="5">
        <f>'1 datos preparados'!U28</f>
        <v/>
      </c>
      <c r="C35">
        <f>'1 datos preparados'!B28</f>
        <v/>
      </c>
      <c r="D35" s="7">
        <f>'1 datos preparados'!C28</f>
        <v/>
      </c>
      <c r="E35" s="7">
        <f>'1 datos preparados'!D28</f>
        <v/>
      </c>
      <c r="F35" s="7">
        <f>'1 datos preparados'!E28</f>
        <v/>
      </c>
      <c r="G35" s="7">
        <f>'1 datos preparados'!F28</f>
        <v/>
      </c>
      <c r="H35" s="7">
        <f>'1 datos preparados'!G28</f>
        <v/>
      </c>
      <c r="I35" s="7">
        <f>'1 datos preparados'!H28</f>
        <v/>
      </c>
      <c r="J35" s="7">
        <f>'1 datos preparados'!I28</f>
        <v/>
      </c>
      <c r="K35" s="7">
        <f>'1 datos preparados'!J28</f>
        <v/>
      </c>
      <c r="L35" s="7">
        <f>'1 datos preparados'!K28</f>
        <v/>
      </c>
      <c r="M35" s="7">
        <f>'1 datos preparados'!L28</f>
        <v/>
      </c>
      <c r="N35" s="7">
        <f>'1 datos preparados'!M28</f>
        <v/>
      </c>
      <c r="O35" s="7">
        <f>'1 datos preparados'!N28</f>
        <v/>
      </c>
      <c r="P35" s="7">
        <f>'1 datos preparados'!O28</f>
        <v/>
      </c>
      <c r="Q35" s="7">
        <f>'1 datos preparados'!P28</f>
        <v/>
      </c>
      <c r="R35" s="7">
        <f>'1 datos preparados'!Q28</f>
        <v/>
      </c>
      <c r="S35" s="7">
        <f>'1 datos preparados'!R28</f>
        <v/>
      </c>
      <c r="T35" s="7">
        <f>'1 datos preparados'!S28</f>
        <v/>
      </c>
      <c r="U35" s="7">
        <f>'1 datos preparados'!T28</f>
        <v/>
      </c>
      <c r="V35" s="8">
        <f>$AC$12+D35*$AC$13+E35*$AC$14+F35*$AC$15+G35*$AC$16+H35*$AC$17+I35*$AC$18+J35*$AC$19+K35*$AC$20+L35*$AC$21+M35*$AC$22+N35*$AC$23+O35*$AC$24+P35*$AC$25+Q35*$AC$26+R35*$AC$27+S35*$AC$28+T35*$AC$29+U35*$AC$30</f>
        <v/>
      </c>
      <c r="W35" s="8">
        <f>1/(1+EXP(-V35))</f>
        <v/>
      </c>
      <c r="X35" s="9">
        <f>-IF(C35=1,LN(W35),LN(1-W35))</f>
        <v/>
      </c>
      <c r="Y35" s="10">
        <f>IF(W35&gt;$AC$33,1,0)</f>
        <v/>
      </c>
      <c r="Z35">
        <f>IF(Y35=C35,1,0)</f>
        <v/>
      </c>
      <c r="AB35" s="3" t="inlineStr">
        <is>
          <t>RESULTADOS</t>
        </is>
      </c>
    </row>
    <row r="36">
      <c r="A36">
        <f>'1 datos preparados'!A29</f>
        <v/>
      </c>
      <c r="B36" s="5">
        <f>'1 datos preparados'!U29</f>
        <v/>
      </c>
      <c r="C36">
        <f>'1 datos preparados'!B29</f>
        <v/>
      </c>
      <c r="D36" s="7">
        <f>'1 datos preparados'!C29</f>
        <v/>
      </c>
      <c r="E36" s="7">
        <f>'1 datos preparados'!D29</f>
        <v/>
      </c>
      <c r="F36" s="7">
        <f>'1 datos preparados'!E29</f>
        <v/>
      </c>
      <c r="G36" s="7">
        <f>'1 datos preparados'!F29</f>
        <v/>
      </c>
      <c r="H36" s="7">
        <f>'1 datos preparados'!G29</f>
        <v/>
      </c>
      <c r="I36" s="7">
        <f>'1 datos preparados'!H29</f>
        <v/>
      </c>
      <c r="J36" s="7">
        <f>'1 datos preparados'!I29</f>
        <v/>
      </c>
      <c r="K36" s="7">
        <f>'1 datos preparados'!J29</f>
        <v/>
      </c>
      <c r="L36" s="7">
        <f>'1 datos preparados'!K29</f>
        <v/>
      </c>
      <c r="M36" s="7">
        <f>'1 datos preparados'!L29</f>
        <v/>
      </c>
      <c r="N36" s="7">
        <f>'1 datos preparados'!M29</f>
        <v/>
      </c>
      <c r="O36" s="7">
        <f>'1 datos preparados'!N29</f>
        <v/>
      </c>
      <c r="P36" s="7">
        <f>'1 datos preparados'!O29</f>
        <v/>
      </c>
      <c r="Q36" s="7">
        <f>'1 datos preparados'!P29</f>
        <v/>
      </c>
      <c r="R36" s="7">
        <f>'1 datos preparados'!Q29</f>
        <v/>
      </c>
      <c r="S36" s="7">
        <f>'1 datos preparados'!R29</f>
        <v/>
      </c>
      <c r="T36" s="7">
        <f>'1 datos preparados'!S29</f>
        <v/>
      </c>
      <c r="U36" s="7">
        <f>'1 datos preparados'!T29</f>
        <v/>
      </c>
      <c r="V36" s="8">
        <f>$AC$12+D36*$AC$13+E36*$AC$14+F36*$AC$15+G36*$AC$16+H36*$AC$17+I36*$AC$18+J36*$AC$19+K36*$AC$20+L36*$AC$21+M36*$AC$22+N36*$AC$23+O36*$AC$24+P36*$AC$25+Q36*$AC$26+R36*$AC$27+S36*$AC$28+T36*$AC$29+U36*$AC$30</f>
        <v/>
      </c>
      <c r="W36" s="8">
        <f>1/(1+EXP(-V36))</f>
        <v/>
      </c>
      <c r="X36" s="9">
        <f>-IF(C36=1,LN(W36),LN(1-W36))</f>
        <v/>
      </c>
      <c r="Y36" s="10">
        <f>IF(W36&gt;$AC$33,1,0)</f>
        <v/>
      </c>
      <c r="Z36">
        <f>IF(Y36=C36,1,0)</f>
        <v/>
      </c>
      <c r="AB36" t="inlineStr">
        <is>
          <t>suma de pérdidas en training</t>
        </is>
      </c>
      <c r="AC36" s="17">
        <f>SUMPRODUCT(($B$12:$B$1011="training")*$X$12:$X$1011)</f>
        <v/>
      </c>
    </row>
    <row r="37">
      <c r="A37">
        <f>'1 datos preparados'!A30</f>
        <v/>
      </c>
      <c r="B37" s="5">
        <f>'1 datos preparados'!U30</f>
        <v/>
      </c>
      <c r="C37">
        <f>'1 datos preparados'!B30</f>
        <v/>
      </c>
      <c r="D37" s="7">
        <f>'1 datos preparados'!C30</f>
        <v/>
      </c>
      <c r="E37" s="7">
        <f>'1 datos preparados'!D30</f>
        <v/>
      </c>
      <c r="F37" s="7">
        <f>'1 datos preparados'!E30</f>
        <v/>
      </c>
      <c r="G37" s="7">
        <f>'1 datos preparados'!F30</f>
        <v/>
      </c>
      <c r="H37" s="7">
        <f>'1 datos preparados'!G30</f>
        <v/>
      </c>
      <c r="I37" s="7">
        <f>'1 datos preparados'!H30</f>
        <v/>
      </c>
      <c r="J37" s="7">
        <f>'1 datos preparados'!I30</f>
        <v/>
      </c>
      <c r="K37" s="7">
        <f>'1 datos preparados'!J30</f>
        <v/>
      </c>
      <c r="L37" s="7">
        <f>'1 datos preparados'!K30</f>
        <v/>
      </c>
      <c r="M37" s="7">
        <f>'1 datos preparados'!L30</f>
        <v/>
      </c>
      <c r="N37" s="7">
        <f>'1 datos preparados'!M30</f>
        <v/>
      </c>
      <c r="O37" s="7">
        <f>'1 datos preparados'!N30</f>
        <v/>
      </c>
      <c r="P37" s="7">
        <f>'1 datos preparados'!O30</f>
        <v/>
      </c>
      <c r="Q37" s="7">
        <f>'1 datos preparados'!P30</f>
        <v/>
      </c>
      <c r="R37" s="7">
        <f>'1 datos preparados'!Q30</f>
        <v/>
      </c>
      <c r="S37" s="7">
        <f>'1 datos preparados'!R30</f>
        <v/>
      </c>
      <c r="T37" s="7">
        <f>'1 datos preparados'!S30</f>
        <v/>
      </c>
      <c r="U37" s="7">
        <f>'1 datos preparados'!T30</f>
        <v/>
      </c>
      <c r="V37" s="8">
        <f>$AC$12+D37*$AC$13+E37*$AC$14+F37*$AC$15+G37*$AC$16+H37*$AC$17+I37*$AC$18+J37*$AC$19+K37*$AC$20+L37*$AC$21+M37*$AC$22+N37*$AC$23+O37*$AC$24+P37*$AC$25+Q37*$AC$26+R37*$AC$27+S37*$AC$28+T37*$AC$29+U37*$AC$30</f>
        <v/>
      </c>
      <c r="W37" s="8">
        <f>1/(1+EXP(-V37))</f>
        <v/>
      </c>
      <c r="X37" s="9">
        <f>-IF(C37=1,LN(W37),LN(1-W37))</f>
        <v/>
      </c>
      <c r="Y37" s="10">
        <f>IF(W37&gt;$AC$33,1,0)</f>
        <v/>
      </c>
      <c r="Z37">
        <f>IF(Y37=C37,1,0)</f>
        <v/>
      </c>
      <c r="AB37" t="inlineStr">
        <is>
          <t>penalización L1 = λ · Σ |theta|</t>
        </is>
      </c>
      <c r="AC37" s="18">
        <f>$AC$32*SUM($AE$13:$AE$30)</f>
        <v/>
      </c>
    </row>
    <row r="38">
      <c r="A38">
        <f>'1 datos preparados'!A31</f>
        <v/>
      </c>
      <c r="B38" s="5">
        <f>'1 datos preparados'!U31</f>
        <v/>
      </c>
      <c r="C38">
        <f>'1 datos preparados'!B31</f>
        <v/>
      </c>
      <c r="D38" s="7">
        <f>'1 datos preparados'!C31</f>
        <v/>
      </c>
      <c r="E38" s="7">
        <f>'1 datos preparados'!D31</f>
        <v/>
      </c>
      <c r="F38" s="7">
        <f>'1 datos preparados'!E31</f>
        <v/>
      </c>
      <c r="G38" s="7">
        <f>'1 datos preparados'!F31</f>
        <v/>
      </c>
      <c r="H38" s="7">
        <f>'1 datos preparados'!G31</f>
        <v/>
      </c>
      <c r="I38" s="7">
        <f>'1 datos preparados'!H31</f>
        <v/>
      </c>
      <c r="J38" s="7">
        <f>'1 datos preparados'!I31</f>
        <v/>
      </c>
      <c r="K38" s="7">
        <f>'1 datos preparados'!J31</f>
        <v/>
      </c>
      <c r="L38" s="7">
        <f>'1 datos preparados'!K31</f>
        <v/>
      </c>
      <c r="M38" s="7">
        <f>'1 datos preparados'!L31</f>
        <v/>
      </c>
      <c r="N38" s="7">
        <f>'1 datos preparados'!M31</f>
        <v/>
      </c>
      <c r="O38" s="7">
        <f>'1 datos preparados'!N31</f>
        <v/>
      </c>
      <c r="P38" s="7">
        <f>'1 datos preparados'!O31</f>
        <v/>
      </c>
      <c r="Q38" s="7">
        <f>'1 datos preparados'!P31</f>
        <v/>
      </c>
      <c r="R38" s="7">
        <f>'1 datos preparados'!Q31</f>
        <v/>
      </c>
      <c r="S38" s="7">
        <f>'1 datos preparados'!R31</f>
        <v/>
      </c>
      <c r="T38" s="7">
        <f>'1 datos preparados'!S31</f>
        <v/>
      </c>
      <c r="U38" s="7">
        <f>'1 datos preparados'!T31</f>
        <v/>
      </c>
      <c r="V38" s="8">
        <f>$AC$12+D38*$AC$13+E38*$AC$14+F38*$AC$15+G38*$AC$16+H38*$AC$17+I38*$AC$18+J38*$AC$19+K38*$AC$20+L38*$AC$21+M38*$AC$22+N38*$AC$23+O38*$AC$24+P38*$AC$25+Q38*$AC$26+R38*$AC$27+S38*$AC$28+T38*$AC$29+U38*$AC$30</f>
        <v/>
      </c>
      <c r="W38" s="8">
        <f>1/(1+EXP(-V38))</f>
        <v/>
      </c>
      <c r="X38" s="9">
        <f>-IF(C38=1,LN(W38),LN(1-W38))</f>
        <v/>
      </c>
      <c r="Y38" s="10">
        <f>IF(W38&gt;$AC$33,1,0)</f>
        <v/>
      </c>
      <c r="Z38">
        <f>IF(Y38=C38,1,0)</f>
        <v/>
      </c>
      <c r="AB38" t="inlineStr">
        <is>
          <t>J = suma de pérdidas + penalización (OBJETIVO DE SOLVER)</t>
        </is>
      </c>
      <c r="AC38" s="17">
        <f>AC36+AC37</f>
        <v/>
      </c>
    </row>
    <row r="39">
      <c r="A39">
        <f>'1 datos preparados'!A32</f>
        <v/>
      </c>
      <c r="B39" s="5">
        <f>'1 datos preparados'!U32</f>
        <v/>
      </c>
      <c r="C39">
        <f>'1 datos preparados'!B32</f>
        <v/>
      </c>
      <c r="D39" s="7">
        <f>'1 datos preparados'!C32</f>
        <v/>
      </c>
      <c r="E39" s="7">
        <f>'1 datos preparados'!D32</f>
        <v/>
      </c>
      <c r="F39" s="7">
        <f>'1 datos preparados'!E32</f>
        <v/>
      </c>
      <c r="G39" s="7">
        <f>'1 datos preparados'!F32</f>
        <v/>
      </c>
      <c r="H39" s="7">
        <f>'1 datos preparados'!G32</f>
        <v/>
      </c>
      <c r="I39" s="7">
        <f>'1 datos preparados'!H32</f>
        <v/>
      </c>
      <c r="J39" s="7">
        <f>'1 datos preparados'!I32</f>
        <v/>
      </c>
      <c r="K39" s="7">
        <f>'1 datos preparados'!J32</f>
        <v/>
      </c>
      <c r="L39" s="7">
        <f>'1 datos preparados'!K32</f>
        <v/>
      </c>
      <c r="M39" s="7">
        <f>'1 datos preparados'!L32</f>
        <v/>
      </c>
      <c r="N39" s="7">
        <f>'1 datos preparados'!M32</f>
        <v/>
      </c>
      <c r="O39" s="7">
        <f>'1 datos preparados'!N32</f>
        <v/>
      </c>
      <c r="P39" s="7">
        <f>'1 datos preparados'!O32</f>
        <v/>
      </c>
      <c r="Q39" s="7">
        <f>'1 datos preparados'!P32</f>
        <v/>
      </c>
      <c r="R39" s="7">
        <f>'1 datos preparados'!Q32</f>
        <v/>
      </c>
      <c r="S39" s="7">
        <f>'1 datos preparados'!R32</f>
        <v/>
      </c>
      <c r="T39" s="7">
        <f>'1 datos preparados'!S32</f>
        <v/>
      </c>
      <c r="U39" s="7">
        <f>'1 datos preparados'!T32</f>
        <v/>
      </c>
      <c r="V39" s="8">
        <f>$AC$12+D39*$AC$13+E39*$AC$14+F39*$AC$15+G39*$AC$16+H39*$AC$17+I39*$AC$18+J39*$AC$19+K39*$AC$20+L39*$AC$21+M39*$AC$22+N39*$AC$23+O39*$AC$24+P39*$AC$25+Q39*$AC$26+R39*$AC$27+S39*$AC$28+T39*$AC$29+U39*$AC$30</f>
        <v/>
      </c>
      <c r="W39" s="8">
        <f>1/(1+EXP(-V39))</f>
        <v/>
      </c>
      <c r="X39" s="9">
        <f>-IF(C39=1,LN(W39),LN(1-W39))</f>
        <v/>
      </c>
      <c r="Y39" s="10">
        <f>IF(W39&gt;$AC$33,1,0)</f>
        <v/>
      </c>
      <c r="Z39">
        <f>IF(Y39=C39,1,0)</f>
        <v/>
      </c>
      <c r="AB39" t="inlineStr">
        <is>
          <t>pérdida promedio training</t>
        </is>
      </c>
      <c r="AC39" s="19">
        <f>AC36/COUNTIF($B$12:$B$1011,"training")</f>
        <v/>
      </c>
    </row>
    <row r="40">
      <c r="A40">
        <f>'1 datos preparados'!A33</f>
        <v/>
      </c>
      <c r="B40" s="5">
        <f>'1 datos preparados'!U33</f>
        <v/>
      </c>
      <c r="C40">
        <f>'1 datos preparados'!B33</f>
        <v/>
      </c>
      <c r="D40" s="7">
        <f>'1 datos preparados'!C33</f>
        <v/>
      </c>
      <c r="E40" s="7">
        <f>'1 datos preparados'!D33</f>
        <v/>
      </c>
      <c r="F40" s="7">
        <f>'1 datos preparados'!E33</f>
        <v/>
      </c>
      <c r="G40" s="7">
        <f>'1 datos preparados'!F33</f>
        <v/>
      </c>
      <c r="H40" s="7">
        <f>'1 datos preparados'!G33</f>
        <v/>
      </c>
      <c r="I40" s="7">
        <f>'1 datos preparados'!H33</f>
        <v/>
      </c>
      <c r="J40" s="7">
        <f>'1 datos preparados'!I33</f>
        <v/>
      </c>
      <c r="K40" s="7">
        <f>'1 datos preparados'!J33</f>
        <v/>
      </c>
      <c r="L40" s="7">
        <f>'1 datos preparados'!K33</f>
        <v/>
      </c>
      <c r="M40" s="7">
        <f>'1 datos preparados'!L33</f>
        <v/>
      </c>
      <c r="N40" s="7">
        <f>'1 datos preparados'!M33</f>
        <v/>
      </c>
      <c r="O40" s="7">
        <f>'1 datos preparados'!N33</f>
        <v/>
      </c>
      <c r="P40" s="7">
        <f>'1 datos preparados'!O33</f>
        <v/>
      </c>
      <c r="Q40" s="7">
        <f>'1 datos preparados'!P33</f>
        <v/>
      </c>
      <c r="R40" s="7">
        <f>'1 datos preparados'!Q33</f>
        <v/>
      </c>
      <c r="S40" s="7">
        <f>'1 datos preparados'!R33</f>
        <v/>
      </c>
      <c r="T40" s="7">
        <f>'1 datos preparados'!S33</f>
        <v/>
      </c>
      <c r="U40" s="7">
        <f>'1 datos preparados'!T33</f>
        <v/>
      </c>
      <c r="V40" s="8">
        <f>$AC$12+D40*$AC$13+E40*$AC$14+F40*$AC$15+G40*$AC$16+H40*$AC$17+I40*$AC$18+J40*$AC$19+K40*$AC$20+L40*$AC$21+M40*$AC$22+N40*$AC$23+O40*$AC$24+P40*$AC$25+Q40*$AC$26+R40*$AC$27+S40*$AC$28+T40*$AC$29+U40*$AC$30</f>
        <v/>
      </c>
      <c r="W40" s="8">
        <f>1/(1+EXP(-V40))</f>
        <v/>
      </c>
      <c r="X40" s="9">
        <f>-IF(C40=1,LN(W40),LN(1-W40))</f>
        <v/>
      </c>
      <c r="Y40" s="10">
        <f>IF(W40&gt;$AC$33,1,0)</f>
        <v/>
      </c>
      <c r="Z40">
        <f>IF(Y40=C40,1,0)</f>
        <v/>
      </c>
      <c r="AB40" t="inlineStr">
        <is>
          <t>pérdida promedio testing</t>
        </is>
      </c>
      <c r="AC40" s="19">
        <f>SUMPRODUCT(($B$12:$B$1011="testing")*$X$12:$X$1011)/COUNTIF($B$12:$B$1011,"testing")</f>
        <v/>
      </c>
    </row>
    <row r="41">
      <c r="A41">
        <f>'1 datos preparados'!A34</f>
        <v/>
      </c>
      <c r="B41" s="5">
        <f>'1 datos preparados'!U34</f>
        <v/>
      </c>
      <c r="C41">
        <f>'1 datos preparados'!B34</f>
        <v/>
      </c>
      <c r="D41" s="7">
        <f>'1 datos preparados'!C34</f>
        <v/>
      </c>
      <c r="E41" s="7">
        <f>'1 datos preparados'!D34</f>
        <v/>
      </c>
      <c r="F41" s="7">
        <f>'1 datos preparados'!E34</f>
        <v/>
      </c>
      <c r="G41" s="7">
        <f>'1 datos preparados'!F34</f>
        <v/>
      </c>
      <c r="H41" s="7">
        <f>'1 datos preparados'!G34</f>
        <v/>
      </c>
      <c r="I41" s="7">
        <f>'1 datos preparados'!H34</f>
        <v/>
      </c>
      <c r="J41" s="7">
        <f>'1 datos preparados'!I34</f>
        <v/>
      </c>
      <c r="K41" s="7">
        <f>'1 datos preparados'!J34</f>
        <v/>
      </c>
      <c r="L41" s="7">
        <f>'1 datos preparados'!K34</f>
        <v/>
      </c>
      <c r="M41" s="7">
        <f>'1 datos preparados'!L34</f>
        <v/>
      </c>
      <c r="N41" s="7">
        <f>'1 datos preparados'!M34</f>
        <v/>
      </c>
      <c r="O41" s="7">
        <f>'1 datos preparados'!N34</f>
        <v/>
      </c>
      <c r="P41" s="7">
        <f>'1 datos preparados'!O34</f>
        <v/>
      </c>
      <c r="Q41" s="7">
        <f>'1 datos preparados'!P34</f>
        <v/>
      </c>
      <c r="R41" s="7">
        <f>'1 datos preparados'!Q34</f>
        <v/>
      </c>
      <c r="S41" s="7">
        <f>'1 datos preparados'!R34</f>
        <v/>
      </c>
      <c r="T41" s="7">
        <f>'1 datos preparados'!S34</f>
        <v/>
      </c>
      <c r="U41" s="7">
        <f>'1 datos preparados'!T34</f>
        <v/>
      </c>
      <c r="V41" s="8">
        <f>$AC$12+D41*$AC$13+E41*$AC$14+F41*$AC$15+G41*$AC$16+H41*$AC$17+I41*$AC$18+J41*$AC$19+K41*$AC$20+L41*$AC$21+M41*$AC$22+N41*$AC$23+O41*$AC$24+P41*$AC$25+Q41*$AC$26+R41*$AC$27+S41*$AC$28+T41*$AC$29+U41*$AC$30</f>
        <v/>
      </c>
      <c r="W41" s="8">
        <f>1/(1+EXP(-V41))</f>
        <v/>
      </c>
      <c r="X41" s="9">
        <f>-IF(C41=1,LN(W41),LN(1-W41))</f>
        <v/>
      </c>
      <c r="Y41" s="10">
        <f>IF(W41&gt;$AC$33,1,0)</f>
        <v/>
      </c>
      <c r="Z41">
        <f>IF(Y41=C41,1,0)</f>
        <v/>
      </c>
      <c r="AB41" t="inlineStr">
        <is>
          <t>acierto testing</t>
        </is>
      </c>
      <c r="AC41" s="20">
        <f>SUMPRODUCT(($B$12:$B$1011="testing")*$Z$12:$Z$1011)/COUNTIF($B$12:$B$1011,"testing")</f>
        <v/>
      </c>
    </row>
    <row r="42">
      <c r="A42">
        <f>'1 datos preparados'!A35</f>
        <v/>
      </c>
      <c r="B42" s="5">
        <f>'1 datos preparados'!U35</f>
        <v/>
      </c>
      <c r="C42">
        <f>'1 datos preparados'!B35</f>
        <v/>
      </c>
      <c r="D42" s="7">
        <f>'1 datos preparados'!C35</f>
        <v/>
      </c>
      <c r="E42" s="7">
        <f>'1 datos preparados'!D35</f>
        <v/>
      </c>
      <c r="F42" s="7">
        <f>'1 datos preparados'!E35</f>
        <v/>
      </c>
      <c r="G42" s="7">
        <f>'1 datos preparados'!F35</f>
        <v/>
      </c>
      <c r="H42" s="7">
        <f>'1 datos preparados'!G35</f>
        <v/>
      </c>
      <c r="I42" s="7">
        <f>'1 datos preparados'!H35</f>
        <v/>
      </c>
      <c r="J42" s="7">
        <f>'1 datos preparados'!I35</f>
        <v/>
      </c>
      <c r="K42" s="7">
        <f>'1 datos preparados'!J35</f>
        <v/>
      </c>
      <c r="L42" s="7">
        <f>'1 datos preparados'!K35</f>
        <v/>
      </c>
      <c r="M42" s="7">
        <f>'1 datos preparados'!L35</f>
        <v/>
      </c>
      <c r="N42" s="7">
        <f>'1 datos preparados'!M35</f>
        <v/>
      </c>
      <c r="O42" s="7">
        <f>'1 datos preparados'!N35</f>
        <v/>
      </c>
      <c r="P42" s="7">
        <f>'1 datos preparados'!O35</f>
        <v/>
      </c>
      <c r="Q42" s="7">
        <f>'1 datos preparados'!P35</f>
        <v/>
      </c>
      <c r="R42" s="7">
        <f>'1 datos preparados'!Q35</f>
        <v/>
      </c>
      <c r="S42" s="7">
        <f>'1 datos preparados'!R35</f>
        <v/>
      </c>
      <c r="T42" s="7">
        <f>'1 datos preparados'!S35</f>
        <v/>
      </c>
      <c r="U42" s="7">
        <f>'1 datos preparados'!T35</f>
        <v/>
      </c>
      <c r="V42" s="8">
        <f>$AC$12+D42*$AC$13+E42*$AC$14+F42*$AC$15+G42*$AC$16+H42*$AC$17+I42*$AC$18+J42*$AC$19+K42*$AC$20+L42*$AC$21+M42*$AC$22+N42*$AC$23+O42*$AC$24+P42*$AC$25+Q42*$AC$26+R42*$AC$27+S42*$AC$28+T42*$AC$29+U42*$AC$30</f>
        <v/>
      </c>
      <c r="W42" s="8">
        <f>1/(1+EXP(-V42))</f>
        <v/>
      </c>
      <c r="X42" s="9">
        <f>-IF(C42=1,LN(W42),LN(1-W42))</f>
        <v/>
      </c>
      <c r="Y42" s="10">
        <f>IF(W42&gt;$AC$33,1,0)</f>
        <v/>
      </c>
      <c r="Z42">
        <f>IF(Y42=C42,1,0)</f>
        <v/>
      </c>
      <c r="AB42" t="inlineStr">
        <is>
          <t>pesos (sin intercepto) con |theta| &lt; 0,01</t>
        </is>
      </c>
      <c r="AC42" s="21">
        <f>COUNTIF(AC13:AC30,"&lt;0.01")-COUNTIF(AC13:AC30,"&lt;-0.01")</f>
        <v/>
      </c>
    </row>
    <row r="43">
      <c r="A43">
        <f>'1 datos preparados'!A36</f>
        <v/>
      </c>
      <c r="B43" s="5">
        <f>'1 datos preparados'!U36</f>
        <v/>
      </c>
      <c r="C43">
        <f>'1 datos preparados'!B36</f>
        <v/>
      </c>
      <c r="D43" s="7">
        <f>'1 datos preparados'!C36</f>
        <v/>
      </c>
      <c r="E43" s="7">
        <f>'1 datos preparados'!D36</f>
        <v/>
      </c>
      <c r="F43" s="7">
        <f>'1 datos preparados'!E36</f>
        <v/>
      </c>
      <c r="G43" s="7">
        <f>'1 datos preparados'!F36</f>
        <v/>
      </c>
      <c r="H43" s="7">
        <f>'1 datos preparados'!G36</f>
        <v/>
      </c>
      <c r="I43" s="7">
        <f>'1 datos preparados'!H36</f>
        <v/>
      </c>
      <c r="J43" s="7">
        <f>'1 datos preparados'!I36</f>
        <v/>
      </c>
      <c r="K43" s="7">
        <f>'1 datos preparados'!J36</f>
        <v/>
      </c>
      <c r="L43" s="7">
        <f>'1 datos preparados'!K36</f>
        <v/>
      </c>
      <c r="M43" s="7">
        <f>'1 datos preparados'!L36</f>
        <v/>
      </c>
      <c r="N43" s="7">
        <f>'1 datos preparados'!M36</f>
        <v/>
      </c>
      <c r="O43" s="7">
        <f>'1 datos preparados'!N36</f>
        <v/>
      </c>
      <c r="P43" s="7">
        <f>'1 datos preparados'!O36</f>
        <v/>
      </c>
      <c r="Q43" s="7">
        <f>'1 datos preparados'!P36</f>
        <v/>
      </c>
      <c r="R43" s="7">
        <f>'1 datos preparados'!Q36</f>
        <v/>
      </c>
      <c r="S43" s="7">
        <f>'1 datos preparados'!R36</f>
        <v/>
      </c>
      <c r="T43" s="7">
        <f>'1 datos preparados'!S36</f>
        <v/>
      </c>
      <c r="U43" s="7">
        <f>'1 datos preparados'!T36</f>
        <v/>
      </c>
      <c r="V43" s="8">
        <f>$AC$12+D43*$AC$13+E43*$AC$14+F43*$AC$15+G43*$AC$16+H43*$AC$17+I43*$AC$18+J43*$AC$19+K43*$AC$20+L43*$AC$21+M43*$AC$22+N43*$AC$23+O43*$AC$24+P43*$AC$25+Q43*$AC$26+R43*$AC$27+S43*$AC$28+T43*$AC$29+U43*$AC$30</f>
        <v/>
      </c>
      <c r="W43" s="8">
        <f>1/(1+EXP(-V43))</f>
        <v/>
      </c>
      <c r="X43" s="9">
        <f>-IF(C43=1,LN(W43),LN(1-W43))</f>
        <v/>
      </c>
      <c r="Y43" s="10">
        <f>IF(W43&gt;$AC$33,1,0)</f>
        <v/>
      </c>
      <c r="Z43">
        <f>IF(Y43=C43,1,0)</f>
        <v/>
      </c>
      <c r="AB43" t="inlineStr">
        <is>
          <t>referencia scikit-learn (λ = 10): J</t>
        </is>
      </c>
      <c r="AC43" s="22" t="n">
        <v>401.6735746256481</v>
      </c>
    </row>
    <row r="44">
      <c r="A44">
        <f>'1 datos preparados'!A37</f>
        <v/>
      </c>
      <c r="B44" s="5">
        <f>'1 datos preparados'!U37</f>
        <v/>
      </c>
      <c r="C44">
        <f>'1 datos preparados'!B37</f>
        <v/>
      </c>
      <c r="D44" s="7">
        <f>'1 datos preparados'!C37</f>
        <v/>
      </c>
      <c r="E44" s="7">
        <f>'1 datos preparados'!D37</f>
        <v/>
      </c>
      <c r="F44" s="7">
        <f>'1 datos preparados'!E37</f>
        <v/>
      </c>
      <c r="G44" s="7">
        <f>'1 datos preparados'!F37</f>
        <v/>
      </c>
      <c r="H44" s="7">
        <f>'1 datos preparados'!G37</f>
        <v/>
      </c>
      <c r="I44" s="7">
        <f>'1 datos preparados'!H37</f>
        <v/>
      </c>
      <c r="J44" s="7">
        <f>'1 datos preparados'!I37</f>
        <v/>
      </c>
      <c r="K44" s="7">
        <f>'1 datos preparados'!J37</f>
        <v/>
      </c>
      <c r="L44" s="7">
        <f>'1 datos preparados'!K37</f>
        <v/>
      </c>
      <c r="M44" s="7">
        <f>'1 datos preparados'!L37</f>
        <v/>
      </c>
      <c r="N44" s="7">
        <f>'1 datos preparados'!M37</f>
        <v/>
      </c>
      <c r="O44" s="7">
        <f>'1 datos preparados'!N37</f>
        <v/>
      </c>
      <c r="P44" s="7">
        <f>'1 datos preparados'!O37</f>
        <v/>
      </c>
      <c r="Q44" s="7">
        <f>'1 datos preparados'!P37</f>
        <v/>
      </c>
      <c r="R44" s="7">
        <f>'1 datos preparados'!Q37</f>
        <v/>
      </c>
      <c r="S44" s="7">
        <f>'1 datos preparados'!R37</f>
        <v/>
      </c>
      <c r="T44" s="7">
        <f>'1 datos preparados'!S37</f>
        <v/>
      </c>
      <c r="U44" s="7">
        <f>'1 datos preparados'!T37</f>
        <v/>
      </c>
      <c r="V44" s="8">
        <f>$AC$12+D44*$AC$13+E44*$AC$14+F44*$AC$15+G44*$AC$16+H44*$AC$17+I44*$AC$18+J44*$AC$19+K44*$AC$20+L44*$AC$21+M44*$AC$22+N44*$AC$23+O44*$AC$24+P44*$AC$25+Q44*$AC$26+R44*$AC$27+S44*$AC$28+T44*$AC$29+U44*$AC$30</f>
        <v/>
      </c>
      <c r="W44" s="8">
        <f>1/(1+EXP(-V44))</f>
        <v/>
      </c>
      <c r="X44" s="9">
        <f>-IF(C44=1,LN(W44),LN(1-W44))</f>
        <v/>
      </c>
      <c r="Y44" s="10">
        <f>IF(W44&gt;$AC$33,1,0)</f>
        <v/>
      </c>
      <c r="Z44">
        <f>IF(Y44=C44,1,0)</f>
        <v/>
      </c>
      <c r="AB44" t="inlineStr">
        <is>
          <t>referencia scikit-learn (λ = 10): pérdida promedio testing</t>
        </is>
      </c>
      <c r="AC44" s="12" t="n">
        <v>0.5070761919199316</v>
      </c>
    </row>
    <row r="45">
      <c r="A45">
        <f>'1 datos preparados'!A38</f>
        <v/>
      </c>
      <c r="B45" s="5">
        <f>'1 datos preparados'!U38</f>
        <v/>
      </c>
      <c r="C45">
        <f>'1 datos preparados'!B38</f>
        <v/>
      </c>
      <c r="D45" s="7">
        <f>'1 datos preparados'!C38</f>
        <v/>
      </c>
      <c r="E45" s="7">
        <f>'1 datos preparados'!D38</f>
        <v/>
      </c>
      <c r="F45" s="7">
        <f>'1 datos preparados'!E38</f>
        <v/>
      </c>
      <c r="G45" s="7">
        <f>'1 datos preparados'!F38</f>
        <v/>
      </c>
      <c r="H45" s="7">
        <f>'1 datos preparados'!G38</f>
        <v/>
      </c>
      <c r="I45" s="7">
        <f>'1 datos preparados'!H38</f>
        <v/>
      </c>
      <c r="J45" s="7">
        <f>'1 datos preparados'!I38</f>
        <v/>
      </c>
      <c r="K45" s="7">
        <f>'1 datos preparados'!J38</f>
        <v/>
      </c>
      <c r="L45" s="7">
        <f>'1 datos preparados'!K38</f>
        <v/>
      </c>
      <c r="M45" s="7">
        <f>'1 datos preparados'!L38</f>
        <v/>
      </c>
      <c r="N45" s="7">
        <f>'1 datos preparados'!M38</f>
        <v/>
      </c>
      <c r="O45" s="7">
        <f>'1 datos preparados'!N38</f>
        <v/>
      </c>
      <c r="P45" s="7">
        <f>'1 datos preparados'!O38</f>
        <v/>
      </c>
      <c r="Q45" s="7">
        <f>'1 datos preparados'!P38</f>
        <v/>
      </c>
      <c r="R45" s="7">
        <f>'1 datos preparados'!Q38</f>
        <v/>
      </c>
      <c r="S45" s="7">
        <f>'1 datos preparados'!R38</f>
        <v/>
      </c>
      <c r="T45" s="7">
        <f>'1 datos preparados'!S38</f>
        <v/>
      </c>
      <c r="U45" s="7">
        <f>'1 datos preparados'!T38</f>
        <v/>
      </c>
      <c r="V45" s="8">
        <f>$AC$12+D45*$AC$13+E45*$AC$14+F45*$AC$15+G45*$AC$16+H45*$AC$17+I45*$AC$18+J45*$AC$19+K45*$AC$20+L45*$AC$21+M45*$AC$22+N45*$AC$23+O45*$AC$24+P45*$AC$25+Q45*$AC$26+R45*$AC$27+S45*$AC$28+T45*$AC$29+U45*$AC$30</f>
        <v/>
      </c>
      <c r="W45" s="8">
        <f>1/(1+EXP(-V45))</f>
        <v/>
      </c>
      <c r="X45" s="9">
        <f>-IF(C45=1,LN(W45),LN(1-W45))</f>
        <v/>
      </c>
      <c r="Y45" s="10">
        <f>IF(W45&gt;$AC$33,1,0)</f>
        <v/>
      </c>
      <c r="Z45">
        <f>IF(Y45=C45,1,0)</f>
        <v/>
      </c>
      <c r="AB45" t="inlineStr">
        <is>
          <t>referencia scikit-learn (λ = 10): pesos en cero</t>
        </is>
      </c>
      <c r="AC45" s="23" t="n">
        <v>7</v>
      </c>
    </row>
    <row r="46">
      <c r="A46">
        <f>'1 datos preparados'!A39</f>
        <v/>
      </c>
      <c r="B46" s="5">
        <f>'1 datos preparados'!U39</f>
        <v/>
      </c>
      <c r="C46">
        <f>'1 datos preparados'!B39</f>
        <v/>
      </c>
      <c r="D46" s="7">
        <f>'1 datos preparados'!C39</f>
        <v/>
      </c>
      <c r="E46" s="7">
        <f>'1 datos preparados'!D39</f>
        <v/>
      </c>
      <c r="F46" s="7">
        <f>'1 datos preparados'!E39</f>
        <v/>
      </c>
      <c r="G46" s="7">
        <f>'1 datos preparados'!F39</f>
        <v/>
      </c>
      <c r="H46" s="7">
        <f>'1 datos preparados'!G39</f>
        <v/>
      </c>
      <c r="I46" s="7">
        <f>'1 datos preparados'!H39</f>
        <v/>
      </c>
      <c r="J46" s="7">
        <f>'1 datos preparados'!I39</f>
        <v/>
      </c>
      <c r="K46" s="7">
        <f>'1 datos preparados'!J39</f>
        <v/>
      </c>
      <c r="L46" s="7">
        <f>'1 datos preparados'!K39</f>
        <v/>
      </c>
      <c r="M46" s="7">
        <f>'1 datos preparados'!L39</f>
        <v/>
      </c>
      <c r="N46" s="7">
        <f>'1 datos preparados'!M39</f>
        <v/>
      </c>
      <c r="O46" s="7">
        <f>'1 datos preparados'!N39</f>
        <v/>
      </c>
      <c r="P46" s="7">
        <f>'1 datos preparados'!O39</f>
        <v/>
      </c>
      <c r="Q46" s="7">
        <f>'1 datos preparados'!P39</f>
        <v/>
      </c>
      <c r="R46" s="7">
        <f>'1 datos preparados'!Q39</f>
        <v/>
      </c>
      <c r="S46" s="7">
        <f>'1 datos preparados'!R39</f>
        <v/>
      </c>
      <c r="T46" s="7">
        <f>'1 datos preparados'!S39</f>
        <v/>
      </c>
      <c r="U46" s="7">
        <f>'1 datos preparados'!T39</f>
        <v/>
      </c>
      <c r="V46" s="8">
        <f>$AC$12+D46*$AC$13+E46*$AC$14+F46*$AC$15+G46*$AC$16+H46*$AC$17+I46*$AC$18+J46*$AC$19+K46*$AC$20+L46*$AC$21+M46*$AC$22+N46*$AC$23+O46*$AC$24+P46*$AC$25+Q46*$AC$26+R46*$AC$27+S46*$AC$28+T46*$AC$29+U46*$AC$30</f>
        <v/>
      </c>
      <c r="W46" s="8">
        <f>1/(1+EXP(-V46))</f>
        <v/>
      </c>
      <c r="X46" s="9">
        <f>-IF(C46=1,LN(W46),LN(1-W46))</f>
        <v/>
      </c>
      <c r="Y46" s="10">
        <f>IF(W46&gt;$AC$33,1,0)</f>
        <v/>
      </c>
      <c r="Z46">
        <f>IF(Y46=C46,1,0)</f>
        <v/>
      </c>
      <c r="AB46" t="inlineStr">
        <is>
          <t>referencia sin regularizar (Excel base): pérdida promedio testing</t>
        </is>
      </c>
      <c r="AC46" s="12" t="n">
        <v>0.4690599152735907</v>
      </c>
    </row>
    <row r="47">
      <c r="A47">
        <f>'1 datos preparados'!A40</f>
        <v/>
      </c>
      <c r="B47" s="5">
        <f>'1 datos preparados'!U40</f>
        <v/>
      </c>
      <c r="C47">
        <f>'1 datos preparados'!B40</f>
        <v/>
      </c>
      <c r="D47" s="7">
        <f>'1 datos preparados'!C40</f>
        <v/>
      </c>
      <c r="E47" s="7">
        <f>'1 datos preparados'!D40</f>
        <v/>
      </c>
      <c r="F47" s="7">
        <f>'1 datos preparados'!E40</f>
        <v/>
      </c>
      <c r="G47" s="7">
        <f>'1 datos preparados'!F40</f>
        <v/>
      </c>
      <c r="H47" s="7">
        <f>'1 datos preparados'!G40</f>
        <v/>
      </c>
      <c r="I47" s="7">
        <f>'1 datos preparados'!H40</f>
        <v/>
      </c>
      <c r="J47" s="7">
        <f>'1 datos preparados'!I40</f>
        <v/>
      </c>
      <c r="K47" s="7">
        <f>'1 datos preparados'!J40</f>
        <v/>
      </c>
      <c r="L47" s="7">
        <f>'1 datos preparados'!K40</f>
        <v/>
      </c>
      <c r="M47" s="7">
        <f>'1 datos preparados'!L40</f>
        <v/>
      </c>
      <c r="N47" s="7">
        <f>'1 datos preparados'!M40</f>
        <v/>
      </c>
      <c r="O47" s="7">
        <f>'1 datos preparados'!N40</f>
        <v/>
      </c>
      <c r="P47" s="7">
        <f>'1 datos preparados'!O40</f>
        <v/>
      </c>
      <c r="Q47" s="7">
        <f>'1 datos preparados'!P40</f>
        <v/>
      </c>
      <c r="R47" s="7">
        <f>'1 datos preparados'!Q40</f>
        <v/>
      </c>
      <c r="S47" s="7">
        <f>'1 datos preparados'!R40</f>
        <v/>
      </c>
      <c r="T47" s="7">
        <f>'1 datos preparados'!S40</f>
        <v/>
      </c>
      <c r="U47" s="7">
        <f>'1 datos preparados'!T40</f>
        <v/>
      </c>
      <c r="V47" s="8">
        <f>$AC$12+D47*$AC$13+E47*$AC$14+F47*$AC$15+G47*$AC$16+H47*$AC$17+I47*$AC$18+J47*$AC$19+K47*$AC$20+L47*$AC$21+M47*$AC$22+N47*$AC$23+O47*$AC$24+P47*$AC$25+Q47*$AC$26+R47*$AC$27+S47*$AC$28+T47*$AC$29+U47*$AC$30</f>
        <v/>
      </c>
      <c r="W47" s="8">
        <f>1/(1+EXP(-V47))</f>
        <v/>
      </c>
      <c r="X47" s="9">
        <f>-IF(C47=1,LN(W47),LN(1-W47))</f>
        <v/>
      </c>
      <c r="Y47" s="10">
        <f>IF(W47&gt;$AC$33,1,0)</f>
        <v/>
      </c>
      <c r="Z47">
        <f>IF(Y47=C47,1,0)</f>
        <v/>
      </c>
    </row>
    <row r="48" ht="48" customHeight="1">
      <c r="A48">
        <f>'1 datos preparados'!A41</f>
        <v/>
      </c>
      <c r="B48" s="5">
        <f>'1 datos preparados'!U41</f>
        <v/>
      </c>
      <c r="C48">
        <f>'1 datos preparados'!B41</f>
        <v/>
      </c>
      <c r="D48" s="7">
        <f>'1 datos preparados'!C41</f>
        <v/>
      </c>
      <c r="E48" s="7">
        <f>'1 datos preparados'!D41</f>
        <v/>
      </c>
      <c r="F48" s="7">
        <f>'1 datos preparados'!E41</f>
        <v/>
      </c>
      <c r="G48" s="7">
        <f>'1 datos preparados'!F41</f>
        <v/>
      </c>
      <c r="H48" s="7">
        <f>'1 datos preparados'!G41</f>
        <v/>
      </c>
      <c r="I48" s="7">
        <f>'1 datos preparados'!H41</f>
        <v/>
      </c>
      <c r="J48" s="7">
        <f>'1 datos preparados'!I41</f>
        <v/>
      </c>
      <c r="K48" s="7">
        <f>'1 datos preparados'!J41</f>
        <v/>
      </c>
      <c r="L48" s="7">
        <f>'1 datos preparados'!K41</f>
        <v/>
      </c>
      <c r="M48" s="7">
        <f>'1 datos preparados'!L41</f>
        <v/>
      </c>
      <c r="N48" s="7">
        <f>'1 datos preparados'!M41</f>
        <v/>
      </c>
      <c r="O48" s="7">
        <f>'1 datos preparados'!N41</f>
        <v/>
      </c>
      <c r="P48" s="7">
        <f>'1 datos preparados'!O41</f>
        <v/>
      </c>
      <c r="Q48" s="7">
        <f>'1 datos preparados'!P41</f>
        <v/>
      </c>
      <c r="R48" s="7">
        <f>'1 datos preparados'!Q41</f>
        <v/>
      </c>
      <c r="S48" s="7">
        <f>'1 datos preparados'!R41</f>
        <v/>
      </c>
      <c r="T48" s="7">
        <f>'1 datos preparados'!S41</f>
        <v/>
      </c>
      <c r="U48" s="7">
        <f>'1 datos preparados'!T41</f>
        <v/>
      </c>
      <c r="V48" s="8">
        <f>$AC$12+D48*$AC$13+E48*$AC$14+F48*$AC$15+G48*$AC$16+H48*$AC$17+I48*$AC$18+J48*$AC$19+K48*$AC$20+L48*$AC$21+M48*$AC$22+N48*$AC$23+O48*$AC$24+P48*$AC$25+Q48*$AC$26+R48*$AC$27+S48*$AC$28+T48*$AC$29+U48*$AC$30</f>
        <v/>
      </c>
      <c r="W48" s="8">
        <f>1/(1+EXP(-V48))</f>
        <v/>
      </c>
      <c r="X48" s="9">
        <f>-IF(C48=1,LN(W48),LN(1-W48))</f>
        <v/>
      </c>
      <c r="Y48" s="10">
        <f>IF(W48&gt;$AC$33,1,0)</f>
        <v/>
      </c>
      <c r="Z48">
        <f>IF(Y48=C48,1,0)</f>
        <v/>
      </c>
      <c r="AB48" s="2" t="inlineStr">
        <is>
          <t>Solver: minimizar J (celda del objetivo) cambiando las celdas celestes de los pesos, GRG no lineal, derivadas centrales, convergencia 0,000001, sin restricciones y con la casilla 'Convertir variables sin restricciones en no negativas' DESMARCADA. Correr dos veces si se detiene antes.</t>
        </is>
      </c>
    </row>
    <row r="49" ht="48" customHeight="1">
      <c r="A49">
        <f>'1 datos preparados'!A42</f>
        <v/>
      </c>
      <c r="B49" s="5">
        <f>'1 datos preparados'!U42</f>
        <v/>
      </c>
      <c r="C49">
        <f>'1 datos preparados'!B42</f>
        <v/>
      </c>
      <c r="D49" s="7">
        <f>'1 datos preparados'!C42</f>
        <v/>
      </c>
      <c r="E49" s="7">
        <f>'1 datos preparados'!D42</f>
        <v/>
      </c>
      <c r="F49" s="7">
        <f>'1 datos preparados'!E42</f>
        <v/>
      </c>
      <c r="G49" s="7">
        <f>'1 datos preparados'!F42</f>
        <v/>
      </c>
      <c r="H49" s="7">
        <f>'1 datos preparados'!G42</f>
        <v/>
      </c>
      <c r="I49" s="7">
        <f>'1 datos preparados'!H42</f>
        <v/>
      </c>
      <c r="J49" s="7">
        <f>'1 datos preparados'!I42</f>
        <v/>
      </c>
      <c r="K49" s="7">
        <f>'1 datos preparados'!J42</f>
        <v/>
      </c>
      <c r="L49" s="7">
        <f>'1 datos preparados'!K42</f>
        <v/>
      </c>
      <c r="M49" s="7">
        <f>'1 datos preparados'!L42</f>
        <v/>
      </c>
      <c r="N49" s="7">
        <f>'1 datos preparados'!M42</f>
        <v/>
      </c>
      <c r="O49" s="7">
        <f>'1 datos preparados'!N42</f>
        <v/>
      </c>
      <c r="P49" s="7">
        <f>'1 datos preparados'!O42</f>
        <v/>
      </c>
      <c r="Q49" s="7">
        <f>'1 datos preparados'!P42</f>
        <v/>
      </c>
      <c r="R49" s="7">
        <f>'1 datos preparados'!Q42</f>
        <v/>
      </c>
      <c r="S49" s="7">
        <f>'1 datos preparados'!R42</f>
        <v/>
      </c>
      <c r="T49" s="7">
        <f>'1 datos preparados'!S42</f>
        <v/>
      </c>
      <c r="U49" s="7">
        <f>'1 datos preparados'!T42</f>
        <v/>
      </c>
      <c r="V49" s="8">
        <f>$AC$12+D49*$AC$13+E49*$AC$14+F49*$AC$15+G49*$AC$16+H49*$AC$17+I49*$AC$18+J49*$AC$19+K49*$AC$20+L49*$AC$21+M49*$AC$22+N49*$AC$23+O49*$AC$24+P49*$AC$25+Q49*$AC$26+R49*$AC$27+S49*$AC$28+T49*$AC$29+U49*$AC$30</f>
        <v/>
      </c>
      <c r="W49" s="8">
        <f>1/(1+EXP(-V49))</f>
        <v/>
      </c>
      <c r="X49" s="9">
        <f>-IF(C49=1,LN(W49),LN(1-W49))</f>
        <v/>
      </c>
      <c r="Y49" s="10">
        <f>IF(W49&gt;$AC$33,1,0)</f>
        <v/>
      </c>
      <c r="Z49">
        <f>IF(Y49=C49,1,0)</f>
        <v/>
      </c>
      <c r="AB49" s="2" t="inlineStr">
        <is>
          <t>Con L1 el valor absoluto no tiene derivada en cero y GRG puede dejar pesos en 0,003 en vez de 0: léelos como cero. scikit-learn usa un algoritmo (saga) que sí los deja exactamente en cero.</t>
        </is>
      </c>
    </row>
    <row r="50">
      <c r="A50">
        <f>'1 datos preparados'!A43</f>
        <v/>
      </c>
      <c r="B50" s="5">
        <f>'1 datos preparados'!U43</f>
        <v/>
      </c>
      <c r="C50">
        <f>'1 datos preparados'!B43</f>
        <v/>
      </c>
      <c r="D50" s="7">
        <f>'1 datos preparados'!C43</f>
        <v/>
      </c>
      <c r="E50" s="7">
        <f>'1 datos preparados'!D43</f>
        <v/>
      </c>
      <c r="F50" s="7">
        <f>'1 datos preparados'!E43</f>
        <v/>
      </c>
      <c r="G50" s="7">
        <f>'1 datos preparados'!F43</f>
        <v/>
      </c>
      <c r="H50" s="7">
        <f>'1 datos preparados'!G43</f>
        <v/>
      </c>
      <c r="I50" s="7">
        <f>'1 datos preparados'!H43</f>
        <v/>
      </c>
      <c r="J50" s="7">
        <f>'1 datos preparados'!I43</f>
        <v/>
      </c>
      <c r="K50" s="7">
        <f>'1 datos preparados'!J43</f>
        <v/>
      </c>
      <c r="L50" s="7">
        <f>'1 datos preparados'!K43</f>
        <v/>
      </c>
      <c r="M50" s="7">
        <f>'1 datos preparados'!L43</f>
        <v/>
      </c>
      <c r="N50" s="7">
        <f>'1 datos preparados'!M43</f>
        <v/>
      </c>
      <c r="O50" s="7">
        <f>'1 datos preparados'!N43</f>
        <v/>
      </c>
      <c r="P50" s="7">
        <f>'1 datos preparados'!O43</f>
        <v/>
      </c>
      <c r="Q50" s="7">
        <f>'1 datos preparados'!P43</f>
        <v/>
      </c>
      <c r="R50" s="7">
        <f>'1 datos preparados'!Q43</f>
        <v/>
      </c>
      <c r="S50" s="7">
        <f>'1 datos preparados'!R43</f>
        <v/>
      </c>
      <c r="T50" s="7">
        <f>'1 datos preparados'!S43</f>
        <v/>
      </c>
      <c r="U50" s="7">
        <f>'1 datos preparados'!T43</f>
        <v/>
      </c>
      <c r="V50" s="8">
        <f>$AC$12+D50*$AC$13+E50*$AC$14+F50*$AC$15+G50*$AC$16+H50*$AC$17+I50*$AC$18+J50*$AC$19+K50*$AC$20+L50*$AC$21+M50*$AC$22+N50*$AC$23+O50*$AC$24+P50*$AC$25+Q50*$AC$26+R50*$AC$27+S50*$AC$28+T50*$AC$29+U50*$AC$30</f>
        <v/>
      </c>
      <c r="W50" s="8">
        <f>1/(1+EXP(-V50))</f>
        <v/>
      </c>
      <c r="X50" s="9">
        <f>-IF(C50=1,LN(W50),LN(1-W50))</f>
        <v/>
      </c>
      <c r="Y50" s="10">
        <f>IF(W50&gt;$AC$33,1,0)</f>
        <v/>
      </c>
      <c r="Z50">
        <f>IF(Y50=C50,1,0)</f>
        <v/>
      </c>
    </row>
    <row r="51">
      <c r="A51">
        <f>'1 datos preparados'!A44</f>
        <v/>
      </c>
      <c r="B51" s="5">
        <f>'1 datos preparados'!U44</f>
        <v/>
      </c>
      <c r="C51">
        <f>'1 datos preparados'!B44</f>
        <v/>
      </c>
      <c r="D51" s="7">
        <f>'1 datos preparados'!C44</f>
        <v/>
      </c>
      <c r="E51" s="7">
        <f>'1 datos preparados'!D44</f>
        <v/>
      </c>
      <c r="F51" s="7">
        <f>'1 datos preparados'!E44</f>
        <v/>
      </c>
      <c r="G51" s="7">
        <f>'1 datos preparados'!F44</f>
        <v/>
      </c>
      <c r="H51" s="7">
        <f>'1 datos preparados'!G44</f>
        <v/>
      </c>
      <c r="I51" s="7">
        <f>'1 datos preparados'!H44</f>
        <v/>
      </c>
      <c r="J51" s="7">
        <f>'1 datos preparados'!I44</f>
        <v/>
      </c>
      <c r="K51" s="7">
        <f>'1 datos preparados'!J44</f>
        <v/>
      </c>
      <c r="L51" s="7">
        <f>'1 datos preparados'!K44</f>
        <v/>
      </c>
      <c r="M51" s="7">
        <f>'1 datos preparados'!L44</f>
        <v/>
      </c>
      <c r="N51" s="7">
        <f>'1 datos preparados'!M44</f>
        <v/>
      </c>
      <c r="O51" s="7">
        <f>'1 datos preparados'!N44</f>
        <v/>
      </c>
      <c r="P51" s="7">
        <f>'1 datos preparados'!O44</f>
        <v/>
      </c>
      <c r="Q51" s="7">
        <f>'1 datos preparados'!P44</f>
        <v/>
      </c>
      <c r="R51" s="7">
        <f>'1 datos preparados'!Q44</f>
        <v/>
      </c>
      <c r="S51" s="7">
        <f>'1 datos preparados'!R44</f>
        <v/>
      </c>
      <c r="T51" s="7">
        <f>'1 datos preparados'!S44</f>
        <v/>
      </c>
      <c r="U51" s="7">
        <f>'1 datos preparados'!T44</f>
        <v/>
      </c>
      <c r="V51" s="8">
        <f>$AC$12+D51*$AC$13+E51*$AC$14+F51*$AC$15+G51*$AC$16+H51*$AC$17+I51*$AC$18+J51*$AC$19+K51*$AC$20+L51*$AC$21+M51*$AC$22+N51*$AC$23+O51*$AC$24+P51*$AC$25+Q51*$AC$26+R51*$AC$27+S51*$AC$28+T51*$AC$29+U51*$AC$30</f>
        <v/>
      </c>
      <c r="W51" s="8">
        <f>1/(1+EXP(-V51))</f>
        <v/>
      </c>
      <c r="X51" s="9">
        <f>-IF(C51=1,LN(W51),LN(1-W51))</f>
        <v/>
      </c>
      <c r="Y51" s="10">
        <f>IF(W51&gt;$AC$33,1,0)</f>
        <v/>
      </c>
      <c r="Z51">
        <f>IF(Y51=C51,1,0)</f>
        <v/>
      </c>
    </row>
    <row r="52">
      <c r="A52">
        <f>'1 datos preparados'!A45</f>
        <v/>
      </c>
      <c r="B52" s="5">
        <f>'1 datos preparados'!U45</f>
        <v/>
      </c>
      <c r="C52">
        <f>'1 datos preparados'!B45</f>
        <v/>
      </c>
      <c r="D52" s="7">
        <f>'1 datos preparados'!C45</f>
        <v/>
      </c>
      <c r="E52" s="7">
        <f>'1 datos preparados'!D45</f>
        <v/>
      </c>
      <c r="F52" s="7">
        <f>'1 datos preparados'!E45</f>
        <v/>
      </c>
      <c r="G52" s="7">
        <f>'1 datos preparados'!F45</f>
        <v/>
      </c>
      <c r="H52" s="7">
        <f>'1 datos preparados'!G45</f>
        <v/>
      </c>
      <c r="I52" s="7">
        <f>'1 datos preparados'!H45</f>
        <v/>
      </c>
      <c r="J52" s="7">
        <f>'1 datos preparados'!I45</f>
        <v/>
      </c>
      <c r="K52" s="7">
        <f>'1 datos preparados'!J45</f>
        <v/>
      </c>
      <c r="L52" s="7">
        <f>'1 datos preparados'!K45</f>
        <v/>
      </c>
      <c r="M52" s="7">
        <f>'1 datos preparados'!L45</f>
        <v/>
      </c>
      <c r="N52" s="7">
        <f>'1 datos preparados'!M45</f>
        <v/>
      </c>
      <c r="O52" s="7">
        <f>'1 datos preparados'!N45</f>
        <v/>
      </c>
      <c r="P52" s="7">
        <f>'1 datos preparados'!O45</f>
        <v/>
      </c>
      <c r="Q52" s="7">
        <f>'1 datos preparados'!P45</f>
        <v/>
      </c>
      <c r="R52" s="7">
        <f>'1 datos preparados'!Q45</f>
        <v/>
      </c>
      <c r="S52" s="7">
        <f>'1 datos preparados'!R45</f>
        <v/>
      </c>
      <c r="T52" s="7">
        <f>'1 datos preparados'!S45</f>
        <v/>
      </c>
      <c r="U52" s="7">
        <f>'1 datos preparados'!T45</f>
        <v/>
      </c>
      <c r="V52" s="8">
        <f>$AC$12+D52*$AC$13+E52*$AC$14+F52*$AC$15+G52*$AC$16+H52*$AC$17+I52*$AC$18+J52*$AC$19+K52*$AC$20+L52*$AC$21+M52*$AC$22+N52*$AC$23+O52*$AC$24+P52*$AC$25+Q52*$AC$26+R52*$AC$27+S52*$AC$28+T52*$AC$29+U52*$AC$30</f>
        <v/>
      </c>
      <c r="W52" s="8">
        <f>1/(1+EXP(-V52))</f>
        <v/>
      </c>
      <c r="X52" s="9">
        <f>-IF(C52=1,LN(W52),LN(1-W52))</f>
        <v/>
      </c>
      <c r="Y52" s="10">
        <f>IF(W52&gt;$AC$33,1,0)</f>
        <v/>
      </c>
      <c r="Z52">
        <f>IF(Y52=C52,1,0)</f>
        <v/>
      </c>
    </row>
    <row r="53">
      <c r="A53">
        <f>'1 datos preparados'!A46</f>
        <v/>
      </c>
      <c r="B53" s="5">
        <f>'1 datos preparados'!U46</f>
        <v/>
      </c>
      <c r="C53">
        <f>'1 datos preparados'!B46</f>
        <v/>
      </c>
      <c r="D53" s="7">
        <f>'1 datos preparados'!C46</f>
        <v/>
      </c>
      <c r="E53" s="7">
        <f>'1 datos preparados'!D46</f>
        <v/>
      </c>
      <c r="F53" s="7">
        <f>'1 datos preparados'!E46</f>
        <v/>
      </c>
      <c r="G53" s="7">
        <f>'1 datos preparados'!F46</f>
        <v/>
      </c>
      <c r="H53" s="7">
        <f>'1 datos preparados'!G46</f>
        <v/>
      </c>
      <c r="I53" s="7">
        <f>'1 datos preparados'!H46</f>
        <v/>
      </c>
      <c r="J53" s="7">
        <f>'1 datos preparados'!I46</f>
        <v/>
      </c>
      <c r="K53" s="7">
        <f>'1 datos preparados'!J46</f>
        <v/>
      </c>
      <c r="L53" s="7">
        <f>'1 datos preparados'!K46</f>
        <v/>
      </c>
      <c r="M53" s="7">
        <f>'1 datos preparados'!L46</f>
        <v/>
      </c>
      <c r="N53" s="7">
        <f>'1 datos preparados'!M46</f>
        <v/>
      </c>
      <c r="O53" s="7">
        <f>'1 datos preparados'!N46</f>
        <v/>
      </c>
      <c r="P53" s="7">
        <f>'1 datos preparados'!O46</f>
        <v/>
      </c>
      <c r="Q53" s="7">
        <f>'1 datos preparados'!P46</f>
        <v/>
      </c>
      <c r="R53" s="7">
        <f>'1 datos preparados'!Q46</f>
        <v/>
      </c>
      <c r="S53" s="7">
        <f>'1 datos preparados'!R46</f>
        <v/>
      </c>
      <c r="T53" s="7">
        <f>'1 datos preparados'!S46</f>
        <v/>
      </c>
      <c r="U53" s="7">
        <f>'1 datos preparados'!T46</f>
        <v/>
      </c>
      <c r="V53" s="8">
        <f>$AC$12+D53*$AC$13+E53*$AC$14+F53*$AC$15+G53*$AC$16+H53*$AC$17+I53*$AC$18+J53*$AC$19+K53*$AC$20+L53*$AC$21+M53*$AC$22+N53*$AC$23+O53*$AC$24+P53*$AC$25+Q53*$AC$26+R53*$AC$27+S53*$AC$28+T53*$AC$29+U53*$AC$30</f>
        <v/>
      </c>
      <c r="W53" s="8">
        <f>1/(1+EXP(-V53))</f>
        <v/>
      </c>
      <c r="X53" s="9">
        <f>-IF(C53=1,LN(W53),LN(1-W53))</f>
        <v/>
      </c>
      <c r="Y53" s="10">
        <f>IF(W53&gt;$AC$33,1,0)</f>
        <v/>
      </c>
      <c r="Z53">
        <f>IF(Y53=C53,1,0)</f>
        <v/>
      </c>
    </row>
    <row r="54">
      <c r="A54">
        <f>'1 datos preparados'!A47</f>
        <v/>
      </c>
      <c r="B54" s="5">
        <f>'1 datos preparados'!U47</f>
        <v/>
      </c>
      <c r="C54">
        <f>'1 datos preparados'!B47</f>
        <v/>
      </c>
      <c r="D54" s="7">
        <f>'1 datos preparados'!C47</f>
        <v/>
      </c>
      <c r="E54" s="7">
        <f>'1 datos preparados'!D47</f>
        <v/>
      </c>
      <c r="F54" s="7">
        <f>'1 datos preparados'!E47</f>
        <v/>
      </c>
      <c r="G54" s="7">
        <f>'1 datos preparados'!F47</f>
        <v/>
      </c>
      <c r="H54" s="7">
        <f>'1 datos preparados'!G47</f>
        <v/>
      </c>
      <c r="I54" s="7">
        <f>'1 datos preparados'!H47</f>
        <v/>
      </c>
      <c r="J54" s="7">
        <f>'1 datos preparados'!I47</f>
        <v/>
      </c>
      <c r="K54" s="7">
        <f>'1 datos preparados'!J47</f>
        <v/>
      </c>
      <c r="L54" s="7">
        <f>'1 datos preparados'!K47</f>
        <v/>
      </c>
      <c r="M54" s="7">
        <f>'1 datos preparados'!L47</f>
        <v/>
      </c>
      <c r="N54" s="7">
        <f>'1 datos preparados'!M47</f>
        <v/>
      </c>
      <c r="O54" s="7">
        <f>'1 datos preparados'!N47</f>
        <v/>
      </c>
      <c r="P54" s="7">
        <f>'1 datos preparados'!O47</f>
        <v/>
      </c>
      <c r="Q54" s="7">
        <f>'1 datos preparados'!P47</f>
        <v/>
      </c>
      <c r="R54" s="7">
        <f>'1 datos preparados'!Q47</f>
        <v/>
      </c>
      <c r="S54" s="7">
        <f>'1 datos preparados'!R47</f>
        <v/>
      </c>
      <c r="T54" s="7">
        <f>'1 datos preparados'!S47</f>
        <v/>
      </c>
      <c r="U54" s="7">
        <f>'1 datos preparados'!T47</f>
        <v/>
      </c>
      <c r="V54" s="8">
        <f>$AC$12+D54*$AC$13+E54*$AC$14+F54*$AC$15+G54*$AC$16+H54*$AC$17+I54*$AC$18+J54*$AC$19+K54*$AC$20+L54*$AC$21+M54*$AC$22+N54*$AC$23+O54*$AC$24+P54*$AC$25+Q54*$AC$26+R54*$AC$27+S54*$AC$28+T54*$AC$29+U54*$AC$30</f>
        <v/>
      </c>
      <c r="W54" s="8">
        <f>1/(1+EXP(-V54))</f>
        <v/>
      </c>
      <c r="X54" s="9">
        <f>-IF(C54=1,LN(W54),LN(1-W54))</f>
        <v/>
      </c>
      <c r="Y54" s="10">
        <f>IF(W54&gt;$AC$33,1,0)</f>
        <v/>
      </c>
      <c r="Z54">
        <f>IF(Y54=C54,1,0)</f>
        <v/>
      </c>
    </row>
    <row r="55">
      <c r="A55">
        <f>'1 datos preparados'!A48</f>
        <v/>
      </c>
      <c r="B55" s="5">
        <f>'1 datos preparados'!U48</f>
        <v/>
      </c>
      <c r="C55">
        <f>'1 datos preparados'!B48</f>
        <v/>
      </c>
      <c r="D55" s="7">
        <f>'1 datos preparados'!C48</f>
        <v/>
      </c>
      <c r="E55" s="7">
        <f>'1 datos preparados'!D48</f>
        <v/>
      </c>
      <c r="F55" s="7">
        <f>'1 datos preparados'!E48</f>
        <v/>
      </c>
      <c r="G55" s="7">
        <f>'1 datos preparados'!F48</f>
        <v/>
      </c>
      <c r="H55" s="7">
        <f>'1 datos preparados'!G48</f>
        <v/>
      </c>
      <c r="I55" s="7">
        <f>'1 datos preparados'!H48</f>
        <v/>
      </c>
      <c r="J55" s="7">
        <f>'1 datos preparados'!I48</f>
        <v/>
      </c>
      <c r="K55" s="7">
        <f>'1 datos preparados'!J48</f>
        <v/>
      </c>
      <c r="L55" s="7">
        <f>'1 datos preparados'!K48</f>
        <v/>
      </c>
      <c r="M55" s="7">
        <f>'1 datos preparados'!L48</f>
        <v/>
      </c>
      <c r="N55" s="7">
        <f>'1 datos preparados'!M48</f>
        <v/>
      </c>
      <c r="O55" s="7">
        <f>'1 datos preparados'!N48</f>
        <v/>
      </c>
      <c r="P55" s="7">
        <f>'1 datos preparados'!O48</f>
        <v/>
      </c>
      <c r="Q55" s="7">
        <f>'1 datos preparados'!P48</f>
        <v/>
      </c>
      <c r="R55" s="7">
        <f>'1 datos preparados'!Q48</f>
        <v/>
      </c>
      <c r="S55" s="7">
        <f>'1 datos preparados'!R48</f>
        <v/>
      </c>
      <c r="T55" s="7">
        <f>'1 datos preparados'!S48</f>
        <v/>
      </c>
      <c r="U55" s="7">
        <f>'1 datos preparados'!T48</f>
        <v/>
      </c>
      <c r="V55" s="8">
        <f>$AC$12+D55*$AC$13+E55*$AC$14+F55*$AC$15+G55*$AC$16+H55*$AC$17+I55*$AC$18+J55*$AC$19+K55*$AC$20+L55*$AC$21+M55*$AC$22+N55*$AC$23+O55*$AC$24+P55*$AC$25+Q55*$AC$26+R55*$AC$27+S55*$AC$28+T55*$AC$29+U55*$AC$30</f>
        <v/>
      </c>
      <c r="W55" s="8">
        <f>1/(1+EXP(-V55))</f>
        <v/>
      </c>
      <c r="X55" s="9">
        <f>-IF(C55=1,LN(W55),LN(1-W55))</f>
        <v/>
      </c>
      <c r="Y55" s="10">
        <f>IF(W55&gt;$AC$33,1,0)</f>
        <v/>
      </c>
      <c r="Z55">
        <f>IF(Y55=C55,1,0)</f>
        <v/>
      </c>
    </row>
    <row r="56">
      <c r="A56">
        <f>'1 datos preparados'!A49</f>
        <v/>
      </c>
      <c r="B56" s="5">
        <f>'1 datos preparados'!U49</f>
        <v/>
      </c>
      <c r="C56">
        <f>'1 datos preparados'!B49</f>
        <v/>
      </c>
      <c r="D56" s="7">
        <f>'1 datos preparados'!C49</f>
        <v/>
      </c>
      <c r="E56" s="7">
        <f>'1 datos preparados'!D49</f>
        <v/>
      </c>
      <c r="F56" s="7">
        <f>'1 datos preparados'!E49</f>
        <v/>
      </c>
      <c r="G56" s="7">
        <f>'1 datos preparados'!F49</f>
        <v/>
      </c>
      <c r="H56" s="7">
        <f>'1 datos preparados'!G49</f>
        <v/>
      </c>
      <c r="I56" s="7">
        <f>'1 datos preparados'!H49</f>
        <v/>
      </c>
      <c r="J56" s="7">
        <f>'1 datos preparados'!I49</f>
        <v/>
      </c>
      <c r="K56" s="7">
        <f>'1 datos preparados'!J49</f>
        <v/>
      </c>
      <c r="L56" s="7">
        <f>'1 datos preparados'!K49</f>
        <v/>
      </c>
      <c r="M56" s="7">
        <f>'1 datos preparados'!L49</f>
        <v/>
      </c>
      <c r="N56" s="7">
        <f>'1 datos preparados'!M49</f>
        <v/>
      </c>
      <c r="O56" s="7">
        <f>'1 datos preparados'!N49</f>
        <v/>
      </c>
      <c r="P56" s="7">
        <f>'1 datos preparados'!O49</f>
        <v/>
      </c>
      <c r="Q56" s="7">
        <f>'1 datos preparados'!P49</f>
        <v/>
      </c>
      <c r="R56" s="7">
        <f>'1 datos preparados'!Q49</f>
        <v/>
      </c>
      <c r="S56" s="7">
        <f>'1 datos preparados'!R49</f>
        <v/>
      </c>
      <c r="T56" s="7">
        <f>'1 datos preparados'!S49</f>
        <v/>
      </c>
      <c r="U56" s="7">
        <f>'1 datos preparados'!T49</f>
        <v/>
      </c>
      <c r="V56" s="8">
        <f>$AC$12+D56*$AC$13+E56*$AC$14+F56*$AC$15+G56*$AC$16+H56*$AC$17+I56*$AC$18+J56*$AC$19+K56*$AC$20+L56*$AC$21+M56*$AC$22+N56*$AC$23+O56*$AC$24+P56*$AC$25+Q56*$AC$26+R56*$AC$27+S56*$AC$28+T56*$AC$29+U56*$AC$30</f>
        <v/>
      </c>
      <c r="W56" s="8">
        <f>1/(1+EXP(-V56))</f>
        <v/>
      </c>
      <c r="X56" s="9">
        <f>-IF(C56=1,LN(W56),LN(1-W56))</f>
        <v/>
      </c>
      <c r="Y56" s="10">
        <f>IF(W56&gt;$AC$33,1,0)</f>
        <v/>
      </c>
      <c r="Z56">
        <f>IF(Y56=C56,1,0)</f>
        <v/>
      </c>
    </row>
    <row r="57">
      <c r="A57">
        <f>'1 datos preparados'!A50</f>
        <v/>
      </c>
      <c r="B57" s="5">
        <f>'1 datos preparados'!U50</f>
        <v/>
      </c>
      <c r="C57">
        <f>'1 datos preparados'!B50</f>
        <v/>
      </c>
      <c r="D57" s="7">
        <f>'1 datos preparados'!C50</f>
        <v/>
      </c>
      <c r="E57" s="7">
        <f>'1 datos preparados'!D50</f>
        <v/>
      </c>
      <c r="F57" s="7">
        <f>'1 datos preparados'!E50</f>
        <v/>
      </c>
      <c r="G57" s="7">
        <f>'1 datos preparados'!F50</f>
        <v/>
      </c>
      <c r="H57" s="7">
        <f>'1 datos preparados'!G50</f>
        <v/>
      </c>
      <c r="I57" s="7">
        <f>'1 datos preparados'!H50</f>
        <v/>
      </c>
      <c r="J57" s="7">
        <f>'1 datos preparados'!I50</f>
        <v/>
      </c>
      <c r="K57" s="7">
        <f>'1 datos preparados'!J50</f>
        <v/>
      </c>
      <c r="L57" s="7">
        <f>'1 datos preparados'!K50</f>
        <v/>
      </c>
      <c r="M57" s="7">
        <f>'1 datos preparados'!L50</f>
        <v/>
      </c>
      <c r="N57" s="7">
        <f>'1 datos preparados'!M50</f>
        <v/>
      </c>
      <c r="O57" s="7">
        <f>'1 datos preparados'!N50</f>
        <v/>
      </c>
      <c r="P57" s="7">
        <f>'1 datos preparados'!O50</f>
        <v/>
      </c>
      <c r="Q57" s="7">
        <f>'1 datos preparados'!P50</f>
        <v/>
      </c>
      <c r="R57" s="7">
        <f>'1 datos preparados'!Q50</f>
        <v/>
      </c>
      <c r="S57" s="7">
        <f>'1 datos preparados'!R50</f>
        <v/>
      </c>
      <c r="T57" s="7">
        <f>'1 datos preparados'!S50</f>
        <v/>
      </c>
      <c r="U57" s="7">
        <f>'1 datos preparados'!T50</f>
        <v/>
      </c>
      <c r="V57" s="8">
        <f>$AC$12+D57*$AC$13+E57*$AC$14+F57*$AC$15+G57*$AC$16+H57*$AC$17+I57*$AC$18+J57*$AC$19+K57*$AC$20+L57*$AC$21+M57*$AC$22+N57*$AC$23+O57*$AC$24+P57*$AC$25+Q57*$AC$26+R57*$AC$27+S57*$AC$28+T57*$AC$29+U57*$AC$30</f>
        <v/>
      </c>
      <c r="W57" s="8">
        <f>1/(1+EXP(-V57))</f>
        <v/>
      </c>
      <c r="X57" s="9">
        <f>-IF(C57=1,LN(W57),LN(1-W57))</f>
        <v/>
      </c>
      <c r="Y57" s="10">
        <f>IF(W57&gt;$AC$33,1,0)</f>
        <v/>
      </c>
      <c r="Z57">
        <f>IF(Y57=C57,1,0)</f>
        <v/>
      </c>
    </row>
    <row r="58">
      <c r="A58">
        <f>'1 datos preparados'!A51</f>
        <v/>
      </c>
      <c r="B58" s="5">
        <f>'1 datos preparados'!U51</f>
        <v/>
      </c>
      <c r="C58">
        <f>'1 datos preparados'!B51</f>
        <v/>
      </c>
      <c r="D58" s="7">
        <f>'1 datos preparados'!C51</f>
        <v/>
      </c>
      <c r="E58" s="7">
        <f>'1 datos preparados'!D51</f>
        <v/>
      </c>
      <c r="F58" s="7">
        <f>'1 datos preparados'!E51</f>
        <v/>
      </c>
      <c r="G58" s="7">
        <f>'1 datos preparados'!F51</f>
        <v/>
      </c>
      <c r="H58" s="7">
        <f>'1 datos preparados'!G51</f>
        <v/>
      </c>
      <c r="I58" s="7">
        <f>'1 datos preparados'!H51</f>
        <v/>
      </c>
      <c r="J58" s="7">
        <f>'1 datos preparados'!I51</f>
        <v/>
      </c>
      <c r="K58" s="7">
        <f>'1 datos preparados'!J51</f>
        <v/>
      </c>
      <c r="L58" s="7">
        <f>'1 datos preparados'!K51</f>
        <v/>
      </c>
      <c r="M58" s="7">
        <f>'1 datos preparados'!L51</f>
        <v/>
      </c>
      <c r="N58" s="7">
        <f>'1 datos preparados'!M51</f>
        <v/>
      </c>
      <c r="O58" s="7">
        <f>'1 datos preparados'!N51</f>
        <v/>
      </c>
      <c r="P58" s="7">
        <f>'1 datos preparados'!O51</f>
        <v/>
      </c>
      <c r="Q58" s="7">
        <f>'1 datos preparados'!P51</f>
        <v/>
      </c>
      <c r="R58" s="7">
        <f>'1 datos preparados'!Q51</f>
        <v/>
      </c>
      <c r="S58" s="7">
        <f>'1 datos preparados'!R51</f>
        <v/>
      </c>
      <c r="T58" s="7">
        <f>'1 datos preparados'!S51</f>
        <v/>
      </c>
      <c r="U58" s="7">
        <f>'1 datos preparados'!T51</f>
        <v/>
      </c>
      <c r="V58" s="8">
        <f>$AC$12+D58*$AC$13+E58*$AC$14+F58*$AC$15+G58*$AC$16+H58*$AC$17+I58*$AC$18+J58*$AC$19+K58*$AC$20+L58*$AC$21+M58*$AC$22+N58*$AC$23+O58*$AC$24+P58*$AC$25+Q58*$AC$26+R58*$AC$27+S58*$AC$28+T58*$AC$29+U58*$AC$30</f>
        <v/>
      </c>
      <c r="W58" s="8">
        <f>1/(1+EXP(-V58))</f>
        <v/>
      </c>
      <c r="X58" s="9">
        <f>-IF(C58=1,LN(W58),LN(1-W58))</f>
        <v/>
      </c>
      <c r="Y58" s="10">
        <f>IF(W58&gt;$AC$33,1,0)</f>
        <v/>
      </c>
      <c r="Z58">
        <f>IF(Y58=C58,1,0)</f>
        <v/>
      </c>
    </row>
    <row r="59">
      <c r="A59">
        <f>'1 datos preparados'!A52</f>
        <v/>
      </c>
      <c r="B59" s="5">
        <f>'1 datos preparados'!U52</f>
        <v/>
      </c>
      <c r="C59">
        <f>'1 datos preparados'!B52</f>
        <v/>
      </c>
      <c r="D59" s="7">
        <f>'1 datos preparados'!C52</f>
        <v/>
      </c>
      <c r="E59" s="7">
        <f>'1 datos preparados'!D52</f>
        <v/>
      </c>
      <c r="F59" s="7">
        <f>'1 datos preparados'!E52</f>
        <v/>
      </c>
      <c r="G59" s="7">
        <f>'1 datos preparados'!F52</f>
        <v/>
      </c>
      <c r="H59" s="7">
        <f>'1 datos preparados'!G52</f>
        <v/>
      </c>
      <c r="I59" s="7">
        <f>'1 datos preparados'!H52</f>
        <v/>
      </c>
      <c r="J59" s="7">
        <f>'1 datos preparados'!I52</f>
        <v/>
      </c>
      <c r="K59" s="7">
        <f>'1 datos preparados'!J52</f>
        <v/>
      </c>
      <c r="L59" s="7">
        <f>'1 datos preparados'!K52</f>
        <v/>
      </c>
      <c r="M59" s="7">
        <f>'1 datos preparados'!L52</f>
        <v/>
      </c>
      <c r="N59" s="7">
        <f>'1 datos preparados'!M52</f>
        <v/>
      </c>
      <c r="O59" s="7">
        <f>'1 datos preparados'!N52</f>
        <v/>
      </c>
      <c r="P59" s="7">
        <f>'1 datos preparados'!O52</f>
        <v/>
      </c>
      <c r="Q59" s="7">
        <f>'1 datos preparados'!P52</f>
        <v/>
      </c>
      <c r="R59" s="7">
        <f>'1 datos preparados'!Q52</f>
        <v/>
      </c>
      <c r="S59" s="7">
        <f>'1 datos preparados'!R52</f>
        <v/>
      </c>
      <c r="T59" s="7">
        <f>'1 datos preparados'!S52</f>
        <v/>
      </c>
      <c r="U59" s="7">
        <f>'1 datos preparados'!T52</f>
        <v/>
      </c>
      <c r="V59" s="8">
        <f>$AC$12+D59*$AC$13+E59*$AC$14+F59*$AC$15+G59*$AC$16+H59*$AC$17+I59*$AC$18+J59*$AC$19+K59*$AC$20+L59*$AC$21+M59*$AC$22+N59*$AC$23+O59*$AC$24+P59*$AC$25+Q59*$AC$26+R59*$AC$27+S59*$AC$28+T59*$AC$29+U59*$AC$30</f>
        <v/>
      </c>
      <c r="W59" s="8">
        <f>1/(1+EXP(-V59))</f>
        <v/>
      </c>
      <c r="X59" s="9">
        <f>-IF(C59=1,LN(W59),LN(1-W59))</f>
        <v/>
      </c>
      <c r="Y59" s="10">
        <f>IF(W59&gt;$AC$33,1,0)</f>
        <v/>
      </c>
      <c r="Z59">
        <f>IF(Y59=C59,1,0)</f>
        <v/>
      </c>
    </row>
    <row r="60">
      <c r="A60">
        <f>'1 datos preparados'!A53</f>
        <v/>
      </c>
      <c r="B60" s="5">
        <f>'1 datos preparados'!U53</f>
        <v/>
      </c>
      <c r="C60">
        <f>'1 datos preparados'!B53</f>
        <v/>
      </c>
      <c r="D60" s="7">
        <f>'1 datos preparados'!C53</f>
        <v/>
      </c>
      <c r="E60" s="7">
        <f>'1 datos preparados'!D53</f>
        <v/>
      </c>
      <c r="F60" s="7">
        <f>'1 datos preparados'!E53</f>
        <v/>
      </c>
      <c r="G60" s="7">
        <f>'1 datos preparados'!F53</f>
        <v/>
      </c>
      <c r="H60" s="7">
        <f>'1 datos preparados'!G53</f>
        <v/>
      </c>
      <c r="I60" s="7">
        <f>'1 datos preparados'!H53</f>
        <v/>
      </c>
      <c r="J60" s="7">
        <f>'1 datos preparados'!I53</f>
        <v/>
      </c>
      <c r="K60" s="7">
        <f>'1 datos preparados'!J53</f>
        <v/>
      </c>
      <c r="L60" s="7">
        <f>'1 datos preparados'!K53</f>
        <v/>
      </c>
      <c r="M60" s="7">
        <f>'1 datos preparados'!L53</f>
        <v/>
      </c>
      <c r="N60" s="7">
        <f>'1 datos preparados'!M53</f>
        <v/>
      </c>
      <c r="O60" s="7">
        <f>'1 datos preparados'!N53</f>
        <v/>
      </c>
      <c r="P60" s="7">
        <f>'1 datos preparados'!O53</f>
        <v/>
      </c>
      <c r="Q60" s="7">
        <f>'1 datos preparados'!P53</f>
        <v/>
      </c>
      <c r="R60" s="7">
        <f>'1 datos preparados'!Q53</f>
        <v/>
      </c>
      <c r="S60" s="7">
        <f>'1 datos preparados'!R53</f>
        <v/>
      </c>
      <c r="T60" s="7">
        <f>'1 datos preparados'!S53</f>
        <v/>
      </c>
      <c r="U60" s="7">
        <f>'1 datos preparados'!T53</f>
        <v/>
      </c>
      <c r="V60" s="8">
        <f>$AC$12+D60*$AC$13+E60*$AC$14+F60*$AC$15+G60*$AC$16+H60*$AC$17+I60*$AC$18+J60*$AC$19+K60*$AC$20+L60*$AC$21+M60*$AC$22+N60*$AC$23+O60*$AC$24+P60*$AC$25+Q60*$AC$26+R60*$AC$27+S60*$AC$28+T60*$AC$29+U60*$AC$30</f>
        <v/>
      </c>
      <c r="W60" s="8">
        <f>1/(1+EXP(-V60))</f>
        <v/>
      </c>
      <c r="X60" s="9">
        <f>-IF(C60=1,LN(W60),LN(1-W60))</f>
        <v/>
      </c>
      <c r="Y60" s="10">
        <f>IF(W60&gt;$AC$33,1,0)</f>
        <v/>
      </c>
      <c r="Z60">
        <f>IF(Y60=C60,1,0)</f>
        <v/>
      </c>
    </row>
    <row r="61">
      <c r="A61">
        <f>'1 datos preparados'!A54</f>
        <v/>
      </c>
      <c r="B61" s="5">
        <f>'1 datos preparados'!U54</f>
        <v/>
      </c>
      <c r="C61">
        <f>'1 datos preparados'!B54</f>
        <v/>
      </c>
      <c r="D61" s="7">
        <f>'1 datos preparados'!C54</f>
        <v/>
      </c>
      <c r="E61" s="7">
        <f>'1 datos preparados'!D54</f>
        <v/>
      </c>
      <c r="F61" s="7">
        <f>'1 datos preparados'!E54</f>
        <v/>
      </c>
      <c r="G61" s="7">
        <f>'1 datos preparados'!F54</f>
        <v/>
      </c>
      <c r="H61" s="7">
        <f>'1 datos preparados'!G54</f>
        <v/>
      </c>
      <c r="I61" s="7">
        <f>'1 datos preparados'!H54</f>
        <v/>
      </c>
      <c r="J61" s="7">
        <f>'1 datos preparados'!I54</f>
        <v/>
      </c>
      <c r="K61" s="7">
        <f>'1 datos preparados'!J54</f>
        <v/>
      </c>
      <c r="L61" s="7">
        <f>'1 datos preparados'!K54</f>
        <v/>
      </c>
      <c r="M61" s="7">
        <f>'1 datos preparados'!L54</f>
        <v/>
      </c>
      <c r="N61" s="7">
        <f>'1 datos preparados'!M54</f>
        <v/>
      </c>
      <c r="O61" s="7">
        <f>'1 datos preparados'!N54</f>
        <v/>
      </c>
      <c r="P61" s="7">
        <f>'1 datos preparados'!O54</f>
        <v/>
      </c>
      <c r="Q61" s="7">
        <f>'1 datos preparados'!P54</f>
        <v/>
      </c>
      <c r="R61" s="7">
        <f>'1 datos preparados'!Q54</f>
        <v/>
      </c>
      <c r="S61" s="7">
        <f>'1 datos preparados'!R54</f>
        <v/>
      </c>
      <c r="T61" s="7">
        <f>'1 datos preparados'!S54</f>
        <v/>
      </c>
      <c r="U61" s="7">
        <f>'1 datos preparados'!T54</f>
        <v/>
      </c>
      <c r="V61" s="8">
        <f>$AC$12+D61*$AC$13+E61*$AC$14+F61*$AC$15+G61*$AC$16+H61*$AC$17+I61*$AC$18+J61*$AC$19+K61*$AC$20+L61*$AC$21+M61*$AC$22+N61*$AC$23+O61*$AC$24+P61*$AC$25+Q61*$AC$26+R61*$AC$27+S61*$AC$28+T61*$AC$29+U61*$AC$30</f>
        <v/>
      </c>
      <c r="W61" s="8">
        <f>1/(1+EXP(-V61))</f>
        <v/>
      </c>
      <c r="X61" s="9">
        <f>-IF(C61=1,LN(W61),LN(1-W61))</f>
        <v/>
      </c>
      <c r="Y61" s="10">
        <f>IF(W61&gt;$AC$33,1,0)</f>
        <v/>
      </c>
      <c r="Z61">
        <f>IF(Y61=C61,1,0)</f>
        <v/>
      </c>
    </row>
    <row r="62">
      <c r="A62">
        <f>'1 datos preparados'!A55</f>
        <v/>
      </c>
      <c r="B62" s="5">
        <f>'1 datos preparados'!U55</f>
        <v/>
      </c>
      <c r="C62">
        <f>'1 datos preparados'!B55</f>
        <v/>
      </c>
      <c r="D62" s="7">
        <f>'1 datos preparados'!C55</f>
        <v/>
      </c>
      <c r="E62" s="7">
        <f>'1 datos preparados'!D55</f>
        <v/>
      </c>
      <c r="F62" s="7">
        <f>'1 datos preparados'!E55</f>
        <v/>
      </c>
      <c r="G62" s="7">
        <f>'1 datos preparados'!F55</f>
        <v/>
      </c>
      <c r="H62" s="7">
        <f>'1 datos preparados'!G55</f>
        <v/>
      </c>
      <c r="I62" s="7">
        <f>'1 datos preparados'!H55</f>
        <v/>
      </c>
      <c r="J62" s="7">
        <f>'1 datos preparados'!I55</f>
        <v/>
      </c>
      <c r="K62" s="7">
        <f>'1 datos preparados'!J55</f>
        <v/>
      </c>
      <c r="L62" s="7">
        <f>'1 datos preparados'!K55</f>
        <v/>
      </c>
      <c r="M62" s="7">
        <f>'1 datos preparados'!L55</f>
        <v/>
      </c>
      <c r="N62" s="7">
        <f>'1 datos preparados'!M55</f>
        <v/>
      </c>
      <c r="O62" s="7">
        <f>'1 datos preparados'!N55</f>
        <v/>
      </c>
      <c r="P62" s="7">
        <f>'1 datos preparados'!O55</f>
        <v/>
      </c>
      <c r="Q62" s="7">
        <f>'1 datos preparados'!P55</f>
        <v/>
      </c>
      <c r="R62" s="7">
        <f>'1 datos preparados'!Q55</f>
        <v/>
      </c>
      <c r="S62" s="7">
        <f>'1 datos preparados'!R55</f>
        <v/>
      </c>
      <c r="T62" s="7">
        <f>'1 datos preparados'!S55</f>
        <v/>
      </c>
      <c r="U62" s="7">
        <f>'1 datos preparados'!T55</f>
        <v/>
      </c>
      <c r="V62" s="8">
        <f>$AC$12+D62*$AC$13+E62*$AC$14+F62*$AC$15+G62*$AC$16+H62*$AC$17+I62*$AC$18+J62*$AC$19+K62*$AC$20+L62*$AC$21+M62*$AC$22+N62*$AC$23+O62*$AC$24+P62*$AC$25+Q62*$AC$26+R62*$AC$27+S62*$AC$28+T62*$AC$29+U62*$AC$30</f>
        <v/>
      </c>
      <c r="W62" s="8">
        <f>1/(1+EXP(-V62))</f>
        <v/>
      </c>
      <c r="X62" s="9">
        <f>-IF(C62=1,LN(W62),LN(1-W62))</f>
        <v/>
      </c>
      <c r="Y62" s="10">
        <f>IF(W62&gt;$AC$33,1,0)</f>
        <v/>
      </c>
      <c r="Z62">
        <f>IF(Y62=C62,1,0)</f>
        <v/>
      </c>
    </row>
    <row r="63">
      <c r="A63">
        <f>'1 datos preparados'!A56</f>
        <v/>
      </c>
      <c r="B63" s="5">
        <f>'1 datos preparados'!U56</f>
        <v/>
      </c>
      <c r="C63">
        <f>'1 datos preparados'!B56</f>
        <v/>
      </c>
      <c r="D63" s="7">
        <f>'1 datos preparados'!C56</f>
        <v/>
      </c>
      <c r="E63" s="7">
        <f>'1 datos preparados'!D56</f>
        <v/>
      </c>
      <c r="F63" s="7">
        <f>'1 datos preparados'!E56</f>
        <v/>
      </c>
      <c r="G63" s="7">
        <f>'1 datos preparados'!F56</f>
        <v/>
      </c>
      <c r="H63" s="7">
        <f>'1 datos preparados'!G56</f>
        <v/>
      </c>
      <c r="I63" s="7">
        <f>'1 datos preparados'!H56</f>
        <v/>
      </c>
      <c r="J63" s="7">
        <f>'1 datos preparados'!I56</f>
        <v/>
      </c>
      <c r="K63" s="7">
        <f>'1 datos preparados'!J56</f>
        <v/>
      </c>
      <c r="L63" s="7">
        <f>'1 datos preparados'!K56</f>
        <v/>
      </c>
      <c r="M63" s="7">
        <f>'1 datos preparados'!L56</f>
        <v/>
      </c>
      <c r="N63" s="7">
        <f>'1 datos preparados'!M56</f>
        <v/>
      </c>
      <c r="O63" s="7">
        <f>'1 datos preparados'!N56</f>
        <v/>
      </c>
      <c r="P63" s="7">
        <f>'1 datos preparados'!O56</f>
        <v/>
      </c>
      <c r="Q63" s="7">
        <f>'1 datos preparados'!P56</f>
        <v/>
      </c>
      <c r="R63" s="7">
        <f>'1 datos preparados'!Q56</f>
        <v/>
      </c>
      <c r="S63" s="7">
        <f>'1 datos preparados'!R56</f>
        <v/>
      </c>
      <c r="T63" s="7">
        <f>'1 datos preparados'!S56</f>
        <v/>
      </c>
      <c r="U63" s="7">
        <f>'1 datos preparados'!T56</f>
        <v/>
      </c>
      <c r="V63" s="8">
        <f>$AC$12+D63*$AC$13+E63*$AC$14+F63*$AC$15+G63*$AC$16+H63*$AC$17+I63*$AC$18+J63*$AC$19+K63*$AC$20+L63*$AC$21+M63*$AC$22+N63*$AC$23+O63*$AC$24+P63*$AC$25+Q63*$AC$26+R63*$AC$27+S63*$AC$28+T63*$AC$29+U63*$AC$30</f>
        <v/>
      </c>
      <c r="W63" s="8">
        <f>1/(1+EXP(-V63))</f>
        <v/>
      </c>
      <c r="X63" s="9">
        <f>-IF(C63=1,LN(W63),LN(1-W63))</f>
        <v/>
      </c>
      <c r="Y63" s="10">
        <f>IF(W63&gt;$AC$33,1,0)</f>
        <v/>
      </c>
      <c r="Z63">
        <f>IF(Y63=C63,1,0)</f>
        <v/>
      </c>
    </row>
    <row r="64">
      <c r="A64">
        <f>'1 datos preparados'!A57</f>
        <v/>
      </c>
      <c r="B64" s="5">
        <f>'1 datos preparados'!U57</f>
        <v/>
      </c>
      <c r="C64">
        <f>'1 datos preparados'!B57</f>
        <v/>
      </c>
      <c r="D64" s="7">
        <f>'1 datos preparados'!C57</f>
        <v/>
      </c>
      <c r="E64" s="7">
        <f>'1 datos preparados'!D57</f>
        <v/>
      </c>
      <c r="F64" s="7">
        <f>'1 datos preparados'!E57</f>
        <v/>
      </c>
      <c r="G64" s="7">
        <f>'1 datos preparados'!F57</f>
        <v/>
      </c>
      <c r="H64" s="7">
        <f>'1 datos preparados'!G57</f>
        <v/>
      </c>
      <c r="I64" s="7">
        <f>'1 datos preparados'!H57</f>
        <v/>
      </c>
      <c r="J64" s="7">
        <f>'1 datos preparados'!I57</f>
        <v/>
      </c>
      <c r="K64" s="7">
        <f>'1 datos preparados'!J57</f>
        <v/>
      </c>
      <c r="L64" s="7">
        <f>'1 datos preparados'!K57</f>
        <v/>
      </c>
      <c r="M64" s="7">
        <f>'1 datos preparados'!L57</f>
        <v/>
      </c>
      <c r="N64" s="7">
        <f>'1 datos preparados'!M57</f>
        <v/>
      </c>
      <c r="O64" s="7">
        <f>'1 datos preparados'!N57</f>
        <v/>
      </c>
      <c r="P64" s="7">
        <f>'1 datos preparados'!O57</f>
        <v/>
      </c>
      <c r="Q64" s="7">
        <f>'1 datos preparados'!P57</f>
        <v/>
      </c>
      <c r="R64" s="7">
        <f>'1 datos preparados'!Q57</f>
        <v/>
      </c>
      <c r="S64" s="7">
        <f>'1 datos preparados'!R57</f>
        <v/>
      </c>
      <c r="T64" s="7">
        <f>'1 datos preparados'!S57</f>
        <v/>
      </c>
      <c r="U64" s="7">
        <f>'1 datos preparados'!T57</f>
        <v/>
      </c>
      <c r="V64" s="8">
        <f>$AC$12+D64*$AC$13+E64*$AC$14+F64*$AC$15+G64*$AC$16+H64*$AC$17+I64*$AC$18+J64*$AC$19+K64*$AC$20+L64*$AC$21+M64*$AC$22+N64*$AC$23+O64*$AC$24+P64*$AC$25+Q64*$AC$26+R64*$AC$27+S64*$AC$28+T64*$AC$29+U64*$AC$30</f>
        <v/>
      </c>
      <c r="W64" s="8">
        <f>1/(1+EXP(-V64))</f>
        <v/>
      </c>
      <c r="X64" s="9">
        <f>-IF(C64=1,LN(W64),LN(1-W64))</f>
        <v/>
      </c>
      <c r="Y64" s="10">
        <f>IF(W64&gt;$AC$33,1,0)</f>
        <v/>
      </c>
      <c r="Z64">
        <f>IF(Y64=C64,1,0)</f>
        <v/>
      </c>
    </row>
    <row r="65">
      <c r="A65">
        <f>'1 datos preparados'!A58</f>
        <v/>
      </c>
      <c r="B65" s="5">
        <f>'1 datos preparados'!U58</f>
        <v/>
      </c>
      <c r="C65">
        <f>'1 datos preparados'!B58</f>
        <v/>
      </c>
      <c r="D65" s="7">
        <f>'1 datos preparados'!C58</f>
        <v/>
      </c>
      <c r="E65" s="7">
        <f>'1 datos preparados'!D58</f>
        <v/>
      </c>
      <c r="F65" s="7">
        <f>'1 datos preparados'!E58</f>
        <v/>
      </c>
      <c r="G65" s="7">
        <f>'1 datos preparados'!F58</f>
        <v/>
      </c>
      <c r="H65" s="7">
        <f>'1 datos preparados'!G58</f>
        <v/>
      </c>
      <c r="I65" s="7">
        <f>'1 datos preparados'!H58</f>
        <v/>
      </c>
      <c r="J65" s="7">
        <f>'1 datos preparados'!I58</f>
        <v/>
      </c>
      <c r="K65" s="7">
        <f>'1 datos preparados'!J58</f>
        <v/>
      </c>
      <c r="L65" s="7">
        <f>'1 datos preparados'!K58</f>
        <v/>
      </c>
      <c r="M65" s="7">
        <f>'1 datos preparados'!L58</f>
        <v/>
      </c>
      <c r="N65" s="7">
        <f>'1 datos preparados'!M58</f>
        <v/>
      </c>
      <c r="O65" s="7">
        <f>'1 datos preparados'!N58</f>
        <v/>
      </c>
      <c r="P65" s="7">
        <f>'1 datos preparados'!O58</f>
        <v/>
      </c>
      <c r="Q65" s="7">
        <f>'1 datos preparados'!P58</f>
        <v/>
      </c>
      <c r="R65" s="7">
        <f>'1 datos preparados'!Q58</f>
        <v/>
      </c>
      <c r="S65" s="7">
        <f>'1 datos preparados'!R58</f>
        <v/>
      </c>
      <c r="T65" s="7">
        <f>'1 datos preparados'!S58</f>
        <v/>
      </c>
      <c r="U65" s="7">
        <f>'1 datos preparados'!T58</f>
        <v/>
      </c>
      <c r="V65" s="8">
        <f>$AC$12+D65*$AC$13+E65*$AC$14+F65*$AC$15+G65*$AC$16+H65*$AC$17+I65*$AC$18+J65*$AC$19+K65*$AC$20+L65*$AC$21+M65*$AC$22+N65*$AC$23+O65*$AC$24+P65*$AC$25+Q65*$AC$26+R65*$AC$27+S65*$AC$28+T65*$AC$29+U65*$AC$30</f>
        <v/>
      </c>
      <c r="W65" s="8">
        <f>1/(1+EXP(-V65))</f>
        <v/>
      </c>
      <c r="X65" s="9">
        <f>-IF(C65=1,LN(W65),LN(1-W65))</f>
        <v/>
      </c>
      <c r="Y65" s="10">
        <f>IF(W65&gt;$AC$33,1,0)</f>
        <v/>
      </c>
      <c r="Z65">
        <f>IF(Y65=C65,1,0)</f>
        <v/>
      </c>
    </row>
    <row r="66">
      <c r="A66">
        <f>'1 datos preparados'!A59</f>
        <v/>
      </c>
      <c r="B66" s="5">
        <f>'1 datos preparados'!U59</f>
        <v/>
      </c>
      <c r="C66">
        <f>'1 datos preparados'!B59</f>
        <v/>
      </c>
      <c r="D66" s="7">
        <f>'1 datos preparados'!C59</f>
        <v/>
      </c>
      <c r="E66" s="7">
        <f>'1 datos preparados'!D59</f>
        <v/>
      </c>
      <c r="F66" s="7">
        <f>'1 datos preparados'!E59</f>
        <v/>
      </c>
      <c r="G66" s="7">
        <f>'1 datos preparados'!F59</f>
        <v/>
      </c>
      <c r="H66" s="7">
        <f>'1 datos preparados'!G59</f>
        <v/>
      </c>
      <c r="I66" s="7">
        <f>'1 datos preparados'!H59</f>
        <v/>
      </c>
      <c r="J66" s="7">
        <f>'1 datos preparados'!I59</f>
        <v/>
      </c>
      <c r="K66" s="7">
        <f>'1 datos preparados'!J59</f>
        <v/>
      </c>
      <c r="L66" s="7">
        <f>'1 datos preparados'!K59</f>
        <v/>
      </c>
      <c r="M66" s="7">
        <f>'1 datos preparados'!L59</f>
        <v/>
      </c>
      <c r="N66" s="7">
        <f>'1 datos preparados'!M59</f>
        <v/>
      </c>
      <c r="O66" s="7">
        <f>'1 datos preparados'!N59</f>
        <v/>
      </c>
      <c r="P66" s="7">
        <f>'1 datos preparados'!O59</f>
        <v/>
      </c>
      <c r="Q66" s="7">
        <f>'1 datos preparados'!P59</f>
        <v/>
      </c>
      <c r="R66" s="7">
        <f>'1 datos preparados'!Q59</f>
        <v/>
      </c>
      <c r="S66" s="7">
        <f>'1 datos preparados'!R59</f>
        <v/>
      </c>
      <c r="T66" s="7">
        <f>'1 datos preparados'!S59</f>
        <v/>
      </c>
      <c r="U66" s="7">
        <f>'1 datos preparados'!T59</f>
        <v/>
      </c>
      <c r="V66" s="8">
        <f>$AC$12+D66*$AC$13+E66*$AC$14+F66*$AC$15+G66*$AC$16+H66*$AC$17+I66*$AC$18+J66*$AC$19+K66*$AC$20+L66*$AC$21+M66*$AC$22+N66*$AC$23+O66*$AC$24+P66*$AC$25+Q66*$AC$26+R66*$AC$27+S66*$AC$28+T66*$AC$29+U66*$AC$30</f>
        <v/>
      </c>
      <c r="W66" s="8">
        <f>1/(1+EXP(-V66))</f>
        <v/>
      </c>
      <c r="X66" s="9">
        <f>-IF(C66=1,LN(W66),LN(1-W66))</f>
        <v/>
      </c>
      <c r="Y66" s="10">
        <f>IF(W66&gt;$AC$33,1,0)</f>
        <v/>
      </c>
      <c r="Z66">
        <f>IF(Y66=C66,1,0)</f>
        <v/>
      </c>
    </row>
    <row r="67">
      <c r="A67">
        <f>'1 datos preparados'!A60</f>
        <v/>
      </c>
      <c r="B67" s="5">
        <f>'1 datos preparados'!U60</f>
        <v/>
      </c>
      <c r="C67">
        <f>'1 datos preparados'!B60</f>
        <v/>
      </c>
      <c r="D67" s="7">
        <f>'1 datos preparados'!C60</f>
        <v/>
      </c>
      <c r="E67" s="7">
        <f>'1 datos preparados'!D60</f>
        <v/>
      </c>
      <c r="F67" s="7">
        <f>'1 datos preparados'!E60</f>
        <v/>
      </c>
      <c r="G67" s="7">
        <f>'1 datos preparados'!F60</f>
        <v/>
      </c>
      <c r="H67" s="7">
        <f>'1 datos preparados'!G60</f>
        <v/>
      </c>
      <c r="I67" s="7">
        <f>'1 datos preparados'!H60</f>
        <v/>
      </c>
      <c r="J67" s="7">
        <f>'1 datos preparados'!I60</f>
        <v/>
      </c>
      <c r="K67" s="7">
        <f>'1 datos preparados'!J60</f>
        <v/>
      </c>
      <c r="L67" s="7">
        <f>'1 datos preparados'!K60</f>
        <v/>
      </c>
      <c r="M67" s="7">
        <f>'1 datos preparados'!L60</f>
        <v/>
      </c>
      <c r="N67" s="7">
        <f>'1 datos preparados'!M60</f>
        <v/>
      </c>
      <c r="O67" s="7">
        <f>'1 datos preparados'!N60</f>
        <v/>
      </c>
      <c r="P67" s="7">
        <f>'1 datos preparados'!O60</f>
        <v/>
      </c>
      <c r="Q67" s="7">
        <f>'1 datos preparados'!P60</f>
        <v/>
      </c>
      <c r="R67" s="7">
        <f>'1 datos preparados'!Q60</f>
        <v/>
      </c>
      <c r="S67" s="7">
        <f>'1 datos preparados'!R60</f>
        <v/>
      </c>
      <c r="T67" s="7">
        <f>'1 datos preparados'!S60</f>
        <v/>
      </c>
      <c r="U67" s="7">
        <f>'1 datos preparados'!T60</f>
        <v/>
      </c>
      <c r="V67" s="8">
        <f>$AC$12+D67*$AC$13+E67*$AC$14+F67*$AC$15+G67*$AC$16+H67*$AC$17+I67*$AC$18+J67*$AC$19+K67*$AC$20+L67*$AC$21+M67*$AC$22+N67*$AC$23+O67*$AC$24+P67*$AC$25+Q67*$AC$26+R67*$AC$27+S67*$AC$28+T67*$AC$29+U67*$AC$30</f>
        <v/>
      </c>
      <c r="W67" s="8">
        <f>1/(1+EXP(-V67))</f>
        <v/>
      </c>
      <c r="X67" s="9">
        <f>-IF(C67=1,LN(W67),LN(1-W67))</f>
        <v/>
      </c>
      <c r="Y67" s="10">
        <f>IF(W67&gt;$AC$33,1,0)</f>
        <v/>
      </c>
      <c r="Z67">
        <f>IF(Y67=C67,1,0)</f>
        <v/>
      </c>
    </row>
    <row r="68">
      <c r="A68">
        <f>'1 datos preparados'!A61</f>
        <v/>
      </c>
      <c r="B68" s="5">
        <f>'1 datos preparados'!U61</f>
        <v/>
      </c>
      <c r="C68">
        <f>'1 datos preparados'!B61</f>
        <v/>
      </c>
      <c r="D68" s="7">
        <f>'1 datos preparados'!C61</f>
        <v/>
      </c>
      <c r="E68" s="7">
        <f>'1 datos preparados'!D61</f>
        <v/>
      </c>
      <c r="F68" s="7">
        <f>'1 datos preparados'!E61</f>
        <v/>
      </c>
      <c r="G68" s="7">
        <f>'1 datos preparados'!F61</f>
        <v/>
      </c>
      <c r="H68" s="7">
        <f>'1 datos preparados'!G61</f>
        <v/>
      </c>
      <c r="I68" s="7">
        <f>'1 datos preparados'!H61</f>
        <v/>
      </c>
      <c r="J68" s="7">
        <f>'1 datos preparados'!I61</f>
        <v/>
      </c>
      <c r="K68" s="7">
        <f>'1 datos preparados'!J61</f>
        <v/>
      </c>
      <c r="L68" s="7">
        <f>'1 datos preparados'!K61</f>
        <v/>
      </c>
      <c r="M68" s="7">
        <f>'1 datos preparados'!L61</f>
        <v/>
      </c>
      <c r="N68" s="7">
        <f>'1 datos preparados'!M61</f>
        <v/>
      </c>
      <c r="O68" s="7">
        <f>'1 datos preparados'!N61</f>
        <v/>
      </c>
      <c r="P68" s="7">
        <f>'1 datos preparados'!O61</f>
        <v/>
      </c>
      <c r="Q68" s="7">
        <f>'1 datos preparados'!P61</f>
        <v/>
      </c>
      <c r="R68" s="7">
        <f>'1 datos preparados'!Q61</f>
        <v/>
      </c>
      <c r="S68" s="7">
        <f>'1 datos preparados'!R61</f>
        <v/>
      </c>
      <c r="T68" s="7">
        <f>'1 datos preparados'!S61</f>
        <v/>
      </c>
      <c r="U68" s="7">
        <f>'1 datos preparados'!T61</f>
        <v/>
      </c>
      <c r="V68" s="8">
        <f>$AC$12+D68*$AC$13+E68*$AC$14+F68*$AC$15+G68*$AC$16+H68*$AC$17+I68*$AC$18+J68*$AC$19+K68*$AC$20+L68*$AC$21+M68*$AC$22+N68*$AC$23+O68*$AC$24+P68*$AC$25+Q68*$AC$26+R68*$AC$27+S68*$AC$28+T68*$AC$29+U68*$AC$30</f>
        <v/>
      </c>
      <c r="W68" s="8">
        <f>1/(1+EXP(-V68))</f>
        <v/>
      </c>
      <c r="X68" s="9">
        <f>-IF(C68=1,LN(W68),LN(1-W68))</f>
        <v/>
      </c>
      <c r="Y68" s="10">
        <f>IF(W68&gt;$AC$33,1,0)</f>
        <v/>
      </c>
      <c r="Z68">
        <f>IF(Y68=C68,1,0)</f>
        <v/>
      </c>
    </row>
    <row r="69">
      <c r="A69">
        <f>'1 datos preparados'!A62</f>
        <v/>
      </c>
      <c r="B69" s="5">
        <f>'1 datos preparados'!U62</f>
        <v/>
      </c>
      <c r="C69">
        <f>'1 datos preparados'!B62</f>
        <v/>
      </c>
      <c r="D69" s="7">
        <f>'1 datos preparados'!C62</f>
        <v/>
      </c>
      <c r="E69" s="7">
        <f>'1 datos preparados'!D62</f>
        <v/>
      </c>
      <c r="F69" s="7">
        <f>'1 datos preparados'!E62</f>
        <v/>
      </c>
      <c r="G69" s="7">
        <f>'1 datos preparados'!F62</f>
        <v/>
      </c>
      <c r="H69" s="7">
        <f>'1 datos preparados'!G62</f>
        <v/>
      </c>
      <c r="I69" s="7">
        <f>'1 datos preparados'!H62</f>
        <v/>
      </c>
      <c r="J69" s="7">
        <f>'1 datos preparados'!I62</f>
        <v/>
      </c>
      <c r="K69" s="7">
        <f>'1 datos preparados'!J62</f>
        <v/>
      </c>
      <c r="L69" s="7">
        <f>'1 datos preparados'!K62</f>
        <v/>
      </c>
      <c r="M69" s="7">
        <f>'1 datos preparados'!L62</f>
        <v/>
      </c>
      <c r="N69" s="7">
        <f>'1 datos preparados'!M62</f>
        <v/>
      </c>
      <c r="O69" s="7">
        <f>'1 datos preparados'!N62</f>
        <v/>
      </c>
      <c r="P69" s="7">
        <f>'1 datos preparados'!O62</f>
        <v/>
      </c>
      <c r="Q69" s="7">
        <f>'1 datos preparados'!P62</f>
        <v/>
      </c>
      <c r="R69" s="7">
        <f>'1 datos preparados'!Q62</f>
        <v/>
      </c>
      <c r="S69" s="7">
        <f>'1 datos preparados'!R62</f>
        <v/>
      </c>
      <c r="T69" s="7">
        <f>'1 datos preparados'!S62</f>
        <v/>
      </c>
      <c r="U69" s="7">
        <f>'1 datos preparados'!T62</f>
        <v/>
      </c>
      <c r="V69" s="8">
        <f>$AC$12+D69*$AC$13+E69*$AC$14+F69*$AC$15+G69*$AC$16+H69*$AC$17+I69*$AC$18+J69*$AC$19+K69*$AC$20+L69*$AC$21+M69*$AC$22+N69*$AC$23+O69*$AC$24+P69*$AC$25+Q69*$AC$26+R69*$AC$27+S69*$AC$28+T69*$AC$29+U69*$AC$30</f>
        <v/>
      </c>
      <c r="W69" s="8">
        <f>1/(1+EXP(-V69))</f>
        <v/>
      </c>
      <c r="X69" s="9">
        <f>-IF(C69=1,LN(W69),LN(1-W69))</f>
        <v/>
      </c>
      <c r="Y69" s="10">
        <f>IF(W69&gt;$AC$33,1,0)</f>
        <v/>
      </c>
      <c r="Z69">
        <f>IF(Y69=C69,1,0)</f>
        <v/>
      </c>
    </row>
    <row r="70">
      <c r="A70">
        <f>'1 datos preparados'!A63</f>
        <v/>
      </c>
      <c r="B70" s="5">
        <f>'1 datos preparados'!U63</f>
        <v/>
      </c>
      <c r="C70">
        <f>'1 datos preparados'!B63</f>
        <v/>
      </c>
      <c r="D70" s="7">
        <f>'1 datos preparados'!C63</f>
        <v/>
      </c>
      <c r="E70" s="7">
        <f>'1 datos preparados'!D63</f>
        <v/>
      </c>
      <c r="F70" s="7">
        <f>'1 datos preparados'!E63</f>
        <v/>
      </c>
      <c r="G70" s="7">
        <f>'1 datos preparados'!F63</f>
        <v/>
      </c>
      <c r="H70" s="7">
        <f>'1 datos preparados'!G63</f>
        <v/>
      </c>
      <c r="I70" s="7">
        <f>'1 datos preparados'!H63</f>
        <v/>
      </c>
      <c r="J70" s="7">
        <f>'1 datos preparados'!I63</f>
        <v/>
      </c>
      <c r="K70" s="7">
        <f>'1 datos preparados'!J63</f>
        <v/>
      </c>
      <c r="L70" s="7">
        <f>'1 datos preparados'!K63</f>
        <v/>
      </c>
      <c r="M70" s="7">
        <f>'1 datos preparados'!L63</f>
        <v/>
      </c>
      <c r="N70" s="7">
        <f>'1 datos preparados'!M63</f>
        <v/>
      </c>
      <c r="O70" s="7">
        <f>'1 datos preparados'!N63</f>
        <v/>
      </c>
      <c r="P70" s="7">
        <f>'1 datos preparados'!O63</f>
        <v/>
      </c>
      <c r="Q70" s="7">
        <f>'1 datos preparados'!P63</f>
        <v/>
      </c>
      <c r="R70" s="7">
        <f>'1 datos preparados'!Q63</f>
        <v/>
      </c>
      <c r="S70" s="7">
        <f>'1 datos preparados'!R63</f>
        <v/>
      </c>
      <c r="T70" s="7">
        <f>'1 datos preparados'!S63</f>
        <v/>
      </c>
      <c r="U70" s="7">
        <f>'1 datos preparados'!T63</f>
        <v/>
      </c>
      <c r="V70" s="8">
        <f>$AC$12+D70*$AC$13+E70*$AC$14+F70*$AC$15+G70*$AC$16+H70*$AC$17+I70*$AC$18+J70*$AC$19+K70*$AC$20+L70*$AC$21+M70*$AC$22+N70*$AC$23+O70*$AC$24+P70*$AC$25+Q70*$AC$26+R70*$AC$27+S70*$AC$28+T70*$AC$29+U70*$AC$30</f>
        <v/>
      </c>
      <c r="W70" s="8">
        <f>1/(1+EXP(-V70))</f>
        <v/>
      </c>
      <c r="X70" s="9">
        <f>-IF(C70=1,LN(W70),LN(1-W70))</f>
        <v/>
      </c>
      <c r="Y70" s="10">
        <f>IF(W70&gt;$AC$33,1,0)</f>
        <v/>
      </c>
      <c r="Z70">
        <f>IF(Y70=C70,1,0)</f>
        <v/>
      </c>
    </row>
    <row r="71">
      <c r="A71">
        <f>'1 datos preparados'!A64</f>
        <v/>
      </c>
      <c r="B71" s="5">
        <f>'1 datos preparados'!U64</f>
        <v/>
      </c>
      <c r="C71">
        <f>'1 datos preparados'!B64</f>
        <v/>
      </c>
      <c r="D71" s="7">
        <f>'1 datos preparados'!C64</f>
        <v/>
      </c>
      <c r="E71" s="7">
        <f>'1 datos preparados'!D64</f>
        <v/>
      </c>
      <c r="F71" s="7">
        <f>'1 datos preparados'!E64</f>
        <v/>
      </c>
      <c r="G71" s="7">
        <f>'1 datos preparados'!F64</f>
        <v/>
      </c>
      <c r="H71" s="7">
        <f>'1 datos preparados'!G64</f>
        <v/>
      </c>
      <c r="I71" s="7">
        <f>'1 datos preparados'!H64</f>
        <v/>
      </c>
      <c r="J71" s="7">
        <f>'1 datos preparados'!I64</f>
        <v/>
      </c>
      <c r="K71" s="7">
        <f>'1 datos preparados'!J64</f>
        <v/>
      </c>
      <c r="L71" s="7">
        <f>'1 datos preparados'!K64</f>
        <v/>
      </c>
      <c r="M71" s="7">
        <f>'1 datos preparados'!L64</f>
        <v/>
      </c>
      <c r="N71" s="7">
        <f>'1 datos preparados'!M64</f>
        <v/>
      </c>
      <c r="O71" s="7">
        <f>'1 datos preparados'!N64</f>
        <v/>
      </c>
      <c r="P71" s="7">
        <f>'1 datos preparados'!O64</f>
        <v/>
      </c>
      <c r="Q71" s="7">
        <f>'1 datos preparados'!P64</f>
        <v/>
      </c>
      <c r="R71" s="7">
        <f>'1 datos preparados'!Q64</f>
        <v/>
      </c>
      <c r="S71" s="7">
        <f>'1 datos preparados'!R64</f>
        <v/>
      </c>
      <c r="T71" s="7">
        <f>'1 datos preparados'!S64</f>
        <v/>
      </c>
      <c r="U71" s="7">
        <f>'1 datos preparados'!T64</f>
        <v/>
      </c>
      <c r="V71" s="8">
        <f>$AC$12+D71*$AC$13+E71*$AC$14+F71*$AC$15+G71*$AC$16+H71*$AC$17+I71*$AC$18+J71*$AC$19+K71*$AC$20+L71*$AC$21+M71*$AC$22+N71*$AC$23+O71*$AC$24+P71*$AC$25+Q71*$AC$26+R71*$AC$27+S71*$AC$28+T71*$AC$29+U71*$AC$30</f>
        <v/>
      </c>
      <c r="W71" s="8">
        <f>1/(1+EXP(-V71))</f>
        <v/>
      </c>
      <c r="X71" s="9">
        <f>-IF(C71=1,LN(W71),LN(1-W71))</f>
        <v/>
      </c>
      <c r="Y71" s="10">
        <f>IF(W71&gt;$AC$33,1,0)</f>
        <v/>
      </c>
      <c r="Z71">
        <f>IF(Y71=C71,1,0)</f>
        <v/>
      </c>
    </row>
    <row r="72">
      <c r="A72">
        <f>'1 datos preparados'!A65</f>
        <v/>
      </c>
      <c r="B72" s="5">
        <f>'1 datos preparados'!U65</f>
        <v/>
      </c>
      <c r="C72">
        <f>'1 datos preparados'!B65</f>
        <v/>
      </c>
      <c r="D72" s="7">
        <f>'1 datos preparados'!C65</f>
        <v/>
      </c>
      <c r="E72" s="7">
        <f>'1 datos preparados'!D65</f>
        <v/>
      </c>
      <c r="F72" s="7">
        <f>'1 datos preparados'!E65</f>
        <v/>
      </c>
      <c r="G72" s="7">
        <f>'1 datos preparados'!F65</f>
        <v/>
      </c>
      <c r="H72" s="7">
        <f>'1 datos preparados'!G65</f>
        <v/>
      </c>
      <c r="I72" s="7">
        <f>'1 datos preparados'!H65</f>
        <v/>
      </c>
      <c r="J72" s="7">
        <f>'1 datos preparados'!I65</f>
        <v/>
      </c>
      <c r="K72" s="7">
        <f>'1 datos preparados'!J65</f>
        <v/>
      </c>
      <c r="L72" s="7">
        <f>'1 datos preparados'!K65</f>
        <v/>
      </c>
      <c r="M72" s="7">
        <f>'1 datos preparados'!L65</f>
        <v/>
      </c>
      <c r="N72" s="7">
        <f>'1 datos preparados'!M65</f>
        <v/>
      </c>
      <c r="O72" s="7">
        <f>'1 datos preparados'!N65</f>
        <v/>
      </c>
      <c r="P72" s="7">
        <f>'1 datos preparados'!O65</f>
        <v/>
      </c>
      <c r="Q72" s="7">
        <f>'1 datos preparados'!P65</f>
        <v/>
      </c>
      <c r="R72" s="7">
        <f>'1 datos preparados'!Q65</f>
        <v/>
      </c>
      <c r="S72" s="7">
        <f>'1 datos preparados'!R65</f>
        <v/>
      </c>
      <c r="T72" s="7">
        <f>'1 datos preparados'!S65</f>
        <v/>
      </c>
      <c r="U72" s="7">
        <f>'1 datos preparados'!T65</f>
        <v/>
      </c>
      <c r="V72" s="8">
        <f>$AC$12+D72*$AC$13+E72*$AC$14+F72*$AC$15+G72*$AC$16+H72*$AC$17+I72*$AC$18+J72*$AC$19+K72*$AC$20+L72*$AC$21+M72*$AC$22+N72*$AC$23+O72*$AC$24+P72*$AC$25+Q72*$AC$26+R72*$AC$27+S72*$AC$28+T72*$AC$29+U72*$AC$30</f>
        <v/>
      </c>
      <c r="W72" s="8">
        <f>1/(1+EXP(-V72))</f>
        <v/>
      </c>
      <c r="X72" s="9">
        <f>-IF(C72=1,LN(W72),LN(1-W72))</f>
        <v/>
      </c>
      <c r="Y72" s="10">
        <f>IF(W72&gt;$AC$33,1,0)</f>
        <v/>
      </c>
      <c r="Z72">
        <f>IF(Y72=C72,1,0)</f>
        <v/>
      </c>
    </row>
    <row r="73">
      <c r="A73">
        <f>'1 datos preparados'!A66</f>
        <v/>
      </c>
      <c r="B73" s="5">
        <f>'1 datos preparados'!U66</f>
        <v/>
      </c>
      <c r="C73">
        <f>'1 datos preparados'!B66</f>
        <v/>
      </c>
      <c r="D73" s="7">
        <f>'1 datos preparados'!C66</f>
        <v/>
      </c>
      <c r="E73" s="7">
        <f>'1 datos preparados'!D66</f>
        <v/>
      </c>
      <c r="F73" s="7">
        <f>'1 datos preparados'!E66</f>
        <v/>
      </c>
      <c r="G73" s="7">
        <f>'1 datos preparados'!F66</f>
        <v/>
      </c>
      <c r="H73" s="7">
        <f>'1 datos preparados'!G66</f>
        <v/>
      </c>
      <c r="I73" s="7">
        <f>'1 datos preparados'!H66</f>
        <v/>
      </c>
      <c r="J73" s="7">
        <f>'1 datos preparados'!I66</f>
        <v/>
      </c>
      <c r="K73" s="7">
        <f>'1 datos preparados'!J66</f>
        <v/>
      </c>
      <c r="L73" s="7">
        <f>'1 datos preparados'!K66</f>
        <v/>
      </c>
      <c r="M73" s="7">
        <f>'1 datos preparados'!L66</f>
        <v/>
      </c>
      <c r="N73" s="7">
        <f>'1 datos preparados'!M66</f>
        <v/>
      </c>
      <c r="O73" s="7">
        <f>'1 datos preparados'!N66</f>
        <v/>
      </c>
      <c r="P73" s="7">
        <f>'1 datos preparados'!O66</f>
        <v/>
      </c>
      <c r="Q73" s="7">
        <f>'1 datos preparados'!P66</f>
        <v/>
      </c>
      <c r="R73" s="7">
        <f>'1 datos preparados'!Q66</f>
        <v/>
      </c>
      <c r="S73" s="7">
        <f>'1 datos preparados'!R66</f>
        <v/>
      </c>
      <c r="T73" s="7">
        <f>'1 datos preparados'!S66</f>
        <v/>
      </c>
      <c r="U73" s="7">
        <f>'1 datos preparados'!T66</f>
        <v/>
      </c>
      <c r="V73" s="8">
        <f>$AC$12+D73*$AC$13+E73*$AC$14+F73*$AC$15+G73*$AC$16+H73*$AC$17+I73*$AC$18+J73*$AC$19+K73*$AC$20+L73*$AC$21+M73*$AC$22+N73*$AC$23+O73*$AC$24+P73*$AC$25+Q73*$AC$26+R73*$AC$27+S73*$AC$28+T73*$AC$29+U73*$AC$30</f>
        <v/>
      </c>
      <c r="W73" s="8">
        <f>1/(1+EXP(-V73))</f>
        <v/>
      </c>
      <c r="X73" s="9">
        <f>-IF(C73=1,LN(W73),LN(1-W73))</f>
        <v/>
      </c>
      <c r="Y73" s="10">
        <f>IF(W73&gt;$AC$33,1,0)</f>
        <v/>
      </c>
      <c r="Z73">
        <f>IF(Y73=C73,1,0)</f>
        <v/>
      </c>
    </row>
    <row r="74">
      <c r="A74">
        <f>'1 datos preparados'!A67</f>
        <v/>
      </c>
      <c r="B74" s="5">
        <f>'1 datos preparados'!U67</f>
        <v/>
      </c>
      <c r="C74">
        <f>'1 datos preparados'!B67</f>
        <v/>
      </c>
      <c r="D74" s="7">
        <f>'1 datos preparados'!C67</f>
        <v/>
      </c>
      <c r="E74" s="7">
        <f>'1 datos preparados'!D67</f>
        <v/>
      </c>
      <c r="F74" s="7">
        <f>'1 datos preparados'!E67</f>
        <v/>
      </c>
      <c r="G74" s="7">
        <f>'1 datos preparados'!F67</f>
        <v/>
      </c>
      <c r="H74" s="7">
        <f>'1 datos preparados'!G67</f>
        <v/>
      </c>
      <c r="I74" s="7">
        <f>'1 datos preparados'!H67</f>
        <v/>
      </c>
      <c r="J74" s="7">
        <f>'1 datos preparados'!I67</f>
        <v/>
      </c>
      <c r="K74" s="7">
        <f>'1 datos preparados'!J67</f>
        <v/>
      </c>
      <c r="L74" s="7">
        <f>'1 datos preparados'!K67</f>
        <v/>
      </c>
      <c r="M74" s="7">
        <f>'1 datos preparados'!L67</f>
        <v/>
      </c>
      <c r="N74" s="7">
        <f>'1 datos preparados'!M67</f>
        <v/>
      </c>
      <c r="O74" s="7">
        <f>'1 datos preparados'!N67</f>
        <v/>
      </c>
      <c r="P74" s="7">
        <f>'1 datos preparados'!O67</f>
        <v/>
      </c>
      <c r="Q74" s="7">
        <f>'1 datos preparados'!P67</f>
        <v/>
      </c>
      <c r="R74" s="7">
        <f>'1 datos preparados'!Q67</f>
        <v/>
      </c>
      <c r="S74" s="7">
        <f>'1 datos preparados'!R67</f>
        <v/>
      </c>
      <c r="T74" s="7">
        <f>'1 datos preparados'!S67</f>
        <v/>
      </c>
      <c r="U74" s="7">
        <f>'1 datos preparados'!T67</f>
        <v/>
      </c>
      <c r="V74" s="8">
        <f>$AC$12+D74*$AC$13+E74*$AC$14+F74*$AC$15+G74*$AC$16+H74*$AC$17+I74*$AC$18+J74*$AC$19+K74*$AC$20+L74*$AC$21+M74*$AC$22+N74*$AC$23+O74*$AC$24+P74*$AC$25+Q74*$AC$26+R74*$AC$27+S74*$AC$28+T74*$AC$29+U74*$AC$30</f>
        <v/>
      </c>
      <c r="W74" s="8">
        <f>1/(1+EXP(-V74))</f>
        <v/>
      </c>
      <c r="X74" s="9">
        <f>-IF(C74=1,LN(W74),LN(1-W74))</f>
        <v/>
      </c>
      <c r="Y74" s="10">
        <f>IF(W74&gt;$AC$33,1,0)</f>
        <v/>
      </c>
      <c r="Z74">
        <f>IF(Y74=C74,1,0)</f>
        <v/>
      </c>
    </row>
    <row r="75">
      <c r="A75">
        <f>'1 datos preparados'!A68</f>
        <v/>
      </c>
      <c r="B75" s="5">
        <f>'1 datos preparados'!U68</f>
        <v/>
      </c>
      <c r="C75">
        <f>'1 datos preparados'!B68</f>
        <v/>
      </c>
      <c r="D75" s="7">
        <f>'1 datos preparados'!C68</f>
        <v/>
      </c>
      <c r="E75" s="7">
        <f>'1 datos preparados'!D68</f>
        <v/>
      </c>
      <c r="F75" s="7">
        <f>'1 datos preparados'!E68</f>
        <v/>
      </c>
      <c r="G75" s="7">
        <f>'1 datos preparados'!F68</f>
        <v/>
      </c>
      <c r="H75" s="7">
        <f>'1 datos preparados'!G68</f>
        <v/>
      </c>
      <c r="I75" s="7">
        <f>'1 datos preparados'!H68</f>
        <v/>
      </c>
      <c r="J75" s="7">
        <f>'1 datos preparados'!I68</f>
        <v/>
      </c>
      <c r="K75" s="7">
        <f>'1 datos preparados'!J68</f>
        <v/>
      </c>
      <c r="L75" s="7">
        <f>'1 datos preparados'!K68</f>
        <v/>
      </c>
      <c r="M75" s="7">
        <f>'1 datos preparados'!L68</f>
        <v/>
      </c>
      <c r="N75" s="7">
        <f>'1 datos preparados'!M68</f>
        <v/>
      </c>
      <c r="O75" s="7">
        <f>'1 datos preparados'!N68</f>
        <v/>
      </c>
      <c r="P75" s="7">
        <f>'1 datos preparados'!O68</f>
        <v/>
      </c>
      <c r="Q75" s="7">
        <f>'1 datos preparados'!P68</f>
        <v/>
      </c>
      <c r="R75" s="7">
        <f>'1 datos preparados'!Q68</f>
        <v/>
      </c>
      <c r="S75" s="7">
        <f>'1 datos preparados'!R68</f>
        <v/>
      </c>
      <c r="T75" s="7">
        <f>'1 datos preparados'!S68</f>
        <v/>
      </c>
      <c r="U75" s="7">
        <f>'1 datos preparados'!T68</f>
        <v/>
      </c>
      <c r="V75" s="8">
        <f>$AC$12+D75*$AC$13+E75*$AC$14+F75*$AC$15+G75*$AC$16+H75*$AC$17+I75*$AC$18+J75*$AC$19+K75*$AC$20+L75*$AC$21+M75*$AC$22+N75*$AC$23+O75*$AC$24+P75*$AC$25+Q75*$AC$26+R75*$AC$27+S75*$AC$28+T75*$AC$29+U75*$AC$30</f>
        <v/>
      </c>
      <c r="W75" s="8">
        <f>1/(1+EXP(-V75))</f>
        <v/>
      </c>
      <c r="X75" s="9">
        <f>-IF(C75=1,LN(W75),LN(1-W75))</f>
        <v/>
      </c>
      <c r="Y75" s="10">
        <f>IF(W75&gt;$AC$33,1,0)</f>
        <v/>
      </c>
      <c r="Z75">
        <f>IF(Y75=C75,1,0)</f>
        <v/>
      </c>
    </row>
    <row r="76">
      <c r="A76">
        <f>'1 datos preparados'!A69</f>
        <v/>
      </c>
      <c r="B76" s="5">
        <f>'1 datos preparados'!U69</f>
        <v/>
      </c>
      <c r="C76">
        <f>'1 datos preparados'!B69</f>
        <v/>
      </c>
      <c r="D76" s="7">
        <f>'1 datos preparados'!C69</f>
        <v/>
      </c>
      <c r="E76" s="7">
        <f>'1 datos preparados'!D69</f>
        <v/>
      </c>
      <c r="F76" s="7">
        <f>'1 datos preparados'!E69</f>
        <v/>
      </c>
      <c r="G76" s="7">
        <f>'1 datos preparados'!F69</f>
        <v/>
      </c>
      <c r="H76" s="7">
        <f>'1 datos preparados'!G69</f>
        <v/>
      </c>
      <c r="I76" s="7">
        <f>'1 datos preparados'!H69</f>
        <v/>
      </c>
      <c r="J76" s="7">
        <f>'1 datos preparados'!I69</f>
        <v/>
      </c>
      <c r="K76" s="7">
        <f>'1 datos preparados'!J69</f>
        <v/>
      </c>
      <c r="L76" s="7">
        <f>'1 datos preparados'!K69</f>
        <v/>
      </c>
      <c r="M76" s="7">
        <f>'1 datos preparados'!L69</f>
        <v/>
      </c>
      <c r="N76" s="7">
        <f>'1 datos preparados'!M69</f>
        <v/>
      </c>
      <c r="O76" s="7">
        <f>'1 datos preparados'!N69</f>
        <v/>
      </c>
      <c r="P76" s="7">
        <f>'1 datos preparados'!O69</f>
        <v/>
      </c>
      <c r="Q76" s="7">
        <f>'1 datos preparados'!P69</f>
        <v/>
      </c>
      <c r="R76" s="7">
        <f>'1 datos preparados'!Q69</f>
        <v/>
      </c>
      <c r="S76" s="7">
        <f>'1 datos preparados'!R69</f>
        <v/>
      </c>
      <c r="T76" s="7">
        <f>'1 datos preparados'!S69</f>
        <v/>
      </c>
      <c r="U76" s="7">
        <f>'1 datos preparados'!T69</f>
        <v/>
      </c>
      <c r="V76" s="8">
        <f>$AC$12+D76*$AC$13+E76*$AC$14+F76*$AC$15+G76*$AC$16+H76*$AC$17+I76*$AC$18+J76*$AC$19+K76*$AC$20+L76*$AC$21+M76*$AC$22+N76*$AC$23+O76*$AC$24+P76*$AC$25+Q76*$AC$26+R76*$AC$27+S76*$AC$28+T76*$AC$29+U76*$AC$30</f>
        <v/>
      </c>
      <c r="W76" s="8">
        <f>1/(1+EXP(-V76))</f>
        <v/>
      </c>
      <c r="X76" s="9">
        <f>-IF(C76=1,LN(W76),LN(1-W76))</f>
        <v/>
      </c>
      <c r="Y76" s="10">
        <f>IF(W76&gt;$AC$33,1,0)</f>
        <v/>
      </c>
      <c r="Z76">
        <f>IF(Y76=C76,1,0)</f>
        <v/>
      </c>
    </row>
    <row r="77">
      <c r="A77">
        <f>'1 datos preparados'!A70</f>
        <v/>
      </c>
      <c r="B77" s="5">
        <f>'1 datos preparados'!U70</f>
        <v/>
      </c>
      <c r="C77">
        <f>'1 datos preparados'!B70</f>
        <v/>
      </c>
      <c r="D77" s="7">
        <f>'1 datos preparados'!C70</f>
        <v/>
      </c>
      <c r="E77" s="7">
        <f>'1 datos preparados'!D70</f>
        <v/>
      </c>
      <c r="F77" s="7">
        <f>'1 datos preparados'!E70</f>
        <v/>
      </c>
      <c r="G77" s="7">
        <f>'1 datos preparados'!F70</f>
        <v/>
      </c>
      <c r="H77" s="7">
        <f>'1 datos preparados'!G70</f>
        <v/>
      </c>
      <c r="I77" s="7">
        <f>'1 datos preparados'!H70</f>
        <v/>
      </c>
      <c r="J77" s="7">
        <f>'1 datos preparados'!I70</f>
        <v/>
      </c>
      <c r="K77" s="7">
        <f>'1 datos preparados'!J70</f>
        <v/>
      </c>
      <c r="L77" s="7">
        <f>'1 datos preparados'!K70</f>
        <v/>
      </c>
      <c r="M77" s="7">
        <f>'1 datos preparados'!L70</f>
        <v/>
      </c>
      <c r="N77" s="7">
        <f>'1 datos preparados'!M70</f>
        <v/>
      </c>
      <c r="O77" s="7">
        <f>'1 datos preparados'!N70</f>
        <v/>
      </c>
      <c r="P77" s="7">
        <f>'1 datos preparados'!O70</f>
        <v/>
      </c>
      <c r="Q77" s="7">
        <f>'1 datos preparados'!P70</f>
        <v/>
      </c>
      <c r="R77" s="7">
        <f>'1 datos preparados'!Q70</f>
        <v/>
      </c>
      <c r="S77" s="7">
        <f>'1 datos preparados'!R70</f>
        <v/>
      </c>
      <c r="T77" s="7">
        <f>'1 datos preparados'!S70</f>
        <v/>
      </c>
      <c r="U77" s="7">
        <f>'1 datos preparados'!T70</f>
        <v/>
      </c>
      <c r="V77" s="8">
        <f>$AC$12+D77*$AC$13+E77*$AC$14+F77*$AC$15+G77*$AC$16+H77*$AC$17+I77*$AC$18+J77*$AC$19+K77*$AC$20+L77*$AC$21+M77*$AC$22+N77*$AC$23+O77*$AC$24+P77*$AC$25+Q77*$AC$26+R77*$AC$27+S77*$AC$28+T77*$AC$29+U77*$AC$30</f>
        <v/>
      </c>
      <c r="W77" s="8">
        <f>1/(1+EXP(-V77))</f>
        <v/>
      </c>
      <c r="X77" s="9">
        <f>-IF(C77=1,LN(W77),LN(1-W77))</f>
        <v/>
      </c>
      <c r="Y77" s="10">
        <f>IF(W77&gt;$AC$33,1,0)</f>
        <v/>
      </c>
      <c r="Z77">
        <f>IF(Y77=C77,1,0)</f>
        <v/>
      </c>
    </row>
    <row r="78">
      <c r="A78">
        <f>'1 datos preparados'!A71</f>
        <v/>
      </c>
      <c r="B78" s="5">
        <f>'1 datos preparados'!U71</f>
        <v/>
      </c>
      <c r="C78">
        <f>'1 datos preparados'!B71</f>
        <v/>
      </c>
      <c r="D78" s="7">
        <f>'1 datos preparados'!C71</f>
        <v/>
      </c>
      <c r="E78" s="7">
        <f>'1 datos preparados'!D71</f>
        <v/>
      </c>
      <c r="F78" s="7">
        <f>'1 datos preparados'!E71</f>
        <v/>
      </c>
      <c r="G78" s="7">
        <f>'1 datos preparados'!F71</f>
        <v/>
      </c>
      <c r="H78" s="7">
        <f>'1 datos preparados'!G71</f>
        <v/>
      </c>
      <c r="I78" s="7">
        <f>'1 datos preparados'!H71</f>
        <v/>
      </c>
      <c r="J78" s="7">
        <f>'1 datos preparados'!I71</f>
        <v/>
      </c>
      <c r="K78" s="7">
        <f>'1 datos preparados'!J71</f>
        <v/>
      </c>
      <c r="L78" s="7">
        <f>'1 datos preparados'!K71</f>
        <v/>
      </c>
      <c r="M78" s="7">
        <f>'1 datos preparados'!L71</f>
        <v/>
      </c>
      <c r="N78" s="7">
        <f>'1 datos preparados'!M71</f>
        <v/>
      </c>
      <c r="O78" s="7">
        <f>'1 datos preparados'!N71</f>
        <v/>
      </c>
      <c r="P78" s="7">
        <f>'1 datos preparados'!O71</f>
        <v/>
      </c>
      <c r="Q78" s="7">
        <f>'1 datos preparados'!P71</f>
        <v/>
      </c>
      <c r="R78" s="7">
        <f>'1 datos preparados'!Q71</f>
        <v/>
      </c>
      <c r="S78" s="7">
        <f>'1 datos preparados'!R71</f>
        <v/>
      </c>
      <c r="T78" s="7">
        <f>'1 datos preparados'!S71</f>
        <v/>
      </c>
      <c r="U78" s="7">
        <f>'1 datos preparados'!T71</f>
        <v/>
      </c>
      <c r="V78" s="8">
        <f>$AC$12+D78*$AC$13+E78*$AC$14+F78*$AC$15+G78*$AC$16+H78*$AC$17+I78*$AC$18+J78*$AC$19+K78*$AC$20+L78*$AC$21+M78*$AC$22+N78*$AC$23+O78*$AC$24+P78*$AC$25+Q78*$AC$26+R78*$AC$27+S78*$AC$28+T78*$AC$29+U78*$AC$30</f>
        <v/>
      </c>
      <c r="W78" s="8">
        <f>1/(1+EXP(-V78))</f>
        <v/>
      </c>
      <c r="X78" s="9">
        <f>-IF(C78=1,LN(W78),LN(1-W78))</f>
        <v/>
      </c>
      <c r="Y78" s="10">
        <f>IF(W78&gt;$AC$33,1,0)</f>
        <v/>
      </c>
      <c r="Z78">
        <f>IF(Y78=C78,1,0)</f>
        <v/>
      </c>
    </row>
    <row r="79">
      <c r="A79">
        <f>'1 datos preparados'!A72</f>
        <v/>
      </c>
      <c r="B79" s="5">
        <f>'1 datos preparados'!U72</f>
        <v/>
      </c>
      <c r="C79">
        <f>'1 datos preparados'!B72</f>
        <v/>
      </c>
      <c r="D79" s="7">
        <f>'1 datos preparados'!C72</f>
        <v/>
      </c>
      <c r="E79" s="7">
        <f>'1 datos preparados'!D72</f>
        <v/>
      </c>
      <c r="F79" s="7">
        <f>'1 datos preparados'!E72</f>
        <v/>
      </c>
      <c r="G79" s="7">
        <f>'1 datos preparados'!F72</f>
        <v/>
      </c>
      <c r="H79" s="7">
        <f>'1 datos preparados'!G72</f>
        <v/>
      </c>
      <c r="I79" s="7">
        <f>'1 datos preparados'!H72</f>
        <v/>
      </c>
      <c r="J79" s="7">
        <f>'1 datos preparados'!I72</f>
        <v/>
      </c>
      <c r="K79" s="7">
        <f>'1 datos preparados'!J72</f>
        <v/>
      </c>
      <c r="L79" s="7">
        <f>'1 datos preparados'!K72</f>
        <v/>
      </c>
      <c r="M79" s="7">
        <f>'1 datos preparados'!L72</f>
        <v/>
      </c>
      <c r="N79" s="7">
        <f>'1 datos preparados'!M72</f>
        <v/>
      </c>
      <c r="O79" s="7">
        <f>'1 datos preparados'!N72</f>
        <v/>
      </c>
      <c r="P79" s="7">
        <f>'1 datos preparados'!O72</f>
        <v/>
      </c>
      <c r="Q79" s="7">
        <f>'1 datos preparados'!P72</f>
        <v/>
      </c>
      <c r="R79" s="7">
        <f>'1 datos preparados'!Q72</f>
        <v/>
      </c>
      <c r="S79" s="7">
        <f>'1 datos preparados'!R72</f>
        <v/>
      </c>
      <c r="T79" s="7">
        <f>'1 datos preparados'!S72</f>
        <v/>
      </c>
      <c r="U79" s="7">
        <f>'1 datos preparados'!T72</f>
        <v/>
      </c>
      <c r="V79" s="8">
        <f>$AC$12+D79*$AC$13+E79*$AC$14+F79*$AC$15+G79*$AC$16+H79*$AC$17+I79*$AC$18+J79*$AC$19+K79*$AC$20+L79*$AC$21+M79*$AC$22+N79*$AC$23+O79*$AC$24+P79*$AC$25+Q79*$AC$26+R79*$AC$27+S79*$AC$28+T79*$AC$29+U79*$AC$30</f>
        <v/>
      </c>
      <c r="W79" s="8">
        <f>1/(1+EXP(-V79))</f>
        <v/>
      </c>
      <c r="X79" s="9">
        <f>-IF(C79=1,LN(W79),LN(1-W79))</f>
        <v/>
      </c>
      <c r="Y79" s="10">
        <f>IF(W79&gt;$AC$33,1,0)</f>
        <v/>
      </c>
      <c r="Z79">
        <f>IF(Y79=C79,1,0)</f>
        <v/>
      </c>
    </row>
    <row r="80">
      <c r="A80">
        <f>'1 datos preparados'!A73</f>
        <v/>
      </c>
      <c r="B80" s="5">
        <f>'1 datos preparados'!U73</f>
        <v/>
      </c>
      <c r="C80">
        <f>'1 datos preparados'!B73</f>
        <v/>
      </c>
      <c r="D80" s="7">
        <f>'1 datos preparados'!C73</f>
        <v/>
      </c>
      <c r="E80" s="7">
        <f>'1 datos preparados'!D73</f>
        <v/>
      </c>
      <c r="F80" s="7">
        <f>'1 datos preparados'!E73</f>
        <v/>
      </c>
      <c r="G80" s="7">
        <f>'1 datos preparados'!F73</f>
        <v/>
      </c>
      <c r="H80" s="7">
        <f>'1 datos preparados'!G73</f>
        <v/>
      </c>
      <c r="I80" s="7">
        <f>'1 datos preparados'!H73</f>
        <v/>
      </c>
      <c r="J80" s="7">
        <f>'1 datos preparados'!I73</f>
        <v/>
      </c>
      <c r="K80" s="7">
        <f>'1 datos preparados'!J73</f>
        <v/>
      </c>
      <c r="L80" s="7">
        <f>'1 datos preparados'!K73</f>
        <v/>
      </c>
      <c r="M80" s="7">
        <f>'1 datos preparados'!L73</f>
        <v/>
      </c>
      <c r="N80" s="7">
        <f>'1 datos preparados'!M73</f>
        <v/>
      </c>
      <c r="O80" s="7">
        <f>'1 datos preparados'!N73</f>
        <v/>
      </c>
      <c r="P80" s="7">
        <f>'1 datos preparados'!O73</f>
        <v/>
      </c>
      <c r="Q80" s="7">
        <f>'1 datos preparados'!P73</f>
        <v/>
      </c>
      <c r="R80" s="7">
        <f>'1 datos preparados'!Q73</f>
        <v/>
      </c>
      <c r="S80" s="7">
        <f>'1 datos preparados'!R73</f>
        <v/>
      </c>
      <c r="T80" s="7">
        <f>'1 datos preparados'!S73</f>
        <v/>
      </c>
      <c r="U80" s="7">
        <f>'1 datos preparados'!T73</f>
        <v/>
      </c>
      <c r="V80" s="8">
        <f>$AC$12+D80*$AC$13+E80*$AC$14+F80*$AC$15+G80*$AC$16+H80*$AC$17+I80*$AC$18+J80*$AC$19+K80*$AC$20+L80*$AC$21+M80*$AC$22+N80*$AC$23+O80*$AC$24+P80*$AC$25+Q80*$AC$26+R80*$AC$27+S80*$AC$28+T80*$AC$29+U80*$AC$30</f>
        <v/>
      </c>
      <c r="W80" s="8">
        <f>1/(1+EXP(-V80))</f>
        <v/>
      </c>
      <c r="X80" s="9">
        <f>-IF(C80=1,LN(W80),LN(1-W80))</f>
        <v/>
      </c>
      <c r="Y80" s="10">
        <f>IF(W80&gt;$AC$33,1,0)</f>
        <v/>
      </c>
      <c r="Z80">
        <f>IF(Y80=C80,1,0)</f>
        <v/>
      </c>
    </row>
    <row r="81">
      <c r="A81">
        <f>'1 datos preparados'!A74</f>
        <v/>
      </c>
      <c r="B81" s="5">
        <f>'1 datos preparados'!U74</f>
        <v/>
      </c>
      <c r="C81">
        <f>'1 datos preparados'!B74</f>
        <v/>
      </c>
      <c r="D81" s="7">
        <f>'1 datos preparados'!C74</f>
        <v/>
      </c>
      <c r="E81" s="7">
        <f>'1 datos preparados'!D74</f>
        <v/>
      </c>
      <c r="F81" s="7">
        <f>'1 datos preparados'!E74</f>
        <v/>
      </c>
      <c r="G81" s="7">
        <f>'1 datos preparados'!F74</f>
        <v/>
      </c>
      <c r="H81" s="7">
        <f>'1 datos preparados'!G74</f>
        <v/>
      </c>
      <c r="I81" s="7">
        <f>'1 datos preparados'!H74</f>
        <v/>
      </c>
      <c r="J81" s="7">
        <f>'1 datos preparados'!I74</f>
        <v/>
      </c>
      <c r="K81" s="7">
        <f>'1 datos preparados'!J74</f>
        <v/>
      </c>
      <c r="L81" s="7">
        <f>'1 datos preparados'!K74</f>
        <v/>
      </c>
      <c r="M81" s="7">
        <f>'1 datos preparados'!L74</f>
        <v/>
      </c>
      <c r="N81" s="7">
        <f>'1 datos preparados'!M74</f>
        <v/>
      </c>
      <c r="O81" s="7">
        <f>'1 datos preparados'!N74</f>
        <v/>
      </c>
      <c r="P81" s="7">
        <f>'1 datos preparados'!O74</f>
        <v/>
      </c>
      <c r="Q81" s="7">
        <f>'1 datos preparados'!P74</f>
        <v/>
      </c>
      <c r="R81" s="7">
        <f>'1 datos preparados'!Q74</f>
        <v/>
      </c>
      <c r="S81" s="7">
        <f>'1 datos preparados'!R74</f>
        <v/>
      </c>
      <c r="T81" s="7">
        <f>'1 datos preparados'!S74</f>
        <v/>
      </c>
      <c r="U81" s="7">
        <f>'1 datos preparados'!T74</f>
        <v/>
      </c>
      <c r="V81" s="8">
        <f>$AC$12+D81*$AC$13+E81*$AC$14+F81*$AC$15+G81*$AC$16+H81*$AC$17+I81*$AC$18+J81*$AC$19+K81*$AC$20+L81*$AC$21+M81*$AC$22+N81*$AC$23+O81*$AC$24+P81*$AC$25+Q81*$AC$26+R81*$AC$27+S81*$AC$28+T81*$AC$29+U81*$AC$30</f>
        <v/>
      </c>
      <c r="W81" s="8">
        <f>1/(1+EXP(-V81))</f>
        <v/>
      </c>
      <c r="X81" s="9">
        <f>-IF(C81=1,LN(W81),LN(1-W81))</f>
        <v/>
      </c>
      <c r="Y81" s="10">
        <f>IF(W81&gt;$AC$33,1,0)</f>
        <v/>
      </c>
      <c r="Z81">
        <f>IF(Y81=C81,1,0)</f>
        <v/>
      </c>
    </row>
    <row r="82">
      <c r="A82">
        <f>'1 datos preparados'!A75</f>
        <v/>
      </c>
      <c r="B82" s="5">
        <f>'1 datos preparados'!U75</f>
        <v/>
      </c>
      <c r="C82">
        <f>'1 datos preparados'!B75</f>
        <v/>
      </c>
      <c r="D82" s="7">
        <f>'1 datos preparados'!C75</f>
        <v/>
      </c>
      <c r="E82" s="7">
        <f>'1 datos preparados'!D75</f>
        <v/>
      </c>
      <c r="F82" s="7">
        <f>'1 datos preparados'!E75</f>
        <v/>
      </c>
      <c r="G82" s="7">
        <f>'1 datos preparados'!F75</f>
        <v/>
      </c>
      <c r="H82" s="7">
        <f>'1 datos preparados'!G75</f>
        <v/>
      </c>
      <c r="I82" s="7">
        <f>'1 datos preparados'!H75</f>
        <v/>
      </c>
      <c r="J82" s="7">
        <f>'1 datos preparados'!I75</f>
        <v/>
      </c>
      <c r="K82" s="7">
        <f>'1 datos preparados'!J75</f>
        <v/>
      </c>
      <c r="L82" s="7">
        <f>'1 datos preparados'!K75</f>
        <v/>
      </c>
      <c r="M82" s="7">
        <f>'1 datos preparados'!L75</f>
        <v/>
      </c>
      <c r="N82" s="7">
        <f>'1 datos preparados'!M75</f>
        <v/>
      </c>
      <c r="O82" s="7">
        <f>'1 datos preparados'!N75</f>
        <v/>
      </c>
      <c r="P82" s="7">
        <f>'1 datos preparados'!O75</f>
        <v/>
      </c>
      <c r="Q82" s="7">
        <f>'1 datos preparados'!P75</f>
        <v/>
      </c>
      <c r="R82" s="7">
        <f>'1 datos preparados'!Q75</f>
        <v/>
      </c>
      <c r="S82" s="7">
        <f>'1 datos preparados'!R75</f>
        <v/>
      </c>
      <c r="T82" s="7">
        <f>'1 datos preparados'!S75</f>
        <v/>
      </c>
      <c r="U82" s="7">
        <f>'1 datos preparados'!T75</f>
        <v/>
      </c>
      <c r="V82" s="8">
        <f>$AC$12+D82*$AC$13+E82*$AC$14+F82*$AC$15+G82*$AC$16+H82*$AC$17+I82*$AC$18+J82*$AC$19+K82*$AC$20+L82*$AC$21+M82*$AC$22+N82*$AC$23+O82*$AC$24+P82*$AC$25+Q82*$AC$26+R82*$AC$27+S82*$AC$28+T82*$AC$29+U82*$AC$30</f>
        <v/>
      </c>
      <c r="W82" s="8">
        <f>1/(1+EXP(-V82))</f>
        <v/>
      </c>
      <c r="X82" s="9">
        <f>-IF(C82=1,LN(W82),LN(1-W82))</f>
        <v/>
      </c>
      <c r="Y82" s="10">
        <f>IF(W82&gt;$AC$33,1,0)</f>
        <v/>
      </c>
      <c r="Z82">
        <f>IF(Y82=C82,1,0)</f>
        <v/>
      </c>
    </row>
    <row r="83">
      <c r="A83">
        <f>'1 datos preparados'!A76</f>
        <v/>
      </c>
      <c r="B83" s="5">
        <f>'1 datos preparados'!U76</f>
        <v/>
      </c>
      <c r="C83">
        <f>'1 datos preparados'!B76</f>
        <v/>
      </c>
      <c r="D83" s="7">
        <f>'1 datos preparados'!C76</f>
        <v/>
      </c>
      <c r="E83" s="7">
        <f>'1 datos preparados'!D76</f>
        <v/>
      </c>
      <c r="F83" s="7">
        <f>'1 datos preparados'!E76</f>
        <v/>
      </c>
      <c r="G83" s="7">
        <f>'1 datos preparados'!F76</f>
        <v/>
      </c>
      <c r="H83" s="7">
        <f>'1 datos preparados'!G76</f>
        <v/>
      </c>
      <c r="I83" s="7">
        <f>'1 datos preparados'!H76</f>
        <v/>
      </c>
      <c r="J83" s="7">
        <f>'1 datos preparados'!I76</f>
        <v/>
      </c>
      <c r="K83" s="7">
        <f>'1 datos preparados'!J76</f>
        <v/>
      </c>
      <c r="L83" s="7">
        <f>'1 datos preparados'!K76</f>
        <v/>
      </c>
      <c r="M83" s="7">
        <f>'1 datos preparados'!L76</f>
        <v/>
      </c>
      <c r="N83" s="7">
        <f>'1 datos preparados'!M76</f>
        <v/>
      </c>
      <c r="O83" s="7">
        <f>'1 datos preparados'!N76</f>
        <v/>
      </c>
      <c r="P83" s="7">
        <f>'1 datos preparados'!O76</f>
        <v/>
      </c>
      <c r="Q83" s="7">
        <f>'1 datos preparados'!P76</f>
        <v/>
      </c>
      <c r="R83" s="7">
        <f>'1 datos preparados'!Q76</f>
        <v/>
      </c>
      <c r="S83" s="7">
        <f>'1 datos preparados'!R76</f>
        <v/>
      </c>
      <c r="T83" s="7">
        <f>'1 datos preparados'!S76</f>
        <v/>
      </c>
      <c r="U83" s="7">
        <f>'1 datos preparados'!T76</f>
        <v/>
      </c>
      <c r="V83" s="8">
        <f>$AC$12+D83*$AC$13+E83*$AC$14+F83*$AC$15+G83*$AC$16+H83*$AC$17+I83*$AC$18+J83*$AC$19+K83*$AC$20+L83*$AC$21+M83*$AC$22+N83*$AC$23+O83*$AC$24+P83*$AC$25+Q83*$AC$26+R83*$AC$27+S83*$AC$28+T83*$AC$29+U83*$AC$30</f>
        <v/>
      </c>
      <c r="W83" s="8">
        <f>1/(1+EXP(-V83))</f>
        <v/>
      </c>
      <c r="X83" s="9">
        <f>-IF(C83=1,LN(W83),LN(1-W83))</f>
        <v/>
      </c>
      <c r="Y83" s="10">
        <f>IF(W83&gt;$AC$33,1,0)</f>
        <v/>
      </c>
      <c r="Z83">
        <f>IF(Y83=C83,1,0)</f>
        <v/>
      </c>
    </row>
    <row r="84">
      <c r="A84">
        <f>'1 datos preparados'!A77</f>
        <v/>
      </c>
      <c r="B84" s="5">
        <f>'1 datos preparados'!U77</f>
        <v/>
      </c>
      <c r="C84">
        <f>'1 datos preparados'!B77</f>
        <v/>
      </c>
      <c r="D84" s="7">
        <f>'1 datos preparados'!C77</f>
        <v/>
      </c>
      <c r="E84" s="7">
        <f>'1 datos preparados'!D77</f>
        <v/>
      </c>
      <c r="F84" s="7">
        <f>'1 datos preparados'!E77</f>
        <v/>
      </c>
      <c r="G84" s="7">
        <f>'1 datos preparados'!F77</f>
        <v/>
      </c>
      <c r="H84" s="7">
        <f>'1 datos preparados'!G77</f>
        <v/>
      </c>
      <c r="I84" s="7">
        <f>'1 datos preparados'!H77</f>
        <v/>
      </c>
      <c r="J84" s="7">
        <f>'1 datos preparados'!I77</f>
        <v/>
      </c>
      <c r="K84" s="7">
        <f>'1 datos preparados'!J77</f>
        <v/>
      </c>
      <c r="L84" s="7">
        <f>'1 datos preparados'!K77</f>
        <v/>
      </c>
      <c r="M84" s="7">
        <f>'1 datos preparados'!L77</f>
        <v/>
      </c>
      <c r="N84" s="7">
        <f>'1 datos preparados'!M77</f>
        <v/>
      </c>
      <c r="O84" s="7">
        <f>'1 datos preparados'!N77</f>
        <v/>
      </c>
      <c r="P84" s="7">
        <f>'1 datos preparados'!O77</f>
        <v/>
      </c>
      <c r="Q84" s="7">
        <f>'1 datos preparados'!P77</f>
        <v/>
      </c>
      <c r="R84" s="7">
        <f>'1 datos preparados'!Q77</f>
        <v/>
      </c>
      <c r="S84" s="7">
        <f>'1 datos preparados'!R77</f>
        <v/>
      </c>
      <c r="T84" s="7">
        <f>'1 datos preparados'!S77</f>
        <v/>
      </c>
      <c r="U84" s="7">
        <f>'1 datos preparados'!T77</f>
        <v/>
      </c>
      <c r="V84" s="8">
        <f>$AC$12+D84*$AC$13+E84*$AC$14+F84*$AC$15+G84*$AC$16+H84*$AC$17+I84*$AC$18+J84*$AC$19+K84*$AC$20+L84*$AC$21+M84*$AC$22+N84*$AC$23+O84*$AC$24+P84*$AC$25+Q84*$AC$26+R84*$AC$27+S84*$AC$28+T84*$AC$29+U84*$AC$30</f>
        <v/>
      </c>
      <c r="W84" s="8">
        <f>1/(1+EXP(-V84))</f>
        <v/>
      </c>
      <c r="X84" s="9">
        <f>-IF(C84=1,LN(W84),LN(1-W84))</f>
        <v/>
      </c>
      <c r="Y84" s="10">
        <f>IF(W84&gt;$AC$33,1,0)</f>
        <v/>
      </c>
      <c r="Z84">
        <f>IF(Y84=C84,1,0)</f>
        <v/>
      </c>
    </row>
    <row r="85">
      <c r="A85">
        <f>'1 datos preparados'!A78</f>
        <v/>
      </c>
      <c r="B85" s="5">
        <f>'1 datos preparados'!U78</f>
        <v/>
      </c>
      <c r="C85">
        <f>'1 datos preparados'!B78</f>
        <v/>
      </c>
      <c r="D85" s="7">
        <f>'1 datos preparados'!C78</f>
        <v/>
      </c>
      <c r="E85" s="7">
        <f>'1 datos preparados'!D78</f>
        <v/>
      </c>
      <c r="F85" s="7">
        <f>'1 datos preparados'!E78</f>
        <v/>
      </c>
      <c r="G85" s="7">
        <f>'1 datos preparados'!F78</f>
        <v/>
      </c>
      <c r="H85" s="7">
        <f>'1 datos preparados'!G78</f>
        <v/>
      </c>
      <c r="I85" s="7">
        <f>'1 datos preparados'!H78</f>
        <v/>
      </c>
      <c r="J85" s="7">
        <f>'1 datos preparados'!I78</f>
        <v/>
      </c>
      <c r="K85" s="7">
        <f>'1 datos preparados'!J78</f>
        <v/>
      </c>
      <c r="L85" s="7">
        <f>'1 datos preparados'!K78</f>
        <v/>
      </c>
      <c r="M85" s="7">
        <f>'1 datos preparados'!L78</f>
        <v/>
      </c>
      <c r="N85" s="7">
        <f>'1 datos preparados'!M78</f>
        <v/>
      </c>
      <c r="O85" s="7">
        <f>'1 datos preparados'!N78</f>
        <v/>
      </c>
      <c r="P85" s="7">
        <f>'1 datos preparados'!O78</f>
        <v/>
      </c>
      <c r="Q85" s="7">
        <f>'1 datos preparados'!P78</f>
        <v/>
      </c>
      <c r="R85" s="7">
        <f>'1 datos preparados'!Q78</f>
        <v/>
      </c>
      <c r="S85" s="7">
        <f>'1 datos preparados'!R78</f>
        <v/>
      </c>
      <c r="T85" s="7">
        <f>'1 datos preparados'!S78</f>
        <v/>
      </c>
      <c r="U85" s="7">
        <f>'1 datos preparados'!T78</f>
        <v/>
      </c>
      <c r="V85" s="8">
        <f>$AC$12+D85*$AC$13+E85*$AC$14+F85*$AC$15+G85*$AC$16+H85*$AC$17+I85*$AC$18+J85*$AC$19+K85*$AC$20+L85*$AC$21+M85*$AC$22+N85*$AC$23+O85*$AC$24+P85*$AC$25+Q85*$AC$26+R85*$AC$27+S85*$AC$28+T85*$AC$29+U85*$AC$30</f>
        <v/>
      </c>
      <c r="W85" s="8">
        <f>1/(1+EXP(-V85))</f>
        <v/>
      </c>
      <c r="X85" s="9">
        <f>-IF(C85=1,LN(W85),LN(1-W85))</f>
        <v/>
      </c>
      <c r="Y85" s="10">
        <f>IF(W85&gt;$AC$33,1,0)</f>
        <v/>
      </c>
      <c r="Z85">
        <f>IF(Y85=C85,1,0)</f>
        <v/>
      </c>
    </row>
    <row r="86">
      <c r="A86">
        <f>'1 datos preparados'!A79</f>
        <v/>
      </c>
      <c r="B86" s="5">
        <f>'1 datos preparados'!U79</f>
        <v/>
      </c>
      <c r="C86">
        <f>'1 datos preparados'!B79</f>
        <v/>
      </c>
      <c r="D86" s="7">
        <f>'1 datos preparados'!C79</f>
        <v/>
      </c>
      <c r="E86" s="7">
        <f>'1 datos preparados'!D79</f>
        <v/>
      </c>
      <c r="F86" s="7">
        <f>'1 datos preparados'!E79</f>
        <v/>
      </c>
      <c r="G86" s="7">
        <f>'1 datos preparados'!F79</f>
        <v/>
      </c>
      <c r="H86" s="7">
        <f>'1 datos preparados'!G79</f>
        <v/>
      </c>
      <c r="I86" s="7">
        <f>'1 datos preparados'!H79</f>
        <v/>
      </c>
      <c r="J86" s="7">
        <f>'1 datos preparados'!I79</f>
        <v/>
      </c>
      <c r="K86" s="7">
        <f>'1 datos preparados'!J79</f>
        <v/>
      </c>
      <c r="L86" s="7">
        <f>'1 datos preparados'!K79</f>
        <v/>
      </c>
      <c r="M86" s="7">
        <f>'1 datos preparados'!L79</f>
        <v/>
      </c>
      <c r="N86" s="7">
        <f>'1 datos preparados'!M79</f>
        <v/>
      </c>
      <c r="O86" s="7">
        <f>'1 datos preparados'!N79</f>
        <v/>
      </c>
      <c r="P86" s="7">
        <f>'1 datos preparados'!O79</f>
        <v/>
      </c>
      <c r="Q86" s="7">
        <f>'1 datos preparados'!P79</f>
        <v/>
      </c>
      <c r="R86" s="7">
        <f>'1 datos preparados'!Q79</f>
        <v/>
      </c>
      <c r="S86" s="7">
        <f>'1 datos preparados'!R79</f>
        <v/>
      </c>
      <c r="T86" s="7">
        <f>'1 datos preparados'!S79</f>
        <v/>
      </c>
      <c r="U86" s="7">
        <f>'1 datos preparados'!T79</f>
        <v/>
      </c>
      <c r="V86" s="8">
        <f>$AC$12+D86*$AC$13+E86*$AC$14+F86*$AC$15+G86*$AC$16+H86*$AC$17+I86*$AC$18+J86*$AC$19+K86*$AC$20+L86*$AC$21+M86*$AC$22+N86*$AC$23+O86*$AC$24+P86*$AC$25+Q86*$AC$26+R86*$AC$27+S86*$AC$28+T86*$AC$29+U86*$AC$30</f>
        <v/>
      </c>
      <c r="W86" s="8">
        <f>1/(1+EXP(-V86))</f>
        <v/>
      </c>
      <c r="X86" s="9">
        <f>-IF(C86=1,LN(W86),LN(1-W86))</f>
        <v/>
      </c>
      <c r="Y86" s="10">
        <f>IF(W86&gt;$AC$33,1,0)</f>
        <v/>
      </c>
      <c r="Z86">
        <f>IF(Y86=C86,1,0)</f>
        <v/>
      </c>
    </row>
    <row r="87">
      <c r="A87">
        <f>'1 datos preparados'!A80</f>
        <v/>
      </c>
      <c r="B87" s="5">
        <f>'1 datos preparados'!U80</f>
        <v/>
      </c>
      <c r="C87">
        <f>'1 datos preparados'!B80</f>
        <v/>
      </c>
      <c r="D87" s="7">
        <f>'1 datos preparados'!C80</f>
        <v/>
      </c>
      <c r="E87" s="7">
        <f>'1 datos preparados'!D80</f>
        <v/>
      </c>
      <c r="F87" s="7">
        <f>'1 datos preparados'!E80</f>
        <v/>
      </c>
      <c r="G87" s="7">
        <f>'1 datos preparados'!F80</f>
        <v/>
      </c>
      <c r="H87" s="7">
        <f>'1 datos preparados'!G80</f>
        <v/>
      </c>
      <c r="I87" s="7">
        <f>'1 datos preparados'!H80</f>
        <v/>
      </c>
      <c r="J87" s="7">
        <f>'1 datos preparados'!I80</f>
        <v/>
      </c>
      <c r="K87" s="7">
        <f>'1 datos preparados'!J80</f>
        <v/>
      </c>
      <c r="L87" s="7">
        <f>'1 datos preparados'!K80</f>
        <v/>
      </c>
      <c r="M87" s="7">
        <f>'1 datos preparados'!L80</f>
        <v/>
      </c>
      <c r="N87" s="7">
        <f>'1 datos preparados'!M80</f>
        <v/>
      </c>
      <c r="O87" s="7">
        <f>'1 datos preparados'!N80</f>
        <v/>
      </c>
      <c r="P87" s="7">
        <f>'1 datos preparados'!O80</f>
        <v/>
      </c>
      <c r="Q87" s="7">
        <f>'1 datos preparados'!P80</f>
        <v/>
      </c>
      <c r="R87" s="7">
        <f>'1 datos preparados'!Q80</f>
        <v/>
      </c>
      <c r="S87" s="7">
        <f>'1 datos preparados'!R80</f>
        <v/>
      </c>
      <c r="T87" s="7">
        <f>'1 datos preparados'!S80</f>
        <v/>
      </c>
      <c r="U87" s="7">
        <f>'1 datos preparados'!T80</f>
        <v/>
      </c>
      <c r="V87" s="8">
        <f>$AC$12+D87*$AC$13+E87*$AC$14+F87*$AC$15+G87*$AC$16+H87*$AC$17+I87*$AC$18+J87*$AC$19+K87*$AC$20+L87*$AC$21+M87*$AC$22+N87*$AC$23+O87*$AC$24+P87*$AC$25+Q87*$AC$26+R87*$AC$27+S87*$AC$28+T87*$AC$29+U87*$AC$30</f>
        <v/>
      </c>
      <c r="W87" s="8">
        <f>1/(1+EXP(-V87))</f>
        <v/>
      </c>
      <c r="X87" s="9">
        <f>-IF(C87=1,LN(W87),LN(1-W87))</f>
        <v/>
      </c>
      <c r="Y87" s="10">
        <f>IF(W87&gt;$AC$33,1,0)</f>
        <v/>
      </c>
      <c r="Z87">
        <f>IF(Y87=C87,1,0)</f>
        <v/>
      </c>
    </row>
    <row r="88">
      <c r="A88">
        <f>'1 datos preparados'!A81</f>
        <v/>
      </c>
      <c r="B88" s="5">
        <f>'1 datos preparados'!U81</f>
        <v/>
      </c>
      <c r="C88">
        <f>'1 datos preparados'!B81</f>
        <v/>
      </c>
      <c r="D88" s="7">
        <f>'1 datos preparados'!C81</f>
        <v/>
      </c>
      <c r="E88" s="7">
        <f>'1 datos preparados'!D81</f>
        <v/>
      </c>
      <c r="F88" s="7">
        <f>'1 datos preparados'!E81</f>
        <v/>
      </c>
      <c r="G88" s="7">
        <f>'1 datos preparados'!F81</f>
        <v/>
      </c>
      <c r="H88" s="7">
        <f>'1 datos preparados'!G81</f>
        <v/>
      </c>
      <c r="I88" s="7">
        <f>'1 datos preparados'!H81</f>
        <v/>
      </c>
      <c r="J88" s="7">
        <f>'1 datos preparados'!I81</f>
        <v/>
      </c>
      <c r="K88" s="7">
        <f>'1 datos preparados'!J81</f>
        <v/>
      </c>
      <c r="L88" s="7">
        <f>'1 datos preparados'!K81</f>
        <v/>
      </c>
      <c r="M88" s="7">
        <f>'1 datos preparados'!L81</f>
        <v/>
      </c>
      <c r="N88" s="7">
        <f>'1 datos preparados'!M81</f>
        <v/>
      </c>
      <c r="O88" s="7">
        <f>'1 datos preparados'!N81</f>
        <v/>
      </c>
      <c r="P88" s="7">
        <f>'1 datos preparados'!O81</f>
        <v/>
      </c>
      <c r="Q88" s="7">
        <f>'1 datos preparados'!P81</f>
        <v/>
      </c>
      <c r="R88" s="7">
        <f>'1 datos preparados'!Q81</f>
        <v/>
      </c>
      <c r="S88" s="7">
        <f>'1 datos preparados'!R81</f>
        <v/>
      </c>
      <c r="T88" s="7">
        <f>'1 datos preparados'!S81</f>
        <v/>
      </c>
      <c r="U88" s="7">
        <f>'1 datos preparados'!T81</f>
        <v/>
      </c>
      <c r="V88" s="8">
        <f>$AC$12+D88*$AC$13+E88*$AC$14+F88*$AC$15+G88*$AC$16+H88*$AC$17+I88*$AC$18+J88*$AC$19+K88*$AC$20+L88*$AC$21+M88*$AC$22+N88*$AC$23+O88*$AC$24+P88*$AC$25+Q88*$AC$26+R88*$AC$27+S88*$AC$28+T88*$AC$29+U88*$AC$30</f>
        <v/>
      </c>
      <c r="W88" s="8">
        <f>1/(1+EXP(-V88))</f>
        <v/>
      </c>
      <c r="X88" s="9">
        <f>-IF(C88=1,LN(W88),LN(1-W88))</f>
        <v/>
      </c>
      <c r="Y88" s="10">
        <f>IF(W88&gt;$AC$33,1,0)</f>
        <v/>
      </c>
      <c r="Z88">
        <f>IF(Y88=C88,1,0)</f>
        <v/>
      </c>
    </row>
    <row r="89">
      <c r="A89">
        <f>'1 datos preparados'!A82</f>
        <v/>
      </c>
      <c r="B89" s="5">
        <f>'1 datos preparados'!U82</f>
        <v/>
      </c>
      <c r="C89">
        <f>'1 datos preparados'!B82</f>
        <v/>
      </c>
      <c r="D89" s="7">
        <f>'1 datos preparados'!C82</f>
        <v/>
      </c>
      <c r="E89" s="7">
        <f>'1 datos preparados'!D82</f>
        <v/>
      </c>
      <c r="F89" s="7">
        <f>'1 datos preparados'!E82</f>
        <v/>
      </c>
      <c r="G89" s="7">
        <f>'1 datos preparados'!F82</f>
        <v/>
      </c>
      <c r="H89" s="7">
        <f>'1 datos preparados'!G82</f>
        <v/>
      </c>
      <c r="I89" s="7">
        <f>'1 datos preparados'!H82</f>
        <v/>
      </c>
      <c r="J89" s="7">
        <f>'1 datos preparados'!I82</f>
        <v/>
      </c>
      <c r="K89" s="7">
        <f>'1 datos preparados'!J82</f>
        <v/>
      </c>
      <c r="L89" s="7">
        <f>'1 datos preparados'!K82</f>
        <v/>
      </c>
      <c r="M89" s="7">
        <f>'1 datos preparados'!L82</f>
        <v/>
      </c>
      <c r="N89" s="7">
        <f>'1 datos preparados'!M82</f>
        <v/>
      </c>
      <c r="O89" s="7">
        <f>'1 datos preparados'!N82</f>
        <v/>
      </c>
      <c r="P89" s="7">
        <f>'1 datos preparados'!O82</f>
        <v/>
      </c>
      <c r="Q89" s="7">
        <f>'1 datos preparados'!P82</f>
        <v/>
      </c>
      <c r="R89" s="7">
        <f>'1 datos preparados'!Q82</f>
        <v/>
      </c>
      <c r="S89" s="7">
        <f>'1 datos preparados'!R82</f>
        <v/>
      </c>
      <c r="T89" s="7">
        <f>'1 datos preparados'!S82</f>
        <v/>
      </c>
      <c r="U89" s="7">
        <f>'1 datos preparados'!T82</f>
        <v/>
      </c>
      <c r="V89" s="8">
        <f>$AC$12+D89*$AC$13+E89*$AC$14+F89*$AC$15+G89*$AC$16+H89*$AC$17+I89*$AC$18+J89*$AC$19+K89*$AC$20+L89*$AC$21+M89*$AC$22+N89*$AC$23+O89*$AC$24+P89*$AC$25+Q89*$AC$26+R89*$AC$27+S89*$AC$28+T89*$AC$29+U89*$AC$30</f>
        <v/>
      </c>
      <c r="W89" s="8">
        <f>1/(1+EXP(-V89))</f>
        <v/>
      </c>
      <c r="X89" s="9">
        <f>-IF(C89=1,LN(W89),LN(1-W89))</f>
        <v/>
      </c>
      <c r="Y89" s="10">
        <f>IF(W89&gt;$AC$33,1,0)</f>
        <v/>
      </c>
      <c r="Z89">
        <f>IF(Y89=C89,1,0)</f>
        <v/>
      </c>
    </row>
    <row r="90">
      <c r="A90">
        <f>'1 datos preparados'!A83</f>
        <v/>
      </c>
      <c r="B90" s="5">
        <f>'1 datos preparados'!U83</f>
        <v/>
      </c>
      <c r="C90">
        <f>'1 datos preparados'!B83</f>
        <v/>
      </c>
      <c r="D90" s="7">
        <f>'1 datos preparados'!C83</f>
        <v/>
      </c>
      <c r="E90" s="7">
        <f>'1 datos preparados'!D83</f>
        <v/>
      </c>
      <c r="F90" s="7">
        <f>'1 datos preparados'!E83</f>
        <v/>
      </c>
      <c r="G90" s="7">
        <f>'1 datos preparados'!F83</f>
        <v/>
      </c>
      <c r="H90" s="7">
        <f>'1 datos preparados'!G83</f>
        <v/>
      </c>
      <c r="I90" s="7">
        <f>'1 datos preparados'!H83</f>
        <v/>
      </c>
      <c r="J90" s="7">
        <f>'1 datos preparados'!I83</f>
        <v/>
      </c>
      <c r="K90" s="7">
        <f>'1 datos preparados'!J83</f>
        <v/>
      </c>
      <c r="L90" s="7">
        <f>'1 datos preparados'!K83</f>
        <v/>
      </c>
      <c r="M90" s="7">
        <f>'1 datos preparados'!L83</f>
        <v/>
      </c>
      <c r="N90" s="7">
        <f>'1 datos preparados'!M83</f>
        <v/>
      </c>
      <c r="O90" s="7">
        <f>'1 datos preparados'!N83</f>
        <v/>
      </c>
      <c r="P90" s="7">
        <f>'1 datos preparados'!O83</f>
        <v/>
      </c>
      <c r="Q90" s="7">
        <f>'1 datos preparados'!P83</f>
        <v/>
      </c>
      <c r="R90" s="7">
        <f>'1 datos preparados'!Q83</f>
        <v/>
      </c>
      <c r="S90" s="7">
        <f>'1 datos preparados'!R83</f>
        <v/>
      </c>
      <c r="T90" s="7">
        <f>'1 datos preparados'!S83</f>
        <v/>
      </c>
      <c r="U90" s="7">
        <f>'1 datos preparados'!T83</f>
        <v/>
      </c>
      <c r="V90" s="8">
        <f>$AC$12+D90*$AC$13+E90*$AC$14+F90*$AC$15+G90*$AC$16+H90*$AC$17+I90*$AC$18+J90*$AC$19+K90*$AC$20+L90*$AC$21+M90*$AC$22+N90*$AC$23+O90*$AC$24+P90*$AC$25+Q90*$AC$26+R90*$AC$27+S90*$AC$28+T90*$AC$29+U90*$AC$30</f>
        <v/>
      </c>
      <c r="W90" s="8">
        <f>1/(1+EXP(-V90))</f>
        <v/>
      </c>
      <c r="X90" s="9">
        <f>-IF(C90=1,LN(W90),LN(1-W90))</f>
        <v/>
      </c>
      <c r="Y90" s="10">
        <f>IF(W90&gt;$AC$33,1,0)</f>
        <v/>
      </c>
      <c r="Z90">
        <f>IF(Y90=C90,1,0)</f>
        <v/>
      </c>
    </row>
    <row r="91">
      <c r="A91">
        <f>'1 datos preparados'!A84</f>
        <v/>
      </c>
      <c r="B91" s="5">
        <f>'1 datos preparados'!U84</f>
        <v/>
      </c>
      <c r="C91">
        <f>'1 datos preparados'!B84</f>
        <v/>
      </c>
      <c r="D91" s="7">
        <f>'1 datos preparados'!C84</f>
        <v/>
      </c>
      <c r="E91" s="7">
        <f>'1 datos preparados'!D84</f>
        <v/>
      </c>
      <c r="F91" s="7">
        <f>'1 datos preparados'!E84</f>
        <v/>
      </c>
      <c r="G91" s="7">
        <f>'1 datos preparados'!F84</f>
        <v/>
      </c>
      <c r="H91" s="7">
        <f>'1 datos preparados'!G84</f>
        <v/>
      </c>
      <c r="I91" s="7">
        <f>'1 datos preparados'!H84</f>
        <v/>
      </c>
      <c r="J91" s="7">
        <f>'1 datos preparados'!I84</f>
        <v/>
      </c>
      <c r="K91" s="7">
        <f>'1 datos preparados'!J84</f>
        <v/>
      </c>
      <c r="L91" s="7">
        <f>'1 datos preparados'!K84</f>
        <v/>
      </c>
      <c r="M91" s="7">
        <f>'1 datos preparados'!L84</f>
        <v/>
      </c>
      <c r="N91" s="7">
        <f>'1 datos preparados'!M84</f>
        <v/>
      </c>
      <c r="O91" s="7">
        <f>'1 datos preparados'!N84</f>
        <v/>
      </c>
      <c r="P91" s="7">
        <f>'1 datos preparados'!O84</f>
        <v/>
      </c>
      <c r="Q91" s="7">
        <f>'1 datos preparados'!P84</f>
        <v/>
      </c>
      <c r="R91" s="7">
        <f>'1 datos preparados'!Q84</f>
        <v/>
      </c>
      <c r="S91" s="7">
        <f>'1 datos preparados'!R84</f>
        <v/>
      </c>
      <c r="T91" s="7">
        <f>'1 datos preparados'!S84</f>
        <v/>
      </c>
      <c r="U91" s="7">
        <f>'1 datos preparados'!T84</f>
        <v/>
      </c>
      <c r="V91" s="8">
        <f>$AC$12+D91*$AC$13+E91*$AC$14+F91*$AC$15+G91*$AC$16+H91*$AC$17+I91*$AC$18+J91*$AC$19+K91*$AC$20+L91*$AC$21+M91*$AC$22+N91*$AC$23+O91*$AC$24+P91*$AC$25+Q91*$AC$26+R91*$AC$27+S91*$AC$28+T91*$AC$29+U91*$AC$30</f>
        <v/>
      </c>
      <c r="W91" s="8">
        <f>1/(1+EXP(-V91))</f>
        <v/>
      </c>
      <c r="X91" s="9">
        <f>-IF(C91=1,LN(W91),LN(1-W91))</f>
        <v/>
      </c>
      <c r="Y91" s="10">
        <f>IF(W91&gt;$AC$33,1,0)</f>
        <v/>
      </c>
      <c r="Z91">
        <f>IF(Y91=C91,1,0)</f>
        <v/>
      </c>
    </row>
    <row r="92">
      <c r="A92">
        <f>'1 datos preparados'!A85</f>
        <v/>
      </c>
      <c r="B92" s="5">
        <f>'1 datos preparados'!U85</f>
        <v/>
      </c>
      <c r="C92">
        <f>'1 datos preparados'!B85</f>
        <v/>
      </c>
      <c r="D92" s="7">
        <f>'1 datos preparados'!C85</f>
        <v/>
      </c>
      <c r="E92" s="7">
        <f>'1 datos preparados'!D85</f>
        <v/>
      </c>
      <c r="F92" s="7">
        <f>'1 datos preparados'!E85</f>
        <v/>
      </c>
      <c r="G92" s="7">
        <f>'1 datos preparados'!F85</f>
        <v/>
      </c>
      <c r="H92" s="7">
        <f>'1 datos preparados'!G85</f>
        <v/>
      </c>
      <c r="I92" s="7">
        <f>'1 datos preparados'!H85</f>
        <v/>
      </c>
      <c r="J92" s="7">
        <f>'1 datos preparados'!I85</f>
        <v/>
      </c>
      <c r="K92" s="7">
        <f>'1 datos preparados'!J85</f>
        <v/>
      </c>
      <c r="L92" s="7">
        <f>'1 datos preparados'!K85</f>
        <v/>
      </c>
      <c r="M92" s="7">
        <f>'1 datos preparados'!L85</f>
        <v/>
      </c>
      <c r="N92" s="7">
        <f>'1 datos preparados'!M85</f>
        <v/>
      </c>
      <c r="O92" s="7">
        <f>'1 datos preparados'!N85</f>
        <v/>
      </c>
      <c r="P92" s="7">
        <f>'1 datos preparados'!O85</f>
        <v/>
      </c>
      <c r="Q92" s="7">
        <f>'1 datos preparados'!P85</f>
        <v/>
      </c>
      <c r="R92" s="7">
        <f>'1 datos preparados'!Q85</f>
        <v/>
      </c>
      <c r="S92" s="7">
        <f>'1 datos preparados'!R85</f>
        <v/>
      </c>
      <c r="T92" s="7">
        <f>'1 datos preparados'!S85</f>
        <v/>
      </c>
      <c r="U92" s="7">
        <f>'1 datos preparados'!T85</f>
        <v/>
      </c>
      <c r="V92" s="8">
        <f>$AC$12+D92*$AC$13+E92*$AC$14+F92*$AC$15+G92*$AC$16+H92*$AC$17+I92*$AC$18+J92*$AC$19+K92*$AC$20+L92*$AC$21+M92*$AC$22+N92*$AC$23+O92*$AC$24+P92*$AC$25+Q92*$AC$26+R92*$AC$27+S92*$AC$28+T92*$AC$29+U92*$AC$30</f>
        <v/>
      </c>
      <c r="W92" s="8">
        <f>1/(1+EXP(-V92))</f>
        <v/>
      </c>
      <c r="X92" s="9">
        <f>-IF(C92=1,LN(W92),LN(1-W92))</f>
        <v/>
      </c>
      <c r="Y92" s="10">
        <f>IF(W92&gt;$AC$33,1,0)</f>
        <v/>
      </c>
      <c r="Z92">
        <f>IF(Y92=C92,1,0)</f>
        <v/>
      </c>
    </row>
    <row r="93">
      <c r="A93">
        <f>'1 datos preparados'!A86</f>
        <v/>
      </c>
      <c r="B93" s="5">
        <f>'1 datos preparados'!U86</f>
        <v/>
      </c>
      <c r="C93">
        <f>'1 datos preparados'!B86</f>
        <v/>
      </c>
      <c r="D93" s="7">
        <f>'1 datos preparados'!C86</f>
        <v/>
      </c>
      <c r="E93" s="7">
        <f>'1 datos preparados'!D86</f>
        <v/>
      </c>
      <c r="F93" s="7">
        <f>'1 datos preparados'!E86</f>
        <v/>
      </c>
      <c r="G93" s="7">
        <f>'1 datos preparados'!F86</f>
        <v/>
      </c>
      <c r="H93" s="7">
        <f>'1 datos preparados'!G86</f>
        <v/>
      </c>
      <c r="I93" s="7">
        <f>'1 datos preparados'!H86</f>
        <v/>
      </c>
      <c r="J93" s="7">
        <f>'1 datos preparados'!I86</f>
        <v/>
      </c>
      <c r="K93" s="7">
        <f>'1 datos preparados'!J86</f>
        <v/>
      </c>
      <c r="L93" s="7">
        <f>'1 datos preparados'!K86</f>
        <v/>
      </c>
      <c r="M93" s="7">
        <f>'1 datos preparados'!L86</f>
        <v/>
      </c>
      <c r="N93" s="7">
        <f>'1 datos preparados'!M86</f>
        <v/>
      </c>
      <c r="O93" s="7">
        <f>'1 datos preparados'!N86</f>
        <v/>
      </c>
      <c r="P93" s="7">
        <f>'1 datos preparados'!O86</f>
        <v/>
      </c>
      <c r="Q93" s="7">
        <f>'1 datos preparados'!P86</f>
        <v/>
      </c>
      <c r="R93" s="7">
        <f>'1 datos preparados'!Q86</f>
        <v/>
      </c>
      <c r="S93" s="7">
        <f>'1 datos preparados'!R86</f>
        <v/>
      </c>
      <c r="T93" s="7">
        <f>'1 datos preparados'!S86</f>
        <v/>
      </c>
      <c r="U93" s="7">
        <f>'1 datos preparados'!T86</f>
        <v/>
      </c>
      <c r="V93" s="8">
        <f>$AC$12+D93*$AC$13+E93*$AC$14+F93*$AC$15+G93*$AC$16+H93*$AC$17+I93*$AC$18+J93*$AC$19+K93*$AC$20+L93*$AC$21+M93*$AC$22+N93*$AC$23+O93*$AC$24+P93*$AC$25+Q93*$AC$26+R93*$AC$27+S93*$AC$28+T93*$AC$29+U93*$AC$30</f>
        <v/>
      </c>
      <c r="W93" s="8">
        <f>1/(1+EXP(-V93))</f>
        <v/>
      </c>
      <c r="X93" s="9">
        <f>-IF(C93=1,LN(W93),LN(1-W93))</f>
        <v/>
      </c>
      <c r="Y93" s="10">
        <f>IF(W93&gt;$AC$33,1,0)</f>
        <v/>
      </c>
      <c r="Z93">
        <f>IF(Y93=C93,1,0)</f>
        <v/>
      </c>
    </row>
    <row r="94">
      <c r="A94">
        <f>'1 datos preparados'!A87</f>
        <v/>
      </c>
      <c r="B94" s="5">
        <f>'1 datos preparados'!U87</f>
        <v/>
      </c>
      <c r="C94">
        <f>'1 datos preparados'!B87</f>
        <v/>
      </c>
      <c r="D94" s="7">
        <f>'1 datos preparados'!C87</f>
        <v/>
      </c>
      <c r="E94" s="7">
        <f>'1 datos preparados'!D87</f>
        <v/>
      </c>
      <c r="F94" s="7">
        <f>'1 datos preparados'!E87</f>
        <v/>
      </c>
      <c r="G94" s="7">
        <f>'1 datos preparados'!F87</f>
        <v/>
      </c>
      <c r="H94" s="7">
        <f>'1 datos preparados'!G87</f>
        <v/>
      </c>
      <c r="I94" s="7">
        <f>'1 datos preparados'!H87</f>
        <v/>
      </c>
      <c r="J94" s="7">
        <f>'1 datos preparados'!I87</f>
        <v/>
      </c>
      <c r="K94" s="7">
        <f>'1 datos preparados'!J87</f>
        <v/>
      </c>
      <c r="L94" s="7">
        <f>'1 datos preparados'!K87</f>
        <v/>
      </c>
      <c r="M94" s="7">
        <f>'1 datos preparados'!L87</f>
        <v/>
      </c>
      <c r="N94" s="7">
        <f>'1 datos preparados'!M87</f>
        <v/>
      </c>
      <c r="O94" s="7">
        <f>'1 datos preparados'!N87</f>
        <v/>
      </c>
      <c r="P94" s="7">
        <f>'1 datos preparados'!O87</f>
        <v/>
      </c>
      <c r="Q94" s="7">
        <f>'1 datos preparados'!P87</f>
        <v/>
      </c>
      <c r="R94" s="7">
        <f>'1 datos preparados'!Q87</f>
        <v/>
      </c>
      <c r="S94" s="7">
        <f>'1 datos preparados'!R87</f>
        <v/>
      </c>
      <c r="T94" s="7">
        <f>'1 datos preparados'!S87</f>
        <v/>
      </c>
      <c r="U94" s="7">
        <f>'1 datos preparados'!T87</f>
        <v/>
      </c>
      <c r="V94" s="8">
        <f>$AC$12+D94*$AC$13+E94*$AC$14+F94*$AC$15+G94*$AC$16+H94*$AC$17+I94*$AC$18+J94*$AC$19+K94*$AC$20+L94*$AC$21+M94*$AC$22+N94*$AC$23+O94*$AC$24+P94*$AC$25+Q94*$AC$26+R94*$AC$27+S94*$AC$28+T94*$AC$29+U94*$AC$30</f>
        <v/>
      </c>
      <c r="W94" s="8">
        <f>1/(1+EXP(-V94))</f>
        <v/>
      </c>
      <c r="X94" s="9">
        <f>-IF(C94=1,LN(W94),LN(1-W94))</f>
        <v/>
      </c>
      <c r="Y94" s="10">
        <f>IF(W94&gt;$AC$33,1,0)</f>
        <v/>
      </c>
      <c r="Z94">
        <f>IF(Y94=C94,1,0)</f>
        <v/>
      </c>
    </row>
    <row r="95">
      <c r="A95">
        <f>'1 datos preparados'!A88</f>
        <v/>
      </c>
      <c r="B95" s="5">
        <f>'1 datos preparados'!U88</f>
        <v/>
      </c>
      <c r="C95">
        <f>'1 datos preparados'!B88</f>
        <v/>
      </c>
      <c r="D95" s="7">
        <f>'1 datos preparados'!C88</f>
        <v/>
      </c>
      <c r="E95" s="7">
        <f>'1 datos preparados'!D88</f>
        <v/>
      </c>
      <c r="F95" s="7">
        <f>'1 datos preparados'!E88</f>
        <v/>
      </c>
      <c r="G95" s="7">
        <f>'1 datos preparados'!F88</f>
        <v/>
      </c>
      <c r="H95" s="7">
        <f>'1 datos preparados'!G88</f>
        <v/>
      </c>
      <c r="I95" s="7">
        <f>'1 datos preparados'!H88</f>
        <v/>
      </c>
      <c r="J95" s="7">
        <f>'1 datos preparados'!I88</f>
        <v/>
      </c>
      <c r="K95" s="7">
        <f>'1 datos preparados'!J88</f>
        <v/>
      </c>
      <c r="L95" s="7">
        <f>'1 datos preparados'!K88</f>
        <v/>
      </c>
      <c r="M95" s="7">
        <f>'1 datos preparados'!L88</f>
        <v/>
      </c>
      <c r="N95" s="7">
        <f>'1 datos preparados'!M88</f>
        <v/>
      </c>
      <c r="O95" s="7">
        <f>'1 datos preparados'!N88</f>
        <v/>
      </c>
      <c r="P95" s="7">
        <f>'1 datos preparados'!O88</f>
        <v/>
      </c>
      <c r="Q95" s="7">
        <f>'1 datos preparados'!P88</f>
        <v/>
      </c>
      <c r="R95" s="7">
        <f>'1 datos preparados'!Q88</f>
        <v/>
      </c>
      <c r="S95" s="7">
        <f>'1 datos preparados'!R88</f>
        <v/>
      </c>
      <c r="T95" s="7">
        <f>'1 datos preparados'!S88</f>
        <v/>
      </c>
      <c r="U95" s="7">
        <f>'1 datos preparados'!T88</f>
        <v/>
      </c>
      <c r="V95" s="8">
        <f>$AC$12+D95*$AC$13+E95*$AC$14+F95*$AC$15+G95*$AC$16+H95*$AC$17+I95*$AC$18+J95*$AC$19+K95*$AC$20+L95*$AC$21+M95*$AC$22+N95*$AC$23+O95*$AC$24+P95*$AC$25+Q95*$AC$26+R95*$AC$27+S95*$AC$28+T95*$AC$29+U95*$AC$30</f>
        <v/>
      </c>
      <c r="W95" s="8">
        <f>1/(1+EXP(-V95))</f>
        <v/>
      </c>
      <c r="X95" s="9">
        <f>-IF(C95=1,LN(W95),LN(1-W95))</f>
        <v/>
      </c>
      <c r="Y95" s="10">
        <f>IF(W95&gt;$AC$33,1,0)</f>
        <v/>
      </c>
      <c r="Z95">
        <f>IF(Y95=C95,1,0)</f>
        <v/>
      </c>
    </row>
    <row r="96">
      <c r="A96">
        <f>'1 datos preparados'!A89</f>
        <v/>
      </c>
      <c r="B96" s="5">
        <f>'1 datos preparados'!U89</f>
        <v/>
      </c>
      <c r="C96">
        <f>'1 datos preparados'!B89</f>
        <v/>
      </c>
      <c r="D96" s="7">
        <f>'1 datos preparados'!C89</f>
        <v/>
      </c>
      <c r="E96" s="7">
        <f>'1 datos preparados'!D89</f>
        <v/>
      </c>
      <c r="F96" s="7">
        <f>'1 datos preparados'!E89</f>
        <v/>
      </c>
      <c r="G96" s="7">
        <f>'1 datos preparados'!F89</f>
        <v/>
      </c>
      <c r="H96" s="7">
        <f>'1 datos preparados'!G89</f>
        <v/>
      </c>
      <c r="I96" s="7">
        <f>'1 datos preparados'!H89</f>
        <v/>
      </c>
      <c r="J96" s="7">
        <f>'1 datos preparados'!I89</f>
        <v/>
      </c>
      <c r="K96" s="7">
        <f>'1 datos preparados'!J89</f>
        <v/>
      </c>
      <c r="L96" s="7">
        <f>'1 datos preparados'!K89</f>
        <v/>
      </c>
      <c r="M96" s="7">
        <f>'1 datos preparados'!L89</f>
        <v/>
      </c>
      <c r="N96" s="7">
        <f>'1 datos preparados'!M89</f>
        <v/>
      </c>
      <c r="O96" s="7">
        <f>'1 datos preparados'!N89</f>
        <v/>
      </c>
      <c r="P96" s="7">
        <f>'1 datos preparados'!O89</f>
        <v/>
      </c>
      <c r="Q96" s="7">
        <f>'1 datos preparados'!P89</f>
        <v/>
      </c>
      <c r="R96" s="7">
        <f>'1 datos preparados'!Q89</f>
        <v/>
      </c>
      <c r="S96" s="7">
        <f>'1 datos preparados'!R89</f>
        <v/>
      </c>
      <c r="T96" s="7">
        <f>'1 datos preparados'!S89</f>
        <v/>
      </c>
      <c r="U96" s="7">
        <f>'1 datos preparados'!T89</f>
        <v/>
      </c>
      <c r="V96" s="8">
        <f>$AC$12+D96*$AC$13+E96*$AC$14+F96*$AC$15+G96*$AC$16+H96*$AC$17+I96*$AC$18+J96*$AC$19+K96*$AC$20+L96*$AC$21+M96*$AC$22+N96*$AC$23+O96*$AC$24+P96*$AC$25+Q96*$AC$26+R96*$AC$27+S96*$AC$28+T96*$AC$29+U96*$AC$30</f>
        <v/>
      </c>
      <c r="W96" s="8">
        <f>1/(1+EXP(-V96))</f>
        <v/>
      </c>
      <c r="X96" s="9">
        <f>-IF(C96=1,LN(W96),LN(1-W96))</f>
        <v/>
      </c>
      <c r="Y96" s="10">
        <f>IF(W96&gt;$AC$33,1,0)</f>
        <v/>
      </c>
      <c r="Z96">
        <f>IF(Y96=C96,1,0)</f>
        <v/>
      </c>
    </row>
    <row r="97">
      <c r="A97">
        <f>'1 datos preparados'!A90</f>
        <v/>
      </c>
      <c r="B97" s="5">
        <f>'1 datos preparados'!U90</f>
        <v/>
      </c>
      <c r="C97">
        <f>'1 datos preparados'!B90</f>
        <v/>
      </c>
      <c r="D97" s="7">
        <f>'1 datos preparados'!C90</f>
        <v/>
      </c>
      <c r="E97" s="7">
        <f>'1 datos preparados'!D90</f>
        <v/>
      </c>
      <c r="F97" s="7">
        <f>'1 datos preparados'!E90</f>
        <v/>
      </c>
      <c r="G97" s="7">
        <f>'1 datos preparados'!F90</f>
        <v/>
      </c>
      <c r="H97" s="7">
        <f>'1 datos preparados'!G90</f>
        <v/>
      </c>
      <c r="I97" s="7">
        <f>'1 datos preparados'!H90</f>
        <v/>
      </c>
      <c r="J97" s="7">
        <f>'1 datos preparados'!I90</f>
        <v/>
      </c>
      <c r="K97" s="7">
        <f>'1 datos preparados'!J90</f>
        <v/>
      </c>
      <c r="L97" s="7">
        <f>'1 datos preparados'!K90</f>
        <v/>
      </c>
      <c r="M97" s="7">
        <f>'1 datos preparados'!L90</f>
        <v/>
      </c>
      <c r="N97" s="7">
        <f>'1 datos preparados'!M90</f>
        <v/>
      </c>
      <c r="O97" s="7">
        <f>'1 datos preparados'!N90</f>
        <v/>
      </c>
      <c r="P97" s="7">
        <f>'1 datos preparados'!O90</f>
        <v/>
      </c>
      <c r="Q97" s="7">
        <f>'1 datos preparados'!P90</f>
        <v/>
      </c>
      <c r="R97" s="7">
        <f>'1 datos preparados'!Q90</f>
        <v/>
      </c>
      <c r="S97" s="7">
        <f>'1 datos preparados'!R90</f>
        <v/>
      </c>
      <c r="T97" s="7">
        <f>'1 datos preparados'!S90</f>
        <v/>
      </c>
      <c r="U97" s="7">
        <f>'1 datos preparados'!T90</f>
        <v/>
      </c>
      <c r="V97" s="8">
        <f>$AC$12+D97*$AC$13+E97*$AC$14+F97*$AC$15+G97*$AC$16+H97*$AC$17+I97*$AC$18+J97*$AC$19+K97*$AC$20+L97*$AC$21+M97*$AC$22+N97*$AC$23+O97*$AC$24+P97*$AC$25+Q97*$AC$26+R97*$AC$27+S97*$AC$28+T97*$AC$29+U97*$AC$30</f>
        <v/>
      </c>
      <c r="W97" s="8">
        <f>1/(1+EXP(-V97))</f>
        <v/>
      </c>
      <c r="X97" s="9">
        <f>-IF(C97=1,LN(W97),LN(1-W97))</f>
        <v/>
      </c>
      <c r="Y97" s="10">
        <f>IF(W97&gt;$AC$33,1,0)</f>
        <v/>
      </c>
      <c r="Z97">
        <f>IF(Y97=C97,1,0)</f>
        <v/>
      </c>
    </row>
    <row r="98">
      <c r="A98">
        <f>'1 datos preparados'!A91</f>
        <v/>
      </c>
      <c r="B98" s="5">
        <f>'1 datos preparados'!U91</f>
        <v/>
      </c>
      <c r="C98">
        <f>'1 datos preparados'!B91</f>
        <v/>
      </c>
      <c r="D98" s="7">
        <f>'1 datos preparados'!C91</f>
        <v/>
      </c>
      <c r="E98" s="7">
        <f>'1 datos preparados'!D91</f>
        <v/>
      </c>
      <c r="F98" s="7">
        <f>'1 datos preparados'!E91</f>
        <v/>
      </c>
      <c r="G98" s="7">
        <f>'1 datos preparados'!F91</f>
        <v/>
      </c>
      <c r="H98" s="7">
        <f>'1 datos preparados'!G91</f>
        <v/>
      </c>
      <c r="I98" s="7">
        <f>'1 datos preparados'!H91</f>
        <v/>
      </c>
      <c r="J98" s="7">
        <f>'1 datos preparados'!I91</f>
        <v/>
      </c>
      <c r="K98" s="7">
        <f>'1 datos preparados'!J91</f>
        <v/>
      </c>
      <c r="L98" s="7">
        <f>'1 datos preparados'!K91</f>
        <v/>
      </c>
      <c r="M98" s="7">
        <f>'1 datos preparados'!L91</f>
        <v/>
      </c>
      <c r="N98" s="7">
        <f>'1 datos preparados'!M91</f>
        <v/>
      </c>
      <c r="O98" s="7">
        <f>'1 datos preparados'!N91</f>
        <v/>
      </c>
      <c r="P98" s="7">
        <f>'1 datos preparados'!O91</f>
        <v/>
      </c>
      <c r="Q98" s="7">
        <f>'1 datos preparados'!P91</f>
        <v/>
      </c>
      <c r="R98" s="7">
        <f>'1 datos preparados'!Q91</f>
        <v/>
      </c>
      <c r="S98" s="7">
        <f>'1 datos preparados'!R91</f>
        <v/>
      </c>
      <c r="T98" s="7">
        <f>'1 datos preparados'!S91</f>
        <v/>
      </c>
      <c r="U98" s="7">
        <f>'1 datos preparados'!T91</f>
        <v/>
      </c>
      <c r="V98" s="8">
        <f>$AC$12+D98*$AC$13+E98*$AC$14+F98*$AC$15+G98*$AC$16+H98*$AC$17+I98*$AC$18+J98*$AC$19+K98*$AC$20+L98*$AC$21+M98*$AC$22+N98*$AC$23+O98*$AC$24+P98*$AC$25+Q98*$AC$26+R98*$AC$27+S98*$AC$28+T98*$AC$29+U98*$AC$30</f>
        <v/>
      </c>
      <c r="W98" s="8">
        <f>1/(1+EXP(-V98))</f>
        <v/>
      </c>
      <c r="X98" s="9">
        <f>-IF(C98=1,LN(W98),LN(1-W98))</f>
        <v/>
      </c>
      <c r="Y98" s="10">
        <f>IF(W98&gt;$AC$33,1,0)</f>
        <v/>
      </c>
      <c r="Z98">
        <f>IF(Y98=C98,1,0)</f>
        <v/>
      </c>
    </row>
    <row r="99">
      <c r="A99">
        <f>'1 datos preparados'!A92</f>
        <v/>
      </c>
      <c r="B99" s="5">
        <f>'1 datos preparados'!U92</f>
        <v/>
      </c>
      <c r="C99">
        <f>'1 datos preparados'!B92</f>
        <v/>
      </c>
      <c r="D99" s="7">
        <f>'1 datos preparados'!C92</f>
        <v/>
      </c>
      <c r="E99" s="7">
        <f>'1 datos preparados'!D92</f>
        <v/>
      </c>
      <c r="F99" s="7">
        <f>'1 datos preparados'!E92</f>
        <v/>
      </c>
      <c r="G99" s="7">
        <f>'1 datos preparados'!F92</f>
        <v/>
      </c>
      <c r="H99" s="7">
        <f>'1 datos preparados'!G92</f>
        <v/>
      </c>
      <c r="I99" s="7">
        <f>'1 datos preparados'!H92</f>
        <v/>
      </c>
      <c r="J99" s="7">
        <f>'1 datos preparados'!I92</f>
        <v/>
      </c>
      <c r="K99" s="7">
        <f>'1 datos preparados'!J92</f>
        <v/>
      </c>
      <c r="L99" s="7">
        <f>'1 datos preparados'!K92</f>
        <v/>
      </c>
      <c r="M99" s="7">
        <f>'1 datos preparados'!L92</f>
        <v/>
      </c>
      <c r="N99" s="7">
        <f>'1 datos preparados'!M92</f>
        <v/>
      </c>
      <c r="O99" s="7">
        <f>'1 datos preparados'!N92</f>
        <v/>
      </c>
      <c r="P99" s="7">
        <f>'1 datos preparados'!O92</f>
        <v/>
      </c>
      <c r="Q99" s="7">
        <f>'1 datos preparados'!P92</f>
        <v/>
      </c>
      <c r="R99" s="7">
        <f>'1 datos preparados'!Q92</f>
        <v/>
      </c>
      <c r="S99" s="7">
        <f>'1 datos preparados'!R92</f>
        <v/>
      </c>
      <c r="T99" s="7">
        <f>'1 datos preparados'!S92</f>
        <v/>
      </c>
      <c r="U99" s="7">
        <f>'1 datos preparados'!T92</f>
        <v/>
      </c>
      <c r="V99" s="8">
        <f>$AC$12+D99*$AC$13+E99*$AC$14+F99*$AC$15+G99*$AC$16+H99*$AC$17+I99*$AC$18+J99*$AC$19+K99*$AC$20+L99*$AC$21+M99*$AC$22+N99*$AC$23+O99*$AC$24+P99*$AC$25+Q99*$AC$26+R99*$AC$27+S99*$AC$28+T99*$AC$29+U99*$AC$30</f>
        <v/>
      </c>
      <c r="W99" s="8">
        <f>1/(1+EXP(-V99))</f>
        <v/>
      </c>
      <c r="X99" s="9">
        <f>-IF(C99=1,LN(W99),LN(1-W99))</f>
        <v/>
      </c>
      <c r="Y99" s="10">
        <f>IF(W99&gt;$AC$33,1,0)</f>
        <v/>
      </c>
      <c r="Z99">
        <f>IF(Y99=C99,1,0)</f>
        <v/>
      </c>
    </row>
    <row r="100">
      <c r="A100">
        <f>'1 datos preparados'!A93</f>
        <v/>
      </c>
      <c r="B100" s="5">
        <f>'1 datos preparados'!U93</f>
        <v/>
      </c>
      <c r="C100">
        <f>'1 datos preparados'!B93</f>
        <v/>
      </c>
      <c r="D100" s="7">
        <f>'1 datos preparados'!C93</f>
        <v/>
      </c>
      <c r="E100" s="7">
        <f>'1 datos preparados'!D93</f>
        <v/>
      </c>
      <c r="F100" s="7">
        <f>'1 datos preparados'!E93</f>
        <v/>
      </c>
      <c r="G100" s="7">
        <f>'1 datos preparados'!F93</f>
        <v/>
      </c>
      <c r="H100" s="7">
        <f>'1 datos preparados'!G93</f>
        <v/>
      </c>
      <c r="I100" s="7">
        <f>'1 datos preparados'!H93</f>
        <v/>
      </c>
      <c r="J100" s="7">
        <f>'1 datos preparados'!I93</f>
        <v/>
      </c>
      <c r="K100" s="7">
        <f>'1 datos preparados'!J93</f>
        <v/>
      </c>
      <c r="L100" s="7">
        <f>'1 datos preparados'!K93</f>
        <v/>
      </c>
      <c r="M100" s="7">
        <f>'1 datos preparados'!L93</f>
        <v/>
      </c>
      <c r="N100" s="7">
        <f>'1 datos preparados'!M93</f>
        <v/>
      </c>
      <c r="O100" s="7">
        <f>'1 datos preparados'!N93</f>
        <v/>
      </c>
      <c r="P100" s="7">
        <f>'1 datos preparados'!O93</f>
        <v/>
      </c>
      <c r="Q100" s="7">
        <f>'1 datos preparados'!P93</f>
        <v/>
      </c>
      <c r="R100" s="7">
        <f>'1 datos preparados'!Q93</f>
        <v/>
      </c>
      <c r="S100" s="7">
        <f>'1 datos preparados'!R93</f>
        <v/>
      </c>
      <c r="T100" s="7">
        <f>'1 datos preparados'!S93</f>
        <v/>
      </c>
      <c r="U100" s="7">
        <f>'1 datos preparados'!T93</f>
        <v/>
      </c>
      <c r="V100" s="8">
        <f>$AC$12+D100*$AC$13+E100*$AC$14+F100*$AC$15+G100*$AC$16+H100*$AC$17+I100*$AC$18+J100*$AC$19+K100*$AC$20+L100*$AC$21+M100*$AC$22+N100*$AC$23+O100*$AC$24+P100*$AC$25+Q100*$AC$26+R100*$AC$27+S100*$AC$28+T100*$AC$29+U100*$AC$30</f>
        <v/>
      </c>
      <c r="W100" s="8">
        <f>1/(1+EXP(-V100))</f>
        <v/>
      </c>
      <c r="X100" s="9">
        <f>-IF(C100=1,LN(W100),LN(1-W100))</f>
        <v/>
      </c>
      <c r="Y100" s="10">
        <f>IF(W100&gt;$AC$33,1,0)</f>
        <v/>
      </c>
      <c r="Z100">
        <f>IF(Y100=C100,1,0)</f>
        <v/>
      </c>
    </row>
    <row r="101">
      <c r="A101">
        <f>'1 datos preparados'!A94</f>
        <v/>
      </c>
      <c r="B101" s="5">
        <f>'1 datos preparados'!U94</f>
        <v/>
      </c>
      <c r="C101">
        <f>'1 datos preparados'!B94</f>
        <v/>
      </c>
      <c r="D101" s="7">
        <f>'1 datos preparados'!C94</f>
        <v/>
      </c>
      <c r="E101" s="7">
        <f>'1 datos preparados'!D94</f>
        <v/>
      </c>
      <c r="F101" s="7">
        <f>'1 datos preparados'!E94</f>
        <v/>
      </c>
      <c r="G101" s="7">
        <f>'1 datos preparados'!F94</f>
        <v/>
      </c>
      <c r="H101" s="7">
        <f>'1 datos preparados'!G94</f>
        <v/>
      </c>
      <c r="I101" s="7">
        <f>'1 datos preparados'!H94</f>
        <v/>
      </c>
      <c r="J101" s="7">
        <f>'1 datos preparados'!I94</f>
        <v/>
      </c>
      <c r="K101" s="7">
        <f>'1 datos preparados'!J94</f>
        <v/>
      </c>
      <c r="L101" s="7">
        <f>'1 datos preparados'!K94</f>
        <v/>
      </c>
      <c r="M101" s="7">
        <f>'1 datos preparados'!L94</f>
        <v/>
      </c>
      <c r="N101" s="7">
        <f>'1 datos preparados'!M94</f>
        <v/>
      </c>
      <c r="O101" s="7">
        <f>'1 datos preparados'!N94</f>
        <v/>
      </c>
      <c r="P101" s="7">
        <f>'1 datos preparados'!O94</f>
        <v/>
      </c>
      <c r="Q101" s="7">
        <f>'1 datos preparados'!P94</f>
        <v/>
      </c>
      <c r="R101" s="7">
        <f>'1 datos preparados'!Q94</f>
        <v/>
      </c>
      <c r="S101" s="7">
        <f>'1 datos preparados'!R94</f>
        <v/>
      </c>
      <c r="T101" s="7">
        <f>'1 datos preparados'!S94</f>
        <v/>
      </c>
      <c r="U101" s="7">
        <f>'1 datos preparados'!T94</f>
        <v/>
      </c>
      <c r="V101" s="8">
        <f>$AC$12+D101*$AC$13+E101*$AC$14+F101*$AC$15+G101*$AC$16+H101*$AC$17+I101*$AC$18+J101*$AC$19+K101*$AC$20+L101*$AC$21+M101*$AC$22+N101*$AC$23+O101*$AC$24+P101*$AC$25+Q101*$AC$26+R101*$AC$27+S101*$AC$28+T101*$AC$29+U101*$AC$30</f>
        <v/>
      </c>
      <c r="W101" s="8">
        <f>1/(1+EXP(-V101))</f>
        <v/>
      </c>
      <c r="X101" s="9">
        <f>-IF(C101=1,LN(W101),LN(1-W101))</f>
        <v/>
      </c>
      <c r="Y101" s="10">
        <f>IF(W101&gt;$AC$33,1,0)</f>
        <v/>
      </c>
      <c r="Z101">
        <f>IF(Y101=C101,1,0)</f>
        <v/>
      </c>
    </row>
    <row r="102">
      <c r="A102">
        <f>'1 datos preparados'!A95</f>
        <v/>
      </c>
      <c r="B102" s="5">
        <f>'1 datos preparados'!U95</f>
        <v/>
      </c>
      <c r="C102">
        <f>'1 datos preparados'!B95</f>
        <v/>
      </c>
      <c r="D102" s="7">
        <f>'1 datos preparados'!C95</f>
        <v/>
      </c>
      <c r="E102" s="7">
        <f>'1 datos preparados'!D95</f>
        <v/>
      </c>
      <c r="F102" s="7">
        <f>'1 datos preparados'!E95</f>
        <v/>
      </c>
      <c r="G102" s="7">
        <f>'1 datos preparados'!F95</f>
        <v/>
      </c>
      <c r="H102" s="7">
        <f>'1 datos preparados'!G95</f>
        <v/>
      </c>
      <c r="I102" s="7">
        <f>'1 datos preparados'!H95</f>
        <v/>
      </c>
      <c r="J102" s="7">
        <f>'1 datos preparados'!I95</f>
        <v/>
      </c>
      <c r="K102" s="7">
        <f>'1 datos preparados'!J95</f>
        <v/>
      </c>
      <c r="L102" s="7">
        <f>'1 datos preparados'!K95</f>
        <v/>
      </c>
      <c r="M102" s="7">
        <f>'1 datos preparados'!L95</f>
        <v/>
      </c>
      <c r="N102" s="7">
        <f>'1 datos preparados'!M95</f>
        <v/>
      </c>
      <c r="O102" s="7">
        <f>'1 datos preparados'!N95</f>
        <v/>
      </c>
      <c r="P102" s="7">
        <f>'1 datos preparados'!O95</f>
        <v/>
      </c>
      <c r="Q102" s="7">
        <f>'1 datos preparados'!P95</f>
        <v/>
      </c>
      <c r="R102" s="7">
        <f>'1 datos preparados'!Q95</f>
        <v/>
      </c>
      <c r="S102" s="7">
        <f>'1 datos preparados'!R95</f>
        <v/>
      </c>
      <c r="T102" s="7">
        <f>'1 datos preparados'!S95</f>
        <v/>
      </c>
      <c r="U102" s="7">
        <f>'1 datos preparados'!T95</f>
        <v/>
      </c>
      <c r="V102" s="8">
        <f>$AC$12+D102*$AC$13+E102*$AC$14+F102*$AC$15+G102*$AC$16+H102*$AC$17+I102*$AC$18+J102*$AC$19+K102*$AC$20+L102*$AC$21+M102*$AC$22+N102*$AC$23+O102*$AC$24+P102*$AC$25+Q102*$AC$26+R102*$AC$27+S102*$AC$28+T102*$AC$29+U102*$AC$30</f>
        <v/>
      </c>
      <c r="W102" s="8">
        <f>1/(1+EXP(-V102))</f>
        <v/>
      </c>
      <c r="X102" s="9">
        <f>-IF(C102=1,LN(W102),LN(1-W102))</f>
        <v/>
      </c>
      <c r="Y102" s="10">
        <f>IF(W102&gt;$AC$33,1,0)</f>
        <v/>
      </c>
      <c r="Z102">
        <f>IF(Y102=C102,1,0)</f>
        <v/>
      </c>
    </row>
    <row r="103">
      <c r="A103">
        <f>'1 datos preparados'!A96</f>
        <v/>
      </c>
      <c r="B103" s="5">
        <f>'1 datos preparados'!U96</f>
        <v/>
      </c>
      <c r="C103">
        <f>'1 datos preparados'!B96</f>
        <v/>
      </c>
      <c r="D103" s="7">
        <f>'1 datos preparados'!C96</f>
        <v/>
      </c>
      <c r="E103" s="7">
        <f>'1 datos preparados'!D96</f>
        <v/>
      </c>
      <c r="F103" s="7">
        <f>'1 datos preparados'!E96</f>
        <v/>
      </c>
      <c r="G103" s="7">
        <f>'1 datos preparados'!F96</f>
        <v/>
      </c>
      <c r="H103" s="7">
        <f>'1 datos preparados'!G96</f>
        <v/>
      </c>
      <c r="I103" s="7">
        <f>'1 datos preparados'!H96</f>
        <v/>
      </c>
      <c r="J103" s="7">
        <f>'1 datos preparados'!I96</f>
        <v/>
      </c>
      <c r="K103" s="7">
        <f>'1 datos preparados'!J96</f>
        <v/>
      </c>
      <c r="L103" s="7">
        <f>'1 datos preparados'!K96</f>
        <v/>
      </c>
      <c r="M103" s="7">
        <f>'1 datos preparados'!L96</f>
        <v/>
      </c>
      <c r="N103" s="7">
        <f>'1 datos preparados'!M96</f>
        <v/>
      </c>
      <c r="O103" s="7">
        <f>'1 datos preparados'!N96</f>
        <v/>
      </c>
      <c r="P103" s="7">
        <f>'1 datos preparados'!O96</f>
        <v/>
      </c>
      <c r="Q103" s="7">
        <f>'1 datos preparados'!P96</f>
        <v/>
      </c>
      <c r="R103" s="7">
        <f>'1 datos preparados'!Q96</f>
        <v/>
      </c>
      <c r="S103" s="7">
        <f>'1 datos preparados'!R96</f>
        <v/>
      </c>
      <c r="T103" s="7">
        <f>'1 datos preparados'!S96</f>
        <v/>
      </c>
      <c r="U103" s="7">
        <f>'1 datos preparados'!T96</f>
        <v/>
      </c>
      <c r="V103" s="8">
        <f>$AC$12+D103*$AC$13+E103*$AC$14+F103*$AC$15+G103*$AC$16+H103*$AC$17+I103*$AC$18+J103*$AC$19+K103*$AC$20+L103*$AC$21+M103*$AC$22+N103*$AC$23+O103*$AC$24+P103*$AC$25+Q103*$AC$26+R103*$AC$27+S103*$AC$28+T103*$AC$29+U103*$AC$30</f>
        <v/>
      </c>
      <c r="W103" s="8">
        <f>1/(1+EXP(-V103))</f>
        <v/>
      </c>
      <c r="X103" s="9">
        <f>-IF(C103=1,LN(W103),LN(1-W103))</f>
        <v/>
      </c>
      <c r="Y103" s="10">
        <f>IF(W103&gt;$AC$33,1,0)</f>
        <v/>
      </c>
      <c r="Z103">
        <f>IF(Y103=C103,1,0)</f>
        <v/>
      </c>
    </row>
    <row r="104">
      <c r="A104">
        <f>'1 datos preparados'!A97</f>
        <v/>
      </c>
      <c r="B104" s="5">
        <f>'1 datos preparados'!U97</f>
        <v/>
      </c>
      <c r="C104">
        <f>'1 datos preparados'!B97</f>
        <v/>
      </c>
      <c r="D104" s="7">
        <f>'1 datos preparados'!C97</f>
        <v/>
      </c>
      <c r="E104" s="7">
        <f>'1 datos preparados'!D97</f>
        <v/>
      </c>
      <c r="F104" s="7">
        <f>'1 datos preparados'!E97</f>
        <v/>
      </c>
      <c r="G104" s="7">
        <f>'1 datos preparados'!F97</f>
        <v/>
      </c>
      <c r="H104" s="7">
        <f>'1 datos preparados'!G97</f>
        <v/>
      </c>
      <c r="I104" s="7">
        <f>'1 datos preparados'!H97</f>
        <v/>
      </c>
      <c r="J104" s="7">
        <f>'1 datos preparados'!I97</f>
        <v/>
      </c>
      <c r="K104" s="7">
        <f>'1 datos preparados'!J97</f>
        <v/>
      </c>
      <c r="L104" s="7">
        <f>'1 datos preparados'!K97</f>
        <v/>
      </c>
      <c r="M104" s="7">
        <f>'1 datos preparados'!L97</f>
        <v/>
      </c>
      <c r="N104" s="7">
        <f>'1 datos preparados'!M97</f>
        <v/>
      </c>
      <c r="O104" s="7">
        <f>'1 datos preparados'!N97</f>
        <v/>
      </c>
      <c r="P104" s="7">
        <f>'1 datos preparados'!O97</f>
        <v/>
      </c>
      <c r="Q104" s="7">
        <f>'1 datos preparados'!P97</f>
        <v/>
      </c>
      <c r="R104" s="7">
        <f>'1 datos preparados'!Q97</f>
        <v/>
      </c>
      <c r="S104" s="7">
        <f>'1 datos preparados'!R97</f>
        <v/>
      </c>
      <c r="T104" s="7">
        <f>'1 datos preparados'!S97</f>
        <v/>
      </c>
      <c r="U104" s="7">
        <f>'1 datos preparados'!T97</f>
        <v/>
      </c>
      <c r="V104" s="8">
        <f>$AC$12+D104*$AC$13+E104*$AC$14+F104*$AC$15+G104*$AC$16+H104*$AC$17+I104*$AC$18+J104*$AC$19+K104*$AC$20+L104*$AC$21+M104*$AC$22+N104*$AC$23+O104*$AC$24+P104*$AC$25+Q104*$AC$26+R104*$AC$27+S104*$AC$28+T104*$AC$29+U104*$AC$30</f>
        <v/>
      </c>
      <c r="W104" s="8">
        <f>1/(1+EXP(-V104))</f>
        <v/>
      </c>
      <c r="X104" s="9">
        <f>-IF(C104=1,LN(W104),LN(1-W104))</f>
        <v/>
      </c>
      <c r="Y104" s="10">
        <f>IF(W104&gt;$AC$33,1,0)</f>
        <v/>
      </c>
      <c r="Z104">
        <f>IF(Y104=C104,1,0)</f>
        <v/>
      </c>
    </row>
    <row r="105">
      <c r="A105">
        <f>'1 datos preparados'!A98</f>
        <v/>
      </c>
      <c r="B105" s="5">
        <f>'1 datos preparados'!U98</f>
        <v/>
      </c>
      <c r="C105">
        <f>'1 datos preparados'!B98</f>
        <v/>
      </c>
      <c r="D105" s="7">
        <f>'1 datos preparados'!C98</f>
        <v/>
      </c>
      <c r="E105" s="7">
        <f>'1 datos preparados'!D98</f>
        <v/>
      </c>
      <c r="F105" s="7">
        <f>'1 datos preparados'!E98</f>
        <v/>
      </c>
      <c r="G105" s="7">
        <f>'1 datos preparados'!F98</f>
        <v/>
      </c>
      <c r="H105" s="7">
        <f>'1 datos preparados'!G98</f>
        <v/>
      </c>
      <c r="I105" s="7">
        <f>'1 datos preparados'!H98</f>
        <v/>
      </c>
      <c r="J105" s="7">
        <f>'1 datos preparados'!I98</f>
        <v/>
      </c>
      <c r="K105" s="7">
        <f>'1 datos preparados'!J98</f>
        <v/>
      </c>
      <c r="L105" s="7">
        <f>'1 datos preparados'!K98</f>
        <v/>
      </c>
      <c r="M105" s="7">
        <f>'1 datos preparados'!L98</f>
        <v/>
      </c>
      <c r="N105" s="7">
        <f>'1 datos preparados'!M98</f>
        <v/>
      </c>
      <c r="O105" s="7">
        <f>'1 datos preparados'!N98</f>
        <v/>
      </c>
      <c r="P105" s="7">
        <f>'1 datos preparados'!O98</f>
        <v/>
      </c>
      <c r="Q105" s="7">
        <f>'1 datos preparados'!P98</f>
        <v/>
      </c>
      <c r="R105" s="7">
        <f>'1 datos preparados'!Q98</f>
        <v/>
      </c>
      <c r="S105" s="7">
        <f>'1 datos preparados'!R98</f>
        <v/>
      </c>
      <c r="T105" s="7">
        <f>'1 datos preparados'!S98</f>
        <v/>
      </c>
      <c r="U105" s="7">
        <f>'1 datos preparados'!T98</f>
        <v/>
      </c>
      <c r="V105" s="8">
        <f>$AC$12+D105*$AC$13+E105*$AC$14+F105*$AC$15+G105*$AC$16+H105*$AC$17+I105*$AC$18+J105*$AC$19+K105*$AC$20+L105*$AC$21+M105*$AC$22+N105*$AC$23+O105*$AC$24+P105*$AC$25+Q105*$AC$26+R105*$AC$27+S105*$AC$28+T105*$AC$29+U105*$AC$30</f>
        <v/>
      </c>
      <c r="W105" s="8">
        <f>1/(1+EXP(-V105))</f>
        <v/>
      </c>
      <c r="X105" s="9">
        <f>-IF(C105=1,LN(W105),LN(1-W105))</f>
        <v/>
      </c>
      <c r="Y105" s="10">
        <f>IF(W105&gt;$AC$33,1,0)</f>
        <v/>
      </c>
      <c r="Z105">
        <f>IF(Y105=C105,1,0)</f>
        <v/>
      </c>
    </row>
    <row r="106">
      <c r="A106">
        <f>'1 datos preparados'!A99</f>
        <v/>
      </c>
      <c r="B106" s="5">
        <f>'1 datos preparados'!U99</f>
        <v/>
      </c>
      <c r="C106">
        <f>'1 datos preparados'!B99</f>
        <v/>
      </c>
      <c r="D106" s="7">
        <f>'1 datos preparados'!C99</f>
        <v/>
      </c>
      <c r="E106" s="7">
        <f>'1 datos preparados'!D99</f>
        <v/>
      </c>
      <c r="F106" s="7">
        <f>'1 datos preparados'!E99</f>
        <v/>
      </c>
      <c r="G106" s="7">
        <f>'1 datos preparados'!F99</f>
        <v/>
      </c>
      <c r="H106" s="7">
        <f>'1 datos preparados'!G99</f>
        <v/>
      </c>
      <c r="I106" s="7">
        <f>'1 datos preparados'!H99</f>
        <v/>
      </c>
      <c r="J106" s="7">
        <f>'1 datos preparados'!I99</f>
        <v/>
      </c>
      <c r="K106" s="7">
        <f>'1 datos preparados'!J99</f>
        <v/>
      </c>
      <c r="L106" s="7">
        <f>'1 datos preparados'!K99</f>
        <v/>
      </c>
      <c r="M106" s="7">
        <f>'1 datos preparados'!L99</f>
        <v/>
      </c>
      <c r="N106" s="7">
        <f>'1 datos preparados'!M99</f>
        <v/>
      </c>
      <c r="O106" s="7">
        <f>'1 datos preparados'!N99</f>
        <v/>
      </c>
      <c r="P106" s="7">
        <f>'1 datos preparados'!O99</f>
        <v/>
      </c>
      <c r="Q106" s="7">
        <f>'1 datos preparados'!P99</f>
        <v/>
      </c>
      <c r="R106" s="7">
        <f>'1 datos preparados'!Q99</f>
        <v/>
      </c>
      <c r="S106" s="7">
        <f>'1 datos preparados'!R99</f>
        <v/>
      </c>
      <c r="T106" s="7">
        <f>'1 datos preparados'!S99</f>
        <v/>
      </c>
      <c r="U106" s="7">
        <f>'1 datos preparados'!T99</f>
        <v/>
      </c>
      <c r="V106" s="8">
        <f>$AC$12+D106*$AC$13+E106*$AC$14+F106*$AC$15+G106*$AC$16+H106*$AC$17+I106*$AC$18+J106*$AC$19+K106*$AC$20+L106*$AC$21+M106*$AC$22+N106*$AC$23+O106*$AC$24+P106*$AC$25+Q106*$AC$26+R106*$AC$27+S106*$AC$28+T106*$AC$29+U106*$AC$30</f>
        <v/>
      </c>
      <c r="W106" s="8">
        <f>1/(1+EXP(-V106))</f>
        <v/>
      </c>
      <c r="X106" s="9">
        <f>-IF(C106=1,LN(W106),LN(1-W106))</f>
        <v/>
      </c>
      <c r="Y106" s="10">
        <f>IF(W106&gt;$AC$33,1,0)</f>
        <v/>
      </c>
      <c r="Z106">
        <f>IF(Y106=C106,1,0)</f>
        <v/>
      </c>
    </row>
    <row r="107">
      <c r="A107">
        <f>'1 datos preparados'!A100</f>
        <v/>
      </c>
      <c r="B107" s="5">
        <f>'1 datos preparados'!U100</f>
        <v/>
      </c>
      <c r="C107">
        <f>'1 datos preparados'!B100</f>
        <v/>
      </c>
      <c r="D107" s="7">
        <f>'1 datos preparados'!C100</f>
        <v/>
      </c>
      <c r="E107" s="7">
        <f>'1 datos preparados'!D100</f>
        <v/>
      </c>
      <c r="F107" s="7">
        <f>'1 datos preparados'!E100</f>
        <v/>
      </c>
      <c r="G107" s="7">
        <f>'1 datos preparados'!F100</f>
        <v/>
      </c>
      <c r="H107" s="7">
        <f>'1 datos preparados'!G100</f>
        <v/>
      </c>
      <c r="I107" s="7">
        <f>'1 datos preparados'!H100</f>
        <v/>
      </c>
      <c r="J107" s="7">
        <f>'1 datos preparados'!I100</f>
        <v/>
      </c>
      <c r="K107" s="7">
        <f>'1 datos preparados'!J100</f>
        <v/>
      </c>
      <c r="L107" s="7">
        <f>'1 datos preparados'!K100</f>
        <v/>
      </c>
      <c r="M107" s="7">
        <f>'1 datos preparados'!L100</f>
        <v/>
      </c>
      <c r="N107" s="7">
        <f>'1 datos preparados'!M100</f>
        <v/>
      </c>
      <c r="O107" s="7">
        <f>'1 datos preparados'!N100</f>
        <v/>
      </c>
      <c r="P107" s="7">
        <f>'1 datos preparados'!O100</f>
        <v/>
      </c>
      <c r="Q107" s="7">
        <f>'1 datos preparados'!P100</f>
        <v/>
      </c>
      <c r="R107" s="7">
        <f>'1 datos preparados'!Q100</f>
        <v/>
      </c>
      <c r="S107" s="7">
        <f>'1 datos preparados'!R100</f>
        <v/>
      </c>
      <c r="T107" s="7">
        <f>'1 datos preparados'!S100</f>
        <v/>
      </c>
      <c r="U107" s="7">
        <f>'1 datos preparados'!T100</f>
        <v/>
      </c>
      <c r="V107" s="8">
        <f>$AC$12+D107*$AC$13+E107*$AC$14+F107*$AC$15+G107*$AC$16+H107*$AC$17+I107*$AC$18+J107*$AC$19+K107*$AC$20+L107*$AC$21+M107*$AC$22+N107*$AC$23+O107*$AC$24+P107*$AC$25+Q107*$AC$26+R107*$AC$27+S107*$AC$28+T107*$AC$29+U107*$AC$30</f>
        <v/>
      </c>
      <c r="W107" s="8">
        <f>1/(1+EXP(-V107))</f>
        <v/>
      </c>
      <c r="X107" s="9">
        <f>-IF(C107=1,LN(W107),LN(1-W107))</f>
        <v/>
      </c>
      <c r="Y107" s="10">
        <f>IF(W107&gt;$AC$33,1,0)</f>
        <v/>
      </c>
      <c r="Z107">
        <f>IF(Y107=C107,1,0)</f>
        <v/>
      </c>
    </row>
    <row r="108">
      <c r="A108">
        <f>'1 datos preparados'!A101</f>
        <v/>
      </c>
      <c r="B108" s="5">
        <f>'1 datos preparados'!U101</f>
        <v/>
      </c>
      <c r="C108">
        <f>'1 datos preparados'!B101</f>
        <v/>
      </c>
      <c r="D108" s="7">
        <f>'1 datos preparados'!C101</f>
        <v/>
      </c>
      <c r="E108" s="7">
        <f>'1 datos preparados'!D101</f>
        <v/>
      </c>
      <c r="F108" s="7">
        <f>'1 datos preparados'!E101</f>
        <v/>
      </c>
      <c r="G108" s="7">
        <f>'1 datos preparados'!F101</f>
        <v/>
      </c>
      <c r="H108" s="7">
        <f>'1 datos preparados'!G101</f>
        <v/>
      </c>
      <c r="I108" s="7">
        <f>'1 datos preparados'!H101</f>
        <v/>
      </c>
      <c r="J108" s="7">
        <f>'1 datos preparados'!I101</f>
        <v/>
      </c>
      <c r="K108" s="7">
        <f>'1 datos preparados'!J101</f>
        <v/>
      </c>
      <c r="L108" s="7">
        <f>'1 datos preparados'!K101</f>
        <v/>
      </c>
      <c r="M108" s="7">
        <f>'1 datos preparados'!L101</f>
        <v/>
      </c>
      <c r="N108" s="7">
        <f>'1 datos preparados'!M101</f>
        <v/>
      </c>
      <c r="O108" s="7">
        <f>'1 datos preparados'!N101</f>
        <v/>
      </c>
      <c r="P108" s="7">
        <f>'1 datos preparados'!O101</f>
        <v/>
      </c>
      <c r="Q108" s="7">
        <f>'1 datos preparados'!P101</f>
        <v/>
      </c>
      <c r="R108" s="7">
        <f>'1 datos preparados'!Q101</f>
        <v/>
      </c>
      <c r="S108" s="7">
        <f>'1 datos preparados'!R101</f>
        <v/>
      </c>
      <c r="T108" s="7">
        <f>'1 datos preparados'!S101</f>
        <v/>
      </c>
      <c r="U108" s="7">
        <f>'1 datos preparados'!T101</f>
        <v/>
      </c>
      <c r="V108" s="8">
        <f>$AC$12+D108*$AC$13+E108*$AC$14+F108*$AC$15+G108*$AC$16+H108*$AC$17+I108*$AC$18+J108*$AC$19+K108*$AC$20+L108*$AC$21+M108*$AC$22+N108*$AC$23+O108*$AC$24+P108*$AC$25+Q108*$AC$26+R108*$AC$27+S108*$AC$28+T108*$AC$29+U108*$AC$30</f>
        <v/>
      </c>
      <c r="W108" s="8">
        <f>1/(1+EXP(-V108))</f>
        <v/>
      </c>
      <c r="X108" s="9">
        <f>-IF(C108=1,LN(W108),LN(1-W108))</f>
        <v/>
      </c>
      <c r="Y108" s="10">
        <f>IF(W108&gt;$AC$33,1,0)</f>
        <v/>
      </c>
      <c r="Z108">
        <f>IF(Y108=C108,1,0)</f>
        <v/>
      </c>
    </row>
    <row r="109">
      <c r="A109">
        <f>'1 datos preparados'!A102</f>
        <v/>
      </c>
      <c r="B109" s="5">
        <f>'1 datos preparados'!U102</f>
        <v/>
      </c>
      <c r="C109">
        <f>'1 datos preparados'!B102</f>
        <v/>
      </c>
      <c r="D109" s="7">
        <f>'1 datos preparados'!C102</f>
        <v/>
      </c>
      <c r="E109" s="7">
        <f>'1 datos preparados'!D102</f>
        <v/>
      </c>
      <c r="F109" s="7">
        <f>'1 datos preparados'!E102</f>
        <v/>
      </c>
      <c r="G109" s="7">
        <f>'1 datos preparados'!F102</f>
        <v/>
      </c>
      <c r="H109" s="7">
        <f>'1 datos preparados'!G102</f>
        <v/>
      </c>
      <c r="I109" s="7">
        <f>'1 datos preparados'!H102</f>
        <v/>
      </c>
      <c r="J109" s="7">
        <f>'1 datos preparados'!I102</f>
        <v/>
      </c>
      <c r="K109" s="7">
        <f>'1 datos preparados'!J102</f>
        <v/>
      </c>
      <c r="L109" s="7">
        <f>'1 datos preparados'!K102</f>
        <v/>
      </c>
      <c r="M109" s="7">
        <f>'1 datos preparados'!L102</f>
        <v/>
      </c>
      <c r="N109" s="7">
        <f>'1 datos preparados'!M102</f>
        <v/>
      </c>
      <c r="O109" s="7">
        <f>'1 datos preparados'!N102</f>
        <v/>
      </c>
      <c r="P109" s="7">
        <f>'1 datos preparados'!O102</f>
        <v/>
      </c>
      <c r="Q109" s="7">
        <f>'1 datos preparados'!P102</f>
        <v/>
      </c>
      <c r="R109" s="7">
        <f>'1 datos preparados'!Q102</f>
        <v/>
      </c>
      <c r="S109" s="7">
        <f>'1 datos preparados'!R102</f>
        <v/>
      </c>
      <c r="T109" s="7">
        <f>'1 datos preparados'!S102</f>
        <v/>
      </c>
      <c r="U109" s="7">
        <f>'1 datos preparados'!T102</f>
        <v/>
      </c>
      <c r="V109" s="8">
        <f>$AC$12+D109*$AC$13+E109*$AC$14+F109*$AC$15+G109*$AC$16+H109*$AC$17+I109*$AC$18+J109*$AC$19+K109*$AC$20+L109*$AC$21+M109*$AC$22+N109*$AC$23+O109*$AC$24+P109*$AC$25+Q109*$AC$26+R109*$AC$27+S109*$AC$28+T109*$AC$29+U109*$AC$30</f>
        <v/>
      </c>
      <c r="W109" s="8">
        <f>1/(1+EXP(-V109))</f>
        <v/>
      </c>
      <c r="X109" s="9">
        <f>-IF(C109=1,LN(W109),LN(1-W109))</f>
        <v/>
      </c>
      <c r="Y109" s="10">
        <f>IF(W109&gt;$AC$33,1,0)</f>
        <v/>
      </c>
      <c r="Z109">
        <f>IF(Y109=C109,1,0)</f>
        <v/>
      </c>
    </row>
    <row r="110">
      <c r="A110">
        <f>'1 datos preparados'!A103</f>
        <v/>
      </c>
      <c r="B110" s="5">
        <f>'1 datos preparados'!U103</f>
        <v/>
      </c>
      <c r="C110">
        <f>'1 datos preparados'!B103</f>
        <v/>
      </c>
      <c r="D110" s="7">
        <f>'1 datos preparados'!C103</f>
        <v/>
      </c>
      <c r="E110" s="7">
        <f>'1 datos preparados'!D103</f>
        <v/>
      </c>
      <c r="F110" s="7">
        <f>'1 datos preparados'!E103</f>
        <v/>
      </c>
      <c r="G110" s="7">
        <f>'1 datos preparados'!F103</f>
        <v/>
      </c>
      <c r="H110" s="7">
        <f>'1 datos preparados'!G103</f>
        <v/>
      </c>
      <c r="I110" s="7">
        <f>'1 datos preparados'!H103</f>
        <v/>
      </c>
      <c r="J110" s="7">
        <f>'1 datos preparados'!I103</f>
        <v/>
      </c>
      <c r="K110" s="7">
        <f>'1 datos preparados'!J103</f>
        <v/>
      </c>
      <c r="L110" s="7">
        <f>'1 datos preparados'!K103</f>
        <v/>
      </c>
      <c r="M110" s="7">
        <f>'1 datos preparados'!L103</f>
        <v/>
      </c>
      <c r="N110" s="7">
        <f>'1 datos preparados'!M103</f>
        <v/>
      </c>
      <c r="O110" s="7">
        <f>'1 datos preparados'!N103</f>
        <v/>
      </c>
      <c r="P110" s="7">
        <f>'1 datos preparados'!O103</f>
        <v/>
      </c>
      <c r="Q110" s="7">
        <f>'1 datos preparados'!P103</f>
        <v/>
      </c>
      <c r="R110" s="7">
        <f>'1 datos preparados'!Q103</f>
        <v/>
      </c>
      <c r="S110" s="7">
        <f>'1 datos preparados'!R103</f>
        <v/>
      </c>
      <c r="T110" s="7">
        <f>'1 datos preparados'!S103</f>
        <v/>
      </c>
      <c r="U110" s="7">
        <f>'1 datos preparados'!T103</f>
        <v/>
      </c>
      <c r="V110" s="8">
        <f>$AC$12+D110*$AC$13+E110*$AC$14+F110*$AC$15+G110*$AC$16+H110*$AC$17+I110*$AC$18+J110*$AC$19+K110*$AC$20+L110*$AC$21+M110*$AC$22+N110*$AC$23+O110*$AC$24+P110*$AC$25+Q110*$AC$26+R110*$AC$27+S110*$AC$28+T110*$AC$29+U110*$AC$30</f>
        <v/>
      </c>
      <c r="W110" s="8">
        <f>1/(1+EXP(-V110))</f>
        <v/>
      </c>
      <c r="X110" s="9">
        <f>-IF(C110=1,LN(W110),LN(1-W110))</f>
        <v/>
      </c>
      <c r="Y110" s="10">
        <f>IF(W110&gt;$AC$33,1,0)</f>
        <v/>
      </c>
      <c r="Z110">
        <f>IF(Y110=C110,1,0)</f>
        <v/>
      </c>
    </row>
    <row r="111">
      <c r="A111">
        <f>'1 datos preparados'!A104</f>
        <v/>
      </c>
      <c r="B111" s="5">
        <f>'1 datos preparados'!U104</f>
        <v/>
      </c>
      <c r="C111">
        <f>'1 datos preparados'!B104</f>
        <v/>
      </c>
      <c r="D111" s="7">
        <f>'1 datos preparados'!C104</f>
        <v/>
      </c>
      <c r="E111" s="7">
        <f>'1 datos preparados'!D104</f>
        <v/>
      </c>
      <c r="F111" s="7">
        <f>'1 datos preparados'!E104</f>
        <v/>
      </c>
      <c r="G111" s="7">
        <f>'1 datos preparados'!F104</f>
        <v/>
      </c>
      <c r="H111" s="7">
        <f>'1 datos preparados'!G104</f>
        <v/>
      </c>
      <c r="I111" s="7">
        <f>'1 datos preparados'!H104</f>
        <v/>
      </c>
      <c r="J111" s="7">
        <f>'1 datos preparados'!I104</f>
        <v/>
      </c>
      <c r="K111" s="7">
        <f>'1 datos preparados'!J104</f>
        <v/>
      </c>
      <c r="L111" s="7">
        <f>'1 datos preparados'!K104</f>
        <v/>
      </c>
      <c r="M111" s="7">
        <f>'1 datos preparados'!L104</f>
        <v/>
      </c>
      <c r="N111" s="7">
        <f>'1 datos preparados'!M104</f>
        <v/>
      </c>
      <c r="O111" s="7">
        <f>'1 datos preparados'!N104</f>
        <v/>
      </c>
      <c r="P111" s="7">
        <f>'1 datos preparados'!O104</f>
        <v/>
      </c>
      <c r="Q111" s="7">
        <f>'1 datos preparados'!P104</f>
        <v/>
      </c>
      <c r="R111" s="7">
        <f>'1 datos preparados'!Q104</f>
        <v/>
      </c>
      <c r="S111" s="7">
        <f>'1 datos preparados'!R104</f>
        <v/>
      </c>
      <c r="T111" s="7">
        <f>'1 datos preparados'!S104</f>
        <v/>
      </c>
      <c r="U111" s="7">
        <f>'1 datos preparados'!T104</f>
        <v/>
      </c>
      <c r="V111" s="8">
        <f>$AC$12+D111*$AC$13+E111*$AC$14+F111*$AC$15+G111*$AC$16+H111*$AC$17+I111*$AC$18+J111*$AC$19+K111*$AC$20+L111*$AC$21+M111*$AC$22+N111*$AC$23+O111*$AC$24+P111*$AC$25+Q111*$AC$26+R111*$AC$27+S111*$AC$28+T111*$AC$29+U111*$AC$30</f>
        <v/>
      </c>
      <c r="W111" s="8">
        <f>1/(1+EXP(-V111))</f>
        <v/>
      </c>
      <c r="X111" s="9">
        <f>-IF(C111=1,LN(W111),LN(1-W111))</f>
        <v/>
      </c>
      <c r="Y111" s="10">
        <f>IF(W111&gt;$AC$33,1,0)</f>
        <v/>
      </c>
      <c r="Z111">
        <f>IF(Y111=C111,1,0)</f>
        <v/>
      </c>
    </row>
    <row r="112">
      <c r="A112">
        <f>'1 datos preparados'!A105</f>
        <v/>
      </c>
      <c r="B112" s="5">
        <f>'1 datos preparados'!U105</f>
        <v/>
      </c>
      <c r="C112">
        <f>'1 datos preparados'!B105</f>
        <v/>
      </c>
      <c r="D112" s="7">
        <f>'1 datos preparados'!C105</f>
        <v/>
      </c>
      <c r="E112" s="7">
        <f>'1 datos preparados'!D105</f>
        <v/>
      </c>
      <c r="F112" s="7">
        <f>'1 datos preparados'!E105</f>
        <v/>
      </c>
      <c r="G112" s="7">
        <f>'1 datos preparados'!F105</f>
        <v/>
      </c>
      <c r="H112" s="7">
        <f>'1 datos preparados'!G105</f>
        <v/>
      </c>
      <c r="I112" s="7">
        <f>'1 datos preparados'!H105</f>
        <v/>
      </c>
      <c r="J112" s="7">
        <f>'1 datos preparados'!I105</f>
        <v/>
      </c>
      <c r="K112" s="7">
        <f>'1 datos preparados'!J105</f>
        <v/>
      </c>
      <c r="L112" s="7">
        <f>'1 datos preparados'!K105</f>
        <v/>
      </c>
      <c r="M112" s="7">
        <f>'1 datos preparados'!L105</f>
        <v/>
      </c>
      <c r="N112" s="7">
        <f>'1 datos preparados'!M105</f>
        <v/>
      </c>
      <c r="O112" s="7">
        <f>'1 datos preparados'!N105</f>
        <v/>
      </c>
      <c r="P112" s="7">
        <f>'1 datos preparados'!O105</f>
        <v/>
      </c>
      <c r="Q112" s="7">
        <f>'1 datos preparados'!P105</f>
        <v/>
      </c>
      <c r="R112" s="7">
        <f>'1 datos preparados'!Q105</f>
        <v/>
      </c>
      <c r="S112" s="7">
        <f>'1 datos preparados'!R105</f>
        <v/>
      </c>
      <c r="T112" s="7">
        <f>'1 datos preparados'!S105</f>
        <v/>
      </c>
      <c r="U112" s="7">
        <f>'1 datos preparados'!T105</f>
        <v/>
      </c>
      <c r="V112" s="8">
        <f>$AC$12+D112*$AC$13+E112*$AC$14+F112*$AC$15+G112*$AC$16+H112*$AC$17+I112*$AC$18+J112*$AC$19+K112*$AC$20+L112*$AC$21+M112*$AC$22+N112*$AC$23+O112*$AC$24+P112*$AC$25+Q112*$AC$26+R112*$AC$27+S112*$AC$28+T112*$AC$29+U112*$AC$30</f>
        <v/>
      </c>
      <c r="W112" s="8">
        <f>1/(1+EXP(-V112))</f>
        <v/>
      </c>
      <c r="X112" s="9">
        <f>-IF(C112=1,LN(W112),LN(1-W112))</f>
        <v/>
      </c>
      <c r="Y112" s="10">
        <f>IF(W112&gt;$AC$33,1,0)</f>
        <v/>
      </c>
      <c r="Z112">
        <f>IF(Y112=C112,1,0)</f>
        <v/>
      </c>
    </row>
    <row r="113">
      <c r="A113">
        <f>'1 datos preparados'!A106</f>
        <v/>
      </c>
      <c r="B113" s="5">
        <f>'1 datos preparados'!U106</f>
        <v/>
      </c>
      <c r="C113">
        <f>'1 datos preparados'!B106</f>
        <v/>
      </c>
      <c r="D113" s="7">
        <f>'1 datos preparados'!C106</f>
        <v/>
      </c>
      <c r="E113" s="7">
        <f>'1 datos preparados'!D106</f>
        <v/>
      </c>
      <c r="F113" s="7">
        <f>'1 datos preparados'!E106</f>
        <v/>
      </c>
      <c r="G113" s="7">
        <f>'1 datos preparados'!F106</f>
        <v/>
      </c>
      <c r="H113" s="7">
        <f>'1 datos preparados'!G106</f>
        <v/>
      </c>
      <c r="I113" s="7">
        <f>'1 datos preparados'!H106</f>
        <v/>
      </c>
      <c r="J113" s="7">
        <f>'1 datos preparados'!I106</f>
        <v/>
      </c>
      <c r="K113" s="7">
        <f>'1 datos preparados'!J106</f>
        <v/>
      </c>
      <c r="L113" s="7">
        <f>'1 datos preparados'!K106</f>
        <v/>
      </c>
      <c r="M113" s="7">
        <f>'1 datos preparados'!L106</f>
        <v/>
      </c>
      <c r="N113" s="7">
        <f>'1 datos preparados'!M106</f>
        <v/>
      </c>
      <c r="O113" s="7">
        <f>'1 datos preparados'!N106</f>
        <v/>
      </c>
      <c r="P113" s="7">
        <f>'1 datos preparados'!O106</f>
        <v/>
      </c>
      <c r="Q113" s="7">
        <f>'1 datos preparados'!P106</f>
        <v/>
      </c>
      <c r="R113" s="7">
        <f>'1 datos preparados'!Q106</f>
        <v/>
      </c>
      <c r="S113" s="7">
        <f>'1 datos preparados'!R106</f>
        <v/>
      </c>
      <c r="T113" s="7">
        <f>'1 datos preparados'!S106</f>
        <v/>
      </c>
      <c r="U113" s="7">
        <f>'1 datos preparados'!T106</f>
        <v/>
      </c>
      <c r="V113" s="8">
        <f>$AC$12+D113*$AC$13+E113*$AC$14+F113*$AC$15+G113*$AC$16+H113*$AC$17+I113*$AC$18+J113*$AC$19+K113*$AC$20+L113*$AC$21+M113*$AC$22+N113*$AC$23+O113*$AC$24+P113*$AC$25+Q113*$AC$26+R113*$AC$27+S113*$AC$28+T113*$AC$29+U113*$AC$30</f>
        <v/>
      </c>
      <c r="W113" s="8">
        <f>1/(1+EXP(-V113))</f>
        <v/>
      </c>
      <c r="X113" s="9">
        <f>-IF(C113=1,LN(W113),LN(1-W113))</f>
        <v/>
      </c>
      <c r="Y113" s="10">
        <f>IF(W113&gt;$AC$33,1,0)</f>
        <v/>
      </c>
      <c r="Z113">
        <f>IF(Y113=C113,1,0)</f>
        <v/>
      </c>
    </row>
    <row r="114">
      <c r="A114">
        <f>'1 datos preparados'!A107</f>
        <v/>
      </c>
      <c r="B114" s="5">
        <f>'1 datos preparados'!U107</f>
        <v/>
      </c>
      <c r="C114">
        <f>'1 datos preparados'!B107</f>
        <v/>
      </c>
      <c r="D114" s="7">
        <f>'1 datos preparados'!C107</f>
        <v/>
      </c>
      <c r="E114" s="7">
        <f>'1 datos preparados'!D107</f>
        <v/>
      </c>
      <c r="F114" s="7">
        <f>'1 datos preparados'!E107</f>
        <v/>
      </c>
      <c r="G114" s="7">
        <f>'1 datos preparados'!F107</f>
        <v/>
      </c>
      <c r="H114" s="7">
        <f>'1 datos preparados'!G107</f>
        <v/>
      </c>
      <c r="I114" s="7">
        <f>'1 datos preparados'!H107</f>
        <v/>
      </c>
      <c r="J114" s="7">
        <f>'1 datos preparados'!I107</f>
        <v/>
      </c>
      <c r="K114" s="7">
        <f>'1 datos preparados'!J107</f>
        <v/>
      </c>
      <c r="L114" s="7">
        <f>'1 datos preparados'!K107</f>
        <v/>
      </c>
      <c r="M114" s="7">
        <f>'1 datos preparados'!L107</f>
        <v/>
      </c>
      <c r="N114" s="7">
        <f>'1 datos preparados'!M107</f>
        <v/>
      </c>
      <c r="O114" s="7">
        <f>'1 datos preparados'!N107</f>
        <v/>
      </c>
      <c r="P114" s="7">
        <f>'1 datos preparados'!O107</f>
        <v/>
      </c>
      <c r="Q114" s="7">
        <f>'1 datos preparados'!P107</f>
        <v/>
      </c>
      <c r="R114" s="7">
        <f>'1 datos preparados'!Q107</f>
        <v/>
      </c>
      <c r="S114" s="7">
        <f>'1 datos preparados'!R107</f>
        <v/>
      </c>
      <c r="T114" s="7">
        <f>'1 datos preparados'!S107</f>
        <v/>
      </c>
      <c r="U114" s="7">
        <f>'1 datos preparados'!T107</f>
        <v/>
      </c>
      <c r="V114" s="8">
        <f>$AC$12+D114*$AC$13+E114*$AC$14+F114*$AC$15+G114*$AC$16+H114*$AC$17+I114*$AC$18+J114*$AC$19+K114*$AC$20+L114*$AC$21+M114*$AC$22+N114*$AC$23+O114*$AC$24+P114*$AC$25+Q114*$AC$26+R114*$AC$27+S114*$AC$28+T114*$AC$29+U114*$AC$30</f>
        <v/>
      </c>
      <c r="W114" s="8">
        <f>1/(1+EXP(-V114))</f>
        <v/>
      </c>
      <c r="X114" s="9">
        <f>-IF(C114=1,LN(W114),LN(1-W114))</f>
        <v/>
      </c>
      <c r="Y114" s="10">
        <f>IF(W114&gt;$AC$33,1,0)</f>
        <v/>
      </c>
      <c r="Z114">
        <f>IF(Y114=C114,1,0)</f>
        <v/>
      </c>
    </row>
    <row r="115">
      <c r="A115">
        <f>'1 datos preparados'!A108</f>
        <v/>
      </c>
      <c r="B115" s="5">
        <f>'1 datos preparados'!U108</f>
        <v/>
      </c>
      <c r="C115">
        <f>'1 datos preparados'!B108</f>
        <v/>
      </c>
      <c r="D115" s="7">
        <f>'1 datos preparados'!C108</f>
        <v/>
      </c>
      <c r="E115" s="7">
        <f>'1 datos preparados'!D108</f>
        <v/>
      </c>
      <c r="F115" s="7">
        <f>'1 datos preparados'!E108</f>
        <v/>
      </c>
      <c r="G115" s="7">
        <f>'1 datos preparados'!F108</f>
        <v/>
      </c>
      <c r="H115" s="7">
        <f>'1 datos preparados'!G108</f>
        <v/>
      </c>
      <c r="I115" s="7">
        <f>'1 datos preparados'!H108</f>
        <v/>
      </c>
      <c r="J115" s="7">
        <f>'1 datos preparados'!I108</f>
        <v/>
      </c>
      <c r="K115" s="7">
        <f>'1 datos preparados'!J108</f>
        <v/>
      </c>
      <c r="L115" s="7">
        <f>'1 datos preparados'!K108</f>
        <v/>
      </c>
      <c r="M115" s="7">
        <f>'1 datos preparados'!L108</f>
        <v/>
      </c>
      <c r="N115" s="7">
        <f>'1 datos preparados'!M108</f>
        <v/>
      </c>
      <c r="O115" s="7">
        <f>'1 datos preparados'!N108</f>
        <v/>
      </c>
      <c r="P115" s="7">
        <f>'1 datos preparados'!O108</f>
        <v/>
      </c>
      <c r="Q115" s="7">
        <f>'1 datos preparados'!P108</f>
        <v/>
      </c>
      <c r="R115" s="7">
        <f>'1 datos preparados'!Q108</f>
        <v/>
      </c>
      <c r="S115" s="7">
        <f>'1 datos preparados'!R108</f>
        <v/>
      </c>
      <c r="T115" s="7">
        <f>'1 datos preparados'!S108</f>
        <v/>
      </c>
      <c r="U115" s="7">
        <f>'1 datos preparados'!T108</f>
        <v/>
      </c>
      <c r="V115" s="8">
        <f>$AC$12+D115*$AC$13+E115*$AC$14+F115*$AC$15+G115*$AC$16+H115*$AC$17+I115*$AC$18+J115*$AC$19+K115*$AC$20+L115*$AC$21+M115*$AC$22+N115*$AC$23+O115*$AC$24+P115*$AC$25+Q115*$AC$26+R115*$AC$27+S115*$AC$28+T115*$AC$29+U115*$AC$30</f>
        <v/>
      </c>
      <c r="W115" s="8">
        <f>1/(1+EXP(-V115))</f>
        <v/>
      </c>
      <c r="X115" s="9">
        <f>-IF(C115=1,LN(W115),LN(1-W115))</f>
        <v/>
      </c>
      <c r="Y115" s="10">
        <f>IF(W115&gt;$AC$33,1,0)</f>
        <v/>
      </c>
      <c r="Z115">
        <f>IF(Y115=C115,1,0)</f>
        <v/>
      </c>
    </row>
    <row r="116">
      <c r="A116">
        <f>'1 datos preparados'!A109</f>
        <v/>
      </c>
      <c r="B116" s="5">
        <f>'1 datos preparados'!U109</f>
        <v/>
      </c>
      <c r="C116">
        <f>'1 datos preparados'!B109</f>
        <v/>
      </c>
      <c r="D116" s="7">
        <f>'1 datos preparados'!C109</f>
        <v/>
      </c>
      <c r="E116" s="7">
        <f>'1 datos preparados'!D109</f>
        <v/>
      </c>
      <c r="F116" s="7">
        <f>'1 datos preparados'!E109</f>
        <v/>
      </c>
      <c r="G116" s="7">
        <f>'1 datos preparados'!F109</f>
        <v/>
      </c>
      <c r="H116" s="7">
        <f>'1 datos preparados'!G109</f>
        <v/>
      </c>
      <c r="I116" s="7">
        <f>'1 datos preparados'!H109</f>
        <v/>
      </c>
      <c r="J116" s="7">
        <f>'1 datos preparados'!I109</f>
        <v/>
      </c>
      <c r="K116" s="7">
        <f>'1 datos preparados'!J109</f>
        <v/>
      </c>
      <c r="L116" s="7">
        <f>'1 datos preparados'!K109</f>
        <v/>
      </c>
      <c r="M116" s="7">
        <f>'1 datos preparados'!L109</f>
        <v/>
      </c>
      <c r="N116" s="7">
        <f>'1 datos preparados'!M109</f>
        <v/>
      </c>
      <c r="O116" s="7">
        <f>'1 datos preparados'!N109</f>
        <v/>
      </c>
      <c r="P116" s="7">
        <f>'1 datos preparados'!O109</f>
        <v/>
      </c>
      <c r="Q116" s="7">
        <f>'1 datos preparados'!P109</f>
        <v/>
      </c>
      <c r="R116" s="7">
        <f>'1 datos preparados'!Q109</f>
        <v/>
      </c>
      <c r="S116" s="7">
        <f>'1 datos preparados'!R109</f>
        <v/>
      </c>
      <c r="T116" s="7">
        <f>'1 datos preparados'!S109</f>
        <v/>
      </c>
      <c r="U116" s="7">
        <f>'1 datos preparados'!T109</f>
        <v/>
      </c>
      <c r="V116" s="8">
        <f>$AC$12+D116*$AC$13+E116*$AC$14+F116*$AC$15+G116*$AC$16+H116*$AC$17+I116*$AC$18+J116*$AC$19+K116*$AC$20+L116*$AC$21+M116*$AC$22+N116*$AC$23+O116*$AC$24+P116*$AC$25+Q116*$AC$26+R116*$AC$27+S116*$AC$28+T116*$AC$29+U116*$AC$30</f>
        <v/>
      </c>
      <c r="W116" s="8">
        <f>1/(1+EXP(-V116))</f>
        <v/>
      </c>
      <c r="X116" s="9">
        <f>-IF(C116=1,LN(W116),LN(1-W116))</f>
        <v/>
      </c>
      <c r="Y116" s="10">
        <f>IF(W116&gt;$AC$33,1,0)</f>
        <v/>
      </c>
      <c r="Z116">
        <f>IF(Y116=C116,1,0)</f>
        <v/>
      </c>
    </row>
    <row r="117">
      <c r="A117">
        <f>'1 datos preparados'!A110</f>
        <v/>
      </c>
      <c r="B117" s="5">
        <f>'1 datos preparados'!U110</f>
        <v/>
      </c>
      <c r="C117">
        <f>'1 datos preparados'!B110</f>
        <v/>
      </c>
      <c r="D117" s="7">
        <f>'1 datos preparados'!C110</f>
        <v/>
      </c>
      <c r="E117" s="7">
        <f>'1 datos preparados'!D110</f>
        <v/>
      </c>
      <c r="F117" s="7">
        <f>'1 datos preparados'!E110</f>
        <v/>
      </c>
      <c r="G117" s="7">
        <f>'1 datos preparados'!F110</f>
        <v/>
      </c>
      <c r="H117" s="7">
        <f>'1 datos preparados'!G110</f>
        <v/>
      </c>
      <c r="I117" s="7">
        <f>'1 datos preparados'!H110</f>
        <v/>
      </c>
      <c r="J117" s="7">
        <f>'1 datos preparados'!I110</f>
        <v/>
      </c>
      <c r="K117" s="7">
        <f>'1 datos preparados'!J110</f>
        <v/>
      </c>
      <c r="L117" s="7">
        <f>'1 datos preparados'!K110</f>
        <v/>
      </c>
      <c r="M117" s="7">
        <f>'1 datos preparados'!L110</f>
        <v/>
      </c>
      <c r="N117" s="7">
        <f>'1 datos preparados'!M110</f>
        <v/>
      </c>
      <c r="O117" s="7">
        <f>'1 datos preparados'!N110</f>
        <v/>
      </c>
      <c r="P117" s="7">
        <f>'1 datos preparados'!O110</f>
        <v/>
      </c>
      <c r="Q117" s="7">
        <f>'1 datos preparados'!P110</f>
        <v/>
      </c>
      <c r="R117" s="7">
        <f>'1 datos preparados'!Q110</f>
        <v/>
      </c>
      <c r="S117" s="7">
        <f>'1 datos preparados'!R110</f>
        <v/>
      </c>
      <c r="T117" s="7">
        <f>'1 datos preparados'!S110</f>
        <v/>
      </c>
      <c r="U117" s="7">
        <f>'1 datos preparados'!T110</f>
        <v/>
      </c>
      <c r="V117" s="8">
        <f>$AC$12+D117*$AC$13+E117*$AC$14+F117*$AC$15+G117*$AC$16+H117*$AC$17+I117*$AC$18+J117*$AC$19+K117*$AC$20+L117*$AC$21+M117*$AC$22+N117*$AC$23+O117*$AC$24+P117*$AC$25+Q117*$AC$26+R117*$AC$27+S117*$AC$28+T117*$AC$29+U117*$AC$30</f>
        <v/>
      </c>
      <c r="W117" s="8">
        <f>1/(1+EXP(-V117))</f>
        <v/>
      </c>
      <c r="X117" s="9">
        <f>-IF(C117=1,LN(W117),LN(1-W117))</f>
        <v/>
      </c>
      <c r="Y117" s="10">
        <f>IF(W117&gt;$AC$33,1,0)</f>
        <v/>
      </c>
      <c r="Z117">
        <f>IF(Y117=C117,1,0)</f>
        <v/>
      </c>
    </row>
    <row r="118">
      <c r="A118">
        <f>'1 datos preparados'!A111</f>
        <v/>
      </c>
      <c r="B118" s="5">
        <f>'1 datos preparados'!U111</f>
        <v/>
      </c>
      <c r="C118">
        <f>'1 datos preparados'!B111</f>
        <v/>
      </c>
      <c r="D118" s="7">
        <f>'1 datos preparados'!C111</f>
        <v/>
      </c>
      <c r="E118" s="7">
        <f>'1 datos preparados'!D111</f>
        <v/>
      </c>
      <c r="F118" s="7">
        <f>'1 datos preparados'!E111</f>
        <v/>
      </c>
      <c r="G118" s="7">
        <f>'1 datos preparados'!F111</f>
        <v/>
      </c>
      <c r="H118" s="7">
        <f>'1 datos preparados'!G111</f>
        <v/>
      </c>
      <c r="I118" s="7">
        <f>'1 datos preparados'!H111</f>
        <v/>
      </c>
      <c r="J118" s="7">
        <f>'1 datos preparados'!I111</f>
        <v/>
      </c>
      <c r="K118" s="7">
        <f>'1 datos preparados'!J111</f>
        <v/>
      </c>
      <c r="L118" s="7">
        <f>'1 datos preparados'!K111</f>
        <v/>
      </c>
      <c r="M118" s="7">
        <f>'1 datos preparados'!L111</f>
        <v/>
      </c>
      <c r="N118" s="7">
        <f>'1 datos preparados'!M111</f>
        <v/>
      </c>
      <c r="O118" s="7">
        <f>'1 datos preparados'!N111</f>
        <v/>
      </c>
      <c r="P118" s="7">
        <f>'1 datos preparados'!O111</f>
        <v/>
      </c>
      <c r="Q118" s="7">
        <f>'1 datos preparados'!P111</f>
        <v/>
      </c>
      <c r="R118" s="7">
        <f>'1 datos preparados'!Q111</f>
        <v/>
      </c>
      <c r="S118" s="7">
        <f>'1 datos preparados'!R111</f>
        <v/>
      </c>
      <c r="T118" s="7">
        <f>'1 datos preparados'!S111</f>
        <v/>
      </c>
      <c r="U118" s="7">
        <f>'1 datos preparados'!T111</f>
        <v/>
      </c>
      <c r="V118" s="8">
        <f>$AC$12+D118*$AC$13+E118*$AC$14+F118*$AC$15+G118*$AC$16+H118*$AC$17+I118*$AC$18+J118*$AC$19+K118*$AC$20+L118*$AC$21+M118*$AC$22+N118*$AC$23+O118*$AC$24+P118*$AC$25+Q118*$AC$26+R118*$AC$27+S118*$AC$28+T118*$AC$29+U118*$AC$30</f>
        <v/>
      </c>
      <c r="W118" s="8">
        <f>1/(1+EXP(-V118))</f>
        <v/>
      </c>
      <c r="X118" s="9">
        <f>-IF(C118=1,LN(W118),LN(1-W118))</f>
        <v/>
      </c>
      <c r="Y118" s="10">
        <f>IF(W118&gt;$AC$33,1,0)</f>
        <v/>
      </c>
      <c r="Z118">
        <f>IF(Y118=C118,1,0)</f>
        <v/>
      </c>
    </row>
    <row r="119">
      <c r="A119">
        <f>'1 datos preparados'!A112</f>
        <v/>
      </c>
      <c r="B119" s="5">
        <f>'1 datos preparados'!U112</f>
        <v/>
      </c>
      <c r="C119">
        <f>'1 datos preparados'!B112</f>
        <v/>
      </c>
      <c r="D119" s="7">
        <f>'1 datos preparados'!C112</f>
        <v/>
      </c>
      <c r="E119" s="7">
        <f>'1 datos preparados'!D112</f>
        <v/>
      </c>
      <c r="F119" s="7">
        <f>'1 datos preparados'!E112</f>
        <v/>
      </c>
      <c r="G119" s="7">
        <f>'1 datos preparados'!F112</f>
        <v/>
      </c>
      <c r="H119" s="7">
        <f>'1 datos preparados'!G112</f>
        <v/>
      </c>
      <c r="I119" s="7">
        <f>'1 datos preparados'!H112</f>
        <v/>
      </c>
      <c r="J119" s="7">
        <f>'1 datos preparados'!I112</f>
        <v/>
      </c>
      <c r="K119" s="7">
        <f>'1 datos preparados'!J112</f>
        <v/>
      </c>
      <c r="L119" s="7">
        <f>'1 datos preparados'!K112</f>
        <v/>
      </c>
      <c r="M119" s="7">
        <f>'1 datos preparados'!L112</f>
        <v/>
      </c>
      <c r="N119" s="7">
        <f>'1 datos preparados'!M112</f>
        <v/>
      </c>
      <c r="O119" s="7">
        <f>'1 datos preparados'!N112</f>
        <v/>
      </c>
      <c r="P119" s="7">
        <f>'1 datos preparados'!O112</f>
        <v/>
      </c>
      <c r="Q119" s="7">
        <f>'1 datos preparados'!P112</f>
        <v/>
      </c>
      <c r="R119" s="7">
        <f>'1 datos preparados'!Q112</f>
        <v/>
      </c>
      <c r="S119" s="7">
        <f>'1 datos preparados'!R112</f>
        <v/>
      </c>
      <c r="T119" s="7">
        <f>'1 datos preparados'!S112</f>
        <v/>
      </c>
      <c r="U119" s="7">
        <f>'1 datos preparados'!T112</f>
        <v/>
      </c>
      <c r="V119" s="8">
        <f>$AC$12+D119*$AC$13+E119*$AC$14+F119*$AC$15+G119*$AC$16+H119*$AC$17+I119*$AC$18+J119*$AC$19+K119*$AC$20+L119*$AC$21+M119*$AC$22+N119*$AC$23+O119*$AC$24+P119*$AC$25+Q119*$AC$26+R119*$AC$27+S119*$AC$28+T119*$AC$29+U119*$AC$30</f>
        <v/>
      </c>
      <c r="W119" s="8">
        <f>1/(1+EXP(-V119))</f>
        <v/>
      </c>
      <c r="X119" s="9">
        <f>-IF(C119=1,LN(W119),LN(1-W119))</f>
        <v/>
      </c>
      <c r="Y119" s="10">
        <f>IF(W119&gt;$AC$33,1,0)</f>
        <v/>
      </c>
      <c r="Z119">
        <f>IF(Y119=C119,1,0)</f>
        <v/>
      </c>
    </row>
    <row r="120">
      <c r="A120">
        <f>'1 datos preparados'!A113</f>
        <v/>
      </c>
      <c r="B120" s="5">
        <f>'1 datos preparados'!U113</f>
        <v/>
      </c>
      <c r="C120">
        <f>'1 datos preparados'!B113</f>
        <v/>
      </c>
      <c r="D120" s="7">
        <f>'1 datos preparados'!C113</f>
        <v/>
      </c>
      <c r="E120" s="7">
        <f>'1 datos preparados'!D113</f>
        <v/>
      </c>
      <c r="F120" s="7">
        <f>'1 datos preparados'!E113</f>
        <v/>
      </c>
      <c r="G120" s="7">
        <f>'1 datos preparados'!F113</f>
        <v/>
      </c>
      <c r="H120" s="7">
        <f>'1 datos preparados'!G113</f>
        <v/>
      </c>
      <c r="I120" s="7">
        <f>'1 datos preparados'!H113</f>
        <v/>
      </c>
      <c r="J120" s="7">
        <f>'1 datos preparados'!I113</f>
        <v/>
      </c>
      <c r="K120" s="7">
        <f>'1 datos preparados'!J113</f>
        <v/>
      </c>
      <c r="L120" s="7">
        <f>'1 datos preparados'!K113</f>
        <v/>
      </c>
      <c r="M120" s="7">
        <f>'1 datos preparados'!L113</f>
        <v/>
      </c>
      <c r="N120" s="7">
        <f>'1 datos preparados'!M113</f>
        <v/>
      </c>
      <c r="O120" s="7">
        <f>'1 datos preparados'!N113</f>
        <v/>
      </c>
      <c r="P120" s="7">
        <f>'1 datos preparados'!O113</f>
        <v/>
      </c>
      <c r="Q120" s="7">
        <f>'1 datos preparados'!P113</f>
        <v/>
      </c>
      <c r="R120" s="7">
        <f>'1 datos preparados'!Q113</f>
        <v/>
      </c>
      <c r="S120" s="7">
        <f>'1 datos preparados'!R113</f>
        <v/>
      </c>
      <c r="T120" s="7">
        <f>'1 datos preparados'!S113</f>
        <v/>
      </c>
      <c r="U120" s="7">
        <f>'1 datos preparados'!T113</f>
        <v/>
      </c>
      <c r="V120" s="8">
        <f>$AC$12+D120*$AC$13+E120*$AC$14+F120*$AC$15+G120*$AC$16+H120*$AC$17+I120*$AC$18+J120*$AC$19+K120*$AC$20+L120*$AC$21+M120*$AC$22+N120*$AC$23+O120*$AC$24+P120*$AC$25+Q120*$AC$26+R120*$AC$27+S120*$AC$28+T120*$AC$29+U120*$AC$30</f>
        <v/>
      </c>
      <c r="W120" s="8">
        <f>1/(1+EXP(-V120))</f>
        <v/>
      </c>
      <c r="X120" s="9">
        <f>-IF(C120=1,LN(W120),LN(1-W120))</f>
        <v/>
      </c>
      <c r="Y120" s="10">
        <f>IF(W120&gt;$AC$33,1,0)</f>
        <v/>
      </c>
      <c r="Z120">
        <f>IF(Y120=C120,1,0)</f>
        <v/>
      </c>
    </row>
    <row r="121">
      <c r="A121">
        <f>'1 datos preparados'!A114</f>
        <v/>
      </c>
      <c r="B121" s="5">
        <f>'1 datos preparados'!U114</f>
        <v/>
      </c>
      <c r="C121">
        <f>'1 datos preparados'!B114</f>
        <v/>
      </c>
      <c r="D121" s="7">
        <f>'1 datos preparados'!C114</f>
        <v/>
      </c>
      <c r="E121" s="7">
        <f>'1 datos preparados'!D114</f>
        <v/>
      </c>
      <c r="F121" s="7">
        <f>'1 datos preparados'!E114</f>
        <v/>
      </c>
      <c r="G121" s="7">
        <f>'1 datos preparados'!F114</f>
        <v/>
      </c>
      <c r="H121" s="7">
        <f>'1 datos preparados'!G114</f>
        <v/>
      </c>
      <c r="I121" s="7">
        <f>'1 datos preparados'!H114</f>
        <v/>
      </c>
      <c r="J121" s="7">
        <f>'1 datos preparados'!I114</f>
        <v/>
      </c>
      <c r="K121" s="7">
        <f>'1 datos preparados'!J114</f>
        <v/>
      </c>
      <c r="L121" s="7">
        <f>'1 datos preparados'!K114</f>
        <v/>
      </c>
      <c r="M121" s="7">
        <f>'1 datos preparados'!L114</f>
        <v/>
      </c>
      <c r="N121" s="7">
        <f>'1 datos preparados'!M114</f>
        <v/>
      </c>
      <c r="O121" s="7">
        <f>'1 datos preparados'!N114</f>
        <v/>
      </c>
      <c r="P121" s="7">
        <f>'1 datos preparados'!O114</f>
        <v/>
      </c>
      <c r="Q121" s="7">
        <f>'1 datos preparados'!P114</f>
        <v/>
      </c>
      <c r="R121" s="7">
        <f>'1 datos preparados'!Q114</f>
        <v/>
      </c>
      <c r="S121" s="7">
        <f>'1 datos preparados'!R114</f>
        <v/>
      </c>
      <c r="T121" s="7">
        <f>'1 datos preparados'!S114</f>
        <v/>
      </c>
      <c r="U121" s="7">
        <f>'1 datos preparados'!T114</f>
        <v/>
      </c>
      <c r="V121" s="8">
        <f>$AC$12+D121*$AC$13+E121*$AC$14+F121*$AC$15+G121*$AC$16+H121*$AC$17+I121*$AC$18+J121*$AC$19+K121*$AC$20+L121*$AC$21+M121*$AC$22+N121*$AC$23+O121*$AC$24+P121*$AC$25+Q121*$AC$26+R121*$AC$27+S121*$AC$28+T121*$AC$29+U121*$AC$30</f>
        <v/>
      </c>
      <c r="W121" s="8">
        <f>1/(1+EXP(-V121))</f>
        <v/>
      </c>
      <c r="X121" s="9">
        <f>-IF(C121=1,LN(W121),LN(1-W121))</f>
        <v/>
      </c>
      <c r="Y121" s="10">
        <f>IF(W121&gt;$AC$33,1,0)</f>
        <v/>
      </c>
      <c r="Z121">
        <f>IF(Y121=C121,1,0)</f>
        <v/>
      </c>
    </row>
    <row r="122">
      <c r="A122">
        <f>'1 datos preparados'!A115</f>
        <v/>
      </c>
      <c r="B122" s="5">
        <f>'1 datos preparados'!U115</f>
        <v/>
      </c>
      <c r="C122">
        <f>'1 datos preparados'!B115</f>
        <v/>
      </c>
      <c r="D122" s="7">
        <f>'1 datos preparados'!C115</f>
        <v/>
      </c>
      <c r="E122" s="7">
        <f>'1 datos preparados'!D115</f>
        <v/>
      </c>
      <c r="F122" s="7">
        <f>'1 datos preparados'!E115</f>
        <v/>
      </c>
      <c r="G122" s="7">
        <f>'1 datos preparados'!F115</f>
        <v/>
      </c>
      <c r="H122" s="7">
        <f>'1 datos preparados'!G115</f>
        <v/>
      </c>
      <c r="I122" s="7">
        <f>'1 datos preparados'!H115</f>
        <v/>
      </c>
      <c r="J122" s="7">
        <f>'1 datos preparados'!I115</f>
        <v/>
      </c>
      <c r="K122" s="7">
        <f>'1 datos preparados'!J115</f>
        <v/>
      </c>
      <c r="L122" s="7">
        <f>'1 datos preparados'!K115</f>
        <v/>
      </c>
      <c r="M122" s="7">
        <f>'1 datos preparados'!L115</f>
        <v/>
      </c>
      <c r="N122" s="7">
        <f>'1 datos preparados'!M115</f>
        <v/>
      </c>
      <c r="O122" s="7">
        <f>'1 datos preparados'!N115</f>
        <v/>
      </c>
      <c r="P122" s="7">
        <f>'1 datos preparados'!O115</f>
        <v/>
      </c>
      <c r="Q122" s="7">
        <f>'1 datos preparados'!P115</f>
        <v/>
      </c>
      <c r="R122" s="7">
        <f>'1 datos preparados'!Q115</f>
        <v/>
      </c>
      <c r="S122" s="7">
        <f>'1 datos preparados'!R115</f>
        <v/>
      </c>
      <c r="T122" s="7">
        <f>'1 datos preparados'!S115</f>
        <v/>
      </c>
      <c r="U122" s="7">
        <f>'1 datos preparados'!T115</f>
        <v/>
      </c>
      <c r="V122" s="8">
        <f>$AC$12+D122*$AC$13+E122*$AC$14+F122*$AC$15+G122*$AC$16+H122*$AC$17+I122*$AC$18+J122*$AC$19+K122*$AC$20+L122*$AC$21+M122*$AC$22+N122*$AC$23+O122*$AC$24+P122*$AC$25+Q122*$AC$26+R122*$AC$27+S122*$AC$28+T122*$AC$29+U122*$AC$30</f>
        <v/>
      </c>
      <c r="W122" s="8">
        <f>1/(1+EXP(-V122))</f>
        <v/>
      </c>
      <c r="X122" s="9">
        <f>-IF(C122=1,LN(W122),LN(1-W122))</f>
        <v/>
      </c>
      <c r="Y122" s="10">
        <f>IF(W122&gt;$AC$33,1,0)</f>
        <v/>
      </c>
      <c r="Z122">
        <f>IF(Y122=C122,1,0)</f>
        <v/>
      </c>
    </row>
    <row r="123">
      <c r="A123">
        <f>'1 datos preparados'!A116</f>
        <v/>
      </c>
      <c r="B123" s="5">
        <f>'1 datos preparados'!U116</f>
        <v/>
      </c>
      <c r="C123">
        <f>'1 datos preparados'!B116</f>
        <v/>
      </c>
      <c r="D123" s="7">
        <f>'1 datos preparados'!C116</f>
        <v/>
      </c>
      <c r="E123" s="7">
        <f>'1 datos preparados'!D116</f>
        <v/>
      </c>
      <c r="F123" s="7">
        <f>'1 datos preparados'!E116</f>
        <v/>
      </c>
      <c r="G123" s="7">
        <f>'1 datos preparados'!F116</f>
        <v/>
      </c>
      <c r="H123" s="7">
        <f>'1 datos preparados'!G116</f>
        <v/>
      </c>
      <c r="I123" s="7">
        <f>'1 datos preparados'!H116</f>
        <v/>
      </c>
      <c r="J123" s="7">
        <f>'1 datos preparados'!I116</f>
        <v/>
      </c>
      <c r="K123" s="7">
        <f>'1 datos preparados'!J116</f>
        <v/>
      </c>
      <c r="L123" s="7">
        <f>'1 datos preparados'!K116</f>
        <v/>
      </c>
      <c r="M123" s="7">
        <f>'1 datos preparados'!L116</f>
        <v/>
      </c>
      <c r="N123" s="7">
        <f>'1 datos preparados'!M116</f>
        <v/>
      </c>
      <c r="O123" s="7">
        <f>'1 datos preparados'!N116</f>
        <v/>
      </c>
      <c r="P123" s="7">
        <f>'1 datos preparados'!O116</f>
        <v/>
      </c>
      <c r="Q123" s="7">
        <f>'1 datos preparados'!P116</f>
        <v/>
      </c>
      <c r="R123" s="7">
        <f>'1 datos preparados'!Q116</f>
        <v/>
      </c>
      <c r="S123" s="7">
        <f>'1 datos preparados'!R116</f>
        <v/>
      </c>
      <c r="T123" s="7">
        <f>'1 datos preparados'!S116</f>
        <v/>
      </c>
      <c r="U123" s="7">
        <f>'1 datos preparados'!T116</f>
        <v/>
      </c>
      <c r="V123" s="8">
        <f>$AC$12+D123*$AC$13+E123*$AC$14+F123*$AC$15+G123*$AC$16+H123*$AC$17+I123*$AC$18+J123*$AC$19+K123*$AC$20+L123*$AC$21+M123*$AC$22+N123*$AC$23+O123*$AC$24+P123*$AC$25+Q123*$AC$26+R123*$AC$27+S123*$AC$28+T123*$AC$29+U123*$AC$30</f>
        <v/>
      </c>
      <c r="W123" s="8">
        <f>1/(1+EXP(-V123))</f>
        <v/>
      </c>
      <c r="X123" s="9">
        <f>-IF(C123=1,LN(W123),LN(1-W123))</f>
        <v/>
      </c>
      <c r="Y123" s="10">
        <f>IF(W123&gt;$AC$33,1,0)</f>
        <v/>
      </c>
      <c r="Z123">
        <f>IF(Y123=C123,1,0)</f>
        <v/>
      </c>
    </row>
    <row r="124">
      <c r="A124">
        <f>'1 datos preparados'!A117</f>
        <v/>
      </c>
      <c r="B124" s="5">
        <f>'1 datos preparados'!U117</f>
        <v/>
      </c>
      <c r="C124">
        <f>'1 datos preparados'!B117</f>
        <v/>
      </c>
      <c r="D124" s="7">
        <f>'1 datos preparados'!C117</f>
        <v/>
      </c>
      <c r="E124" s="7">
        <f>'1 datos preparados'!D117</f>
        <v/>
      </c>
      <c r="F124" s="7">
        <f>'1 datos preparados'!E117</f>
        <v/>
      </c>
      <c r="G124" s="7">
        <f>'1 datos preparados'!F117</f>
        <v/>
      </c>
      <c r="H124" s="7">
        <f>'1 datos preparados'!G117</f>
        <v/>
      </c>
      <c r="I124" s="7">
        <f>'1 datos preparados'!H117</f>
        <v/>
      </c>
      <c r="J124" s="7">
        <f>'1 datos preparados'!I117</f>
        <v/>
      </c>
      <c r="K124" s="7">
        <f>'1 datos preparados'!J117</f>
        <v/>
      </c>
      <c r="L124" s="7">
        <f>'1 datos preparados'!K117</f>
        <v/>
      </c>
      <c r="M124" s="7">
        <f>'1 datos preparados'!L117</f>
        <v/>
      </c>
      <c r="N124" s="7">
        <f>'1 datos preparados'!M117</f>
        <v/>
      </c>
      <c r="O124" s="7">
        <f>'1 datos preparados'!N117</f>
        <v/>
      </c>
      <c r="P124" s="7">
        <f>'1 datos preparados'!O117</f>
        <v/>
      </c>
      <c r="Q124" s="7">
        <f>'1 datos preparados'!P117</f>
        <v/>
      </c>
      <c r="R124" s="7">
        <f>'1 datos preparados'!Q117</f>
        <v/>
      </c>
      <c r="S124" s="7">
        <f>'1 datos preparados'!R117</f>
        <v/>
      </c>
      <c r="T124" s="7">
        <f>'1 datos preparados'!S117</f>
        <v/>
      </c>
      <c r="U124" s="7">
        <f>'1 datos preparados'!T117</f>
        <v/>
      </c>
      <c r="V124" s="8">
        <f>$AC$12+D124*$AC$13+E124*$AC$14+F124*$AC$15+G124*$AC$16+H124*$AC$17+I124*$AC$18+J124*$AC$19+K124*$AC$20+L124*$AC$21+M124*$AC$22+N124*$AC$23+O124*$AC$24+P124*$AC$25+Q124*$AC$26+R124*$AC$27+S124*$AC$28+T124*$AC$29+U124*$AC$30</f>
        <v/>
      </c>
      <c r="W124" s="8">
        <f>1/(1+EXP(-V124))</f>
        <v/>
      </c>
      <c r="X124" s="9">
        <f>-IF(C124=1,LN(W124),LN(1-W124))</f>
        <v/>
      </c>
      <c r="Y124" s="10">
        <f>IF(W124&gt;$AC$33,1,0)</f>
        <v/>
      </c>
      <c r="Z124">
        <f>IF(Y124=C124,1,0)</f>
        <v/>
      </c>
    </row>
    <row r="125">
      <c r="A125">
        <f>'1 datos preparados'!A118</f>
        <v/>
      </c>
      <c r="B125" s="5">
        <f>'1 datos preparados'!U118</f>
        <v/>
      </c>
      <c r="C125">
        <f>'1 datos preparados'!B118</f>
        <v/>
      </c>
      <c r="D125" s="7">
        <f>'1 datos preparados'!C118</f>
        <v/>
      </c>
      <c r="E125" s="7">
        <f>'1 datos preparados'!D118</f>
        <v/>
      </c>
      <c r="F125" s="7">
        <f>'1 datos preparados'!E118</f>
        <v/>
      </c>
      <c r="G125" s="7">
        <f>'1 datos preparados'!F118</f>
        <v/>
      </c>
      <c r="H125" s="7">
        <f>'1 datos preparados'!G118</f>
        <v/>
      </c>
      <c r="I125" s="7">
        <f>'1 datos preparados'!H118</f>
        <v/>
      </c>
      <c r="J125" s="7">
        <f>'1 datos preparados'!I118</f>
        <v/>
      </c>
      <c r="K125" s="7">
        <f>'1 datos preparados'!J118</f>
        <v/>
      </c>
      <c r="L125" s="7">
        <f>'1 datos preparados'!K118</f>
        <v/>
      </c>
      <c r="M125" s="7">
        <f>'1 datos preparados'!L118</f>
        <v/>
      </c>
      <c r="N125" s="7">
        <f>'1 datos preparados'!M118</f>
        <v/>
      </c>
      <c r="O125" s="7">
        <f>'1 datos preparados'!N118</f>
        <v/>
      </c>
      <c r="P125" s="7">
        <f>'1 datos preparados'!O118</f>
        <v/>
      </c>
      <c r="Q125" s="7">
        <f>'1 datos preparados'!P118</f>
        <v/>
      </c>
      <c r="R125" s="7">
        <f>'1 datos preparados'!Q118</f>
        <v/>
      </c>
      <c r="S125" s="7">
        <f>'1 datos preparados'!R118</f>
        <v/>
      </c>
      <c r="T125" s="7">
        <f>'1 datos preparados'!S118</f>
        <v/>
      </c>
      <c r="U125" s="7">
        <f>'1 datos preparados'!T118</f>
        <v/>
      </c>
      <c r="V125" s="8">
        <f>$AC$12+D125*$AC$13+E125*$AC$14+F125*$AC$15+G125*$AC$16+H125*$AC$17+I125*$AC$18+J125*$AC$19+K125*$AC$20+L125*$AC$21+M125*$AC$22+N125*$AC$23+O125*$AC$24+P125*$AC$25+Q125*$AC$26+R125*$AC$27+S125*$AC$28+T125*$AC$29+U125*$AC$30</f>
        <v/>
      </c>
      <c r="W125" s="8">
        <f>1/(1+EXP(-V125))</f>
        <v/>
      </c>
      <c r="X125" s="9">
        <f>-IF(C125=1,LN(W125),LN(1-W125))</f>
        <v/>
      </c>
      <c r="Y125" s="10">
        <f>IF(W125&gt;$AC$33,1,0)</f>
        <v/>
      </c>
      <c r="Z125">
        <f>IF(Y125=C125,1,0)</f>
        <v/>
      </c>
    </row>
    <row r="126">
      <c r="A126">
        <f>'1 datos preparados'!A119</f>
        <v/>
      </c>
      <c r="B126" s="5">
        <f>'1 datos preparados'!U119</f>
        <v/>
      </c>
      <c r="C126">
        <f>'1 datos preparados'!B119</f>
        <v/>
      </c>
      <c r="D126" s="7">
        <f>'1 datos preparados'!C119</f>
        <v/>
      </c>
      <c r="E126" s="7">
        <f>'1 datos preparados'!D119</f>
        <v/>
      </c>
      <c r="F126" s="7">
        <f>'1 datos preparados'!E119</f>
        <v/>
      </c>
      <c r="G126" s="7">
        <f>'1 datos preparados'!F119</f>
        <v/>
      </c>
      <c r="H126" s="7">
        <f>'1 datos preparados'!G119</f>
        <v/>
      </c>
      <c r="I126" s="7">
        <f>'1 datos preparados'!H119</f>
        <v/>
      </c>
      <c r="J126" s="7">
        <f>'1 datos preparados'!I119</f>
        <v/>
      </c>
      <c r="K126" s="7">
        <f>'1 datos preparados'!J119</f>
        <v/>
      </c>
      <c r="L126" s="7">
        <f>'1 datos preparados'!K119</f>
        <v/>
      </c>
      <c r="M126" s="7">
        <f>'1 datos preparados'!L119</f>
        <v/>
      </c>
      <c r="N126" s="7">
        <f>'1 datos preparados'!M119</f>
        <v/>
      </c>
      <c r="O126" s="7">
        <f>'1 datos preparados'!N119</f>
        <v/>
      </c>
      <c r="P126" s="7">
        <f>'1 datos preparados'!O119</f>
        <v/>
      </c>
      <c r="Q126" s="7">
        <f>'1 datos preparados'!P119</f>
        <v/>
      </c>
      <c r="R126" s="7">
        <f>'1 datos preparados'!Q119</f>
        <v/>
      </c>
      <c r="S126" s="7">
        <f>'1 datos preparados'!R119</f>
        <v/>
      </c>
      <c r="T126" s="7">
        <f>'1 datos preparados'!S119</f>
        <v/>
      </c>
      <c r="U126" s="7">
        <f>'1 datos preparados'!T119</f>
        <v/>
      </c>
      <c r="V126" s="8">
        <f>$AC$12+D126*$AC$13+E126*$AC$14+F126*$AC$15+G126*$AC$16+H126*$AC$17+I126*$AC$18+J126*$AC$19+K126*$AC$20+L126*$AC$21+M126*$AC$22+N126*$AC$23+O126*$AC$24+P126*$AC$25+Q126*$AC$26+R126*$AC$27+S126*$AC$28+T126*$AC$29+U126*$AC$30</f>
        <v/>
      </c>
      <c r="W126" s="8">
        <f>1/(1+EXP(-V126))</f>
        <v/>
      </c>
      <c r="X126" s="9">
        <f>-IF(C126=1,LN(W126),LN(1-W126))</f>
        <v/>
      </c>
      <c r="Y126" s="10">
        <f>IF(W126&gt;$AC$33,1,0)</f>
        <v/>
      </c>
      <c r="Z126">
        <f>IF(Y126=C126,1,0)</f>
        <v/>
      </c>
    </row>
    <row r="127">
      <c r="A127">
        <f>'1 datos preparados'!A120</f>
        <v/>
      </c>
      <c r="B127" s="5">
        <f>'1 datos preparados'!U120</f>
        <v/>
      </c>
      <c r="C127">
        <f>'1 datos preparados'!B120</f>
        <v/>
      </c>
      <c r="D127" s="7">
        <f>'1 datos preparados'!C120</f>
        <v/>
      </c>
      <c r="E127" s="7">
        <f>'1 datos preparados'!D120</f>
        <v/>
      </c>
      <c r="F127" s="7">
        <f>'1 datos preparados'!E120</f>
        <v/>
      </c>
      <c r="G127" s="7">
        <f>'1 datos preparados'!F120</f>
        <v/>
      </c>
      <c r="H127" s="7">
        <f>'1 datos preparados'!G120</f>
        <v/>
      </c>
      <c r="I127" s="7">
        <f>'1 datos preparados'!H120</f>
        <v/>
      </c>
      <c r="J127" s="7">
        <f>'1 datos preparados'!I120</f>
        <v/>
      </c>
      <c r="K127" s="7">
        <f>'1 datos preparados'!J120</f>
        <v/>
      </c>
      <c r="L127" s="7">
        <f>'1 datos preparados'!K120</f>
        <v/>
      </c>
      <c r="M127" s="7">
        <f>'1 datos preparados'!L120</f>
        <v/>
      </c>
      <c r="N127" s="7">
        <f>'1 datos preparados'!M120</f>
        <v/>
      </c>
      <c r="O127" s="7">
        <f>'1 datos preparados'!N120</f>
        <v/>
      </c>
      <c r="P127" s="7">
        <f>'1 datos preparados'!O120</f>
        <v/>
      </c>
      <c r="Q127" s="7">
        <f>'1 datos preparados'!P120</f>
        <v/>
      </c>
      <c r="R127" s="7">
        <f>'1 datos preparados'!Q120</f>
        <v/>
      </c>
      <c r="S127" s="7">
        <f>'1 datos preparados'!R120</f>
        <v/>
      </c>
      <c r="T127" s="7">
        <f>'1 datos preparados'!S120</f>
        <v/>
      </c>
      <c r="U127" s="7">
        <f>'1 datos preparados'!T120</f>
        <v/>
      </c>
      <c r="V127" s="8">
        <f>$AC$12+D127*$AC$13+E127*$AC$14+F127*$AC$15+G127*$AC$16+H127*$AC$17+I127*$AC$18+J127*$AC$19+K127*$AC$20+L127*$AC$21+M127*$AC$22+N127*$AC$23+O127*$AC$24+P127*$AC$25+Q127*$AC$26+R127*$AC$27+S127*$AC$28+T127*$AC$29+U127*$AC$30</f>
        <v/>
      </c>
      <c r="W127" s="8">
        <f>1/(1+EXP(-V127))</f>
        <v/>
      </c>
      <c r="X127" s="9">
        <f>-IF(C127=1,LN(W127),LN(1-W127))</f>
        <v/>
      </c>
      <c r="Y127" s="10">
        <f>IF(W127&gt;$AC$33,1,0)</f>
        <v/>
      </c>
      <c r="Z127">
        <f>IF(Y127=C127,1,0)</f>
        <v/>
      </c>
    </row>
    <row r="128">
      <c r="A128">
        <f>'1 datos preparados'!A121</f>
        <v/>
      </c>
      <c r="B128" s="5">
        <f>'1 datos preparados'!U121</f>
        <v/>
      </c>
      <c r="C128">
        <f>'1 datos preparados'!B121</f>
        <v/>
      </c>
      <c r="D128" s="7">
        <f>'1 datos preparados'!C121</f>
        <v/>
      </c>
      <c r="E128" s="7">
        <f>'1 datos preparados'!D121</f>
        <v/>
      </c>
      <c r="F128" s="7">
        <f>'1 datos preparados'!E121</f>
        <v/>
      </c>
      <c r="G128" s="7">
        <f>'1 datos preparados'!F121</f>
        <v/>
      </c>
      <c r="H128" s="7">
        <f>'1 datos preparados'!G121</f>
        <v/>
      </c>
      <c r="I128" s="7">
        <f>'1 datos preparados'!H121</f>
        <v/>
      </c>
      <c r="J128" s="7">
        <f>'1 datos preparados'!I121</f>
        <v/>
      </c>
      <c r="K128" s="7">
        <f>'1 datos preparados'!J121</f>
        <v/>
      </c>
      <c r="L128" s="7">
        <f>'1 datos preparados'!K121</f>
        <v/>
      </c>
      <c r="M128" s="7">
        <f>'1 datos preparados'!L121</f>
        <v/>
      </c>
      <c r="N128" s="7">
        <f>'1 datos preparados'!M121</f>
        <v/>
      </c>
      <c r="O128" s="7">
        <f>'1 datos preparados'!N121</f>
        <v/>
      </c>
      <c r="P128" s="7">
        <f>'1 datos preparados'!O121</f>
        <v/>
      </c>
      <c r="Q128" s="7">
        <f>'1 datos preparados'!P121</f>
        <v/>
      </c>
      <c r="R128" s="7">
        <f>'1 datos preparados'!Q121</f>
        <v/>
      </c>
      <c r="S128" s="7">
        <f>'1 datos preparados'!R121</f>
        <v/>
      </c>
      <c r="T128" s="7">
        <f>'1 datos preparados'!S121</f>
        <v/>
      </c>
      <c r="U128" s="7">
        <f>'1 datos preparados'!T121</f>
        <v/>
      </c>
      <c r="V128" s="8">
        <f>$AC$12+D128*$AC$13+E128*$AC$14+F128*$AC$15+G128*$AC$16+H128*$AC$17+I128*$AC$18+J128*$AC$19+K128*$AC$20+L128*$AC$21+M128*$AC$22+N128*$AC$23+O128*$AC$24+P128*$AC$25+Q128*$AC$26+R128*$AC$27+S128*$AC$28+T128*$AC$29+U128*$AC$30</f>
        <v/>
      </c>
      <c r="W128" s="8">
        <f>1/(1+EXP(-V128))</f>
        <v/>
      </c>
      <c r="X128" s="9">
        <f>-IF(C128=1,LN(W128),LN(1-W128))</f>
        <v/>
      </c>
      <c r="Y128" s="10">
        <f>IF(W128&gt;$AC$33,1,0)</f>
        <v/>
      </c>
      <c r="Z128">
        <f>IF(Y128=C128,1,0)</f>
        <v/>
      </c>
    </row>
    <row r="129">
      <c r="A129">
        <f>'1 datos preparados'!A122</f>
        <v/>
      </c>
      <c r="B129" s="5">
        <f>'1 datos preparados'!U122</f>
        <v/>
      </c>
      <c r="C129">
        <f>'1 datos preparados'!B122</f>
        <v/>
      </c>
      <c r="D129" s="7">
        <f>'1 datos preparados'!C122</f>
        <v/>
      </c>
      <c r="E129" s="7">
        <f>'1 datos preparados'!D122</f>
        <v/>
      </c>
      <c r="F129" s="7">
        <f>'1 datos preparados'!E122</f>
        <v/>
      </c>
      <c r="G129" s="7">
        <f>'1 datos preparados'!F122</f>
        <v/>
      </c>
      <c r="H129" s="7">
        <f>'1 datos preparados'!G122</f>
        <v/>
      </c>
      <c r="I129" s="7">
        <f>'1 datos preparados'!H122</f>
        <v/>
      </c>
      <c r="J129" s="7">
        <f>'1 datos preparados'!I122</f>
        <v/>
      </c>
      <c r="K129" s="7">
        <f>'1 datos preparados'!J122</f>
        <v/>
      </c>
      <c r="L129" s="7">
        <f>'1 datos preparados'!K122</f>
        <v/>
      </c>
      <c r="M129" s="7">
        <f>'1 datos preparados'!L122</f>
        <v/>
      </c>
      <c r="N129" s="7">
        <f>'1 datos preparados'!M122</f>
        <v/>
      </c>
      <c r="O129" s="7">
        <f>'1 datos preparados'!N122</f>
        <v/>
      </c>
      <c r="P129" s="7">
        <f>'1 datos preparados'!O122</f>
        <v/>
      </c>
      <c r="Q129" s="7">
        <f>'1 datos preparados'!P122</f>
        <v/>
      </c>
      <c r="R129" s="7">
        <f>'1 datos preparados'!Q122</f>
        <v/>
      </c>
      <c r="S129" s="7">
        <f>'1 datos preparados'!R122</f>
        <v/>
      </c>
      <c r="T129" s="7">
        <f>'1 datos preparados'!S122</f>
        <v/>
      </c>
      <c r="U129" s="7">
        <f>'1 datos preparados'!T122</f>
        <v/>
      </c>
      <c r="V129" s="8">
        <f>$AC$12+D129*$AC$13+E129*$AC$14+F129*$AC$15+G129*$AC$16+H129*$AC$17+I129*$AC$18+J129*$AC$19+K129*$AC$20+L129*$AC$21+M129*$AC$22+N129*$AC$23+O129*$AC$24+P129*$AC$25+Q129*$AC$26+R129*$AC$27+S129*$AC$28+T129*$AC$29+U129*$AC$30</f>
        <v/>
      </c>
      <c r="W129" s="8">
        <f>1/(1+EXP(-V129))</f>
        <v/>
      </c>
      <c r="X129" s="9">
        <f>-IF(C129=1,LN(W129),LN(1-W129))</f>
        <v/>
      </c>
      <c r="Y129" s="10">
        <f>IF(W129&gt;$AC$33,1,0)</f>
        <v/>
      </c>
      <c r="Z129">
        <f>IF(Y129=C129,1,0)</f>
        <v/>
      </c>
    </row>
    <row r="130">
      <c r="A130">
        <f>'1 datos preparados'!A123</f>
        <v/>
      </c>
      <c r="B130" s="5">
        <f>'1 datos preparados'!U123</f>
        <v/>
      </c>
      <c r="C130">
        <f>'1 datos preparados'!B123</f>
        <v/>
      </c>
      <c r="D130" s="7">
        <f>'1 datos preparados'!C123</f>
        <v/>
      </c>
      <c r="E130" s="7">
        <f>'1 datos preparados'!D123</f>
        <v/>
      </c>
      <c r="F130" s="7">
        <f>'1 datos preparados'!E123</f>
        <v/>
      </c>
      <c r="G130" s="7">
        <f>'1 datos preparados'!F123</f>
        <v/>
      </c>
      <c r="H130" s="7">
        <f>'1 datos preparados'!G123</f>
        <v/>
      </c>
      <c r="I130" s="7">
        <f>'1 datos preparados'!H123</f>
        <v/>
      </c>
      <c r="J130" s="7">
        <f>'1 datos preparados'!I123</f>
        <v/>
      </c>
      <c r="K130" s="7">
        <f>'1 datos preparados'!J123</f>
        <v/>
      </c>
      <c r="L130" s="7">
        <f>'1 datos preparados'!K123</f>
        <v/>
      </c>
      <c r="M130" s="7">
        <f>'1 datos preparados'!L123</f>
        <v/>
      </c>
      <c r="N130" s="7">
        <f>'1 datos preparados'!M123</f>
        <v/>
      </c>
      <c r="O130" s="7">
        <f>'1 datos preparados'!N123</f>
        <v/>
      </c>
      <c r="P130" s="7">
        <f>'1 datos preparados'!O123</f>
        <v/>
      </c>
      <c r="Q130" s="7">
        <f>'1 datos preparados'!P123</f>
        <v/>
      </c>
      <c r="R130" s="7">
        <f>'1 datos preparados'!Q123</f>
        <v/>
      </c>
      <c r="S130" s="7">
        <f>'1 datos preparados'!R123</f>
        <v/>
      </c>
      <c r="T130" s="7">
        <f>'1 datos preparados'!S123</f>
        <v/>
      </c>
      <c r="U130" s="7">
        <f>'1 datos preparados'!T123</f>
        <v/>
      </c>
      <c r="V130" s="8">
        <f>$AC$12+D130*$AC$13+E130*$AC$14+F130*$AC$15+G130*$AC$16+H130*$AC$17+I130*$AC$18+J130*$AC$19+K130*$AC$20+L130*$AC$21+M130*$AC$22+N130*$AC$23+O130*$AC$24+P130*$AC$25+Q130*$AC$26+R130*$AC$27+S130*$AC$28+T130*$AC$29+U130*$AC$30</f>
        <v/>
      </c>
      <c r="W130" s="8">
        <f>1/(1+EXP(-V130))</f>
        <v/>
      </c>
      <c r="X130" s="9">
        <f>-IF(C130=1,LN(W130),LN(1-W130))</f>
        <v/>
      </c>
      <c r="Y130" s="10">
        <f>IF(W130&gt;$AC$33,1,0)</f>
        <v/>
      </c>
      <c r="Z130">
        <f>IF(Y130=C130,1,0)</f>
        <v/>
      </c>
    </row>
    <row r="131">
      <c r="A131">
        <f>'1 datos preparados'!A124</f>
        <v/>
      </c>
      <c r="B131" s="5">
        <f>'1 datos preparados'!U124</f>
        <v/>
      </c>
      <c r="C131">
        <f>'1 datos preparados'!B124</f>
        <v/>
      </c>
      <c r="D131" s="7">
        <f>'1 datos preparados'!C124</f>
        <v/>
      </c>
      <c r="E131" s="7">
        <f>'1 datos preparados'!D124</f>
        <v/>
      </c>
      <c r="F131" s="7">
        <f>'1 datos preparados'!E124</f>
        <v/>
      </c>
      <c r="G131" s="7">
        <f>'1 datos preparados'!F124</f>
        <v/>
      </c>
      <c r="H131" s="7">
        <f>'1 datos preparados'!G124</f>
        <v/>
      </c>
      <c r="I131" s="7">
        <f>'1 datos preparados'!H124</f>
        <v/>
      </c>
      <c r="J131" s="7">
        <f>'1 datos preparados'!I124</f>
        <v/>
      </c>
      <c r="K131" s="7">
        <f>'1 datos preparados'!J124</f>
        <v/>
      </c>
      <c r="L131" s="7">
        <f>'1 datos preparados'!K124</f>
        <v/>
      </c>
      <c r="M131" s="7">
        <f>'1 datos preparados'!L124</f>
        <v/>
      </c>
      <c r="N131" s="7">
        <f>'1 datos preparados'!M124</f>
        <v/>
      </c>
      <c r="O131" s="7">
        <f>'1 datos preparados'!N124</f>
        <v/>
      </c>
      <c r="P131" s="7">
        <f>'1 datos preparados'!O124</f>
        <v/>
      </c>
      <c r="Q131" s="7">
        <f>'1 datos preparados'!P124</f>
        <v/>
      </c>
      <c r="R131" s="7">
        <f>'1 datos preparados'!Q124</f>
        <v/>
      </c>
      <c r="S131" s="7">
        <f>'1 datos preparados'!R124</f>
        <v/>
      </c>
      <c r="T131" s="7">
        <f>'1 datos preparados'!S124</f>
        <v/>
      </c>
      <c r="U131" s="7">
        <f>'1 datos preparados'!T124</f>
        <v/>
      </c>
      <c r="V131" s="8">
        <f>$AC$12+D131*$AC$13+E131*$AC$14+F131*$AC$15+G131*$AC$16+H131*$AC$17+I131*$AC$18+J131*$AC$19+K131*$AC$20+L131*$AC$21+M131*$AC$22+N131*$AC$23+O131*$AC$24+P131*$AC$25+Q131*$AC$26+R131*$AC$27+S131*$AC$28+T131*$AC$29+U131*$AC$30</f>
        <v/>
      </c>
      <c r="W131" s="8">
        <f>1/(1+EXP(-V131))</f>
        <v/>
      </c>
      <c r="X131" s="9">
        <f>-IF(C131=1,LN(W131),LN(1-W131))</f>
        <v/>
      </c>
      <c r="Y131" s="10">
        <f>IF(W131&gt;$AC$33,1,0)</f>
        <v/>
      </c>
      <c r="Z131">
        <f>IF(Y131=C131,1,0)</f>
        <v/>
      </c>
    </row>
    <row r="132">
      <c r="A132">
        <f>'1 datos preparados'!A125</f>
        <v/>
      </c>
      <c r="B132" s="5">
        <f>'1 datos preparados'!U125</f>
        <v/>
      </c>
      <c r="C132">
        <f>'1 datos preparados'!B125</f>
        <v/>
      </c>
      <c r="D132" s="7">
        <f>'1 datos preparados'!C125</f>
        <v/>
      </c>
      <c r="E132" s="7">
        <f>'1 datos preparados'!D125</f>
        <v/>
      </c>
      <c r="F132" s="7">
        <f>'1 datos preparados'!E125</f>
        <v/>
      </c>
      <c r="G132" s="7">
        <f>'1 datos preparados'!F125</f>
        <v/>
      </c>
      <c r="H132" s="7">
        <f>'1 datos preparados'!G125</f>
        <v/>
      </c>
      <c r="I132" s="7">
        <f>'1 datos preparados'!H125</f>
        <v/>
      </c>
      <c r="J132" s="7">
        <f>'1 datos preparados'!I125</f>
        <v/>
      </c>
      <c r="K132" s="7">
        <f>'1 datos preparados'!J125</f>
        <v/>
      </c>
      <c r="L132" s="7">
        <f>'1 datos preparados'!K125</f>
        <v/>
      </c>
      <c r="M132" s="7">
        <f>'1 datos preparados'!L125</f>
        <v/>
      </c>
      <c r="N132" s="7">
        <f>'1 datos preparados'!M125</f>
        <v/>
      </c>
      <c r="O132" s="7">
        <f>'1 datos preparados'!N125</f>
        <v/>
      </c>
      <c r="P132" s="7">
        <f>'1 datos preparados'!O125</f>
        <v/>
      </c>
      <c r="Q132" s="7">
        <f>'1 datos preparados'!P125</f>
        <v/>
      </c>
      <c r="R132" s="7">
        <f>'1 datos preparados'!Q125</f>
        <v/>
      </c>
      <c r="S132" s="7">
        <f>'1 datos preparados'!R125</f>
        <v/>
      </c>
      <c r="T132" s="7">
        <f>'1 datos preparados'!S125</f>
        <v/>
      </c>
      <c r="U132" s="7">
        <f>'1 datos preparados'!T125</f>
        <v/>
      </c>
      <c r="V132" s="8">
        <f>$AC$12+D132*$AC$13+E132*$AC$14+F132*$AC$15+G132*$AC$16+H132*$AC$17+I132*$AC$18+J132*$AC$19+K132*$AC$20+L132*$AC$21+M132*$AC$22+N132*$AC$23+O132*$AC$24+P132*$AC$25+Q132*$AC$26+R132*$AC$27+S132*$AC$28+T132*$AC$29+U132*$AC$30</f>
        <v/>
      </c>
      <c r="W132" s="8">
        <f>1/(1+EXP(-V132))</f>
        <v/>
      </c>
      <c r="X132" s="9">
        <f>-IF(C132=1,LN(W132),LN(1-W132))</f>
        <v/>
      </c>
      <c r="Y132" s="10">
        <f>IF(W132&gt;$AC$33,1,0)</f>
        <v/>
      </c>
      <c r="Z132">
        <f>IF(Y132=C132,1,0)</f>
        <v/>
      </c>
    </row>
    <row r="133">
      <c r="A133">
        <f>'1 datos preparados'!A126</f>
        <v/>
      </c>
      <c r="B133" s="5">
        <f>'1 datos preparados'!U126</f>
        <v/>
      </c>
      <c r="C133">
        <f>'1 datos preparados'!B126</f>
        <v/>
      </c>
      <c r="D133" s="7">
        <f>'1 datos preparados'!C126</f>
        <v/>
      </c>
      <c r="E133" s="7">
        <f>'1 datos preparados'!D126</f>
        <v/>
      </c>
      <c r="F133" s="7">
        <f>'1 datos preparados'!E126</f>
        <v/>
      </c>
      <c r="G133" s="7">
        <f>'1 datos preparados'!F126</f>
        <v/>
      </c>
      <c r="H133" s="7">
        <f>'1 datos preparados'!G126</f>
        <v/>
      </c>
      <c r="I133" s="7">
        <f>'1 datos preparados'!H126</f>
        <v/>
      </c>
      <c r="J133" s="7">
        <f>'1 datos preparados'!I126</f>
        <v/>
      </c>
      <c r="K133" s="7">
        <f>'1 datos preparados'!J126</f>
        <v/>
      </c>
      <c r="L133" s="7">
        <f>'1 datos preparados'!K126</f>
        <v/>
      </c>
      <c r="M133" s="7">
        <f>'1 datos preparados'!L126</f>
        <v/>
      </c>
      <c r="N133" s="7">
        <f>'1 datos preparados'!M126</f>
        <v/>
      </c>
      <c r="O133" s="7">
        <f>'1 datos preparados'!N126</f>
        <v/>
      </c>
      <c r="P133" s="7">
        <f>'1 datos preparados'!O126</f>
        <v/>
      </c>
      <c r="Q133" s="7">
        <f>'1 datos preparados'!P126</f>
        <v/>
      </c>
      <c r="R133" s="7">
        <f>'1 datos preparados'!Q126</f>
        <v/>
      </c>
      <c r="S133" s="7">
        <f>'1 datos preparados'!R126</f>
        <v/>
      </c>
      <c r="T133" s="7">
        <f>'1 datos preparados'!S126</f>
        <v/>
      </c>
      <c r="U133" s="7">
        <f>'1 datos preparados'!T126</f>
        <v/>
      </c>
      <c r="V133" s="8">
        <f>$AC$12+D133*$AC$13+E133*$AC$14+F133*$AC$15+G133*$AC$16+H133*$AC$17+I133*$AC$18+J133*$AC$19+K133*$AC$20+L133*$AC$21+M133*$AC$22+N133*$AC$23+O133*$AC$24+P133*$AC$25+Q133*$AC$26+R133*$AC$27+S133*$AC$28+T133*$AC$29+U133*$AC$30</f>
        <v/>
      </c>
      <c r="W133" s="8">
        <f>1/(1+EXP(-V133))</f>
        <v/>
      </c>
      <c r="X133" s="9">
        <f>-IF(C133=1,LN(W133),LN(1-W133))</f>
        <v/>
      </c>
      <c r="Y133" s="10">
        <f>IF(W133&gt;$AC$33,1,0)</f>
        <v/>
      </c>
      <c r="Z133">
        <f>IF(Y133=C133,1,0)</f>
        <v/>
      </c>
    </row>
    <row r="134">
      <c r="A134">
        <f>'1 datos preparados'!A127</f>
        <v/>
      </c>
      <c r="B134" s="5">
        <f>'1 datos preparados'!U127</f>
        <v/>
      </c>
      <c r="C134">
        <f>'1 datos preparados'!B127</f>
        <v/>
      </c>
      <c r="D134" s="7">
        <f>'1 datos preparados'!C127</f>
        <v/>
      </c>
      <c r="E134" s="7">
        <f>'1 datos preparados'!D127</f>
        <v/>
      </c>
      <c r="F134" s="7">
        <f>'1 datos preparados'!E127</f>
        <v/>
      </c>
      <c r="G134" s="7">
        <f>'1 datos preparados'!F127</f>
        <v/>
      </c>
      <c r="H134" s="7">
        <f>'1 datos preparados'!G127</f>
        <v/>
      </c>
      <c r="I134" s="7">
        <f>'1 datos preparados'!H127</f>
        <v/>
      </c>
      <c r="J134" s="7">
        <f>'1 datos preparados'!I127</f>
        <v/>
      </c>
      <c r="K134" s="7">
        <f>'1 datos preparados'!J127</f>
        <v/>
      </c>
      <c r="L134" s="7">
        <f>'1 datos preparados'!K127</f>
        <v/>
      </c>
      <c r="M134" s="7">
        <f>'1 datos preparados'!L127</f>
        <v/>
      </c>
      <c r="N134" s="7">
        <f>'1 datos preparados'!M127</f>
        <v/>
      </c>
      <c r="O134" s="7">
        <f>'1 datos preparados'!N127</f>
        <v/>
      </c>
      <c r="P134" s="7">
        <f>'1 datos preparados'!O127</f>
        <v/>
      </c>
      <c r="Q134" s="7">
        <f>'1 datos preparados'!P127</f>
        <v/>
      </c>
      <c r="R134" s="7">
        <f>'1 datos preparados'!Q127</f>
        <v/>
      </c>
      <c r="S134" s="7">
        <f>'1 datos preparados'!R127</f>
        <v/>
      </c>
      <c r="T134" s="7">
        <f>'1 datos preparados'!S127</f>
        <v/>
      </c>
      <c r="U134" s="7">
        <f>'1 datos preparados'!T127</f>
        <v/>
      </c>
      <c r="V134" s="8">
        <f>$AC$12+D134*$AC$13+E134*$AC$14+F134*$AC$15+G134*$AC$16+H134*$AC$17+I134*$AC$18+J134*$AC$19+K134*$AC$20+L134*$AC$21+M134*$AC$22+N134*$AC$23+O134*$AC$24+P134*$AC$25+Q134*$AC$26+R134*$AC$27+S134*$AC$28+T134*$AC$29+U134*$AC$30</f>
        <v/>
      </c>
      <c r="W134" s="8">
        <f>1/(1+EXP(-V134))</f>
        <v/>
      </c>
      <c r="X134" s="9">
        <f>-IF(C134=1,LN(W134),LN(1-W134))</f>
        <v/>
      </c>
      <c r="Y134" s="10">
        <f>IF(W134&gt;$AC$33,1,0)</f>
        <v/>
      </c>
      <c r="Z134">
        <f>IF(Y134=C134,1,0)</f>
        <v/>
      </c>
    </row>
    <row r="135">
      <c r="A135">
        <f>'1 datos preparados'!A128</f>
        <v/>
      </c>
      <c r="B135" s="5">
        <f>'1 datos preparados'!U128</f>
        <v/>
      </c>
      <c r="C135">
        <f>'1 datos preparados'!B128</f>
        <v/>
      </c>
      <c r="D135" s="7">
        <f>'1 datos preparados'!C128</f>
        <v/>
      </c>
      <c r="E135" s="7">
        <f>'1 datos preparados'!D128</f>
        <v/>
      </c>
      <c r="F135" s="7">
        <f>'1 datos preparados'!E128</f>
        <v/>
      </c>
      <c r="G135" s="7">
        <f>'1 datos preparados'!F128</f>
        <v/>
      </c>
      <c r="H135" s="7">
        <f>'1 datos preparados'!G128</f>
        <v/>
      </c>
      <c r="I135" s="7">
        <f>'1 datos preparados'!H128</f>
        <v/>
      </c>
      <c r="J135" s="7">
        <f>'1 datos preparados'!I128</f>
        <v/>
      </c>
      <c r="K135" s="7">
        <f>'1 datos preparados'!J128</f>
        <v/>
      </c>
      <c r="L135" s="7">
        <f>'1 datos preparados'!K128</f>
        <v/>
      </c>
      <c r="M135" s="7">
        <f>'1 datos preparados'!L128</f>
        <v/>
      </c>
      <c r="N135" s="7">
        <f>'1 datos preparados'!M128</f>
        <v/>
      </c>
      <c r="O135" s="7">
        <f>'1 datos preparados'!N128</f>
        <v/>
      </c>
      <c r="P135" s="7">
        <f>'1 datos preparados'!O128</f>
        <v/>
      </c>
      <c r="Q135" s="7">
        <f>'1 datos preparados'!P128</f>
        <v/>
      </c>
      <c r="R135" s="7">
        <f>'1 datos preparados'!Q128</f>
        <v/>
      </c>
      <c r="S135" s="7">
        <f>'1 datos preparados'!R128</f>
        <v/>
      </c>
      <c r="T135" s="7">
        <f>'1 datos preparados'!S128</f>
        <v/>
      </c>
      <c r="U135" s="7">
        <f>'1 datos preparados'!T128</f>
        <v/>
      </c>
      <c r="V135" s="8">
        <f>$AC$12+D135*$AC$13+E135*$AC$14+F135*$AC$15+G135*$AC$16+H135*$AC$17+I135*$AC$18+J135*$AC$19+K135*$AC$20+L135*$AC$21+M135*$AC$22+N135*$AC$23+O135*$AC$24+P135*$AC$25+Q135*$AC$26+R135*$AC$27+S135*$AC$28+T135*$AC$29+U135*$AC$30</f>
        <v/>
      </c>
      <c r="W135" s="8">
        <f>1/(1+EXP(-V135))</f>
        <v/>
      </c>
      <c r="X135" s="9">
        <f>-IF(C135=1,LN(W135),LN(1-W135))</f>
        <v/>
      </c>
      <c r="Y135" s="10">
        <f>IF(W135&gt;$AC$33,1,0)</f>
        <v/>
      </c>
      <c r="Z135">
        <f>IF(Y135=C135,1,0)</f>
        <v/>
      </c>
    </row>
    <row r="136">
      <c r="A136">
        <f>'1 datos preparados'!A129</f>
        <v/>
      </c>
      <c r="B136" s="5">
        <f>'1 datos preparados'!U129</f>
        <v/>
      </c>
      <c r="C136">
        <f>'1 datos preparados'!B129</f>
        <v/>
      </c>
      <c r="D136" s="7">
        <f>'1 datos preparados'!C129</f>
        <v/>
      </c>
      <c r="E136" s="7">
        <f>'1 datos preparados'!D129</f>
        <v/>
      </c>
      <c r="F136" s="7">
        <f>'1 datos preparados'!E129</f>
        <v/>
      </c>
      <c r="G136" s="7">
        <f>'1 datos preparados'!F129</f>
        <v/>
      </c>
      <c r="H136" s="7">
        <f>'1 datos preparados'!G129</f>
        <v/>
      </c>
      <c r="I136" s="7">
        <f>'1 datos preparados'!H129</f>
        <v/>
      </c>
      <c r="J136" s="7">
        <f>'1 datos preparados'!I129</f>
        <v/>
      </c>
      <c r="K136" s="7">
        <f>'1 datos preparados'!J129</f>
        <v/>
      </c>
      <c r="L136" s="7">
        <f>'1 datos preparados'!K129</f>
        <v/>
      </c>
      <c r="M136" s="7">
        <f>'1 datos preparados'!L129</f>
        <v/>
      </c>
      <c r="N136" s="7">
        <f>'1 datos preparados'!M129</f>
        <v/>
      </c>
      <c r="O136" s="7">
        <f>'1 datos preparados'!N129</f>
        <v/>
      </c>
      <c r="P136" s="7">
        <f>'1 datos preparados'!O129</f>
        <v/>
      </c>
      <c r="Q136" s="7">
        <f>'1 datos preparados'!P129</f>
        <v/>
      </c>
      <c r="R136" s="7">
        <f>'1 datos preparados'!Q129</f>
        <v/>
      </c>
      <c r="S136" s="7">
        <f>'1 datos preparados'!R129</f>
        <v/>
      </c>
      <c r="T136" s="7">
        <f>'1 datos preparados'!S129</f>
        <v/>
      </c>
      <c r="U136" s="7">
        <f>'1 datos preparados'!T129</f>
        <v/>
      </c>
      <c r="V136" s="8">
        <f>$AC$12+D136*$AC$13+E136*$AC$14+F136*$AC$15+G136*$AC$16+H136*$AC$17+I136*$AC$18+J136*$AC$19+K136*$AC$20+L136*$AC$21+M136*$AC$22+N136*$AC$23+O136*$AC$24+P136*$AC$25+Q136*$AC$26+R136*$AC$27+S136*$AC$28+T136*$AC$29+U136*$AC$30</f>
        <v/>
      </c>
      <c r="W136" s="8">
        <f>1/(1+EXP(-V136))</f>
        <v/>
      </c>
      <c r="X136" s="9">
        <f>-IF(C136=1,LN(W136),LN(1-W136))</f>
        <v/>
      </c>
      <c r="Y136" s="10">
        <f>IF(W136&gt;$AC$33,1,0)</f>
        <v/>
      </c>
      <c r="Z136">
        <f>IF(Y136=C136,1,0)</f>
        <v/>
      </c>
    </row>
    <row r="137">
      <c r="A137">
        <f>'1 datos preparados'!A130</f>
        <v/>
      </c>
      <c r="B137" s="5">
        <f>'1 datos preparados'!U130</f>
        <v/>
      </c>
      <c r="C137">
        <f>'1 datos preparados'!B130</f>
        <v/>
      </c>
      <c r="D137" s="7">
        <f>'1 datos preparados'!C130</f>
        <v/>
      </c>
      <c r="E137" s="7">
        <f>'1 datos preparados'!D130</f>
        <v/>
      </c>
      <c r="F137" s="7">
        <f>'1 datos preparados'!E130</f>
        <v/>
      </c>
      <c r="G137" s="7">
        <f>'1 datos preparados'!F130</f>
        <v/>
      </c>
      <c r="H137" s="7">
        <f>'1 datos preparados'!G130</f>
        <v/>
      </c>
      <c r="I137" s="7">
        <f>'1 datos preparados'!H130</f>
        <v/>
      </c>
      <c r="J137" s="7">
        <f>'1 datos preparados'!I130</f>
        <v/>
      </c>
      <c r="K137" s="7">
        <f>'1 datos preparados'!J130</f>
        <v/>
      </c>
      <c r="L137" s="7">
        <f>'1 datos preparados'!K130</f>
        <v/>
      </c>
      <c r="M137" s="7">
        <f>'1 datos preparados'!L130</f>
        <v/>
      </c>
      <c r="N137" s="7">
        <f>'1 datos preparados'!M130</f>
        <v/>
      </c>
      <c r="O137" s="7">
        <f>'1 datos preparados'!N130</f>
        <v/>
      </c>
      <c r="P137" s="7">
        <f>'1 datos preparados'!O130</f>
        <v/>
      </c>
      <c r="Q137" s="7">
        <f>'1 datos preparados'!P130</f>
        <v/>
      </c>
      <c r="R137" s="7">
        <f>'1 datos preparados'!Q130</f>
        <v/>
      </c>
      <c r="S137" s="7">
        <f>'1 datos preparados'!R130</f>
        <v/>
      </c>
      <c r="T137" s="7">
        <f>'1 datos preparados'!S130</f>
        <v/>
      </c>
      <c r="U137" s="7">
        <f>'1 datos preparados'!T130</f>
        <v/>
      </c>
      <c r="V137" s="8">
        <f>$AC$12+D137*$AC$13+E137*$AC$14+F137*$AC$15+G137*$AC$16+H137*$AC$17+I137*$AC$18+J137*$AC$19+K137*$AC$20+L137*$AC$21+M137*$AC$22+N137*$AC$23+O137*$AC$24+P137*$AC$25+Q137*$AC$26+R137*$AC$27+S137*$AC$28+T137*$AC$29+U137*$AC$30</f>
        <v/>
      </c>
      <c r="W137" s="8">
        <f>1/(1+EXP(-V137))</f>
        <v/>
      </c>
      <c r="X137" s="9">
        <f>-IF(C137=1,LN(W137),LN(1-W137))</f>
        <v/>
      </c>
      <c r="Y137" s="10">
        <f>IF(W137&gt;$AC$33,1,0)</f>
        <v/>
      </c>
      <c r="Z137">
        <f>IF(Y137=C137,1,0)</f>
        <v/>
      </c>
    </row>
    <row r="138">
      <c r="A138">
        <f>'1 datos preparados'!A131</f>
        <v/>
      </c>
      <c r="B138" s="5">
        <f>'1 datos preparados'!U131</f>
        <v/>
      </c>
      <c r="C138">
        <f>'1 datos preparados'!B131</f>
        <v/>
      </c>
      <c r="D138" s="7">
        <f>'1 datos preparados'!C131</f>
        <v/>
      </c>
      <c r="E138" s="7">
        <f>'1 datos preparados'!D131</f>
        <v/>
      </c>
      <c r="F138" s="7">
        <f>'1 datos preparados'!E131</f>
        <v/>
      </c>
      <c r="G138" s="7">
        <f>'1 datos preparados'!F131</f>
        <v/>
      </c>
      <c r="H138" s="7">
        <f>'1 datos preparados'!G131</f>
        <v/>
      </c>
      <c r="I138" s="7">
        <f>'1 datos preparados'!H131</f>
        <v/>
      </c>
      <c r="J138" s="7">
        <f>'1 datos preparados'!I131</f>
        <v/>
      </c>
      <c r="K138" s="7">
        <f>'1 datos preparados'!J131</f>
        <v/>
      </c>
      <c r="L138" s="7">
        <f>'1 datos preparados'!K131</f>
        <v/>
      </c>
      <c r="M138" s="7">
        <f>'1 datos preparados'!L131</f>
        <v/>
      </c>
      <c r="N138" s="7">
        <f>'1 datos preparados'!M131</f>
        <v/>
      </c>
      <c r="O138" s="7">
        <f>'1 datos preparados'!N131</f>
        <v/>
      </c>
      <c r="P138" s="7">
        <f>'1 datos preparados'!O131</f>
        <v/>
      </c>
      <c r="Q138" s="7">
        <f>'1 datos preparados'!P131</f>
        <v/>
      </c>
      <c r="R138" s="7">
        <f>'1 datos preparados'!Q131</f>
        <v/>
      </c>
      <c r="S138" s="7">
        <f>'1 datos preparados'!R131</f>
        <v/>
      </c>
      <c r="T138" s="7">
        <f>'1 datos preparados'!S131</f>
        <v/>
      </c>
      <c r="U138" s="7">
        <f>'1 datos preparados'!T131</f>
        <v/>
      </c>
      <c r="V138" s="8">
        <f>$AC$12+D138*$AC$13+E138*$AC$14+F138*$AC$15+G138*$AC$16+H138*$AC$17+I138*$AC$18+J138*$AC$19+K138*$AC$20+L138*$AC$21+M138*$AC$22+N138*$AC$23+O138*$AC$24+P138*$AC$25+Q138*$AC$26+R138*$AC$27+S138*$AC$28+T138*$AC$29+U138*$AC$30</f>
        <v/>
      </c>
      <c r="W138" s="8">
        <f>1/(1+EXP(-V138))</f>
        <v/>
      </c>
      <c r="X138" s="9">
        <f>-IF(C138=1,LN(W138),LN(1-W138))</f>
        <v/>
      </c>
      <c r="Y138" s="10">
        <f>IF(W138&gt;$AC$33,1,0)</f>
        <v/>
      </c>
      <c r="Z138">
        <f>IF(Y138=C138,1,0)</f>
        <v/>
      </c>
    </row>
    <row r="139">
      <c r="A139">
        <f>'1 datos preparados'!A132</f>
        <v/>
      </c>
      <c r="B139" s="5">
        <f>'1 datos preparados'!U132</f>
        <v/>
      </c>
      <c r="C139">
        <f>'1 datos preparados'!B132</f>
        <v/>
      </c>
      <c r="D139" s="7">
        <f>'1 datos preparados'!C132</f>
        <v/>
      </c>
      <c r="E139" s="7">
        <f>'1 datos preparados'!D132</f>
        <v/>
      </c>
      <c r="F139" s="7">
        <f>'1 datos preparados'!E132</f>
        <v/>
      </c>
      <c r="G139" s="7">
        <f>'1 datos preparados'!F132</f>
        <v/>
      </c>
      <c r="H139" s="7">
        <f>'1 datos preparados'!G132</f>
        <v/>
      </c>
      <c r="I139" s="7">
        <f>'1 datos preparados'!H132</f>
        <v/>
      </c>
      <c r="J139" s="7">
        <f>'1 datos preparados'!I132</f>
        <v/>
      </c>
      <c r="K139" s="7">
        <f>'1 datos preparados'!J132</f>
        <v/>
      </c>
      <c r="L139" s="7">
        <f>'1 datos preparados'!K132</f>
        <v/>
      </c>
      <c r="M139" s="7">
        <f>'1 datos preparados'!L132</f>
        <v/>
      </c>
      <c r="N139" s="7">
        <f>'1 datos preparados'!M132</f>
        <v/>
      </c>
      <c r="O139" s="7">
        <f>'1 datos preparados'!N132</f>
        <v/>
      </c>
      <c r="P139" s="7">
        <f>'1 datos preparados'!O132</f>
        <v/>
      </c>
      <c r="Q139" s="7">
        <f>'1 datos preparados'!P132</f>
        <v/>
      </c>
      <c r="R139" s="7">
        <f>'1 datos preparados'!Q132</f>
        <v/>
      </c>
      <c r="S139" s="7">
        <f>'1 datos preparados'!R132</f>
        <v/>
      </c>
      <c r="T139" s="7">
        <f>'1 datos preparados'!S132</f>
        <v/>
      </c>
      <c r="U139" s="7">
        <f>'1 datos preparados'!T132</f>
        <v/>
      </c>
      <c r="V139" s="8">
        <f>$AC$12+D139*$AC$13+E139*$AC$14+F139*$AC$15+G139*$AC$16+H139*$AC$17+I139*$AC$18+J139*$AC$19+K139*$AC$20+L139*$AC$21+M139*$AC$22+N139*$AC$23+O139*$AC$24+P139*$AC$25+Q139*$AC$26+R139*$AC$27+S139*$AC$28+T139*$AC$29+U139*$AC$30</f>
        <v/>
      </c>
      <c r="W139" s="8">
        <f>1/(1+EXP(-V139))</f>
        <v/>
      </c>
      <c r="X139" s="9">
        <f>-IF(C139=1,LN(W139),LN(1-W139))</f>
        <v/>
      </c>
      <c r="Y139" s="10">
        <f>IF(W139&gt;$AC$33,1,0)</f>
        <v/>
      </c>
      <c r="Z139">
        <f>IF(Y139=C139,1,0)</f>
        <v/>
      </c>
    </row>
    <row r="140">
      <c r="A140">
        <f>'1 datos preparados'!A133</f>
        <v/>
      </c>
      <c r="B140" s="5">
        <f>'1 datos preparados'!U133</f>
        <v/>
      </c>
      <c r="C140">
        <f>'1 datos preparados'!B133</f>
        <v/>
      </c>
      <c r="D140" s="7">
        <f>'1 datos preparados'!C133</f>
        <v/>
      </c>
      <c r="E140" s="7">
        <f>'1 datos preparados'!D133</f>
        <v/>
      </c>
      <c r="F140" s="7">
        <f>'1 datos preparados'!E133</f>
        <v/>
      </c>
      <c r="G140" s="7">
        <f>'1 datos preparados'!F133</f>
        <v/>
      </c>
      <c r="H140" s="7">
        <f>'1 datos preparados'!G133</f>
        <v/>
      </c>
      <c r="I140" s="7">
        <f>'1 datos preparados'!H133</f>
        <v/>
      </c>
      <c r="J140" s="7">
        <f>'1 datos preparados'!I133</f>
        <v/>
      </c>
      <c r="K140" s="7">
        <f>'1 datos preparados'!J133</f>
        <v/>
      </c>
      <c r="L140" s="7">
        <f>'1 datos preparados'!K133</f>
        <v/>
      </c>
      <c r="M140" s="7">
        <f>'1 datos preparados'!L133</f>
        <v/>
      </c>
      <c r="N140" s="7">
        <f>'1 datos preparados'!M133</f>
        <v/>
      </c>
      <c r="O140" s="7">
        <f>'1 datos preparados'!N133</f>
        <v/>
      </c>
      <c r="P140" s="7">
        <f>'1 datos preparados'!O133</f>
        <v/>
      </c>
      <c r="Q140" s="7">
        <f>'1 datos preparados'!P133</f>
        <v/>
      </c>
      <c r="R140" s="7">
        <f>'1 datos preparados'!Q133</f>
        <v/>
      </c>
      <c r="S140" s="7">
        <f>'1 datos preparados'!R133</f>
        <v/>
      </c>
      <c r="T140" s="7">
        <f>'1 datos preparados'!S133</f>
        <v/>
      </c>
      <c r="U140" s="7">
        <f>'1 datos preparados'!T133</f>
        <v/>
      </c>
      <c r="V140" s="8">
        <f>$AC$12+D140*$AC$13+E140*$AC$14+F140*$AC$15+G140*$AC$16+H140*$AC$17+I140*$AC$18+J140*$AC$19+K140*$AC$20+L140*$AC$21+M140*$AC$22+N140*$AC$23+O140*$AC$24+P140*$AC$25+Q140*$AC$26+R140*$AC$27+S140*$AC$28+T140*$AC$29+U140*$AC$30</f>
        <v/>
      </c>
      <c r="W140" s="8">
        <f>1/(1+EXP(-V140))</f>
        <v/>
      </c>
      <c r="X140" s="9">
        <f>-IF(C140=1,LN(W140),LN(1-W140))</f>
        <v/>
      </c>
      <c r="Y140" s="10">
        <f>IF(W140&gt;$AC$33,1,0)</f>
        <v/>
      </c>
      <c r="Z140">
        <f>IF(Y140=C140,1,0)</f>
        <v/>
      </c>
    </row>
    <row r="141">
      <c r="A141">
        <f>'1 datos preparados'!A134</f>
        <v/>
      </c>
      <c r="B141" s="5">
        <f>'1 datos preparados'!U134</f>
        <v/>
      </c>
      <c r="C141">
        <f>'1 datos preparados'!B134</f>
        <v/>
      </c>
      <c r="D141" s="7">
        <f>'1 datos preparados'!C134</f>
        <v/>
      </c>
      <c r="E141" s="7">
        <f>'1 datos preparados'!D134</f>
        <v/>
      </c>
      <c r="F141" s="7">
        <f>'1 datos preparados'!E134</f>
        <v/>
      </c>
      <c r="G141" s="7">
        <f>'1 datos preparados'!F134</f>
        <v/>
      </c>
      <c r="H141" s="7">
        <f>'1 datos preparados'!G134</f>
        <v/>
      </c>
      <c r="I141" s="7">
        <f>'1 datos preparados'!H134</f>
        <v/>
      </c>
      <c r="J141" s="7">
        <f>'1 datos preparados'!I134</f>
        <v/>
      </c>
      <c r="K141" s="7">
        <f>'1 datos preparados'!J134</f>
        <v/>
      </c>
      <c r="L141" s="7">
        <f>'1 datos preparados'!K134</f>
        <v/>
      </c>
      <c r="M141" s="7">
        <f>'1 datos preparados'!L134</f>
        <v/>
      </c>
      <c r="N141" s="7">
        <f>'1 datos preparados'!M134</f>
        <v/>
      </c>
      <c r="O141" s="7">
        <f>'1 datos preparados'!N134</f>
        <v/>
      </c>
      <c r="P141" s="7">
        <f>'1 datos preparados'!O134</f>
        <v/>
      </c>
      <c r="Q141" s="7">
        <f>'1 datos preparados'!P134</f>
        <v/>
      </c>
      <c r="R141" s="7">
        <f>'1 datos preparados'!Q134</f>
        <v/>
      </c>
      <c r="S141" s="7">
        <f>'1 datos preparados'!R134</f>
        <v/>
      </c>
      <c r="T141" s="7">
        <f>'1 datos preparados'!S134</f>
        <v/>
      </c>
      <c r="U141" s="7">
        <f>'1 datos preparados'!T134</f>
        <v/>
      </c>
      <c r="V141" s="8">
        <f>$AC$12+D141*$AC$13+E141*$AC$14+F141*$AC$15+G141*$AC$16+H141*$AC$17+I141*$AC$18+J141*$AC$19+K141*$AC$20+L141*$AC$21+M141*$AC$22+N141*$AC$23+O141*$AC$24+P141*$AC$25+Q141*$AC$26+R141*$AC$27+S141*$AC$28+T141*$AC$29+U141*$AC$30</f>
        <v/>
      </c>
      <c r="W141" s="8">
        <f>1/(1+EXP(-V141))</f>
        <v/>
      </c>
      <c r="X141" s="9">
        <f>-IF(C141=1,LN(W141),LN(1-W141))</f>
        <v/>
      </c>
      <c r="Y141" s="10">
        <f>IF(W141&gt;$AC$33,1,0)</f>
        <v/>
      </c>
      <c r="Z141">
        <f>IF(Y141=C141,1,0)</f>
        <v/>
      </c>
    </row>
    <row r="142">
      <c r="A142">
        <f>'1 datos preparados'!A135</f>
        <v/>
      </c>
      <c r="B142" s="5">
        <f>'1 datos preparados'!U135</f>
        <v/>
      </c>
      <c r="C142">
        <f>'1 datos preparados'!B135</f>
        <v/>
      </c>
      <c r="D142" s="7">
        <f>'1 datos preparados'!C135</f>
        <v/>
      </c>
      <c r="E142" s="7">
        <f>'1 datos preparados'!D135</f>
        <v/>
      </c>
      <c r="F142" s="7">
        <f>'1 datos preparados'!E135</f>
        <v/>
      </c>
      <c r="G142" s="7">
        <f>'1 datos preparados'!F135</f>
        <v/>
      </c>
      <c r="H142" s="7">
        <f>'1 datos preparados'!G135</f>
        <v/>
      </c>
      <c r="I142" s="7">
        <f>'1 datos preparados'!H135</f>
        <v/>
      </c>
      <c r="J142" s="7">
        <f>'1 datos preparados'!I135</f>
        <v/>
      </c>
      <c r="K142" s="7">
        <f>'1 datos preparados'!J135</f>
        <v/>
      </c>
      <c r="L142" s="7">
        <f>'1 datos preparados'!K135</f>
        <v/>
      </c>
      <c r="M142" s="7">
        <f>'1 datos preparados'!L135</f>
        <v/>
      </c>
      <c r="N142" s="7">
        <f>'1 datos preparados'!M135</f>
        <v/>
      </c>
      <c r="O142" s="7">
        <f>'1 datos preparados'!N135</f>
        <v/>
      </c>
      <c r="P142" s="7">
        <f>'1 datos preparados'!O135</f>
        <v/>
      </c>
      <c r="Q142" s="7">
        <f>'1 datos preparados'!P135</f>
        <v/>
      </c>
      <c r="R142" s="7">
        <f>'1 datos preparados'!Q135</f>
        <v/>
      </c>
      <c r="S142" s="7">
        <f>'1 datos preparados'!R135</f>
        <v/>
      </c>
      <c r="T142" s="7">
        <f>'1 datos preparados'!S135</f>
        <v/>
      </c>
      <c r="U142" s="7">
        <f>'1 datos preparados'!T135</f>
        <v/>
      </c>
      <c r="V142" s="8">
        <f>$AC$12+D142*$AC$13+E142*$AC$14+F142*$AC$15+G142*$AC$16+H142*$AC$17+I142*$AC$18+J142*$AC$19+K142*$AC$20+L142*$AC$21+M142*$AC$22+N142*$AC$23+O142*$AC$24+P142*$AC$25+Q142*$AC$26+R142*$AC$27+S142*$AC$28+T142*$AC$29+U142*$AC$30</f>
        <v/>
      </c>
      <c r="W142" s="8">
        <f>1/(1+EXP(-V142))</f>
        <v/>
      </c>
      <c r="X142" s="9">
        <f>-IF(C142=1,LN(W142),LN(1-W142))</f>
        <v/>
      </c>
      <c r="Y142" s="10">
        <f>IF(W142&gt;$AC$33,1,0)</f>
        <v/>
      </c>
      <c r="Z142">
        <f>IF(Y142=C142,1,0)</f>
        <v/>
      </c>
    </row>
    <row r="143">
      <c r="A143">
        <f>'1 datos preparados'!A136</f>
        <v/>
      </c>
      <c r="B143" s="5">
        <f>'1 datos preparados'!U136</f>
        <v/>
      </c>
      <c r="C143">
        <f>'1 datos preparados'!B136</f>
        <v/>
      </c>
      <c r="D143" s="7">
        <f>'1 datos preparados'!C136</f>
        <v/>
      </c>
      <c r="E143" s="7">
        <f>'1 datos preparados'!D136</f>
        <v/>
      </c>
      <c r="F143" s="7">
        <f>'1 datos preparados'!E136</f>
        <v/>
      </c>
      <c r="G143" s="7">
        <f>'1 datos preparados'!F136</f>
        <v/>
      </c>
      <c r="H143" s="7">
        <f>'1 datos preparados'!G136</f>
        <v/>
      </c>
      <c r="I143" s="7">
        <f>'1 datos preparados'!H136</f>
        <v/>
      </c>
      <c r="J143" s="7">
        <f>'1 datos preparados'!I136</f>
        <v/>
      </c>
      <c r="K143" s="7">
        <f>'1 datos preparados'!J136</f>
        <v/>
      </c>
      <c r="L143" s="7">
        <f>'1 datos preparados'!K136</f>
        <v/>
      </c>
      <c r="M143" s="7">
        <f>'1 datos preparados'!L136</f>
        <v/>
      </c>
      <c r="N143" s="7">
        <f>'1 datos preparados'!M136</f>
        <v/>
      </c>
      <c r="O143" s="7">
        <f>'1 datos preparados'!N136</f>
        <v/>
      </c>
      <c r="P143" s="7">
        <f>'1 datos preparados'!O136</f>
        <v/>
      </c>
      <c r="Q143" s="7">
        <f>'1 datos preparados'!P136</f>
        <v/>
      </c>
      <c r="R143" s="7">
        <f>'1 datos preparados'!Q136</f>
        <v/>
      </c>
      <c r="S143" s="7">
        <f>'1 datos preparados'!R136</f>
        <v/>
      </c>
      <c r="T143" s="7">
        <f>'1 datos preparados'!S136</f>
        <v/>
      </c>
      <c r="U143" s="7">
        <f>'1 datos preparados'!T136</f>
        <v/>
      </c>
      <c r="V143" s="8">
        <f>$AC$12+D143*$AC$13+E143*$AC$14+F143*$AC$15+G143*$AC$16+H143*$AC$17+I143*$AC$18+J143*$AC$19+K143*$AC$20+L143*$AC$21+M143*$AC$22+N143*$AC$23+O143*$AC$24+P143*$AC$25+Q143*$AC$26+R143*$AC$27+S143*$AC$28+T143*$AC$29+U143*$AC$30</f>
        <v/>
      </c>
      <c r="W143" s="8">
        <f>1/(1+EXP(-V143))</f>
        <v/>
      </c>
      <c r="X143" s="9">
        <f>-IF(C143=1,LN(W143),LN(1-W143))</f>
        <v/>
      </c>
      <c r="Y143" s="10">
        <f>IF(W143&gt;$AC$33,1,0)</f>
        <v/>
      </c>
      <c r="Z143">
        <f>IF(Y143=C143,1,0)</f>
        <v/>
      </c>
    </row>
    <row r="144">
      <c r="A144">
        <f>'1 datos preparados'!A137</f>
        <v/>
      </c>
      <c r="B144" s="5">
        <f>'1 datos preparados'!U137</f>
        <v/>
      </c>
      <c r="C144">
        <f>'1 datos preparados'!B137</f>
        <v/>
      </c>
      <c r="D144" s="7">
        <f>'1 datos preparados'!C137</f>
        <v/>
      </c>
      <c r="E144" s="7">
        <f>'1 datos preparados'!D137</f>
        <v/>
      </c>
      <c r="F144" s="7">
        <f>'1 datos preparados'!E137</f>
        <v/>
      </c>
      <c r="G144" s="7">
        <f>'1 datos preparados'!F137</f>
        <v/>
      </c>
      <c r="H144" s="7">
        <f>'1 datos preparados'!G137</f>
        <v/>
      </c>
      <c r="I144" s="7">
        <f>'1 datos preparados'!H137</f>
        <v/>
      </c>
      <c r="J144" s="7">
        <f>'1 datos preparados'!I137</f>
        <v/>
      </c>
      <c r="K144" s="7">
        <f>'1 datos preparados'!J137</f>
        <v/>
      </c>
      <c r="L144" s="7">
        <f>'1 datos preparados'!K137</f>
        <v/>
      </c>
      <c r="M144" s="7">
        <f>'1 datos preparados'!L137</f>
        <v/>
      </c>
      <c r="N144" s="7">
        <f>'1 datos preparados'!M137</f>
        <v/>
      </c>
      <c r="O144" s="7">
        <f>'1 datos preparados'!N137</f>
        <v/>
      </c>
      <c r="P144" s="7">
        <f>'1 datos preparados'!O137</f>
        <v/>
      </c>
      <c r="Q144" s="7">
        <f>'1 datos preparados'!P137</f>
        <v/>
      </c>
      <c r="R144" s="7">
        <f>'1 datos preparados'!Q137</f>
        <v/>
      </c>
      <c r="S144" s="7">
        <f>'1 datos preparados'!R137</f>
        <v/>
      </c>
      <c r="T144" s="7">
        <f>'1 datos preparados'!S137</f>
        <v/>
      </c>
      <c r="U144" s="7">
        <f>'1 datos preparados'!T137</f>
        <v/>
      </c>
      <c r="V144" s="8">
        <f>$AC$12+D144*$AC$13+E144*$AC$14+F144*$AC$15+G144*$AC$16+H144*$AC$17+I144*$AC$18+J144*$AC$19+K144*$AC$20+L144*$AC$21+M144*$AC$22+N144*$AC$23+O144*$AC$24+P144*$AC$25+Q144*$AC$26+R144*$AC$27+S144*$AC$28+T144*$AC$29+U144*$AC$30</f>
        <v/>
      </c>
      <c r="W144" s="8">
        <f>1/(1+EXP(-V144))</f>
        <v/>
      </c>
      <c r="X144" s="9">
        <f>-IF(C144=1,LN(W144),LN(1-W144))</f>
        <v/>
      </c>
      <c r="Y144" s="10">
        <f>IF(W144&gt;$AC$33,1,0)</f>
        <v/>
      </c>
      <c r="Z144">
        <f>IF(Y144=C144,1,0)</f>
        <v/>
      </c>
    </row>
    <row r="145">
      <c r="A145">
        <f>'1 datos preparados'!A138</f>
        <v/>
      </c>
      <c r="B145" s="5">
        <f>'1 datos preparados'!U138</f>
        <v/>
      </c>
      <c r="C145">
        <f>'1 datos preparados'!B138</f>
        <v/>
      </c>
      <c r="D145" s="7">
        <f>'1 datos preparados'!C138</f>
        <v/>
      </c>
      <c r="E145" s="7">
        <f>'1 datos preparados'!D138</f>
        <v/>
      </c>
      <c r="F145" s="7">
        <f>'1 datos preparados'!E138</f>
        <v/>
      </c>
      <c r="G145" s="7">
        <f>'1 datos preparados'!F138</f>
        <v/>
      </c>
      <c r="H145" s="7">
        <f>'1 datos preparados'!G138</f>
        <v/>
      </c>
      <c r="I145" s="7">
        <f>'1 datos preparados'!H138</f>
        <v/>
      </c>
      <c r="J145" s="7">
        <f>'1 datos preparados'!I138</f>
        <v/>
      </c>
      <c r="K145" s="7">
        <f>'1 datos preparados'!J138</f>
        <v/>
      </c>
      <c r="L145" s="7">
        <f>'1 datos preparados'!K138</f>
        <v/>
      </c>
      <c r="M145" s="7">
        <f>'1 datos preparados'!L138</f>
        <v/>
      </c>
      <c r="N145" s="7">
        <f>'1 datos preparados'!M138</f>
        <v/>
      </c>
      <c r="O145" s="7">
        <f>'1 datos preparados'!N138</f>
        <v/>
      </c>
      <c r="P145" s="7">
        <f>'1 datos preparados'!O138</f>
        <v/>
      </c>
      <c r="Q145" s="7">
        <f>'1 datos preparados'!P138</f>
        <v/>
      </c>
      <c r="R145" s="7">
        <f>'1 datos preparados'!Q138</f>
        <v/>
      </c>
      <c r="S145" s="7">
        <f>'1 datos preparados'!R138</f>
        <v/>
      </c>
      <c r="T145" s="7">
        <f>'1 datos preparados'!S138</f>
        <v/>
      </c>
      <c r="U145" s="7">
        <f>'1 datos preparados'!T138</f>
        <v/>
      </c>
      <c r="V145" s="8">
        <f>$AC$12+D145*$AC$13+E145*$AC$14+F145*$AC$15+G145*$AC$16+H145*$AC$17+I145*$AC$18+J145*$AC$19+K145*$AC$20+L145*$AC$21+M145*$AC$22+N145*$AC$23+O145*$AC$24+P145*$AC$25+Q145*$AC$26+R145*$AC$27+S145*$AC$28+T145*$AC$29+U145*$AC$30</f>
        <v/>
      </c>
      <c r="W145" s="8">
        <f>1/(1+EXP(-V145))</f>
        <v/>
      </c>
      <c r="X145" s="9">
        <f>-IF(C145=1,LN(W145),LN(1-W145))</f>
        <v/>
      </c>
      <c r="Y145" s="10">
        <f>IF(W145&gt;$AC$33,1,0)</f>
        <v/>
      </c>
      <c r="Z145">
        <f>IF(Y145=C145,1,0)</f>
        <v/>
      </c>
    </row>
    <row r="146">
      <c r="A146">
        <f>'1 datos preparados'!A139</f>
        <v/>
      </c>
      <c r="B146" s="5">
        <f>'1 datos preparados'!U139</f>
        <v/>
      </c>
      <c r="C146">
        <f>'1 datos preparados'!B139</f>
        <v/>
      </c>
      <c r="D146" s="7">
        <f>'1 datos preparados'!C139</f>
        <v/>
      </c>
      <c r="E146" s="7">
        <f>'1 datos preparados'!D139</f>
        <v/>
      </c>
      <c r="F146" s="7">
        <f>'1 datos preparados'!E139</f>
        <v/>
      </c>
      <c r="G146" s="7">
        <f>'1 datos preparados'!F139</f>
        <v/>
      </c>
      <c r="H146" s="7">
        <f>'1 datos preparados'!G139</f>
        <v/>
      </c>
      <c r="I146" s="7">
        <f>'1 datos preparados'!H139</f>
        <v/>
      </c>
      <c r="J146" s="7">
        <f>'1 datos preparados'!I139</f>
        <v/>
      </c>
      <c r="K146" s="7">
        <f>'1 datos preparados'!J139</f>
        <v/>
      </c>
      <c r="L146" s="7">
        <f>'1 datos preparados'!K139</f>
        <v/>
      </c>
      <c r="M146" s="7">
        <f>'1 datos preparados'!L139</f>
        <v/>
      </c>
      <c r="N146" s="7">
        <f>'1 datos preparados'!M139</f>
        <v/>
      </c>
      <c r="O146" s="7">
        <f>'1 datos preparados'!N139</f>
        <v/>
      </c>
      <c r="P146" s="7">
        <f>'1 datos preparados'!O139</f>
        <v/>
      </c>
      <c r="Q146" s="7">
        <f>'1 datos preparados'!P139</f>
        <v/>
      </c>
      <c r="R146" s="7">
        <f>'1 datos preparados'!Q139</f>
        <v/>
      </c>
      <c r="S146" s="7">
        <f>'1 datos preparados'!R139</f>
        <v/>
      </c>
      <c r="T146" s="7">
        <f>'1 datos preparados'!S139</f>
        <v/>
      </c>
      <c r="U146" s="7">
        <f>'1 datos preparados'!T139</f>
        <v/>
      </c>
      <c r="V146" s="8">
        <f>$AC$12+D146*$AC$13+E146*$AC$14+F146*$AC$15+G146*$AC$16+H146*$AC$17+I146*$AC$18+J146*$AC$19+K146*$AC$20+L146*$AC$21+M146*$AC$22+N146*$AC$23+O146*$AC$24+P146*$AC$25+Q146*$AC$26+R146*$AC$27+S146*$AC$28+T146*$AC$29+U146*$AC$30</f>
        <v/>
      </c>
      <c r="W146" s="8">
        <f>1/(1+EXP(-V146))</f>
        <v/>
      </c>
      <c r="X146" s="9">
        <f>-IF(C146=1,LN(W146),LN(1-W146))</f>
        <v/>
      </c>
      <c r="Y146" s="10">
        <f>IF(W146&gt;$AC$33,1,0)</f>
        <v/>
      </c>
      <c r="Z146">
        <f>IF(Y146=C146,1,0)</f>
        <v/>
      </c>
    </row>
    <row r="147">
      <c r="A147">
        <f>'1 datos preparados'!A140</f>
        <v/>
      </c>
      <c r="B147" s="5">
        <f>'1 datos preparados'!U140</f>
        <v/>
      </c>
      <c r="C147">
        <f>'1 datos preparados'!B140</f>
        <v/>
      </c>
      <c r="D147" s="7">
        <f>'1 datos preparados'!C140</f>
        <v/>
      </c>
      <c r="E147" s="7">
        <f>'1 datos preparados'!D140</f>
        <v/>
      </c>
      <c r="F147" s="7">
        <f>'1 datos preparados'!E140</f>
        <v/>
      </c>
      <c r="G147" s="7">
        <f>'1 datos preparados'!F140</f>
        <v/>
      </c>
      <c r="H147" s="7">
        <f>'1 datos preparados'!G140</f>
        <v/>
      </c>
      <c r="I147" s="7">
        <f>'1 datos preparados'!H140</f>
        <v/>
      </c>
      <c r="J147" s="7">
        <f>'1 datos preparados'!I140</f>
        <v/>
      </c>
      <c r="K147" s="7">
        <f>'1 datos preparados'!J140</f>
        <v/>
      </c>
      <c r="L147" s="7">
        <f>'1 datos preparados'!K140</f>
        <v/>
      </c>
      <c r="M147" s="7">
        <f>'1 datos preparados'!L140</f>
        <v/>
      </c>
      <c r="N147" s="7">
        <f>'1 datos preparados'!M140</f>
        <v/>
      </c>
      <c r="O147" s="7">
        <f>'1 datos preparados'!N140</f>
        <v/>
      </c>
      <c r="P147" s="7">
        <f>'1 datos preparados'!O140</f>
        <v/>
      </c>
      <c r="Q147" s="7">
        <f>'1 datos preparados'!P140</f>
        <v/>
      </c>
      <c r="R147" s="7">
        <f>'1 datos preparados'!Q140</f>
        <v/>
      </c>
      <c r="S147" s="7">
        <f>'1 datos preparados'!R140</f>
        <v/>
      </c>
      <c r="T147" s="7">
        <f>'1 datos preparados'!S140</f>
        <v/>
      </c>
      <c r="U147" s="7">
        <f>'1 datos preparados'!T140</f>
        <v/>
      </c>
      <c r="V147" s="8">
        <f>$AC$12+D147*$AC$13+E147*$AC$14+F147*$AC$15+G147*$AC$16+H147*$AC$17+I147*$AC$18+J147*$AC$19+K147*$AC$20+L147*$AC$21+M147*$AC$22+N147*$AC$23+O147*$AC$24+P147*$AC$25+Q147*$AC$26+R147*$AC$27+S147*$AC$28+T147*$AC$29+U147*$AC$30</f>
        <v/>
      </c>
      <c r="W147" s="8">
        <f>1/(1+EXP(-V147))</f>
        <v/>
      </c>
      <c r="X147" s="9">
        <f>-IF(C147=1,LN(W147),LN(1-W147))</f>
        <v/>
      </c>
      <c r="Y147" s="10">
        <f>IF(W147&gt;$AC$33,1,0)</f>
        <v/>
      </c>
      <c r="Z147">
        <f>IF(Y147=C147,1,0)</f>
        <v/>
      </c>
    </row>
    <row r="148">
      <c r="A148">
        <f>'1 datos preparados'!A141</f>
        <v/>
      </c>
      <c r="B148" s="5">
        <f>'1 datos preparados'!U141</f>
        <v/>
      </c>
      <c r="C148">
        <f>'1 datos preparados'!B141</f>
        <v/>
      </c>
      <c r="D148" s="7">
        <f>'1 datos preparados'!C141</f>
        <v/>
      </c>
      <c r="E148" s="7">
        <f>'1 datos preparados'!D141</f>
        <v/>
      </c>
      <c r="F148" s="7">
        <f>'1 datos preparados'!E141</f>
        <v/>
      </c>
      <c r="G148" s="7">
        <f>'1 datos preparados'!F141</f>
        <v/>
      </c>
      <c r="H148" s="7">
        <f>'1 datos preparados'!G141</f>
        <v/>
      </c>
      <c r="I148" s="7">
        <f>'1 datos preparados'!H141</f>
        <v/>
      </c>
      <c r="J148" s="7">
        <f>'1 datos preparados'!I141</f>
        <v/>
      </c>
      <c r="K148" s="7">
        <f>'1 datos preparados'!J141</f>
        <v/>
      </c>
      <c r="L148" s="7">
        <f>'1 datos preparados'!K141</f>
        <v/>
      </c>
      <c r="M148" s="7">
        <f>'1 datos preparados'!L141</f>
        <v/>
      </c>
      <c r="N148" s="7">
        <f>'1 datos preparados'!M141</f>
        <v/>
      </c>
      <c r="O148" s="7">
        <f>'1 datos preparados'!N141</f>
        <v/>
      </c>
      <c r="P148" s="7">
        <f>'1 datos preparados'!O141</f>
        <v/>
      </c>
      <c r="Q148" s="7">
        <f>'1 datos preparados'!P141</f>
        <v/>
      </c>
      <c r="R148" s="7">
        <f>'1 datos preparados'!Q141</f>
        <v/>
      </c>
      <c r="S148" s="7">
        <f>'1 datos preparados'!R141</f>
        <v/>
      </c>
      <c r="T148" s="7">
        <f>'1 datos preparados'!S141</f>
        <v/>
      </c>
      <c r="U148" s="7">
        <f>'1 datos preparados'!T141</f>
        <v/>
      </c>
      <c r="V148" s="8">
        <f>$AC$12+D148*$AC$13+E148*$AC$14+F148*$AC$15+G148*$AC$16+H148*$AC$17+I148*$AC$18+J148*$AC$19+K148*$AC$20+L148*$AC$21+M148*$AC$22+N148*$AC$23+O148*$AC$24+P148*$AC$25+Q148*$AC$26+R148*$AC$27+S148*$AC$28+T148*$AC$29+U148*$AC$30</f>
        <v/>
      </c>
      <c r="W148" s="8">
        <f>1/(1+EXP(-V148))</f>
        <v/>
      </c>
      <c r="X148" s="9">
        <f>-IF(C148=1,LN(W148),LN(1-W148))</f>
        <v/>
      </c>
      <c r="Y148" s="10">
        <f>IF(W148&gt;$AC$33,1,0)</f>
        <v/>
      </c>
      <c r="Z148">
        <f>IF(Y148=C148,1,0)</f>
        <v/>
      </c>
    </row>
    <row r="149">
      <c r="A149">
        <f>'1 datos preparados'!A142</f>
        <v/>
      </c>
      <c r="B149" s="5">
        <f>'1 datos preparados'!U142</f>
        <v/>
      </c>
      <c r="C149">
        <f>'1 datos preparados'!B142</f>
        <v/>
      </c>
      <c r="D149" s="7">
        <f>'1 datos preparados'!C142</f>
        <v/>
      </c>
      <c r="E149" s="7">
        <f>'1 datos preparados'!D142</f>
        <v/>
      </c>
      <c r="F149" s="7">
        <f>'1 datos preparados'!E142</f>
        <v/>
      </c>
      <c r="G149" s="7">
        <f>'1 datos preparados'!F142</f>
        <v/>
      </c>
      <c r="H149" s="7">
        <f>'1 datos preparados'!G142</f>
        <v/>
      </c>
      <c r="I149" s="7">
        <f>'1 datos preparados'!H142</f>
        <v/>
      </c>
      <c r="J149" s="7">
        <f>'1 datos preparados'!I142</f>
        <v/>
      </c>
      <c r="K149" s="7">
        <f>'1 datos preparados'!J142</f>
        <v/>
      </c>
      <c r="L149" s="7">
        <f>'1 datos preparados'!K142</f>
        <v/>
      </c>
      <c r="M149" s="7">
        <f>'1 datos preparados'!L142</f>
        <v/>
      </c>
      <c r="N149" s="7">
        <f>'1 datos preparados'!M142</f>
        <v/>
      </c>
      <c r="O149" s="7">
        <f>'1 datos preparados'!N142</f>
        <v/>
      </c>
      <c r="P149" s="7">
        <f>'1 datos preparados'!O142</f>
        <v/>
      </c>
      <c r="Q149" s="7">
        <f>'1 datos preparados'!P142</f>
        <v/>
      </c>
      <c r="R149" s="7">
        <f>'1 datos preparados'!Q142</f>
        <v/>
      </c>
      <c r="S149" s="7">
        <f>'1 datos preparados'!R142</f>
        <v/>
      </c>
      <c r="T149" s="7">
        <f>'1 datos preparados'!S142</f>
        <v/>
      </c>
      <c r="U149" s="7">
        <f>'1 datos preparados'!T142</f>
        <v/>
      </c>
      <c r="V149" s="8">
        <f>$AC$12+D149*$AC$13+E149*$AC$14+F149*$AC$15+G149*$AC$16+H149*$AC$17+I149*$AC$18+J149*$AC$19+K149*$AC$20+L149*$AC$21+M149*$AC$22+N149*$AC$23+O149*$AC$24+P149*$AC$25+Q149*$AC$26+R149*$AC$27+S149*$AC$28+T149*$AC$29+U149*$AC$30</f>
        <v/>
      </c>
      <c r="W149" s="8">
        <f>1/(1+EXP(-V149))</f>
        <v/>
      </c>
      <c r="X149" s="9">
        <f>-IF(C149=1,LN(W149),LN(1-W149))</f>
        <v/>
      </c>
      <c r="Y149" s="10">
        <f>IF(W149&gt;$AC$33,1,0)</f>
        <v/>
      </c>
      <c r="Z149">
        <f>IF(Y149=C149,1,0)</f>
        <v/>
      </c>
    </row>
    <row r="150">
      <c r="A150">
        <f>'1 datos preparados'!A143</f>
        <v/>
      </c>
      <c r="B150" s="5">
        <f>'1 datos preparados'!U143</f>
        <v/>
      </c>
      <c r="C150">
        <f>'1 datos preparados'!B143</f>
        <v/>
      </c>
      <c r="D150" s="7">
        <f>'1 datos preparados'!C143</f>
        <v/>
      </c>
      <c r="E150" s="7">
        <f>'1 datos preparados'!D143</f>
        <v/>
      </c>
      <c r="F150" s="7">
        <f>'1 datos preparados'!E143</f>
        <v/>
      </c>
      <c r="G150" s="7">
        <f>'1 datos preparados'!F143</f>
        <v/>
      </c>
      <c r="H150" s="7">
        <f>'1 datos preparados'!G143</f>
        <v/>
      </c>
      <c r="I150" s="7">
        <f>'1 datos preparados'!H143</f>
        <v/>
      </c>
      <c r="J150" s="7">
        <f>'1 datos preparados'!I143</f>
        <v/>
      </c>
      <c r="K150" s="7">
        <f>'1 datos preparados'!J143</f>
        <v/>
      </c>
      <c r="L150" s="7">
        <f>'1 datos preparados'!K143</f>
        <v/>
      </c>
      <c r="M150" s="7">
        <f>'1 datos preparados'!L143</f>
        <v/>
      </c>
      <c r="N150" s="7">
        <f>'1 datos preparados'!M143</f>
        <v/>
      </c>
      <c r="O150" s="7">
        <f>'1 datos preparados'!N143</f>
        <v/>
      </c>
      <c r="P150" s="7">
        <f>'1 datos preparados'!O143</f>
        <v/>
      </c>
      <c r="Q150" s="7">
        <f>'1 datos preparados'!P143</f>
        <v/>
      </c>
      <c r="R150" s="7">
        <f>'1 datos preparados'!Q143</f>
        <v/>
      </c>
      <c r="S150" s="7">
        <f>'1 datos preparados'!R143</f>
        <v/>
      </c>
      <c r="T150" s="7">
        <f>'1 datos preparados'!S143</f>
        <v/>
      </c>
      <c r="U150" s="7">
        <f>'1 datos preparados'!T143</f>
        <v/>
      </c>
      <c r="V150" s="8">
        <f>$AC$12+D150*$AC$13+E150*$AC$14+F150*$AC$15+G150*$AC$16+H150*$AC$17+I150*$AC$18+J150*$AC$19+K150*$AC$20+L150*$AC$21+M150*$AC$22+N150*$AC$23+O150*$AC$24+P150*$AC$25+Q150*$AC$26+R150*$AC$27+S150*$AC$28+T150*$AC$29+U150*$AC$30</f>
        <v/>
      </c>
      <c r="W150" s="8">
        <f>1/(1+EXP(-V150))</f>
        <v/>
      </c>
      <c r="X150" s="9">
        <f>-IF(C150=1,LN(W150),LN(1-W150))</f>
        <v/>
      </c>
      <c r="Y150" s="10">
        <f>IF(W150&gt;$AC$33,1,0)</f>
        <v/>
      </c>
      <c r="Z150">
        <f>IF(Y150=C150,1,0)</f>
        <v/>
      </c>
    </row>
    <row r="151">
      <c r="A151">
        <f>'1 datos preparados'!A144</f>
        <v/>
      </c>
      <c r="B151" s="5">
        <f>'1 datos preparados'!U144</f>
        <v/>
      </c>
      <c r="C151">
        <f>'1 datos preparados'!B144</f>
        <v/>
      </c>
      <c r="D151" s="7">
        <f>'1 datos preparados'!C144</f>
        <v/>
      </c>
      <c r="E151" s="7">
        <f>'1 datos preparados'!D144</f>
        <v/>
      </c>
      <c r="F151" s="7">
        <f>'1 datos preparados'!E144</f>
        <v/>
      </c>
      <c r="G151" s="7">
        <f>'1 datos preparados'!F144</f>
        <v/>
      </c>
      <c r="H151" s="7">
        <f>'1 datos preparados'!G144</f>
        <v/>
      </c>
      <c r="I151" s="7">
        <f>'1 datos preparados'!H144</f>
        <v/>
      </c>
      <c r="J151" s="7">
        <f>'1 datos preparados'!I144</f>
        <v/>
      </c>
      <c r="K151" s="7">
        <f>'1 datos preparados'!J144</f>
        <v/>
      </c>
      <c r="L151" s="7">
        <f>'1 datos preparados'!K144</f>
        <v/>
      </c>
      <c r="M151" s="7">
        <f>'1 datos preparados'!L144</f>
        <v/>
      </c>
      <c r="N151" s="7">
        <f>'1 datos preparados'!M144</f>
        <v/>
      </c>
      <c r="O151" s="7">
        <f>'1 datos preparados'!N144</f>
        <v/>
      </c>
      <c r="P151" s="7">
        <f>'1 datos preparados'!O144</f>
        <v/>
      </c>
      <c r="Q151" s="7">
        <f>'1 datos preparados'!P144</f>
        <v/>
      </c>
      <c r="R151" s="7">
        <f>'1 datos preparados'!Q144</f>
        <v/>
      </c>
      <c r="S151" s="7">
        <f>'1 datos preparados'!R144</f>
        <v/>
      </c>
      <c r="T151" s="7">
        <f>'1 datos preparados'!S144</f>
        <v/>
      </c>
      <c r="U151" s="7">
        <f>'1 datos preparados'!T144</f>
        <v/>
      </c>
      <c r="V151" s="8">
        <f>$AC$12+D151*$AC$13+E151*$AC$14+F151*$AC$15+G151*$AC$16+H151*$AC$17+I151*$AC$18+J151*$AC$19+K151*$AC$20+L151*$AC$21+M151*$AC$22+N151*$AC$23+O151*$AC$24+P151*$AC$25+Q151*$AC$26+R151*$AC$27+S151*$AC$28+T151*$AC$29+U151*$AC$30</f>
        <v/>
      </c>
      <c r="W151" s="8">
        <f>1/(1+EXP(-V151))</f>
        <v/>
      </c>
      <c r="X151" s="9">
        <f>-IF(C151=1,LN(W151),LN(1-W151))</f>
        <v/>
      </c>
      <c r="Y151" s="10">
        <f>IF(W151&gt;$AC$33,1,0)</f>
        <v/>
      </c>
      <c r="Z151">
        <f>IF(Y151=C151,1,0)</f>
        <v/>
      </c>
    </row>
    <row r="152">
      <c r="A152">
        <f>'1 datos preparados'!A145</f>
        <v/>
      </c>
      <c r="B152" s="5">
        <f>'1 datos preparados'!U145</f>
        <v/>
      </c>
      <c r="C152">
        <f>'1 datos preparados'!B145</f>
        <v/>
      </c>
      <c r="D152" s="7">
        <f>'1 datos preparados'!C145</f>
        <v/>
      </c>
      <c r="E152" s="7">
        <f>'1 datos preparados'!D145</f>
        <v/>
      </c>
      <c r="F152" s="7">
        <f>'1 datos preparados'!E145</f>
        <v/>
      </c>
      <c r="G152" s="7">
        <f>'1 datos preparados'!F145</f>
        <v/>
      </c>
      <c r="H152" s="7">
        <f>'1 datos preparados'!G145</f>
        <v/>
      </c>
      <c r="I152" s="7">
        <f>'1 datos preparados'!H145</f>
        <v/>
      </c>
      <c r="J152" s="7">
        <f>'1 datos preparados'!I145</f>
        <v/>
      </c>
      <c r="K152" s="7">
        <f>'1 datos preparados'!J145</f>
        <v/>
      </c>
      <c r="L152" s="7">
        <f>'1 datos preparados'!K145</f>
        <v/>
      </c>
      <c r="M152" s="7">
        <f>'1 datos preparados'!L145</f>
        <v/>
      </c>
      <c r="N152" s="7">
        <f>'1 datos preparados'!M145</f>
        <v/>
      </c>
      <c r="O152" s="7">
        <f>'1 datos preparados'!N145</f>
        <v/>
      </c>
      <c r="P152" s="7">
        <f>'1 datos preparados'!O145</f>
        <v/>
      </c>
      <c r="Q152" s="7">
        <f>'1 datos preparados'!P145</f>
        <v/>
      </c>
      <c r="R152" s="7">
        <f>'1 datos preparados'!Q145</f>
        <v/>
      </c>
      <c r="S152" s="7">
        <f>'1 datos preparados'!R145</f>
        <v/>
      </c>
      <c r="T152" s="7">
        <f>'1 datos preparados'!S145</f>
        <v/>
      </c>
      <c r="U152" s="7">
        <f>'1 datos preparados'!T145</f>
        <v/>
      </c>
      <c r="V152" s="8">
        <f>$AC$12+D152*$AC$13+E152*$AC$14+F152*$AC$15+G152*$AC$16+H152*$AC$17+I152*$AC$18+J152*$AC$19+K152*$AC$20+L152*$AC$21+M152*$AC$22+N152*$AC$23+O152*$AC$24+P152*$AC$25+Q152*$AC$26+R152*$AC$27+S152*$AC$28+T152*$AC$29+U152*$AC$30</f>
        <v/>
      </c>
      <c r="W152" s="8">
        <f>1/(1+EXP(-V152))</f>
        <v/>
      </c>
      <c r="X152" s="9">
        <f>-IF(C152=1,LN(W152),LN(1-W152))</f>
        <v/>
      </c>
      <c r="Y152" s="10">
        <f>IF(W152&gt;$AC$33,1,0)</f>
        <v/>
      </c>
      <c r="Z152">
        <f>IF(Y152=C152,1,0)</f>
        <v/>
      </c>
    </row>
    <row r="153">
      <c r="A153">
        <f>'1 datos preparados'!A146</f>
        <v/>
      </c>
      <c r="B153" s="5">
        <f>'1 datos preparados'!U146</f>
        <v/>
      </c>
      <c r="C153">
        <f>'1 datos preparados'!B146</f>
        <v/>
      </c>
      <c r="D153" s="7">
        <f>'1 datos preparados'!C146</f>
        <v/>
      </c>
      <c r="E153" s="7">
        <f>'1 datos preparados'!D146</f>
        <v/>
      </c>
      <c r="F153" s="7">
        <f>'1 datos preparados'!E146</f>
        <v/>
      </c>
      <c r="G153" s="7">
        <f>'1 datos preparados'!F146</f>
        <v/>
      </c>
      <c r="H153" s="7">
        <f>'1 datos preparados'!G146</f>
        <v/>
      </c>
      <c r="I153" s="7">
        <f>'1 datos preparados'!H146</f>
        <v/>
      </c>
      <c r="J153" s="7">
        <f>'1 datos preparados'!I146</f>
        <v/>
      </c>
      <c r="K153" s="7">
        <f>'1 datos preparados'!J146</f>
        <v/>
      </c>
      <c r="L153" s="7">
        <f>'1 datos preparados'!K146</f>
        <v/>
      </c>
      <c r="M153" s="7">
        <f>'1 datos preparados'!L146</f>
        <v/>
      </c>
      <c r="N153" s="7">
        <f>'1 datos preparados'!M146</f>
        <v/>
      </c>
      <c r="O153" s="7">
        <f>'1 datos preparados'!N146</f>
        <v/>
      </c>
      <c r="P153" s="7">
        <f>'1 datos preparados'!O146</f>
        <v/>
      </c>
      <c r="Q153" s="7">
        <f>'1 datos preparados'!P146</f>
        <v/>
      </c>
      <c r="R153" s="7">
        <f>'1 datos preparados'!Q146</f>
        <v/>
      </c>
      <c r="S153" s="7">
        <f>'1 datos preparados'!R146</f>
        <v/>
      </c>
      <c r="T153" s="7">
        <f>'1 datos preparados'!S146</f>
        <v/>
      </c>
      <c r="U153" s="7">
        <f>'1 datos preparados'!T146</f>
        <v/>
      </c>
      <c r="V153" s="8">
        <f>$AC$12+D153*$AC$13+E153*$AC$14+F153*$AC$15+G153*$AC$16+H153*$AC$17+I153*$AC$18+J153*$AC$19+K153*$AC$20+L153*$AC$21+M153*$AC$22+N153*$AC$23+O153*$AC$24+P153*$AC$25+Q153*$AC$26+R153*$AC$27+S153*$AC$28+T153*$AC$29+U153*$AC$30</f>
        <v/>
      </c>
      <c r="W153" s="8">
        <f>1/(1+EXP(-V153))</f>
        <v/>
      </c>
      <c r="X153" s="9">
        <f>-IF(C153=1,LN(W153),LN(1-W153))</f>
        <v/>
      </c>
      <c r="Y153" s="10">
        <f>IF(W153&gt;$AC$33,1,0)</f>
        <v/>
      </c>
      <c r="Z153">
        <f>IF(Y153=C153,1,0)</f>
        <v/>
      </c>
    </row>
    <row r="154">
      <c r="A154">
        <f>'1 datos preparados'!A147</f>
        <v/>
      </c>
      <c r="B154" s="5">
        <f>'1 datos preparados'!U147</f>
        <v/>
      </c>
      <c r="C154">
        <f>'1 datos preparados'!B147</f>
        <v/>
      </c>
      <c r="D154" s="7">
        <f>'1 datos preparados'!C147</f>
        <v/>
      </c>
      <c r="E154" s="7">
        <f>'1 datos preparados'!D147</f>
        <v/>
      </c>
      <c r="F154" s="7">
        <f>'1 datos preparados'!E147</f>
        <v/>
      </c>
      <c r="G154" s="7">
        <f>'1 datos preparados'!F147</f>
        <v/>
      </c>
      <c r="H154" s="7">
        <f>'1 datos preparados'!G147</f>
        <v/>
      </c>
      <c r="I154" s="7">
        <f>'1 datos preparados'!H147</f>
        <v/>
      </c>
      <c r="J154" s="7">
        <f>'1 datos preparados'!I147</f>
        <v/>
      </c>
      <c r="K154" s="7">
        <f>'1 datos preparados'!J147</f>
        <v/>
      </c>
      <c r="L154" s="7">
        <f>'1 datos preparados'!K147</f>
        <v/>
      </c>
      <c r="M154" s="7">
        <f>'1 datos preparados'!L147</f>
        <v/>
      </c>
      <c r="N154" s="7">
        <f>'1 datos preparados'!M147</f>
        <v/>
      </c>
      <c r="O154" s="7">
        <f>'1 datos preparados'!N147</f>
        <v/>
      </c>
      <c r="P154" s="7">
        <f>'1 datos preparados'!O147</f>
        <v/>
      </c>
      <c r="Q154" s="7">
        <f>'1 datos preparados'!P147</f>
        <v/>
      </c>
      <c r="R154" s="7">
        <f>'1 datos preparados'!Q147</f>
        <v/>
      </c>
      <c r="S154" s="7">
        <f>'1 datos preparados'!R147</f>
        <v/>
      </c>
      <c r="T154" s="7">
        <f>'1 datos preparados'!S147</f>
        <v/>
      </c>
      <c r="U154" s="7">
        <f>'1 datos preparados'!T147</f>
        <v/>
      </c>
      <c r="V154" s="8">
        <f>$AC$12+D154*$AC$13+E154*$AC$14+F154*$AC$15+G154*$AC$16+H154*$AC$17+I154*$AC$18+J154*$AC$19+K154*$AC$20+L154*$AC$21+M154*$AC$22+N154*$AC$23+O154*$AC$24+P154*$AC$25+Q154*$AC$26+R154*$AC$27+S154*$AC$28+T154*$AC$29+U154*$AC$30</f>
        <v/>
      </c>
      <c r="W154" s="8">
        <f>1/(1+EXP(-V154))</f>
        <v/>
      </c>
      <c r="X154" s="9">
        <f>-IF(C154=1,LN(W154),LN(1-W154))</f>
        <v/>
      </c>
      <c r="Y154" s="10">
        <f>IF(W154&gt;$AC$33,1,0)</f>
        <v/>
      </c>
      <c r="Z154">
        <f>IF(Y154=C154,1,0)</f>
        <v/>
      </c>
    </row>
    <row r="155">
      <c r="A155">
        <f>'1 datos preparados'!A148</f>
        <v/>
      </c>
      <c r="B155" s="5">
        <f>'1 datos preparados'!U148</f>
        <v/>
      </c>
      <c r="C155">
        <f>'1 datos preparados'!B148</f>
        <v/>
      </c>
      <c r="D155" s="7">
        <f>'1 datos preparados'!C148</f>
        <v/>
      </c>
      <c r="E155" s="7">
        <f>'1 datos preparados'!D148</f>
        <v/>
      </c>
      <c r="F155" s="7">
        <f>'1 datos preparados'!E148</f>
        <v/>
      </c>
      <c r="G155" s="7">
        <f>'1 datos preparados'!F148</f>
        <v/>
      </c>
      <c r="H155" s="7">
        <f>'1 datos preparados'!G148</f>
        <v/>
      </c>
      <c r="I155" s="7">
        <f>'1 datos preparados'!H148</f>
        <v/>
      </c>
      <c r="J155" s="7">
        <f>'1 datos preparados'!I148</f>
        <v/>
      </c>
      <c r="K155" s="7">
        <f>'1 datos preparados'!J148</f>
        <v/>
      </c>
      <c r="L155" s="7">
        <f>'1 datos preparados'!K148</f>
        <v/>
      </c>
      <c r="M155" s="7">
        <f>'1 datos preparados'!L148</f>
        <v/>
      </c>
      <c r="N155" s="7">
        <f>'1 datos preparados'!M148</f>
        <v/>
      </c>
      <c r="O155" s="7">
        <f>'1 datos preparados'!N148</f>
        <v/>
      </c>
      <c r="P155" s="7">
        <f>'1 datos preparados'!O148</f>
        <v/>
      </c>
      <c r="Q155" s="7">
        <f>'1 datos preparados'!P148</f>
        <v/>
      </c>
      <c r="R155" s="7">
        <f>'1 datos preparados'!Q148</f>
        <v/>
      </c>
      <c r="S155" s="7">
        <f>'1 datos preparados'!R148</f>
        <v/>
      </c>
      <c r="T155" s="7">
        <f>'1 datos preparados'!S148</f>
        <v/>
      </c>
      <c r="U155" s="7">
        <f>'1 datos preparados'!T148</f>
        <v/>
      </c>
      <c r="V155" s="8">
        <f>$AC$12+D155*$AC$13+E155*$AC$14+F155*$AC$15+G155*$AC$16+H155*$AC$17+I155*$AC$18+J155*$AC$19+K155*$AC$20+L155*$AC$21+M155*$AC$22+N155*$AC$23+O155*$AC$24+P155*$AC$25+Q155*$AC$26+R155*$AC$27+S155*$AC$28+T155*$AC$29+U155*$AC$30</f>
        <v/>
      </c>
      <c r="W155" s="8">
        <f>1/(1+EXP(-V155))</f>
        <v/>
      </c>
      <c r="X155" s="9">
        <f>-IF(C155=1,LN(W155),LN(1-W155))</f>
        <v/>
      </c>
      <c r="Y155" s="10">
        <f>IF(W155&gt;$AC$33,1,0)</f>
        <v/>
      </c>
      <c r="Z155">
        <f>IF(Y155=C155,1,0)</f>
        <v/>
      </c>
    </row>
    <row r="156">
      <c r="A156">
        <f>'1 datos preparados'!A149</f>
        <v/>
      </c>
      <c r="B156" s="5">
        <f>'1 datos preparados'!U149</f>
        <v/>
      </c>
      <c r="C156">
        <f>'1 datos preparados'!B149</f>
        <v/>
      </c>
      <c r="D156" s="7">
        <f>'1 datos preparados'!C149</f>
        <v/>
      </c>
      <c r="E156" s="7">
        <f>'1 datos preparados'!D149</f>
        <v/>
      </c>
      <c r="F156" s="7">
        <f>'1 datos preparados'!E149</f>
        <v/>
      </c>
      <c r="G156" s="7">
        <f>'1 datos preparados'!F149</f>
        <v/>
      </c>
      <c r="H156" s="7">
        <f>'1 datos preparados'!G149</f>
        <v/>
      </c>
      <c r="I156" s="7">
        <f>'1 datos preparados'!H149</f>
        <v/>
      </c>
      <c r="J156" s="7">
        <f>'1 datos preparados'!I149</f>
        <v/>
      </c>
      <c r="K156" s="7">
        <f>'1 datos preparados'!J149</f>
        <v/>
      </c>
      <c r="L156" s="7">
        <f>'1 datos preparados'!K149</f>
        <v/>
      </c>
      <c r="M156" s="7">
        <f>'1 datos preparados'!L149</f>
        <v/>
      </c>
      <c r="N156" s="7">
        <f>'1 datos preparados'!M149</f>
        <v/>
      </c>
      <c r="O156" s="7">
        <f>'1 datos preparados'!N149</f>
        <v/>
      </c>
      <c r="P156" s="7">
        <f>'1 datos preparados'!O149</f>
        <v/>
      </c>
      <c r="Q156" s="7">
        <f>'1 datos preparados'!P149</f>
        <v/>
      </c>
      <c r="R156" s="7">
        <f>'1 datos preparados'!Q149</f>
        <v/>
      </c>
      <c r="S156" s="7">
        <f>'1 datos preparados'!R149</f>
        <v/>
      </c>
      <c r="T156" s="7">
        <f>'1 datos preparados'!S149</f>
        <v/>
      </c>
      <c r="U156" s="7">
        <f>'1 datos preparados'!T149</f>
        <v/>
      </c>
      <c r="V156" s="8">
        <f>$AC$12+D156*$AC$13+E156*$AC$14+F156*$AC$15+G156*$AC$16+H156*$AC$17+I156*$AC$18+J156*$AC$19+K156*$AC$20+L156*$AC$21+M156*$AC$22+N156*$AC$23+O156*$AC$24+P156*$AC$25+Q156*$AC$26+R156*$AC$27+S156*$AC$28+T156*$AC$29+U156*$AC$30</f>
        <v/>
      </c>
      <c r="W156" s="8">
        <f>1/(1+EXP(-V156))</f>
        <v/>
      </c>
      <c r="X156" s="9">
        <f>-IF(C156=1,LN(W156),LN(1-W156))</f>
        <v/>
      </c>
      <c r="Y156" s="10">
        <f>IF(W156&gt;$AC$33,1,0)</f>
        <v/>
      </c>
      <c r="Z156">
        <f>IF(Y156=C156,1,0)</f>
        <v/>
      </c>
    </row>
    <row r="157">
      <c r="A157">
        <f>'1 datos preparados'!A150</f>
        <v/>
      </c>
      <c r="B157" s="5">
        <f>'1 datos preparados'!U150</f>
        <v/>
      </c>
      <c r="C157">
        <f>'1 datos preparados'!B150</f>
        <v/>
      </c>
      <c r="D157" s="7">
        <f>'1 datos preparados'!C150</f>
        <v/>
      </c>
      <c r="E157" s="7">
        <f>'1 datos preparados'!D150</f>
        <v/>
      </c>
      <c r="F157" s="7">
        <f>'1 datos preparados'!E150</f>
        <v/>
      </c>
      <c r="G157" s="7">
        <f>'1 datos preparados'!F150</f>
        <v/>
      </c>
      <c r="H157" s="7">
        <f>'1 datos preparados'!G150</f>
        <v/>
      </c>
      <c r="I157" s="7">
        <f>'1 datos preparados'!H150</f>
        <v/>
      </c>
      <c r="J157" s="7">
        <f>'1 datos preparados'!I150</f>
        <v/>
      </c>
      <c r="K157" s="7">
        <f>'1 datos preparados'!J150</f>
        <v/>
      </c>
      <c r="L157" s="7">
        <f>'1 datos preparados'!K150</f>
        <v/>
      </c>
      <c r="M157" s="7">
        <f>'1 datos preparados'!L150</f>
        <v/>
      </c>
      <c r="N157" s="7">
        <f>'1 datos preparados'!M150</f>
        <v/>
      </c>
      <c r="O157" s="7">
        <f>'1 datos preparados'!N150</f>
        <v/>
      </c>
      <c r="P157" s="7">
        <f>'1 datos preparados'!O150</f>
        <v/>
      </c>
      <c r="Q157" s="7">
        <f>'1 datos preparados'!P150</f>
        <v/>
      </c>
      <c r="R157" s="7">
        <f>'1 datos preparados'!Q150</f>
        <v/>
      </c>
      <c r="S157" s="7">
        <f>'1 datos preparados'!R150</f>
        <v/>
      </c>
      <c r="T157" s="7">
        <f>'1 datos preparados'!S150</f>
        <v/>
      </c>
      <c r="U157" s="7">
        <f>'1 datos preparados'!T150</f>
        <v/>
      </c>
      <c r="V157" s="8">
        <f>$AC$12+D157*$AC$13+E157*$AC$14+F157*$AC$15+G157*$AC$16+H157*$AC$17+I157*$AC$18+J157*$AC$19+K157*$AC$20+L157*$AC$21+M157*$AC$22+N157*$AC$23+O157*$AC$24+P157*$AC$25+Q157*$AC$26+R157*$AC$27+S157*$AC$28+T157*$AC$29+U157*$AC$30</f>
        <v/>
      </c>
      <c r="W157" s="8">
        <f>1/(1+EXP(-V157))</f>
        <v/>
      </c>
      <c r="X157" s="9">
        <f>-IF(C157=1,LN(W157),LN(1-W157))</f>
        <v/>
      </c>
      <c r="Y157" s="10">
        <f>IF(W157&gt;$AC$33,1,0)</f>
        <v/>
      </c>
      <c r="Z157">
        <f>IF(Y157=C157,1,0)</f>
        <v/>
      </c>
    </row>
    <row r="158">
      <c r="A158">
        <f>'1 datos preparados'!A151</f>
        <v/>
      </c>
      <c r="B158" s="5">
        <f>'1 datos preparados'!U151</f>
        <v/>
      </c>
      <c r="C158">
        <f>'1 datos preparados'!B151</f>
        <v/>
      </c>
      <c r="D158" s="7">
        <f>'1 datos preparados'!C151</f>
        <v/>
      </c>
      <c r="E158" s="7">
        <f>'1 datos preparados'!D151</f>
        <v/>
      </c>
      <c r="F158" s="7">
        <f>'1 datos preparados'!E151</f>
        <v/>
      </c>
      <c r="G158" s="7">
        <f>'1 datos preparados'!F151</f>
        <v/>
      </c>
      <c r="H158" s="7">
        <f>'1 datos preparados'!G151</f>
        <v/>
      </c>
      <c r="I158" s="7">
        <f>'1 datos preparados'!H151</f>
        <v/>
      </c>
      <c r="J158" s="7">
        <f>'1 datos preparados'!I151</f>
        <v/>
      </c>
      <c r="K158" s="7">
        <f>'1 datos preparados'!J151</f>
        <v/>
      </c>
      <c r="L158" s="7">
        <f>'1 datos preparados'!K151</f>
        <v/>
      </c>
      <c r="M158" s="7">
        <f>'1 datos preparados'!L151</f>
        <v/>
      </c>
      <c r="N158" s="7">
        <f>'1 datos preparados'!M151</f>
        <v/>
      </c>
      <c r="O158" s="7">
        <f>'1 datos preparados'!N151</f>
        <v/>
      </c>
      <c r="P158" s="7">
        <f>'1 datos preparados'!O151</f>
        <v/>
      </c>
      <c r="Q158" s="7">
        <f>'1 datos preparados'!P151</f>
        <v/>
      </c>
      <c r="R158" s="7">
        <f>'1 datos preparados'!Q151</f>
        <v/>
      </c>
      <c r="S158" s="7">
        <f>'1 datos preparados'!R151</f>
        <v/>
      </c>
      <c r="T158" s="7">
        <f>'1 datos preparados'!S151</f>
        <v/>
      </c>
      <c r="U158" s="7">
        <f>'1 datos preparados'!T151</f>
        <v/>
      </c>
      <c r="V158" s="8">
        <f>$AC$12+D158*$AC$13+E158*$AC$14+F158*$AC$15+G158*$AC$16+H158*$AC$17+I158*$AC$18+J158*$AC$19+K158*$AC$20+L158*$AC$21+M158*$AC$22+N158*$AC$23+O158*$AC$24+P158*$AC$25+Q158*$AC$26+R158*$AC$27+S158*$AC$28+T158*$AC$29+U158*$AC$30</f>
        <v/>
      </c>
      <c r="W158" s="8">
        <f>1/(1+EXP(-V158))</f>
        <v/>
      </c>
      <c r="X158" s="9">
        <f>-IF(C158=1,LN(W158),LN(1-W158))</f>
        <v/>
      </c>
      <c r="Y158" s="10">
        <f>IF(W158&gt;$AC$33,1,0)</f>
        <v/>
      </c>
      <c r="Z158">
        <f>IF(Y158=C158,1,0)</f>
        <v/>
      </c>
    </row>
    <row r="159">
      <c r="A159">
        <f>'1 datos preparados'!A152</f>
        <v/>
      </c>
      <c r="B159" s="5">
        <f>'1 datos preparados'!U152</f>
        <v/>
      </c>
      <c r="C159">
        <f>'1 datos preparados'!B152</f>
        <v/>
      </c>
      <c r="D159" s="7">
        <f>'1 datos preparados'!C152</f>
        <v/>
      </c>
      <c r="E159" s="7">
        <f>'1 datos preparados'!D152</f>
        <v/>
      </c>
      <c r="F159" s="7">
        <f>'1 datos preparados'!E152</f>
        <v/>
      </c>
      <c r="G159" s="7">
        <f>'1 datos preparados'!F152</f>
        <v/>
      </c>
      <c r="H159" s="7">
        <f>'1 datos preparados'!G152</f>
        <v/>
      </c>
      <c r="I159" s="7">
        <f>'1 datos preparados'!H152</f>
        <v/>
      </c>
      <c r="J159" s="7">
        <f>'1 datos preparados'!I152</f>
        <v/>
      </c>
      <c r="K159" s="7">
        <f>'1 datos preparados'!J152</f>
        <v/>
      </c>
      <c r="L159" s="7">
        <f>'1 datos preparados'!K152</f>
        <v/>
      </c>
      <c r="M159" s="7">
        <f>'1 datos preparados'!L152</f>
        <v/>
      </c>
      <c r="N159" s="7">
        <f>'1 datos preparados'!M152</f>
        <v/>
      </c>
      <c r="O159" s="7">
        <f>'1 datos preparados'!N152</f>
        <v/>
      </c>
      <c r="P159" s="7">
        <f>'1 datos preparados'!O152</f>
        <v/>
      </c>
      <c r="Q159" s="7">
        <f>'1 datos preparados'!P152</f>
        <v/>
      </c>
      <c r="R159" s="7">
        <f>'1 datos preparados'!Q152</f>
        <v/>
      </c>
      <c r="S159" s="7">
        <f>'1 datos preparados'!R152</f>
        <v/>
      </c>
      <c r="T159" s="7">
        <f>'1 datos preparados'!S152</f>
        <v/>
      </c>
      <c r="U159" s="7">
        <f>'1 datos preparados'!T152</f>
        <v/>
      </c>
      <c r="V159" s="8">
        <f>$AC$12+D159*$AC$13+E159*$AC$14+F159*$AC$15+G159*$AC$16+H159*$AC$17+I159*$AC$18+J159*$AC$19+K159*$AC$20+L159*$AC$21+M159*$AC$22+N159*$AC$23+O159*$AC$24+P159*$AC$25+Q159*$AC$26+R159*$AC$27+S159*$AC$28+T159*$AC$29+U159*$AC$30</f>
        <v/>
      </c>
      <c r="W159" s="8">
        <f>1/(1+EXP(-V159))</f>
        <v/>
      </c>
      <c r="X159" s="9">
        <f>-IF(C159=1,LN(W159),LN(1-W159))</f>
        <v/>
      </c>
      <c r="Y159" s="10">
        <f>IF(W159&gt;$AC$33,1,0)</f>
        <v/>
      </c>
      <c r="Z159">
        <f>IF(Y159=C159,1,0)</f>
        <v/>
      </c>
    </row>
    <row r="160">
      <c r="A160">
        <f>'1 datos preparados'!A153</f>
        <v/>
      </c>
      <c r="B160" s="5">
        <f>'1 datos preparados'!U153</f>
        <v/>
      </c>
      <c r="C160">
        <f>'1 datos preparados'!B153</f>
        <v/>
      </c>
      <c r="D160" s="7">
        <f>'1 datos preparados'!C153</f>
        <v/>
      </c>
      <c r="E160" s="7">
        <f>'1 datos preparados'!D153</f>
        <v/>
      </c>
      <c r="F160" s="7">
        <f>'1 datos preparados'!E153</f>
        <v/>
      </c>
      <c r="G160" s="7">
        <f>'1 datos preparados'!F153</f>
        <v/>
      </c>
      <c r="H160" s="7">
        <f>'1 datos preparados'!G153</f>
        <v/>
      </c>
      <c r="I160" s="7">
        <f>'1 datos preparados'!H153</f>
        <v/>
      </c>
      <c r="J160" s="7">
        <f>'1 datos preparados'!I153</f>
        <v/>
      </c>
      <c r="K160" s="7">
        <f>'1 datos preparados'!J153</f>
        <v/>
      </c>
      <c r="L160" s="7">
        <f>'1 datos preparados'!K153</f>
        <v/>
      </c>
      <c r="M160" s="7">
        <f>'1 datos preparados'!L153</f>
        <v/>
      </c>
      <c r="N160" s="7">
        <f>'1 datos preparados'!M153</f>
        <v/>
      </c>
      <c r="O160" s="7">
        <f>'1 datos preparados'!N153</f>
        <v/>
      </c>
      <c r="P160" s="7">
        <f>'1 datos preparados'!O153</f>
        <v/>
      </c>
      <c r="Q160" s="7">
        <f>'1 datos preparados'!P153</f>
        <v/>
      </c>
      <c r="R160" s="7">
        <f>'1 datos preparados'!Q153</f>
        <v/>
      </c>
      <c r="S160" s="7">
        <f>'1 datos preparados'!R153</f>
        <v/>
      </c>
      <c r="T160" s="7">
        <f>'1 datos preparados'!S153</f>
        <v/>
      </c>
      <c r="U160" s="7">
        <f>'1 datos preparados'!T153</f>
        <v/>
      </c>
      <c r="V160" s="8">
        <f>$AC$12+D160*$AC$13+E160*$AC$14+F160*$AC$15+G160*$AC$16+H160*$AC$17+I160*$AC$18+J160*$AC$19+K160*$AC$20+L160*$AC$21+M160*$AC$22+N160*$AC$23+O160*$AC$24+P160*$AC$25+Q160*$AC$26+R160*$AC$27+S160*$AC$28+T160*$AC$29+U160*$AC$30</f>
        <v/>
      </c>
      <c r="W160" s="8">
        <f>1/(1+EXP(-V160))</f>
        <v/>
      </c>
      <c r="X160" s="9">
        <f>-IF(C160=1,LN(W160),LN(1-W160))</f>
        <v/>
      </c>
      <c r="Y160" s="10">
        <f>IF(W160&gt;$AC$33,1,0)</f>
        <v/>
      </c>
      <c r="Z160">
        <f>IF(Y160=C160,1,0)</f>
        <v/>
      </c>
    </row>
    <row r="161">
      <c r="A161">
        <f>'1 datos preparados'!A154</f>
        <v/>
      </c>
      <c r="B161" s="5">
        <f>'1 datos preparados'!U154</f>
        <v/>
      </c>
      <c r="C161">
        <f>'1 datos preparados'!B154</f>
        <v/>
      </c>
      <c r="D161" s="7">
        <f>'1 datos preparados'!C154</f>
        <v/>
      </c>
      <c r="E161" s="7">
        <f>'1 datos preparados'!D154</f>
        <v/>
      </c>
      <c r="F161" s="7">
        <f>'1 datos preparados'!E154</f>
        <v/>
      </c>
      <c r="G161" s="7">
        <f>'1 datos preparados'!F154</f>
        <v/>
      </c>
      <c r="H161" s="7">
        <f>'1 datos preparados'!G154</f>
        <v/>
      </c>
      <c r="I161" s="7">
        <f>'1 datos preparados'!H154</f>
        <v/>
      </c>
      <c r="J161" s="7">
        <f>'1 datos preparados'!I154</f>
        <v/>
      </c>
      <c r="K161" s="7">
        <f>'1 datos preparados'!J154</f>
        <v/>
      </c>
      <c r="L161" s="7">
        <f>'1 datos preparados'!K154</f>
        <v/>
      </c>
      <c r="M161" s="7">
        <f>'1 datos preparados'!L154</f>
        <v/>
      </c>
      <c r="N161" s="7">
        <f>'1 datos preparados'!M154</f>
        <v/>
      </c>
      <c r="O161" s="7">
        <f>'1 datos preparados'!N154</f>
        <v/>
      </c>
      <c r="P161" s="7">
        <f>'1 datos preparados'!O154</f>
        <v/>
      </c>
      <c r="Q161" s="7">
        <f>'1 datos preparados'!P154</f>
        <v/>
      </c>
      <c r="R161" s="7">
        <f>'1 datos preparados'!Q154</f>
        <v/>
      </c>
      <c r="S161" s="7">
        <f>'1 datos preparados'!R154</f>
        <v/>
      </c>
      <c r="T161" s="7">
        <f>'1 datos preparados'!S154</f>
        <v/>
      </c>
      <c r="U161" s="7">
        <f>'1 datos preparados'!T154</f>
        <v/>
      </c>
      <c r="V161" s="8">
        <f>$AC$12+D161*$AC$13+E161*$AC$14+F161*$AC$15+G161*$AC$16+H161*$AC$17+I161*$AC$18+J161*$AC$19+K161*$AC$20+L161*$AC$21+M161*$AC$22+N161*$AC$23+O161*$AC$24+P161*$AC$25+Q161*$AC$26+R161*$AC$27+S161*$AC$28+T161*$AC$29+U161*$AC$30</f>
        <v/>
      </c>
      <c r="W161" s="8">
        <f>1/(1+EXP(-V161))</f>
        <v/>
      </c>
      <c r="X161" s="9">
        <f>-IF(C161=1,LN(W161),LN(1-W161))</f>
        <v/>
      </c>
      <c r="Y161" s="10">
        <f>IF(W161&gt;$AC$33,1,0)</f>
        <v/>
      </c>
      <c r="Z161">
        <f>IF(Y161=C161,1,0)</f>
        <v/>
      </c>
    </row>
    <row r="162">
      <c r="A162">
        <f>'1 datos preparados'!A155</f>
        <v/>
      </c>
      <c r="B162" s="5">
        <f>'1 datos preparados'!U155</f>
        <v/>
      </c>
      <c r="C162">
        <f>'1 datos preparados'!B155</f>
        <v/>
      </c>
      <c r="D162" s="7">
        <f>'1 datos preparados'!C155</f>
        <v/>
      </c>
      <c r="E162" s="7">
        <f>'1 datos preparados'!D155</f>
        <v/>
      </c>
      <c r="F162" s="7">
        <f>'1 datos preparados'!E155</f>
        <v/>
      </c>
      <c r="G162" s="7">
        <f>'1 datos preparados'!F155</f>
        <v/>
      </c>
      <c r="H162" s="7">
        <f>'1 datos preparados'!G155</f>
        <v/>
      </c>
      <c r="I162" s="7">
        <f>'1 datos preparados'!H155</f>
        <v/>
      </c>
      <c r="J162" s="7">
        <f>'1 datos preparados'!I155</f>
        <v/>
      </c>
      <c r="K162" s="7">
        <f>'1 datos preparados'!J155</f>
        <v/>
      </c>
      <c r="L162" s="7">
        <f>'1 datos preparados'!K155</f>
        <v/>
      </c>
      <c r="M162" s="7">
        <f>'1 datos preparados'!L155</f>
        <v/>
      </c>
      <c r="N162" s="7">
        <f>'1 datos preparados'!M155</f>
        <v/>
      </c>
      <c r="O162" s="7">
        <f>'1 datos preparados'!N155</f>
        <v/>
      </c>
      <c r="P162" s="7">
        <f>'1 datos preparados'!O155</f>
        <v/>
      </c>
      <c r="Q162" s="7">
        <f>'1 datos preparados'!P155</f>
        <v/>
      </c>
      <c r="R162" s="7">
        <f>'1 datos preparados'!Q155</f>
        <v/>
      </c>
      <c r="S162" s="7">
        <f>'1 datos preparados'!R155</f>
        <v/>
      </c>
      <c r="T162" s="7">
        <f>'1 datos preparados'!S155</f>
        <v/>
      </c>
      <c r="U162" s="7">
        <f>'1 datos preparados'!T155</f>
        <v/>
      </c>
      <c r="V162" s="8">
        <f>$AC$12+D162*$AC$13+E162*$AC$14+F162*$AC$15+G162*$AC$16+H162*$AC$17+I162*$AC$18+J162*$AC$19+K162*$AC$20+L162*$AC$21+M162*$AC$22+N162*$AC$23+O162*$AC$24+P162*$AC$25+Q162*$AC$26+R162*$AC$27+S162*$AC$28+T162*$AC$29+U162*$AC$30</f>
        <v/>
      </c>
      <c r="W162" s="8">
        <f>1/(1+EXP(-V162))</f>
        <v/>
      </c>
      <c r="X162" s="9">
        <f>-IF(C162=1,LN(W162),LN(1-W162))</f>
        <v/>
      </c>
      <c r="Y162" s="10">
        <f>IF(W162&gt;$AC$33,1,0)</f>
        <v/>
      </c>
      <c r="Z162">
        <f>IF(Y162=C162,1,0)</f>
        <v/>
      </c>
    </row>
    <row r="163">
      <c r="A163">
        <f>'1 datos preparados'!A156</f>
        <v/>
      </c>
      <c r="B163" s="5">
        <f>'1 datos preparados'!U156</f>
        <v/>
      </c>
      <c r="C163">
        <f>'1 datos preparados'!B156</f>
        <v/>
      </c>
      <c r="D163" s="7">
        <f>'1 datos preparados'!C156</f>
        <v/>
      </c>
      <c r="E163" s="7">
        <f>'1 datos preparados'!D156</f>
        <v/>
      </c>
      <c r="F163" s="7">
        <f>'1 datos preparados'!E156</f>
        <v/>
      </c>
      <c r="G163" s="7">
        <f>'1 datos preparados'!F156</f>
        <v/>
      </c>
      <c r="H163" s="7">
        <f>'1 datos preparados'!G156</f>
        <v/>
      </c>
      <c r="I163" s="7">
        <f>'1 datos preparados'!H156</f>
        <v/>
      </c>
      <c r="J163" s="7">
        <f>'1 datos preparados'!I156</f>
        <v/>
      </c>
      <c r="K163" s="7">
        <f>'1 datos preparados'!J156</f>
        <v/>
      </c>
      <c r="L163" s="7">
        <f>'1 datos preparados'!K156</f>
        <v/>
      </c>
      <c r="M163" s="7">
        <f>'1 datos preparados'!L156</f>
        <v/>
      </c>
      <c r="N163" s="7">
        <f>'1 datos preparados'!M156</f>
        <v/>
      </c>
      <c r="O163" s="7">
        <f>'1 datos preparados'!N156</f>
        <v/>
      </c>
      <c r="P163" s="7">
        <f>'1 datos preparados'!O156</f>
        <v/>
      </c>
      <c r="Q163" s="7">
        <f>'1 datos preparados'!P156</f>
        <v/>
      </c>
      <c r="R163" s="7">
        <f>'1 datos preparados'!Q156</f>
        <v/>
      </c>
      <c r="S163" s="7">
        <f>'1 datos preparados'!R156</f>
        <v/>
      </c>
      <c r="T163" s="7">
        <f>'1 datos preparados'!S156</f>
        <v/>
      </c>
      <c r="U163" s="7">
        <f>'1 datos preparados'!T156</f>
        <v/>
      </c>
      <c r="V163" s="8">
        <f>$AC$12+D163*$AC$13+E163*$AC$14+F163*$AC$15+G163*$AC$16+H163*$AC$17+I163*$AC$18+J163*$AC$19+K163*$AC$20+L163*$AC$21+M163*$AC$22+N163*$AC$23+O163*$AC$24+P163*$AC$25+Q163*$AC$26+R163*$AC$27+S163*$AC$28+T163*$AC$29+U163*$AC$30</f>
        <v/>
      </c>
      <c r="W163" s="8">
        <f>1/(1+EXP(-V163))</f>
        <v/>
      </c>
      <c r="X163" s="9">
        <f>-IF(C163=1,LN(W163),LN(1-W163))</f>
        <v/>
      </c>
      <c r="Y163" s="10">
        <f>IF(W163&gt;$AC$33,1,0)</f>
        <v/>
      </c>
      <c r="Z163">
        <f>IF(Y163=C163,1,0)</f>
        <v/>
      </c>
    </row>
    <row r="164">
      <c r="A164">
        <f>'1 datos preparados'!A157</f>
        <v/>
      </c>
      <c r="B164" s="5">
        <f>'1 datos preparados'!U157</f>
        <v/>
      </c>
      <c r="C164">
        <f>'1 datos preparados'!B157</f>
        <v/>
      </c>
      <c r="D164" s="7">
        <f>'1 datos preparados'!C157</f>
        <v/>
      </c>
      <c r="E164" s="7">
        <f>'1 datos preparados'!D157</f>
        <v/>
      </c>
      <c r="F164" s="7">
        <f>'1 datos preparados'!E157</f>
        <v/>
      </c>
      <c r="G164" s="7">
        <f>'1 datos preparados'!F157</f>
        <v/>
      </c>
      <c r="H164" s="7">
        <f>'1 datos preparados'!G157</f>
        <v/>
      </c>
      <c r="I164" s="7">
        <f>'1 datos preparados'!H157</f>
        <v/>
      </c>
      <c r="J164" s="7">
        <f>'1 datos preparados'!I157</f>
        <v/>
      </c>
      <c r="K164" s="7">
        <f>'1 datos preparados'!J157</f>
        <v/>
      </c>
      <c r="L164" s="7">
        <f>'1 datos preparados'!K157</f>
        <v/>
      </c>
      <c r="M164" s="7">
        <f>'1 datos preparados'!L157</f>
        <v/>
      </c>
      <c r="N164" s="7">
        <f>'1 datos preparados'!M157</f>
        <v/>
      </c>
      <c r="O164" s="7">
        <f>'1 datos preparados'!N157</f>
        <v/>
      </c>
      <c r="P164" s="7">
        <f>'1 datos preparados'!O157</f>
        <v/>
      </c>
      <c r="Q164" s="7">
        <f>'1 datos preparados'!P157</f>
        <v/>
      </c>
      <c r="R164" s="7">
        <f>'1 datos preparados'!Q157</f>
        <v/>
      </c>
      <c r="S164" s="7">
        <f>'1 datos preparados'!R157</f>
        <v/>
      </c>
      <c r="T164" s="7">
        <f>'1 datos preparados'!S157</f>
        <v/>
      </c>
      <c r="U164" s="7">
        <f>'1 datos preparados'!T157</f>
        <v/>
      </c>
      <c r="V164" s="8">
        <f>$AC$12+D164*$AC$13+E164*$AC$14+F164*$AC$15+G164*$AC$16+H164*$AC$17+I164*$AC$18+J164*$AC$19+K164*$AC$20+L164*$AC$21+M164*$AC$22+N164*$AC$23+O164*$AC$24+P164*$AC$25+Q164*$AC$26+R164*$AC$27+S164*$AC$28+T164*$AC$29+U164*$AC$30</f>
        <v/>
      </c>
      <c r="W164" s="8">
        <f>1/(1+EXP(-V164))</f>
        <v/>
      </c>
      <c r="X164" s="9">
        <f>-IF(C164=1,LN(W164),LN(1-W164))</f>
        <v/>
      </c>
      <c r="Y164" s="10">
        <f>IF(W164&gt;$AC$33,1,0)</f>
        <v/>
      </c>
      <c r="Z164">
        <f>IF(Y164=C164,1,0)</f>
        <v/>
      </c>
    </row>
    <row r="165">
      <c r="A165">
        <f>'1 datos preparados'!A158</f>
        <v/>
      </c>
      <c r="B165" s="5">
        <f>'1 datos preparados'!U158</f>
        <v/>
      </c>
      <c r="C165">
        <f>'1 datos preparados'!B158</f>
        <v/>
      </c>
      <c r="D165" s="7">
        <f>'1 datos preparados'!C158</f>
        <v/>
      </c>
      <c r="E165" s="7">
        <f>'1 datos preparados'!D158</f>
        <v/>
      </c>
      <c r="F165" s="7">
        <f>'1 datos preparados'!E158</f>
        <v/>
      </c>
      <c r="G165" s="7">
        <f>'1 datos preparados'!F158</f>
        <v/>
      </c>
      <c r="H165" s="7">
        <f>'1 datos preparados'!G158</f>
        <v/>
      </c>
      <c r="I165" s="7">
        <f>'1 datos preparados'!H158</f>
        <v/>
      </c>
      <c r="J165" s="7">
        <f>'1 datos preparados'!I158</f>
        <v/>
      </c>
      <c r="K165" s="7">
        <f>'1 datos preparados'!J158</f>
        <v/>
      </c>
      <c r="L165" s="7">
        <f>'1 datos preparados'!K158</f>
        <v/>
      </c>
      <c r="M165" s="7">
        <f>'1 datos preparados'!L158</f>
        <v/>
      </c>
      <c r="N165" s="7">
        <f>'1 datos preparados'!M158</f>
        <v/>
      </c>
      <c r="O165" s="7">
        <f>'1 datos preparados'!N158</f>
        <v/>
      </c>
      <c r="P165" s="7">
        <f>'1 datos preparados'!O158</f>
        <v/>
      </c>
      <c r="Q165" s="7">
        <f>'1 datos preparados'!P158</f>
        <v/>
      </c>
      <c r="R165" s="7">
        <f>'1 datos preparados'!Q158</f>
        <v/>
      </c>
      <c r="S165" s="7">
        <f>'1 datos preparados'!R158</f>
        <v/>
      </c>
      <c r="T165" s="7">
        <f>'1 datos preparados'!S158</f>
        <v/>
      </c>
      <c r="U165" s="7">
        <f>'1 datos preparados'!T158</f>
        <v/>
      </c>
      <c r="V165" s="8">
        <f>$AC$12+D165*$AC$13+E165*$AC$14+F165*$AC$15+G165*$AC$16+H165*$AC$17+I165*$AC$18+J165*$AC$19+K165*$AC$20+L165*$AC$21+M165*$AC$22+N165*$AC$23+O165*$AC$24+P165*$AC$25+Q165*$AC$26+R165*$AC$27+S165*$AC$28+T165*$AC$29+U165*$AC$30</f>
        <v/>
      </c>
      <c r="W165" s="8">
        <f>1/(1+EXP(-V165))</f>
        <v/>
      </c>
      <c r="X165" s="9">
        <f>-IF(C165=1,LN(W165),LN(1-W165))</f>
        <v/>
      </c>
      <c r="Y165" s="10">
        <f>IF(W165&gt;$AC$33,1,0)</f>
        <v/>
      </c>
      <c r="Z165">
        <f>IF(Y165=C165,1,0)</f>
        <v/>
      </c>
    </row>
    <row r="166">
      <c r="A166">
        <f>'1 datos preparados'!A159</f>
        <v/>
      </c>
      <c r="B166" s="5">
        <f>'1 datos preparados'!U159</f>
        <v/>
      </c>
      <c r="C166">
        <f>'1 datos preparados'!B159</f>
        <v/>
      </c>
      <c r="D166" s="7">
        <f>'1 datos preparados'!C159</f>
        <v/>
      </c>
      <c r="E166" s="7">
        <f>'1 datos preparados'!D159</f>
        <v/>
      </c>
      <c r="F166" s="7">
        <f>'1 datos preparados'!E159</f>
        <v/>
      </c>
      <c r="G166" s="7">
        <f>'1 datos preparados'!F159</f>
        <v/>
      </c>
      <c r="H166" s="7">
        <f>'1 datos preparados'!G159</f>
        <v/>
      </c>
      <c r="I166" s="7">
        <f>'1 datos preparados'!H159</f>
        <v/>
      </c>
      <c r="J166" s="7">
        <f>'1 datos preparados'!I159</f>
        <v/>
      </c>
      <c r="K166" s="7">
        <f>'1 datos preparados'!J159</f>
        <v/>
      </c>
      <c r="L166" s="7">
        <f>'1 datos preparados'!K159</f>
        <v/>
      </c>
      <c r="M166" s="7">
        <f>'1 datos preparados'!L159</f>
        <v/>
      </c>
      <c r="N166" s="7">
        <f>'1 datos preparados'!M159</f>
        <v/>
      </c>
      <c r="O166" s="7">
        <f>'1 datos preparados'!N159</f>
        <v/>
      </c>
      <c r="P166" s="7">
        <f>'1 datos preparados'!O159</f>
        <v/>
      </c>
      <c r="Q166" s="7">
        <f>'1 datos preparados'!P159</f>
        <v/>
      </c>
      <c r="R166" s="7">
        <f>'1 datos preparados'!Q159</f>
        <v/>
      </c>
      <c r="S166" s="7">
        <f>'1 datos preparados'!R159</f>
        <v/>
      </c>
      <c r="T166" s="7">
        <f>'1 datos preparados'!S159</f>
        <v/>
      </c>
      <c r="U166" s="7">
        <f>'1 datos preparados'!T159</f>
        <v/>
      </c>
      <c r="V166" s="8">
        <f>$AC$12+D166*$AC$13+E166*$AC$14+F166*$AC$15+G166*$AC$16+H166*$AC$17+I166*$AC$18+J166*$AC$19+K166*$AC$20+L166*$AC$21+M166*$AC$22+N166*$AC$23+O166*$AC$24+P166*$AC$25+Q166*$AC$26+R166*$AC$27+S166*$AC$28+T166*$AC$29+U166*$AC$30</f>
        <v/>
      </c>
      <c r="W166" s="8">
        <f>1/(1+EXP(-V166))</f>
        <v/>
      </c>
      <c r="X166" s="9">
        <f>-IF(C166=1,LN(W166),LN(1-W166))</f>
        <v/>
      </c>
      <c r="Y166" s="10">
        <f>IF(W166&gt;$AC$33,1,0)</f>
        <v/>
      </c>
      <c r="Z166">
        <f>IF(Y166=C166,1,0)</f>
        <v/>
      </c>
    </row>
    <row r="167">
      <c r="A167">
        <f>'1 datos preparados'!A160</f>
        <v/>
      </c>
      <c r="B167" s="5">
        <f>'1 datos preparados'!U160</f>
        <v/>
      </c>
      <c r="C167">
        <f>'1 datos preparados'!B160</f>
        <v/>
      </c>
      <c r="D167" s="7">
        <f>'1 datos preparados'!C160</f>
        <v/>
      </c>
      <c r="E167" s="7">
        <f>'1 datos preparados'!D160</f>
        <v/>
      </c>
      <c r="F167" s="7">
        <f>'1 datos preparados'!E160</f>
        <v/>
      </c>
      <c r="G167" s="7">
        <f>'1 datos preparados'!F160</f>
        <v/>
      </c>
      <c r="H167" s="7">
        <f>'1 datos preparados'!G160</f>
        <v/>
      </c>
      <c r="I167" s="7">
        <f>'1 datos preparados'!H160</f>
        <v/>
      </c>
      <c r="J167" s="7">
        <f>'1 datos preparados'!I160</f>
        <v/>
      </c>
      <c r="K167" s="7">
        <f>'1 datos preparados'!J160</f>
        <v/>
      </c>
      <c r="L167" s="7">
        <f>'1 datos preparados'!K160</f>
        <v/>
      </c>
      <c r="M167" s="7">
        <f>'1 datos preparados'!L160</f>
        <v/>
      </c>
      <c r="N167" s="7">
        <f>'1 datos preparados'!M160</f>
        <v/>
      </c>
      <c r="O167" s="7">
        <f>'1 datos preparados'!N160</f>
        <v/>
      </c>
      <c r="P167" s="7">
        <f>'1 datos preparados'!O160</f>
        <v/>
      </c>
      <c r="Q167" s="7">
        <f>'1 datos preparados'!P160</f>
        <v/>
      </c>
      <c r="R167" s="7">
        <f>'1 datos preparados'!Q160</f>
        <v/>
      </c>
      <c r="S167" s="7">
        <f>'1 datos preparados'!R160</f>
        <v/>
      </c>
      <c r="T167" s="7">
        <f>'1 datos preparados'!S160</f>
        <v/>
      </c>
      <c r="U167" s="7">
        <f>'1 datos preparados'!T160</f>
        <v/>
      </c>
      <c r="V167" s="8">
        <f>$AC$12+D167*$AC$13+E167*$AC$14+F167*$AC$15+G167*$AC$16+H167*$AC$17+I167*$AC$18+J167*$AC$19+K167*$AC$20+L167*$AC$21+M167*$AC$22+N167*$AC$23+O167*$AC$24+P167*$AC$25+Q167*$AC$26+R167*$AC$27+S167*$AC$28+T167*$AC$29+U167*$AC$30</f>
        <v/>
      </c>
      <c r="W167" s="8">
        <f>1/(1+EXP(-V167))</f>
        <v/>
      </c>
      <c r="X167" s="9">
        <f>-IF(C167=1,LN(W167),LN(1-W167))</f>
        <v/>
      </c>
      <c r="Y167" s="10">
        <f>IF(W167&gt;$AC$33,1,0)</f>
        <v/>
      </c>
      <c r="Z167">
        <f>IF(Y167=C167,1,0)</f>
        <v/>
      </c>
    </row>
    <row r="168">
      <c r="A168">
        <f>'1 datos preparados'!A161</f>
        <v/>
      </c>
      <c r="B168" s="5">
        <f>'1 datos preparados'!U161</f>
        <v/>
      </c>
      <c r="C168">
        <f>'1 datos preparados'!B161</f>
        <v/>
      </c>
      <c r="D168" s="7">
        <f>'1 datos preparados'!C161</f>
        <v/>
      </c>
      <c r="E168" s="7">
        <f>'1 datos preparados'!D161</f>
        <v/>
      </c>
      <c r="F168" s="7">
        <f>'1 datos preparados'!E161</f>
        <v/>
      </c>
      <c r="G168" s="7">
        <f>'1 datos preparados'!F161</f>
        <v/>
      </c>
      <c r="H168" s="7">
        <f>'1 datos preparados'!G161</f>
        <v/>
      </c>
      <c r="I168" s="7">
        <f>'1 datos preparados'!H161</f>
        <v/>
      </c>
      <c r="J168" s="7">
        <f>'1 datos preparados'!I161</f>
        <v/>
      </c>
      <c r="K168" s="7">
        <f>'1 datos preparados'!J161</f>
        <v/>
      </c>
      <c r="L168" s="7">
        <f>'1 datos preparados'!K161</f>
        <v/>
      </c>
      <c r="M168" s="7">
        <f>'1 datos preparados'!L161</f>
        <v/>
      </c>
      <c r="N168" s="7">
        <f>'1 datos preparados'!M161</f>
        <v/>
      </c>
      <c r="O168" s="7">
        <f>'1 datos preparados'!N161</f>
        <v/>
      </c>
      <c r="P168" s="7">
        <f>'1 datos preparados'!O161</f>
        <v/>
      </c>
      <c r="Q168" s="7">
        <f>'1 datos preparados'!P161</f>
        <v/>
      </c>
      <c r="R168" s="7">
        <f>'1 datos preparados'!Q161</f>
        <v/>
      </c>
      <c r="S168" s="7">
        <f>'1 datos preparados'!R161</f>
        <v/>
      </c>
      <c r="T168" s="7">
        <f>'1 datos preparados'!S161</f>
        <v/>
      </c>
      <c r="U168" s="7">
        <f>'1 datos preparados'!T161</f>
        <v/>
      </c>
      <c r="V168" s="8">
        <f>$AC$12+D168*$AC$13+E168*$AC$14+F168*$AC$15+G168*$AC$16+H168*$AC$17+I168*$AC$18+J168*$AC$19+K168*$AC$20+L168*$AC$21+M168*$AC$22+N168*$AC$23+O168*$AC$24+P168*$AC$25+Q168*$AC$26+R168*$AC$27+S168*$AC$28+T168*$AC$29+U168*$AC$30</f>
        <v/>
      </c>
      <c r="W168" s="8">
        <f>1/(1+EXP(-V168))</f>
        <v/>
      </c>
      <c r="X168" s="9">
        <f>-IF(C168=1,LN(W168),LN(1-W168))</f>
        <v/>
      </c>
      <c r="Y168" s="10">
        <f>IF(W168&gt;$AC$33,1,0)</f>
        <v/>
      </c>
      <c r="Z168">
        <f>IF(Y168=C168,1,0)</f>
        <v/>
      </c>
    </row>
    <row r="169">
      <c r="A169">
        <f>'1 datos preparados'!A162</f>
        <v/>
      </c>
      <c r="B169" s="5">
        <f>'1 datos preparados'!U162</f>
        <v/>
      </c>
      <c r="C169">
        <f>'1 datos preparados'!B162</f>
        <v/>
      </c>
      <c r="D169" s="7">
        <f>'1 datos preparados'!C162</f>
        <v/>
      </c>
      <c r="E169" s="7">
        <f>'1 datos preparados'!D162</f>
        <v/>
      </c>
      <c r="F169" s="7">
        <f>'1 datos preparados'!E162</f>
        <v/>
      </c>
      <c r="G169" s="7">
        <f>'1 datos preparados'!F162</f>
        <v/>
      </c>
      <c r="H169" s="7">
        <f>'1 datos preparados'!G162</f>
        <v/>
      </c>
      <c r="I169" s="7">
        <f>'1 datos preparados'!H162</f>
        <v/>
      </c>
      <c r="J169" s="7">
        <f>'1 datos preparados'!I162</f>
        <v/>
      </c>
      <c r="K169" s="7">
        <f>'1 datos preparados'!J162</f>
        <v/>
      </c>
      <c r="L169" s="7">
        <f>'1 datos preparados'!K162</f>
        <v/>
      </c>
      <c r="M169" s="7">
        <f>'1 datos preparados'!L162</f>
        <v/>
      </c>
      <c r="N169" s="7">
        <f>'1 datos preparados'!M162</f>
        <v/>
      </c>
      <c r="O169" s="7">
        <f>'1 datos preparados'!N162</f>
        <v/>
      </c>
      <c r="P169" s="7">
        <f>'1 datos preparados'!O162</f>
        <v/>
      </c>
      <c r="Q169" s="7">
        <f>'1 datos preparados'!P162</f>
        <v/>
      </c>
      <c r="R169" s="7">
        <f>'1 datos preparados'!Q162</f>
        <v/>
      </c>
      <c r="S169" s="7">
        <f>'1 datos preparados'!R162</f>
        <v/>
      </c>
      <c r="T169" s="7">
        <f>'1 datos preparados'!S162</f>
        <v/>
      </c>
      <c r="U169" s="7">
        <f>'1 datos preparados'!T162</f>
        <v/>
      </c>
      <c r="V169" s="8">
        <f>$AC$12+D169*$AC$13+E169*$AC$14+F169*$AC$15+G169*$AC$16+H169*$AC$17+I169*$AC$18+J169*$AC$19+K169*$AC$20+L169*$AC$21+M169*$AC$22+N169*$AC$23+O169*$AC$24+P169*$AC$25+Q169*$AC$26+R169*$AC$27+S169*$AC$28+T169*$AC$29+U169*$AC$30</f>
        <v/>
      </c>
      <c r="W169" s="8">
        <f>1/(1+EXP(-V169))</f>
        <v/>
      </c>
      <c r="X169" s="9">
        <f>-IF(C169=1,LN(W169),LN(1-W169))</f>
        <v/>
      </c>
      <c r="Y169" s="10">
        <f>IF(W169&gt;$AC$33,1,0)</f>
        <v/>
      </c>
      <c r="Z169">
        <f>IF(Y169=C169,1,0)</f>
        <v/>
      </c>
    </row>
    <row r="170">
      <c r="A170">
        <f>'1 datos preparados'!A163</f>
        <v/>
      </c>
      <c r="B170" s="5">
        <f>'1 datos preparados'!U163</f>
        <v/>
      </c>
      <c r="C170">
        <f>'1 datos preparados'!B163</f>
        <v/>
      </c>
      <c r="D170" s="7">
        <f>'1 datos preparados'!C163</f>
        <v/>
      </c>
      <c r="E170" s="7">
        <f>'1 datos preparados'!D163</f>
        <v/>
      </c>
      <c r="F170" s="7">
        <f>'1 datos preparados'!E163</f>
        <v/>
      </c>
      <c r="G170" s="7">
        <f>'1 datos preparados'!F163</f>
        <v/>
      </c>
      <c r="H170" s="7">
        <f>'1 datos preparados'!G163</f>
        <v/>
      </c>
      <c r="I170" s="7">
        <f>'1 datos preparados'!H163</f>
        <v/>
      </c>
      <c r="J170" s="7">
        <f>'1 datos preparados'!I163</f>
        <v/>
      </c>
      <c r="K170" s="7">
        <f>'1 datos preparados'!J163</f>
        <v/>
      </c>
      <c r="L170" s="7">
        <f>'1 datos preparados'!K163</f>
        <v/>
      </c>
      <c r="M170" s="7">
        <f>'1 datos preparados'!L163</f>
        <v/>
      </c>
      <c r="N170" s="7">
        <f>'1 datos preparados'!M163</f>
        <v/>
      </c>
      <c r="O170" s="7">
        <f>'1 datos preparados'!N163</f>
        <v/>
      </c>
      <c r="P170" s="7">
        <f>'1 datos preparados'!O163</f>
        <v/>
      </c>
      <c r="Q170" s="7">
        <f>'1 datos preparados'!P163</f>
        <v/>
      </c>
      <c r="R170" s="7">
        <f>'1 datos preparados'!Q163</f>
        <v/>
      </c>
      <c r="S170" s="7">
        <f>'1 datos preparados'!R163</f>
        <v/>
      </c>
      <c r="T170" s="7">
        <f>'1 datos preparados'!S163</f>
        <v/>
      </c>
      <c r="U170" s="7">
        <f>'1 datos preparados'!T163</f>
        <v/>
      </c>
      <c r="V170" s="8">
        <f>$AC$12+D170*$AC$13+E170*$AC$14+F170*$AC$15+G170*$AC$16+H170*$AC$17+I170*$AC$18+J170*$AC$19+K170*$AC$20+L170*$AC$21+M170*$AC$22+N170*$AC$23+O170*$AC$24+P170*$AC$25+Q170*$AC$26+R170*$AC$27+S170*$AC$28+T170*$AC$29+U170*$AC$30</f>
        <v/>
      </c>
      <c r="W170" s="8">
        <f>1/(1+EXP(-V170))</f>
        <v/>
      </c>
      <c r="X170" s="9">
        <f>-IF(C170=1,LN(W170),LN(1-W170))</f>
        <v/>
      </c>
      <c r="Y170" s="10">
        <f>IF(W170&gt;$AC$33,1,0)</f>
        <v/>
      </c>
      <c r="Z170">
        <f>IF(Y170=C170,1,0)</f>
        <v/>
      </c>
    </row>
    <row r="171">
      <c r="A171">
        <f>'1 datos preparados'!A164</f>
        <v/>
      </c>
      <c r="B171" s="5">
        <f>'1 datos preparados'!U164</f>
        <v/>
      </c>
      <c r="C171">
        <f>'1 datos preparados'!B164</f>
        <v/>
      </c>
      <c r="D171" s="7">
        <f>'1 datos preparados'!C164</f>
        <v/>
      </c>
      <c r="E171" s="7">
        <f>'1 datos preparados'!D164</f>
        <v/>
      </c>
      <c r="F171" s="7">
        <f>'1 datos preparados'!E164</f>
        <v/>
      </c>
      <c r="G171" s="7">
        <f>'1 datos preparados'!F164</f>
        <v/>
      </c>
      <c r="H171" s="7">
        <f>'1 datos preparados'!G164</f>
        <v/>
      </c>
      <c r="I171" s="7">
        <f>'1 datos preparados'!H164</f>
        <v/>
      </c>
      <c r="J171" s="7">
        <f>'1 datos preparados'!I164</f>
        <v/>
      </c>
      <c r="K171" s="7">
        <f>'1 datos preparados'!J164</f>
        <v/>
      </c>
      <c r="L171" s="7">
        <f>'1 datos preparados'!K164</f>
        <v/>
      </c>
      <c r="M171" s="7">
        <f>'1 datos preparados'!L164</f>
        <v/>
      </c>
      <c r="N171" s="7">
        <f>'1 datos preparados'!M164</f>
        <v/>
      </c>
      <c r="O171" s="7">
        <f>'1 datos preparados'!N164</f>
        <v/>
      </c>
      <c r="P171" s="7">
        <f>'1 datos preparados'!O164</f>
        <v/>
      </c>
      <c r="Q171" s="7">
        <f>'1 datos preparados'!P164</f>
        <v/>
      </c>
      <c r="R171" s="7">
        <f>'1 datos preparados'!Q164</f>
        <v/>
      </c>
      <c r="S171" s="7">
        <f>'1 datos preparados'!R164</f>
        <v/>
      </c>
      <c r="T171" s="7">
        <f>'1 datos preparados'!S164</f>
        <v/>
      </c>
      <c r="U171" s="7">
        <f>'1 datos preparados'!T164</f>
        <v/>
      </c>
      <c r="V171" s="8">
        <f>$AC$12+D171*$AC$13+E171*$AC$14+F171*$AC$15+G171*$AC$16+H171*$AC$17+I171*$AC$18+J171*$AC$19+K171*$AC$20+L171*$AC$21+M171*$AC$22+N171*$AC$23+O171*$AC$24+P171*$AC$25+Q171*$AC$26+R171*$AC$27+S171*$AC$28+T171*$AC$29+U171*$AC$30</f>
        <v/>
      </c>
      <c r="W171" s="8">
        <f>1/(1+EXP(-V171))</f>
        <v/>
      </c>
      <c r="X171" s="9">
        <f>-IF(C171=1,LN(W171),LN(1-W171))</f>
        <v/>
      </c>
      <c r="Y171" s="10">
        <f>IF(W171&gt;$AC$33,1,0)</f>
        <v/>
      </c>
      <c r="Z171">
        <f>IF(Y171=C171,1,0)</f>
        <v/>
      </c>
    </row>
    <row r="172">
      <c r="A172">
        <f>'1 datos preparados'!A165</f>
        <v/>
      </c>
      <c r="B172" s="5">
        <f>'1 datos preparados'!U165</f>
        <v/>
      </c>
      <c r="C172">
        <f>'1 datos preparados'!B165</f>
        <v/>
      </c>
      <c r="D172" s="7">
        <f>'1 datos preparados'!C165</f>
        <v/>
      </c>
      <c r="E172" s="7">
        <f>'1 datos preparados'!D165</f>
        <v/>
      </c>
      <c r="F172" s="7">
        <f>'1 datos preparados'!E165</f>
        <v/>
      </c>
      <c r="G172" s="7">
        <f>'1 datos preparados'!F165</f>
        <v/>
      </c>
      <c r="H172" s="7">
        <f>'1 datos preparados'!G165</f>
        <v/>
      </c>
      <c r="I172" s="7">
        <f>'1 datos preparados'!H165</f>
        <v/>
      </c>
      <c r="J172" s="7">
        <f>'1 datos preparados'!I165</f>
        <v/>
      </c>
      <c r="K172" s="7">
        <f>'1 datos preparados'!J165</f>
        <v/>
      </c>
      <c r="L172" s="7">
        <f>'1 datos preparados'!K165</f>
        <v/>
      </c>
      <c r="M172" s="7">
        <f>'1 datos preparados'!L165</f>
        <v/>
      </c>
      <c r="N172" s="7">
        <f>'1 datos preparados'!M165</f>
        <v/>
      </c>
      <c r="O172" s="7">
        <f>'1 datos preparados'!N165</f>
        <v/>
      </c>
      <c r="P172" s="7">
        <f>'1 datos preparados'!O165</f>
        <v/>
      </c>
      <c r="Q172" s="7">
        <f>'1 datos preparados'!P165</f>
        <v/>
      </c>
      <c r="R172" s="7">
        <f>'1 datos preparados'!Q165</f>
        <v/>
      </c>
      <c r="S172" s="7">
        <f>'1 datos preparados'!R165</f>
        <v/>
      </c>
      <c r="T172" s="7">
        <f>'1 datos preparados'!S165</f>
        <v/>
      </c>
      <c r="U172" s="7">
        <f>'1 datos preparados'!T165</f>
        <v/>
      </c>
      <c r="V172" s="8">
        <f>$AC$12+D172*$AC$13+E172*$AC$14+F172*$AC$15+G172*$AC$16+H172*$AC$17+I172*$AC$18+J172*$AC$19+K172*$AC$20+L172*$AC$21+M172*$AC$22+N172*$AC$23+O172*$AC$24+P172*$AC$25+Q172*$AC$26+R172*$AC$27+S172*$AC$28+T172*$AC$29+U172*$AC$30</f>
        <v/>
      </c>
      <c r="W172" s="8">
        <f>1/(1+EXP(-V172))</f>
        <v/>
      </c>
      <c r="X172" s="9">
        <f>-IF(C172=1,LN(W172),LN(1-W172))</f>
        <v/>
      </c>
      <c r="Y172" s="10">
        <f>IF(W172&gt;$AC$33,1,0)</f>
        <v/>
      </c>
      <c r="Z172">
        <f>IF(Y172=C172,1,0)</f>
        <v/>
      </c>
    </row>
    <row r="173">
      <c r="A173">
        <f>'1 datos preparados'!A166</f>
        <v/>
      </c>
      <c r="B173" s="5">
        <f>'1 datos preparados'!U166</f>
        <v/>
      </c>
      <c r="C173">
        <f>'1 datos preparados'!B166</f>
        <v/>
      </c>
      <c r="D173" s="7">
        <f>'1 datos preparados'!C166</f>
        <v/>
      </c>
      <c r="E173" s="7">
        <f>'1 datos preparados'!D166</f>
        <v/>
      </c>
      <c r="F173" s="7">
        <f>'1 datos preparados'!E166</f>
        <v/>
      </c>
      <c r="G173" s="7">
        <f>'1 datos preparados'!F166</f>
        <v/>
      </c>
      <c r="H173" s="7">
        <f>'1 datos preparados'!G166</f>
        <v/>
      </c>
      <c r="I173" s="7">
        <f>'1 datos preparados'!H166</f>
        <v/>
      </c>
      <c r="J173" s="7">
        <f>'1 datos preparados'!I166</f>
        <v/>
      </c>
      <c r="K173" s="7">
        <f>'1 datos preparados'!J166</f>
        <v/>
      </c>
      <c r="L173" s="7">
        <f>'1 datos preparados'!K166</f>
        <v/>
      </c>
      <c r="M173" s="7">
        <f>'1 datos preparados'!L166</f>
        <v/>
      </c>
      <c r="N173" s="7">
        <f>'1 datos preparados'!M166</f>
        <v/>
      </c>
      <c r="O173" s="7">
        <f>'1 datos preparados'!N166</f>
        <v/>
      </c>
      <c r="P173" s="7">
        <f>'1 datos preparados'!O166</f>
        <v/>
      </c>
      <c r="Q173" s="7">
        <f>'1 datos preparados'!P166</f>
        <v/>
      </c>
      <c r="R173" s="7">
        <f>'1 datos preparados'!Q166</f>
        <v/>
      </c>
      <c r="S173" s="7">
        <f>'1 datos preparados'!R166</f>
        <v/>
      </c>
      <c r="T173" s="7">
        <f>'1 datos preparados'!S166</f>
        <v/>
      </c>
      <c r="U173" s="7">
        <f>'1 datos preparados'!T166</f>
        <v/>
      </c>
      <c r="V173" s="8">
        <f>$AC$12+D173*$AC$13+E173*$AC$14+F173*$AC$15+G173*$AC$16+H173*$AC$17+I173*$AC$18+J173*$AC$19+K173*$AC$20+L173*$AC$21+M173*$AC$22+N173*$AC$23+O173*$AC$24+P173*$AC$25+Q173*$AC$26+R173*$AC$27+S173*$AC$28+T173*$AC$29+U173*$AC$30</f>
        <v/>
      </c>
      <c r="W173" s="8">
        <f>1/(1+EXP(-V173))</f>
        <v/>
      </c>
      <c r="X173" s="9">
        <f>-IF(C173=1,LN(W173),LN(1-W173))</f>
        <v/>
      </c>
      <c r="Y173" s="10">
        <f>IF(W173&gt;$AC$33,1,0)</f>
        <v/>
      </c>
      <c r="Z173">
        <f>IF(Y173=C173,1,0)</f>
        <v/>
      </c>
    </row>
    <row r="174">
      <c r="A174">
        <f>'1 datos preparados'!A167</f>
        <v/>
      </c>
      <c r="B174" s="5">
        <f>'1 datos preparados'!U167</f>
        <v/>
      </c>
      <c r="C174">
        <f>'1 datos preparados'!B167</f>
        <v/>
      </c>
      <c r="D174" s="7">
        <f>'1 datos preparados'!C167</f>
        <v/>
      </c>
      <c r="E174" s="7">
        <f>'1 datos preparados'!D167</f>
        <v/>
      </c>
      <c r="F174" s="7">
        <f>'1 datos preparados'!E167</f>
        <v/>
      </c>
      <c r="G174" s="7">
        <f>'1 datos preparados'!F167</f>
        <v/>
      </c>
      <c r="H174" s="7">
        <f>'1 datos preparados'!G167</f>
        <v/>
      </c>
      <c r="I174" s="7">
        <f>'1 datos preparados'!H167</f>
        <v/>
      </c>
      <c r="J174" s="7">
        <f>'1 datos preparados'!I167</f>
        <v/>
      </c>
      <c r="K174" s="7">
        <f>'1 datos preparados'!J167</f>
        <v/>
      </c>
      <c r="L174" s="7">
        <f>'1 datos preparados'!K167</f>
        <v/>
      </c>
      <c r="M174" s="7">
        <f>'1 datos preparados'!L167</f>
        <v/>
      </c>
      <c r="N174" s="7">
        <f>'1 datos preparados'!M167</f>
        <v/>
      </c>
      <c r="O174" s="7">
        <f>'1 datos preparados'!N167</f>
        <v/>
      </c>
      <c r="P174" s="7">
        <f>'1 datos preparados'!O167</f>
        <v/>
      </c>
      <c r="Q174" s="7">
        <f>'1 datos preparados'!P167</f>
        <v/>
      </c>
      <c r="R174" s="7">
        <f>'1 datos preparados'!Q167</f>
        <v/>
      </c>
      <c r="S174" s="7">
        <f>'1 datos preparados'!R167</f>
        <v/>
      </c>
      <c r="T174" s="7">
        <f>'1 datos preparados'!S167</f>
        <v/>
      </c>
      <c r="U174" s="7">
        <f>'1 datos preparados'!T167</f>
        <v/>
      </c>
      <c r="V174" s="8">
        <f>$AC$12+D174*$AC$13+E174*$AC$14+F174*$AC$15+G174*$AC$16+H174*$AC$17+I174*$AC$18+J174*$AC$19+K174*$AC$20+L174*$AC$21+M174*$AC$22+N174*$AC$23+O174*$AC$24+P174*$AC$25+Q174*$AC$26+R174*$AC$27+S174*$AC$28+T174*$AC$29+U174*$AC$30</f>
        <v/>
      </c>
      <c r="W174" s="8">
        <f>1/(1+EXP(-V174))</f>
        <v/>
      </c>
      <c r="X174" s="9">
        <f>-IF(C174=1,LN(W174),LN(1-W174))</f>
        <v/>
      </c>
      <c r="Y174" s="10">
        <f>IF(W174&gt;$AC$33,1,0)</f>
        <v/>
      </c>
      <c r="Z174">
        <f>IF(Y174=C174,1,0)</f>
        <v/>
      </c>
    </row>
    <row r="175">
      <c r="A175">
        <f>'1 datos preparados'!A168</f>
        <v/>
      </c>
      <c r="B175" s="5">
        <f>'1 datos preparados'!U168</f>
        <v/>
      </c>
      <c r="C175">
        <f>'1 datos preparados'!B168</f>
        <v/>
      </c>
      <c r="D175" s="7">
        <f>'1 datos preparados'!C168</f>
        <v/>
      </c>
      <c r="E175" s="7">
        <f>'1 datos preparados'!D168</f>
        <v/>
      </c>
      <c r="F175" s="7">
        <f>'1 datos preparados'!E168</f>
        <v/>
      </c>
      <c r="G175" s="7">
        <f>'1 datos preparados'!F168</f>
        <v/>
      </c>
      <c r="H175" s="7">
        <f>'1 datos preparados'!G168</f>
        <v/>
      </c>
      <c r="I175" s="7">
        <f>'1 datos preparados'!H168</f>
        <v/>
      </c>
      <c r="J175" s="7">
        <f>'1 datos preparados'!I168</f>
        <v/>
      </c>
      <c r="K175" s="7">
        <f>'1 datos preparados'!J168</f>
        <v/>
      </c>
      <c r="L175" s="7">
        <f>'1 datos preparados'!K168</f>
        <v/>
      </c>
      <c r="M175" s="7">
        <f>'1 datos preparados'!L168</f>
        <v/>
      </c>
      <c r="N175" s="7">
        <f>'1 datos preparados'!M168</f>
        <v/>
      </c>
      <c r="O175" s="7">
        <f>'1 datos preparados'!N168</f>
        <v/>
      </c>
      <c r="P175" s="7">
        <f>'1 datos preparados'!O168</f>
        <v/>
      </c>
      <c r="Q175" s="7">
        <f>'1 datos preparados'!P168</f>
        <v/>
      </c>
      <c r="R175" s="7">
        <f>'1 datos preparados'!Q168</f>
        <v/>
      </c>
      <c r="S175" s="7">
        <f>'1 datos preparados'!R168</f>
        <v/>
      </c>
      <c r="T175" s="7">
        <f>'1 datos preparados'!S168</f>
        <v/>
      </c>
      <c r="U175" s="7">
        <f>'1 datos preparados'!T168</f>
        <v/>
      </c>
      <c r="V175" s="8">
        <f>$AC$12+D175*$AC$13+E175*$AC$14+F175*$AC$15+G175*$AC$16+H175*$AC$17+I175*$AC$18+J175*$AC$19+K175*$AC$20+L175*$AC$21+M175*$AC$22+N175*$AC$23+O175*$AC$24+P175*$AC$25+Q175*$AC$26+R175*$AC$27+S175*$AC$28+T175*$AC$29+U175*$AC$30</f>
        <v/>
      </c>
      <c r="W175" s="8">
        <f>1/(1+EXP(-V175))</f>
        <v/>
      </c>
      <c r="X175" s="9">
        <f>-IF(C175=1,LN(W175),LN(1-W175))</f>
        <v/>
      </c>
      <c r="Y175" s="10">
        <f>IF(W175&gt;$AC$33,1,0)</f>
        <v/>
      </c>
      <c r="Z175">
        <f>IF(Y175=C175,1,0)</f>
        <v/>
      </c>
    </row>
    <row r="176">
      <c r="A176">
        <f>'1 datos preparados'!A169</f>
        <v/>
      </c>
      <c r="B176" s="5">
        <f>'1 datos preparados'!U169</f>
        <v/>
      </c>
      <c r="C176">
        <f>'1 datos preparados'!B169</f>
        <v/>
      </c>
      <c r="D176" s="7">
        <f>'1 datos preparados'!C169</f>
        <v/>
      </c>
      <c r="E176" s="7">
        <f>'1 datos preparados'!D169</f>
        <v/>
      </c>
      <c r="F176" s="7">
        <f>'1 datos preparados'!E169</f>
        <v/>
      </c>
      <c r="G176" s="7">
        <f>'1 datos preparados'!F169</f>
        <v/>
      </c>
      <c r="H176" s="7">
        <f>'1 datos preparados'!G169</f>
        <v/>
      </c>
      <c r="I176" s="7">
        <f>'1 datos preparados'!H169</f>
        <v/>
      </c>
      <c r="J176" s="7">
        <f>'1 datos preparados'!I169</f>
        <v/>
      </c>
      <c r="K176" s="7">
        <f>'1 datos preparados'!J169</f>
        <v/>
      </c>
      <c r="L176" s="7">
        <f>'1 datos preparados'!K169</f>
        <v/>
      </c>
      <c r="M176" s="7">
        <f>'1 datos preparados'!L169</f>
        <v/>
      </c>
      <c r="N176" s="7">
        <f>'1 datos preparados'!M169</f>
        <v/>
      </c>
      <c r="O176" s="7">
        <f>'1 datos preparados'!N169</f>
        <v/>
      </c>
      <c r="P176" s="7">
        <f>'1 datos preparados'!O169</f>
        <v/>
      </c>
      <c r="Q176" s="7">
        <f>'1 datos preparados'!P169</f>
        <v/>
      </c>
      <c r="R176" s="7">
        <f>'1 datos preparados'!Q169</f>
        <v/>
      </c>
      <c r="S176" s="7">
        <f>'1 datos preparados'!R169</f>
        <v/>
      </c>
      <c r="T176" s="7">
        <f>'1 datos preparados'!S169</f>
        <v/>
      </c>
      <c r="U176" s="7">
        <f>'1 datos preparados'!T169</f>
        <v/>
      </c>
      <c r="V176" s="8">
        <f>$AC$12+D176*$AC$13+E176*$AC$14+F176*$AC$15+G176*$AC$16+H176*$AC$17+I176*$AC$18+J176*$AC$19+K176*$AC$20+L176*$AC$21+M176*$AC$22+N176*$AC$23+O176*$AC$24+P176*$AC$25+Q176*$AC$26+R176*$AC$27+S176*$AC$28+T176*$AC$29+U176*$AC$30</f>
        <v/>
      </c>
      <c r="W176" s="8">
        <f>1/(1+EXP(-V176))</f>
        <v/>
      </c>
      <c r="X176" s="9">
        <f>-IF(C176=1,LN(W176),LN(1-W176))</f>
        <v/>
      </c>
      <c r="Y176" s="10">
        <f>IF(W176&gt;$AC$33,1,0)</f>
        <v/>
      </c>
      <c r="Z176">
        <f>IF(Y176=C176,1,0)</f>
        <v/>
      </c>
    </row>
    <row r="177">
      <c r="A177">
        <f>'1 datos preparados'!A170</f>
        <v/>
      </c>
      <c r="B177" s="5">
        <f>'1 datos preparados'!U170</f>
        <v/>
      </c>
      <c r="C177">
        <f>'1 datos preparados'!B170</f>
        <v/>
      </c>
      <c r="D177" s="7">
        <f>'1 datos preparados'!C170</f>
        <v/>
      </c>
      <c r="E177" s="7">
        <f>'1 datos preparados'!D170</f>
        <v/>
      </c>
      <c r="F177" s="7">
        <f>'1 datos preparados'!E170</f>
        <v/>
      </c>
      <c r="G177" s="7">
        <f>'1 datos preparados'!F170</f>
        <v/>
      </c>
      <c r="H177" s="7">
        <f>'1 datos preparados'!G170</f>
        <v/>
      </c>
      <c r="I177" s="7">
        <f>'1 datos preparados'!H170</f>
        <v/>
      </c>
      <c r="J177" s="7">
        <f>'1 datos preparados'!I170</f>
        <v/>
      </c>
      <c r="K177" s="7">
        <f>'1 datos preparados'!J170</f>
        <v/>
      </c>
      <c r="L177" s="7">
        <f>'1 datos preparados'!K170</f>
        <v/>
      </c>
      <c r="M177" s="7">
        <f>'1 datos preparados'!L170</f>
        <v/>
      </c>
      <c r="N177" s="7">
        <f>'1 datos preparados'!M170</f>
        <v/>
      </c>
      <c r="O177" s="7">
        <f>'1 datos preparados'!N170</f>
        <v/>
      </c>
      <c r="P177" s="7">
        <f>'1 datos preparados'!O170</f>
        <v/>
      </c>
      <c r="Q177" s="7">
        <f>'1 datos preparados'!P170</f>
        <v/>
      </c>
      <c r="R177" s="7">
        <f>'1 datos preparados'!Q170</f>
        <v/>
      </c>
      <c r="S177" s="7">
        <f>'1 datos preparados'!R170</f>
        <v/>
      </c>
      <c r="T177" s="7">
        <f>'1 datos preparados'!S170</f>
        <v/>
      </c>
      <c r="U177" s="7">
        <f>'1 datos preparados'!T170</f>
        <v/>
      </c>
      <c r="V177" s="8">
        <f>$AC$12+D177*$AC$13+E177*$AC$14+F177*$AC$15+G177*$AC$16+H177*$AC$17+I177*$AC$18+J177*$AC$19+K177*$AC$20+L177*$AC$21+M177*$AC$22+N177*$AC$23+O177*$AC$24+P177*$AC$25+Q177*$AC$26+R177*$AC$27+S177*$AC$28+T177*$AC$29+U177*$AC$30</f>
        <v/>
      </c>
      <c r="W177" s="8">
        <f>1/(1+EXP(-V177))</f>
        <v/>
      </c>
      <c r="X177" s="9">
        <f>-IF(C177=1,LN(W177),LN(1-W177))</f>
        <v/>
      </c>
      <c r="Y177" s="10">
        <f>IF(W177&gt;$AC$33,1,0)</f>
        <v/>
      </c>
      <c r="Z177">
        <f>IF(Y177=C177,1,0)</f>
        <v/>
      </c>
    </row>
    <row r="178">
      <c r="A178">
        <f>'1 datos preparados'!A171</f>
        <v/>
      </c>
      <c r="B178" s="5">
        <f>'1 datos preparados'!U171</f>
        <v/>
      </c>
      <c r="C178">
        <f>'1 datos preparados'!B171</f>
        <v/>
      </c>
      <c r="D178" s="7">
        <f>'1 datos preparados'!C171</f>
        <v/>
      </c>
      <c r="E178" s="7">
        <f>'1 datos preparados'!D171</f>
        <v/>
      </c>
      <c r="F178" s="7">
        <f>'1 datos preparados'!E171</f>
        <v/>
      </c>
      <c r="G178" s="7">
        <f>'1 datos preparados'!F171</f>
        <v/>
      </c>
      <c r="H178" s="7">
        <f>'1 datos preparados'!G171</f>
        <v/>
      </c>
      <c r="I178" s="7">
        <f>'1 datos preparados'!H171</f>
        <v/>
      </c>
      <c r="J178" s="7">
        <f>'1 datos preparados'!I171</f>
        <v/>
      </c>
      <c r="K178" s="7">
        <f>'1 datos preparados'!J171</f>
        <v/>
      </c>
      <c r="L178" s="7">
        <f>'1 datos preparados'!K171</f>
        <v/>
      </c>
      <c r="M178" s="7">
        <f>'1 datos preparados'!L171</f>
        <v/>
      </c>
      <c r="N178" s="7">
        <f>'1 datos preparados'!M171</f>
        <v/>
      </c>
      <c r="O178" s="7">
        <f>'1 datos preparados'!N171</f>
        <v/>
      </c>
      <c r="P178" s="7">
        <f>'1 datos preparados'!O171</f>
        <v/>
      </c>
      <c r="Q178" s="7">
        <f>'1 datos preparados'!P171</f>
        <v/>
      </c>
      <c r="R178" s="7">
        <f>'1 datos preparados'!Q171</f>
        <v/>
      </c>
      <c r="S178" s="7">
        <f>'1 datos preparados'!R171</f>
        <v/>
      </c>
      <c r="T178" s="7">
        <f>'1 datos preparados'!S171</f>
        <v/>
      </c>
      <c r="U178" s="7">
        <f>'1 datos preparados'!T171</f>
        <v/>
      </c>
      <c r="V178" s="8">
        <f>$AC$12+D178*$AC$13+E178*$AC$14+F178*$AC$15+G178*$AC$16+H178*$AC$17+I178*$AC$18+J178*$AC$19+K178*$AC$20+L178*$AC$21+M178*$AC$22+N178*$AC$23+O178*$AC$24+P178*$AC$25+Q178*$AC$26+R178*$AC$27+S178*$AC$28+T178*$AC$29+U178*$AC$30</f>
        <v/>
      </c>
      <c r="W178" s="8">
        <f>1/(1+EXP(-V178))</f>
        <v/>
      </c>
      <c r="X178" s="9">
        <f>-IF(C178=1,LN(W178),LN(1-W178))</f>
        <v/>
      </c>
      <c r="Y178" s="10">
        <f>IF(W178&gt;$AC$33,1,0)</f>
        <v/>
      </c>
      <c r="Z178">
        <f>IF(Y178=C178,1,0)</f>
        <v/>
      </c>
    </row>
    <row r="179">
      <c r="A179">
        <f>'1 datos preparados'!A172</f>
        <v/>
      </c>
      <c r="B179" s="5">
        <f>'1 datos preparados'!U172</f>
        <v/>
      </c>
      <c r="C179">
        <f>'1 datos preparados'!B172</f>
        <v/>
      </c>
      <c r="D179" s="7">
        <f>'1 datos preparados'!C172</f>
        <v/>
      </c>
      <c r="E179" s="7">
        <f>'1 datos preparados'!D172</f>
        <v/>
      </c>
      <c r="F179" s="7">
        <f>'1 datos preparados'!E172</f>
        <v/>
      </c>
      <c r="G179" s="7">
        <f>'1 datos preparados'!F172</f>
        <v/>
      </c>
      <c r="H179" s="7">
        <f>'1 datos preparados'!G172</f>
        <v/>
      </c>
      <c r="I179" s="7">
        <f>'1 datos preparados'!H172</f>
        <v/>
      </c>
      <c r="J179" s="7">
        <f>'1 datos preparados'!I172</f>
        <v/>
      </c>
      <c r="K179" s="7">
        <f>'1 datos preparados'!J172</f>
        <v/>
      </c>
      <c r="L179" s="7">
        <f>'1 datos preparados'!K172</f>
        <v/>
      </c>
      <c r="M179" s="7">
        <f>'1 datos preparados'!L172</f>
        <v/>
      </c>
      <c r="N179" s="7">
        <f>'1 datos preparados'!M172</f>
        <v/>
      </c>
      <c r="O179" s="7">
        <f>'1 datos preparados'!N172</f>
        <v/>
      </c>
      <c r="P179" s="7">
        <f>'1 datos preparados'!O172</f>
        <v/>
      </c>
      <c r="Q179" s="7">
        <f>'1 datos preparados'!P172</f>
        <v/>
      </c>
      <c r="R179" s="7">
        <f>'1 datos preparados'!Q172</f>
        <v/>
      </c>
      <c r="S179" s="7">
        <f>'1 datos preparados'!R172</f>
        <v/>
      </c>
      <c r="T179" s="7">
        <f>'1 datos preparados'!S172</f>
        <v/>
      </c>
      <c r="U179" s="7">
        <f>'1 datos preparados'!T172</f>
        <v/>
      </c>
      <c r="V179" s="8">
        <f>$AC$12+D179*$AC$13+E179*$AC$14+F179*$AC$15+G179*$AC$16+H179*$AC$17+I179*$AC$18+J179*$AC$19+K179*$AC$20+L179*$AC$21+M179*$AC$22+N179*$AC$23+O179*$AC$24+P179*$AC$25+Q179*$AC$26+R179*$AC$27+S179*$AC$28+T179*$AC$29+U179*$AC$30</f>
        <v/>
      </c>
      <c r="W179" s="8">
        <f>1/(1+EXP(-V179))</f>
        <v/>
      </c>
      <c r="X179" s="9">
        <f>-IF(C179=1,LN(W179),LN(1-W179))</f>
        <v/>
      </c>
      <c r="Y179" s="10">
        <f>IF(W179&gt;$AC$33,1,0)</f>
        <v/>
      </c>
      <c r="Z179">
        <f>IF(Y179=C179,1,0)</f>
        <v/>
      </c>
    </row>
    <row r="180">
      <c r="A180">
        <f>'1 datos preparados'!A173</f>
        <v/>
      </c>
      <c r="B180" s="5">
        <f>'1 datos preparados'!U173</f>
        <v/>
      </c>
      <c r="C180">
        <f>'1 datos preparados'!B173</f>
        <v/>
      </c>
      <c r="D180" s="7">
        <f>'1 datos preparados'!C173</f>
        <v/>
      </c>
      <c r="E180" s="7">
        <f>'1 datos preparados'!D173</f>
        <v/>
      </c>
      <c r="F180" s="7">
        <f>'1 datos preparados'!E173</f>
        <v/>
      </c>
      <c r="G180" s="7">
        <f>'1 datos preparados'!F173</f>
        <v/>
      </c>
      <c r="H180" s="7">
        <f>'1 datos preparados'!G173</f>
        <v/>
      </c>
      <c r="I180" s="7">
        <f>'1 datos preparados'!H173</f>
        <v/>
      </c>
      <c r="J180" s="7">
        <f>'1 datos preparados'!I173</f>
        <v/>
      </c>
      <c r="K180" s="7">
        <f>'1 datos preparados'!J173</f>
        <v/>
      </c>
      <c r="L180" s="7">
        <f>'1 datos preparados'!K173</f>
        <v/>
      </c>
      <c r="M180" s="7">
        <f>'1 datos preparados'!L173</f>
        <v/>
      </c>
      <c r="N180" s="7">
        <f>'1 datos preparados'!M173</f>
        <v/>
      </c>
      <c r="O180" s="7">
        <f>'1 datos preparados'!N173</f>
        <v/>
      </c>
      <c r="P180" s="7">
        <f>'1 datos preparados'!O173</f>
        <v/>
      </c>
      <c r="Q180" s="7">
        <f>'1 datos preparados'!P173</f>
        <v/>
      </c>
      <c r="R180" s="7">
        <f>'1 datos preparados'!Q173</f>
        <v/>
      </c>
      <c r="S180" s="7">
        <f>'1 datos preparados'!R173</f>
        <v/>
      </c>
      <c r="T180" s="7">
        <f>'1 datos preparados'!S173</f>
        <v/>
      </c>
      <c r="U180" s="7">
        <f>'1 datos preparados'!T173</f>
        <v/>
      </c>
      <c r="V180" s="8">
        <f>$AC$12+D180*$AC$13+E180*$AC$14+F180*$AC$15+G180*$AC$16+H180*$AC$17+I180*$AC$18+J180*$AC$19+K180*$AC$20+L180*$AC$21+M180*$AC$22+N180*$AC$23+O180*$AC$24+P180*$AC$25+Q180*$AC$26+R180*$AC$27+S180*$AC$28+T180*$AC$29+U180*$AC$30</f>
        <v/>
      </c>
      <c r="W180" s="8">
        <f>1/(1+EXP(-V180))</f>
        <v/>
      </c>
      <c r="X180" s="9">
        <f>-IF(C180=1,LN(W180),LN(1-W180))</f>
        <v/>
      </c>
      <c r="Y180" s="10">
        <f>IF(W180&gt;$AC$33,1,0)</f>
        <v/>
      </c>
      <c r="Z180">
        <f>IF(Y180=C180,1,0)</f>
        <v/>
      </c>
    </row>
    <row r="181">
      <c r="A181">
        <f>'1 datos preparados'!A174</f>
        <v/>
      </c>
      <c r="B181" s="5">
        <f>'1 datos preparados'!U174</f>
        <v/>
      </c>
      <c r="C181">
        <f>'1 datos preparados'!B174</f>
        <v/>
      </c>
      <c r="D181" s="7">
        <f>'1 datos preparados'!C174</f>
        <v/>
      </c>
      <c r="E181" s="7">
        <f>'1 datos preparados'!D174</f>
        <v/>
      </c>
      <c r="F181" s="7">
        <f>'1 datos preparados'!E174</f>
        <v/>
      </c>
      <c r="G181" s="7">
        <f>'1 datos preparados'!F174</f>
        <v/>
      </c>
      <c r="H181" s="7">
        <f>'1 datos preparados'!G174</f>
        <v/>
      </c>
      <c r="I181" s="7">
        <f>'1 datos preparados'!H174</f>
        <v/>
      </c>
      <c r="J181" s="7">
        <f>'1 datos preparados'!I174</f>
        <v/>
      </c>
      <c r="K181" s="7">
        <f>'1 datos preparados'!J174</f>
        <v/>
      </c>
      <c r="L181" s="7">
        <f>'1 datos preparados'!K174</f>
        <v/>
      </c>
      <c r="M181" s="7">
        <f>'1 datos preparados'!L174</f>
        <v/>
      </c>
      <c r="N181" s="7">
        <f>'1 datos preparados'!M174</f>
        <v/>
      </c>
      <c r="O181" s="7">
        <f>'1 datos preparados'!N174</f>
        <v/>
      </c>
      <c r="P181" s="7">
        <f>'1 datos preparados'!O174</f>
        <v/>
      </c>
      <c r="Q181" s="7">
        <f>'1 datos preparados'!P174</f>
        <v/>
      </c>
      <c r="R181" s="7">
        <f>'1 datos preparados'!Q174</f>
        <v/>
      </c>
      <c r="S181" s="7">
        <f>'1 datos preparados'!R174</f>
        <v/>
      </c>
      <c r="T181" s="7">
        <f>'1 datos preparados'!S174</f>
        <v/>
      </c>
      <c r="U181" s="7">
        <f>'1 datos preparados'!T174</f>
        <v/>
      </c>
      <c r="V181" s="8">
        <f>$AC$12+D181*$AC$13+E181*$AC$14+F181*$AC$15+G181*$AC$16+H181*$AC$17+I181*$AC$18+J181*$AC$19+K181*$AC$20+L181*$AC$21+M181*$AC$22+N181*$AC$23+O181*$AC$24+P181*$AC$25+Q181*$AC$26+R181*$AC$27+S181*$AC$28+T181*$AC$29+U181*$AC$30</f>
        <v/>
      </c>
      <c r="W181" s="8">
        <f>1/(1+EXP(-V181))</f>
        <v/>
      </c>
      <c r="X181" s="9">
        <f>-IF(C181=1,LN(W181),LN(1-W181))</f>
        <v/>
      </c>
      <c r="Y181" s="10">
        <f>IF(W181&gt;$AC$33,1,0)</f>
        <v/>
      </c>
      <c r="Z181">
        <f>IF(Y181=C181,1,0)</f>
        <v/>
      </c>
    </row>
    <row r="182">
      <c r="A182">
        <f>'1 datos preparados'!A175</f>
        <v/>
      </c>
      <c r="B182" s="5">
        <f>'1 datos preparados'!U175</f>
        <v/>
      </c>
      <c r="C182">
        <f>'1 datos preparados'!B175</f>
        <v/>
      </c>
      <c r="D182" s="7">
        <f>'1 datos preparados'!C175</f>
        <v/>
      </c>
      <c r="E182" s="7">
        <f>'1 datos preparados'!D175</f>
        <v/>
      </c>
      <c r="F182" s="7">
        <f>'1 datos preparados'!E175</f>
        <v/>
      </c>
      <c r="G182" s="7">
        <f>'1 datos preparados'!F175</f>
        <v/>
      </c>
      <c r="H182" s="7">
        <f>'1 datos preparados'!G175</f>
        <v/>
      </c>
      <c r="I182" s="7">
        <f>'1 datos preparados'!H175</f>
        <v/>
      </c>
      <c r="J182" s="7">
        <f>'1 datos preparados'!I175</f>
        <v/>
      </c>
      <c r="K182" s="7">
        <f>'1 datos preparados'!J175</f>
        <v/>
      </c>
      <c r="L182" s="7">
        <f>'1 datos preparados'!K175</f>
        <v/>
      </c>
      <c r="M182" s="7">
        <f>'1 datos preparados'!L175</f>
        <v/>
      </c>
      <c r="N182" s="7">
        <f>'1 datos preparados'!M175</f>
        <v/>
      </c>
      <c r="O182" s="7">
        <f>'1 datos preparados'!N175</f>
        <v/>
      </c>
      <c r="P182" s="7">
        <f>'1 datos preparados'!O175</f>
        <v/>
      </c>
      <c r="Q182" s="7">
        <f>'1 datos preparados'!P175</f>
        <v/>
      </c>
      <c r="R182" s="7">
        <f>'1 datos preparados'!Q175</f>
        <v/>
      </c>
      <c r="S182" s="7">
        <f>'1 datos preparados'!R175</f>
        <v/>
      </c>
      <c r="T182" s="7">
        <f>'1 datos preparados'!S175</f>
        <v/>
      </c>
      <c r="U182" s="7">
        <f>'1 datos preparados'!T175</f>
        <v/>
      </c>
      <c r="V182" s="8">
        <f>$AC$12+D182*$AC$13+E182*$AC$14+F182*$AC$15+G182*$AC$16+H182*$AC$17+I182*$AC$18+J182*$AC$19+K182*$AC$20+L182*$AC$21+M182*$AC$22+N182*$AC$23+O182*$AC$24+P182*$AC$25+Q182*$AC$26+R182*$AC$27+S182*$AC$28+T182*$AC$29+U182*$AC$30</f>
        <v/>
      </c>
      <c r="W182" s="8">
        <f>1/(1+EXP(-V182))</f>
        <v/>
      </c>
      <c r="X182" s="9">
        <f>-IF(C182=1,LN(W182),LN(1-W182))</f>
        <v/>
      </c>
      <c r="Y182" s="10">
        <f>IF(W182&gt;$AC$33,1,0)</f>
        <v/>
      </c>
      <c r="Z182">
        <f>IF(Y182=C182,1,0)</f>
        <v/>
      </c>
    </row>
    <row r="183">
      <c r="A183">
        <f>'1 datos preparados'!A176</f>
        <v/>
      </c>
      <c r="B183" s="5">
        <f>'1 datos preparados'!U176</f>
        <v/>
      </c>
      <c r="C183">
        <f>'1 datos preparados'!B176</f>
        <v/>
      </c>
      <c r="D183" s="7">
        <f>'1 datos preparados'!C176</f>
        <v/>
      </c>
      <c r="E183" s="7">
        <f>'1 datos preparados'!D176</f>
        <v/>
      </c>
      <c r="F183" s="7">
        <f>'1 datos preparados'!E176</f>
        <v/>
      </c>
      <c r="G183" s="7">
        <f>'1 datos preparados'!F176</f>
        <v/>
      </c>
      <c r="H183" s="7">
        <f>'1 datos preparados'!G176</f>
        <v/>
      </c>
      <c r="I183" s="7">
        <f>'1 datos preparados'!H176</f>
        <v/>
      </c>
      <c r="J183" s="7">
        <f>'1 datos preparados'!I176</f>
        <v/>
      </c>
      <c r="K183" s="7">
        <f>'1 datos preparados'!J176</f>
        <v/>
      </c>
      <c r="L183" s="7">
        <f>'1 datos preparados'!K176</f>
        <v/>
      </c>
      <c r="M183" s="7">
        <f>'1 datos preparados'!L176</f>
        <v/>
      </c>
      <c r="N183" s="7">
        <f>'1 datos preparados'!M176</f>
        <v/>
      </c>
      <c r="O183" s="7">
        <f>'1 datos preparados'!N176</f>
        <v/>
      </c>
      <c r="P183" s="7">
        <f>'1 datos preparados'!O176</f>
        <v/>
      </c>
      <c r="Q183" s="7">
        <f>'1 datos preparados'!P176</f>
        <v/>
      </c>
      <c r="R183" s="7">
        <f>'1 datos preparados'!Q176</f>
        <v/>
      </c>
      <c r="S183" s="7">
        <f>'1 datos preparados'!R176</f>
        <v/>
      </c>
      <c r="T183" s="7">
        <f>'1 datos preparados'!S176</f>
        <v/>
      </c>
      <c r="U183" s="7">
        <f>'1 datos preparados'!T176</f>
        <v/>
      </c>
      <c r="V183" s="8">
        <f>$AC$12+D183*$AC$13+E183*$AC$14+F183*$AC$15+G183*$AC$16+H183*$AC$17+I183*$AC$18+J183*$AC$19+K183*$AC$20+L183*$AC$21+M183*$AC$22+N183*$AC$23+O183*$AC$24+P183*$AC$25+Q183*$AC$26+R183*$AC$27+S183*$AC$28+T183*$AC$29+U183*$AC$30</f>
        <v/>
      </c>
      <c r="W183" s="8">
        <f>1/(1+EXP(-V183))</f>
        <v/>
      </c>
      <c r="X183" s="9">
        <f>-IF(C183=1,LN(W183),LN(1-W183))</f>
        <v/>
      </c>
      <c r="Y183" s="10">
        <f>IF(W183&gt;$AC$33,1,0)</f>
        <v/>
      </c>
      <c r="Z183">
        <f>IF(Y183=C183,1,0)</f>
        <v/>
      </c>
    </row>
    <row r="184">
      <c r="A184">
        <f>'1 datos preparados'!A177</f>
        <v/>
      </c>
      <c r="B184" s="5">
        <f>'1 datos preparados'!U177</f>
        <v/>
      </c>
      <c r="C184">
        <f>'1 datos preparados'!B177</f>
        <v/>
      </c>
      <c r="D184" s="7">
        <f>'1 datos preparados'!C177</f>
        <v/>
      </c>
      <c r="E184" s="7">
        <f>'1 datos preparados'!D177</f>
        <v/>
      </c>
      <c r="F184" s="7">
        <f>'1 datos preparados'!E177</f>
        <v/>
      </c>
      <c r="G184" s="7">
        <f>'1 datos preparados'!F177</f>
        <v/>
      </c>
      <c r="H184" s="7">
        <f>'1 datos preparados'!G177</f>
        <v/>
      </c>
      <c r="I184" s="7">
        <f>'1 datos preparados'!H177</f>
        <v/>
      </c>
      <c r="J184" s="7">
        <f>'1 datos preparados'!I177</f>
        <v/>
      </c>
      <c r="K184" s="7">
        <f>'1 datos preparados'!J177</f>
        <v/>
      </c>
      <c r="L184" s="7">
        <f>'1 datos preparados'!K177</f>
        <v/>
      </c>
      <c r="M184" s="7">
        <f>'1 datos preparados'!L177</f>
        <v/>
      </c>
      <c r="N184" s="7">
        <f>'1 datos preparados'!M177</f>
        <v/>
      </c>
      <c r="O184" s="7">
        <f>'1 datos preparados'!N177</f>
        <v/>
      </c>
      <c r="P184" s="7">
        <f>'1 datos preparados'!O177</f>
        <v/>
      </c>
      <c r="Q184" s="7">
        <f>'1 datos preparados'!P177</f>
        <v/>
      </c>
      <c r="R184" s="7">
        <f>'1 datos preparados'!Q177</f>
        <v/>
      </c>
      <c r="S184" s="7">
        <f>'1 datos preparados'!R177</f>
        <v/>
      </c>
      <c r="T184" s="7">
        <f>'1 datos preparados'!S177</f>
        <v/>
      </c>
      <c r="U184" s="7">
        <f>'1 datos preparados'!T177</f>
        <v/>
      </c>
      <c r="V184" s="8">
        <f>$AC$12+D184*$AC$13+E184*$AC$14+F184*$AC$15+G184*$AC$16+H184*$AC$17+I184*$AC$18+J184*$AC$19+K184*$AC$20+L184*$AC$21+M184*$AC$22+N184*$AC$23+O184*$AC$24+P184*$AC$25+Q184*$AC$26+R184*$AC$27+S184*$AC$28+T184*$AC$29+U184*$AC$30</f>
        <v/>
      </c>
      <c r="W184" s="8">
        <f>1/(1+EXP(-V184))</f>
        <v/>
      </c>
      <c r="X184" s="9">
        <f>-IF(C184=1,LN(W184),LN(1-W184))</f>
        <v/>
      </c>
      <c r="Y184" s="10">
        <f>IF(W184&gt;$AC$33,1,0)</f>
        <v/>
      </c>
      <c r="Z184">
        <f>IF(Y184=C184,1,0)</f>
        <v/>
      </c>
    </row>
    <row r="185">
      <c r="A185">
        <f>'1 datos preparados'!A178</f>
        <v/>
      </c>
      <c r="B185" s="5">
        <f>'1 datos preparados'!U178</f>
        <v/>
      </c>
      <c r="C185">
        <f>'1 datos preparados'!B178</f>
        <v/>
      </c>
      <c r="D185" s="7">
        <f>'1 datos preparados'!C178</f>
        <v/>
      </c>
      <c r="E185" s="7">
        <f>'1 datos preparados'!D178</f>
        <v/>
      </c>
      <c r="F185" s="7">
        <f>'1 datos preparados'!E178</f>
        <v/>
      </c>
      <c r="G185" s="7">
        <f>'1 datos preparados'!F178</f>
        <v/>
      </c>
      <c r="H185" s="7">
        <f>'1 datos preparados'!G178</f>
        <v/>
      </c>
      <c r="I185" s="7">
        <f>'1 datos preparados'!H178</f>
        <v/>
      </c>
      <c r="J185" s="7">
        <f>'1 datos preparados'!I178</f>
        <v/>
      </c>
      <c r="K185" s="7">
        <f>'1 datos preparados'!J178</f>
        <v/>
      </c>
      <c r="L185" s="7">
        <f>'1 datos preparados'!K178</f>
        <v/>
      </c>
      <c r="M185" s="7">
        <f>'1 datos preparados'!L178</f>
        <v/>
      </c>
      <c r="N185" s="7">
        <f>'1 datos preparados'!M178</f>
        <v/>
      </c>
      <c r="O185" s="7">
        <f>'1 datos preparados'!N178</f>
        <v/>
      </c>
      <c r="P185" s="7">
        <f>'1 datos preparados'!O178</f>
        <v/>
      </c>
      <c r="Q185" s="7">
        <f>'1 datos preparados'!P178</f>
        <v/>
      </c>
      <c r="R185" s="7">
        <f>'1 datos preparados'!Q178</f>
        <v/>
      </c>
      <c r="S185" s="7">
        <f>'1 datos preparados'!R178</f>
        <v/>
      </c>
      <c r="T185" s="7">
        <f>'1 datos preparados'!S178</f>
        <v/>
      </c>
      <c r="U185" s="7">
        <f>'1 datos preparados'!T178</f>
        <v/>
      </c>
      <c r="V185" s="8">
        <f>$AC$12+D185*$AC$13+E185*$AC$14+F185*$AC$15+G185*$AC$16+H185*$AC$17+I185*$AC$18+J185*$AC$19+K185*$AC$20+L185*$AC$21+M185*$AC$22+N185*$AC$23+O185*$AC$24+P185*$AC$25+Q185*$AC$26+R185*$AC$27+S185*$AC$28+T185*$AC$29+U185*$AC$30</f>
        <v/>
      </c>
      <c r="W185" s="8">
        <f>1/(1+EXP(-V185))</f>
        <v/>
      </c>
      <c r="X185" s="9">
        <f>-IF(C185=1,LN(W185),LN(1-W185))</f>
        <v/>
      </c>
      <c r="Y185" s="10">
        <f>IF(W185&gt;$AC$33,1,0)</f>
        <v/>
      </c>
      <c r="Z185">
        <f>IF(Y185=C185,1,0)</f>
        <v/>
      </c>
    </row>
    <row r="186">
      <c r="A186">
        <f>'1 datos preparados'!A179</f>
        <v/>
      </c>
      <c r="B186" s="5">
        <f>'1 datos preparados'!U179</f>
        <v/>
      </c>
      <c r="C186">
        <f>'1 datos preparados'!B179</f>
        <v/>
      </c>
      <c r="D186" s="7">
        <f>'1 datos preparados'!C179</f>
        <v/>
      </c>
      <c r="E186" s="7">
        <f>'1 datos preparados'!D179</f>
        <v/>
      </c>
      <c r="F186" s="7">
        <f>'1 datos preparados'!E179</f>
        <v/>
      </c>
      <c r="G186" s="7">
        <f>'1 datos preparados'!F179</f>
        <v/>
      </c>
      <c r="H186" s="7">
        <f>'1 datos preparados'!G179</f>
        <v/>
      </c>
      <c r="I186" s="7">
        <f>'1 datos preparados'!H179</f>
        <v/>
      </c>
      <c r="J186" s="7">
        <f>'1 datos preparados'!I179</f>
        <v/>
      </c>
      <c r="K186" s="7">
        <f>'1 datos preparados'!J179</f>
        <v/>
      </c>
      <c r="L186" s="7">
        <f>'1 datos preparados'!K179</f>
        <v/>
      </c>
      <c r="M186" s="7">
        <f>'1 datos preparados'!L179</f>
        <v/>
      </c>
      <c r="N186" s="7">
        <f>'1 datos preparados'!M179</f>
        <v/>
      </c>
      <c r="O186" s="7">
        <f>'1 datos preparados'!N179</f>
        <v/>
      </c>
      <c r="P186" s="7">
        <f>'1 datos preparados'!O179</f>
        <v/>
      </c>
      <c r="Q186" s="7">
        <f>'1 datos preparados'!P179</f>
        <v/>
      </c>
      <c r="R186" s="7">
        <f>'1 datos preparados'!Q179</f>
        <v/>
      </c>
      <c r="S186" s="7">
        <f>'1 datos preparados'!R179</f>
        <v/>
      </c>
      <c r="T186" s="7">
        <f>'1 datos preparados'!S179</f>
        <v/>
      </c>
      <c r="U186" s="7">
        <f>'1 datos preparados'!T179</f>
        <v/>
      </c>
      <c r="V186" s="8">
        <f>$AC$12+D186*$AC$13+E186*$AC$14+F186*$AC$15+G186*$AC$16+H186*$AC$17+I186*$AC$18+J186*$AC$19+K186*$AC$20+L186*$AC$21+M186*$AC$22+N186*$AC$23+O186*$AC$24+P186*$AC$25+Q186*$AC$26+R186*$AC$27+S186*$AC$28+T186*$AC$29+U186*$AC$30</f>
        <v/>
      </c>
      <c r="W186" s="8">
        <f>1/(1+EXP(-V186))</f>
        <v/>
      </c>
      <c r="X186" s="9">
        <f>-IF(C186=1,LN(W186),LN(1-W186))</f>
        <v/>
      </c>
      <c r="Y186" s="10">
        <f>IF(W186&gt;$AC$33,1,0)</f>
        <v/>
      </c>
      <c r="Z186">
        <f>IF(Y186=C186,1,0)</f>
        <v/>
      </c>
    </row>
    <row r="187">
      <c r="A187">
        <f>'1 datos preparados'!A180</f>
        <v/>
      </c>
      <c r="B187" s="5">
        <f>'1 datos preparados'!U180</f>
        <v/>
      </c>
      <c r="C187">
        <f>'1 datos preparados'!B180</f>
        <v/>
      </c>
      <c r="D187" s="7">
        <f>'1 datos preparados'!C180</f>
        <v/>
      </c>
      <c r="E187" s="7">
        <f>'1 datos preparados'!D180</f>
        <v/>
      </c>
      <c r="F187" s="7">
        <f>'1 datos preparados'!E180</f>
        <v/>
      </c>
      <c r="G187" s="7">
        <f>'1 datos preparados'!F180</f>
        <v/>
      </c>
      <c r="H187" s="7">
        <f>'1 datos preparados'!G180</f>
        <v/>
      </c>
      <c r="I187" s="7">
        <f>'1 datos preparados'!H180</f>
        <v/>
      </c>
      <c r="J187" s="7">
        <f>'1 datos preparados'!I180</f>
        <v/>
      </c>
      <c r="K187" s="7">
        <f>'1 datos preparados'!J180</f>
        <v/>
      </c>
      <c r="L187" s="7">
        <f>'1 datos preparados'!K180</f>
        <v/>
      </c>
      <c r="M187" s="7">
        <f>'1 datos preparados'!L180</f>
        <v/>
      </c>
      <c r="N187" s="7">
        <f>'1 datos preparados'!M180</f>
        <v/>
      </c>
      <c r="O187" s="7">
        <f>'1 datos preparados'!N180</f>
        <v/>
      </c>
      <c r="P187" s="7">
        <f>'1 datos preparados'!O180</f>
        <v/>
      </c>
      <c r="Q187" s="7">
        <f>'1 datos preparados'!P180</f>
        <v/>
      </c>
      <c r="R187" s="7">
        <f>'1 datos preparados'!Q180</f>
        <v/>
      </c>
      <c r="S187" s="7">
        <f>'1 datos preparados'!R180</f>
        <v/>
      </c>
      <c r="T187" s="7">
        <f>'1 datos preparados'!S180</f>
        <v/>
      </c>
      <c r="U187" s="7">
        <f>'1 datos preparados'!T180</f>
        <v/>
      </c>
      <c r="V187" s="8">
        <f>$AC$12+D187*$AC$13+E187*$AC$14+F187*$AC$15+G187*$AC$16+H187*$AC$17+I187*$AC$18+J187*$AC$19+K187*$AC$20+L187*$AC$21+M187*$AC$22+N187*$AC$23+O187*$AC$24+P187*$AC$25+Q187*$AC$26+R187*$AC$27+S187*$AC$28+T187*$AC$29+U187*$AC$30</f>
        <v/>
      </c>
      <c r="W187" s="8">
        <f>1/(1+EXP(-V187))</f>
        <v/>
      </c>
      <c r="X187" s="9">
        <f>-IF(C187=1,LN(W187),LN(1-W187))</f>
        <v/>
      </c>
      <c r="Y187" s="10">
        <f>IF(W187&gt;$AC$33,1,0)</f>
        <v/>
      </c>
      <c r="Z187">
        <f>IF(Y187=C187,1,0)</f>
        <v/>
      </c>
    </row>
    <row r="188">
      <c r="A188">
        <f>'1 datos preparados'!A181</f>
        <v/>
      </c>
      <c r="B188" s="5">
        <f>'1 datos preparados'!U181</f>
        <v/>
      </c>
      <c r="C188">
        <f>'1 datos preparados'!B181</f>
        <v/>
      </c>
      <c r="D188" s="7">
        <f>'1 datos preparados'!C181</f>
        <v/>
      </c>
      <c r="E188" s="7">
        <f>'1 datos preparados'!D181</f>
        <v/>
      </c>
      <c r="F188" s="7">
        <f>'1 datos preparados'!E181</f>
        <v/>
      </c>
      <c r="G188" s="7">
        <f>'1 datos preparados'!F181</f>
        <v/>
      </c>
      <c r="H188" s="7">
        <f>'1 datos preparados'!G181</f>
        <v/>
      </c>
      <c r="I188" s="7">
        <f>'1 datos preparados'!H181</f>
        <v/>
      </c>
      <c r="J188" s="7">
        <f>'1 datos preparados'!I181</f>
        <v/>
      </c>
      <c r="K188" s="7">
        <f>'1 datos preparados'!J181</f>
        <v/>
      </c>
      <c r="L188" s="7">
        <f>'1 datos preparados'!K181</f>
        <v/>
      </c>
      <c r="M188" s="7">
        <f>'1 datos preparados'!L181</f>
        <v/>
      </c>
      <c r="N188" s="7">
        <f>'1 datos preparados'!M181</f>
        <v/>
      </c>
      <c r="O188" s="7">
        <f>'1 datos preparados'!N181</f>
        <v/>
      </c>
      <c r="P188" s="7">
        <f>'1 datos preparados'!O181</f>
        <v/>
      </c>
      <c r="Q188" s="7">
        <f>'1 datos preparados'!P181</f>
        <v/>
      </c>
      <c r="R188" s="7">
        <f>'1 datos preparados'!Q181</f>
        <v/>
      </c>
      <c r="S188" s="7">
        <f>'1 datos preparados'!R181</f>
        <v/>
      </c>
      <c r="T188" s="7">
        <f>'1 datos preparados'!S181</f>
        <v/>
      </c>
      <c r="U188" s="7">
        <f>'1 datos preparados'!T181</f>
        <v/>
      </c>
      <c r="V188" s="8">
        <f>$AC$12+D188*$AC$13+E188*$AC$14+F188*$AC$15+G188*$AC$16+H188*$AC$17+I188*$AC$18+J188*$AC$19+K188*$AC$20+L188*$AC$21+M188*$AC$22+N188*$AC$23+O188*$AC$24+P188*$AC$25+Q188*$AC$26+R188*$AC$27+S188*$AC$28+T188*$AC$29+U188*$AC$30</f>
        <v/>
      </c>
      <c r="W188" s="8">
        <f>1/(1+EXP(-V188))</f>
        <v/>
      </c>
      <c r="X188" s="9">
        <f>-IF(C188=1,LN(W188),LN(1-W188))</f>
        <v/>
      </c>
      <c r="Y188" s="10">
        <f>IF(W188&gt;$AC$33,1,0)</f>
        <v/>
      </c>
      <c r="Z188">
        <f>IF(Y188=C188,1,0)</f>
        <v/>
      </c>
    </row>
    <row r="189">
      <c r="A189">
        <f>'1 datos preparados'!A182</f>
        <v/>
      </c>
      <c r="B189" s="5">
        <f>'1 datos preparados'!U182</f>
        <v/>
      </c>
      <c r="C189">
        <f>'1 datos preparados'!B182</f>
        <v/>
      </c>
      <c r="D189" s="7">
        <f>'1 datos preparados'!C182</f>
        <v/>
      </c>
      <c r="E189" s="7">
        <f>'1 datos preparados'!D182</f>
        <v/>
      </c>
      <c r="F189" s="7">
        <f>'1 datos preparados'!E182</f>
        <v/>
      </c>
      <c r="G189" s="7">
        <f>'1 datos preparados'!F182</f>
        <v/>
      </c>
      <c r="H189" s="7">
        <f>'1 datos preparados'!G182</f>
        <v/>
      </c>
      <c r="I189" s="7">
        <f>'1 datos preparados'!H182</f>
        <v/>
      </c>
      <c r="J189" s="7">
        <f>'1 datos preparados'!I182</f>
        <v/>
      </c>
      <c r="K189" s="7">
        <f>'1 datos preparados'!J182</f>
        <v/>
      </c>
      <c r="L189" s="7">
        <f>'1 datos preparados'!K182</f>
        <v/>
      </c>
      <c r="M189" s="7">
        <f>'1 datos preparados'!L182</f>
        <v/>
      </c>
      <c r="N189" s="7">
        <f>'1 datos preparados'!M182</f>
        <v/>
      </c>
      <c r="O189" s="7">
        <f>'1 datos preparados'!N182</f>
        <v/>
      </c>
      <c r="P189" s="7">
        <f>'1 datos preparados'!O182</f>
        <v/>
      </c>
      <c r="Q189" s="7">
        <f>'1 datos preparados'!P182</f>
        <v/>
      </c>
      <c r="R189" s="7">
        <f>'1 datos preparados'!Q182</f>
        <v/>
      </c>
      <c r="S189" s="7">
        <f>'1 datos preparados'!R182</f>
        <v/>
      </c>
      <c r="T189" s="7">
        <f>'1 datos preparados'!S182</f>
        <v/>
      </c>
      <c r="U189" s="7">
        <f>'1 datos preparados'!T182</f>
        <v/>
      </c>
      <c r="V189" s="8">
        <f>$AC$12+D189*$AC$13+E189*$AC$14+F189*$AC$15+G189*$AC$16+H189*$AC$17+I189*$AC$18+J189*$AC$19+K189*$AC$20+L189*$AC$21+M189*$AC$22+N189*$AC$23+O189*$AC$24+P189*$AC$25+Q189*$AC$26+R189*$AC$27+S189*$AC$28+T189*$AC$29+U189*$AC$30</f>
        <v/>
      </c>
      <c r="W189" s="8">
        <f>1/(1+EXP(-V189))</f>
        <v/>
      </c>
      <c r="X189" s="9">
        <f>-IF(C189=1,LN(W189),LN(1-W189))</f>
        <v/>
      </c>
      <c r="Y189" s="10">
        <f>IF(W189&gt;$AC$33,1,0)</f>
        <v/>
      </c>
      <c r="Z189">
        <f>IF(Y189=C189,1,0)</f>
        <v/>
      </c>
    </row>
    <row r="190">
      <c r="A190">
        <f>'1 datos preparados'!A183</f>
        <v/>
      </c>
      <c r="B190" s="5">
        <f>'1 datos preparados'!U183</f>
        <v/>
      </c>
      <c r="C190">
        <f>'1 datos preparados'!B183</f>
        <v/>
      </c>
      <c r="D190" s="7">
        <f>'1 datos preparados'!C183</f>
        <v/>
      </c>
      <c r="E190" s="7">
        <f>'1 datos preparados'!D183</f>
        <v/>
      </c>
      <c r="F190" s="7">
        <f>'1 datos preparados'!E183</f>
        <v/>
      </c>
      <c r="G190" s="7">
        <f>'1 datos preparados'!F183</f>
        <v/>
      </c>
      <c r="H190" s="7">
        <f>'1 datos preparados'!G183</f>
        <v/>
      </c>
      <c r="I190" s="7">
        <f>'1 datos preparados'!H183</f>
        <v/>
      </c>
      <c r="J190" s="7">
        <f>'1 datos preparados'!I183</f>
        <v/>
      </c>
      <c r="K190" s="7">
        <f>'1 datos preparados'!J183</f>
        <v/>
      </c>
      <c r="L190" s="7">
        <f>'1 datos preparados'!K183</f>
        <v/>
      </c>
      <c r="M190" s="7">
        <f>'1 datos preparados'!L183</f>
        <v/>
      </c>
      <c r="N190" s="7">
        <f>'1 datos preparados'!M183</f>
        <v/>
      </c>
      <c r="O190" s="7">
        <f>'1 datos preparados'!N183</f>
        <v/>
      </c>
      <c r="P190" s="7">
        <f>'1 datos preparados'!O183</f>
        <v/>
      </c>
      <c r="Q190" s="7">
        <f>'1 datos preparados'!P183</f>
        <v/>
      </c>
      <c r="R190" s="7">
        <f>'1 datos preparados'!Q183</f>
        <v/>
      </c>
      <c r="S190" s="7">
        <f>'1 datos preparados'!R183</f>
        <v/>
      </c>
      <c r="T190" s="7">
        <f>'1 datos preparados'!S183</f>
        <v/>
      </c>
      <c r="U190" s="7">
        <f>'1 datos preparados'!T183</f>
        <v/>
      </c>
      <c r="V190" s="8">
        <f>$AC$12+D190*$AC$13+E190*$AC$14+F190*$AC$15+G190*$AC$16+H190*$AC$17+I190*$AC$18+J190*$AC$19+K190*$AC$20+L190*$AC$21+M190*$AC$22+N190*$AC$23+O190*$AC$24+P190*$AC$25+Q190*$AC$26+R190*$AC$27+S190*$AC$28+T190*$AC$29+U190*$AC$30</f>
        <v/>
      </c>
      <c r="W190" s="8">
        <f>1/(1+EXP(-V190))</f>
        <v/>
      </c>
      <c r="X190" s="9">
        <f>-IF(C190=1,LN(W190),LN(1-W190))</f>
        <v/>
      </c>
      <c r="Y190" s="10">
        <f>IF(W190&gt;$AC$33,1,0)</f>
        <v/>
      </c>
      <c r="Z190">
        <f>IF(Y190=C190,1,0)</f>
        <v/>
      </c>
    </row>
    <row r="191">
      <c r="A191">
        <f>'1 datos preparados'!A184</f>
        <v/>
      </c>
      <c r="B191" s="5">
        <f>'1 datos preparados'!U184</f>
        <v/>
      </c>
      <c r="C191">
        <f>'1 datos preparados'!B184</f>
        <v/>
      </c>
      <c r="D191" s="7">
        <f>'1 datos preparados'!C184</f>
        <v/>
      </c>
      <c r="E191" s="7">
        <f>'1 datos preparados'!D184</f>
        <v/>
      </c>
      <c r="F191" s="7">
        <f>'1 datos preparados'!E184</f>
        <v/>
      </c>
      <c r="G191" s="7">
        <f>'1 datos preparados'!F184</f>
        <v/>
      </c>
      <c r="H191" s="7">
        <f>'1 datos preparados'!G184</f>
        <v/>
      </c>
      <c r="I191" s="7">
        <f>'1 datos preparados'!H184</f>
        <v/>
      </c>
      <c r="J191" s="7">
        <f>'1 datos preparados'!I184</f>
        <v/>
      </c>
      <c r="K191" s="7">
        <f>'1 datos preparados'!J184</f>
        <v/>
      </c>
      <c r="L191" s="7">
        <f>'1 datos preparados'!K184</f>
        <v/>
      </c>
      <c r="M191" s="7">
        <f>'1 datos preparados'!L184</f>
        <v/>
      </c>
      <c r="N191" s="7">
        <f>'1 datos preparados'!M184</f>
        <v/>
      </c>
      <c r="O191" s="7">
        <f>'1 datos preparados'!N184</f>
        <v/>
      </c>
      <c r="P191" s="7">
        <f>'1 datos preparados'!O184</f>
        <v/>
      </c>
      <c r="Q191" s="7">
        <f>'1 datos preparados'!P184</f>
        <v/>
      </c>
      <c r="R191" s="7">
        <f>'1 datos preparados'!Q184</f>
        <v/>
      </c>
      <c r="S191" s="7">
        <f>'1 datos preparados'!R184</f>
        <v/>
      </c>
      <c r="T191" s="7">
        <f>'1 datos preparados'!S184</f>
        <v/>
      </c>
      <c r="U191" s="7">
        <f>'1 datos preparados'!T184</f>
        <v/>
      </c>
      <c r="V191" s="8">
        <f>$AC$12+D191*$AC$13+E191*$AC$14+F191*$AC$15+G191*$AC$16+H191*$AC$17+I191*$AC$18+J191*$AC$19+K191*$AC$20+L191*$AC$21+M191*$AC$22+N191*$AC$23+O191*$AC$24+P191*$AC$25+Q191*$AC$26+R191*$AC$27+S191*$AC$28+T191*$AC$29+U191*$AC$30</f>
        <v/>
      </c>
      <c r="W191" s="8">
        <f>1/(1+EXP(-V191))</f>
        <v/>
      </c>
      <c r="X191" s="9">
        <f>-IF(C191=1,LN(W191),LN(1-W191))</f>
        <v/>
      </c>
      <c r="Y191" s="10">
        <f>IF(W191&gt;$AC$33,1,0)</f>
        <v/>
      </c>
      <c r="Z191">
        <f>IF(Y191=C191,1,0)</f>
        <v/>
      </c>
    </row>
    <row r="192">
      <c r="A192">
        <f>'1 datos preparados'!A185</f>
        <v/>
      </c>
      <c r="B192" s="5">
        <f>'1 datos preparados'!U185</f>
        <v/>
      </c>
      <c r="C192">
        <f>'1 datos preparados'!B185</f>
        <v/>
      </c>
      <c r="D192" s="7">
        <f>'1 datos preparados'!C185</f>
        <v/>
      </c>
      <c r="E192" s="7">
        <f>'1 datos preparados'!D185</f>
        <v/>
      </c>
      <c r="F192" s="7">
        <f>'1 datos preparados'!E185</f>
        <v/>
      </c>
      <c r="G192" s="7">
        <f>'1 datos preparados'!F185</f>
        <v/>
      </c>
      <c r="H192" s="7">
        <f>'1 datos preparados'!G185</f>
        <v/>
      </c>
      <c r="I192" s="7">
        <f>'1 datos preparados'!H185</f>
        <v/>
      </c>
      <c r="J192" s="7">
        <f>'1 datos preparados'!I185</f>
        <v/>
      </c>
      <c r="K192" s="7">
        <f>'1 datos preparados'!J185</f>
        <v/>
      </c>
      <c r="L192" s="7">
        <f>'1 datos preparados'!K185</f>
        <v/>
      </c>
      <c r="M192" s="7">
        <f>'1 datos preparados'!L185</f>
        <v/>
      </c>
      <c r="N192" s="7">
        <f>'1 datos preparados'!M185</f>
        <v/>
      </c>
      <c r="O192" s="7">
        <f>'1 datos preparados'!N185</f>
        <v/>
      </c>
      <c r="P192" s="7">
        <f>'1 datos preparados'!O185</f>
        <v/>
      </c>
      <c r="Q192" s="7">
        <f>'1 datos preparados'!P185</f>
        <v/>
      </c>
      <c r="R192" s="7">
        <f>'1 datos preparados'!Q185</f>
        <v/>
      </c>
      <c r="S192" s="7">
        <f>'1 datos preparados'!R185</f>
        <v/>
      </c>
      <c r="T192" s="7">
        <f>'1 datos preparados'!S185</f>
        <v/>
      </c>
      <c r="U192" s="7">
        <f>'1 datos preparados'!T185</f>
        <v/>
      </c>
      <c r="V192" s="8">
        <f>$AC$12+D192*$AC$13+E192*$AC$14+F192*$AC$15+G192*$AC$16+H192*$AC$17+I192*$AC$18+J192*$AC$19+K192*$AC$20+L192*$AC$21+M192*$AC$22+N192*$AC$23+O192*$AC$24+P192*$AC$25+Q192*$AC$26+R192*$AC$27+S192*$AC$28+T192*$AC$29+U192*$AC$30</f>
        <v/>
      </c>
      <c r="W192" s="8">
        <f>1/(1+EXP(-V192))</f>
        <v/>
      </c>
      <c r="X192" s="9">
        <f>-IF(C192=1,LN(W192),LN(1-W192))</f>
        <v/>
      </c>
      <c r="Y192" s="10">
        <f>IF(W192&gt;$AC$33,1,0)</f>
        <v/>
      </c>
      <c r="Z192">
        <f>IF(Y192=C192,1,0)</f>
        <v/>
      </c>
    </row>
    <row r="193">
      <c r="A193">
        <f>'1 datos preparados'!A186</f>
        <v/>
      </c>
      <c r="B193" s="5">
        <f>'1 datos preparados'!U186</f>
        <v/>
      </c>
      <c r="C193">
        <f>'1 datos preparados'!B186</f>
        <v/>
      </c>
      <c r="D193" s="7">
        <f>'1 datos preparados'!C186</f>
        <v/>
      </c>
      <c r="E193" s="7">
        <f>'1 datos preparados'!D186</f>
        <v/>
      </c>
      <c r="F193" s="7">
        <f>'1 datos preparados'!E186</f>
        <v/>
      </c>
      <c r="G193" s="7">
        <f>'1 datos preparados'!F186</f>
        <v/>
      </c>
      <c r="H193" s="7">
        <f>'1 datos preparados'!G186</f>
        <v/>
      </c>
      <c r="I193" s="7">
        <f>'1 datos preparados'!H186</f>
        <v/>
      </c>
      <c r="J193" s="7">
        <f>'1 datos preparados'!I186</f>
        <v/>
      </c>
      <c r="K193" s="7">
        <f>'1 datos preparados'!J186</f>
        <v/>
      </c>
      <c r="L193" s="7">
        <f>'1 datos preparados'!K186</f>
        <v/>
      </c>
      <c r="M193" s="7">
        <f>'1 datos preparados'!L186</f>
        <v/>
      </c>
      <c r="N193" s="7">
        <f>'1 datos preparados'!M186</f>
        <v/>
      </c>
      <c r="O193" s="7">
        <f>'1 datos preparados'!N186</f>
        <v/>
      </c>
      <c r="P193" s="7">
        <f>'1 datos preparados'!O186</f>
        <v/>
      </c>
      <c r="Q193" s="7">
        <f>'1 datos preparados'!P186</f>
        <v/>
      </c>
      <c r="R193" s="7">
        <f>'1 datos preparados'!Q186</f>
        <v/>
      </c>
      <c r="S193" s="7">
        <f>'1 datos preparados'!R186</f>
        <v/>
      </c>
      <c r="T193" s="7">
        <f>'1 datos preparados'!S186</f>
        <v/>
      </c>
      <c r="U193" s="7">
        <f>'1 datos preparados'!T186</f>
        <v/>
      </c>
      <c r="V193" s="8">
        <f>$AC$12+D193*$AC$13+E193*$AC$14+F193*$AC$15+G193*$AC$16+H193*$AC$17+I193*$AC$18+J193*$AC$19+K193*$AC$20+L193*$AC$21+M193*$AC$22+N193*$AC$23+O193*$AC$24+P193*$AC$25+Q193*$AC$26+R193*$AC$27+S193*$AC$28+T193*$AC$29+U193*$AC$30</f>
        <v/>
      </c>
      <c r="W193" s="8">
        <f>1/(1+EXP(-V193))</f>
        <v/>
      </c>
      <c r="X193" s="9">
        <f>-IF(C193=1,LN(W193),LN(1-W193))</f>
        <v/>
      </c>
      <c r="Y193" s="10">
        <f>IF(W193&gt;$AC$33,1,0)</f>
        <v/>
      </c>
      <c r="Z193">
        <f>IF(Y193=C193,1,0)</f>
        <v/>
      </c>
    </row>
    <row r="194">
      <c r="A194">
        <f>'1 datos preparados'!A187</f>
        <v/>
      </c>
      <c r="B194" s="5">
        <f>'1 datos preparados'!U187</f>
        <v/>
      </c>
      <c r="C194">
        <f>'1 datos preparados'!B187</f>
        <v/>
      </c>
      <c r="D194" s="7">
        <f>'1 datos preparados'!C187</f>
        <v/>
      </c>
      <c r="E194" s="7">
        <f>'1 datos preparados'!D187</f>
        <v/>
      </c>
      <c r="F194" s="7">
        <f>'1 datos preparados'!E187</f>
        <v/>
      </c>
      <c r="G194" s="7">
        <f>'1 datos preparados'!F187</f>
        <v/>
      </c>
      <c r="H194" s="7">
        <f>'1 datos preparados'!G187</f>
        <v/>
      </c>
      <c r="I194" s="7">
        <f>'1 datos preparados'!H187</f>
        <v/>
      </c>
      <c r="J194" s="7">
        <f>'1 datos preparados'!I187</f>
        <v/>
      </c>
      <c r="K194" s="7">
        <f>'1 datos preparados'!J187</f>
        <v/>
      </c>
      <c r="L194" s="7">
        <f>'1 datos preparados'!K187</f>
        <v/>
      </c>
      <c r="M194" s="7">
        <f>'1 datos preparados'!L187</f>
        <v/>
      </c>
      <c r="N194" s="7">
        <f>'1 datos preparados'!M187</f>
        <v/>
      </c>
      <c r="O194" s="7">
        <f>'1 datos preparados'!N187</f>
        <v/>
      </c>
      <c r="P194" s="7">
        <f>'1 datos preparados'!O187</f>
        <v/>
      </c>
      <c r="Q194" s="7">
        <f>'1 datos preparados'!P187</f>
        <v/>
      </c>
      <c r="R194" s="7">
        <f>'1 datos preparados'!Q187</f>
        <v/>
      </c>
      <c r="S194" s="7">
        <f>'1 datos preparados'!R187</f>
        <v/>
      </c>
      <c r="T194" s="7">
        <f>'1 datos preparados'!S187</f>
        <v/>
      </c>
      <c r="U194" s="7">
        <f>'1 datos preparados'!T187</f>
        <v/>
      </c>
      <c r="V194" s="8">
        <f>$AC$12+D194*$AC$13+E194*$AC$14+F194*$AC$15+G194*$AC$16+H194*$AC$17+I194*$AC$18+J194*$AC$19+K194*$AC$20+L194*$AC$21+M194*$AC$22+N194*$AC$23+O194*$AC$24+P194*$AC$25+Q194*$AC$26+R194*$AC$27+S194*$AC$28+T194*$AC$29+U194*$AC$30</f>
        <v/>
      </c>
      <c r="W194" s="8">
        <f>1/(1+EXP(-V194))</f>
        <v/>
      </c>
      <c r="X194" s="9">
        <f>-IF(C194=1,LN(W194),LN(1-W194))</f>
        <v/>
      </c>
      <c r="Y194" s="10">
        <f>IF(W194&gt;$AC$33,1,0)</f>
        <v/>
      </c>
      <c r="Z194">
        <f>IF(Y194=C194,1,0)</f>
        <v/>
      </c>
    </row>
    <row r="195">
      <c r="A195">
        <f>'1 datos preparados'!A188</f>
        <v/>
      </c>
      <c r="B195" s="5">
        <f>'1 datos preparados'!U188</f>
        <v/>
      </c>
      <c r="C195">
        <f>'1 datos preparados'!B188</f>
        <v/>
      </c>
      <c r="D195" s="7">
        <f>'1 datos preparados'!C188</f>
        <v/>
      </c>
      <c r="E195" s="7">
        <f>'1 datos preparados'!D188</f>
        <v/>
      </c>
      <c r="F195" s="7">
        <f>'1 datos preparados'!E188</f>
        <v/>
      </c>
      <c r="G195" s="7">
        <f>'1 datos preparados'!F188</f>
        <v/>
      </c>
      <c r="H195" s="7">
        <f>'1 datos preparados'!G188</f>
        <v/>
      </c>
      <c r="I195" s="7">
        <f>'1 datos preparados'!H188</f>
        <v/>
      </c>
      <c r="J195" s="7">
        <f>'1 datos preparados'!I188</f>
        <v/>
      </c>
      <c r="K195" s="7">
        <f>'1 datos preparados'!J188</f>
        <v/>
      </c>
      <c r="L195" s="7">
        <f>'1 datos preparados'!K188</f>
        <v/>
      </c>
      <c r="M195" s="7">
        <f>'1 datos preparados'!L188</f>
        <v/>
      </c>
      <c r="N195" s="7">
        <f>'1 datos preparados'!M188</f>
        <v/>
      </c>
      <c r="O195" s="7">
        <f>'1 datos preparados'!N188</f>
        <v/>
      </c>
      <c r="P195" s="7">
        <f>'1 datos preparados'!O188</f>
        <v/>
      </c>
      <c r="Q195" s="7">
        <f>'1 datos preparados'!P188</f>
        <v/>
      </c>
      <c r="R195" s="7">
        <f>'1 datos preparados'!Q188</f>
        <v/>
      </c>
      <c r="S195" s="7">
        <f>'1 datos preparados'!R188</f>
        <v/>
      </c>
      <c r="T195" s="7">
        <f>'1 datos preparados'!S188</f>
        <v/>
      </c>
      <c r="U195" s="7">
        <f>'1 datos preparados'!T188</f>
        <v/>
      </c>
      <c r="V195" s="8">
        <f>$AC$12+D195*$AC$13+E195*$AC$14+F195*$AC$15+G195*$AC$16+H195*$AC$17+I195*$AC$18+J195*$AC$19+K195*$AC$20+L195*$AC$21+M195*$AC$22+N195*$AC$23+O195*$AC$24+P195*$AC$25+Q195*$AC$26+R195*$AC$27+S195*$AC$28+T195*$AC$29+U195*$AC$30</f>
        <v/>
      </c>
      <c r="W195" s="8">
        <f>1/(1+EXP(-V195))</f>
        <v/>
      </c>
      <c r="X195" s="9">
        <f>-IF(C195=1,LN(W195),LN(1-W195))</f>
        <v/>
      </c>
      <c r="Y195" s="10">
        <f>IF(W195&gt;$AC$33,1,0)</f>
        <v/>
      </c>
      <c r="Z195">
        <f>IF(Y195=C195,1,0)</f>
        <v/>
      </c>
    </row>
    <row r="196">
      <c r="A196">
        <f>'1 datos preparados'!A189</f>
        <v/>
      </c>
      <c r="B196" s="5">
        <f>'1 datos preparados'!U189</f>
        <v/>
      </c>
      <c r="C196">
        <f>'1 datos preparados'!B189</f>
        <v/>
      </c>
      <c r="D196" s="7">
        <f>'1 datos preparados'!C189</f>
        <v/>
      </c>
      <c r="E196" s="7">
        <f>'1 datos preparados'!D189</f>
        <v/>
      </c>
      <c r="F196" s="7">
        <f>'1 datos preparados'!E189</f>
        <v/>
      </c>
      <c r="G196" s="7">
        <f>'1 datos preparados'!F189</f>
        <v/>
      </c>
      <c r="H196" s="7">
        <f>'1 datos preparados'!G189</f>
        <v/>
      </c>
      <c r="I196" s="7">
        <f>'1 datos preparados'!H189</f>
        <v/>
      </c>
      <c r="J196" s="7">
        <f>'1 datos preparados'!I189</f>
        <v/>
      </c>
      <c r="K196" s="7">
        <f>'1 datos preparados'!J189</f>
        <v/>
      </c>
      <c r="L196" s="7">
        <f>'1 datos preparados'!K189</f>
        <v/>
      </c>
      <c r="M196" s="7">
        <f>'1 datos preparados'!L189</f>
        <v/>
      </c>
      <c r="N196" s="7">
        <f>'1 datos preparados'!M189</f>
        <v/>
      </c>
      <c r="O196" s="7">
        <f>'1 datos preparados'!N189</f>
        <v/>
      </c>
      <c r="P196" s="7">
        <f>'1 datos preparados'!O189</f>
        <v/>
      </c>
      <c r="Q196" s="7">
        <f>'1 datos preparados'!P189</f>
        <v/>
      </c>
      <c r="R196" s="7">
        <f>'1 datos preparados'!Q189</f>
        <v/>
      </c>
      <c r="S196" s="7">
        <f>'1 datos preparados'!R189</f>
        <v/>
      </c>
      <c r="T196" s="7">
        <f>'1 datos preparados'!S189</f>
        <v/>
      </c>
      <c r="U196" s="7">
        <f>'1 datos preparados'!T189</f>
        <v/>
      </c>
      <c r="V196" s="8">
        <f>$AC$12+D196*$AC$13+E196*$AC$14+F196*$AC$15+G196*$AC$16+H196*$AC$17+I196*$AC$18+J196*$AC$19+K196*$AC$20+L196*$AC$21+M196*$AC$22+N196*$AC$23+O196*$AC$24+P196*$AC$25+Q196*$AC$26+R196*$AC$27+S196*$AC$28+T196*$AC$29+U196*$AC$30</f>
        <v/>
      </c>
      <c r="W196" s="8">
        <f>1/(1+EXP(-V196))</f>
        <v/>
      </c>
      <c r="X196" s="9">
        <f>-IF(C196=1,LN(W196),LN(1-W196))</f>
        <v/>
      </c>
      <c r="Y196" s="10">
        <f>IF(W196&gt;$AC$33,1,0)</f>
        <v/>
      </c>
      <c r="Z196">
        <f>IF(Y196=C196,1,0)</f>
        <v/>
      </c>
    </row>
    <row r="197">
      <c r="A197">
        <f>'1 datos preparados'!A190</f>
        <v/>
      </c>
      <c r="B197" s="5">
        <f>'1 datos preparados'!U190</f>
        <v/>
      </c>
      <c r="C197">
        <f>'1 datos preparados'!B190</f>
        <v/>
      </c>
      <c r="D197" s="7">
        <f>'1 datos preparados'!C190</f>
        <v/>
      </c>
      <c r="E197" s="7">
        <f>'1 datos preparados'!D190</f>
        <v/>
      </c>
      <c r="F197" s="7">
        <f>'1 datos preparados'!E190</f>
        <v/>
      </c>
      <c r="G197" s="7">
        <f>'1 datos preparados'!F190</f>
        <v/>
      </c>
      <c r="H197" s="7">
        <f>'1 datos preparados'!G190</f>
        <v/>
      </c>
      <c r="I197" s="7">
        <f>'1 datos preparados'!H190</f>
        <v/>
      </c>
      <c r="J197" s="7">
        <f>'1 datos preparados'!I190</f>
        <v/>
      </c>
      <c r="K197" s="7">
        <f>'1 datos preparados'!J190</f>
        <v/>
      </c>
      <c r="L197" s="7">
        <f>'1 datos preparados'!K190</f>
        <v/>
      </c>
      <c r="M197" s="7">
        <f>'1 datos preparados'!L190</f>
        <v/>
      </c>
      <c r="N197" s="7">
        <f>'1 datos preparados'!M190</f>
        <v/>
      </c>
      <c r="O197" s="7">
        <f>'1 datos preparados'!N190</f>
        <v/>
      </c>
      <c r="P197" s="7">
        <f>'1 datos preparados'!O190</f>
        <v/>
      </c>
      <c r="Q197" s="7">
        <f>'1 datos preparados'!P190</f>
        <v/>
      </c>
      <c r="R197" s="7">
        <f>'1 datos preparados'!Q190</f>
        <v/>
      </c>
      <c r="S197" s="7">
        <f>'1 datos preparados'!R190</f>
        <v/>
      </c>
      <c r="T197" s="7">
        <f>'1 datos preparados'!S190</f>
        <v/>
      </c>
      <c r="U197" s="7">
        <f>'1 datos preparados'!T190</f>
        <v/>
      </c>
      <c r="V197" s="8">
        <f>$AC$12+D197*$AC$13+E197*$AC$14+F197*$AC$15+G197*$AC$16+H197*$AC$17+I197*$AC$18+J197*$AC$19+K197*$AC$20+L197*$AC$21+M197*$AC$22+N197*$AC$23+O197*$AC$24+P197*$AC$25+Q197*$AC$26+R197*$AC$27+S197*$AC$28+T197*$AC$29+U197*$AC$30</f>
        <v/>
      </c>
      <c r="W197" s="8">
        <f>1/(1+EXP(-V197))</f>
        <v/>
      </c>
      <c r="X197" s="9">
        <f>-IF(C197=1,LN(W197),LN(1-W197))</f>
        <v/>
      </c>
      <c r="Y197" s="10">
        <f>IF(W197&gt;$AC$33,1,0)</f>
        <v/>
      </c>
      <c r="Z197">
        <f>IF(Y197=C197,1,0)</f>
        <v/>
      </c>
    </row>
    <row r="198">
      <c r="A198">
        <f>'1 datos preparados'!A191</f>
        <v/>
      </c>
      <c r="B198" s="5">
        <f>'1 datos preparados'!U191</f>
        <v/>
      </c>
      <c r="C198">
        <f>'1 datos preparados'!B191</f>
        <v/>
      </c>
      <c r="D198" s="7">
        <f>'1 datos preparados'!C191</f>
        <v/>
      </c>
      <c r="E198" s="7">
        <f>'1 datos preparados'!D191</f>
        <v/>
      </c>
      <c r="F198" s="7">
        <f>'1 datos preparados'!E191</f>
        <v/>
      </c>
      <c r="G198" s="7">
        <f>'1 datos preparados'!F191</f>
        <v/>
      </c>
      <c r="H198" s="7">
        <f>'1 datos preparados'!G191</f>
        <v/>
      </c>
      <c r="I198" s="7">
        <f>'1 datos preparados'!H191</f>
        <v/>
      </c>
      <c r="J198" s="7">
        <f>'1 datos preparados'!I191</f>
        <v/>
      </c>
      <c r="K198" s="7">
        <f>'1 datos preparados'!J191</f>
        <v/>
      </c>
      <c r="L198" s="7">
        <f>'1 datos preparados'!K191</f>
        <v/>
      </c>
      <c r="M198" s="7">
        <f>'1 datos preparados'!L191</f>
        <v/>
      </c>
      <c r="N198" s="7">
        <f>'1 datos preparados'!M191</f>
        <v/>
      </c>
      <c r="O198" s="7">
        <f>'1 datos preparados'!N191</f>
        <v/>
      </c>
      <c r="P198" s="7">
        <f>'1 datos preparados'!O191</f>
        <v/>
      </c>
      <c r="Q198" s="7">
        <f>'1 datos preparados'!P191</f>
        <v/>
      </c>
      <c r="R198" s="7">
        <f>'1 datos preparados'!Q191</f>
        <v/>
      </c>
      <c r="S198" s="7">
        <f>'1 datos preparados'!R191</f>
        <v/>
      </c>
      <c r="T198" s="7">
        <f>'1 datos preparados'!S191</f>
        <v/>
      </c>
      <c r="U198" s="7">
        <f>'1 datos preparados'!T191</f>
        <v/>
      </c>
      <c r="V198" s="8">
        <f>$AC$12+D198*$AC$13+E198*$AC$14+F198*$AC$15+G198*$AC$16+H198*$AC$17+I198*$AC$18+J198*$AC$19+K198*$AC$20+L198*$AC$21+M198*$AC$22+N198*$AC$23+O198*$AC$24+P198*$AC$25+Q198*$AC$26+R198*$AC$27+S198*$AC$28+T198*$AC$29+U198*$AC$30</f>
        <v/>
      </c>
      <c r="W198" s="8">
        <f>1/(1+EXP(-V198))</f>
        <v/>
      </c>
      <c r="X198" s="9">
        <f>-IF(C198=1,LN(W198),LN(1-W198))</f>
        <v/>
      </c>
      <c r="Y198" s="10">
        <f>IF(W198&gt;$AC$33,1,0)</f>
        <v/>
      </c>
      <c r="Z198">
        <f>IF(Y198=C198,1,0)</f>
        <v/>
      </c>
    </row>
    <row r="199">
      <c r="A199">
        <f>'1 datos preparados'!A192</f>
        <v/>
      </c>
      <c r="B199" s="5">
        <f>'1 datos preparados'!U192</f>
        <v/>
      </c>
      <c r="C199">
        <f>'1 datos preparados'!B192</f>
        <v/>
      </c>
      <c r="D199" s="7">
        <f>'1 datos preparados'!C192</f>
        <v/>
      </c>
      <c r="E199" s="7">
        <f>'1 datos preparados'!D192</f>
        <v/>
      </c>
      <c r="F199" s="7">
        <f>'1 datos preparados'!E192</f>
        <v/>
      </c>
      <c r="G199" s="7">
        <f>'1 datos preparados'!F192</f>
        <v/>
      </c>
      <c r="H199" s="7">
        <f>'1 datos preparados'!G192</f>
        <v/>
      </c>
      <c r="I199" s="7">
        <f>'1 datos preparados'!H192</f>
        <v/>
      </c>
      <c r="J199" s="7">
        <f>'1 datos preparados'!I192</f>
        <v/>
      </c>
      <c r="K199" s="7">
        <f>'1 datos preparados'!J192</f>
        <v/>
      </c>
      <c r="L199" s="7">
        <f>'1 datos preparados'!K192</f>
        <v/>
      </c>
      <c r="M199" s="7">
        <f>'1 datos preparados'!L192</f>
        <v/>
      </c>
      <c r="N199" s="7">
        <f>'1 datos preparados'!M192</f>
        <v/>
      </c>
      <c r="O199" s="7">
        <f>'1 datos preparados'!N192</f>
        <v/>
      </c>
      <c r="P199" s="7">
        <f>'1 datos preparados'!O192</f>
        <v/>
      </c>
      <c r="Q199" s="7">
        <f>'1 datos preparados'!P192</f>
        <v/>
      </c>
      <c r="R199" s="7">
        <f>'1 datos preparados'!Q192</f>
        <v/>
      </c>
      <c r="S199" s="7">
        <f>'1 datos preparados'!R192</f>
        <v/>
      </c>
      <c r="T199" s="7">
        <f>'1 datos preparados'!S192</f>
        <v/>
      </c>
      <c r="U199" s="7">
        <f>'1 datos preparados'!T192</f>
        <v/>
      </c>
      <c r="V199" s="8">
        <f>$AC$12+D199*$AC$13+E199*$AC$14+F199*$AC$15+G199*$AC$16+H199*$AC$17+I199*$AC$18+J199*$AC$19+K199*$AC$20+L199*$AC$21+M199*$AC$22+N199*$AC$23+O199*$AC$24+P199*$AC$25+Q199*$AC$26+R199*$AC$27+S199*$AC$28+T199*$AC$29+U199*$AC$30</f>
        <v/>
      </c>
      <c r="W199" s="8">
        <f>1/(1+EXP(-V199))</f>
        <v/>
      </c>
      <c r="X199" s="9">
        <f>-IF(C199=1,LN(W199),LN(1-W199))</f>
        <v/>
      </c>
      <c r="Y199" s="10">
        <f>IF(W199&gt;$AC$33,1,0)</f>
        <v/>
      </c>
      <c r="Z199">
        <f>IF(Y199=C199,1,0)</f>
        <v/>
      </c>
    </row>
    <row r="200">
      <c r="A200">
        <f>'1 datos preparados'!A193</f>
        <v/>
      </c>
      <c r="B200" s="5">
        <f>'1 datos preparados'!U193</f>
        <v/>
      </c>
      <c r="C200">
        <f>'1 datos preparados'!B193</f>
        <v/>
      </c>
      <c r="D200" s="7">
        <f>'1 datos preparados'!C193</f>
        <v/>
      </c>
      <c r="E200" s="7">
        <f>'1 datos preparados'!D193</f>
        <v/>
      </c>
      <c r="F200" s="7">
        <f>'1 datos preparados'!E193</f>
        <v/>
      </c>
      <c r="G200" s="7">
        <f>'1 datos preparados'!F193</f>
        <v/>
      </c>
      <c r="H200" s="7">
        <f>'1 datos preparados'!G193</f>
        <v/>
      </c>
      <c r="I200" s="7">
        <f>'1 datos preparados'!H193</f>
        <v/>
      </c>
      <c r="J200" s="7">
        <f>'1 datos preparados'!I193</f>
        <v/>
      </c>
      <c r="K200" s="7">
        <f>'1 datos preparados'!J193</f>
        <v/>
      </c>
      <c r="L200" s="7">
        <f>'1 datos preparados'!K193</f>
        <v/>
      </c>
      <c r="M200" s="7">
        <f>'1 datos preparados'!L193</f>
        <v/>
      </c>
      <c r="N200" s="7">
        <f>'1 datos preparados'!M193</f>
        <v/>
      </c>
      <c r="O200" s="7">
        <f>'1 datos preparados'!N193</f>
        <v/>
      </c>
      <c r="P200" s="7">
        <f>'1 datos preparados'!O193</f>
        <v/>
      </c>
      <c r="Q200" s="7">
        <f>'1 datos preparados'!P193</f>
        <v/>
      </c>
      <c r="R200" s="7">
        <f>'1 datos preparados'!Q193</f>
        <v/>
      </c>
      <c r="S200" s="7">
        <f>'1 datos preparados'!R193</f>
        <v/>
      </c>
      <c r="T200" s="7">
        <f>'1 datos preparados'!S193</f>
        <v/>
      </c>
      <c r="U200" s="7">
        <f>'1 datos preparados'!T193</f>
        <v/>
      </c>
      <c r="V200" s="8">
        <f>$AC$12+D200*$AC$13+E200*$AC$14+F200*$AC$15+G200*$AC$16+H200*$AC$17+I200*$AC$18+J200*$AC$19+K200*$AC$20+L200*$AC$21+M200*$AC$22+N200*$AC$23+O200*$AC$24+P200*$AC$25+Q200*$AC$26+R200*$AC$27+S200*$AC$28+T200*$AC$29+U200*$AC$30</f>
        <v/>
      </c>
      <c r="W200" s="8">
        <f>1/(1+EXP(-V200))</f>
        <v/>
      </c>
      <c r="X200" s="9">
        <f>-IF(C200=1,LN(W200),LN(1-W200))</f>
        <v/>
      </c>
      <c r="Y200" s="10">
        <f>IF(W200&gt;$AC$33,1,0)</f>
        <v/>
      </c>
      <c r="Z200">
        <f>IF(Y200=C200,1,0)</f>
        <v/>
      </c>
    </row>
    <row r="201">
      <c r="A201">
        <f>'1 datos preparados'!A194</f>
        <v/>
      </c>
      <c r="B201" s="5">
        <f>'1 datos preparados'!U194</f>
        <v/>
      </c>
      <c r="C201">
        <f>'1 datos preparados'!B194</f>
        <v/>
      </c>
      <c r="D201" s="7">
        <f>'1 datos preparados'!C194</f>
        <v/>
      </c>
      <c r="E201" s="7">
        <f>'1 datos preparados'!D194</f>
        <v/>
      </c>
      <c r="F201" s="7">
        <f>'1 datos preparados'!E194</f>
        <v/>
      </c>
      <c r="G201" s="7">
        <f>'1 datos preparados'!F194</f>
        <v/>
      </c>
      <c r="H201" s="7">
        <f>'1 datos preparados'!G194</f>
        <v/>
      </c>
      <c r="I201" s="7">
        <f>'1 datos preparados'!H194</f>
        <v/>
      </c>
      <c r="J201" s="7">
        <f>'1 datos preparados'!I194</f>
        <v/>
      </c>
      <c r="K201" s="7">
        <f>'1 datos preparados'!J194</f>
        <v/>
      </c>
      <c r="L201" s="7">
        <f>'1 datos preparados'!K194</f>
        <v/>
      </c>
      <c r="M201" s="7">
        <f>'1 datos preparados'!L194</f>
        <v/>
      </c>
      <c r="N201" s="7">
        <f>'1 datos preparados'!M194</f>
        <v/>
      </c>
      <c r="O201" s="7">
        <f>'1 datos preparados'!N194</f>
        <v/>
      </c>
      <c r="P201" s="7">
        <f>'1 datos preparados'!O194</f>
        <v/>
      </c>
      <c r="Q201" s="7">
        <f>'1 datos preparados'!P194</f>
        <v/>
      </c>
      <c r="R201" s="7">
        <f>'1 datos preparados'!Q194</f>
        <v/>
      </c>
      <c r="S201" s="7">
        <f>'1 datos preparados'!R194</f>
        <v/>
      </c>
      <c r="T201" s="7">
        <f>'1 datos preparados'!S194</f>
        <v/>
      </c>
      <c r="U201" s="7">
        <f>'1 datos preparados'!T194</f>
        <v/>
      </c>
      <c r="V201" s="8">
        <f>$AC$12+D201*$AC$13+E201*$AC$14+F201*$AC$15+G201*$AC$16+H201*$AC$17+I201*$AC$18+J201*$AC$19+K201*$AC$20+L201*$AC$21+M201*$AC$22+N201*$AC$23+O201*$AC$24+P201*$AC$25+Q201*$AC$26+R201*$AC$27+S201*$AC$28+T201*$AC$29+U201*$AC$30</f>
        <v/>
      </c>
      <c r="W201" s="8">
        <f>1/(1+EXP(-V201))</f>
        <v/>
      </c>
      <c r="X201" s="9">
        <f>-IF(C201=1,LN(W201),LN(1-W201))</f>
        <v/>
      </c>
      <c r="Y201" s="10">
        <f>IF(W201&gt;$AC$33,1,0)</f>
        <v/>
      </c>
      <c r="Z201">
        <f>IF(Y201=C201,1,0)</f>
        <v/>
      </c>
    </row>
    <row r="202">
      <c r="A202">
        <f>'1 datos preparados'!A195</f>
        <v/>
      </c>
      <c r="B202" s="5">
        <f>'1 datos preparados'!U195</f>
        <v/>
      </c>
      <c r="C202">
        <f>'1 datos preparados'!B195</f>
        <v/>
      </c>
      <c r="D202" s="7">
        <f>'1 datos preparados'!C195</f>
        <v/>
      </c>
      <c r="E202" s="7">
        <f>'1 datos preparados'!D195</f>
        <v/>
      </c>
      <c r="F202" s="7">
        <f>'1 datos preparados'!E195</f>
        <v/>
      </c>
      <c r="G202" s="7">
        <f>'1 datos preparados'!F195</f>
        <v/>
      </c>
      <c r="H202" s="7">
        <f>'1 datos preparados'!G195</f>
        <v/>
      </c>
      <c r="I202" s="7">
        <f>'1 datos preparados'!H195</f>
        <v/>
      </c>
      <c r="J202" s="7">
        <f>'1 datos preparados'!I195</f>
        <v/>
      </c>
      <c r="K202" s="7">
        <f>'1 datos preparados'!J195</f>
        <v/>
      </c>
      <c r="L202" s="7">
        <f>'1 datos preparados'!K195</f>
        <v/>
      </c>
      <c r="M202" s="7">
        <f>'1 datos preparados'!L195</f>
        <v/>
      </c>
      <c r="N202" s="7">
        <f>'1 datos preparados'!M195</f>
        <v/>
      </c>
      <c r="O202" s="7">
        <f>'1 datos preparados'!N195</f>
        <v/>
      </c>
      <c r="P202" s="7">
        <f>'1 datos preparados'!O195</f>
        <v/>
      </c>
      <c r="Q202" s="7">
        <f>'1 datos preparados'!P195</f>
        <v/>
      </c>
      <c r="R202" s="7">
        <f>'1 datos preparados'!Q195</f>
        <v/>
      </c>
      <c r="S202" s="7">
        <f>'1 datos preparados'!R195</f>
        <v/>
      </c>
      <c r="T202" s="7">
        <f>'1 datos preparados'!S195</f>
        <v/>
      </c>
      <c r="U202" s="7">
        <f>'1 datos preparados'!T195</f>
        <v/>
      </c>
      <c r="V202" s="8">
        <f>$AC$12+D202*$AC$13+E202*$AC$14+F202*$AC$15+G202*$AC$16+H202*$AC$17+I202*$AC$18+J202*$AC$19+K202*$AC$20+L202*$AC$21+M202*$AC$22+N202*$AC$23+O202*$AC$24+P202*$AC$25+Q202*$AC$26+R202*$AC$27+S202*$AC$28+T202*$AC$29+U202*$AC$30</f>
        <v/>
      </c>
      <c r="W202" s="8">
        <f>1/(1+EXP(-V202))</f>
        <v/>
      </c>
      <c r="X202" s="9">
        <f>-IF(C202=1,LN(W202),LN(1-W202))</f>
        <v/>
      </c>
      <c r="Y202" s="10">
        <f>IF(W202&gt;$AC$33,1,0)</f>
        <v/>
      </c>
      <c r="Z202">
        <f>IF(Y202=C202,1,0)</f>
        <v/>
      </c>
    </row>
    <row r="203">
      <c r="A203">
        <f>'1 datos preparados'!A196</f>
        <v/>
      </c>
      <c r="B203" s="5">
        <f>'1 datos preparados'!U196</f>
        <v/>
      </c>
      <c r="C203">
        <f>'1 datos preparados'!B196</f>
        <v/>
      </c>
      <c r="D203" s="7">
        <f>'1 datos preparados'!C196</f>
        <v/>
      </c>
      <c r="E203" s="7">
        <f>'1 datos preparados'!D196</f>
        <v/>
      </c>
      <c r="F203" s="7">
        <f>'1 datos preparados'!E196</f>
        <v/>
      </c>
      <c r="G203" s="7">
        <f>'1 datos preparados'!F196</f>
        <v/>
      </c>
      <c r="H203" s="7">
        <f>'1 datos preparados'!G196</f>
        <v/>
      </c>
      <c r="I203" s="7">
        <f>'1 datos preparados'!H196</f>
        <v/>
      </c>
      <c r="J203" s="7">
        <f>'1 datos preparados'!I196</f>
        <v/>
      </c>
      <c r="K203" s="7">
        <f>'1 datos preparados'!J196</f>
        <v/>
      </c>
      <c r="L203" s="7">
        <f>'1 datos preparados'!K196</f>
        <v/>
      </c>
      <c r="M203" s="7">
        <f>'1 datos preparados'!L196</f>
        <v/>
      </c>
      <c r="N203" s="7">
        <f>'1 datos preparados'!M196</f>
        <v/>
      </c>
      <c r="O203" s="7">
        <f>'1 datos preparados'!N196</f>
        <v/>
      </c>
      <c r="P203" s="7">
        <f>'1 datos preparados'!O196</f>
        <v/>
      </c>
      <c r="Q203" s="7">
        <f>'1 datos preparados'!P196</f>
        <v/>
      </c>
      <c r="R203" s="7">
        <f>'1 datos preparados'!Q196</f>
        <v/>
      </c>
      <c r="S203" s="7">
        <f>'1 datos preparados'!R196</f>
        <v/>
      </c>
      <c r="T203" s="7">
        <f>'1 datos preparados'!S196</f>
        <v/>
      </c>
      <c r="U203" s="7">
        <f>'1 datos preparados'!T196</f>
        <v/>
      </c>
      <c r="V203" s="8">
        <f>$AC$12+D203*$AC$13+E203*$AC$14+F203*$AC$15+G203*$AC$16+H203*$AC$17+I203*$AC$18+J203*$AC$19+K203*$AC$20+L203*$AC$21+M203*$AC$22+N203*$AC$23+O203*$AC$24+P203*$AC$25+Q203*$AC$26+R203*$AC$27+S203*$AC$28+T203*$AC$29+U203*$AC$30</f>
        <v/>
      </c>
      <c r="W203" s="8">
        <f>1/(1+EXP(-V203))</f>
        <v/>
      </c>
      <c r="X203" s="9">
        <f>-IF(C203=1,LN(W203),LN(1-W203))</f>
        <v/>
      </c>
      <c r="Y203" s="10">
        <f>IF(W203&gt;$AC$33,1,0)</f>
        <v/>
      </c>
      <c r="Z203">
        <f>IF(Y203=C203,1,0)</f>
        <v/>
      </c>
    </row>
    <row r="204">
      <c r="A204">
        <f>'1 datos preparados'!A197</f>
        <v/>
      </c>
      <c r="B204" s="5">
        <f>'1 datos preparados'!U197</f>
        <v/>
      </c>
      <c r="C204">
        <f>'1 datos preparados'!B197</f>
        <v/>
      </c>
      <c r="D204" s="7">
        <f>'1 datos preparados'!C197</f>
        <v/>
      </c>
      <c r="E204" s="7">
        <f>'1 datos preparados'!D197</f>
        <v/>
      </c>
      <c r="F204" s="7">
        <f>'1 datos preparados'!E197</f>
        <v/>
      </c>
      <c r="G204" s="7">
        <f>'1 datos preparados'!F197</f>
        <v/>
      </c>
      <c r="H204" s="7">
        <f>'1 datos preparados'!G197</f>
        <v/>
      </c>
      <c r="I204" s="7">
        <f>'1 datos preparados'!H197</f>
        <v/>
      </c>
      <c r="J204" s="7">
        <f>'1 datos preparados'!I197</f>
        <v/>
      </c>
      <c r="K204" s="7">
        <f>'1 datos preparados'!J197</f>
        <v/>
      </c>
      <c r="L204" s="7">
        <f>'1 datos preparados'!K197</f>
        <v/>
      </c>
      <c r="M204" s="7">
        <f>'1 datos preparados'!L197</f>
        <v/>
      </c>
      <c r="N204" s="7">
        <f>'1 datos preparados'!M197</f>
        <v/>
      </c>
      <c r="O204" s="7">
        <f>'1 datos preparados'!N197</f>
        <v/>
      </c>
      <c r="P204" s="7">
        <f>'1 datos preparados'!O197</f>
        <v/>
      </c>
      <c r="Q204" s="7">
        <f>'1 datos preparados'!P197</f>
        <v/>
      </c>
      <c r="R204" s="7">
        <f>'1 datos preparados'!Q197</f>
        <v/>
      </c>
      <c r="S204" s="7">
        <f>'1 datos preparados'!R197</f>
        <v/>
      </c>
      <c r="T204" s="7">
        <f>'1 datos preparados'!S197</f>
        <v/>
      </c>
      <c r="U204" s="7">
        <f>'1 datos preparados'!T197</f>
        <v/>
      </c>
      <c r="V204" s="8">
        <f>$AC$12+D204*$AC$13+E204*$AC$14+F204*$AC$15+G204*$AC$16+H204*$AC$17+I204*$AC$18+J204*$AC$19+K204*$AC$20+L204*$AC$21+M204*$AC$22+N204*$AC$23+O204*$AC$24+P204*$AC$25+Q204*$AC$26+R204*$AC$27+S204*$AC$28+T204*$AC$29+U204*$AC$30</f>
        <v/>
      </c>
      <c r="W204" s="8">
        <f>1/(1+EXP(-V204))</f>
        <v/>
      </c>
      <c r="X204" s="9">
        <f>-IF(C204=1,LN(W204),LN(1-W204))</f>
        <v/>
      </c>
      <c r="Y204" s="10">
        <f>IF(W204&gt;$AC$33,1,0)</f>
        <v/>
      </c>
      <c r="Z204">
        <f>IF(Y204=C204,1,0)</f>
        <v/>
      </c>
    </row>
    <row r="205">
      <c r="A205">
        <f>'1 datos preparados'!A198</f>
        <v/>
      </c>
      <c r="B205" s="5">
        <f>'1 datos preparados'!U198</f>
        <v/>
      </c>
      <c r="C205">
        <f>'1 datos preparados'!B198</f>
        <v/>
      </c>
      <c r="D205" s="7">
        <f>'1 datos preparados'!C198</f>
        <v/>
      </c>
      <c r="E205" s="7">
        <f>'1 datos preparados'!D198</f>
        <v/>
      </c>
      <c r="F205" s="7">
        <f>'1 datos preparados'!E198</f>
        <v/>
      </c>
      <c r="G205" s="7">
        <f>'1 datos preparados'!F198</f>
        <v/>
      </c>
      <c r="H205" s="7">
        <f>'1 datos preparados'!G198</f>
        <v/>
      </c>
      <c r="I205" s="7">
        <f>'1 datos preparados'!H198</f>
        <v/>
      </c>
      <c r="J205" s="7">
        <f>'1 datos preparados'!I198</f>
        <v/>
      </c>
      <c r="K205" s="7">
        <f>'1 datos preparados'!J198</f>
        <v/>
      </c>
      <c r="L205" s="7">
        <f>'1 datos preparados'!K198</f>
        <v/>
      </c>
      <c r="M205" s="7">
        <f>'1 datos preparados'!L198</f>
        <v/>
      </c>
      <c r="N205" s="7">
        <f>'1 datos preparados'!M198</f>
        <v/>
      </c>
      <c r="O205" s="7">
        <f>'1 datos preparados'!N198</f>
        <v/>
      </c>
      <c r="P205" s="7">
        <f>'1 datos preparados'!O198</f>
        <v/>
      </c>
      <c r="Q205" s="7">
        <f>'1 datos preparados'!P198</f>
        <v/>
      </c>
      <c r="R205" s="7">
        <f>'1 datos preparados'!Q198</f>
        <v/>
      </c>
      <c r="S205" s="7">
        <f>'1 datos preparados'!R198</f>
        <v/>
      </c>
      <c r="T205" s="7">
        <f>'1 datos preparados'!S198</f>
        <v/>
      </c>
      <c r="U205" s="7">
        <f>'1 datos preparados'!T198</f>
        <v/>
      </c>
      <c r="V205" s="8">
        <f>$AC$12+D205*$AC$13+E205*$AC$14+F205*$AC$15+G205*$AC$16+H205*$AC$17+I205*$AC$18+J205*$AC$19+K205*$AC$20+L205*$AC$21+M205*$AC$22+N205*$AC$23+O205*$AC$24+P205*$AC$25+Q205*$AC$26+R205*$AC$27+S205*$AC$28+T205*$AC$29+U205*$AC$30</f>
        <v/>
      </c>
      <c r="W205" s="8">
        <f>1/(1+EXP(-V205))</f>
        <v/>
      </c>
      <c r="X205" s="9">
        <f>-IF(C205=1,LN(W205),LN(1-W205))</f>
        <v/>
      </c>
      <c r="Y205" s="10">
        <f>IF(W205&gt;$AC$33,1,0)</f>
        <v/>
      </c>
      <c r="Z205">
        <f>IF(Y205=C205,1,0)</f>
        <v/>
      </c>
    </row>
    <row r="206">
      <c r="A206">
        <f>'1 datos preparados'!A199</f>
        <v/>
      </c>
      <c r="B206" s="5">
        <f>'1 datos preparados'!U199</f>
        <v/>
      </c>
      <c r="C206">
        <f>'1 datos preparados'!B199</f>
        <v/>
      </c>
      <c r="D206" s="7">
        <f>'1 datos preparados'!C199</f>
        <v/>
      </c>
      <c r="E206" s="7">
        <f>'1 datos preparados'!D199</f>
        <v/>
      </c>
      <c r="F206" s="7">
        <f>'1 datos preparados'!E199</f>
        <v/>
      </c>
      <c r="G206" s="7">
        <f>'1 datos preparados'!F199</f>
        <v/>
      </c>
      <c r="H206" s="7">
        <f>'1 datos preparados'!G199</f>
        <v/>
      </c>
      <c r="I206" s="7">
        <f>'1 datos preparados'!H199</f>
        <v/>
      </c>
      <c r="J206" s="7">
        <f>'1 datos preparados'!I199</f>
        <v/>
      </c>
      <c r="K206" s="7">
        <f>'1 datos preparados'!J199</f>
        <v/>
      </c>
      <c r="L206" s="7">
        <f>'1 datos preparados'!K199</f>
        <v/>
      </c>
      <c r="M206" s="7">
        <f>'1 datos preparados'!L199</f>
        <v/>
      </c>
      <c r="N206" s="7">
        <f>'1 datos preparados'!M199</f>
        <v/>
      </c>
      <c r="O206" s="7">
        <f>'1 datos preparados'!N199</f>
        <v/>
      </c>
      <c r="P206" s="7">
        <f>'1 datos preparados'!O199</f>
        <v/>
      </c>
      <c r="Q206" s="7">
        <f>'1 datos preparados'!P199</f>
        <v/>
      </c>
      <c r="R206" s="7">
        <f>'1 datos preparados'!Q199</f>
        <v/>
      </c>
      <c r="S206" s="7">
        <f>'1 datos preparados'!R199</f>
        <v/>
      </c>
      <c r="T206" s="7">
        <f>'1 datos preparados'!S199</f>
        <v/>
      </c>
      <c r="U206" s="7">
        <f>'1 datos preparados'!T199</f>
        <v/>
      </c>
      <c r="V206" s="8">
        <f>$AC$12+D206*$AC$13+E206*$AC$14+F206*$AC$15+G206*$AC$16+H206*$AC$17+I206*$AC$18+J206*$AC$19+K206*$AC$20+L206*$AC$21+M206*$AC$22+N206*$AC$23+O206*$AC$24+P206*$AC$25+Q206*$AC$26+R206*$AC$27+S206*$AC$28+T206*$AC$29+U206*$AC$30</f>
        <v/>
      </c>
      <c r="W206" s="8">
        <f>1/(1+EXP(-V206))</f>
        <v/>
      </c>
      <c r="X206" s="9">
        <f>-IF(C206=1,LN(W206),LN(1-W206))</f>
        <v/>
      </c>
      <c r="Y206" s="10">
        <f>IF(W206&gt;$AC$33,1,0)</f>
        <v/>
      </c>
      <c r="Z206">
        <f>IF(Y206=C206,1,0)</f>
        <v/>
      </c>
    </row>
    <row r="207">
      <c r="A207">
        <f>'1 datos preparados'!A200</f>
        <v/>
      </c>
      <c r="B207" s="5">
        <f>'1 datos preparados'!U200</f>
        <v/>
      </c>
      <c r="C207">
        <f>'1 datos preparados'!B200</f>
        <v/>
      </c>
      <c r="D207" s="7">
        <f>'1 datos preparados'!C200</f>
        <v/>
      </c>
      <c r="E207" s="7">
        <f>'1 datos preparados'!D200</f>
        <v/>
      </c>
      <c r="F207" s="7">
        <f>'1 datos preparados'!E200</f>
        <v/>
      </c>
      <c r="G207" s="7">
        <f>'1 datos preparados'!F200</f>
        <v/>
      </c>
      <c r="H207" s="7">
        <f>'1 datos preparados'!G200</f>
        <v/>
      </c>
      <c r="I207" s="7">
        <f>'1 datos preparados'!H200</f>
        <v/>
      </c>
      <c r="J207" s="7">
        <f>'1 datos preparados'!I200</f>
        <v/>
      </c>
      <c r="K207" s="7">
        <f>'1 datos preparados'!J200</f>
        <v/>
      </c>
      <c r="L207" s="7">
        <f>'1 datos preparados'!K200</f>
        <v/>
      </c>
      <c r="M207" s="7">
        <f>'1 datos preparados'!L200</f>
        <v/>
      </c>
      <c r="N207" s="7">
        <f>'1 datos preparados'!M200</f>
        <v/>
      </c>
      <c r="O207" s="7">
        <f>'1 datos preparados'!N200</f>
        <v/>
      </c>
      <c r="P207" s="7">
        <f>'1 datos preparados'!O200</f>
        <v/>
      </c>
      <c r="Q207" s="7">
        <f>'1 datos preparados'!P200</f>
        <v/>
      </c>
      <c r="R207" s="7">
        <f>'1 datos preparados'!Q200</f>
        <v/>
      </c>
      <c r="S207" s="7">
        <f>'1 datos preparados'!R200</f>
        <v/>
      </c>
      <c r="T207" s="7">
        <f>'1 datos preparados'!S200</f>
        <v/>
      </c>
      <c r="U207" s="7">
        <f>'1 datos preparados'!T200</f>
        <v/>
      </c>
      <c r="V207" s="8">
        <f>$AC$12+D207*$AC$13+E207*$AC$14+F207*$AC$15+G207*$AC$16+H207*$AC$17+I207*$AC$18+J207*$AC$19+K207*$AC$20+L207*$AC$21+M207*$AC$22+N207*$AC$23+O207*$AC$24+P207*$AC$25+Q207*$AC$26+R207*$AC$27+S207*$AC$28+T207*$AC$29+U207*$AC$30</f>
        <v/>
      </c>
      <c r="W207" s="8">
        <f>1/(1+EXP(-V207))</f>
        <v/>
      </c>
      <c r="X207" s="9">
        <f>-IF(C207=1,LN(W207),LN(1-W207))</f>
        <v/>
      </c>
      <c r="Y207" s="10">
        <f>IF(W207&gt;$AC$33,1,0)</f>
        <v/>
      </c>
      <c r="Z207">
        <f>IF(Y207=C207,1,0)</f>
        <v/>
      </c>
    </row>
    <row r="208">
      <c r="A208">
        <f>'1 datos preparados'!A201</f>
        <v/>
      </c>
      <c r="B208" s="5">
        <f>'1 datos preparados'!U201</f>
        <v/>
      </c>
      <c r="C208">
        <f>'1 datos preparados'!B201</f>
        <v/>
      </c>
      <c r="D208" s="7">
        <f>'1 datos preparados'!C201</f>
        <v/>
      </c>
      <c r="E208" s="7">
        <f>'1 datos preparados'!D201</f>
        <v/>
      </c>
      <c r="F208" s="7">
        <f>'1 datos preparados'!E201</f>
        <v/>
      </c>
      <c r="G208" s="7">
        <f>'1 datos preparados'!F201</f>
        <v/>
      </c>
      <c r="H208" s="7">
        <f>'1 datos preparados'!G201</f>
        <v/>
      </c>
      <c r="I208" s="7">
        <f>'1 datos preparados'!H201</f>
        <v/>
      </c>
      <c r="J208" s="7">
        <f>'1 datos preparados'!I201</f>
        <v/>
      </c>
      <c r="K208" s="7">
        <f>'1 datos preparados'!J201</f>
        <v/>
      </c>
      <c r="L208" s="7">
        <f>'1 datos preparados'!K201</f>
        <v/>
      </c>
      <c r="M208" s="7">
        <f>'1 datos preparados'!L201</f>
        <v/>
      </c>
      <c r="N208" s="7">
        <f>'1 datos preparados'!M201</f>
        <v/>
      </c>
      <c r="O208" s="7">
        <f>'1 datos preparados'!N201</f>
        <v/>
      </c>
      <c r="P208" s="7">
        <f>'1 datos preparados'!O201</f>
        <v/>
      </c>
      <c r="Q208" s="7">
        <f>'1 datos preparados'!P201</f>
        <v/>
      </c>
      <c r="R208" s="7">
        <f>'1 datos preparados'!Q201</f>
        <v/>
      </c>
      <c r="S208" s="7">
        <f>'1 datos preparados'!R201</f>
        <v/>
      </c>
      <c r="T208" s="7">
        <f>'1 datos preparados'!S201</f>
        <v/>
      </c>
      <c r="U208" s="7">
        <f>'1 datos preparados'!T201</f>
        <v/>
      </c>
      <c r="V208" s="8">
        <f>$AC$12+D208*$AC$13+E208*$AC$14+F208*$AC$15+G208*$AC$16+H208*$AC$17+I208*$AC$18+J208*$AC$19+K208*$AC$20+L208*$AC$21+M208*$AC$22+N208*$AC$23+O208*$AC$24+P208*$AC$25+Q208*$AC$26+R208*$AC$27+S208*$AC$28+T208*$AC$29+U208*$AC$30</f>
        <v/>
      </c>
      <c r="W208" s="8">
        <f>1/(1+EXP(-V208))</f>
        <v/>
      </c>
      <c r="X208" s="9">
        <f>-IF(C208=1,LN(W208),LN(1-W208))</f>
        <v/>
      </c>
      <c r="Y208" s="10">
        <f>IF(W208&gt;$AC$33,1,0)</f>
        <v/>
      </c>
      <c r="Z208">
        <f>IF(Y208=C208,1,0)</f>
        <v/>
      </c>
    </row>
    <row r="209">
      <c r="A209">
        <f>'1 datos preparados'!A202</f>
        <v/>
      </c>
      <c r="B209" s="5">
        <f>'1 datos preparados'!U202</f>
        <v/>
      </c>
      <c r="C209">
        <f>'1 datos preparados'!B202</f>
        <v/>
      </c>
      <c r="D209" s="7">
        <f>'1 datos preparados'!C202</f>
        <v/>
      </c>
      <c r="E209" s="7">
        <f>'1 datos preparados'!D202</f>
        <v/>
      </c>
      <c r="F209" s="7">
        <f>'1 datos preparados'!E202</f>
        <v/>
      </c>
      <c r="G209" s="7">
        <f>'1 datos preparados'!F202</f>
        <v/>
      </c>
      <c r="H209" s="7">
        <f>'1 datos preparados'!G202</f>
        <v/>
      </c>
      <c r="I209" s="7">
        <f>'1 datos preparados'!H202</f>
        <v/>
      </c>
      <c r="J209" s="7">
        <f>'1 datos preparados'!I202</f>
        <v/>
      </c>
      <c r="K209" s="7">
        <f>'1 datos preparados'!J202</f>
        <v/>
      </c>
      <c r="L209" s="7">
        <f>'1 datos preparados'!K202</f>
        <v/>
      </c>
      <c r="M209" s="7">
        <f>'1 datos preparados'!L202</f>
        <v/>
      </c>
      <c r="N209" s="7">
        <f>'1 datos preparados'!M202</f>
        <v/>
      </c>
      <c r="O209" s="7">
        <f>'1 datos preparados'!N202</f>
        <v/>
      </c>
      <c r="P209" s="7">
        <f>'1 datos preparados'!O202</f>
        <v/>
      </c>
      <c r="Q209" s="7">
        <f>'1 datos preparados'!P202</f>
        <v/>
      </c>
      <c r="R209" s="7">
        <f>'1 datos preparados'!Q202</f>
        <v/>
      </c>
      <c r="S209" s="7">
        <f>'1 datos preparados'!R202</f>
        <v/>
      </c>
      <c r="T209" s="7">
        <f>'1 datos preparados'!S202</f>
        <v/>
      </c>
      <c r="U209" s="7">
        <f>'1 datos preparados'!T202</f>
        <v/>
      </c>
      <c r="V209" s="8">
        <f>$AC$12+D209*$AC$13+E209*$AC$14+F209*$AC$15+G209*$AC$16+H209*$AC$17+I209*$AC$18+J209*$AC$19+K209*$AC$20+L209*$AC$21+M209*$AC$22+N209*$AC$23+O209*$AC$24+P209*$AC$25+Q209*$AC$26+R209*$AC$27+S209*$AC$28+T209*$AC$29+U209*$AC$30</f>
        <v/>
      </c>
      <c r="W209" s="8">
        <f>1/(1+EXP(-V209))</f>
        <v/>
      </c>
      <c r="X209" s="9">
        <f>-IF(C209=1,LN(W209),LN(1-W209))</f>
        <v/>
      </c>
      <c r="Y209" s="10">
        <f>IF(W209&gt;$AC$33,1,0)</f>
        <v/>
      </c>
      <c r="Z209">
        <f>IF(Y209=C209,1,0)</f>
        <v/>
      </c>
    </row>
    <row r="210">
      <c r="A210">
        <f>'1 datos preparados'!A203</f>
        <v/>
      </c>
      <c r="B210" s="5">
        <f>'1 datos preparados'!U203</f>
        <v/>
      </c>
      <c r="C210">
        <f>'1 datos preparados'!B203</f>
        <v/>
      </c>
      <c r="D210" s="7">
        <f>'1 datos preparados'!C203</f>
        <v/>
      </c>
      <c r="E210" s="7">
        <f>'1 datos preparados'!D203</f>
        <v/>
      </c>
      <c r="F210" s="7">
        <f>'1 datos preparados'!E203</f>
        <v/>
      </c>
      <c r="G210" s="7">
        <f>'1 datos preparados'!F203</f>
        <v/>
      </c>
      <c r="H210" s="7">
        <f>'1 datos preparados'!G203</f>
        <v/>
      </c>
      <c r="I210" s="7">
        <f>'1 datos preparados'!H203</f>
        <v/>
      </c>
      <c r="J210" s="7">
        <f>'1 datos preparados'!I203</f>
        <v/>
      </c>
      <c r="K210" s="7">
        <f>'1 datos preparados'!J203</f>
        <v/>
      </c>
      <c r="L210" s="7">
        <f>'1 datos preparados'!K203</f>
        <v/>
      </c>
      <c r="M210" s="7">
        <f>'1 datos preparados'!L203</f>
        <v/>
      </c>
      <c r="N210" s="7">
        <f>'1 datos preparados'!M203</f>
        <v/>
      </c>
      <c r="O210" s="7">
        <f>'1 datos preparados'!N203</f>
        <v/>
      </c>
      <c r="P210" s="7">
        <f>'1 datos preparados'!O203</f>
        <v/>
      </c>
      <c r="Q210" s="7">
        <f>'1 datos preparados'!P203</f>
        <v/>
      </c>
      <c r="R210" s="7">
        <f>'1 datos preparados'!Q203</f>
        <v/>
      </c>
      <c r="S210" s="7">
        <f>'1 datos preparados'!R203</f>
        <v/>
      </c>
      <c r="T210" s="7">
        <f>'1 datos preparados'!S203</f>
        <v/>
      </c>
      <c r="U210" s="7">
        <f>'1 datos preparados'!T203</f>
        <v/>
      </c>
      <c r="V210" s="8">
        <f>$AC$12+D210*$AC$13+E210*$AC$14+F210*$AC$15+G210*$AC$16+H210*$AC$17+I210*$AC$18+J210*$AC$19+K210*$AC$20+L210*$AC$21+M210*$AC$22+N210*$AC$23+O210*$AC$24+P210*$AC$25+Q210*$AC$26+R210*$AC$27+S210*$AC$28+T210*$AC$29+U210*$AC$30</f>
        <v/>
      </c>
      <c r="W210" s="8">
        <f>1/(1+EXP(-V210))</f>
        <v/>
      </c>
      <c r="X210" s="9">
        <f>-IF(C210=1,LN(W210),LN(1-W210))</f>
        <v/>
      </c>
      <c r="Y210" s="10">
        <f>IF(W210&gt;$AC$33,1,0)</f>
        <v/>
      </c>
      <c r="Z210">
        <f>IF(Y210=C210,1,0)</f>
        <v/>
      </c>
    </row>
    <row r="211">
      <c r="A211">
        <f>'1 datos preparados'!A204</f>
        <v/>
      </c>
      <c r="B211" s="5">
        <f>'1 datos preparados'!U204</f>
        <v/>
      </c>
      <c r="C211">
        <f>'1 datos preparados'!B204</f>
        <v/>
      </c>
      <c r="D211" s="7">
        <f>'1 datos preparados'!C204</f>
        <v/>
      </c>
      <c r="E211" s="7">
        <f>'1 datos preparados'!D204</f>
        <v/>
      </c>
      <c r="F211" s="7">
        <f>'1 datos preparados'!E204</f>
        <v/>
      </c>
      <c r="G211" s="7">
        <f>'1 datos preparados'!F204</f>
        <v/>
      </c>
      <c r="H211" s="7">
        <f>'1 datos preparados'!G204</f>
        <v/>
      </c>
      <c r="I211" s="7">
        <f>'1 datos preparados'!H204</f>
        <v/>
      </c>
      <c r="J211" s="7">
        <f>'1 datos preparados'!I204</f>
        <v/>
      </c>
      <c r="K211" s="7">
        <f>'1 datos preparados'!J204</f>
        <v/>
      </c>
      <c r="L211" s="7">
        <f>'1 datos preparados'!K204</f>
        <v/>
      </c>
      <c r="M211" s="7">
        <f>'1 datos preparados'!L204</f>
        <v/>
      </c>
      <c r="N211" s="7">
        <f>'1 datos preparados'!M204</f>
        <v/>
      </c>
      <c r="O211" s="7">
        <f>'1 datos preparados'!N204</f>
        <v/>
      </c>
      <c r="P211" s="7">
        <f>'1 datos preparados'!O204</f>
        <v/>
      </c>
      <c r="Q211" s="7">
        <f>'1 datos preparados'!P204</f>
        <v/>
      </c>
      <c r="R211" s="7">
        <f>'1 datos preparados'!Q204</f>
        <v/>
      </c>
      <c r="S211" s="7">
        <f>'1 datos preparados'!R204</f>
        <v/>
      </c>
      <c r="T211" s="7">
        <f>'1 datos preparados'!S204</f>
        <v/>
      </c>
      <c r="U211" s="7">
        <f>'1 datos preparados'!T204</f>
        <v/>
      </c>
      <c r="V211" s="8">
        <f>$AC$12+D211*$AC$13+E211*$AC$14+F211*$AC$15+G211*$AC$16+H211*$AC$17+I211*$AC$18+J211*$AC$19+K211*$AC$20+L211*$AC$21+M211*$AC$22+N211*$AC$23+O211*$AC$24+P211*$AC$25+Q211*$AC$26+R211*$AC$27+S211*$AC$28+T211*$AC$29+U211*$AC$30</f>
        <v/>
      </c>
      <c r="W211" s="8">
        <f>1/(1+EXP(-V211))</f>
        <v/>
      </c>
      <c r="X211" s="9">
        <f>-IF(C211=1,LN(W211),LN(1-W211))</f>
        <v/>
      </c>
      <c r="Y211" s="10">
        <f>IF(W211&gt;$AC$33,1,0)</f>
        <v/>
      </c>
      <c r="Z211">
        <f>IF(Y211=C211,1,0)</f>
        <v/>
      </c>
    </row>
    <row r="212">
      <c r="A212">
        <f>'1 datos preparados'!A205</f>
        <v/>
      </c>
      <c r="B212" s="5">
        <f>'1 datos preparados'!U205</f>
        <v/>
      </c>
      <c r="C212">
        <f>'1 datos preparados'!B205</f>
        <v/>
      </c>
      <c r="D212" s="7">
        <f>'1 datos preparados'!C205</f>
        <v/>
      </c>
      <c r="E212" s="7">
        <f>'1 datos preparados'!D205</f>
        <v/>
      </c>
      <c r="F212" s="7">
        <f>'1 datos preparados'!E205</f>
        <v/>
      </c>
      <c r="G212" s="7">
        <f>'1 datos preparados'!F205</f>
        <v/>
      </c>
      <c r="H212" s="7">
        <f>'1 datos preparados'!G205</f>
        <v/>
      </c>
      <c r="I212" s="7">
        <f>'1 datos preparados'!H205</f>
        <v/>
      </c>
      <c r="J212" s="7">
        <f>'1 datos preparados'!I205</f>
        <v/>
      </c>
      <c r="K212" s="7">
        <f>'1 datos preparados'!J205</f>
        <v/>
      </c>
      <c r="L212" s="7">
        <f>'1 datos preparados'!K205</f>
        <v/>
      </c>
      <c r="M212" s="7">
        <f>'1 datos preparados'!L205</f>
        <v/>
      </c>
      <c r="N212" s="7">
        <f>'1 datos preparados'!M205</f>
        <v/>
      </c>
      <c r="O212" s="7">
        <f>'1 datos preparados'!N205</f>
        <v/>
      </c>
      <c r="P212" s="7">
        <f>'1 datos preparados'!O205</f>
        <v/>
      </c>
      <c r="Q212" s="7">
        <f>'1 datos preparados'!P205</f>
        <v/>
      </c>
      <c r="R212" s="7">
        <f>'1 datos preparados'!Q205</f>
        <v/>
      </c>
      <c r="S212" s="7">
        <f>'1 datos preparados'!R205</f>
        <v/>
      </c>
      <c r="T212" s="7">
        <f>'1 datos preparados'!S205</f>
        <v/>
      </c>
      <c r="U212" s="7">
        <f>'1 datos preparados'!T205</f>
        <v/>
      </c>
      <c r="V212" s="8">
        <f>$AC$12+D212*$AC$13+E212*$AC$14+F212*$AC$15+G212*$AC$16+H212*$AC$17+I212*$AC$18+J212*$AC$19+K212*$AC$20+L212*$AC$21+M212*$AC$22+N212*$AC$23+O212*$AC$24+P212*$AC$25+Q212*$AC$26+R212*$AC$27+S212*$AC$28+T212*$AC$29+U212*$AC$30</f>
        <v/>
      </c>
      <c r="W212" s="8">
        <f>1/(1+EXP(-V212))</f>
        <v/>
      </c>
      <c r="X212" s="9">
        <f>-IF(C212=1,LN(W212),LN(1-W212))</f>
        <v/>
      </c>
      <c r="Y212" s="10">
        <f>IF(W212&gt;$AC$33,1,0)</f>
        <v/>
      </c>
      <c r="Z212">
        <f>IF(Y212=C212,1,0)</f>
        <v/>
      </c>
    </row>
    <row r="213">
      <c r="A213">
        <f>'1 datos preparados'!A206</f>
        <v/>
      </c>
      <c r="B213" s="5">
        <f>'1 datos preparados'!U206</f>
        <v/>
      </c>
      <c r="C213">
        <f>'1 datos preparados'!B206</f>
        <v/>
      </c>
      <c r="D213" s="7">
        <f>'1 datos preparados'!C206</f>
        <v/>
      </c>
      <c r="E213" s="7">
        <f>'1 datos preparados'!D206</f>
        <v/>
      </c>
      <c r="F213" s="7">
        <f>'1 datos preparados'!E206</f>
        <v/>
      </c>
      <c r="G213" s="7">
        <f>'1 datos preparados'!F206</f>
        <v/>
      </c>
      <c r="H213" s="7">
        <f>'1 datos preparados'!G206</f>
        <v/>
      </c>
      <c r="I213" s="7">
        <f>'1 datos preparados'!H206</f>
        <v/>
      </c>
      <c r="J213" s="7">
        <f>'1 datos preparados'!I206</f>
        <v/>
      </c>
      <c r="K213" s="7">
        <f>'1 datos preparados'!J206</f>
        <v/>
      </c>
      <c r="L213" s="7">
        <f>'1 datos preparados'!K206</f>
        <v/>
      </c>
      <c r="M213" s="7">
        <f>'1 datos preparados'!L206</f>
        <v/>
      </c>
      <c r="N213" s="7">
        <f>'1 datos preparados'!M206</f>
        <v/>
      </c>
      <c r="O213" s="7">
        <f>'1 datos preparados'!N206</f>
        <v/>
      </c>
      <c r="P213" s="7">
        <f>'1 datos preparados'!O206</f>
        <v/>
      </c>
      <c r="Q213" s="7">
        <f>'1 datos preparados'!P206</f>
        <v/>
      </c>
      <c r="R213" s="7">
        <f>'1 datos preparados'!Q206</f>
        <v/>
      </c>
      <c r="S213" s="7">
        <f>'1 datos preparados'!R206</f>
        <v/>
      </c>
      <c r="T213" s="7">
        <f>'1 datos preparados'!S206</f>
        <v/>
      </c>
      <c r="U213" s="7">
        <f>'1 datos preparados'!T206</f>
        <v/>
      </c>
      <c r="V213" s="8">
        <f>$AC$12+D213*$AC$13+E213*$AC$14+F213*$AC$15+G213*$AC$16+H213*$AC$17+I213*$AC$18+J213*$AC$19+K213*$AC$20+L213*$AC$21+M213*$AC$22+N213*$AC$23+O213*$AC$24+P213*$AC$25+Q213*$AC$26+R213*$AC$27+S213*$AC$28+T213*$AC$29+U213*$AC$30</f>
        <v/>
      </c>
      <c r="W213" s="8">
        <f>1/(1+EXP(-V213))</f>
        <v/>
      </c>
      <c r="X213" s="9">
        <f>-IF(C213=1,LN(W213),LN(1-W213))</f>
        <v/>
      </c>
      <c r="Y213" s="10">
        <f>IF(W213&gt;$AC$33,1,0)</f>
        <v/>
      </c>
      <c r="Z213">
        <f>IF(Y213=C213,1,0)</f>
        <v/>
      </c>
    </row>
    <row r="214">
      <c r="A214">
        <f>'1 datos preparados'!A207</f>
        <v/>
      </c>
      <c r="B214" s="5">
        <f>'1 datos preparados'!U207</f>
        <v/>
      </c>
      <c r="C214">
        <f>'1 datos preparados'!B207</f>
        <v/>
      </c>
      <c r="D214" s="7">
        <f>'1 datos preparados'!C207</f>
        <v/>
      </c>
      <c r="E214" s="7">
        <f>'1 datos preparados'!D207</f>
        <v/>
      </c>
      <c r="F214" s="7">
        <f>'1 datos preparados'!E207</f>
        <v/>
      </c>
      <c r="G214" s="7">
        <f>'1 datos preparados'!F207</f>
        <v/>
      </c>
      <c r="H214" s="7">
        <f>'1 datos preparados'!G207</f>
        <v/>
      </c>
      <c r="I214" s="7">
        <f>'1 datos preparados'!H207</f>
        <v/>
      </c>
      <c r="J214" s="7">
        <f>'1 datos preparados'!I207</f>
        <v/>
      </c>
      <c r="K214" s="7">
        <f>'1 datos preparados'!J207</f>
        <v/>
      </c>
      <c r="L214" s="7">
        <f>'1 datos preparados'!K207</f>
        <v/>
      </c>
      <c r="M214" s="7">
        <f>'1 datos preparados'!L207</f>
        <v/>
      </c>
      <c r="N214" s="7">
        <f>'1 datos preparados'!M207</f>
        <v/>
      </c>
      <c r="O214" s="7">
        <f>'1 datos preparados'!N207</f>
        <v/>
      </c>
      <c r="P214" s="7">
        <f>'1 datos preparados'!O207</f>
        <v/>
      </c>
      <c r="Q214" s="7">
        <f>'1 datos preparados'!P207</f>
        <v/>
      </c>
      <c r="R214" s="7">
        <f>'1 datos preparados'!Q207</f>
        <v/>
      </c>
      <c r="S214" s="7">
        <f>'1 datos preparados'!R207</f>
        <v/>
      </c>
      <c r="T214" s="7">
        <f>'1 datos preparados'!S207</f>
        <v/>
      </c>
      <c r="U214" s="7">
        <f>'1 datos preparados'!T207</f>
        <v/>
      </c>
      <c r="V214" s="8">
        <f>$AC$12+D214*$AC$13+E214*$AC$14+F214*$AC$15+G214*$AC$16+H214*$AC$17+I214*$AC$18+J214*$AC$19+K214*$AC$20+L214*$AC$21+M214*$AC$22+N214*$AC$23+O214*$AC$24+P214*$AC$25+Q214*$AC$26+R214*$AC$27+S214*$AC$28+T214*$AC$29+U214*$AC$30</f>
        <v/>
      </c>
      <c r="W214" s="8">
        <f>1/(1+EXP(-V214))</f>
        <v/>
      </c>
      <c r="X214" s="9">
        <f>-IF(C214=1,LN(W214),LN(1-W214))</f>
        <v/>
      </c>
      <c r="Y214" s="10">
        <f>IF(W214&gt;$AC$33,1,0)</f>
        <v/>
      </c>
      <c r="Z214">
        <f>IF(Y214=C214,1,0)</f>
        <v/>
      </c>
    </row>
    <row r="215">
      <c r="A215">
        <f>'1 datos preparados'!A208</f>
        <v/>
      </c>
      <c r="B215" s="5">
        <f>'1 datos preparados'!U208</f>
        <v/>
      </c>
      <c r="C215">
        <f>'1 datos preparados'!B208</f>
        <v/>
      </c>
      <c r="D215" s="7">
        <f>'1 datos preparados'!C208</f>
        <v/>
      </c>
      <c r="E215" s="7">
        <f>'1 datos preparados'!D208</f>
        <v/>
      </c>
      <c r="F215" s="7">
        <f>'1 datos preparados'!E208</f>
        <v/>
      </c>
      <c r="G215" s="7">
        <f>'1 datos preparados'!F208</f>
        <v/>
      </c>
      <c r="H215" s="7">
        <f>'1 datos preparados'!G208</f>
        <v/>
      </c>
      <c r="I215" s="7">
        <f>'1 datos preparados'!H208</f>
        <v/>
      </c>
      <c r="J215" s="7">
        <f>'1 datos preparados'!I208</f>
        <v/>
      </c>
      <c r="K215" s="7">
        <f>'1 datos preparados'!J208</f>
        <v/>
      </c>
      <c r="L215" s="7">
        <f>'1 datos preparados'!K208</f>
        <v/>
      </c>
      <c r="M215" s="7">
        <f>'1 datos preparados'!L208</f>
        <v/>
      </c>
      <c r="N215" s="7">
        <f>'1 datos preparados'!M208</f>
        <v/>
      </c>
      <c r="O215" s="7">
        <f>'1 datos preparados'!N208</f>
        <v/>
      </c>
      <c r="P215" s="7">
        <f>'1 datos preparados'!O208</f>
        <v/>
      </c>
      <c r="Q215" s="7">
        <f>'1 datos preparados'!P208</f>
        <v/>
      </c>
      <c r="R215" s="7">
        <f>'1 datos preparados'!Q208</f>
        <v/>
      </c>
      <c r="S215" s="7">
        <f>'1 datos preparados'!R208</f>
        <v/>
      </c>
      <c r="T215" s="7">
        <f>'1 datos preparados'!S208</f>
        <v/>
      </c>
      <c r="U215" s="7">
        <f>'1 datos preparados'!T208</f>
        <v/>
      </c>
      <c r="V215" s="8">
        <f>$AC$12+D215*$AC$13+E215*$AC$14+F215*$AC$15+G215*$AC$16+H215*$AC$17+I215*$AC$18+J215*$AC$19+K215*$AC$20+L215*$AC$21+M215*$AC$22+N215*$AC$23+O215*$AC$24+P215*$AC$25+Q215*$AC$26+R215*$AC$27+S215*$AC$28+T215*$AC$29+U215*$AC$30</f>
        <v/>
      </c>
      <c r="W215" s="8">
        <f>1/(1+EXP(-V215))</f>
        <v/>
      </c>
      <c r="X215" s="9">
        <f>-IF(C215=1,LN(W215),LN(1-W215))</f>
        <v/>
      </c>
      <c r="Y215" s="10">
        <f>IF(W215&gt;$AC$33,1,0)</f>
        <v/>
      </c>
      <c r="Z215">
        <f>IF(Y215=C215,1,0)</f>
        <v/>
      </c>
    </row>
    <row r="216">
      <c r="A216">
        <f>'1 datos preparados'!A209</f>
        <v/>
      </c>
      <c r="B216" s="5">
        <f>'1 datos preparados'!U209</f>
        <v/>
      </c>
      <c r="C216">
        <f>'1 datos preparados'!B209</f>
        <v/>
      </c>
      <c r="D216" s="7">
        <f>'1 datos preparados'!C209</f>
        <v/>
      </c>
      <c r="E216" s="7">
        <f>'1 datos preparados'!D209</f>
        <v/>
      </c>
      <c r="F216" s="7">
        <f>'1 datos preparados'!E209</f>
        <v/>
      </c>
      <c r="G216" s="7">
        <f>'1 datos preparados'!F209</f>
        <v/>
      </c>
      <c r="H216" s="7">
        <f>'1 datos preparados'!G209</f>
        <v/>
      </c>
      <c r="I216" s="7">
        <f>'1 datos preparados'!H209</f>
        <v/>
      </c>
      <c r="J216" s="7">
        <f>'1 datos preparados'!I209</f>
        <v/>
      </c>
      <c r="K216" s="7">
        <f>'1 datos preparados'!J209</f>
        <v/>
      </c>
      <c r="L216" s="7">
        <f>'1 datos preparados'!K209</f>
        <v/>
      </c>
      <c r="M216" s="7">
        <f>'1 datos preparados'!L209</f>
        <v/>
      </c>
      <c r="N216" s="7">
        <f>'1 datos preparados'!M209</f>
        <v/>
      </c>
      <c r="O216" s="7">
        <f>'1 datos preparados'!N209</f>
        <v/>
      </c>
      <c r="P216" s="7">
        <f>'1 datos preparados'!O209</f>
        <v/>
      </c>
      <c r="Q216" s="7">
        <f>'1 datos preparados'!P209</f>
        <v/>
      </c>
      <c r="R216" s="7">
        <f>'1 datos preparados'!Q209</f>
        <v/>
      </c>
      <c r="S216" s="7">
        <f>'1 datos preparados'!R209</f>
        <v/>
      </c>
      <c r="T216" s="7">
        <f>'1 datos preparados'!S209</f>
        <v/>
      </c>
      <c r="U216" s="7">
        <f>'1 datos preparados'!T209</f>
        <v/>
      </c>
      <c r="V216" s="8">
        <f>$AC$12+D216*$AC$13+E216*$AC$14+F216*$AC$15+G216*$AC$16+H216*$AC$17+I216*$AC$18+J216*$AC$19+K216*$AC$20+L216*$AC$21+M216*$AC$22+N216*$AC$23+O216*$AC$24+P216*$AC$25+Q216*$AC$26+R216*$AC$27+S216*$AC$28+T216*$AC$29+U216*$AC$30</f>
        <v/>
      </c>
      <c r="W216" s="8">
        <f>1/(1+EXP(-V216))</f>
        <v/>
      </c>
      <c r="X216" s="9">
        <f>-IF(C216=1,LN(W216),LN(1-W216))</f>
        <v/>
      </c>
      <c r="Y216" s="10">
        <f>IF(W216&gt;$AC$33,1,0)</f>
        <v/>
      </c>
      <c r="Z216">
        <f>IF(Y216=C216,1,0)</f>
        <v/>
      </c>
    </row>
    <row r="217">
      <c r="A217">
        <f>'1 datos preparados'!A210</f>
        <v/>
      </c>
      <c r="B217" s="5">
        <f>'1 datos preparados'!U210</f>
        <v/>
      </c>
      <c r="C217">
        <f>'1 datos preparados'!B210</f>
        <v/>
      </c>
      <c r="D217" s="7">
        <f>'1 datos preparados'!C210</f>
        <v/>
      </c>
      <c r="E217" s="7">
        <f>'1 datos preparados'!D210</f>
        <v/>
      </c>
      <c r="F217" s="7">
        <f>'1 datos preparados'!E210</f>
        <v/>
      </c>
      <c r="G217" s="7">
        <f>'1 datos preparados'!F210</f>
        <v/>
      </c>
      <c r="H217" s="7">
        <f>'1 datos preparados'!G210</f>
        <v/>
      </c>
      <c r="I217" s="7">
        <f>'1 datos preparados'!H210</f>
        <v/>
      </c>
      <c r="J217" s="7">
        <f>'1 datos preparados'!I210</f>
        <v/>
      </c>
      <c r="K217" s="7">
        <f>'1 datos preparados'!J210</f>
        <v/>
      </c>
      <c r="L217" s="7">
        <f>'1 datos preparados'!K210</f>
        <v/>
      </c>
      <c r="M217" s="7">
        <f>'1 datos preparados'!L210</f>
        <v/>
      </c>
      <c r="N217" s="7">
        <f>'1 datos preparados'!M210</f>
        <v/>
      </c>
      <c r="O217" s="7">
        <f>'1 datos preparados'!N210</f>
        <v/>
      </c>
      <c r="P217" s="7">
        <f>'1 datos preparados'!O210</f>
        <v/>
      </c>
      <c r="Q217" s="7">
        <f>'1 datos preparados'!P210</f>
        <v/>
      </c>
      <c r="R217" s="7">
        <f>'1 datos preparados'!Q210</f>
        <v/>
      </c>
      <c r="S217" s="7">
        <f>'1 datos preparados'!R210</f>
        <v/>
      </c>
      <c r="T217" s="7">
        <f>'1 datos preparados'!S210</f>
        <v/>
      </c>
      <c r="U217" s="7">
        <f>'1 datos preparados'!T210</f>
        <v/>
      </c>
      <c r="V217" s="8">
        <f>$AC$12+D217*$AC$13+E217*$AC$14+F217*$AC$15+G217*$AC$16+H217*$AC$17+I217*$AC$18+J217*$AC$19+K217*$AC$20+L217*$AC$21+M217*$AC$22+N217*$AC$23+O217*$AC$24+P217*$AC$25+Q217*$AC$26+R217*$AC$27+S217*$AC$28+T217*$AC$29+U217*$AC$30</f>
        <v/>
      </c>
      <c r="W217" s="8">
        <f>1/(1+EXP(-V217))</f>
        <v/>
      </c>
      <c r="X217" s="9">
        <f>-IF(C217=1,LN(W217),LN(1-W217))</f>
        <v/>
      </c>
      <c r="Y217" s="10">
        <f>IF(W217&gt;$AC$33,1,0)</f>
        <v/>
      </c>
      <c r="Z217">
        <f>IF(Y217=C217,1,0)</f>
        <v/>
      </c>
    </row>
    <row r="218">
      <c r="A218">
        <f>'1 datos preparados'!A211</f>
        <v/>
      </c>
      <c r="B218" s="5">
        <f>'1 datos preparados'!U211</f>
        <v/>
      </c>
      <c r="C218">
        <f>'1 datos preparados'!B211</f>
        <v/>
      </c>
      <c r="D218" s="7">
        <f>'1 datos preparados'!C211</f>
        <v/>
      </c>
      <c r="E218" s="7">
        <f>'1 datos preparados'!D211</f>
        <v/>
      </c>
      <c r="F218" s="7">
        <f>'1 datos preparados'!E211</f>
        <v/>
      </c>
      <c r="G218" s="7">
        <f>'1 datos preparados'!F211</f>
        <v/>
      </c>
      <c r="H218" s="7">
        <f>'1 datos preparados'!G211</f>
        <v/>
      </c>
      <c r="I218" s="7">
        <f>'1 datos preparados'!H211</f>
        <v/>
      </c>
      <c r="J218" s="7">
        <f>'1 datos preparados'!I211</f>
        <v/>
      </c>
      <c r="K218" s="7">
        <f>'1 datos preparados'!J211</f>
        <v/>
      </c>
      <c r="L218" s="7">
        <f>'1 datos preparados'!K211</f>
        <v/>
      </c>
      <c r="M218" s="7">
        <f>'1 datos preparados'!L211</f>
        <v/>
      </c>
      <c r="N218" s="7">
        <f>'1 datos preparados'!M211</f>
        <v/>
      </c>
      <c r="O218" s="7">
        <f>'1 datos preparados'!N211</f>
        <v/>
      </c>
      <c r="P218" s="7">
        <f>'1 datos preparados'!O211</f>
        <v/>
      </c>
      <c r="Q218" s="7">
        <f>'1 datos preparados'!P211</f>
        <v/>
      </c>
      <c r="R218" s="7">
        <f>'1 datos preparados'!Q211</f>
        <v/>
      </c>
      <c r="S218" s="7">
        <f>'1 datos preparados'!R211</f>
        <v/>
      </c>
      <c r="T218" s="7">
        <f>'1 datos preparados'!S211</f>
        <v/>
      </c>
      <c r="U218" s="7">
        <f>'1 datos preparados'!T211</f>
        <v/>
      </c>
      <c r="V218" s="8">
        <f>$AC$12+D218*$AC$13+E218*$AC$14+F218*$AC$15+G218*$AC$16+H218*$AC$17+I218*$AC$18+J218*$AC$19+K218*$AC$20+L218*$AC$21+M218*$AC$22+N218*$AC$23+O218*$AC$24+P218*$AC$25+Q218*$AC$26+R218*$AC$27+S218*$AC$28+T218*$AC$29+U218*$AC$30</f>
        <v/>
      </c>
      <c r="W218" s="8">
        <f>1/(1+EXP(-V218))</f>
        <v/>
      </c>
      <c r="X218" s="9">
        <f>-IF(C218=1,LN(W218),LN(1-W218))</f>
        <v/>
      </c>
      <c r="Y218" s="10">
        <f>IF(W218&gt;$AC$33,1,0)</f>
        <v/>
      </c>
      <c r="Z218">
        <f>IF(Y218=C218,1,0)</f>
        <v/>
      </c>
    </row>
    <row r="219">
      <c r="A219">
        <f>'1 datos preparados'!A212</f>
        <v/>
      </c>
      <c r="B219" s="5">
        <f>'1 datos preparados'!U212</f>
        <v/>
      </c>
      <c r="C219">
        <f>'1 datos preparados'!B212</f>
        <v/>
      </c>
      <c r="D219" s="7">
        <f>'1 datos preparados'!C212</f>
        <v/>
      </c>
      <c r="E219" s="7">
        <f>'1 datos preparados'!D212</f>
        <v/>
      </c>
      <c r="F219" s="7">
        <f>'1 datos preparados'!E212</f>
        <v/>
      </c>
      <c r="G219" s="7">
        <f>'1 datos preparados'!F212</f>
        <v/>
      </c>
      <c r="H219" s="7">
        <f>'1 datos preparados'!G212</f>
        <v/>
      </c>
      <c r="I219" s="7">
        <f>'1 datos preparados'!H212</f>
        <v/>
      </c>
      <c r="J219" s="7">
        <f>'1 datos preparados'!I212</f>
        <v/>
      </c>
      <c r="K219" s="7">
        <f>'1 datos preparados'!J212</f>
        <v/>
      </c>
      <c r="L219" s="7">
        <f>'1 datos preparados'!K212</f>
        <v/>
      </c>
      <c r="M219" s="7">
        <f>'1 datos preparados'!L212</f>
        <v/>
      </c>
      <c r="N219" s="7">
        <f>'1 datos preparados'!M212</f>
        <v/>
      </c>
      <c r="O219" s="7">
        <f>'1 datos preparados'!N212</f>
        <v/>
      </c>
      <c r="P219" s="7">
        <f>'1 datos preparados'!O212</f>
        <v/>
      </c>
      <c r="Q219" s="7">
        <f>'1 datos preparados'!P212</f>
        <v/>
      </c>
      <c r="R219" s="7">
        <f>'1 datos preparados'!Q212</f>
        <v/>
      </c>
      <c r="S219" s="7">
        <f>'1 datos preparados'!R212</f>
        <v/>
      </c>
      <c r="T219" s="7">
        <f>'1 datos preparados'!S212</f>
        <v/>
      </c>
      <c r="U219" s="7">
        <f>'1 datos preparados'!T212</f>
        <v/>
      </c>
      <c r="V219" s="8">
        <f>$AC$12+D219*$AC$13+E219*$AC$14+F219*$AC$15+G219*$AC$16+H219*$AC$17+I219*$AC$18+J219*$AC$19+K219*$AC$20+L219*$AC$21+M219*$AC$22+N219*$AC$23+O219*$AC$24+P219*$AC$25+Q219*$AC$26+R219*$AC$27+S219*$AC$28+T219*$AC$29+U219*$AC$30</f>
        <v/>
      </c>
      <c r="W219" s="8">
        <f>1/(1+EXP(-V219))</f>
        <v/>
      </c>
      <c r="X219" s="9">
        <f>-IF(C219=1,LN(W219),LN(1-W219))</f>
        <v/>
      </c>
      <c r="Y219" s="10">
        <f>IF(W219&gt;$AC$33,1,0)</f>
        <v/>
      </c>
      <c r="Z219">
        <f>IF(Y219=C219,1,0)</f>
        <v/>
      </c>
    </row>
    <row r="220">
      <c r="A220">
        <f>'1 datos preparados'!A213</f>
        <v/>
      </c>
      <c r="B220" s="5">
        <f>'1 datos preparados'!U213</f>
        <v/>
      </c>
      <c r="C220">
        <f>'1 datos preparados'!B213</f>
        <v/>
      </c>
      <c r="D220" s="7">
        <f>'1 datos preparados'!C213</f>
        <v/>
      </c>
      <c r="E220" s="7">
        <f>'1 datos preparados'!D213</f>
        <v/>
      </c>
      <c r="F220" s="7">
        <f>'1 datos preparados'!E213</f>
        <v/>
      </c>
      <c r="G220" s="7">
        <f>'1 datos preparados'!F213</f>
        <v/>
      </c>
      <c r="H220" s="7">
        <f>'1 datos preparados'!G213</f>
        <v/>
      </c>
      <c r="I220" s="7">
        <f>'1 datos preparados'!H213</f>
        <v/>
      </c>
      <c r="J220" s="7">
        <f>'1 datos preparados'!I213</f>
        <v/>
      </c>
      <c r="K220" s="7">
        <f>'1 datos preparados'!J213</f>
        <v/>
      </c>
      <c r="L220" s="7">
        <f>'1 datos preparados'!K213</f>
        <v/>
      </c>
      <c r="M220" s="7">
        <f>'1 datos preparados'!L213</f>
        <v/>
      </c>
      <c r="N220" s="7">
        <f>'1 datos preparados'!M213</f>
        <v/>
      </c>
      <c r="O220" s="7">
        <f>'1 datos preparados'!N213</f>
        <v/>
      </c>
      <c r="P220" s="7">
        <f>'1 datos preparados'!O213</f>
        <v/>
      </c>
      <c r="Q220" s="7">
        <f>'1 datos preparados'!P213</f>
        <v/>
      </c>
      <c r="R220" s="7">
        <f>'1 datos preparados'!Q213</f>
        <v/>
      </c>
      <c r="S220" s="7">
        <f>'1 datos preparados'!R213</f>
        <v/>
      </c>
      <c r="T220" s="7">
        <f>'1 datos preparados'!S213</f>
        <v/>
      </c>
      <c r="U220" s="7">
        <f>'1 datos preparados'!T213</f>
        <v/>
      </c>
      <c r="V220" s="8">
        <f>$AC$12+D220*$AC$13+E220*$AC$14+F220*$AC$15+G220*$AC$16+H220*$AC$17+I220*$AC$18+J220*$AC$19+K220*$AC$20+L220*$AC$21+M220*$AC$22+N220*$AC$23+O220*$AC$24+P220*$AC$25+Q220*$AC$26+R220*$AC$27+S220*$AC$28+T220*$AC$29+U220*$AC$30</f>
        <v/>
      </c>
      <c r="W220" s="8">
        <f>1/(1+EXP(-V220))</f>
        <v/>
      </c>
      <c r="X220" s="9">
        <f>-IF(C220=1,LN(W220),LN(1-W220))</f>
        <v/>
      </c>
      <c r="Y220" s="10">
        <f>IF(W220&gt;$AC$33,1,0)</f>
        <v/>
      </c>
      <c r="Z220">
        <f>IF(Y220=C220,1,0)</f>
        <v/>
      </c>
    </row>
    <row r="221">
      <c r="A221">
        <f>'1 datos preparados'!A214</f>
        <v/>
      </c>
      <c r="B221" s="5">
        <f>'1 datos preparados'!U214</f>
        <v/>
      </c>
      <c r="C221">
        <f>'1 datos preparados'!B214</f>
        <v/>
      </c>
      <c r="D221" s="7">
        <f>'1 datos preparados'!C214</f>
        <v/>
      </c>
      <c r="E221" s="7">
        <f>'1 datos preparados'!D214</f>
        <v/>
      </c>
      <c r="F221" s="7">
        <f>'1 datos preparados'!E214</f>
        <v/>
      </c>
      <c r="G221" s="7">
        <f>'1 datos preparados'!F214</f>
        <v/>
      </c>
      <c r="H221" s="7">
        <f>'1 datos preparados'!G214</f>
        <v/>
      </c>
      <c r="I221" s="7">
        <f>'1 datos preparados'!H214</f>
        <v/>
      </c>
      <c r="J221" s="7">
        <f>'1 datos preparados'!I214</f>
        <v/>
      </c>
      <c r="K221" s="7">
        <f>'1 datos preparados'!J214</f>
        <v/>
      </c>
      <c r="L221" s="7">
        <f>'1 datos preparados'!K214</f>
        <v/>
      </c>
      <c r="M221" s="7">
        <f>'1 datos preparados'!L214</f>
        <v/>
      </c>
      <c r="N221" s="7">
        <f>'1 datos preparados'!M214</f>
        <v/>
      </c>
      <c r="O221" s="7">
        <f>'1 datos preparados'!N214</f>
        <v/>
      </c>
      <c r="P221" s="7">
        <f>'1 datos preparados'!O214</f>
        <v/>
      </c>
      <c r="Q221" s="7">
        <f>'1 datos preparados'!P214</f>
        <v/>
      </c>
      <c r="R221" s="7">
        <f>'1 datos preparados'!Q214</f>
        <v/>
      </c>
      <c r="S221" s="7">
        <f>'1 datos preparados'!R214</f>
        <v/>
      </c>
      <c r="T221" s="7">
        <f>'1 datos preparados'!S214</f>
        <v/>
      </c>
      <c r="U221" s="7">
        <f>'1 datos preparados'!T214</f>
        <v/>
      </c>
      <c r="V221" s="8">
        <f>$AC$12+D221*$AC$13+E221*$AC$14+F221*$AC$15+G221*$AC$16+H221*$AC$17+I221*$AC$18+J221*$AC$19+K221*$AC$20+L221*$AC$21+M221*$AC$22+N221*$AC$23+O221*$AC$24+P221*$AC$25+Q221*$AC$26+R221*$AC$27+S221*$AC$28+T221*$AC$29+U221*$AC$30</f>
        <v/>
      </c>
      <c r="W221" s="8">
        <f>1/(1+EXP(-V221))</f>
        <v/>
      </c>
      <c r="X221" s="9">
        <f>-IF(C221=1,LN(W221),LN(1-W221))</f>
        <v/>
      </c>
      <c r="Y221" s="10">
        <f>IF(W221&gt;$AC$33,1,0)</f>
        <v/>
      </c>
      <c r="Z221">
        <f>IF(Y221=C221,1,0)</f>
        <v/>
      </c>
    </row>
    <row r="222">
      <c r="A222">
        <f>'1 datos preparados'!A215</f>
        <v/>
      </c>
      <c r="B222" s="5">
        <f>'1 datos preparados'!U215</f>
        <v/>
      </c>
      <c r="C222">
        <f>'1 datos preparados'!B215</f>
        <v/>
      </c>
      <c r="D222" s="7">
        <f>'1 datos preparados'!C215</f>
        <v/>
      </c>
      <c r="E222" s="7">
        <f>'1 datos preparados'!D215</f>
        <v/>
      </c>
      <c r="F222" s="7">
        <f>'1 datos preparados'!E215</f>
        <v/>
      </c>
      <c r="G222" s="7">
        <f>'1 datos preparados'!F215</f>
        <v/>
      </c>
      <c r="H222" s="7">
        <f>'1 datos preparados'!G215</f>
        <v/>
      </c>
      <c r="I222" s="7">
        <f>'1 datos preparados'!H215</f>
        <v/>
      </c>
      <c r="J222" s="7">
        <f>'1 datos preparados'!I215</f>
        <v/>
      </c>
      <c r="K222" s="7">
        <f>'1 datos preparados'!J215</f>
        <v/>
      </c>
      <c r="L222" s="7">
        <f>'1 datos preparados'!K215</f>
        <v/>
      </c>
      <c r="M222" s="7">
        <f>'1 datos preparados'!L215</f>
        <v/>
      </c>
      <c r="N222" s="7">
        <f>'1 datos preparados'!M215</f>
        <v/>
      </c>
      <c r="O222" s="7">
        <f>'1 datos preparados'!N215</f>
        <v/>
      </c>
      <c r="P222" s="7">
        <f>'1 datos preparados'!O215</f>
        <v/>
      </c>
      <c r="Q222" s="7">
        <f>'1 datos preparados'!P215</f>
        <v/>
      </c>
      <c r="R222" s="7">
        <f>'1 datos preparados'!Q215</f>
        <v/>
      </c>
      <c r="S222" s="7">
        <f>'1 datos preparados'!R215</f>
        <v/>
      </c>
      <c r="T222" s="7">
        <f>'1 datos preparados'!S215</f>
        <v/>
      </c>
      <c r="U222" s="7">
        <f>'1 datos preparados'!T215</f>
        <v/>
      </c>
      <c r="V222" s="8">
        <f>$AC$12+D222*$AC$13+E222*$AC$14+F222*$AC$15+G222*$AC$16+H222*$AC$17+I222*$AC$18+J222*$AC$19+K222*$AC$20+L222*$AC$21+M222*$AC$22+N222*$AC$23+O222*$AC$24+P222*$AC$25+Q222*$AC$26+R222*$AC$27+S222*$AC$28+T222*$AC$29+U222*$AC$30</f>
        <v/>
      </c>
      <c r="W222" s="8">
        <f>1/(1+EXP(-V222))</f>
        <v/>
      </c>
      <c r="X222" s="9">
        <f>-IF(C222=1,LN(W222),LN(1-W222))</f>
        <v/>
      </c>
      <c r="Y222" s="10">
        <f>IF(W222&gt;$AC$33,1,0)</f>
        <v/>
      </c>
      <c r="Z222">
        <f>IF(Y222=C222,1,0)</f>
        <v/>
      </c>
    </row>
    <row r="223">
      <c r="A223">
        <f>'1 datos preparados'!A216</f>
        <v/>
      </c>
      <c r="B223" s="5">
        <f>'1 datos preparados'!U216</f>
        <v/>
      </c>
      <c r="C223">
        <f>'1 datos preparados'!B216</f>
        <v/>
      </c>
      <c r="D223" s="7">
        <f>'1 datos preparados'!C216</f>
        <v/>
      </c>
      <c r="E223" s="7">
        <f>'1 datos preparados'!D216</f>
        <v/>
      </c>
      <c r="F223" s="7">
        <f>'1 datos preparados'!E216</f>
        <v/>
      </c>
      <c r="G223" s="7">
        <f>'1 datos preparados'!F216</f>
        <v/>
      </c>
      <c r="H223" s="7">
        <f>'1 datos preparados'!G216</f>
        <v/>
      </c>
      <c r="I223" s="7">
        <f>'1 datos preparados'!H216</f>
        <v/>
      </c>
      <c r="J223" s="7">
        <f>'1 datos preparados'!I216</f>
        <v/>
      </c>
      <c r="K223" s="7">
        <f>'1 datos preparados'!J216</f>
        <v/>
      </c>
      <c r="L223" s="7">
        <f>'1 datos preparados'!K216</f>
        <v/>
      </c>
      <c r="M223" s="7">
        <f>'1 datos preparados'!L216</f>
        <v/>
      </c>
      <c r="N223" s="7">
        <f>'1 datos preparados'!M216</f>
        <v/>
      </c>
      <c r="O223" s="7">
        <f>'1 datos preparados'!N216</f>
        <v/>
      </c>
      <c r="P223" s="7">
        <f>'1 datos preparados'!O216</f>
        <v/>
      </c>
      <c r="Q223" s="7">
        <f>'1 datos preparados'!P216</f>
        <v/>
      </c>
      <c r="R223" s="7">
        <f>'1 datos preparados'!Q216</f>
        <v/>
      </c>
      <c r="S223" s="7">
        <f>'1 datos preparados'!R216</f>
        <v/>
      </c>
      <c r="T223" s="7">
        <f>'1 datos preparados'!S216</f>
        <v/>
      </c>
      <c r="U223" s="7">
        <f>'1 datos preparados'!T216</f>
        <v/>
      </c>
      <c r="V223" s="8">
        <f>$AC$12+D223*$AC$13+E223*$AC$14+F223*$AC$15+G223*$AC$16+H223*$AC$17+I223*$AC$18+J223*$AC$19+K223*$AC$20+L223*$AC$21+M223*$AC$22+N223*$AC$23+O223*$AC$24+P223*$AC$25+Q223*$AC$26+R223*$AC$27+S223*$AC$28+T223*$AC$29+U223*$AC$30</f>
        <v/>
      </c>
      <c r="W223" s="8">
        <f>1/(1+EXP(-V223))</f>
        <v/>
      </c>
      <c r="X223" s="9">
        <f>-IF(C223=1,LN(W223),LN(1-W223))</f>
        <v/>
      </c>
      <c r="Y223" s="10">
        <f>IF(W223&gt;$AC$33,1,0)</f>
        <v/>
      </c>
      <c r="Z223">
        <f>IF(Y223=C223,1,0)</f>
        <v/>
      </c>
    </row>
    <row r="224">
      <c r="A224">
        <f>'1 datos preparados'!A217</f>
        <v/>
      </c>
      <c r="B224" s="5">
        <f>'1 datos preparados'!U217</f>
        <v/>
      </c>
      <c r="C224">
        <f>'1 datos preparados'!B217</f>
        <v/>
      </c>
      <c r="D224" s="7">
        <f>'1 datos preparados'!C217</f>
        <v/>
      </c>
      <c r="E224" s="7">
        <f>'1 datos preparados'!D217</f>
        <v/>
      </c>
      <c r="F224" s="7">
        <f>'1 datos preparados'!E217</f>
        <v/>
      </c>
      <c r="G224" s="7">
        <f>'1 datos preparados'!F217</f>
        <v/>
      </c>
      <c r="H224" s="7">
        <f>'1 datos preparados'!G217</f>
        <v/>
      </c>
      <c r="I224" s="7">
        <f>'1 datos preparados'!H217</f>
        <v/>
      </c>
      <c r="J224" s="7">
        <f>'1 datos preparados'!I217</f>
        <v/>
      </c>
      <c r="K224" s="7">
        <f>'1 datos preparados'!J217</f>
        <v/>
      </c>
      <c r="L224" s="7">
        <f>'1 datos preparados'!K217</f>
        <v/>
      </c>
      <c r="M224" s="7">
        <f>'1 datos preparados'!L217</f>
        <v/>
      </c>
      <c r="N224" s="7">
        <f>'1 datos preparados'!M217</f>
        <v/>
      </c>
      <c r="O224" s="7">
        <f>'1 datos preparados'!N217</f>
        <v/>
      </c>
      <c r="P224" s="7">
        <f>'1 datos preparados'!O217</f>
        <v/>
      </c>
      <c r="Q224" s="7">
        <f>'1 datos preparados'!P217</f>
        <v/>
      </c>
      <c r="R224" s="7">
        <f>'1 datos preparados'!Q217</f>
        <v/>
      </c>
      <c r="S224" s="7">
        <f>'1 datos preparados'!R217</f>
        <v/>
      </c>
      <c r="T224" s="7">
        <f>'1 datos preparados'!S217</f>
        <v/>
      </c>
      <c r="U224" s="7">
        <f>'1 datos preparados'!T217</f>
        <v/>
      </c>
      <c r="V224" s="8">
        <f>$AC$12+D224*$AC$13+E224*$AC$14+F224*$AC$15+G224*$AC$16+H224*$AC$17+I224*$AC$18+J224*$AC$19+K224*$AC$20+L224*$AC$21+M224*$AC$22+N224*$AC$23+O224*$AC$24+P224*$AC$25+Q224*$AC$26+R224*$AC$27+S224*$AC$28+T224*$AC$29+U224*$AC$30</f>
        <v/>
      </c>
      <c r="W224" s="8">
        <f>1/(1+EXP(-V224))</f>
        <v/>
      </c>
      <c r="X224" s="9">
        <f>-IF(C224=1,LN(W224),LN(1-W224))</f>
        <v/>
      </c>
      <c r="Y224" s="10">
        <f>IF(W224&gt;$AC$33,1,0)</f>
        <v/>
      </c>
      <c r="Z224">
        <f>IF(Y224=C224,1,0)</f>
        <v/>
      </c>
    </row>
    <row r="225">
      <c r="A225">
        <f>'1 datos preparados'!A218</f>
        <v/>
      </c>
      <c r="B225" s="5">
        <f>'1 datos preparados'!U218</f>
        <v/>
      </c>
      <c r="C225">
        <f>'1 datos preparados'!B218</f>
        <v/>
      </c>
      <c r="D225" s="7">
        <f>'1 datos preparados'!C218</f>
        <v/>
      </c>
      <c r="E225" s="7">
        <f>'1 datos preparados'!D218</f>
        <v/>
      </c>
      <c r="F225" s="7">
        <f>'1 datos preparados'!E218</f>
        <v/>
      </c>
      <c r="G225" s="7">
        <f>'1 datos preparados'!F218</f>
        <v/>
      </c>
      <c r="H225" s="7">
        <f>'1 datos preparados'!G218</f>
        <v/>
      </c>
      <c r="I225" s="7">
        <f>'1 datos preparados'!H218</f>
        <v/>
      </c>
      <c r="J225" s="7">
        <f>'1 datos preparados'!I218</f>
        <v/>
      </c>
      <c r="K225" s="7">
        <f>'1 datos preparados'!J218</f>
        <v/>
      </c>
      <c r="L225" s="7">
        <f>'1 datos preparados'!K218</f>
        <v/>
      </c>
      <c r="M225" s="7">
        <f>'1 datos preparados'!L218</f>
        <v/>
      </c>
      <c r="N225" s="7">
        <f>'1 datos preparados'!M218</f>
        <v/>
      </c>
      <c r="O225" s="7">
        <f>'1 datos preparados'!N218</f>
        <v/>
      </c>
      <c r="P225" s="7">
        <f>'1 datos preparados'!O218</f>
        <v/>
      </c>
      <c r="Q225" s="7">
        <f>'1 datos preparados'!P218</f>
        <v/>
      </c>
      <c r="R225" s="7">
        <f>'1 datos preparados'!Q218</f>
        <v/>
      </c>
      <c r="S225" s="7">
        <f>'1 datos preparados'!R218</f>
        <v/>
      </c>
      <c r="T225" s="7">
        <f>'1 datos preparados'!S218</f>
        <v/>
      </c>
      <c r="U225" s="7">
        <f>'1 datos preparados'!T218</f>
        <v/>
      </c>
      <c r="V225" s="8">
        <f>$AC$12+D225*$AC$13+E225*$AC$14+F225*$AC$15+G225*$AC$16+H225*$AC$17+I225*$AC$18+J225*$AC$19+K225*$AC$20+L225*$AC$21+M225*$AC$22+N225*$AC$23+O225*$AC$24+P225*$AC$25+Q225*$AC$26+R225*$AC$27+S225*$AC$28+T225*$AC$29+U225*$AC$30</f>
        <v/>
      </c>
      <c r="W225" s="8">
        <f>1/(1+EXP(-V225))</f>
        <v/>
      </c>
      <c r="X225" s="9">
        <f>-IF(C225=1,LN(W225),LN(1-W225))</f>
        <v/>
      </c>
      <c r="Y225" s="10">
        <f>IF(W225&gt;$AC$33,1,0)</f>
        <v/>
      </c>
      <c r="Z225">
        <f>IF(Y225=C225,1,0)</f>
        <v/>
      </c>
    </row>
    <row r="226">
      <c r="A226">
        <f>'1 datos preparados'!A219</f>
        <v/>
      </c>
      <c r="B226" s="5">
        <f>'1 datos preparados'!U219</f>
        <v/>
      </c>
      <c r="C226">
        <f>'1 datos preparados'!B219</f>
        <v/>
      </c>
      <c r="D226" s="7">
        <f>'1 datos preparados'!C219</f>
        <v/>
      </c>
      <c r="E226" s="7">
        <f>'1 datos preparados'!D219</f>
        <v/>
      </c>
      <c r="F226" s="7">
        <f>'1 datos preparados'!E219</f>
        <v/>
      </c>
      <c r="G226" s="7">
        <f>'1 datos preparados'!F219</f>
        <v/>
      </c>
      <c r="H226" s="7">
        <f>'1 datos preparados'!G219</f>
        <v/>
      </c>
      <c r="I226" s="7">
        <f>'1 datos preparados'!H219</f>
        <v/>
      </c>
      <c r="J226" s="7">
        <f>'1 datos preparados'!I219</f>
        <v/>
      </c>
      <c r="K226" s="7">
        <f>'1 datos preparados'!J219</f>
        <v/>
      </c>
      <c r="L226" s="7">
        <f>'1 datos preparados'!K219</f>
        <v/>
      </c>
      <c r="M226" s="7">
        <f>'1 datos preparados'!L219</f>
        <v/>
      </c>
      <c r="N226" s="7">
        <f>'1 datos preparados'!M219</f>
        <v/>
      </c>
      <c r="O226" s="7">
        <f>'1 datos preparados'!N219</f>
        <v/>
      </c>
      <c r="P226" s="7">
        <f>'1 datos preparados'!O219</f>
        <v/>
      </c>
      <c r="Q226" s="7">
        <f>'1 datos preparados'!P219</f>
        <v/>
      </c>
      <c r="R226" s="7">
        <f>'1 datos preparados'!Q219</f>
        <v/>
      </c>
      <c r="S226" s="7">
        <f>'1 datos preparados'!R219</f>
        <v/>
      </c>
      <c r="T226" s="7">
        <f>'1 datos preparados'!S219</f>
        <v/>
      </c>
      <c r="U226" s="7">
        <f>'1 datos preparados'!T219</f>
        <v/>
      </c>
      <c r="V226" s="8">
        <f>$AC$12+D226*$AC$13+E226*$AC$14+F226*$AC$15+G226*$AC$16+H226*$AC$17+I226*$AC$18+J226*$AC$19+K226*$AC$20+L226*$AC$21+M226*$AC$22+N226*$AC$23+O226*$AC$24+P226*$AC$25+Q226*$AC$26+R226*$AC$27+S226*$AC$28+T226*$AC$29+U226*$AC$30</f>
        <v/>
      </c>
      <c r="W226" s="8">
        <f>1/(1+EXP(-V226))</f>
        <v/>
      </c>
      <c r="X226" s="9">
        <f>-IF(C226=1,LN(W226),LN(1-W226))</f>
        <v/>
      </c>
      <c r="Y226" s="10">
        <f>IF(W226&gt;$AC$33,1,0)</f>
        <v/>
      </c>
      <c r="Z226">
        <f>IF(Y226=C226,1,0)</f>
        <v/>
      </c>
    </row>
    <row r="227">
      <c r="A227">
        <f>'1 datos preparados'!A220</f>
        <v/>
      </c>
      <c r="B227" s="5">
        <f>'1 datos preparados'!U220</f>
        <v/>
      </c>
      <c r="C227">
        <f>'1 datos preparados'!B220</f>
        <v/>
      </c>
      <c r="D227" s="7">
        <f>'1 datos preparados'!C220</f>
        <v/>
      </c>
      <c r="E227" s="7">
        <f>'1 datos preparados'!D220</f>
        <v/>
      </c>
      <c r="F227" s="7">
        <f>'1 datos preparados'!E220</f>
        <v/>
      </c>
      <c r="G227" s="7">
        <f>'1 datos preparados'!F220</f>
        <v/>
      </c>
      <c r="H227" s="7">
        <f>'1 datos preparados'!G220</f>
        <v/>
      </c>
      <c r="I227" s="7">
        <f>'1 datos preparados'!H220</f>
        <v/>
      </c>
      <c r="J227" s="7">
        <f>'1 datos preparados'!I220</f>
        <v/>
      </c>
      <c r="K227" s="7">
        <f>'1 datos preparados'!J220</f>
        <v/>
      </c>
      <c r="L227" s="7">
        <f>'1 datos preparados'!K220</f>
        <v/>
      </c>
      <c r="M227" s="7">
        <f>'1 datos preparados'!L220</f>
        <v/>
      </c>
      <c r="N227" s="7">
        <f>'1 datos preparados'!M220</f>
        <v/>
      </c>
      <c r="O227" s="7">
        <f>'1 datos preparados'!N220</f>
        <v/>
      </c>
      <c r="P227" s="7">
        <f>'1 datos preparados'!O220</f>
        <v/>
      </c>
      <c r="Q227" s="7">
        <f>'1 datos preparados'!P220</f>
        <v/>
      </c>
      <c r="R227" s="7">
        <f>'1 datos preparados'!Q220</f>
        <v/>
      </c>
      <c r="S227" s="7">
        <f>'1 datos preparados'!R220</f>
        <v/>
      </c>
      <c r="T227" s="7">
        <f>'1 datos preparados'!S220</f>
        <v/>
      </c>
      <c r="U227" s="7">
        <f>'1 datos preparados'!T220</f>
        <v/>
      </c>
      <c r="V227" s="8">
        <f>$AC$12+D227*$AC$13+E227*$AC$14+F227*$AC$15+G227*$AC$16+H227*$AC$17+I227*$AC$18+J227*$AC$19+K227*$AC$20+L227*$AC$21+M227*$AC$22+N227*$AC$23+O227*$AC$24+P227*$AC$25+Q227*$AC$26+R227*$AC$27+S227*$AC$28+T227*$AC$29+U227*$AC$30</f>
        <v/>
      </c>
      <c r="W227" s="8">
        <f>1/(1+EXP(-V227))</f>
        <v/>
      </c>
      <c r="X227" s="9">
        <f>-IF(C227=1,LN(W227),LN(1-W227))</f>
        <v/>
      </c>
      <c r="Y227" s="10">
        <f>IF(W227&gt;$AC$33,1,0)</f>
        <v/>
      </c>
      <c r="Z227">
        <f>IF(Y227=C227,1,0)</f>
        <v/>
      </c>
    </row>
    <row r="228">
      <c r="A228">
        <f>'1 datos preparados'!A221</f>
        <v/>
      </c>
      <c r="B228" s="5">
        <f>'1 datos preparados'!U221</f>
        <v/>
      </c>
      <c r="C228">
        <f>'1 datos preparados'!B221</f>
        <v/>
      </c>
      <c r="D228" s="7">
        <f>'1 datos preparados'!C221</f>
        <v/>
      </c>
      <c r="E228" s="7">
        <f>'1 datos preparados'!D221</f>
        <v/>
      </c>
      <c r="F228" s="7">
        <f>'1 datos preparados'!E221</f>
        <v/>
      </c>
      <c r="G228" s="7">
        <f>'1 datos preparados'!F221</f>
        <v/>
      </c>
      <c r="H228" s="7">
        <f>'1 datos preparados'!G221</f>
        <v/>
      </c>
      <c r="I228" s="7">
        <f>'1 datos preparados'!H221</f>
        <v/>
      </c>
      <c r="J228" s="7">
        <f>'1 datos preparados'!I221</f>
        <v/>
      </c>
      <c r="K228" s="7">
        <f>'1 datos preparados'!J221</f>
        <v/>
      </c>
      <c r="L228" s="7">
        <f>'1 datos preparados'!K221</f>
        <v/>
      </c>
      <c r="M228" s="7">
        <f>'1 datos preparados'!L221</f>
        <v/>
      </c>
      <c r="N228" s="7">
        <f>'1 datos preparados'!M221</f>
        <v/>
      </c>
      <c r="O228" s="7">
        <f>'1 datos preparados'!N221</f>
        <v/>
      </c>
      <c r="P228" s="7">
        <f>'1 datos preparados'!O221</f>
        <v/>
      </c>
      <c r="Q228" s="7">
        <f>'1 datos preparados'!P221</f>
        <v/>
      </c>
      <c r="R228" s="7">
        <f>'1 datos preparados'!Q221</f>
        <v/>
      </c>
      <c r="S228" s="7">
        <f>'1 datos preparados'!R221</f>
        <v/>
      </c>
      <c r="T228" s="7">
        <f>'1 datos preparados'!S221</f>
        <v/>
      </c>
      <c r="U228" s="7">
        <f>'1 datos preparados'!T221</f>
        <v/>
      </c>
      <c r="V228" s="8">
        <f>$AC$12+D228*$AC$13+E228*$AC$14+F228*$AC$15+G228*$AC$16+H228*$AC$17+I228*$AC$18+J228*$AC$19+K228*$AC$20+L228*$AC$21+M228*$AC$22+N228*$AC$23+O228*$AC$24+P228*$AC$25+Q228*$AC$26+R228*$AC$27+S228*$AC$28+T228*$AC$29+U228*$AC$30</f>
        <v/>
      </c>
      <c r="W228" s="8">
        <f>1/(1+EXP(-V228))</f>
        <v/>
      </c>
      <c r="X228" s="9">
        <f>-IF(C228=1,LN(W228),LN(1-W228))</f>
        <v/>
      </c>
      <c r="Y228" s="10">
        <f>IF(W228&gt;$AC$33,1,0)</f>
        <v/>
      </c>
      <c r="Z228">
        <f>IF(Y228=C228,1,0)</f>
        <v/>
      </c>
    </row>
    <row r="229">
      <c r="A229">
        <f>'1 datos preparados'!A222</f>
        <v/>
      </c>
      <c r="B229" s="5">
        <f>'1 datos preparados'!U222</f>
        <v/>
      </c>
      <c r="C229">
        <f>'1 datos preparados'!B222</f>
        <v/>
      </c>
      <c r="D229" s="7">
        <f>'1 datos preparados'!C222</f>
        <v/>
      </c>
      <c r="E229" s="7">
        <f>'1 datos preparados'!D222</f>
        <v/>
      </c>
      <c r="F229" s="7">
        <f>'1 datos preparados'!E222</f>
        <v/>
      </c>
      <c r="G229" s="7">
        <f>'1 datos preparados'!F222</f>
        <v/>
      </c>
      <c r="H229" s="7">
        <f>'1 datos preparados'!G222</f>
        <v/>
      </c>
      <c r="I229" s="7">
        <f>'1 datos preparados'!H222</f>
        <v/>
      </c>
      <c r="J229" s="7">
        <f>'1 datos preparados'!I222</f>
        <v/>
      </c>
      <c r="K229" s="7">
        <f>'1 datos preparados'!J222</f>
        <v/>
      </c>
      <c r="L229" s="7">
        <f>'1 datos preparados'!K222</f>
        <v/>
      </c>
      <c r="M229" s="7">
        <f>'1 datos preparados'!L222</f>
        <v/>
      </c>
      <c r="N229" s="7">
        <f>'1 datos preparados'!M222</f>
        <v/>
      </c>
      <c r="O229" s="7">
        <f>'1 datos preparados'!N222</f>
        <v/>
      </c>
      <c r="P229" s="7">
        <f>'1 datos preparados'!O222</f>
        <v/>
      </c>
      <c r="Q229" s="7">
        <f>'1 datos preparados'!P222</f>
        <v/>
      </c>
      <c r="R229" s="7">
        <f>'1 datos preparados'!Q222</f>
        <v/>
      </c>
      <c r="S229" s="7">
        <f>'1 datos preparados'!R222</f>
        <v/>
      </c>
      <c r="T229" s="7">
        <f>'1 datos preparados'!S222</f>
        <v/>
      </c>
      <c r="U229" s="7">
        <f>'1 datos preparados'!T222</f>
        <v/>
      </c>
      <c r="V229" s="8">
        <f>$AC$12+D229*$AC$13+E229*$AC$14+F229*$AC$15+G229*$AC$16+H229*$AC$17+I229*$AC$18+J229*$AC$19+K229*$AC$20+L229*$AC$21+M229*$AC$22+N229*$AC$23+O229*$AC$24+P229*$AC$25+Q229*$AC$26+R229*$AC$27+S229*$AC$28+T229*$AC$29+U229*$AC$30</f>
        <v/>
      </c>
      <c r="W229" s="8">
        <f>1/(1+EXP(-V229))</f>
        <v/>
      </c>
      <c r="X229" s="9">
        <f>-IF(C229=1,LN(W229),LN(1-W229))</f>
        <v/>
      </c>
      <c r="Y229" s="10">
        <f>IF(W229&gt;$AC$33,1,0)</f>
        <v/>
      </c>
      <c r="Z229">
        <f>IF(Y229=C229,1,0)</f>
        <v/>
      </c>
    </row>
    <row r="230">
      <c r="A230">
        <f>'1 datos preparados'!A223</f>
        <v/>
      </c>
      <c r="B230" s="5">
        <f>'1 datos preparados'!U223</f>
        <v/>
      </c>
      <c r="C230">
        <f>'1 datos preparados'!B223</f>
        <v/>
      </c>
      <c r="D230" s="7">
        <f>'1 datos preparados'!C223</f>
        <v/>
      </c>
      <c r="E230" s="7">
        <f>'1 datos preparados'!D223</f>
        <v/>
      </c>
      <c r="F230" s="7">
        <f>'1 datos preparados'!E223</f>
        <v/>
      </c>
      <c r="G230" s="7">
        <f>'1 datos preparados'!F223</f>
        <v/>
      </c>
      <c r="H230" s="7">
        <f>'1 datos preparados'!G223</f>
        <v/>
      </c>
      <c r="I230" s="7">
        <f>'1 datos preparados'!H223</f>
        <v/>
      </c>
      <c r="J230" s="7">
        <f>'1 datos preparados'!I223</f>
        <v/>
      </c>
      <c r="K230" s="7">
        <f>'1 datos preparados'!J223</f>
        <v/>
      </c>
      <c r="L230" s="7">
        <f>'1 datos preparados'!K223</f>
        <v/>
      </c>
      <c r="M230" s="7">
        <f>'1 datos preparados'!L223</f>
        <v/>
      </c>
      <c r="N230" s="7">
        <f>'1 datos preparados'!M223</f>
        <v/>
      </c>
      <c r="O230" s="7">
        <f>'1 datos preparados'!N223</f>
        <v/>
      </c>
      <c r="P230" s="7">
        <f>'1 datos preparados'!O223</f>
        <v/>
      </c>
      <c r="Q230" s="7">
        <f>'1 datos preparados'!P223</f>
        <v/>
      </c>
      <c r="R230" s="7">
        <f>'1 datos preparados'!Q223</f>
        <v/>
      </c>
      <c r="S230" s="7">
        <f>'1 datos preparados'!R223</f>
        <v/>
      </c>
      <c r="T230" s="7">
        <f>'1 datos preparados'!S223</f>
        <v/>
      </c>
      <c r="U230" s="7">
        <f>'1 datos preparados'!T223</f>
        <v/>
      </c>
      <c r="V230" s="8">
        <f>$AC$12+D230*$AC$13+E230*$AC$14+F230*$AC$15+G230*$AC$16+H230*$AC$17+I230*$AC$18+J230*$AC$19+K230*$AC$20+L230*$AC$21+M230*$AC$22+N230*$AC$23+O230*$AC$24+P230*$AC$25+Q230*$AC$26+R230*$AC$27+S230*$AC$28+T230*$AC$29+U230*$AC$30</f>
        <v/>
      </c>
      <c r="W230" s="8">
        <f>1/(1+EXP(-V230))</f>
        <v/>
      </c>
      <c r="X230" s="9">
        <f>-IF(C230=1,LN(W230),LN(1-W230))</f>
        <v/>
      </c>
      <c r="Y230" s="10">
        <f>IF(W230&gt;$AC$33,1,0)</f>
        <v/>
      </c>
      <c r="Z230">
        <f>IF(Y230=C230,1,0)</f>
        <v/>
      </c>
    </row>
    <row r="231">
      <c r="A231">
        <f>'1 datos preparados'!A224</f>
        <v/>
      </c>
      <c r="B231" s="5">
        <f>'1 datos preparados'!U224</f>
        <v/>
      </c>
      <c r="C231">
        <f>'1 datos preparados'!B224</f>
        <v/>
      </c>
      <c r="D231" s="7">
        <f>'1 datos preparados'!C224</f>
        <v/>
      </c>
      <c r="E231" s="7">
        <f>'1 datos preparados'!D224</f>
        <v/>
      </c>
      <c r="F231" s="7">
        <f>'1 datos preparados'!E224</f>
        <v/>
      </c>
      <c r="G231" s="7">
        <f>'1 datos preparados'!F224</f>
        <v/>
      </c>
      <c r="H231" s="7">
        <f>'1 datos preparados'!G224</f>
        <v/>
      </c>
      <c r="I231" s="7">
        <f>'1 datos preparados'!H224</f>
        <v/>
      </c>
      <c r="J231" s="7">
        <f>'1 datos preparados'!I224</f>
        <v/>
      </c>
      <c r="K231" s="7">
        <f>'1 datos preparados'!J224</f>
        <v/>
      </c>
      <c r="L231" s="7">
        <f>'1 datos preparados'!K224</f>
        <v/>
      </c>
      <c r="M231" s="7">
        <f>'1 datos preparados'!L224</f>
        <v/>
      </c>
      <c r="N231" s="7">
        <f>'1 datos preparados'!M224</f>
        <v/>
      </c>
      <c r="O231" s="7">
        <f>'1 datos preparados'!N224</f>
        <v/>
      </c>
      <c r="P231" s="7">
        <f>'1 datos preparados'!O224</f>
        <v/>
      </c>
      <c r="Q231" s="7">
        <f>'1 datos preparados'!P224</f>
        <v/>
      </c>
      <c r="R231" s="7">
        <f>'1 datos preparados'!Q224</f>
        <v/>
      </c>
      <c r="S231" s="7">
        <f>'1 datos preparados'!R224</f>
        <v/>
      </c>
      <c r="T231" s="7">
        <f>'1 datos preparados'!S224</f>
        <v/>
      </c>
      <c r="U231" s="7">
        <f>'1 datos preparados'!T224</f>
        <v/>
      </c>
      <c r="V231" s="8">
        <f>$AC$12+D231*$AC$13+E231*$AC$14+F231*$AC$15+G231*$AC$16+H231*$AC$17+I231*$AC$18+J231*$AC$19+K231*$AC$20+L231*$AC$21+M231*$AC$22+N231*$AC$23+O231*$AC$24+P231*$AC$25+Q231*$AC$26+R231*$AC$27+S231*$AC$28+T231*$AC$29+U231*$AC$30</f>
        <v/>
      </c>
      <c r="W231" s="8">
        <f>1/(1+EXP(-V231))</f>
        <v/>
      </c>
      <c r="X231" s="9">
        <f>-IF(C231=1,LN(W231),LN(1-W231))</f>
        <v/>
      </c>
      <c r="Y231" s="10">
        <f>IF(W231&gt;$AC$33,1,0)</f>
        <v/>
      </c>
      <c r="Z231">
        <f>IF(Y231=C231,1,0)</f>
        <v/>
      </c>
    </row>
    <row r="232">
      <c r="A232">
        <f>'1 datos preparados'!A225</f>
        <v/>
      </c>
      <c r="B232" s="5">
        <f>'1 datos preparados'!U225</f>
        <v/>
      </c>
      <c r="C232">
        <f>'1 datos preparados'!B225</f>
        <v/>
      </c>
      <c r="D232" s="7">
        <f>'1 datos preparados'!C225</f>
        <v/>
      </c>
      <c r="E232" s="7">
        <f>'1 datos preparados'!D225</f>
        <v/>
      </c>
      <c r="F232" s="7">
        <f>'1 datos preparados'!E225</f>
        <v/>
      </c>
      <c r="G232" s="7">
        <f>'1 datos preparados'!F225</f>
        <v/>
      </c>
      <c r="H232" s="7">
        <f>'1 datos preparados'!G225</f>
        <v/>
      </c>
      <c r="I232" s="7">
        <f>'1 datos preparados'!H225</f>
        <v/>
      </c>
      <c r="J232" s="7">
        <f>'1 datos preparados'!I225</f>
        <v/>
      </c>
      <c r="K232" s="7">
        <f>'1 datos preparados'!J225</f>
        <v/>
      </c>
      <c r="L232" s="7">
        <f>'1 datos preparados'!K225</f>
        <v/>
      </c>
      <c r="M232" s="7">
        <f>'1 datos preparados'!L225</f>
        <v/>
      </c>
      <c r="N232" s="7">
        <f>'1 datos preparados'!M225</f>
        <v/>
      </c>
      <c r="O232" s="7">
        <f>'1 datos preparados'!N225</f>
        <v/>
      </c>
      <c r="P232" s="7">
        <f>'1 datos preparados'!O225</f>
        <v/>
      </c>
      <c r="Q232" s="7">
        <f>'1 datos preparados'!P225</f>
        <v/>
      </c>
      <c r="R232" s="7">
        <f>'1 datos preparados'!Q225</f>
        <v/>
      </c>
      <c r="S232" s="7">
        <f>'1 datos preparados'!R225</f>
        <v/>
      </c>
      <c r="T232" s="7">
        <f>'1 datos preparados'!S225</f>
        <v/>
      </c>
      <c r="U232" s="7">
        <f>'1 datos preparados'!T225</f>
        <v/>
      </c>
      <c r="V232" s="8">
        <f>$AC$12+D232*$AC$13+E232*$AC$14+F232*$AC$15+G232*$AC$16+H232*$AC$17+I232*$AC$18+J232*$AC$19+K232*$AC$20+L232*$AC$21+M232*$AC$22+N232*$AC$23+O232*$AC$24+P232*$AC$25+Q232*$AC$26+R232*$AC$27+S232*$AC$28+T232*$AC$29+U232*$AC$30</f>
        <v/>
      </c>
      <c r="W232" s="8">
        <f>1/(1+EXP(-V232))</f>
        <v/>
      </c>
      <c r="X232" s="9">
        <f>-IF(C232=1,LN(W232),LN(1-W232))</f>
        <v/>
      </c>
      <c r="Y232" s="10">
        <f>IF(W232&gt;$AC$33,1,0)</f>
        <v/>
      </c>
      <c r="Z232">
        <f>IF(Y232=C232,1,0)</f>
        <v/>
      </c>
    </row>
    <row r="233">
      <c r="A233">
        <f>'1 datos preparados'!A226</f>
        <v/>
      </c>
      <c r="B233" s="5">
        <f>'1 datos preparados'!U226</f>
        <v/>
      </c>
      <c r="C233">
        <f>'1 datos preparados'!B226</f>
        <v/>
      </c>
      <c r="D233" s="7">
        <f>'1 datos preparados'!C226</f>
        <v/>
      </c>
      <c r="E233" s="7">
        <f>'1 datos preparados'!D226</f>
        <v/>
      </c>
      <c r="F233" s="7">
        <f>'1 datos preparados'!E226</f>
        <v/>
      </c>
      <c r="G233" s="7">
        <f>'1 datos preparados'!F226</f>
        <v/>
      </c>
      <c r="H233" s="7">
        <f>'1 datos preparados'!G226</f>
        <v/>
      </c>
      <c r="I233" s="7">
        <f>'1 datos preparados'!H226</f>
        <v/>
      </c>
      <c r="J233" s="7">
        <f>'1 datos preparados'!I226</f>
        <v/>
      </c>
      <c r="K233" s="7">
        <f>'1 datos preparados'!J226</f>
        <v/>
      </c>
      <c r="L233" s="7">
        <f>'1 datos preparados'!K226</f>
        <v/>
      </c>
      <c r="M233" s="7">
        <f>'1 datos preparados'!L226</f>
        <v/>
      </c>
      <c r="N233" s="7">
        <f>'1 datos preparados'!M226</f>
        <v/>
      </c>
      <c r="O233" s="7">
        <f>'1 datos preparados'!N226</f>
        <v/>
      </c>
      <c r="P233" s="7">
        <f>'1 datos preparados'!O226</f>
        <v/>
      </c>
      <c r="Q233" s="7">
        <f>'1 datos preparados'!P226</f>
        <v/>
      </c>
      <c r="R233" s="7">
        <f>'1 datos preparados'!Q226</f>
        <v/>
      </c>
      <c r="S233" s="7">
        <f>'1 datos preparados'!R226</f>
        <v/>
      </c>
      <c r="T233" s="7">
        <f>'1 datos preparados'!S226</f>
        <v/>
      </c>
      <c r="U233" s="7">
        <f>'1 datos preparados'!T226</f>
        <v/>
      </c>
      <c r="V233" s="8">
        <f>$AC$12+D233*$AC$13+E233*$AC$14+F233*$AC$15+G233*$AC$16+H233*$AC$17+I233*$AC$18+J233*$AC$19+K233*$AC$20+L233*$AC$21+M233*$AC$22+N233*$AC$23+O233*$AC$24+P233*$AC$25+Q233*$AC$26+R233*$AC$27+S233*$AC$28+T233*$AC$29+U233*$AC$30</f>
        <v/>
      </c>
      <c r="W233" s="8">
        <f>1/(1+EXP(-V233))</f>
        <v/>
      </c>
      <c r="X233" s="9">
        <f>-IF(C233=1,LN(W233),LN(1-W233))</f>
        <v/>
      </c>
      <c r="Y233" s="10">
        <f>IF(W233&gt;$AC$33,1,0)</f>
        <v/>
      </c>
      <c r="Z233">
        <f>IF(Y233=C233,1,0)</f>
        <v/>
      </c>
    </row>
    <row r="234">
      <c r="A234">
        <f>'1 datos preparados'!A227</f>
        <v/>
      </c>
      <c r="B234" s="5">
        <f>'1 datos preparados'!U227</f>
        <v/>
      </c>
      <c r="C234">
        <f>'1 datos preparados'!B227</f>
        <v/>
      </c>
      <c r="D234" s="7">
        <f>'1 datos preparados'!C227</f>
        <v/>
      </c>
      <c r="E234" s="7">
        <f>'1 datos preparados'!D227</f>
        <v/>
      </c>
      <c r="F234" s="7">
        <f>'1 datos preparados'!E227</f>
        <v/>
      </c>
      <c r="G234" s="7">
        <f>'1 datos preparados'!F227</f>
        <v/>
      </c>
      <c r="H234" s="7">
        <f>'1 datos preparados'!G227</f>
        <v/>
      </c>
      <c r="I234" s="7">
        <f>'1 datos preparados'!H227</f>
        <v/>
      </c>
      <c r="J234" s="7">
        <f>'1 datos preparados'!I227</f>
        <v/>
      </c>
      <c r="K234" s="7">
        <f>'1 datos preparados'!J227</f>
        <v/>
      </c>
      <c r="L234" s="7">
        <f>'1 datos preparados'!K227</f>
        <v/>
      </c>
      <c r="M234" s="7">
        <f>'1 datos preparados'!L227</f>
        <v/>
      </c>
      <c r="N234" s="7">
        <f>'1 datos preparados'!M227</f>
        <v/>
      </c>
      <c r="O234" s="7">
        <f>'1 datos preparados'!N227</f>
        <v/>
      </c>
      <c r="P234" s="7">
        <f>'1 datos preparados'!O227</f>
        <v/>
      </c>
      <c r="Q234" s="7">
        <f>'1 datos preparados'!P227</f>
        <v/>
      </c>
      <c r="R234" s="7">
        <f>'1 datos preparados'!Q227</f>
        <v/>
      </c>
      <c r="S234" s="7">
        <f>'1 datos preparados'!R227</f>
        <v/>
      </c>
      <c r="T234" s="7">
        <f>'1 datos preparados'!S227</f>
        <v/>
      </c>
      <c r="U234" s="7">
        <f>'1 datos preparados'!T227</f>
        <v/>
      </c>
      <c r="V234" s="8">
        <f>$AC$12+D234*$AC$13+E234*$AC$14+F234*$AC$15+G234*$AC$16+H234*$AC$17+I234*$AC$18+J234*$AC$19+K234*$AC$20+L234*$AC$21+M234*$AC$22+N234*$AC$23+O234*$AC$24+P234*$AC$25+Q234*$AC$26+R234*$AC$27+S234*$AC$28+T234*$AC$29+U234*$AC$30</f>
        <v/>
      </c>
      <c r="W234" s="8">
        <f>1/(1+EXP(-V234))</f>
        <v/>
      </c>
      <c r="X234" s="9">
        <f>-IF(C234=1,LN(W234),LN(1-W234))</f>
        <v/>
      </c>
      <c r="Y234" s="10">
        <f>IF(W234&gt;$AC$33,1,0)</f>
        <v/>
      </c>
      <c r="Z234">
        <f>IF(Y234=C234,1,0)</f>
        <v/>
      </c>
    </row>
    <row r="235">
      <c r="A235">
        <f>'1 datos preparados'!A228</f>
        <v/>
      </c>
      <c r="B235" s="5">
        <f>'1 datos preparados'!U228</f>
        <v/>
      </c>
      <c r="C235">
        <f>'1 datos preparados'!B228</f>
        <v/>
      </c>
      <c r="D235" s="7">
        <f>'1 datos preparados'!C228</f>
        <v/>
      </c>
      <c r="E235" s="7">
        <f>'1 datos preparados'!D228</f>
        <v/>
      </c>
      <c r="F235" s="7">
        <f>'1 datos preparados'!E228</f>
        <v/>
      </c>
      <c r="G235" s="7">
        <f>'1 datos preparados'!F228</f>
        <v/>
      </c>
      <c r="H235" s="7">
        <f>'1 datos preparados'!G228</f>
        <v/>
      </c>
      <c r="I235" s="7">
        <f>'1 datos preparados'!H228</f>
        <v/>
      </c>
      <c r="J235" s="7">
        <f>'1 datos preparados'!I228</f>
        <v/>
      </c>
      <c r="K235" s="7">
        <f>'1 datos preparados'!J228</f>
        <v/>
      </c>
      <c r="L235" s="7">
        <f>'1 datos preparados'!K228</f>
        <v/>
      </c>
      <c r="M235" s="7">
        <f>'1 datos preparados'!L228</f>
        <v/>
      </c>
      <c r="N235" s="7">
        <f>'1 datos preparados'!M228</f>
        <v/>
      </c>
      <c r="O235" s="7">
        <f>'1 datos preparados'!N228</f>
        <v/>
      </c>
      <c r="P235" s="7">
        <f>'1 datos preparados'!O228</f>
        <v/>
      </c>
      <c r="Q235" s="7">
        <f>'1 datos preparados'!P228</f>
        <v/>
      </c>
      <c r="R235" s="7">
        <f>'1 datos preparados'!Q228</f>
        <v/>
      </c>
      <c r="S235" s="7">
        <f>'1 datos preparados'!R228</f>
        <v/>
      </c>
      <c r="T235" s="7">
        <f>'1 datos preparados'!S228</f>
        <v/>
      </c>
      <c r="U235" s="7">
        <f>'1 datos preparados'!T228</f>
        <v/>
      </c>
      <c r="V235" s="8">
        <f>$AC$12+D235*$AC$13+E235*$AC$14+F235*$AC$15+G235*$AC$16+H235*$AC$17+I235*$AC$18+J235*$AC$19+K235*$AC$20+L235*$AC$21+M235*$AC$22+N235*$AC$23+O235*$AC$24+P235*$AC$25+Q235*$AC$26+R235*$AC$27+S235*$AC$28+T235*$AC$29+U235*$AC$30</f>
        <v/>
      </c>
      <c r="W235" s="8">
        <f>1/(1+EXP(-V235))</f>
        <v/>
      </c>
      <c r="X235" s="9">
        <f>-IF(C235=1,LN(W235),LN(1-W235))</f>
        <v/>
      </c>
      <c r="Y235" s="10">
        <f>IF(W235&gt;$AC$33,1,0)</f>
        <v/>
      </c>
      <c r="Z235">
        <f>IF(Y235=C235,1,0)</f>
        <v/>
      </c>
    </row>
    <row r="236">
      <c r="A236">
        <f>'1 datos preparados'!A229</f>
        <v/>
      </c>
      <c r="B236" s="5">
        <f>'1 datos preparados'!U229</f>
        <v/>
      </c>
      <c r="C236">
        <f>'1 datos preparados'!B229</f>
        <v/>
      </c>
      <c r="D236" s="7">
        <f>'1 datos preparados'!C229</f>
        <v/>
      </c>
      <c r="E236" s="7">
        <f>'1 datos preparados'!D229</f>
        <v/>
      </c>
      <c r="F236" s="7">
        <f>'1 datos preparados'!E229</f>
        <v/>
      </c>
      <c r="G236" s="7">
        <f>'1 datos preparados'!F229</f>
        <v/>
      </c>
      <c r="H236" s="7">
        <f>'1 datos preparados'!G229</f>
        <v/>
      </c>
      <c r="I236" s="7">
        <f>'1 datos preparados'!H229</f>
        <v/>
      </c>
      <c r="J236" s="7">
        <f>'1 datos preparados'!I229</f>
        <v/>
      </c>
      <c r="K236" s="7">
        <f>'1 datos preparados'!J229</f>
        <v/>
      </c>
      <c r="L236" s="7">
        <f>'1 datos preparados'!K229</f>
        <v/>
      </c>
      <c r="M236" s="7">
        <f>'1 datos preparados'!L229</f>
        <v/>
      </c>
      <c r="N236" s="7">
        <f>'1 datos preparados'!M229</f>
        <v/>
      </c>
      <c r="O236" s="7">
        <f>'1 datos preparados'!N229</f>
        <v/>
      </c>
      <c r="P236" s="7">
        <f>'1 datos preparados'!O229</f>
        <v/>
      </c>
      <c r="Q236" s="7">
        <f>'1 datos preparados'!P229</f>
        <v/>
      </c>
      <c r="R236" s="7">
        <f>'1 datos preparados'!Q229</f>
        <v/>
      </c>
      <c r="S236" s="7">
        <f>'1 datos preparados'!R229</f>
        <v/>
      </c>
      <c r="T236" s="7">
        <f>'1 datos preparados'!S229</f>
        <v/>
      </c>
      <c r="U236" s="7">
        <f>'1 datos preparados'!T229</f>
        <v/>
      </c>
      <c r="V236" s="8">
        <f>$AC$12+D236*$AC$13+E236*$AC$14+F236*$AC$15+G236*$AC$16+H236*$AC$17+I236*$AC$18+J236*$AC$19+K236*$AC$20+L236*$AC$21+M236*$AC$22+N236*$AC$23+O236*$AC$24+P236*$AC$25+Q236*$AC$26+R236*$AC$27+S236*$AC$28+T236*$AC$29+U236*$AC$30</f>
        <v/>
      </c>
      <c r="W236" s="8">
        <f>1/(1+EXP(-V236))</f>
        <v/>
      </c>
      <c r="X236" s="9">
        <f>-IF(C236=1,LN(W236),LN(1-W236))</f>
        <v/>
      </c>
      <c r="Y236" s="10">
        <f>IF(W236&gt;$AC$33,1,0)</f>
        <v/>
      </c>
      <c r="Z236">
        <f>IF(Y236=C236,1,0)</f>
        <v/>
      </c>
    </row>
    <row r="237">
      <c r="A237">
        <f>'1 datos preparados'!A230</f>
        <v/>
      </c>
      <c r="B237" s="5">
        <f>'1 datos preparados'!U230</f>
        <v/>
      </c>
      <c r="C237">
        <f>'1 datos preparados'!B230</f>
        <v/>
      </c>
      <c r="D237" s="7">
        <f>'1 datos preparados'!C230</f>
        <v/>
      </c>
      <c r="E237" s="7">
        <f>'1 datos preparados'!D230</f>
        <v/>
      </c>
      <c r="F237" s="7">
        <f>'1 datos preparados'!E230</f>
        <v/>
      </c>
      <c r="G237" s="7">
        <f>'1 datos preparados'!F230</f>
        <v/>
      </c>
      <c r="H237" s="7">
        <f>'1 datos preparados'!G230</f>
        <v/>
      </c>
      <c r="I237" s="7">
        <f>'1 datos preparados'!H230</f>
        <v/>
      </c>
      <c r="J237" s="7">
        <f>'1 datos preparados'!I230</f>
        <v/>
      </c>
      <c r="K237" s="7">
        <f>'1 datos preparados'!J230</f>
        <v/>
      </c>
      <c r="L237" s="7">
        <f>'1 datos preparados'!K230</f>
        <v/>
      </c>
      <c r="M237" s="7">
        <f>'1 datos preparados'!L230</f>
        <v/>
      </c>
      <c r="N237" s="7">
        <f>'1 datos preparados'!M230</f>
        <v/>
      </c>
      <c r="O237" s="7">
        <f>'1 datos preparados'!N230</f>
        <v/>
      </c>
      <c r="P237" s="7">
        <f>'1 datos preparados'!O230</f>
        <v/>
      </c>
      <c r="Q237" s="7">
        <f>'1 datos preparados'!P230</f>
        <v/>
      </c>
      <c r="R237" s="7">
        <f>'1 datos preparados'!Q230</f>
        <v/>
      </c>
      <c r="S237" s="7">
        <f>'1 datos preparados'!R230</f>
        <v/>
      </c>
      <c r="T237" s="7">
        <f>'1 datos preparados'!S230</f>
        <v/>
      </c>
      <c r="U237" s="7">
        <f>'1 datos preparados'!T230</f>
        <v/>
      </c>
      <c r="V237" s="8">
        <f>$AC$12+D237*$AC$13+E237*$AC$14+F237*$AC$15+G237*$AC$16+H237*$AC$17+I237*$AC$18+J237*$AC$19+K237*$AC$20+L237*$AC$21+M237*$AC$22+N237*$AC$23+O237*$AC$24+P237*$AC$25+Q237*$AC$26+R237*$AC$27+S237*$AC$28+T237*$AC$29+U237*$AC$30</f>
        <v/>
      </c>
      <c r="W237" s="8">
        <f>1/(1+EXP(-V237))</f>
        <v/>
      </c>
      <c r="X237" s="9">
        <f>-IF(C237=1,LN(W237),LN(1-W237))</f>
        <v/>
      </c>
      <c r="Y237" s="10">
        <f>IF(W237&gt;$AC$33,1,0)</f>
        <v/>
      </c>
      <c r="Z237">
        <f>IF(Y237=C237,1,0)</f>
        <v/>
      </c>
    </row>
    <row r="238">
      <c r="A238">
        <f>'1 datos preparados'!A231</f>
        <v/>
      </c>
      <c r="B238" s="5">
        <f>'1 datos preparados'!U231</f>
        <v/>
      </c>
      <c r="C238">
        <f>'1 datos preparados'!B231</f>
        <v/>
      </c>
      <c r="D238" s="7">
        <f>'1 datos preparados'!C231</f>
        <v/>
      </c>
      <c r="E238" s="7">
        <f>'1 datos preparados'!D231</f>
        <v/>
      </c>
      <c r="F238" s="7">
        <f>'1 datos preparados'!E231</f>
        <v/>
      </c>
      <c r="G238" s="7">
        <f>'1 datos preparados'!F231</f>
        <v/>
      </c>
      <c r="H238" s="7">
        <f>'1 datos preparados'!G231</f>
        <v/>
      </c>
      <c r="I238" s="7">
        <f>'1 datos preparados'!H231</f>
        <v/>
      </c>
      <c r="J238" s="7">
        <f>'1 datos preparados'!I231</f>
        <v/>
      </c>
      <c r="K238" s="7">
        <f>'1 datos preparados'!J231</f>
        <v/>
      </c>
      <c r="L238" s="7">
        <f>'1 datos preparados'!K231</f>
        <v/>
      </c>
      <c r="M238" s="7">
        <f>'1 datos preparados'!L231</f>
        <v/>
      </c>
      <c r="N238" s="7">
        <f>'1 datos preparados'!M231</f>
        <v/>
      </c>
      <c r="O238" s="7">
        <f>'1 datos preparados'!N231</f>
        <v/>
      </c>
      <c r="P238" s="7">
        <f>'1 datos preparados'!O231</f>
        <v/>
      </c>
      <c r="Q238" s="7">
        <f>'1 datos preparados'!P231</f>
        <v/>
      </c>
      <c r="R238" s="7">
        <f>'1 datos preparados'!Q231</f>
        <v/>
      </c>
      <c r="S238" s="7">
        <f>'1 datos preparados'!R231</f>
        <v/>
      </c>
      <c r="T238" s="7">
        <f>'1 datos preparados'!S231</f>
        <v/>
      </c>
      <c r="U238" s="7">
        <f>'1 datos preparados'!T231</f>
        <v/>
      </c>
      <c r="V238" s="8">
        <f>$AC$12+D238*$AC$13+E238*$AC$14+F238*$AC$15+G238*$AC$16+H238*$AC$17+I238*$AC$18+J238*$AC$19+K238*$AC$20+L238*$AC$21+M238*$AC$22+N238*$AC$23+O238*$AC$24+P238*$AC$25+Q238*$AC$26+R238*$AC$27+S238*$AC$28+T238*$AC$29+U238*$AC$30</f>
        <v/>
      </c>
      <c r="W238" s="8">
        <f>1/(1+EXP(-V238))</f>
        <v/>
      </c>
      <c r="X238" s="9">
        <f>-IF(C238=1,LN(W238),LN(1-W238))</f>
        <v/>
      </c>
      <c r="Y238" s="10">
        <f>IF(W238&gt;$AC$33,1,0)</f>
        <v/>
      </c>
      <c r="Z238">
        <f>IF(Y238=C238,1,0)</f>
        <v/>
      </c>
    </row>
    <row r="239">
      <c r="A239">
        <f>'1 datos preparados'!A232</f>
        <v/>
      </c>
      <c r="B239" s="5">
        <f>'1 datos preparados'!U232</f>
        <v/>
      </c>
      <c r="C239">
        <f>'1 datos preparados'!B232</f>
        <v/>
      </c>
      <c r="D239" s="7">
        <f>'1 datos preparados'!C232</f>
        <v/>
      </c>
      <c r="E239" s="7">
        <f>'1 datos preparados'!D232</f>
        <v/>
      </c>
      <c r="F239" s="7">
        <f>'1 datos preparados'!E232</f>
        <v/>
      </c>
      <c r="G239" s="7">
        <f>'1 datos preparados'!F232</f>
        <v/>
      </c>
      <c r="H239" s="7">
        <f>'1 datos preparados'!G232</f>
        <v/>
      </c>
      <c r="I239" s="7">
        <f>'1 datos preparados'!H232</f>
        <v/>
      </c>
      <c r="J239" s="7">
        <f>'1 datos preparados'!I232</f>
        <v/>
      </c>
      <c r="K239" s="7">
        <f>'1 datos preparados'!J232</f>
        <v/>
      </c>
      <c r="L239" s="7">
        <f>'1 datos preparados'!K232</f>
        <v/>
      </c>
      <c r="M239" s="7">
        <f>'1 datos preparados'!L232</f>
        <v/>
      </c>
      <c r="N239" s="7">
        <f>'1 datos preparados'!M232</f>
        <v/>
      </c>
      <c r="O239" s="7">
        <f>'1 datos preparados'!N232</f>
        <v/>
      </c>
      <c r="P239" s="7">
        <f>'1 datos preparados'!O232</f>
        <v/>
      </c>
      <c r="Q239" s="7">
        <f>'1 datos preparados'!P232</f>
        <v/>
      </c>
      <c r="R239" s="7">
        <f>'1 datos preparados'!Q232</f>
        <v/>
      </c>
      <c r="S239" s="7">
        <f>'1 datos preparados'!R232</f>
        <v/>
      </c>
      <c r="T239" s="7">
        <f>'1 datos preparados'!S232</f>
        <v/>
      </c>
      <c r="U239" s="7">
        <f>'1 datos preparados'!T232</f>
        <v/>
      </c>
      <c r="V239" s="8">
        <f>$AC$12+D239*$AC$13+E239*$AC$14+F239*$AC$15+G239*$AC$16+H239*$AC$17+I239*$AC$18+J239*$AC$19+K239*$AC$20+L239*$AC$21+M239*$AC$22+N239*$AC$23+O239*$AC$24+P239*$AC$25+Q239*$AC$26+R239*$AC$27+S239*$AC$28+T239*$AC$29+U239*$AC$30</f>
        <v/>
      </c>
      <c r="W239" s="8">
        <f>1/(1+EXP(-V239))</f>
        <v/>
      </c>
      <c r="X239" s="9">
        <f>-IF(C239=1,LN(W239),LN(1-W239))</f>
        <v/>
      </c>
      <c r="Y239" s="10">
        <f>IF(W239&gt;$AC$33,1,0)</f>
        <v/>
      </c>
      <c r="Z239">
        <f>IF(Y239=C239,1,0)</f>
        <v/>
      </c>
    </row>
    <row r="240">
      <c r="A240">
        <f>'1 datos preparados'!A233</f>
        <v/>
      </c>
      <c r="B240" s="5">
        <f>'1 datos preparados'!U233</f>
        <v/>
      </c>
      <c r="C240">
        <f>'1 datos preparados'!B233</f>
        <v/>
      </c>
      <c r="D240" s="7">
        <f>'1 datos preparados'!C233</f>
        <v/>
      </c>
      <c r="E240" s="7">
        <f>'1 datos preparados'!D233</f>
        <v/>
      </c>
      <c r="F240" s="7">
        <f>'1 datos preparados'!E233</f>
        <v/>
      </c>
      <c r="G240" s="7">
        <f>'1 datos preparados'!F233</f>
        <v/>
      </c>
      <c r="H240" s="7">
        <f>'1 datos preparados'!G233</f>
        <v/>
      </c>
      <c r="I240" s="7">
        <f>'1 datos preparados'!H233</f>
        <v/>
      </c>
      <c r="J240" s="7">
        <f>'1 datos preparados'!I233</f>
        <v/>
      </c>
      <c r="K240" s="7">
        <f>'1 datos preparados'!J233</f>
        <v/>
      </c>
      <c r="L240" s="7">
        <f>'1 datos preparados'!K233</f>
        <v/>
      </c>
      <c r="M240" s="7">
        <f>'1 datos preparados'!L233</f>
        <v/>
      </c>
      <c r="N240" s="7">
        <f>'1 datos preparados'!M233</f>
        <v/>
      </c>
      <c r="O240" s="7">
        <f>'1 datos preparados'!N233</f>
        <v/>
      </c>
      <c r="P240" s="7">
        <f>'1 datos preparados'!O233</f>
        <v/>
      </c>
      <c r="Q240" s="7">
        <f>'1 datos preparados'!P233</f>
        <v/>
      </c>
      <c r="R240" s="7">
        <f>'1 datos preparados'!Q233</f>
        <v/>
      </c>
      <c r="S240" s="7">
        <f>'1 datos preparados'!R233</f>
        <v/>
      </c>
      <c r="T240" s="7">
        <f>'1 datos preparados'!S233</f>
        <v/>
      </c>
      <c r="U240" s="7">
        <f>'1 datos preparados'!T233</f>
        <v/>
      </c>
      <c r="V240" s="8">
        <f>$AC$12+D240*$AC$13+E240*$AC$14+F240*$AC$15+G240*$AC$16+H240*$AC$17+I240*$AC$18+J240*$AC$19+K240*$AC$20+L240*$AC$21+M240*$AC$22+N240*$AC$23+O240*$AC$24+P240*$AC$25+Q240*$AC$26+R240*$AC$27+S240*$AC$28+T240*$AC$29+U240*$AC$30</f>
        <v/>
      </c>
      <c r="W240" s="8">
        <f>1/(1+EXP(-V240))</f>
        <v/>
      </c>
      <c r="X240" s="9">
        <f>-IF(C240=1,LN(W240),LN(1-W240))</f>
        <v/>
      </c>
      <c r="Y240" s="10">
        <f>IF(W240&gt;$AC$33,1,0)</f>
        <v/>
      </c>
      <c r="Z240">
        <f>IF(Y240=C240,1,0)</f>
        <v/>
      </c>
    </row>
    <row r="241">
      <c r="A241">
        <f>'1 datos preparados'!A234</f>
        <v/>
      </c>
      <c r="B241" s="5">
        <f>'1 datos preparados'!U234</f>
        <v/>
      </c>
      <c r="C241">
        <f>'1 datos preparados'!B234</f>
        <v/>
      </c>
      <c r="D241" s="7">
        <f>'1 datos preparados'!C234</f>
        <v/>
      </c>
      <c r="E241" s="7">
        <f>'1 datos preparados'!D234</f>
        <v/>
      </c>
      <c r="F241" s="7">
        <f>'1 datos preparados'!E234</f>
        <v/>
      </c>
      <c r="G241" s="7">
        <f>'1 datos preparados'!F234</f>
        <v/>
      </c>
      <c r="H241" s="7">
        <f>'1 datos preparados'!G234</f>
        <v/>
      </c>
      <c r="I241" s="7">
        <f>'1 datos preparados'!H234</f>
        <v/>
      </c>
      <c r="J241" s="7">
        <f>'1 datos preparados'!I234</f>
        <v/>
      </c>
      <c r="K241" s="7">
        <f>'1 datos preparados'!J234</f>
        <v/>
      </c>
      <c r="L241" s="7">
        <f>'1 datos preparados'!K234</f>
        <v/>
      </c>
      <c r="M241" s="7">
        <f>'1 datos preparados'!L234</f>
        <v/>
      </c>
      <c r="N241" s="7">
        <f>'1 datos preparados'!M234</f>
        <v/>
      </c>
      <c r="O241" s="7">
        <f>'1 datos preparados'!N234</f>
        <v/>
      </c>
      <c r="P241" s="7">
        <f>'1 datos preparados'!O234</f>
        <v/>
      </c>
      <c r="Q241" s="7">
        <f>'1 datos preparados'!P234</f>
        <v/>
      </c>
      <c r="R241" s="7">
        <f>'1 datos preparados'!Q234</f>
        <v/>
      </c>
      <c r="S241" s="7">
        <f>'1 datos preparados'!R234</f>
        <v/>
      </c>
      <c r="T241" s="7">
        <f>'1 datos preparados'!S234</f>
        <v/>
      </c>
      <c r="U241" s="7">
        <f>'1 datos preparados'!T234</f>
        <v/>
      </c>
      <c r="V241" s="8">
        <f>$AC$12+D241*$AC$13+E241*$AC$14+F241*$AC$15+G241*$AC$16+H241*$AC$17+I241*$AC$18+J241*$AC$19+K241*$AC$20+L241*$AC$21+M241*$AC$22+N241*$AC$23+O241*$AC$24+P241*$AC$25+Q241*$AC$26+R241*$AC$27+S241*$AC$28+T241*$AC$29+U241*$AC$30</f>
        <v/>
      </c>
      <c r="W241" s="8">
        <f>1/(1+EXP(-V241))</f>
        <v/>
      </c>
      <c r="X241" s="9">
        <f>-IF(C241=1,LN(W241),LN(1-W241))</f>
        <v/>
      </c>
      <c r="Y241" s="10">
        <f>IF(W241&gt;$AC$33,1,0)</f>
        <v/>
      </c>
      <c r="Z241">
        <f>IF(Y241=C241,1,0)</f>
        <v/>
      </c>
    </row>
    <row r="242">
      <c r="A242">
        <f>'1 datos preparados'!A235</f>
        <v/>
      </c>
      <c r="B242" s="5">
        <f>'1 datos preparados'!U235</f>
        <v/>
      </c>
      <c r="C242">
        <f>'1 datos preparados'!B235</f>
        <v/>
      </c>
      <c r="D242" s="7">
        <f>'1 datos preparados'!C235</f>
        <v/>
      </c>
      <c r="E242" s="7">
        <f>'1 datos preparados'!D235</f>
        <v/>
      </c>
      <c r="F242" s="7">
        <f>'1 datos preparados'!E235</f>
        <v/>
      </c>
      <c r="G242" s="7">
        <f>'1 datos preparados'!F235</f>
        <v/>
      </c>
      <c r="H242" s="7">
        <f>'1 datos preparados'!G235</f>
        <v/>
      </c>
      <c r="I242" s="7">
        <f>'1 datos preparados'!H235</f>
        <v/>
      </c>
      <c r="J242" s="7">
        <f>'1 datos preparados'!I235</f>
        <v/>
      </c>
      <c r="K242" s="7">
        <f>'1 datos preparados'!J235</f>
        <v/>
      </c>
      <c r="L242" s="7">
        <f>'1 datos preparados'!K235</f>
        <v/>
      </c>
      <c r="M242" s="7">
        <f>'1 datos preparados'!L235</f>
        <v/>
      </c>
      <c r="N242" s="7">
        <f>'1 datos preparados'!M235</f>
        <v/>
      </c>
      <c r="O242" s="7">
        <f>'1 datos preparados'!N235</f>
        <v/>
      </c>
      <c r="P242" s="7">
        <f>'1 datos preparados'!O235</f>
        <v/>
      </c>
      <c r="Q242" s="7">
        <f>'1 datos preparados'!P235</f>
        <v/>
      </c>
      <c r="R242" s="7">
        <f>'1 datos preparados'!Q235</f>
        <v/>
      </c>
      <c r="S242" s="7">
        <f>'1 datos preparados'!R235</f>
        <v/>
      </c>
      <c r="T242" s="7">
        <f>'1 datos preparados'!S235</f>
        <v/>
      </c>
      <c r="U242" s="7">
        <f>'1 datos preparados'!T235</f>
        <v/>
      </c>
      <c r="V242" s="8">
        <f>$AC$12+D242*$AC$13+E242*$AC$14+F242*$AC$15+G242*$AC$16+H242*$AC$17+I242*$AC$18+J242*$AC$19+K242*$AC$20+L242*$AC$21+M242*$AC$22+N242*$AC$23+O242*$AC$24+P242*$AC$25+Q242*$AC$26+R242*$AC$27+S242*$AC$28+T242*$AC$29+U242*$AC$30</f>
        <v/>
      </c>
      <c r="W242" s="8">
        <f>1/(1+EXP(-V242))</f>
        <v/>
      </c>
      <c r="X242" s="9">
        <f>-IF(C242=1,LN(W242),LN(1-W242))</f>
        <v/>
      </c>
      <c r="Y242" s="10">
        <f>IF(W242&gt;$AC$33,1,0)</f>
        <v/>
      </c>
      <c r="Z242">
        <f>IF(Y242=C242,1,0)</f>
        <v/>
      </c>
    </row>
    <row r="243">
      <c r="A243">
        <f>'1 datos preparados'!A236</f>
        <v/>
      </c>
      <c r="B243" s="5">
        <f>'1 datos preparados'!U236</f>
        <v/>
      </c>
      <c r="C243">
        <f>'1 datos preparados'!B236</f>
        <v/>
      </c>
      <c r="D243" s="7">
        <f>'1 datos preparados'!C236</f>
        <v/>
      </c>
      <c r="E243" s="7">
        <f>'1 datos preparados'!D236</f>
        <v/>
      </c>
      <c r="F243" s="7">
        <f>'1 datos preparados'!E236</f>
        <v/>
      </c>
      <c r="G243" s="7">
        <f>'1 datos preparados'!F236</f>
        <v/>
      </c>
      <c r="H243" s="7">
        <f>'1 datos preparados'!G236</f>
        <v/>
      </c>
      <c r="I243" s="7">
        <f>'1 datos preparados'!H236</f>
        <v/>
      </c>
      <c r="J243" s="7">
        <f>'1 datos preparados'!I236</f>
        <v/>
      </c>
      <c r="K243" s="7">
        <f>'1 datos preparados'!J236</f>
        <v/>
      </c>
      <c r="L243" s="7">
        <f>'1 datos preparados'!K236</f>
        <v/>
      </c>
      <c r="M243" s="7">
        <f>'1 datos preparados'!L236</f>
        <v/>
      </c>
      <c r="N243" s="7">
        <f>'1 datos preparados'!M236</f>
        <v/>
      </c>
      <c r="O243" s="7">
        <f>'1 datos preparados'!N236</f>
        <v/>
      </c>
      <c r="P243" s="7">
        <f>'1 datos preparados'!O236</f>
        <v/>
      </c>
      <c r="Q243" s="7">
        <f>'1 datos preparados'!P236</f>
        <v/>
      </c>
      <c r="R243" s="7">
        <f>'1 datos preparados'!Q236</f>
        <v/>
      </c>
      <c r="S243" s="7">
        <f>'1 datos preparados'!R236</f>
        <v/>
      </c>
      <c r="T243" s="7">
        <f>'1 datos preparados'!S236</f>
        <v/>
      </c>
      <c r="U243" s="7">
        <f>'1 datos preparados'!T236</f>
        <v/>
      </c>
      <c r="V243" s="8">
        <f>$AC$12+D243*$AC$13+E243*$AC$14+F243*$AC$15+G243*$AC$16+H243*$AC$17+I243*$AC$18+J243*$AC$19+K243*$AC$20+L243*$AC$21+M243*$AC$22+N243*$AC$23+O243*$AC$24+P243*$AC$25+Q243*$AC$26+R243*$AC$27+S243*$AC$28+T243*$AC$29+U243*$AC$30</f>
        <v/>
      </c>
      <c r="W243" s="8">
        <f>1/(1+EXP(-V243))</f>
        <v/>
      </c>
      <c r="X243" s="9">
        <f>-IF(C243=1,LN(W243),LN(1-W243))</f>
        <v/>
      </c>
      <c r="Y243" s="10">
        <f>IF(W243&gt;$AC$33,1,0)</f>
        <v/>
      </c>
      <c r="Z243">
        <f>IF(Y243=C243,1,0)</f>
        <v/>
      </c>
    </row>
    <row r="244">
      <c r="A244">
        <f>'1 datos preparados'!A237</f>
        <v/>
      </c>
      <c r="B244" s="5">
        <f>'1 datos preparados'!U237</f>
        <v/>
      </c>
      <c r="C244">
        <f>'1 datos preparados'!B237</f>
        <v/>
      </c>
      <c r="D244" s="7">
        <f>'1 datos preparados'!C237</f>
        <v/>
      </c>
      <c r="E244" s="7">
        <f>'1 datos preparados'!D237</f>
        <v/>
      </c>
      <c r="F244" s="7">
        <f>'1 datos preparados'!E237</f>
        <v/>
      </c>
      <c r="G244" s="7">
        <f>'1 datos preparados'!F237</f>
        <v/>
      </c>
      <c r="H244" s="7">
        <f>'1 datos preparados'!G237</f>
        <v/>
      </c>
      <c r="I244" s="7">
        <f>'1 datos preparados'!H237</f>
        <v/>
      </c>
      <c r="J244" s="7">
        <f>'1 datos preparados'!I237</f>
        <v/>
      </c>
      <c r="K244" s="7">
        <f>'1 datos preparados'!J237</f>
        <v/>
      </c>
      <c r="L244" s="7">
        <f>'1 datos preparados'!K237</f>
        <v/>
      </c>
      <c r="M244" s="7">
        <f>'1 datos preparados'!L237</f>
        <v/>
      </c>
      <c r="N244" s="7">
        <f>'1 datos preparados'!M237</f>
        <v/>
      </c>
      <c r="O244" s="7">
        <f>'1 datos preparados'!N237</f>
        <v/>
      </c>
      <c r="P244" s="7">
        <f>'1 datos preparados'!O237</f>
        <v/>
      </c>
      <c r="Q244" s="7">
        <f>'1 datos preparados'!P237</f>
        <v/>
      </c>
      <c r="R244" s="7">
        <f>'1 datos preparados'!Q237</f>
        <v/>
      </c>
      <c r="S244" s="7">
        <f>'1 datos preparados'!R237</f>
        <v/>
      </c>
      <c r="T244" s="7">
        <f>'1 datos preparados'!S237</f>
        <v/>
      </c>
      <c r="U244" s="7">
        <f>'1 datos preparados'!T237</f>
        <v/>
      </c>
      <c r="V244" s="8">
        <f>$AC$12+D244*$AC$13+E244*$AC$14+F244*$AC$15+G244*$AC$16+H244*$AC$17+I244*$AC$18+J244*$AC$19+K244*$AC$20+L244*$AC$21+M244*$AC$22+N244*$AC$23+O244*$AC$24+P244*$AC$25+Q244*$AC$26+R244*$AC$27+S244*$AC$28+T244*$AC$29+U244*$AC$30</f>
        <v/>
      </c>
      <c r="W244" s="8">
        <f>1/(1+EXP(-V244))</f>
        <v/>
      </c>
      <c r="X244" s="9">
        <f>-IF(C244=1,LN(W244),LN(1-W244))</f>
        <v/>
      </c>
      <c r="Y244" s="10">
        <f>IF(W244&gt;$AC$33,1,0)</f>
        <v/>
      </c>
      <c r="Z244">
        <f>IF(Y244=C244,1,0)</f>
        <v/>
      </c>
    </row>
    <row r="245">
      <c r="A245">
        <f>'1 datos preparados'!A238</f>
        <v/>
      </c>
      <c r="B245" s="5">
        <f>'1 datos preparados'!U238</f>
        <v/>
      </c>
      <c r="C245">
        <f>'1 datos preparados'!B238</f>
        <v/>
      </c>
      <c r="D245" s="7">
        <f>'1 datos preparados'!C238</f>
        <v/>
      </c>
      <c r="E245" s="7">
        <f>'1 datos preparados'!D238</f>
        <v/>
      </c>
      <c r="F245" s="7">
        <f>'1 datos preparados'!E238</f>
        <v/>
      </c>
      <c r="G245" s="7">
        <f>'1 datos preparados'!F238</f>
        <v/>
      </c>
      <c r="H245" s="7">
        <f>'1 datos preparados'!G238</f>
        <v/>
      </c>
      <c r="I245" s="7">
        <f>'1 datos preparados'!H238</f>
        <v/>
      </c>
      <c r="J245" s="7">
        <f>'1 datos preparados'!I238</f>
        <v/>
      </c>
      <c r="K245" s="7">
        <f>'1 datos preparados'!J238</f>
        <v/>
      </c>
      <c r="L245" s="7">
        <f>'1 datos preparados'!K238</f>
        <v/>
      </c>
      <c r="M245" s="7">
        <f>'1 datos preparados'!L238</f>
        <v/>
      </c>
      <c r="N245" s="7">
        <f>'1 datos preparados'!M238</f>
        <v/>
      </c>
      <c r="O245" s="7">
        <f>'1 datos preparados'!N238</f>
        <v/>
      </c>
      <c r="P245" s="7">
        <f>'1 datos preparados'!O238</f>
        <v/>
      </c>
      <c r="Q245" s="7">
        <f>'1 datos preparados'!P238</f>
        <v/>
      </c>
      <c r="R245" s="7">
        <f>'1 datos preparados'!Q238</f>
        <v/>
      </c>
      <c r="S245" s="7">
        <f>'1 datos preparados'!R238</f>
        <v/>
      </c>
      <c r="T245" s="7">
        <f>'1 datos preparados'!S238</f>
        <v/>
      </c>
      <c r="U245" s="7">
        <f>'1 datos preparados'!T238</f>
        <v/>
      </c>
      <c r="V245" s="8">
        <f>$AC$12+D245*$AC$13+E245*$AC$14+F245*$AC$15+G245*$AC$16+H245*$AC$17+I245*$AC$18+J245*$AC$19+K245*$AC$20+L245*$AC$21+M245*$AC$22+N245*$AC$23+O245*$AC$24+P245*$AC$25+Q245*$AC$26+R245*$AC$27+S245*$AC$28+T245*$AC$29+U245*$AC$30</f>
        <v/>
      </c>
      <c r="W245" s="8">
        <f>1/(1+EXP(-V245))</f>
        <v/>
      </c>
      <c r="X245" s="9">
        <f>-IF(C245=1,LN(W245),LN(1-W245))</f>
        <v/>
      </c>
      <c r="Y245" s="10">
        <f>IF(W245&gt;$AC$33,1,0)</f>
        <v/>
      </c>
      <c r="Z245">
        <f>IF(Y245=C245,1,0)</f>
        <v/>
      </c>
    </row>
    <row r="246">
      <c r="A246">
        <f>'1 datos preparados'!A239</f>
        <v/>
      </c>
      <c r="B246" s="5">
        <f>'1 datos preparados'!U239</f>
        <v/>
      </c>
      <c r="C246">
        <f>'1 datos preparados'!B239</f>
        <v/>
      </c>
      <c r="D246" s="7">
        <f>'1 datos preparados'!C239</f>
        <v/>
      </c>
      <c r="E246" s="7">
        <f>'1 datos preparados'!D239</f>
        <v/>
      </c>
      <c r="F246" s="7">
        <f>'1 datos preparados'!E239</f>
        <v/>
      </c>
      <c r="G246" s="7">
        <f>'1 datos preparados'!F239</f>
        <v/>
      </c>
      <c r="H246" s="7">
        <f>'1 datos preparados'!G239</f>
        <v/>
      </c>
      <c r="I246" s="7">
        <f>'1 datos preparados'!H239</f>
        <v/>
      </c>
      <c r="J246" s="7">
        <f>'1 datos preparados'!I239</f>
        <v/>
      </c>
      <c r="K246" s="7">
        <f>'1 datos preparados'!J239</f>
        <v/>
      </c>
      <c r="L246" s="7">
        <f>'1 datos preparados'!K239</f>
        <v/>
      </c>
      <c r="M246" s="7">
        <f>'1 datos preparados'!L239</f>
        <v/>
      </c>
      <c r="N246" s="7">
        <f>'1 datos preparados'!M239</f>
        <v/>
      </c>
      <c r="O246" s="7">
        <f>'1 datos preparados'!N239</f>
        <v/>
      </c>
      <c r="P246" s="7">
        <f>'1 datos preparados'!O239</f>
        <v/>
      </c>
      <c r="Q246" s="7">
        <f>'1 datos preparados'!P239</f>
        <v/>
      </c>
      <c r="R246" s="7">
        <f>'1 datos preparados'!Q239</f>
        <v/>
      </c>
      <c r="S246" s="7">
        <f>'1 datos preparados'!R239</f>
        <v/>
      </c>
      <c r="T246" s="7">
        <f>'1 datos preparados'!S239</f>
        <v/>
      </c>
      <c r="U246" s="7">
        <f>'1 datos preparados'!T239</f>
        <v/>
      </c>
      <c r="V246" s="8">
        <f>$AC$12+D246*$AC$13+E246*$AC$14+F246*$AC$15+G246*$AC$16+H246*$AC$17+I246*$AC$18+J246*$AC$19+K246*$AC$20+L246*$AC$21+M246*$AC$22+N246*$AC$23+O246*$AC$24+P246*$AC$25+Q246*$AC$26+R246*$AC$27+S246*$AC$28+T246*$AC$29+U246*$AC$30</f>
        <v/>
      </c>
      <c r="W246" s="8">
        <f>1/(1+EXP(-V246))</f>
        <v/>
      </c>
      <c r="X246" s="9">
        <f>-IF(C246=1,LN(W246),LN(1-W246))</f>
        <v/>
      </c>
      <c r="Y246" s="10">
        <f>IF(W246&gt;$AC$33,1,0)</f>
        <v/>
      </c>
      <c r="Z246">
        <f>IF(Y246=C246,1,0)</f>
        <v/>
      </c>
    </row>
    <row r="247">
      <c r="A247">
        <f>'1 datos preparados'!A240</f>
        <v/>
      </c>
      <c r="B247" s="5">
        <f>'1 datos preparados'!U240</f>
        <v/>
      </c>
      <c r="C247">
        <f>'1 datos preparados'!B240</f>
        <v/>
      </c>
      <c r="D247" s="7">
        <f>'1 datos preparados'!C240</f>
        <v/>
      </c>
      <c r="E247" s="7">
        <f>'1 datos preparados'!D240</f>
        <v/>
      </c>
      <c r="F247" s="7">
        <f>'1 datos preparados'!E240</f>
        <v/>
      </c>
      <c r="G247" s="7">
        <f>'1 datos preparados'!F240</f>
        <v/>
      </c>
      <c r="H247" s="7">
        <f>'1 datos preparados'!G240</f>
        <v/>
      </c>
      <c r="I247" s="7">
        <f>'1 datos preparados'!H240</f>
        <v/>
      </c>
      <c r="J247" s="7">
        <f>'1 datos preparados'!I240</f>
        <v/>
      </c>
      <c r="K247" s="7">
        <f>'1 datos preparados'!J240</f>
        <v/>
      </c>
      <c r="L247" s="7">
        <f>'1 datos preparados'!K240</f>
        <v/>
      </c>
      <c r="M247" s="7">
        <f>'1 datos preparados'!L240</f>
        <v/>
      </c>
      <c r="N247" s="7">
        <f>'1 datos preparados'!M240</f>
        <v/>
      </c>
      <c r="O247" s="7">
        <f>'1 datos preparados'!N240</f>
        <v/>
      </c>
      <c r="P247" s="7">
        <f>'1 datos preparados'!O240</f>
        <v/>
      </c>
      <c r="Q247" s="7">
        <f>'1 datos preparados'!P240</f>
        <v/>
      </c>
      <c r="R247" s="7">
        <f>'1 datos preparados'!Q240</f>
        <v/>
      </c>
      <c r="S247" s="7">
        <f>'1 datos preparados'!R240</f>
        <v/>
      </c>
      <c r="T247" s="7">
        <f>'1 datos preparados'!S240</f>
        <v/>
      </c>
      <c r="U247" s="7">
        <f>'1 datos preparados'!T240</f>
        <v/>
      </c>
      <c r="V247" s="8">
        <f>$AC$12+D247*$AC$13+E247*$AC$14+F247*$AC$15+G247*$AC$16+H247*$AC$17+I247*$AC$18+J247*$AC$19+K247*$AC$20+L247*$AC$21+M247*$AC$22+N247*$AC$23+O247*$AC$24+P247*$AC$25+Q247*$AC$26+R247*$AC$27+S247*$AC$28+T247*$AC$29+U247*$AC$30</f>
        <v/>
      </c>
      <c r="W247" s="8">
        <f>1/(1+EXP(-V247))</f>
        <v/>
      </c>
      <c r="X247" s="9">
        <f>-IF(C247=1,LN(W247),LN(1-W247))</f>
        <v/>
      </c>
      <c r="Y247" s="10">
        <f>IF(W247&gt;$AC$33,1,0)</f>
        <v/>
      </c>
      <c r="Z247">
        <f>IF(Y247=C247,1,0)</f>
        <v/>
      </c>
    </row>
    <row r="248">
      <c r="A248">
        <f>'1 datos preparados'!A241</f>
        <v/>
      </c>
      <c r="B248" s="5">
        <f>'1 datos preparados'!U241</f>
        <v/>
      </c>
      <c r="C248">
        <f>'1 datos preparados'!B241</f>
        <v/>
      </c>
      <c r="D248" s="7">
        <f>'1 datos preparados'!C241</f>
        <v/>
      </c>
      <c r="E248" s="7">
        <f>'1 datos preparados'!D241</f>
        <v/>
      </c>
      <c r="F248" s="7">
        <f>'1 datos preparados'!E241</f>
        <v/>
      </c>
      <c r="G248" s="7">
        <f>'1 datos preparados'!F241</f>
        <v/>
      </c>
      <c r="H248" s="7">
        <f>'1 datos preparados'!G241</f>
        <v/>
      </c>
      <c r="I248" s="7">
        <f>'1 datos preparados'!H241</f>
        <v/>
      </c>
      <c r="J248" s="7">
        <f>'1 datos preparados'!I241</f>
        <v/>
      </c>
      <c r="K248" s="7">
        <f>'1 datos preparados'!J241</f>
        <v/>
      </c>
      <c r="L248" s="7">
        <f>'1 datos preparados'!K241</f>
        <v/>
      </c>
      <c r="M248" s="7">
        <f>'1 datos preparados'!L241</f>
        <v/>
      </c>
      <c r="N248" s="7">
        <f>'1 datos preparados'!M241</f>
        <v/>
      </c>
      <c r="O248" s="7">
        <f>'1 datos preparados'!N241</f>
        <v/>
      </c>
      <c r="P248" s="7">
        <f>'1 datos preparados'!O241</f>
        <v/>
      </c>
      <c r="Q248" s="7">
        <f>'1 datos preparados'!P241</f>
        <v/>
      </c>
      <c r="R248" s="7">
        <f>'1 datos preparados'!Q241</f>
        <v/>
      </c>
      <c r="S248" s="7">
        <f>'1 datos preparados'!R241</f>
        <v/>
      </c>
      <c r="T248" s="7">
        <f>'1 datos preparados'!S241</f>
        <v/>
      </c>
      <c r="U248" s="7">
        <f>'1 datos preparados'!T241</f>
        <v/>
      </c>
      <c r="V248" s="8">
        <f>$AC$12+D248*$AC$13+E248*$AC$14+F248*$AC$15+G248*$AC$16+H248*$AC$17+I248*$AC$18+J248*$AC$19+K248*$AC$20+L248*$AC$21+M248*$AC$22+N248*$AC$23+O248*$AC$24+P248*$AC$25+Q248*$AC$26+R248*$AC$27+S248*$AC$28+T248*$AC$29+U248*$AC$30</f>
        <v/>
      </c>
      <c r="W248" s="8">
        <f>1/(1+EXP(-V248))</f>
        <v/>
      </c>
      <c r="X248" s="9">
        <f>-IF(C248=1,LN(W248),LN(1-W248))</f>
        <v/>
      </c>
      <c r="Y248" s="10">
        <f>IF(W248&gt;$AC$33,1,0)</f>
        <v/>
      </c>
      <c r="Z248">
        <f>IF(Y248=C248,1,0)</f>
        <v/>
      </c>
    </row>
    <row r="249">
      <c r="A249">
        <f>'1 datos preparados'!A242</f>
        <v/>
      </c>
      <c r="B249" s="5">
        <f>'1 datos preparados'!U242</f>
        <v/>
      </c>
      <c r="C249">
        <f>'1 datos preparados'!B242</f>
        <v/>
      </c>
      <c r="D249" s="7">
        <f>'1 datos preparados'!C242</f>
        <v/>
      </c>
      <c r="E249" s="7">
        <f>'1 datos preparados'!D242</f>
        <v/>
      </c>
      <c r="F249" s="7">
        <f>'1 datos preparados'!E242</f>
        <v/>
      </c>
      <c r="G249" s="7">
        <f>'1 datos preparados'!F242</f>
        <v/>
      </c>
      <c r="H249" s="7">
        <f>'1 datos preparados'!G242</f>
        <v/>
      </c>
      <c r="I249" s="7">
        <f>'1 datos preparados'!H242</f>
        <v/>
      </c>
      <c r="J249" s="7">
        <f>'1 datos preparados'!I242</f>
        <v/>
      </c>
      <c r="K249" s="7">
        <f>'1 datos preparados'!J242</f>
        <v/>
      </c>
      <c r="L249" s="7">
        <f>'1 datos preparados'!K242</f>
        <v/>
      </c>
      <c r="M249" s="7">
        <f>'1 datos preparados'!L242</f>
        <v/>
      </c>
      <c r="N249" s="7">
        <f>'1 datos preparados'!M242</f>
        <v/>
      </c>
      <c r="O249" s="7">
        <f>'1 datos preparados'!N242</f>
        <v/>
      </c>
      <c r="P249" s="7">
        <f>'1 datos preparados'!O242</f>
        <v/>
      </c>
      <c r="Q249" s="7">
        <f>'1 datos preparados'!P242</f>
        <v/>
      </c>
      <c r="R249" s="7">
        <f>'1 datos preparados'!Q242</f>
        <v/>
      </c>
      <c r="S249" s="7">
        <f>'1 datos preparados'!R242</f>
        <v/>
      </c>
      <c r="T249" s="7">
        <f>'1 datos preparados'!S242</f>
        <v/>
      </c>
      <c r="U249" s="7">
        <f>'1 datos preparados'!T242</f>
        <v/>
      </c>
      <c r="V249" s="8">
        <f>$AC$12+D249*$AC$13+E249*$AC$14+F249*$AC$15+G249*$AC$16+H249*$AC$17+I249*$AC$18+J249*$AC$19+K249*$AC$20+L249*$AC$21+M249*$AC$22+N249*$AC$23+O249*$AC$24+P249*$AC$25+Q249*$AC$26+R249*$AC$27+S249*$AC$28+T249*$AC$29+U249*$AC$30</f>
        <v/>
      </c>
      <c r="W249" s="8">
        <f>1/(1+EXP(-V249))</f>
        <v/>
      </c>
      <c r="X249" s="9">
        <f>-IF(C249=1,LN(W249),LN(1-W249))</f>
        <v/>
      </c>
      <c r="Y249" s="10">
        <f>IF(W249&gt;$AC$33,1,0)</f>
        <v/>
      </c>
      <c r="Z249">
        <f>IF(Y249=C249,1,0)</f>
        <v/>
      </c>
    </row>
    <row r="250">
      <c r="A250">
        <f>'1 datos preparados'!A243</f>
        <v/>
      </c>
      <c r="B250" s="5">
        <f>'1 datos preparados'!U243</f>
        <v/>
      </c>
      <c r="C250">
        <f>'1 datos preparados'!B243</f>
        <v/>
      </c>
      <c r="D250" s="7">
        <f>'1 datos preparados'!C243</f>
        <v/>
      </c>
      <c r="E250" s="7">
        <f>'1 datos preparados'!D243</f>
        <v/>
      </c>
      <c r="F250" s="7">
        <f>'1 datos preparados'!E243</f>
        <v/>
      </c>
      <c r="G250" s="7">
        <f>'1 datos preparados'!F243</f>
        <v/>
      </c>
      <c r="H250" s="7">
        <f>'1 datos preparados'!G243</f>
        <v/>
      </c>
      <c r="I250" s="7">
        <f>'1 datos preparados'!H243</f>
        <v/>
      </c>
      <c r="J250" s="7">
        <f>'1 datos preparados'!I243</f>
        <v/>
      </c>
      <c r="K250" s="7">
        <f>'1 datos preparados'!J243</f>
        <v/>
      </c>
      <c r="L250" s="7">
        <f>'1 datos preparados'!K243</f>
        <v/>
      </c>
      <c r="M250" s="7">
        <f>'1 datos preparados'!L243</f>
        <v/>
      </c>
      <c r="N250" s="7">
        <f>'1 datos preparados'!M243</f>
        <v/>
      </c>
      <c r="O250" s="7">
        <f>'1 datos preparados'!N243</f>
        <v/>
      </c>
      <c r="P250" s="7">
        <f>'1 datos preparados'!O243</f>
        <v/>
      </c>
      <c r="Q250" s="7">
        <f>'1 datos preparados'!P243</f>
        <v/>
      </c>
      <c r="R250" s="7">
        <f>'1 datos preparados'!Q243</f>
        <v/>
      </c>
      <c r="S250" s="7">
        <f>'1 datos preparados'!R243</f>
        <v/>
      </c>
      <c r="T250" s="7">
        <f>'1 datos preparados'!S243</f>
        <v/>
      </c>
      <c r="U250" s="7">
        <f>'1 datos preparados'!T243</f>
        <v/>
      </c>
      <c r="V250" s="8">
        <f>$AC$12+D250*$AC$13+E250*$AC$14+F250*$AC$15+G250*$AC$16+H250*$AC$17+I250*$AC$18+J250*$AC$19+K250*$AC$20+L250*$AC$21+M250*$AC$22+N250*$AC$23+O250*$AC$24+P250*$AC$25+Q250*$AC$26+R250*$AC$27+S250*$AC$28+T250*$AC$29+U250*$AC$30</f>
        <v/>
      </c>
      <c r="W250" s="8">
        <f>1/(1+EXP(-V250))</f>
        <v/>
      </c>
      <c r="X250" s="9">
        <f>-IF(C250=1,LN(W250),LN(1-W250))</f>
        <v/>
      </c>
      <c r="Y250" s="10">
        <f>IF(W250&gt;$AC$33,1,0)</f>
        <v/>
      </c>
      <c r="Z250">
        <f>IF(Y250=C250,1,0)</f>
        <v/>
      </c>
    </row>
    <row r="251">
      <c r="A251">
        <f>'1 datos preparados'!A244</f>
        <v/>
      </c>
      <c r="B251" s="5">
        <f>'1 datos preparados'!U244</f>
        <v/>
      </c>
      <c r="C251">
        <f>'1 datos preparados'!B244</f>
        <v/>
      </c>
      <c r="D251" s="7">
        <f>'1 datos preparados'!C244</f>
        <v/>
      </c>
      <c r="E251" s="7">
        <f>'1 datos preparados'!D244</f>
        <v/>
      </c>
      <c r="F251" s="7">
        <f>'1 datos preparados'!E244</f>
        <v/>
      </c>
      <c r="G251" s="7">
        <f>'1 datos preparados'!F244</f>
        <v/>
      </c>
      <c r="H251" s="7">
        <f>'1 datos preparados'!G244</f>
        <v/>
      </c>
      <c r="I251" s="7">
        <f>'1 datos preparados'!H244</f>
        <v/>
      </c>
      <c r="J251" s="7">
        <f>'1 datos preparados'!I244</f>
        <v/>
      </c>
      <c r="K251" s="7">
        <f>'1 datos preparados'!J244</f>
        <v/>
      </c>
      <c r="L251" s="7">
        <f>'1 datos preparados'!K244</f>
        <v/>
      </c>
      <c r="M251" s="7">
        <f>'1 datos preparados'!L244</f>
        <v/>
      </c>
      <c r="N251" s="7">
        <f>'1 datos preparados'!M244</f>
        <v/>
      </c>
      <c r="O251" s="7">
        <f>'1 datos preparados'!N244</f>
        <v/>
      </c>
      <c r="P251" s="7">
        <f>'1 datos preparados'!O244</f>
        <v/>
      </c>
      <c r="Q251" s="7">
        <f>'1 datos preparados'!P244</f>
        <v/>
      </c>
      <c r="R251" s="7">
        <f>'1 datos preparados'!Q244</f>
        <v/>
      </c>
      <c r="S251" s="7">
        <f>'1 datos preparados'!R244</f>
        <v/>
      </c>
      <c r="T251" s="7">
        <f>'1 datos preparados'!S244</f>
        <v/>
      </c>
      <c r="U251" s="7">
        <f>'1 datos preparados'!T244</f>
        <v/>
      </c>
      <c r="V251" s="8">
        <f>$AC$12+D251*$AC$13+E251*$AC$14+F251*$AC$15+G251*$AC$16+H251*$AC$17+I251*$AC$18+J251*$AC$19+K251*$AC$20+L251*$AC$21+M251*$AC$22+N251*$AC$23+O251*$AC$24+P251*$AC$25+Q251*$AC$26+R251*$AC$27+S251*$AC$28+T251*$AC$29+U251*$AC$30</f>
        <v/>
      </c>
      <c r="W251" s="8">
        <f>1/(1+EXP(-V251))</f>
        <v/>
      </c>
      <c r="X251" s="9">
        <f>-IF(C251=1,LN(W251),LN(1-W251))</f>
        <v/>
      </c>
      <c r="Y251" s="10">
        <f>IF(W251&gt;$AC$33,1,0)</f>
        <v/>
      </c>
      <c r="Z251">
        <f>IF(Y251=C251,1,0)</f>
        <v/>
      </c>
    </row>
    <row r="252">
      <c r="A252">
        <f>'1 datos preparados'!A245</f>
        <v/>
      </c>
      <c r="B252" s="5">
        <f>'1 datos preparados'!U245</f>
        <v/>
      </c>
      <c r="C252">
        <f>'1 datos preparados'!B245</f>
        <v/>
      </c>
      <c r="D252" s="7">
        <f>'1 datos preparados'!C245</f>
        <v/>
      </c>
      <c r="E252" s="7">
        <f>'1 datos preparados'!D245</f>
        <v/>
      </c>
      <c r="F252" s="7">
        <f>'1 datos preparados'!E245</f>
        <v/>
      </c>
      <c r="G252" s="7">
        <f>'1 datos preparados'!F245</f>
        <v/>
      </c>
      <c r="H252" s="7">
        <f>'1 datos preparados'!G245</f>
        <v/>
      </c>
      <c r="I252" s="7">
        <f>'1 datos preparados'!H245</f>
        <v/>
      </c>
      <c r="J252" s="7">
        <f>'1 datos preparados'!I245</f>
        <v/>
      </c>
      <c r="K252" s="7">
        <f>'1 datos preparados'!J245</f>
        <v/>
      </c>
      <c r="L252" s="7">
        <f>'1 datos preparados'!K245</f>
        <v/>
      </c>
      <c r="M252" s="7">
        <f>'1 datos preparados'!L245</f>
        <v/>
      </c>
      <c r="N252" s="7">
        <f>'1 datos preparados'!M245</f>
        <v/>
      </c>
      <c r="O252" s="7">
        <f>'1 datos preparados'!N245</f>
        <v/>
      </c>
      <c r="P252" s="7">
        <f>'1 datos preparados'!O245</f>
        <v/>
      </c>
      <c r="Q252" s="7">
        <f>'1 datos preparados'!P245</f>
        <v/>
      </c>
      <c r="R252" s="7">
        <f>'1 datos preparados'!Q245</f>
        <v/>
      </c>
      <c r="S252" s="7">
        <f>'1 datos preparados'!R245</f>
        <v/>
      </c>
      <c r="T252" s="7">
        <f>'1 datos preparados'!S245</f>
        <v/>
      </c>
      <c r="U252" s="7">
        <f>'1 datos preparados'!T245</f>
        <v/>
      </c>
      <c r="V252" s="8">
        <f>$AC$12+D252*$AC$13+E252*$AC$14+F252*$AC$15+G252*$AC$16+H252*$AC$17+I252*$AC$18+J252*$AC$19+K252*$AC$20+L252*$AC$21+M252*$AC$22+N252*$AC$23+O252*$AC$24+P252*$AC$25+Q252*$AC$26+R252*$AC$27+S252*$AC$28+T252*$AC$29+U252*$AC$30</f>
        <v/>
      </c>
      <c r="W252" s="8">
        <f>1/(1+EXP(-V252))</f>
        <v/>
      </c>
      <c r="X252" s="9">
        <f>-IF(C252=1,LN(W252),LN(1-W252))</f>
        <v/>
      </c>
      <c r="Y252" s="10">
        <f>IF(W252&gt;$AC$33,1,0)</f>
        <v/>
      </c>
      <c r="Z252">
        <f>IF(Y252=C252,1,0)</f>
        <v/>
      </c>
    </row>
    <row r="253">
      <c r="A253">
        <f>'1 datos preparados'!A246</f>
        <v/>
      </c>
      <c r="B253" s="5">
        <f>'1 datos preparados'!U246</f>
        <v/>
      </c>
      <c r="C253">
        <f>'1 datos preparados'!B246</f>
        <v/>
      </c>
      <c r="D253" s="7">
        <f>'1 datos preparados'!C246</f>
        <v/>
      </c>
      <c r="E253" s="7">
        <f>'1 datos preparados'!D246</f>
        <v/>
      </c>
      <c r="F253" s="7">
        <f>'1 datos preparados'!E246</f>
        <v/>
      </c>
      <c r="G253" s="7">
        <f>'1 datos preparados'!F246</f>
        <v/>
      </c>
      <c r="H253" s="7">
        <f>'1 datos preparados'!G246</f>
        <v/>
      </c>
      <c r="I253" s="7">
        <f>'1 datos preparados'!H246</f>
        <v/>
      </c>
      <c r="J253" s="7">
        <f>'1 datos preparados'!I246</f>
        <v/>
      </c>
      <c r="K253" s="7">
        <f>'1 datos preparados'!J246</f>
        <v/>
      </c>
      <c r="L253" s="7">
        <f>'1 datos preparados'!K246</f>
        <v/>
      </c>
      <c r="M253" s="7">
        <f>'1 datos preparados'!L246</f>
        <v/>
      </c>
      <c r="N253" s="7">
        <f>'1 datos preparados'!M246</f>
        <v/>
      </c>
      <c r="O253" s="7">
        <f>'1 datos preparados'!N246</f>
        <v/>
      </c>
      <c r="P253" s="7">
        <f>'1 datos preparados'!O246</f>
        <v/>
      </c>
      <c r="Q253" s="7">
        <f>'1 datos preparados'!P246</f>
        <v/>
      </c>
      <c r="R253" s="7">
        <f>'1 datos preparados'!Q246</f>
        <v/>
      </c>
      <c r="S253" s="7">
        <f>'1 datos preparados'!R246</f>
        <v/>
      </c>
      <c r="T253" s="7">
        <f>'1 datos preparados'!S246</f>
        <v/>
      </c>
      <c r="U253" s="7">
        <f>'1 datos preparados'!T246</f>
        <v/>
      </c>
      <c r="V253" s="8">
        <f>$AC$12+D253*$AC$13+E253*$AC$14+F253*$AC$15+G253*$AC$16+H253*$AC$17+I253*$AC$18+J253*$AC$19+K253*$AC$20+L253*$AC$21+M253*$AC$22+N253*$AC$23+O253*$AC$24+P253*$AC$25+Q253*$AC$26+R253*$AC$27+S253*$AC$28+T253*$AC$29+U253*$AC$30</f>
        <v/>
      </c>
      <c r="W253" s="8">
        <f>1/(1+EXP(-V253))</f>
        <v/>
      </c>
      <c r="X253" s="9">
        <f>-IF(C253=1,LN(W253),LN(1-W253))</f>
        <v/>
      </c>
      <c r="Y253" s="10">
        <f>IF(W253&gt;$AC$33,1,0)</f>
        <v/>
      </c>
      <c r="Z253">
        <f>IF(Y253=C253,1,0)</f>
        <v/>
      </c>
    </row>
    <row r="254">
      <c r="A254">
        <f>'1 datos preparados'!A247</f>
        <v/>
      </c>
      <c r="B254" s="5">
        <f>'1 datos preparados'!U247</f>
        <v/>
      </c>
      <c r="C254">
        <f>'1 datos preparados'!B247</f>
        <v/>
      </c>
      <c r="D254" s="7">
        <f>'1 datos preparados'!C247</f>
        <v/>
      </c>
      <c r="E254" s="7">
        <f>'1 datos preparados'!D247</f>
        <v/>
      </c>
      <c r="F254" s="7">
        <f>'1 datos preparados'!E247</f>
        <v/>
      </c>
      <c r="G254" s="7">
        <f>'1 datos preparados'!F247</f>
        <v/>
      </c>
      <c r="H254" s="7">
        <f>'1 datos preparados'!G247</f>
        <v/>
      </c>
      <c r="I254" s="7">
        <f>'1 datos preparados'!H247</f>
        <v/>
      </c>
      <c r="J254" s="7">
        <f>'1 datos preparados'!I247</f>
        <v/>
      </c>
      <c r="K254" s="7">
        <f>'1 datos preparados'!J247</f>
        <v/>
      </c>
      <c r="L254" s="7">
        <f>'1 datos preparados'!K247</f>
        <v/>
      </c>
      <c r="M254" s="7">
        <f>'1 datos preparados'!L247</f>
        <v/>
      </c>
      <c r="N254" s="7">
        <f>'1 datos preparados'!M247</f>
        <v/>
      </c>
      <c r="O254" s="7">
        <f>'1 datos preparados'!N247</f>
        <v/>
      </c>
      <c r="P254" s="7">
        <f>'1 datos preparados'!O247</f>
        <v/>
      </c>
      <c r="Q254" s="7">
        <f>'1 datos preparados'!P247</f>
        <v/>
      </c>
      <c r="R254" s="7">
        <f>'1 datos preparados'!Q247</f>
        <v/>
      </c>
      <c r="S254" s="7">
        <f>'1 datos preparados'!R247</f>
        <v/>
      </c>
      <c r="T254" s="7">
        <f>'1 datos preparados'!S247</f>
        <v/>
      </c>
      <c r="U254" s="7">
        <f>'1 datos preparados'!T247</f>
        <v/>
      </c>
      <c r="V254" s="8">
        <f>$AC$12+D254*$AC$13+E254*$AC$14+F254*$AC$15+G254*$AC$16+H254*$AC$17+I254*$AC$18+J254*$AC$19+K254*$AC$20+L254*$AC$21+M254*$AC$22+N254*$AC$23+O254*$AC$24+P254*$AC$25+Q254*$AC$26+R254*$AC$27+S254*$AC$28+T254*$AC$29+U254*$AC$30</f>
        <v/>
      </c>
      <c r="W254" s="8">
        <f>1/(1+EXP(-V254))</f>
        <v/>
      </c>
      <c r="X254" s="9">
        <f>-IF(C254=1,LN(W254),LN(1-W254))</f>
        <v/>
      </c>
      <c r="Y254" s="10">
        <f>IF(W254&gt;$AC$33,1,0)</f>
        <v/>
      </c>
      <c r="Z254">
        <f>IF(Y254=C254,1,0)</f>
        <v/>
      </c>
    </row>
    <row r="255">
      <c r="A255">
        <f>'1 datos preparados'!A248</f>
        <v/>
      </c>
      <c r="B255" s="5">
        <f>'1 datos preparados'!U248</f>
        <v/>
      </c>
      <c r="C255">
        <f>'1 datos preparados'!B248</f>
        <v/>
      </c>
      <c r="D255" s="7">
        <f>'1 datos preparados'!C248</f>
        <v/>
      </c>
      <c r="E255" s="7">
        <f>'1 datos preparados'!D248</f>
        <v/>
      </c>
      <c r="F255" s="7">
        <f>'1 datos preparados'!E248</f>
        <v/>
      </c>
      <c r="G255" s="7">
        <f>'1 datos preparados'!F248</f>
        <v/>
      </c>
      <c r="H255" s="7">
        <f>'1 datos preparados'!G248</f>
        <v/>
      </c>
      <c r="I255" s="7">
        <f>'1 datos preparados'!H248</f>
        <v/>
      </c>
      <c r="J255" s="7">
        <f>'1 datos preparados'!I248</f>
        <v/>
      </c>
      <c r="K255" s="7">
        <f>'1 datos preparados'!J248</f>
        <v/>
      </c>
      <c r="L255" s="7">
        <f>'1 datos preparados'!K248</f>
        <v/>
      </c>
      <c r="M255" s="7">
        <f>'1 datos preparados'!L248</f>
        <v/>
      </c>
      <c r="N255" s="7">
        <f>'1 datos preparados'!M248</f>
        <v/>
      </c>
      <c r="O255" s="7">
        <f>'1 datos preparados'!N248</f>
        <v/>
      </c>
      <c r="P255" s="7">
        <f>'1 datos preparados'!O248</f>
        <v/>
      </c>
      <c r="Q255" s="7">
        <f>'1 datos preparados'!P248</f>
        <v/>
      </c>
      <c r="R255" s="7">
        <f>'1 datos preparados'!Q248</f>
        <v/>
      </c>
      <c r="S255" s="7">
        <f>'1 datos preparados'!R248</f>
        <v/>
      </c>
      <c r="T255" s="7">
        <f>'1 datos preparados'!S248</f>
        <v/>
      </c>
      <c r="U255" s="7">
        <f>'1 datos preparados'!T248</f>
        <v/>
      </c>
      <c r="V255" s="8">
        <f>$AC$12+D255*$AC$13+E255*$AC$14+F255*$AC$15+G255*$AC$16+H255*$AC$17+I255*$AC$18+J255*$AC$19+K255*$AC$20+L255*$AC$21+M255*$AC$22+N255*$AC$23+O255*$AC$24+P255*$AC$25+Q255*$AC$26+R255*$AC$27+S255*$AC$28+T255*$AC$29+U255*$AC$30</f>
        <v/>
      </c>
      <c r="W255" s="8">
        <f>1/(1+EXP(-V255))</f>
        <v/>
      </c>
      <c r="X255" s="9">
        <f>-IF(C255=1,LN(W255),LN(1-W255))</f>
        <v/>
      </c>
      <c r="Y255" s="10">
        <f>IF(W255&gt;$AC$33,1,0)</f>
        <v/>
      </c>
      <c r="Z255">
        <f>IF(Y255=C255,1,0)</f>
        <v/>
      </c>
    </row>
    <row r="256">
      <c r="A256">
        <f>'1 datos preparados'!A249</f>
        <v/>
      </c>
      <c r="B256" s="5">
        <f>'1 datos preparados'!U249</f>
        <v/>
      </c>
      <c r="C256">
        <f>'1 datos preparados'!B249</f>
        <v/>
      </c>
      <c r="D256" s="7">
        <f>'1 datos preparados'!C249</f>
        <v/>
      </c>
      <c r="E256" s="7">
        <f>'1 datos preparados'!D249</f>
        <v/>
      </c>
      <c r="F256" s="7">
        <f>'1 datos preparados'!E249</f>
        <v/>
      </c>
      <c r="G256" s="7">
        <f>'1 datos preparados'!F249</f>
        <v/>
      </c>
      <c r="H256" s="7">
        <f>'1 datos preparados'!G249</f>
        <v/>
      </c>
      <c r="I256" s="7">
        <f>'1 datos preparados'!H249</f>
        <v/>
      </c>
      <c r="J256" s="7">
        <f>'1 datos preparados'!I249</f>
        <v/>
      </c>
      <c r="K256" s="7">
        <f>'1 datos preparados'!J249</f>
        <v/>
      </c>
      <c r="L256" s="7">
        <f>'1 datos preparados'!K249</f>
        <v/>
      </c>
      <c r="M256" s="7">
        <f>'1 datos preparados'!L249</f>
        <v/>
      </c>
      <c r="N256" s="7">
        <f>'1 datos preparados'!M249</f>
        <v/>
      </c>
      <c r="O256" s="7">
        <f>'1 datos preparados'!N249</f>
        <v/>
      </c>
      <c r="P256" s="7">
        <f>'1 datos preparados'!O249</f>
        <v/>
      </c>
      <c r="Q256" s="7">
        <f>'1 datos preparados'!P249</f>
        <v/>
      </c>
      <c r="R256" s="7">
        <f>'1 datos preparados'!Q249</f>
        <v/>
      </c>
      <c r="S256" s="7">
        <f>'1 datos preparados'!R249</f>
        <v/>
      </c>
      <c r="T256" s="7">
        <f>'1 datos preparados'!S249</f>
        <v/>
      </c>
      <c r="U256" s="7">
        <f>'1 datos preparados'!T249</f>
        <v/>
      </c>
      <c r="V256" s="8">
        <f>$AC$12+D256*$AC$13+E256*$AC$14+F256*$AC$15+G256*$AC$16+H256*$AC$17+I256*$AC$18+J256*$AC$19+K256*$AC$20+L256*$AC$21+M256*$AC$22+N256*$AC$23+O256*$AC$24+P256*$AC$25+Q256*$AC$26+R256*$AC$27+S256*$AC$28+T256*$AC$29+U256*$AC$30</f>
        <v/>
      </c>
      <c r="W256" s="8">
        <f>1/(1+EXP(-V256))</f>
        <v/>
      </c>
      <c r="X256" s="9">
        <f>-IF(C256=1,LN(W256),LN(1-W256))</f>
        <v/>
      </c>
      <c r="Y256" s="10">
        <f>IF(W256&gt;$AC$33,1,0)</f>
        <v/>
      </c>
      <c r="Z256">
        <f>IF(Y256=C256,1,0)</f>
        <v/>
      </c>
    </row>
    <row r="257">
      <c r="A257">
        <f>'1 datos preparados'!A250</f>
        <v/>
      </c>
      <c r="B257" s="5">
        <f>'1 datos preparados'!U250</f>
        <v/>
      </c>
      <c r="C257">
        <f>'1 datos preparados'!B250</f>
        <v/>
      </c>
      <c r="D257" s="7">
        <f>'1 datos preparados'!C250</f>
        <v/>
      </c>
      <c r="E257" s="7">
        <f>'1 datos preparados'!D250</f>
        <v/>
      </c>
      <c r="F257" s="7">
        <f>'1 datos preparados'!E250</f>
        <v/>
      </c>
      <c r="G257" s="7">
        <f>'1 datos preparados'!F250</f>
        <v/>
      </c>
      <c r="H257" s="7">
        <f>'1 datos preparados'!G250</f>
        <v/>
      </c>
      <c r="I257" s="7">
        <f>'1 datos preparados'!H250</f>
        <v/>
      </c>
      <c r="J257" s="7">
        <f>'1 datos preparados'!I250</f>
        <v/>
      </c>
      <c r="K257" s="7">
        <f>'1 datos preparados'!J250</f>
        <v/>
      </c>
      <c r="L257" s="7">
        <f>'1 datos preparados'!K250</f>
        <v/>
      </c>
      <c r="M257" s="7">
        <f>'1 datos preparados'!L250</f>
        <v/>
      </c>
      <c r="N257" s="7">
        <f>'1 datos preparados'!M250</f>
        <v/>
      </c>
      <c r="O257" s="7">
        <f>'1 datos preparados'!N250</f>
        <v/>
      </c>
      <c r="P257" s="7">
        <f>'1 datos preparados'!O250</f>
        <v/>
      </c>
      <c r="Q257" s="7">
        <f>'1 datos preparados'!P250</f>
        <v/>
      </c>
      <c r="R257" s="7">
        <f>'1 datos preparados'!Q250</f>
        <v/>
      </c>
      <c r="S257" s="7">
        <f>'1 datos preparados'!R250</f>
        <v/>
      </c>
      <c r="T257" s="7">
        <f>'1 datos preparados'!S250</f>
        <v/>
      </c>
      <c r="U257" s="7">
        <f>'1 datos preparados'!T250</f>
        <v/>
      </c>
      <c r="V257" s="8">
        <f>$AC$12+D257*$AC$13+E257*$AC$14+F257*$AC$15+G257*$AC$16+H257*$AC$17+I257*$AC$18+J257*$AC$19+K257*$AC$20+L257*$AC$21+M257*$AC$22+N257*$AC$23+O257*$AC$24+P257*$AC$25+Q257*$AC$26+R257*$AC$27+S257*$AC$28+T257*$AC$29+U257*$AC$30</f>
        <v/>
      </c>
      <c r="W257" s="8">
        <f>1/(1+EXP(-V257))</f>
        <v/>
      </c>
      <c r="X257" s="9">
        <f>-IF(C257=1,LN(W257),LN(1-W257))</f>
        <v/>
      </c>
      <c r="Y257" s="10">
        <f>IF(W257&gt;$AC$33,1,0)</f>
        <v/>
      </c>
      <c r="Z257">
        <f>IF(Y257=C257,1,0)</f>
        <v/>
      </c>
    </row>
    <row r="258">
      <c r="A258">
        <f>'1 datos preparados'!A251</f>
        <v/>
      </c>
      <c r="B258" s="5">
        <f>'1 datos preparados'!U251</f>
        <v/>
      </c>
      <c r="C258">
        <f>'1 datos preparados'!B251</f>
        <v/>
      </c>
      <c r="D258" s="7">
        <f>'1 datos preparados'!C251</f>
        <v/>
      </c>
      <c r="E258" s="7">
        <f>'1 datos preparados'!D251</f>
        <v/>
      </c>
      <c r="F258" s="7">
        <f>'1 datos preparados'!E251</f>
        <v/>
      </c>
      <c r="G258" s="7">
        <f>'1 datos preparados'!F251</f>
        <v/>
      </c>
      <c r="H258" s="7">
        <f>'1 datos preparados'!G251</f>
        <v/>
      </c>
      <c r="I258" s="7">
        <f>'1 datos preparados'!H251</f>
        <v/>
      </c>
      <c r="J258" s="7">
        <f>'1 datos preparados'!I251</f>
        <v/>
      </c>
      <c r="K258" s="7">
        <f>'1 datos preparados'!J251</f>
        <v/>
      </c>
      <c r="L258" s="7">
        <f>'1 datos preparados'!K251</f>
        <v/>
      </c>
      <c r="M258" s="7">
        <f>'1 datos preparados'!L251</f>
        <v/>
      </c>
      <c r="N258" s="7">
        <f>'1 datos preparados'!M251</f>
        <v/>
      </c>
      <c r="O258" s="7">
        <f>'1 datos preparados'!N251</f>
        <v/>
      </c>
      <c r="P258" s="7">
        <f>'1 datos preparados'!O251</f>
        <v/>
      </c>
      <c r="Q258" s="7">
        <f>'1 datos preparados'!P251</f>
        <v/>
      </c>
      <c r="R258" s="7">
        <f>'1 datos preparados'!Q251</f>
        <v/>
      </c>
      <c r="S258" s="7">
        <f>'1 datos preparados'!R251</f>
        <v/>
      </c>
      <c r="T258" s="7">
        <f>'1 datos preparados'!S251</f>
        <v/>
      </c>
      <c r="U258" s="7">
        <f>'1 datos preparados'!T251</f>
        <v/>
      </c>
      <c r="V258" s="8">
        <f>$AC$12+D258*$AC$13+E258*$AC$14+F258*$AC$15+G258*$AC$16+H258*$AC$17+I258*$AC$18+J258*$AC$19+K258*$AC$20+L258*$AC$21+M258*$AC$22+N258*$AC$23+O258*$AC$24+P258*$AC$25+Q258*$AC$26+R258*$AC$27+S258*$AC$28+T258*$AC$29+U258*$AC$30</f>
        <v/>
      </c>
      <c r="W258" s="8">
        <f>1/(1+EXP(-V258))</f>
        <v/>
      </c>
      <c r="X258" s="9">
        <f>-IF(C258=1,LN(W258),LN(1-W258))</f>
        <v/>
      </c>
      <c r="Y258" s="10">
        <f>IF(W258&gt;$AC$33,1,0)</f>
        <v/>
      </c>
      <c r="Z258">
        <f>IF(Y258=C258,1,0)</f>
        <v/>
      </c>
    </row>
    <row r="259">
      <c r="A259">
        <f>'1 datos preparados'!A252</f>
        <v/>
      </c>
      <c r="B259" s="5">
        <f>'1 datos preparados'!U252</f>
        <v/>
      </c>
      <c r="C259">
        <f>'1 datos preparados'!B252</f>
        <v/>
      </c>
      <c r="D259" s="7">
        <f>'1 datos preparados'!C252</f>
        <v/>
      </c>
      <c r="E259" s="7">
        <f>'1 datos preparados'!D252</f>
        <v/>
      </c>
      <c r="F259" s="7">
        <f>'1 datos preparados'!E252</f>
        <v/>
      </c>
      <c r="G259" s="7">
        <f>'1 datos preparados'!F252</f>
        <v/>
      </c>
      <c r="H259" s="7">
        <f>'1 datos preparados'!G252</f>
        <v/>
      </c>
      <c r="I259" s="7">
        <f>'1 datos preparados'!H252</f>
        <v/>
      </c>
      <c r="J259" s="7">
        <f>'1 datos preparados'!I252</f>
        <v/>
      </c>
      <c r="K259" s="7">
        <f>'1 datos preparados'!J252</f>
        <v/>
      </c>
      <c r="L259" s="7">
        <f>'1 datos preparados'!K252</f>
        <v/>
      </c>
      <c r="M259" s="7">
        <f>'1 datos preparados'!L252</f>
        <v/>
      </c>
      <c r="N259" s="7">
        <f>'1 datos preparados'!M252</f>
        <v/>
      </c>
      <c r="O259" s="7">
        <f>'1 datos preparados'!N252</f>
        <v/>
      </c>
      <c r="P259" s="7">
        <f>'1 datos preparados'!O252</f>
        <v/>
      </c>
      <c r="Q259" s="7">
        <f>'1 datos preparados'!P252</f>
        <v/>
      </c>
      <c r="R259" s="7">
        <f>'1 datos preparados'!Q252</f>
        <v/>
      </c>
      <c r="S259" s="7">
        <f>'1 datos preparados'!R252</f>
        <v/>
      </c>
      <c r="T259" s="7">
        <f>'1 datos preparados'!S252</f>
        <v/>
      </c>
      <c r="U259" s="7">
        <f>'1 datos preparados'!T252</f>
        <v/>
      </c>
      <c r="V259" s="8">
        <f>$AC$12+D259*$AC$13+E259*$AC$14+F259*$AC$15+G259*$AC$16+H259*$AC$17+I259*$AC$18+J259*$AC$19+K259*$AC$20+L259*$AC$21+M259*$AC$22+N259*$AC$23+O259*$AC$24+P259*$AC$25+Q259*$AC$26+R259*$AC$27+S259*$AC$28+T259*$AC$29+U259*$AC$30</f>
        <v/>
      </c>
      <c r="W259" s="8">
        <f>1/(1+EXP(-V259))</f>
        <v/>
      </c>
      <c r="X259" s="9">
        <f>-IF(C259=1,LN(W259),LN(1-W259))</f>
        <v/>
      </c>
      <c r="Y259" s="10">
        <f>IF(W259&gt;$AC$33,1,0)</f>
        <v/>
      </c>
      <c r="Z259">
        <f>IF(Y259=C259,1,0)</f>
        <v/>
      </c>
    </row>
    <row r="260">
      <c r="A260">
        <f>'1 datos preparados'!A253</f>
        <v/>
      </c>
      <c r="B260" s="5">
        <f>'1 datos preparados'!U253</f>
        <v/>
      </c>
      <c r="C260">
        <f>'1 datos preparados'!B253</f>
        <v/>
      </c>
      <c r="D260" s="7">
        <f>'1 datos preparados'!C253</f>
        <v/>
      </c>
      <c r="E260" s="7">
        <f>'1 datos preparados'!D253</f>
        <v/>
      </c>
      <c r="F260" s="7">
        <f>'1 datos preparados'!E253</f>
        <v/>
      </c>
      <c r="G260" s="7">
        <f>'1 datos preparados'!F253</f>
        <v/>
      </c>
      <c r="H260" s="7">
        <f>'1 datos preparados'!G253</f>
        <v/>
      </c>
      <c r="I260" s="7">
        <f>'1 datos preparados'!H253</f>
        <v/>
      </c>
      <c r="J260" s="7">
        <f>'1 datos preparados'!I253</f>
        <v/>
      </c>
      <c r="K260" s="7">
        <f>'1 datos preparados'!J253</f>
        <v/>
      </c>
      <c r="L260" s="7">
        <f>'1 datos preparados'!K253</f>
        <v/>
      </c>
      <c r="M260" s="7">
        <f>'1 datos preparados'!L253</f>
        <v/>
      </c>
      <c r="N260" s="7">
        <f>'1 datos preparados'!M253</f>
        <v/>
      </c>
      <c r="O260" s="7">
        <f>'1 datos preparados'!N253</f>
        <v/>
      </c>
      <c r="P260" s="7">
        <f>'1 datos preparados'!O253</f>
        <v/>
      </c>
      <c r="Q260" s="7">
        <f>'1 datos preparados'!P253</f>
        <v/>
      </c>
      <c r="R260" s="7">
        <f>'1 datos preparados'!Q253</f>
        <v/>
      </c>
      <c r="S260" s="7">
        <f>'1 datos preparados'!R253</f>
        <v/>
      </c>
      <c r="T260" s="7">
        <f>'1 datos preparados'!S253</f>
        <v/>
      </c>
      <c r="U260" s="7">
        <f>'1 datos preparados'!T253</f>
        <v/>
      </c>
      <c r="V260" s="8">
        <f>$AC$12+D260*$AC$13+E260*$AC$14+F260*$AC$15+G260*$AC$16+H260*$AC$17+I260*$AC$18+J260*$AC$19+K260*$AC$20+L260*$AC$21+M260*$AC$22+N260*$AC$23+O260*$AC$24+P260*$AC$25+Q260*$AC$26+R260*$AC$27+S260*$AC$28+T260*$AC$29+U260*$AC$30</f>
        <v/>
      </c>
      <c r="W260" s="8">
        <f>1/(1+EXP(-V260))</f>
        <v/>
      </c>
      <c r="X260" s="9">
        <f>-IF(C260=1,LN(W260),LN(1-W260))</f>
        <v/>
      </c>
      <c r="Y260" s="10">
        <f>IF(W260&gt;$AC$33,1,0)</f>
        <v/>
      </c>
      <c r="Z260">
        <f>IF(Y260=C260,1,0)</f>
        <v/>
      </c>
    </row>
    <row r="261">
      <c r="A261">
        <f>'1 datos preparados'!A254</f>
        <v/>
      </c>
      <c r="B261" s="5">
        <f>'1 datos preparados'!U254</f>
        <v/>
      </c>
      <c r="C261">
        <f>'1 datos preparados'!B254</f>
        <v/>
      </c>
      <c r="D261" s="7">
        <f>'1 datos preparados'!C254</f>
        <v/>
      </c>
      <c r="E261" s="7">
        <f>'1 datos preparados'!D254</f>
        <v/>
      </c>
      <c r="F261" s="7">
        <f>'1 datos preparados'!E254</f>
        <v/>
      </c>
      <c r="G261" s="7">
        <f>'1 datos preparados'!F254</f>
        <v/>
      </c>
      <c r="H261" s="7">
        <f>'1 datos preparados'!G254</f>
        <v/>
      </c>
      <c r="I261" s="7">
        <f>'1 datos preparados'!H254</f>
        <v/>
      </c>
      <c r="J261" s="7">
        <f>'1 datos preparados'!I254</f>
        <v/>
      </c>
      <c r="K261" s="7">
        <f>'1 datos preparados'!J254</f>
        <v/>
      </c>
      <c r="L261" s="7">
        <f>'1 datos preparados'!K254</f>
        <v/>
      </c>
      <c r="M261" s="7">
        <f>'1 datos preparados'!L254</f>
        <v/>
      </c>
      <c r="N261" s="7">
        <f>'1 datos preparados'!M254</f>
        <v/>
      </c>
      <c r="O261" s="7">
        <f>'1 datos preparados'!N254</f>
        <v/>
      </c>
      <c r="P261" s="7">
        <f>'1 datos preparados'!O254</f>
        <v/>
      </c>
      <c r="Q261" s="7">
        <f>'1 datos preparados'!P254</f>
        <v/>
      </c>
      <c r="R261" s="7">
        <f>'1 datos preparados'!Q254</f>
        <v/>
      </c>
      <c r="S261" s="7">
        <f>'1 datos preparados'!R254</f>
        <v/>
      </c>
      <c r="T261" s="7">
        <f>'1 datos preparados'!S254</f>
        <v/>
      </c>
      <c r="U261" s="7">
        <f>'1 datos preparados'!T254</f>
        <v/>
      </c>
      <c r="V261" s="8">
        <f>$AC$12+D261*$AC$13+E261*$AC$14+F261*$AC$15+G261*$AC$16+H261*$AC$17+I261*$AC$18+J261*$AC$19+K261*$AC$20+L261*$AC$21+M261*$AC$22+N261*$AC$23+O261*$AC$24+P261*$AC$25+Q261*$AC$26+R261*$AC$27+S261*$AC$28+T261*$AC$29+U261*$AC$30</f>
        <v/>
      </c>
      <c r="W261" s="8">
        <f>1/(1+EXP(-V261))</f>
        <v/>
      </c>
      <c r="X261" s="9">
        <f>-IF(C261=1,LN(W261),LN(1-W261))</f>
        <v/>
      </c>
      <c r="Y261" s="10">
        <f>IF(W261&gt;$AC$33,1,0)</f>
        <v/>
      </c>
      <c r="Z261">
        <f>IF(Y261=C261,1,0)</f>
        <v/>
      </c>
    </row>
    <row r="262">
      <c r="A262">
        <f>'1 datos preparados'!A255</f>
        <v/>
      </c>
      <c r="B262" s="5">
        <f>'1 datos preparados'!U255</f>
        <v/>
      </c>
      <c r="C262">
        <f>'1 datos preparados'!B255</f>
        <v/>
      </c>
      <c r="D262" s="7">
        <f>'1 datos preparados'!C255</f>
        <v/>
      </c>
      <c r="E262" s="7">
        <f>'1 datos preparados'!D255</f>
        <v/>
      </c>
      <c r="F262" s="7">
        <f>'1 datos preparados'!E255</f>
        <v/>
      </c>
      <c r="G262" s="7">
        <f>'1 datos preparados'!F255</f>
        <v/>
      </c>
      <c r="H262" s="7">
        <f>'1 datos preparados'!G255</f>
        <v/>
      </c>
      <c r="I262" s="7">
        <f>'1 datos preparados'!H255</f>
        <v/>
      </c>
      <c r="J262" s="7">
        <f>'1 datos preparados'!I255</f>
        <v/>
      </c>
      <c r="K262" s="7">
        <f>'1 datos preparados'!J255</f>
        <v/>
      </c>
      <c r="L262" s="7">
        <f>'1 datos preparados'!K255</f>
        <v/>
      </c>
      <c r="M262" s="7">
        <f>'1 datos preparados'!L255</f>
        <v/>
      </c>
      <c r="N262" s="7">
        <f>'1 datos preparados'!M255</f>
        <v/>
      </c>
      <c r="O262" s="7">
        <f>'1 datos preparados'!N255</f>
        <v/>
      </c>
      <c r="P262" s="7">
        <f>'1 datos preparados'!O255</f>
        <v/>
      </c>
      <c r="Q262" s="7">
        <f>'1 datos preparados'!P255</f>
        <v/>
      </c>
      <c r="R262" s="7">
        <f>'1 datos preparados'!Q255</f>
        <v/>
      </c>
      <c r="S262" s="7">
        <f>'1 datos preparados'!R255</f>
        <v/>
      </c>
      <c r="T262" s="7">
        <f>'1 datos preparados'!S255</f>
        <v/>
      </c>
      <c r="U262" s="7">
        <f>'1 datos preparados'!T255</f>
        <v/>
      </c>
      <c r="V262" s="8">
        <f>$AC$12+D262*$AC$13+E262*$AC$14+F262*$AC$15+G262*$AC$16+H262*$AC$17+I262*$AC$18+J262*$AC$19+K262*$AC$20+L262*$AC$21+M262*$AC$22+N262*$AC$23+O262*$AC$24+P262*$AC$25+Q262*$AC$26+R262*$AC$27+S262*$AC$28+T262*$AC$29+U262*$AC$30</f>
        <v/>
      </c>
      <c r="W262" s="8">
        <f>1/(1+EXP(-V262))</f>
        <v/>
      </c>
      <c r="X262" s="9">
        <f>-IF(C262=1,LN(W262),LN(1-W262))</f>
        <v/>
      </c>
      <c r="Y262" s="10">
        <f>IF(W262&gt;$AC$33,1,0)</f>
        <v/>
      </c>
      <c r="Z262">
        <f>IF(Y262=C262,1,0)</f>
        <v/>
      </c>
    </row>
    <row r="263">
      <c r="A263">
        <f>'1 datos preparados'!A256</f>
        <v/>
      </c>
      <c r="B263" s="5">
        <f>'1 datos preparados'!U256</f>
        <v/>
      </c>
      <c r="C263">
        <f>'1 datos preparados'!B256</f>
        <v/>
      </c>
      <c r="D263" s="7">
        <f>'1 datos preparados'!C256</f>
        <v/>
      </c>
      <c r="E263" s="7">
        <f>'1 datos preparados'!D256</f>
        <v/>
      </c>
      <c r="F263" s="7">
        <f>'1 datos preparados'!E256</f>
        <v/>
      </c>
      <c r="G263" s="7">
        <f>'1 datos preparados'!F256</f>
        <v/>
      </c>
      <c r="H263" s="7">
        <f>'1 datos preparados'!G256</f>
        <v/>
      </c>
      <c r="I263" s="7">
        <f>'1 datos preparados'!H256</f>
        <v/>
      </c>
      <c r="J263" s="7">
        <f>'1 datos preparados'!I256</f>
        <v/>
      </c>
      <c r="K263" s="7">
        <f>'1 datos preparados'!J256</f>
        <v/>
      </c>
      <c r="L263" s="7">
        <f>'1 datos preparados'!K256</f>
        <v/>
      </c>
      <c r="M263" s="7">
        <f>'1 datos preparados'!L256</f>
        <v/>
      </c>
      <c r="N263" s="7">
        <f>'1 datos preparados'!M256</f>
        <v/>
      </c>
      <c r="O263" s="7">
        <f>'1 datos preparados'!N256</f>
        <v/>
      </c>
      <c r="P263" s="7">
        <f>'1 datos preparados'!O256</f>
        <v/>
      </c>
      <c r="Q263" s="7">
        <f>'1 datos preparados'!P256</f>
        <v/>
      </c>
      <c r="R263" s="7">
        <f>'1 datos preparados'!Q256</f>
        <v/>
      </c>
      <c r="S263" s="7">
        <f>'1 datos preparados'!R256</f>
        <v/>
      </c>
      <c r="T263" s="7">
        <f>'1 datos preparados'!S256</f>
        <v/>
      </c>
      <c r="U263" s="7">
        <f>'1 datos preparados'!T256</f>
        <v/>
      </c>
      <c r="V263" s="8">
        <f>$AC$12+D263*$AC$13+E263*$AC$14+F263*$AC$15+G263*$AC$16+H263*$AC$17+I263*$AC$18+J263*$AC$19+K263*$AC$20+L263*$AC$21+M263*$AC$22+N263*$AC$23+O263*$AC$24+P263*$AC$25+Q263*$AC$26+R263*$AC$27+S263*$AC$28+T263*$AC$29+U263*$AC$30</f>
        <v/>
      </c>
      <c r="W263" s="8">
        <f>1/(1+EXP(-V263))</f>
        <v/>
      </c>
      <c r="X263" s="9">
        <f>-IF(C263=1,LN(W263),LN(1-W263))</f>
        <v/>
      </c>
      <c r="Y263" s="10">
        <f>IF(W263&gt;$AC$33,1,0)</f>
        <v/>
      </c>
      <c r="Z263">
        <f>IF(Y263=C263,1,0)</f>
        <v/>
      </c>
    </row>
    <row r="264">
      <c r="A264">
        <f>'1 datos preparados'!A257</f>
        <v/>
      </c>
      <c r="B264" s="5">
        <f>'1 datos preparados'!U257</f>
        <v/>
      </c>
      <c r="C264">
        <f>'1 datos preparados'!B257</f>
        <v/>
      </c>
      <c r="D264" s="7">
        <f>'1 datos preparados'!C257</f>
        <v/>
      </c>
      <c r="E264" s="7">
        <f>'1 datos preparados'!D257</f>
        <v/>
      </c>
      <c r="F264" s="7">
        <f>'1 datos preparados'!E257</f>
        <v/>
      </c>
      <c r="G264" s="7">
        <f>'1 datos preparados'!F257</f>
        <v/>
      </c>
      <c r="H264" s="7">
        <f>'1 datos preparados'!G257</f>
        <v/>
      </c>
      <c r="I264" s="7">
        <f>'1 datos preparados'!H257</f>
        <v/>
      </c>
      <c r="J264" s="7">
        <f>'1 datos preparados'!I257</f>
        <v/>
      </c>
      <c r="K264" s="7">
        <f>'1 datos preparados'!J257</f>
        <v/>
      </c>
      <c r="L264" s="7">
        <f>'1 datos preparados'!K257</f>
        <v/>
      </c>
      <c r="M264" s="7">
        <f>'1 datos preparados'!L257</f>
        <v/>
      </c>
      <c r="N264" s="7">
        <f>'1 datos preparados'!M257</f>
        <v/>
      </c>
      <c r="O264" s="7">
        <f>'1 datos preparados'!N257</f>
        <v/>
      </c>
      <c r="P264" s="7">
        <f>'1 datos preparados'!O257</f>
        <v/>
      </c>
      <c r="Q264" s="7">
        <f>'1 datos preparados'!P257</f>
        <v/>
      </c>
      <c r="R264" s="7">
        <f>'1 datos preparados'!Q257</f>
        <v/>
      </c>
      <c r="S264" s="7">
        <f>'1 datos preparados'!R257</f>
        <v/>
      </c>
      <c r="T264" s="7">
        <f>'1 datos preparados'!S257</f>
        <v/>
      </c>
      <c r="U264" s="7">
        <f>'1 datos preparados'!T257</f>
        <v/>
      </c>
      <c r="V264" s="8">
        <f>$AC$12+D264*$AC$13+E264*$AC$14+F264*$AC$15+G264*$AC$16+H264*$AC$17+I264*$AC$18+J264*$AC$19+K264*$AC$20+L264*$AC$21+M264*$AC$22+N264*$AC$23+O264*$AC$24+P264*$AC$25+Q264*$AC$26+R264*$AC$27+S264*$AC$28+T264*$AC$29+U264*$AC$30</f>
        <v/>
      </c>
      <c r="W264" s="8">
        <f>1/(1+EXP(-V264))</f>
        <v/>
      </c>
      <c r="X264" s="9">
        <f>-IF(C264=1,LN(W264),LN(1-W264))</f>
        <v/>
      </c>
      <c r="Y264" s="10">
        <f>IF(W264&gt;$AC$33,1,0)</f>
        <v/>
      </c>
      <c r="Z264">
        <f>IF(Y264=C264,1,0)</f>
        <v/>
      </c>
    </row>
    <row r="265">
      <c r="A265">
        <f>'1 datos preparados'!A258</f>
        <v/>
      </c>
      <c r="B265" s="5">
        <f>'1 datos preparados'!U258</f>
        <v/>
      </c>
      <c r="C265">
        <f>'1 datos preparados'!B258</f>
        <v/>
      </c>
      <c r="D265" s="7">
        <f>'1 datos preparados'!C258</f>
        <v/>
      </c>
      <c r="E265" s="7">
        <f>'1 datos preparados'!D258</f>
        <v/>
      </c>
      <c r="F265" s="7">
        <f>'1 datos preparados'!E258</f>
        <v/>
      </c>
      <c r="G265" s="7">
        <f>'1 datos preparados'!F258</f>
        <v/>
      </c>
      <c r="H265" s="7">
        <f>'1 datos preparados'!G258</f>
        <v/>
      </c>
      <c r="I265" s="7">
        <f>'1 datos preparados'!H258</f>
        <v/>
      </c>
      <c r="J265" s="7">
        <f>'1 datos preparados'!I258</f>
        <v/>
      </c>
      <c r="K265" s="7">
        <f>'1 datos preparados'!J258</f>
        <v/>
      </c>
      <c r="L265" s="7">
        <f>'1 datos preparados'!K258</f>
        <v/>
      </c>
      <c r="M265" s="7">
        <f>'1 datos preparados'!L258</f>
        <v/>
      </c>
      <c r="N265" s="7">
        <f>'1 datos preparados'!M258</f>
        <v/>
      </c>
      <c r="O265" s="7">
        <f>'1 datos preparados'!N258</f>
        <v/>
      </c>
      <c r="P265" s="7">
        <f>'1 datos preparados'!O258</f>
        <v/>
      </c>
      <c r="Q265" s="7">
        <f>'1 datos preparados'!P258</f>
        <v/>
      </c>
      <c r="R265" s="7">
        <f>'1 datos preparados'!Q258</f>
        <v/>
      </c>
      <c r="S265" s="7">
        <f>'1 datos preparados'!R258</f>
        <v/>
      </c>
      <c r="T265" s="7">
        <f>'1 datos preparados'!S258</f>
        <v/>
      </c>
      <c r="U265" s="7">
        <f>'1 datos preparados'!T258</f>
        <v/>
      </c>
      <c r="V265" s="8">
        <f>$AC$12+D265*$AC$13+E265*$AC$14+F265*$AC$15+G265*$AC$16+H265*$AC$17+I265*$AC$18+J265*$AC$19+K265*$AC$20+L265*$AC$21+M265*$AC$22+N265*$AC$23+O265*$AC$24+P265*$AC$25+Q265*$AC$26+R265*$AC$27+S265*$AC$28+T265*$AC$29+U265*$AC$30</f>
        <v/>
      </c>
      <c r="W265" s="8">
        <f>1/(1+EXP(-V265))</f>
        <v/>
      </c>
      <c r="X265" s="9">
        <f>-IF(C265=1,LN(W265),LN(1-W265))</f>
        <v/>
      </c>
      <c r="Y265" s="10">
        <f>IF(W265&gt;$AC$33,1,0)</f>
        <v/>
      </c>
      <c r="Z265">
        <f>IF(Y265=C265,1,0)</f>
        <v/>
      </c>
    </row>
    <row r="266">
      <c r="A266">
        <f>'1 datos preparados'!A259</f>
        <v/>
      </c>
      <c r="B266" s="5">
        <f>'1 datos preparados'!U259</f>
        <v/>
      </c>
      <c r="C266">
        <f>'1 datos preparados'!B259</f>
        <v/>
      </c>
      <c r="D266" s="7">
        <f>'1 datos preparados'!C259</f>
        <v/>
      </c>
      <c r="E266" s="7">
        <f>'1 datos preparados'!D259</f>
        <v/>
      </c>
      <c r="F266" s="7">
        <f>'1 datos preparados'!E259</f>
        <v/>
      </c>
      <c r="G266" s="7">
        <f>'1 datos preparados'!F259</f>
        <v/>
      </c>
      <c r="H266" s="7">
        <f>'1 datos preparados'!G259</f>
        <v/>
      </c>
      <c r="I266" s="7">
        <f>'1 datos preparados'!H259</f>
        <v/>
      </c>
      <c r="J266" s="7">
        <f>'1 datos preparados'!I259</f>
        <v/>
      </c>
      <c r="K266" s="7">
        <f>'1 datos preparados'!J259</f>
        <v/>
      </c>
      <c r="L266" s="7">
        <f>'1 datos preparados'!K259</f>
        <v/>
      </c>
      <c r="M266" s="7">
        <f>'1 datos preparados'!L259</f>
        <v/>
      </c>
      <c r="N266" s="7">
        <f>'1 datos preparados'!M259</f>
        <v/>
      </c>
      <c r="O266" s="7">
        <f>'1 datos preparados'!N259</f>
        <v/>
      </c>
      <c r="P266" s="7">
        <f>'1 datos preparados'!O259</f>
        <v/>
      </c>
      <c r="Q266" s="7">
        <f>'1 datos preparados'!P259</f>
        <v/>
      </c>
      <c r="R266" s="7">
        <f>'1 datos preparados'!Q259</f>
        <v/>
      </c>
      <c r="S266" s="7">
        <f>'1 datos preparados'!R259</f>
        <v/>
      </c>
      <c r="T266" s="7">
        <f>'1 datos preparados'!S259</f>
        <v/>
      </c>
      <c r="U266" s="7">
        <f>'1 datos preparados'!T259</f>
        <v/>
      </c>
      <c r="V266" s="8">
        <f>$AC$12+D266*$AC$13+E266*$AC$14+F266*$AC$15+G266*$AC$16+H266*$AC$17+I266*$AC$18+J266*$AC$19+K266*$AC$20+L266*$AC$21+M266*$AC$22+N266*$AC$23+O266*$AC$24+P266*$AC$25+Q266*$AC$26+R266*$AC$27+S266*$AC$28+T266*$AC$29+U266*$AC$30</f>
        <v/>
      </c>
      <c r="W266" s="8">
        <f>1/(1+EXP(-V266))</f>
        <v/>
      </c>
      <c r="X266" s="9">
        <f>-IF(C266=1,LN(W266),LN(1-W266))</f>
        <v/>
      </c>
      <c r="Y266" s="10">
        <f>IF(W266&gt;$AC$33,1,0)</f>
        <v/>
      </c>
      <c r="Z266">
        <f>IF(Y266=C266,1,0)</f>
        <v/>
      </c>
    </row>
    <row r="267">
      <c r="A267">
        <f>'1 datos preparados'!A260</f>
        <v/>
      </c>
      <c r="B267" s="5">
        <f>'1 datos preparados'!U260</f>
        <v/>
      </c>
      <c r="C267">
        <f>'1 datos preparados'!B260</f>
        <v/>
      </c>
      <c r="D267" s="7">
        <f>'1 datos preparados'!C260</f>
        <v/>
      </c>
      <c r="E267" s="7">
        <f>'1 datos preparados'!D260</f>
        <v/>
      </c>
      <c r="F267" s="7">
        <f>'1 datos preparados'!E260</f>
        <v/>
      </c>
      <c r="G267" s="7">
        <f>'1 datos preparados'!F260</f>
        <v/>
      </c>
      <c r="H267" s="7">
        <f>'1 datos preparados'!G260</f>
        <v/>
      </c>
      <c r="I267" s="7">
        <f>'1 datos preparados'!H260</f>
        <v/>
      </c>
      <c r="J267" s="7">
        <f>'1 datos preparados'!I260</f>
        <v/>
      </c>
      <c r="K267" s="7">
        <f>'1 datos preparados'!J260</f>
        <v/>
      </c>
      <c r="L267" s="7">
        <f>'1 datos preparados'!K260</f>
        <v/>
      </c>
      <c r="M267" s="7">
        <f>'1 datos preparados'!L260</f>
        <v/>
      </c>
      <c r="N267" s="7">
        <f>'1 datos preparados'!M260</f>
        <v/>
      </c>
      <c r="O267" s="7">
        <f>'1 datos preparados'!N260</f>
        <v/>
      </c>
      <c r="P267" s="7">
        <f>'1 datos preparados'!O260</f>
        <v/>
      </c>
      <c r="Q267" s="7">
        <f>'1 datos preparados'!P260</f>
        <v/>
      </c>
      <c r="R267" s="7">
        <f>'1 datos preparados'!Q260</f>
        <v/>
      </c>
      <c r="S267" s="7">
        <f>'1 datos preparados'!R260</f>
        <v/>
      </c>
      <c r="T267" s="7">
        <f>'1 datos preparados'!S260</f>
        <v/>
      </c>
      <c r="U267" s="7">
        <f>'1 datos preparados'!T260</f>
        <v/>
      </c>
      <c r="V267" s="8">
        <f>$AC$12+D267*$AC$13+E267*$AC$14+F267*$AC$15+G267*$AC$16+H267*$AC$17+I267*$AC$18+J267*$AC$19+K267*$AC$20+L267*$AC$21+M267*$AC$22+N267*$AC$23+O267*$AC$24+P267*$AC$25+Q267*$AC$26+R267*$AC$27+S267*$AC$28+T267*$AC$29+U267*$AC$30</f>
        <v/>
      </c>
      <c r="W267" s="8">
        <f>1/(1+EXP(-V267))</f>
        <v/>
      </c>
      <c r="X267" s="9">
        <f>-IF(C267=1,LN(W267),LN(1-W267))</f>
        <v/>
      </c>
      <c r="Y267" s="10">
        <f>IF(W267&gt;$AC$33,1,0)</f>
        <v/>
      </c>
      <c r="Z267">
        <f>IF(Y267=C267,1,0)</f>
        <v/>
      </c>
    </row>
    <row r="268">
      <c r="A268">
        <f>'1 datos preparados'!A261</f>
        <v/>
      </c>
      <c r="B268" s="5">
        <f>'1 datos preparados'!U261</f>
        <v/>
      </c>
      <c r="C268">
        <f>'1 datos preparados'!B261</f>
        <v/>
      </c>
      <c r="D268" s="7">
        <f>'1 datos preparados'!C261</f>
        <v/>
      </c>
      <c r="E268" s="7">
        <f>'1 datos preparados'!D261</f>
        <v/>
      </c>
      <c r="F268" s="7">
        <f>'1 datos preparados'!E261</f>
        <v/>
      </c>
      <c r="G268" s="7">
        <f>'1 datos preparados'!F261</f>
        <v/>
      </c>
      <c r="H268" s="7">
        <f>'1 datos preparados'!G261</f>
        <v/>
      </c>
      <c r="I268" s="7">
        <f>'1 datos preparados'!H261</f>
        <v/>
      </c>
      <c r="J268" s="7">
        <f>'1 datos preparados'!I261</f>
        <v/>
      </c>
      <c r="K268" s="7">
        <f>'1 datos preparados'!J261</f>
        <v/>
      </c>
      <c r="L268" s="7">
        <f>'1 datos preparados'!K261</f>
        <v/>
      </c>
      <c r="M268" s="7">
        <f>'1 datos preparados'!L261</f>
        <v/>
      </c>
      <c r="N268" s="7">
        <f>'1 datos preparados'!M261</f>
        <v/>
      </c>
      <c r="O268" s="7">
        <f>'1 datos preparados'!N261</f>
        <v/>
      </c>
      <c r="P268" s="7">
        <f>'1 datos preparados'!O261</f>
        <v/>
      </c>
      <c r="Q268" s="7">
        <f>'1 datos preparados'!P261</f>
        <v/>
      </c>
      <c r="R268" s="7">
        <f>'1 datos preparados'!Q261</f>
        <v/>
      </c>
      <c r="S268" s="7">
        <f>'1 datos preparados'!R261</f>
        <v/>
      </c>
      <c r="T268" s="7">
        <f>'1 datos preparados'!S261</f>
        <v/>
      </c>
      <c r="U268" s="7">
        <f>'1 datos preparados'!T261</f>
        <v/>
      </c>
      <c r="V268" s="8">
        <f>$AC$12+D268*$AC$13+E268*$AC$14+F268*$AC$15+G268*$AC$16+H268*$AC$17+I268*$AC$18+J268*$AC$19+K268*$AC$20+L268*$AC$21+M268*$AC$22+N268*$AC$23+O268*$AC$24+P268*$AC$25+Q268*$AC$26+R268*$AC$27+S268*$AC$28+T268*$AC$29+U268*$AC$30</f>
        <v/>
      </c>
      <c r="W268" s="8">
        <f>1/(1+EXP(-V268))</f>
        <v/>
      </c>
      <c r="X268" s="9">
        <f>-IF(C268=1,LN(W268),LN(1-W268))</f>
        <v/>
      </c>
      <c r="Y268" s="10">
        <f>IF(W268&gt;$AC$33,1,0)</f>
        <v/>
      </c>
      <c r="Z268">
        <f>IF(Y268=C268,1,0)</f>
        <v/>
      </c>
    </row>
    <row r="269">
      <c r="A269">
        <f>'1 datos preparados'!A262</f>
        <v/>
      </c>
      <c r="B269" s="5">
        <f>'1 datos preparados'!U262</f>
        <v/>
      </c>
      <c r="C269">
        <f>'1 datos preparados'!B262</f>
        <v/>
      </c>
      <c r="D269" s="7">
        <f>'1 datos preparados'!C262</f>
        <v/>
      </c>
      <c r="E269" s="7">
        <f>'1 datos preparados'!D262</f>
        <v/>
      </c>
      <c r="F269" s="7">
        <f>'1 datos preparados'!E262</f>
        <v/>
      </c>
      <c r="G269" s="7">
        <f>'1 datos preparados'!F262</f>
        <v/>
      </c>
      <c r="H269" s="7">
        <f>'1 datos preparados'!G262</f>
        <v/>
      </c>
      <c r="I269" s="7">
        <f>'1 datos preparados'!H262</f>
        <v/>
      </c>
      <c r="J269" s="7">
        <f>'1 datos preparados'!I262</f>
        <v/>
      </c>
      <c r="K269" s="7">
        <f>'1 datos preparados'!J262</f>
        <v/>
      </c>
      <c r="L269" s="7">
        <f>'1 datos preparados'!K262</f>
        <v/>
      </c>
      <c r="M269" s="7">
        <f>'1 datos preparados'!L262</f>
        <v/>
      </c>
      <c r="N269" s="7">
        <f>'1 datos preparados'!M262</f>
        <v/>
      </c>
      <c r="O269" s="7">
        <f>'1 datos preparados'!N262</f>
        <v/>
      </c>
      <c r="P269" s="7">
        <f>'1 datos preparados'!O262</f>
        <v/>
      </c>
      <c r="Q269" s="7">
        <f>'1 datos preparados'!P262</f>
        <v/>
      </c>
      <c r="R269" s="7">
        <f>'1 datos preparados'!Q262</f>
        <v/>
      </c>
      <c r="S269" s="7">
        <f>'1 datos preparados'!R262</f>
        <v/>
      </c>
      <c r="T269" s="7">
        <f>'1 datos preparados'!S262</f>
        <v/>
      </c>
      <c r="U269" s="7">
        <f>'1 datos preparados'!T262</f>
        <v/>
      </c>
      <c r="V269" s="8">
        <f>$AC$12+D269*$AC$13+E269*$AC$14+F269*$AC$15+G269*$AC$16+H269*$AC$17+I269*$AC$18+J269*$AC$19+K269*$AC$20+L269*$AC$21+M269*$AC$22+N269*$AC$23+O269*$AC$24+P269*$AC$25+Q269*$AC$26+R269*$AC$27+S269*$AC$28+T269*$AC$29+U269*$AC$30</f>
        <v/>
      </c>
      <c r="W269" s="8">
        <f>1/(1+EXP(-V269))</f>
        <v/>
      </c>
      <c r="X269" s="9">
        <f>-IF(C269=1,LN(W269),LN(1-W269))</f>
        <v/>
      </c>
      <c r="Y269" s="10">
        <f>IF(W269&gt;$AC$33,1,0)</f>
        <v/>
      </c>
      <c r="Z269">
        <f>IF(Y269=C269,1,0)</f>
        <v/>
      </c>
    </row>
    <row r="270">
      <c r="A270">
        <f>'1 datos preparados'!A263</f>
        <v/>
      </c>
      <c r="B270" s="5">
        <f>'1 datos preparados'!U263</f>
        <v/>
      </c>
      <c r="C270">
        <f>'1 datos preparados'!B263</f>
        <v/>
      </c>
      <c r="D270" s="7">
        <f>'1 datos preparados'!C263</f>
        <v/>
      </c>
      <c r="E270" s="7">
        <f>'1 datos preparados'!D263</f>
        <v/>
      </c>
      <c r="F270" s="7">
        <f>'1 datos preparados'!E263</f>
        <v/>
      </c>
      <c r="G270" s="7">
        <f>'1 datos preparados'!F263</f>
        <v/>
      </c>
      <c r="H270" s="7">
        <f>'1 datos preparados'!G263</f>
        <v/>
      </c>
      <c r="I270" s="7">
        <f>'1 datos preparados'!H263</f>
        <v/>
      </c>
      <c r="J270" s="7">
        <f>'1 datos preparados'!I263</f>
        <v/>
      </c>
      <c r="K270" s="7">
        <f>'1 datos preparados'!J263</f>
        <v/>
      </c>
      <c r="L270" s="7">
        <f>'1 datos preparados'!K263</f>
        <v/>
      </c>
      <c r="M270" s="7">
        <f>'1 datos preparados'!L263</f>
        <v/>
      </c>
      <c r="N270" s="7">
        <f>'1 datos preparados'!M263</f>
        <v/>
      </c>
      <c r="O270" s="7">
        <f>'1 datos preparados'!N263</f>
        <v/>
      </c>
      <c r="P270" s="7">
        <f>'1 datos preparados'!O263</f>
        <v/>
      </c>
      <c r="Q270" s="7">
        <f>'1 datos preparados'!P263</f>
        <v/>
      </c>
      <c r="R270" s="7">
        <f>'1 datos preparados'!Q263</f>
        <v/>
      </c>
      <c r="S270" s="7">
        <f>'1 datos preparados'!R263</f>
        <v/>
      </c>
      <c r="T270" s="7">
        <f>'1 datos preparados'!S263</f>
        <v/>
      </c>
      <c r="U270" s="7">
        <f>'1 datos preparados'!T263</f>
        <v/>
      </c>
      <c r="V270" s="8">
        <f>$AC$12+D270*$AC$13+E270*$AC$14+F270*$AC$15+G270*$AC$16+H270*$AC$17+I270*$AC$18+J270*$AC$19+K270*$AC$20+L270*$AC$21+M270*$AC$22+N270*$AC$23+O270*$AC$24+P270*$AC$25+Q270*$AC$26+R270*$AC$27+S270*$AC$28+T270*$AC$29+U270*$AC$30</f>
        <v/>
      </c>
      <c r="W270" s="8">
        <f>1/(1+EXP(-V270))</f>
        <v/>
      </c>
      <c r="X270" s="9">
        <f>-IF(C270=1,LN(W270),LN(1-W270))</f>
        <v/>
      </c>
      <c r="Y270" s="10">
        <f>IF(W270&gt;$AC$33,1,0)</f>
        <v/>
      </c>
      <c r="Z270">
        <f>IF(Y270=C270,1,0)</f>
        <v/>
      </c>
    </row>
    <row r="271">
      <c r="A271">
        <f>'1 datos preparados'!A264</f>
        <v/>
      </c>
      <c r="B271" s="5">
        <f>'1 datos preparados'!U264</f>
        <v/>
      </c>
      <c r="C271">
        <f>'1 datos preparados'!B264</f>
        <v/>
      </c>
      <c r="D271" s="7">
        <f>'1 datos preparados'!C264</f>
        <v/>
      </c>
      <c r="E271" s="7">
        <f>'1 datos preparados'!D264</f>
        <v/>
      </c>
      <c r="F271" s="7">
        <f>'1 datos preparados'!E264</f>
        <v/>
      </c>
      <c r="G271" s="7">
        <f>'1 datos preparados'!F264</f>
        <v/>
      </c>
      <c r="H271" s="7">
        <f>'1 datos preparados'!G264</f>
        <v/>
      </c>
      <c r="I271" s="7">
        <f>'1 datos preparados'!H264</f>
        <v/>
      </c>
      <c r="J271" s="7">
        <f>'1 datos preparados'!I264</f>
        <v/>
      </c>
      <c r="K271" s="7">
        <f>'1 datos preparados'!J264</f>
        <v/>
      </c>
      <c r="L271" s="7">
        <f>'1 datos preparados'!K264</f>
        <v/>
      </c>
      <c r="M271" s="7">
        <f>'1 datos preparados'!L264</f>
        <v/>
      </c>
      <c r="N271" s="7">
        <f>'1 datos preparados'!M264</f>
        <v/>
      </c>
      <c r="O271" s="7">
        <f>'1 datos preparados'!N264</f>
        <v/>
      </c>
      <c r="P271" s="7">
        <f>'1 datos preparados'!O264</f>
        <v/>
      </c>
      <c r="Q271" s="7">
        <f>'1 datos preparados'!P264</f>
        <v/>
      </c>
      <c r="R271" s="7">
        <f>'1 datos preparados'!Q264</f>
        <v/>
      </c>
      <c r="S271" s="7">
        <f>'1 datos preparados'!R264</f>
        <v/>
      </c>
      <c r="T271" s="7">
        <f>'1 datos preparados'!S264</f>
        <v/>
      </c>
      <c r="U271" s="7">
        <f>'1 datos preparados'!T264</f>
        <v/>
      </c>
      <c r="V271" s="8">
        <f>$AC$12+D271*$AC$13+E271*$AC$14+F271*$AC$15+G271*$AC$16+H271*$AC$17+I271*$AC$18+J271*$AC$19+K271*$AC$20+L271*$AC$21+M271*$AC$22+N271*$AC$23+O271*$AC$24+P271*$AC$25+Q271*$AC$26+R271*$AC$27+S271*$AC$28+T271*$AC$29+U271*$AC$30</f>
        <v/>
      </c>
      <c r="W271" s="8">
        <f>1/(1+EXP(-V271))</f>
        <v/>
      </c>
      <c r="X271" s="9">
        <f>-IF(C271=1,LN(W271),LN(1-W271))</f>
        <v/>
      </c>
      <c r="Y271" s="10">
        <f>IF(W271&gt;$AC$33,1,0)</f>
        <v/>
      </c>
      <c r="Z271">
        <f>IF(Y271=C271,1,0)</f>
        <v/>
      </c>
    </row>
    <row r="272">
      <c r="A272">
        <f>'1 datos preparados'!A265</f>
        <v/>
      </c>
      <c r="B272" s="5">
        <f>'1 datos preparados'!U265</f>
        <v/>
      </c>
      <c r="C272">
        <f>'1 datos preparados'!B265</f>
        <v/>
      </c>
      <c r="D272" s="7">
        <f>'1 datos preparados'!C265</f>
        <v/>
      </c>
      <c r="E272" s="7">
        <f>'1 datos preparados'!D265</f>
        <v/>
      </c>
      <c r="F272" s="7">
        <f>'1 datos preparados'!E265</f>
        <v/>
      </c>
      <c r="G272" s="7">
        <f>'1 datos preparados'!F265</f>
        <v/>
      </c>
      <c r="H272" s="7">
        <f>'1 datos preparados'!G265</f>
        <v/>
      </c>
      <c r="I272" s="7">
        <f>'1 datos preparados'!H265</f>
        <v/>
      </c>
      <c r="J272" s="7">
        <f>'1 datos preparados'!I265</f>
        <v/>
      </c>
      <c r="K272" s="7">
        <f>'1 datos preparados'!J265</f>
        <v/>
      </c>
      <c r="L272" s="7">
        <f>'1 datos preparados'!K265</f>
        <v/>
      </c>
      <c r="M272" s="7">
        <f>'1 datos preparados'!L265</f>
        <v/>
      </c>
      <c r="N272" s="7">
        <f>'1 datos preparados'!M265</f>
        <v/>
      </c>
      <c r="O272" s="7">
        <f>'1 datos preparados'!N265</f>
        <v/>
      </c>
      <c r="P272" s="7">
        <f>'1 datos preparados'!O265</f>
        <v/>
      </c>
      <c r="Q272" s="7">
        <f>'1 datos preparados'!P265</f>
        <v/>
      </c>
      <c r="R272" s="7">
        <f>'1 datos preparados'!Q265</f>
        <v/>
      </c>
      <c r="S272" s="7">
        <f>'1 datos preparados'!R265</f>
        <v/>
      </c>
      <c r="T272" s="7">
        <f>'1 datos preparados'!S265</f>
        <v/>
      </c>
      <c r="U272" s="7">
        <f>'1 datos preparados'!T265</f>
        <v/>
      </c>
      <c r="V272" s="8">
        <f>$AC$12+D272*$AC$13+E272*$AC$14+F272*$AC$15+G272*$AC$16+H272*$AC$17+I272*$AC$18+J272*$AC$19+K272*$AC$20+L272*$AC$21+M272*$AC$22+N272*$AC$23+O272*$AC$24+P272*$AC$25+Q272*$AC$26+R272*$AC$27+S272*$AC$28+T272*$AC$29+U272*$AC$30</f>
        <v/>
      </c>
      <c r="W272" s="8">
        <f>1/(1+EXP(-V272))</f>
        <v/>
      </c>
      <c r="X272" s="9">
        <f>-IF(C272=1,LN(W272),LN(1-W272))</f>
        <v/>
      </c>
      <c r="Y272" s="10">
        <f>IF(W272&gt;$AC$33,1,0)</f>
        <v/>
      </c>
      <c r="Z272">
        <f>IF(Y272=C272,1,0)</f>
        <v/>
      </c>
    </row>
    <row r="273">
      <c r="A273">
        <f>'1 datos preparados'!A266</f>
        <v/>
      </c>
      <c r="B273" s="5">
        <f>'1 datos preparados'!U266</f>
        <v/>
      </c>
      <c r="C273">
        <f>'1 datos preparados'!B266</f>
        <v/>
      </c>
      <c r="D273" s="7">
        <f>'1 datos preparados'!C266</f>
        <v/>
      </c>
      <c r="E273" s="7">
        <f>'1 datos preparados'!D266</f>
        <v/>
      </c>
      <c r="F273" s="7">
        <f>'1 datos preparados'!E266</f>
        <v/>
      </c>
      <c r="G273" s="7">
        <f>'1 datos preparados'!F266</f>
        <v/>
      </c>
      <c r="H273" s="7">
        <f>'1 datos preparados'!G266</f>
        <v/>
      </c>
      <c r="I273" s="7">
        <f>'1 datos preparados'!H266</f>
        <v/>
      </c>
      <c r="J273" s="7">
        <f>'1 datos preparados'!I266</f>
        <v/>
      </c>
      <c r="K273" s="7">
        <f>'1 datos preparados'!J266</f>
        <v/>
      </c>
      <c r="L273" s="7">
        <f>'1 datos preparados'!K266</f>
        <v/>
      </c>
      <c r="M273" s="7">
        <f>'1 datos preparados'!L266</f>
        <v/>
      </c>
      <c r="N273" s="7">
        <f>'1 datos preparados'!M266</f>
        <v/>
      </c>
      <c r="O273" s="7">
        <f>'1 datos preparados'!N266</f>
        <v/>
      </c>
      <c r="P273" s="7">
        <f>'1 datos preparados'!O266</f>
        <v/>
      </c>
      <c r="Q273" s="7">
        <f>'1 datos preparados'!P266</f>
        <v/>
      </c>
      <c r="R273" s="7">
        <f>'1 datos preparados'!Q266</f>
        <v/>
      </c>
      <c r="S273" s="7">
        <f>'1 datos preparados'!R266</f>
        <v/>
      </c>
      <c r="T273" s="7">
        <f>'1 datos preparados'!S266</f>
        <v/>
      </c>
      <c r="U273" s="7">
        <f>'1 datos preparados'!T266</f>
        <v/>
      </c>
      <c r="V273" s="8">
        <f>$AC$12+D273*$AC$13+E273*$AC$14+F273*$AC$15+G273*$AC$16+H273*$AC$17+I273*$AC$18+J273*$AC$19+K273*$AC$20+L273*$AC$21+M273*$AC$22+N273*$AC$23+O273*$AC$24+P273*$AC$25+Q273*$AC$26+R273*$AC$27+S273*$AC$28+T273*$AC$29+U273*$AC$30</f>
        <v/>
      </c>
      <c r="W273" s="8">
        <f>1/(1+EXP(-V273))</f>
        <v/>
      </c>
      <c r="X273" s="9">
        <f>-IF(C273=1,LN(W273),LN(1-W273))</f>
        <v/>
      </c>
      <c r="Y273" s="10">
        <f>IF(W273&gt;$AC$33,1,0)</f>
        <v/>
      </c>
      <c r="Z273">
        <f>IF(Y273=C273,1,0)</f>
        <v/>
      </c>
    </row>
    <row r="274">
      <c r="A274">
        <f>'1 datos preparados'!A267</f>
        <v/>
      </c>
      <c r="B274" s="5">
        <f>'1 datos preparados'!U267</f>
        <v/>
      </c>
      <c r="C274">
        <f>'1 datos preparados'!B267</f>
        <v/>
      </c>
      <c r="D274" s="7">
        <f>'1 datos preparados'!C267</f>
        <v/>
      </c>
      <c r="E274" s="7">
        <f>'1 datos preparados'!D267</f>
        <v/>
      </c>
      <c r="F274" s="7">
        <f>'1 datos preparados'!E267</f>
        <v/>
      </c>
      <c r="G274" s="7">
        <f>'1 datos preparados'!F267</f>
        <v/>
      </c>
      <c r="H274" s="7">
        <f>'1 datos preparados'!G267</f>
        <v/>
      </c>
      <c r="I274" s="7">
        <f>'1 datos preparados'!H267</f>
        <v/>
      </c>
      <c r="J274" s="7">
        <f>'1 datos preparados'!I267</f>
        <v/>
      </c>
      <c r="K274" s="7">
        <f>'1 datos preparados'!J267</f>
        <v/>
      </c>
      <c r="L274" s="7">
        <f>'1 datos preparados'!K267</f>
        <v/>
      </c>
      <c r="M274" s="7">
        <f>'1 datos preparados'!L267</f>
        <v/>
      </c>
      <c r="N274" s="7">
        <f>'1 datos preparados'!M267</f>
        <v/>
      </c>
      <c r="O274" s="7">
        <f>'1 datos preparados'!N267</f>
        <v/>
      </c>
      <c r="P274" s="7">
        <f>'1 datos preparados'!O267</f>
        <v/>
      </c>
      <c r="Q274" s="7">
        <f>'1 datos preparados'!P267</f>
        <v/>
      </c>
      <c r="R274" s="7">
        <f>'1 datos preparados'!Q267</f>
        <v/>
      </c>
      <c r="S274" s="7">
        <f>'1 datos preparados'!R267</f>
        <v/>
      </c>
      <c r="T274" s="7">
        <f>'1 datos preparados'!S267</f>
        <v/>
      </c>
      <c r="U274" s="7">
        <f>'1 datos preparados'!T267</f>
        <v/>
      </c>
      <c r="V274" s="8">
        <f>$AC$12+D274*$AC$13+E274*$AC$14+F274*$AC$15+G274*$AC$16+H274*$AC$17+I274*$AC$18+J274*$AC$19+K274*$AC$20+L274*$AC$21+M274*$AC$22+N274*$AC$23+O274*$AC$24+P274*$AC$25+Q274*$AC$26+R274*$AC$27+S274*$AC$28+T274*$AC$29+U274*$AC$30</f>
        <v/>
      </c>
      <c r="W274" s="8">
        <f>1/(1+EXP(-V274))</f>
        <v/>
      </c>
      <c r="X274" s="9">
        <f>-IF(C274=1,LN(W274),LN(1-W274))</f>
        <v/>
      </c>
      <c r="Y274" s="10">
        <f>IF(W274&gt;$AC$33,1,0)</f>
        <v/>
      </c>
      <c r="Z274">
        <f>IF(Y274=C274,1,0)</f>
        <v/>
      </c>
    </row>
    <row r="275">
      <c r="A275">
        <f>'1 datos preparados'!A268</f>
        <v/>
      </c>
      <c r="B275" s="5">
        <f>'1 datos preparados'!U268</f>
        <v/>
      </c>
      <c r="C275">
        <f>'1 datos preparados'!B268</f>
        <v/>
      </c>
      <c r="D275" s="7">
        <f>'1 datos preparados'!C268</f>
        <v/>
      </c>
      <c r="E275" s="7">
        <f>'1 datos preparados'!D268</f>
        <v/>
      </c>
      <c r="F275" s="7">
        <f>'1 datos preparados'!E268</f>
        <v/>
      </c>
      <c r="G275" s="7">
        <f>'1 datos preparados'!F268</f>
        <v/>
      </c>
      <c r="H275" s="7">
        <f>'1 datos preparados'!G268</f>
        <v/>
      </c>
      <c r="I275" s="7">
        <f>'1 datos preparados'!H268</f>
        <v/>
      </c>
      <c r="J275" s="7">
        <f>'1 datos preparados'!I268</f>
        <v/>
      </c>
      <c r="K275" s="7">
        <f>'1 datos preparados'!J268</f>
        <v/>
      </c>
      <c r="L275" s="7">
        <f>'1 datos preparados'!K268</f>
        <v/>
      </c>
      <c r="M275" s="7">
        <f>'1 datos preparados'!L268</f>
        <v/>
      </c>
      <c r="N275" s="7">
        <f>'1 datos preparados'!M268</f>
        <v/>
      </c>
      <c r="O275" s="7">
        <f>'1 datos preparados'!N268</f>
        <v/>
      </c>
      <c r="P275" s="7">
        <f>'1 datos preparados'!O268</f>
        <v/>
      </c>
      <c r="Q275" s="7">
        <f>'1 datos preparados'!P268</f>
        <v/>
      </c>
      <c r="R275" s="7">
        <f>'1 datos preparados'!Q268</f>
        <v/>
      </c>
      <c r="S275" s="7">
        <f>'1 datos preparados'!R268</f>
        <v/>
      </c>
      <c r="T275" s="7">
        <f>'1 datos preparados'!S268</f>
        <v/>
      </c>
      <c r="U275" s="7">
        <f>'1 datos preparados'!T268</f>
        <v/>
      </c>
      <c r="V275" s="8">
        <f>$AC$12+D275*$AC$13+E275*$AC$14+F275*$AC$15+G275*$AC$16+H275*$AC$17+I275*$AC$18+J275*$AC$19+K275*$AC$20+L275*$AC$21+M275*$AC$22+N275*$AC$23+O275*$AC$24+P275*$AC$25+Q275*$AC$26+R275*$AC$27+S275*$AC$28+T275*$AC$29+U275*$AC$30</f>
        <v/>
      </c>
      <c r="W275" s="8">
        <f>1/(1+EXP(-V275))</f>
        <v/>
      </c>
      <c r="X275" s="9">
        <f>-IF(C275=1,LN(W275),LN(1-W275))</f>
        <v/>
      </c>
      <c r="Y275" s="10">
        <f>IF(W275&gt;$AC$33,1,0)</f>
        <v/>
      </c>
      <c r="Z275">
        <f>IF(Y275=C275,1,0)</f>
        <v/>
      </c>
    </row>
    <row r="276">
      <c r="A276">
        <f>'1 datos preparados'!A269</f>
        <v/>
      </c>
      <c r="B276" s="5">
        <f>'1 datos preparados'!U269</f>
        <v/>
      </c>
      <c r="C276">
        <f>'1 datos preparados'!B269</f>
        <v/>
      </c>
      <c r="D276" s="7">
        <f>'1 datos preparados'!C269</f>
        <v/>
      </c>
      <c r="E276" s="7">
        <f>'1 datos preparados'!D269</f>
        <v/>
      </c>
      <c r="F276" s="7">
        <f>'1 datos preparados'!E269</f>
        <v/>
      </c>
      <c r="G276" s="7">
        <f>'1 datos preparados'!F269</f>
        <v/>
      </c>
      <c r="H276" s="7">
        <f>'1 datos preparados'!G269</f>
        <v/>
      </c>
      <c r="I276" s="7">
        <f>'1 datos preparados'!H269</f>
        <v/>
      </c>
      <c r="J276" s="7">
        <f>'1 datos preparados'!I269</f>
        <v/>
      </c>
      <c r="K276" s="7">
        <f>'1 datos preparados'!J269</f>
        <v/>
      </c>
      <c r="L276" s="7">
        <f>'1 datos preparados'!K269</f>
        <v/>
      </c>
      <c r="M276" s="7">
        <f>'1 datos preparados'!L269</f>
        <v/>
      </c>
      <c r="N276" s="7">
        <f>'1 datos preparados'!M269</f>
        <v/>
      </c>
      <c r="O276" s="7">
        <f>'1 datos preparados'!N269</f>
        <v/>
      </c>
      <c r="P276" s="7">
        <f>'1 datos preparados'!O269</f>
        <v/>
      </c>
      <c r="Q276" s="7">
        <f>'1 datos preparados'!P269</f>
        <v/>
      </c>
      <c r="R276" s="7">
        <f>'1 datos preparados'!Q269</f>
        <v/>
      </c>
      <c r="S276" s="7">
        <f>'1 datos preparados'!R269</f>
        <v/>
      </c>
      <c r="T276" s="7">
        <f>'1 datos preparados'!S269</f>
        <v/>
      </c>
      <c r="U276" s="7">
        <f>'1 datos preparados'!T269</f>
        <v/>
      </c>
      <c r="V276" s="8">
        <f>$AC$12+D276*$AC$13+E276*$AC$14+F276*$AC$15+G276*$AC$16+H276*$AC$17+I276*$AC$18+J276*$AC$19+K276*$AC$20+L276*$AC$21+M276*$AC$22+N276*$AC$23+O276*$AC$24+P276*$AC$25+Q276*$AC$26+R276*$AC$27+S276*$AC$28+T276*$AC$29+U276*$AC$30</f>
        <v/>
      </c>
      <c r="W276" s="8">
        <f>1/(1+EXP(-V276))</f>
        <v/>
      </c>
      <c r="X276" s="9">
        <f>-IF(C276=1,LN(W276),LN(1-W276))</f>
        <v/>
      </c>
      <c r="Y276" s="10">
        <f>IF(W276&gt;$AC$33,1,0)</f>
        <v/>
      </c>
      <c r="Z276">
        <f>IF(Y276=C276,1,0)</f>
        <v/>
      </c>
    </row>
    <row r="277">
      <c r="A277">
        <f>'1 datos preparados'!A270</f>
        <v/>
      </c>
      <c r="B277" s="5">
        <f>'1 datos preparados'!U270</f>
        <v/>
      </c>
      <c r="C277">
        <f>'1 datos preparados'!B270</f>
        <v/>
      </c>
      <c r="D277" s="7">
        <f>'1 datos preparados'!C270</f>
        <v/>
      </c>
      <c r="E277" s="7">
        <f>'1 datos preparados'!D270</f>
        <v/>
      </c>
      <c r="F277" s="7">
        <f>'1 datos preparados'!E270</f>
        <v/>
      </c>
      <c r="G277" s="7">
        <f>'1 datos preparados'!F270</f>
        <v/>
      </c>
      <c r="H277" s="7">
        <f>'1 datos preparados'!G270</f>
        <v/>
      </c>
      <c r="I277" s="7">
        <f>'1 datos preparados'!H270</f>
        <v/>
      </c>
      <c r="J277" s="7">
        <f>'1 datos preparados'!I270</f>
        <v/>
      </c>
      <c r="K277" s="7">
        <f>'1 datos preparados'!J270</f>
        <v/>
      </c>
      <c r="L277" s="7">
        <f>'1 datos preparados'!K270</f>
        <v/>
      </c>
      <c r="M277" s="7">
        <f>'1 datos preparados'!L270</f>
        <v/>
      </c>
      <c r="N277" s="7">
        <f>'1 datos preparados'!M270</f>
        <v/>
      </c>
      <c r="O277" s="7">
        <f>'1 datos preparados'!N270</f>
        <v/>
      </c>
      <c r="P277" s="7">
        <f>'1 datos preparados'!O270</f>
        <v/>
      </c>
      <c r="Q277" s="7">
        <f>'1 datos preparados'!P270</f>
        <v/>
      </c>
      <c r="R277" s="7">
        <f>'1 datos preparados'!Q270</f>
        <v/>
      </c>
      <c r="S277" s="7">
        <f>'1 datos preparados'!R270</f>
        <v/>
      </c>
      <c r="T277" s="7">
        <f>'1 datos preparados'!S270</f>
        <v/>
      </c>
      <c r="U277" s="7">
        <f>'1 datos preparados'!T270</f>
        <v/>
      </c>
      <c r="V277" s="8">
        <f>$AC$12+D277*$AC$13+E277*$AC$14+F277*$AC$15+G277*$AC$16+H277*$AC$17+I277*$AC$18+J277*$AC$19+K277*$AC$20+L277*$AC$21+M277*$AC$22+N277*$AC$23+O277*$AC$24+P277*$AC$25+Q277*$AC$26+R277*$AC$27+S277*$AC$28+T277*$AC$29+U277*$AC$30</f>
        <v/>
      </c>
      <c r="W277" s="8">
        <f>1/(1+EXP(-V277))</f>
        <v/>
      </c>
      <c r="X277" s="9">
        <f>-IF(C277=1,LN(W277),LN(1-W277))</f>
        <v/>
      </c>
      <c r="Y277" s="10">
        <f>IF(W277&gt;$AC$33,1,0)</f>
        <v/>
      </c>
      <c r="Z277">
        <f>IF(Y277=C277,1,0)</f>
        <v/>
      </c>
    </row>
    <row r="278">
      <c r="A278">
        <f>'1 datos preparados'!A271</f>
        <v/>
      </c>
      <c r="B278" s="5">
        <f>'1 datos preparados'!U271</f>
        <v/>
      </c>
      <c r="C278">
        <f>'1 datos preparados'!B271</f>
        <v/>
      </c>
      <c r="D278" s="7">
        <f>'1 datos preparados'!C271</f>
        <v/>
      </c>
      <c r="E278" s="7">
        <f>'1 datos preparados'!D271</f>
        <v/>
      </c>
      <c r="F278" s="7">
        <f>'1 datos preparados'!E271</f>
        <v/>
      </c>
      <c r="G278" s="7">
        <f>'1 datos preparados'!F271</f>
        <v/>
      </c>
      <c r="H278" s="7">
        <f>'1 datos preparados'!G271</f>
        <v/>
      </c>
      <c r="I278" s="7">
        <f>'1 datos preparados'!H271</f>
        <v/>
      </c>
      <c r="J278" s="7">
        <f>'1 datos preparados'!I271</f>
        <v/>
      </c>
      <c r="K278" s="7">
        <f>'1 datos preparados'!J271</f>
        <v/>
      </c>
      <c r="L278" s="7">
        <f>'1 datos preparados'!K271</f>
        <v/>
      </c>
      <c r="M278" s="7">
        <f>'1 datos preparados'!L271</f>
        <v/>
      </c>
      <c r="N278" s="7">
        <f>'1 datos preparados'!M271</f>
        <v/>
      </c>
      <c r="O278" s="7">
        <f>'1 datos preparados'!N271</f>
        <v/>
      </c>
      <c r="P278" s="7">
        <f>'1 datos preparados'!O271</f>
        <v/>
      </c>
      <c r="Q278" s="7">
        <f>'1 datos preparados'!P271</f>
        <v/>
      </c>
      <c r="R278" s="7">
        <f>'1 datos preparados'!Q271</f>
        <v/>
      </c>
      <c r="S278" s="7">
        <f>'1 datos preparados'!R271</f>
        <v/>
      </c>
      <c r="T278" s="7">
        <f>'1 datos preparados'!S271</f>
        <v/>
      </c>
      <c r="U278" s="7">
        <f>'1 datos preparados'!T271</f>
        <v/>
      </c>
      <c r="V278" s="8">
        <f>$AC$12+D278*$AC$13+E278*$AC$14+F278*$AC$15+G278*$AC$16+H278*$AC$17+I278*$AC$18+J278*$AC$19+K278*$AC$20+L278*$AC$21+M278*$AC$22+N278*$AC$23+O278*$AC$24+P278*$AC$25+Q278*$AC$26+R278*$AC$27+S278*$AC$28+T278*$AC$29+U278*$AC$30</f>
        <v/>
      </c>
      <c r="W278" s="8">
        <f>1/(1+EXP(-V278))</f>
        <v/>
      </c>
      <c r="X278" s="9">
        <f>-IF(C278=1,LN(W278),LN(1-W278))</f>
        <v/>
      </c>
      <c r="Y278" s="10">
        <f>IF(W278&gt;$AC$33,1,0)</f>
        <v/>
      </c>
      <c r="Z278">
        <f>IF(Y278=C278,1,0)</f>
        <v/>
      </c>
    </row>
    <row r="279">
      <c r="A279">
        <f>'1 datos preparados'!A272</f>
        <v/>
      </c>
      <c r="B279" s="5">
        <f>'1 datos preparados'!U272</f>
        <v/>
      </c>
      <c r="C279">
        <f>'1 datos preparados'!B272</f>
        <v/>
      </c>
      <c r="D279" s="7">
        <f>'1 datos preparados'!C272</f>
        <v/>
      </c>
      <c r="E279" s="7">
        <f>'1 datos preparados'!D272</f>
        <v/>
      </c>
      <c r="F279" s="7">
        <f>'1 datos preparados'!E272</f>
        <v/>
      </c>
      <c r="G279" s="7">
        <f>'1 datos preparados'!F272</f>
        <v/>
      </c>
      <c r="H279" s="7">
        <f>'1 datos preparados'!G272</f>
        <v/>
      </c>
      <c r="I279" s="7">
        <f>'1 datos preparados'!H272</f>
        <v/>
      </c>
      <c r="J279" s="7">
        <f>'1 datos preparados'!I272</f>
        <v/>
      </c>
      <c r="K279" s="7">
        <f>'1 datos preparados'!J272</f>
        <v/>
      </c>
      <c r="L279" s="7">
        <f>'1 datos preparados'!K272</f>
        <v/>
      </c>
      <c r="M279" s="7">
        <f>'1 datos preparados'!L272</f>
        <v/>
      </c>
      <c r="N279" s="7">
        <f>'1 datos preparados'!M272</f>
        <v/>
      </c>
      <c r="O279" s="7">
        <f>'1 datos preparados'!N272</f>
        <v/>
      </c>
      <c r="P279" s="7">
        <f>'1 datos preparados'!O272</f>
        <v/>
      </c>
      <c r="Q279" s="7">
        <f>'1 datos preparados'!P272</f>
        <v/>
      </c>
      <c r="R279" s="7">
        <f>'1 datos preparados'!Q272</f>
        <v/>
      </c>
      <c r="S279" s="7">
        <f>'1 datos preparados'!R272</f>
        <v/>
      </c>
      <c r="T279" s="7">
        <f>'1 datos preparados'!S272</f>
        <v/>
      </c>
      <c r="U279" s="7">
        <f>'1 datos preparados'!T272</f>
        <v/>
      </c>
      <c r="V279" s="8">
        <f>$AC$12+D279*$AC$13+E279*$AC$14+F279*$AC$15+G279*$AC$16+H279*$AC$17+I279*$AC$18+J279*$AC$19+K279*$AC$20+L279*$AC$21+M279*$AC$22+N279*$AC$23+O279*$AC$24+P279*$AC$25+Q279*$AC$26+R279*$AC$27+S279*$AC$28+T279*$AC$29+U279*$AC$30</f>
        <v/>
      </c>
      <c r="W279" s="8">
        <f>1/(1+EXP(-V279))</f>
        <v/>
      </c>
      <c r="X279" s="9">
        <f>-IF(C279=1,LN(W279),LN(1-W279))</f>
        <v/>
      </c>
      <c r="Y279" s="10">
        <f>IF(W279&gt;$AC$33,1,0)</f>
        <v/>
      </c>
      <c r="Z279">
        <f>IF(Y279=C279,1,0)</f>
        <v/>
      </c>
    </row>
    <row r="280">
      <c r="A280">
        <f>'1 datos preparados'!A273</f>
        <v/>
      </c>
      <c r="B280" s="5">
        <f>'1 datos preparados'!U273</f>
        <v/>
      </c>
      <c r="C280">
        <f>'1 datos preparados'!B273</f>
        <v/>
      </c>
      <c r="D280" s="7">
        <f>'1 datos preparados'!C273</f>
        <v/>
      </c>
      <c r="E280" s="7">
        <f>'1 datos preparados'!D273</f>
        <v/>
      </c>
      <c r="F280" s="7">
        <f>'1 datos preparados'!E273</f>
        <v/>
      </c>
      <c r="G280" s="7">
        <f>'1 datos preparados'!F273</f>
        <v/>
      </c>
      <c r="H280" s="7">
        <f>'1 datos preparados'!G273</f>
        <v/>
      </c>
      <c r="I280" s="7">
        <f>'1 datos preparados'!H273</f>
        <v/>
      </c>
      <c r="J280" s="7">
        <f>'1 datos preparados'!I273</f>
        <v/>
      </c>
      <c r="K280" s="7">
        <f>'1 datos preparados'!J273</f>
        <v/>
      </c>
      <c r="L280" s="7">
        <f>'1 datos preparados'!K273</f>
        <v/>
      </c>
      <c r="M280" s="7">
        <f>'1 datos preparados'!L273</f>
        <v/>
      </c>
      <c r="N280" s="7">
        <f>'1 datos preparados'!M273</f>
        <v/>
      </c>
      <c r="O280" s="7">
        <f>'1 datos preparados'!N273</f>
        <v/>
      </c>
      <c r="P280" s="7">
        <f>'1 datos preparados'!O273</f>
        <v/>
      </c>
      <c r="Q280" s="7">
        <f>'1 datos preparados'!P273</f>
        <v/>
      </c>
      <c r="R280" s="7">
        <f>'1 datos preparados'!Q273</f>
        <v/>
      </c>
      <c r="S280" s="7">
        <f>'1 datos preparados'!R273</f>
        <v/>
      </c>
      <c r="T280" s="7">
        <f>'1 datos preparados'!S273</f>
        <v/>
      </c>
      <c r="U280" s="7">
        <f>'1 datos preparados'!T273</f>
        <v/>
      </c>
      <c r="V280" s="8">
        <f>$AC$12+D280*$AC$13+E280*$AC$14+F280*$AC$15+G280*$AC$16+H280*$AC$17+I280*$AC$18+J280*$AC$19+K280*$AC$20+L280*$AC$21+M280*$AC$22+N280*$AC$23+O280*$AC$24+P280*$AC$25+Q280*$AC$26+R280*$AC$27+S280*$AC$28+T280*$AC$29+U280*$AC$30</f>
        <v/>
      </c>
      <c r="W280" s="8">
        <f>1/(1+EXP(-V280))</f>
        <v/>
      </c>
      <c r="X280" s="9">
        <f>-IF(C280=1,LN(W280),LN(1-W280))</f>
        <v/>
      </c>
      <c r="Y280" s="10">
        <f>IF(W280&gt;$AC$33,1,0)</f>
        <v/>
      </c>
      <c r="Z280">
        <f>IF(Y280=C280,1,0)</f>
        <v/>
      </c>
    </row>
    <row r="281">
      <c r="A281">
        <f>'1 datos preparados'!A274</f>
        <v/>
      </c>
      <c r="B281" s="5">
        <f>'1 datos preparados'!U274</f>
        <v/>
      </c>
      <c r="C281">
        <f>'1 datos preparados'!B274</f>
        <v/>
      </c>
      <c r="D281" s="7">
        <f>'1 datos preparados'!C274</f>
        <v/>
      </c>
      <c r="E281" s="7">
        <f>'1 datos preparados'!D274</f>
        <v/>
      </c>
      <c r="F281" s="7">
        <f>'1 datos preparados'!E274</f>
        <v/>
      </c>
      <c r="G281" s="7">
        <f>'1 datos preparados'!F274</f>
        <v/>
      </c>
      <c r="H281" s="7">
        <f>'1 datos preparados'!G274</f>
        <v/>
      </c>
      <c r="I281" s="7">
        <f>'1 datos preparados'!H274</f>
        <v/>
      </c>
      <c r="J281" s="7">
        <f>'1 datos preparados'!I274</f>
        <v/>
      </c>
      <c r="K281" s="7">
        <f>'1 datos preparados'!J274</f>
        <v/>
      </c>
      <c r="L281" s="7">
        <f>'1 datos preparados'!K274</f>
        <v/>
      </c>
      <c r="M281" s="7">
        <f>'1 datos preparados'!L274</f>
        <v/>
      </c>
      <c r="N281" s="7">
        <f>'1 datos preparados'!M274</f>
        <v/>
      </c>
      <c r="O281" s="7">
        <f>'1 datos preparados'!N274</f>
        <v/>
      </c>
      <c r="P281" s="7">
        <f>'1 datos preparados'!O274</f>
        <v/>
      </c>
      <c r="Q281" s="7">
        <f>'1 datos preparados'!P274</f>
        <v/>
      </c>
      <c r="R281" s="7">
        <f>'1 datos preparados'!Q274</f>
        <v/>
      </c>
      <c r="S281" s="7">
        <f>'1 datos preparados'!R274</f>
        <v/>
      </c>
      <c r="T281" s="7">
        <f>'1 datos preparados'!S274</f>
        <v/>
      </c>
      <c r="U281" s="7">
        <f>'1 datos preparados'!T274</f>
        <v/>
      </c>
      <c r="V281" s="8">
        <f>$AC$12+D281*$AC$13+E281*$AC$14+F281*$AC$15+G281*$AC$16+H281*$AC$17+I281*$AC$18+J281*$AC$19+K281*$AC$20+L281*$AC$21+M281*$AC$22+N281*$AC$23+O281*$AC$24+P281*$AC$25+Q281*$AC$26+R281*$AC$27+S281*$AC$28+T281*$AC$29+U281*$AC$30</f>
        <v/>
      </c>
      <c r="W281" s="8">
        <f>1/(1+EXP(-V281))</f>
        <v/>
      </c>
      <c r="X281" s="9">
        <f>-IF(C281=1,LN(W281),LN(1-W281))</f>
        <v/>
      </c>
      <c r="Y281" s="10">
        <f>IF(W281&gt;$AC$33,1,0)</f>
        <v/>
      </c>
      <c r="Z281">
        <f>IF(Y281=C281,1,0)</f>
        <v/>
      </c>
    </row>
    <row r="282">
      <c r="A282">
        <f>'1 datos preparados'!A275</f>
        <v/>
      </c>
      <c r="B282" s="5">
        <f>'1 datos preparados'!U275</f>
        <v/>
      </c>
      <c r="C282">
        <f>'1 datos preparados'!B275</f>
        <v/>
      </c>
      <c r="D282" s="7">
        <f>'1 datos preparados'!C275</f>
        <v/>
      </c>
      <c r="E282" s="7">
        <f>'1 datos preparados'!D275</f>
        <v/>
      </c>
      <c r="F282" s="7">
        <f>'1 datos preparados'!E275</f>
        <v/>
      </c>
      <c r="G282" s="7">
        <f>'1 datos preparados'!F275</f>
        <v/>
      </c>
      <c r="H282" s="7">
        <f>'1 datos preparados'!G275</f>
        <v/>
      </c>
      <c r="I282" s="7">
        <f>'1 datos preparados'!H275</f>
        <v/>
      </c>
      <c r="J282" s="7">
        <f>'1 datos preparados'!I275</f>
        <v/>
      </c>
      <c r="K282" s="7">
        <f>'1 datos preparados'!J275</f>
        <v/>
      </c>
      <c r="L282" s="7">
        <f>'1 datos preparados'!K275</f>
        <v/>
      </c>
      <c r="M282" s="7">
        <f>'1 datos preparados'!L275</f>
        <v/>
      </c>
      <c r="N282" s="7">
        <f>'1 datos preparados'!M275</f>
        <v/>
      </c>
      <c r="O282" s="7">
        <f>'1 datos preparados'!N275</f>
        <v/>
      </c>
      <c r="P282" s="7">
        <f>'1 datos preparados'!O275</f>
        <v/>
      </c>
      <c r="Q282" s="7">
        <f>'1 datos preparados'!P275</f>
        <v/>
      </c>
      <c r="R282" s="7">
        <f>'1 datos preparados'!Q275</f>
        <v/>
      </c>
      <c r="S282" s="7">
        <f>'1 datos preparados'!R275</f>
        <v/>
      </c>
      <c r="T282" s="7">
        <f>'1 datos preparados'!S275</f>
        <v/>
      </c>
      <c r="U282" s="7">
        <f>'1 datos preparados'!T275</f>
        <v/>
      </c>
      <c r="V282" s="8">
        <f>$AC$12+D282*$AC$13+E282*$AC$14+F282*$AC$15+G282*$AC$16+H282*$AC$17+I282*$AC$18+J282*$AC$19+K282*$AC$20+L282*$AC$21+M282*$AC$22+N282*$AC$23+O282*$AC$24+P282*$AC$25+Q282*$AC$26+R282*$AC$27+S282*$AC$28+T282*$AC$29+U282*$AC$30</f>
        <v/>
      </c>
      <c r="W282" s="8">
        <f>1/(1+EXP(-V282))</f>
        <v/>
      </c>
      <c r="X282" s="9">
        <f>-IF(C282=1,LN(W282),LN(1-W282))</f>
        <v/>
      </c>
      <c r="Y282" s="10">
        <f>IF(W282&gt;$AC$33,1,0)</f>
        <v/>
      </c>
      <c r="Z282">
        <f>IF(Y282=C282,1,0)</f>
        <v/>
      </c>
    </row>
    <row r="283">
      <c r="A283">
        <f>'1 datos preparados'!A276</f>
        <v/>
      </c>
      <c r="B283" s="5">
        <f>'1 datos preparados'!U276</f>
        <v/>
      </c>
      <c r="C283">
        <f>'1 datos preparados'!B276</f>
        <v/>
      </c>
      <c r="D283" s="7">
        <f>'1 datos preparados'!C276</f>
        <v/>
      </c>
      <c r="E283" s="7">
        <f>'1 datos preparados'!D276</f>
        <v/>
      </c>
      <c r="F283" s="7">
        <f>'1 datos preparados'!E276</f>
        <v/>
      </c>
      <c r="G283" s="7">
        <f>'1 datos preparados'!F276</f>
        <v/>
      </c>
      <c r="H283" s="7">
        <f>'1 datos preparados'!G276</f>
        <v/>
      </c>
      <c r="I283" s="7">
        <f>'1 datos preparados'!H276</f>
        <v/>
      </c>
      <c r="J283" s="7">
        <f>'1 datos preparados'!I276</f>
        <v/>
      </c>
      <c r="K283" s="7">
        <f>'1 datos preparados'!J276</f>
        <v/>
      </c>
      <c r="L283" s="7">
        <f>'1 datos preparados'!K276</f>
        <v/>
      </c>
      <c r="M283" s="7">
        <f>'1 datos preparados'!L276</f>
        <v/>
      </c>
      <c r="N283" s="7">
        <f>'1 datos preparados'!M276</f>
        <v/>
      </c>
      <c r="O283" s="7">
        <f>'1 datos preparados'!N276</f>
        <v/>
      </c>
      <c r="P283" s="7">
        <f>'1 datos preparados'!O276</f>
        <v/>
      </c>
      <c r="Q283" s="7">
        <f>'1 datos preparados'!P276</f>
        <v/>
      </c>
      <c r="R283" s="7">
        <f>'1 datos preparados'!Q276</f>
        <v/>
      </c>
      <c r="S283" s="7">
        <f>'1 datos preparados'!R276</f>
        <v/>
      </c>
      <c r="T283" s="7">
        <f>'1 datos preparados'!S276</f>
        <v/>
      </c>
      <c r="U283" s="7">
        <f>'1 datos preparados'!T276</f>
        <v/>
      </c>
      <c r="V283" s="8">
        <f>$AC$12+D283*$AC$13+E283*$AC$14+F283*$AC$15+G283*$AC$16+H283*$AC$17+I283*$AC$18+J283*$AC$19+K283*$AC$20+L283*$AC$21+M283*$AC$22+N283*$AC$23+O283*$AC$24+P283*$AC$25+Q283*$AC$26+R283*$AC$27+S283*$AC$28+T283*$AC$29+U283*$AC$30</f>
        <v/>
      </c>
      <c r="W283" s="8">
        <f>1/(1+EXP(-V283))</f>
        <v/>
      </c>
      <c r="X283" s="9">
        <f>-IF(C283=1,LN(W283),LN(1-W283))</f>
        <v/>
      </c>
      <c r="Y283" s="10">
        <f>IF(W283&gt;$AC$33,1,0)</f>
        <v/>
      </c>
      <c r="Z283">
        <f>IF(Y283=C283,1,0)</f>
        <v/>
      </c>
    </row>
    <row r="284">
      <c r="A284">
        <f>'1 datos preparados'!A277</f>
        <v/>
      </c>
      <c r="B284" s="5">
        <f>'1 datos preparados'!U277</f>
        <v/>
      </c>
      <c r="C284">
        <f>'1 datos preparados'!B277</f>
        <v/>
      </c>
      <c r="D284" s="7">
        <f>'1 datos preparados'!C277</f>
        <v/>
      </c>
      <c r="E284" s="7">
        <f>'1 datos preparados'!D277</f>
        <v/>
      </c>
      <c r="F284" s="7">
        <f>'1 datos preparados'!E277</f>
        <v/>
      </c>
      <c r="G284" s="7">
        <f>'1 datos preparados'!F277</f>
        <v/>
      </c>
      <c r="H284" s="7">
        <f>'1 datos preparados'!G277</f>
        <v/>
      </c>
      <c r="I284" s="7">
        <f>'1 datos preparados'!H277</f>
        <v/>
      </c>
      <c r="J284" s="7">
        <f>'1 datos preparados'!I277</f>
        <v/>
      </c>
      <c r="K284" s="7">
        <f>'1 datos preparados'!J277</f>
        <v/>
      </c>
      <c r="L284" s="7">
        <f>'1 datos preparados'!K277</f>
        <v/>
      </c>
      <c r="M284" s="7">
        <f>'1 datos preparados'!L277</f>
        <v/>
      </c>
      <c r="N284" s="7">
        <f>'1 datos preparados'!M277</f>
        <v/>
      </c>
      <c r="O284" s="7">
        <f>'1 datos preparados'!N277</f>
        <v/>
      </c>
      <c r="P284" s="7">
        <f>'1 datos preparados'!O277</f>
        <v/>
      </c>
      <c r="Q284" s="7">
        <f>'1 datos preparados'!P277</f>
        <v/>
      </c>
      <c r="R284" s="7">
        <f>'1 datos preparados'!Q277</f>
        <v/>
      </c>
      <c r="S284" s="7">
        <f>'1 datos preparados'!R277</f>
        <v/>
      </c>
      <c r="T284" s="7">
        <f>'1 datos preparados'!S277</f>
        <v/>
      </c>
      <c r="U284" s="7">
        <f>'1 datos preparados'!T277</f>
        <v/>
      </c>
      <c r="V284" s="8">
        <f>$AC$12+D284*$AC$13+E284*$AC$14+F284*$AC$15+G284*$AC$16+H284*$AC$17+I284*$AC$18+J284*$AC$19+K284*$AC$20+L284*$AC$21+M284*$AC$22+N284*$AC$23+O284*$AC$24+P284*$AC$25+Q284*$AC$26+R284*$AC$27+S284*$AC$28+T284*$AC$29+U284*$AC$30</f>
        <v/>
      </c>
      <c r="W284" s="8">
        <f>1/(1+EXP(-V284))</f>
        <v/>
      </c>
      <c r="X284" s="9">
        <f>-IF(C284=1,LN(W284),LN(1-W284))</f>
        <v/>
      </c>
      <c r="Y284" s="10">
        <f>IF(W284&gt;$AC$33,1,0)</f>
        <v/>
      </c>
      <c r="Z284">
        <f>IF(Y284=C284,1,0)</f>
        <v/>
      </c>
    </row>
    <row r="285">
      <c r="A285">
        <f>'1 datos preparados'!A278</f>
        <v/>
      </c>
      <c r="B285" s="5">
        <f>'1 datos preparados'!U278</f>
        <v/>
      </c>
      <c r="C285">
        <f>'1 datos preparados'!B278</f>
        <v/>
      </c>
      <c r="D285" s="7">
        <f>'1 datos preparados'!C278</f>
        <v/>
      </c>
      <c r="E285" s="7">
        <f>'1 datos preparados'!D278</f>
        <v/>
      </c>
      <c r="F285" s="7">
        <f>'1 datos preparados'!E278</f>
        <v/>
      </c>
      <c r="G285" s="7">
        <f>'1 datos preparados'!F278</f>
        <v/>
      </c>
      <c r="H285" s="7">
        <f>'1 datos preparados'!G278</f>
        <v/>
      </c>
      <c r="I285" s="7">
        <f>'1 datos preparados'!H278</f>
        <v/>
      </c>
      <c r="J285" s="7">
        <f>'1 datos preparados'!I278</f>
        <v/>
      </c>
      <c r="K285" s="7">
        <f>'1 datos preparados'!J278</f>
        <v/>
      </c>
      <c r="L285" s="7">
        <f>'1 datos preparados'!K278</f>
        <v/>
      </c>
      <c r="M285" s="7">
        <f>'1 datos preparados'!L278</f>
        <v/>
      </c>
      <c r="N285" s="7">
        <f>'1 datos preparados'!M278</f>
        <v/>
      </c>
      <c r="O285" s="7">
        <f>'1 datos preparados'!N278</f>
        <v/>
      </c>
      <c r="P285" s="7">
        <f>'1 datos preparados'!O278</f>
        <v/>
      </c>
      <c r="Q285" s="7">
        <f>'1 datos preparados'!P278</f>
        <v/>
      </c>
      <c r="R285" s="7">
        <f>'1 datos preparados'!Q278</f>
        <v/>
      </c>
      <c r="S285" s="7">
        <f>'1 datos preparados'!R278</f>
        <v/>
      </c>
      <c r="T285" s="7">
        <f>'1 datos preparados'!S278</f>
        <v/>
      </c>
      <c r="U285" s="7">
        <f>'1 datos preparados'!T278</f>
        <v/>
      </c>
      <c r="V285" s="8">
        <f>$AC$12+D285*$AC$13+E285*$AC$14+F285*$AC$15+G285*$AC$16+H285*$AC$17+I285*$AC$18+J285*$AC$19+K285*$AC$20+L285*$AC$21+M285*$AC$22+N285*$AC$23+O285*$AC$24+P285*$AC$25+Q285*$AC$26+R285*$AC$27+S285*$AC$28+T285*$AC$29+U285*$AC$30</f>
        <v/>
      </c>
      <c r="W285" s="8">
        <f>1/(1+EXP(-V285))</f>
        <v/>
      </c>
      <c r="X285" s="9">
        <f>-IF(C285=1,LN(W285),LN(1-W285))</f>
        <v/>
      </c>
      <c r="Y285" s="10">
        <f>IF(W285&gt;$AC$33,1,0)</f>
        <v/>
      </c>
      <c r="Z285">
        <f>IF(Y285=C285,1,0)</f>
        <v/>
      </c>
    </row>
    <row r="286">
      <c r="A286">
        <f>'1 datos preparados'!A279</f>
        <v/>
      </c>
      <c r="B286" s="5">
        <f>'1 datos preparados'!U279</f>
        <v/>
      </c>
      <c r="C286">
        <f>'1 datos preparados'!B279</f>
        <v/>
      </c>
      <c r="D286" s="7">
        <f>'1 datos preparados'!C279</f>
        <v/>
      </c>
      <c r="E286" s="7">
        <f>'1 datos preparados'!D279</f>
        <v/>
      </c>
      <c r="F286" s="7">
        <f>'1 datos preparados'!E279</f>
        <v/>
      </c>
      <c r="G286" s="7">
        <f>'1 datos preparados'!F279</f>
        <v/>
      </c>
      <c r="H286" s="7">
        <f>'1 datos preparados'!G279</f>
        <v/>
      </c>
      <c r="I286" s="7">
        <f>'1 datos preparados'!H279</f>
        <v/>
      </c>
      <c r="J286" s="7">
        <f>'1 datos preparados'!I279</f>
        <v/>
      </c>
      <c r="K286" s="7">
        <f>'1 datos preparados'!J279</f>
        <v/>
      </c>
      <c r="L286" s="7">
        <f>'1 datos preparados'!K279</f>
        <v/>
      </c>
      <c r="M286" s="7">
        <f>'1 datos preparados'!L279</f>
        <v/>
      </c>
      <c r="N286" s="7">
        <f>'1 datos preparados'!M279</f>
        <v/>
      </c>
      <c r="O286" s="7">
        <f>'1 datos preparados'!N279</f>
        <v/>
      </c>
      <c r="P286" s="7">
        <f>'1 datos preparados'!O279</f>
        <v/>
      </c>
      <c r="Q286" s="7">
        <f>'1 datos preparados'!P279</f>
        <v/>
      </c>
      <c r="R286" s="7">
        <f>'1 datos preparados'!Q279</f>
        <v/>
      </c>
      <c r="S286" s="7">
        <f>'1 datos preparados'!R279</f>
        <v/>
      </c>
      <c r="T286" s="7">
        <f>'1 datos preparados'!S279</f>
        <v/>
      </c>
      <c r="U286" s="7">
        <f>'1 datos preparados'!T279</f>
        <v/>
      </c>
      <c r="V286" s="8">
        <f>$AC$12+D286*$AC$13+E286*$AC$14+F286*$AC$15+G286*$AC$16+H286*$AC$17+I286*$AC$18+J286*$AC$19+K286*$AC$20+L286*$AC$21+M286*$AC$22+N286*$AC$23+O286*$AC$24+P286*$AC$25+Q286*$AC$26+R286*$AC$27+S286*$AC$28+T286*$AC$29+U286*$AC$30</f>
        <v/>
      </c>
      <c r="W286" s="8">
        <f>1/(1+EXP(-V286))</f>
        <v/>
      </c>
      <c r="X286" s="9">
        <f>-IF(C286=1,LN(W286),LN(1-W286))</f>
        <v/>
      </c>
      <c r="Y286" s="10">
        <f>IF(W286&gt;$AC$33,1,0)</f>
        <v/>
      </c>
      <c r="Z286">
        <f>IF(Y286=C286,1,0)</f>
        <v/>
      </c>
    </row>
    <row r="287">
      <c r="A287">
        <f>'1 datos preparados'!A280</f>
        <v/>
      </c>
      <c r="B287" s="5">
        <f>'1 datos preparados'!U280</f>
        <v/>
      </c>
      <c r="C287">
        <f>'1 datos preparados'!B280</f>
        <v/>
      </c>
      <c r="D287" s="7">
        <f>'1 datos preparados'!C280</f>
        <v/>
      </c>
      <c r="E287" s="7">
        <f>'1 datos preparados'!D280</f>
        <v/>
      </c>
      <c r="F287" s="7">
        <f>'1 datos preparados'!E280</f>
        <v/>
      </c>
      <c r="G287" s="7">
        <f>'1 datos preparados'!F280</f>
        <v/>
      </c>
      <c r="H287" s="7">
        <f>'1 datos preparados'!G280</f>
        <v/>
      </c>
      <c r="I287" s="7">
        <f>'1 datos preparados'!H280</f>
        <v/>
      </c>
      <c r="J287" s="7">
        <f>'1 datos preparados'!I280</f>
        <v/>
      </c>
      <c r="K287" s="7">
        <f>'1 datos preparados'!J280</f>
        <v/>
      </c>
      <c r="L287" s="7">
        <f>'1 datos preparados'!K280</f>
        <v/>
      </c>
      <c r="M287" s="7">
        <f>'1 datos preparados'!L280</f>
        <v/>
      </c>
      <c r="N287" s="7">
        <f>'1 datos preparados'!M280</f>
        <v/>
      </c>
      <c r="O287" s="7">
        <f>'1 datos preparados'!N280</f>
        <v/>
      </c>
      <c r="P287" s="7">
        <f>'1 datos preparados'!O280</f>
        <v/>
      </c>
      <c r="Q287" s="7">
        <f>'1 datos preparados'!P280</f>
        <v/>
      </c>
      <c r="R287" s="7">
        <f>'1 datos preparados'!Q280</f>
        <v/>
      </c>
      <c r="S287" s="7">
        <f>'1 datos preparados'!R280</f>
        <v/>
      </c>
      <c r="T287" s="7">
        <f>'1 datos preparados'!S280</f>
        <v/>
      </c>
      <c r="U287" s="7">
        <f>'1 datos preparados'!T280</f>
        <v/>
      </c>
      <c r="V287" s="8">
        <f>$AC$12+D287*$AC$13+E287*$AC$14+F287*$AC$15+G287*$AC$16+H287*$AC$17+I287*$AC$18+J287*$AC$19+K287*$AC$20+L287*$AC$21+M287*$AC$22+N287*$AC$23+O287*$AC$24+P287*$AC$25+Q287*$AC$26+R287*$AC$27+S287*$AC$28+T287*$AC$29+U287*$AC$30</f>
        <v/>
      </c>
      <c r="W287" s="8">
        <f>1/(1+EXP(-V287))</f>
        <v/>
      </c>
      <c r="X287" s="9">
        <f>-IF(C287=1,LN(W287),LN(1-W287))</f>
        <v/>
      </c>
      <c r="Y287" s="10">
        <f>IF(W287&gt;$AC$33,1,0)</f>
        <v/>
      </c>
      <c r="Z287">
        <f>IF(Y287=C287,1,0)</f>
        <v/>
      </c>
    </row>
    <row r="288">
      <c r="A288">
        <f>'1 datos preparados'!A281</f>
        <v/>
      </c>
      <c r="B288" s="5">
        <f>'1 datos preparados'!U281</f>
        <v/>
      </c>
      <c r="C288">
        <f>'1 datos preparados'!B281</f>
        <v/>
      </c>
      <c r="D288" s="7">
        <f>'1 datos preparados'!C281</f>
        <v/>
      </c>
      <c r="E288" s="7">
        <f>'1 datos preparados'!D281</f>
        <v/>
      </c>
      <c r="F288" s="7">
        <f>'1 datos preparados'!E281</f>
        <v/>
      </c>
      <c r="G288" s="7">
        <f>'1 datos preparados'!F281</f>
        <v/>
      </c>
      <c r="H288" s="7">
        <f>'1 datos preparados'!G281</f>
        <v/>
      </c>
      <c r="I288" s="7">
        <f>'1 datos preparados'!H281</f>
        <v/>
      </c>
      <c r="J288" s="7">
        <f>'1 datos preparados'!I281</f>
        <v/>
      </c>
      <c r="K288" s="7">
        <f>'1 datos preparados'!J281</f>
        <v/>
      </c>
      <c r="L288" s="7">
        <f>'1 datos preparados'!K281</f>
        <v/>
      </c>
      <c r="M288" s="7">
        <f>'1 datos preparados'!L281</f>
        <v/>
      </c>
      <c r="N288" s="7">
        <f>'1 datos preparados'!M281</f>
        <v/>
      </c>
      <c r="O288" s="7">
        <f>'1 datos preparados'!N281</f>
        <v/>
      </c>
      <c r="P288" s="7">
        <f>'1 datos preparados'!O281</f>
        <v/>
      </c>
      <c r="Q288" s="7">
        <f>'1 datos preparados'!P281</f>
        <v/>
      </c>
      <c r="R288" s="7">
        <f>'1 datos preparados'!Q281</f>
        <v/>
      </c>
      <c r="S288" s="7">
        <f>'1 datos preparados'!R281</f>
        <v/>
      </c>
      <c r="T288" s="7">
        <f>'1 datos preparados'!S281</f>
        <v/>
      </c>
      <c r="U288" s="7">
        <f>'1 datos preparados'!T281</f>
        <v/>
      </c>
      <c r="V288" s="8">
        <f>$AC$12+D288*$AC$13+E288*$AC$14+F288*$AC$15+G288*$AC$16+H288*$AC$17+I288*$AC$18+J288*$AC$19+K288*$AC$20+L288*$AC$21+M288*$AC$22+N288*$AC$23+O288*$AC$24+P288*$AC$25+Q288*$AC$26+R288*$AC$27+S288*$AC$28+T288*$AC$29+U288*$AC$30</f>
        <v/>
      </c>
      <c r="W288" s="8">
        <f>1/(1+EXP(-V288))</f>
        <v/>
      </c>
      <c r="X288" s="9">
        <f>-IF(C288=1,LN(W288),LN(1-W288))</f>
        <v/>
      </c>
      <c r="Y288" s="10">
        <f>IF(W288&gt;$AC$33,1,0)</f>
        <v/>
      </c>
      <c r="Z288">
        <f>IF(Y288=C288,1,0)</f>
        <v/>
      </c>
    </row>
    <row r="289">
      <c r="A289">
        <f>'1 datos preparados'!A282</f>
        <v/>
      </c>
      <c r="B289" s="5">
        <f>'1 datos preparados'!U282</f>
        <v/>
      </c>
      <c r="C289">
        <f>'1 datos preparados'!B282</f>
        <v/>
      </c>
      <c r="D289" s="7">
        <f>'1 datos preparados'!C282</f>
        <v/>
      </c>
      <c r="E289" s="7">
        <f>'1 datos preparados'!D282</f>
        <v/>
      </c>
      <c r="F289" s="7">
        <f>'1 datos preparados'!E282</f>
        <v/>
      </c>
      <c r="G289" s="7">
        <f>'1 datos preparados'!F282</f>
        <v/>
      </c>
      <c r="H289" s="7">
        <f>'1 datos preparados'!G282</f>
        <v/>
      </c>
      <c r="I289" s="7">
        <f>'1 datos preparados'!H282</f>
        <v/>
      </c>
      <c r="J289" s="7">
        <f>'1 datos preparados'!I282</f>
        <v/>
      </c>
      <c r="K289" s="7">
        <f>'1 datos preparados'!J282</f>
        <v/>
      </c>
      <c r="L289" s="7">
        <f>'1 datos preparados'!K282</f>
        <v/>
      </c>
      <c r="M289" s="7">
        <f>'1 datos preparados'!L282</f>
        <v/>
      </c>
      <c r="N289" s="7">
        <f>'1 datos preparados'!M282</f>
        <v/>
      </c>
      <c r="O289" s="7">
        <f>'1 datos preparados'!N282</f>
        <v/>
      </c>
      <c r="P289" s="7">
        <f>'1 datos preparados'!O282</f>
        <v/>
      </c>
      <c r="Q289" s="7">
        <f>'1 datos preparados'!P282</f>
        <v/>
      </c>
      <c r="R289" s="7">
        <f>'1 datos preparados'!Q282</f>
        <v/>
      </c>
      <c r="S289" s="7">
        <f>'1 datos preparados'!R282</f>
        <v/>
      </c>
      <c r="T289" s="7">
        <f>'1 datos preparados'!S282</f>
        <v/>
      </c>
      <c r="U289" s="7">
        <f>'1 datos preparados'!T282</f>
        <v/>
      </c>
      <c r="V289" s="8">
        <f>$AC$12+D289*$AC$13+E289*$AC$14+F289*$AC$15+G289*$AC$16+H289*$AC$17+I289*$AC$18+J289*$AC$19+K289*$AC$20+L289*$AC$21+M289*$AC$22+N289*$AC$23+O289*$AC$24+P289*$AC$25+Q289*$AC$26+R289*$AC$27+S289*$AC$28+T289*$AC$29+U289*$AC$30</f>
        <v/>
      </c>
      <c r="W289" s="8">
        <f>1/(1+EXP(-V289))</f>
        <v/>
      </c>
      <c r="X289" s="9">
        <f>-IF(C289=1,LN(W289),LN(1-W289))</f>
        <v/>
      </c>
      <c r="Y289" s="10">
        <f>IF(W289&gt;$AC$33,1,0)</f>
        <v/>
      </c>
      <c r="Z289">
        <f>IF(Y289=C289,1,0)</f>
        <v/>
      </c>
    </row>
    <row r="290">
      <c r="A290">
        <f>'1 datos preparados'!A283</f>
        <v/>
      </c>
      <c r="B290" s="5">
        <f>'1 datos preparados'!U283</f>
        <v/>
      </c>
      <c r="C290">
        <f>'1 datos preparados'!B283</f>
        <v/>
      </c>
      <c r="D290" s="7">
        <f>'1 datos preparados'!C283</f>
        <v/>
      </c>
      <c r="E290" s="7">
        <f>'1 datos preparados'!D283</f>
        <v/>
      </c>
      <c r="F290" s="7">
        <f>'1 datos preparados'!E283</f>
        <v/>
      </c>
      <c r="G290" s="7">
        <f>'1 datos preparados'!F283</f>
        <v/>
      </c>
      <c r="H290" s="7">
        <f>'1 datos preparados'!G283</f>
        <v/>
      </c>
      <c r="I290" s="7">
        <f>'1 datos preparados'!H283</f>
        <v/>
      </c>
      <c r="J290" s="7">
        <f>'1 datos preparados'!I283</f>
        <v/>
      </c>
      <c r="K290" s="7">
        <f>'1 datos preparados'!J283</f>
        <v/>
      </c>
      <c r="L290" s="7">
        <f>'1 datos preparados'!K283</f>
        <v/>
      </c>
      <c r="M290" s="7">
        <f>'1 datos preparados'!L283</f>
        <v/>
      </c>
      <c r="N290" s="7">
        <f>'1 datos preparados'!M283</f>
        <v/>
      </c>
      <c r="O290" s="7">
        <f>'1 datos preparados'!N283</f>
        <v/>
      </c>
      <c r="P290" s="7">
        <f>'1 datos preparados'!O283</f>
        <v/>
      </c>
      <c r="Q290" s="7">
        <f>'1 datos preparados'!P283</f>
        <v/>
      </c>
      <c r="R290" s="7">
        <f>'1 datos preparados'!Q283</f>
        <v/>
      </c>
      <c r="S290" s="7">
        <f>'1 datos preparados'!R283</f>
        <v/>
      </c>
      <c r="T290" s="7">
        <f>'1 datos preparados'!S283</f>
        <v/>
      </c>
      <c r="U290" s="7">
        <f>'1 datos preparados'!T283</f>
        <v/>
      </c>
      <c r="V290" s="8">
        <f>$AC$12+D290*$AC$13+E290*$AC$14+F290*$AC$15+G290*$AC$16+H290*$AC$17+I290*$AC$18+J290*$AC$19+K290*$AC$20+L290*$AC$21+M290*$AC$22+N290*$AC$23+O290*$AC$24+P290*$AC$25+Q290*$AC$26+R290*$AC$27+S290*$AC$28+T290*$AC$29+U290*$AC$30</f>
        <v/>
      </c>
      <c r="W290" s="8">
        <f>1/(1+EXP(-V290))</f>
        <v/>
      </c>
      <c r="X290" s="9">
        <f>-IF(C290=1,LN(W290),LN(1-W290))</f>
        <v/>
      </c>
      <c r="Y290" s="10">
        <f>IF(W290&gt;$AC$33,1,0)</f>
        <v/>
      </c>
      <c r="Z290">
        <f>IF(Y290=C290,1,0)</f>
        <v/>
      </c>
    </row>
    <row r="291">
      <c r="A291">
        <f>'1 datos preparados'!A284</f>
        <v/>
      </c>
      <c r="B291" s="5">
        <f>'1 datos preparados'!U284</f>
        <v/>
      </c>
      <c r="C291">
        <f>'1 datos preparados'!B284</f>
        <v/>
      </c>
      <c r="D291" s="7">
        <f>'1 datos preparados'!C284</f>
        <v/>
      </c>
      <c r="E291" s="7">
        <f>'1 datos preparados'!D284</f>
        <v/>
      </c>
      <c r="F291" s="7">
        <f>'1 datos preparados'!E284</f>
        <v/>
      </c>
      <c r="G291" s="7">
        <f>'1 datos preparados'!F284</f>
        <v/>
      </c>
      <c r="H291" s="7">
        <f>'1 datos preparados'!G284</f>
        <v/>
      </c>
      <c r="I291" s="7">
        <f>'1 datos preparados'!H284</f>
        <v/>
      </c>
      <c r="J291" s="7">
        <f>'1 datos preparados'!I284</f>
        <v/>
      </c>
      <c r="K291" s="7">
        <f>'1 datos preparados'!J284</f>
        <v/>
      </c>
      <c r="L291" s="7">
        <f>'1 datos preparados'!K284</f>
        <v/>
      </c>
      <c r="M291" s="7">
        <f>'1 datos preparados'!L284</f>
        <v/>
      </c>
      <c r="N291" s="7">
        <f>'1 datos preparados'!M284</f>
        <v/>
      </c>
      <c r="O291" s="7">
        <f>'1 datos preparados'!N284</f>
        <v/>
      </c>
      <c r="P291" s="7">
        <f>'1 datos preparados'!O284</f>
        <v/>
      </c>
      <c r="Q291" s="7">
        <f>'1 datos preparados'!P284</f>
        <v/>
      </c>
      <c r="R291" s="7">
        <f>'1 datos preparados'!Q284</f>
        <v/>
      </c>
      <c r="S291" s="7">
        <f>'1 datos preparados'!R284</f>
        <v/>
      </c>
      <c r="T291" s="7">
        <f>'1 datos preparados'!S284</f>
        <v/>
      </c>
      <c r="U291" s="7">
        <f>'1 datos preparados'!T284</f>
        <v/>
      </c>
      <c r="V291" s="8">
        <f>$AC$12+D291*$AC$13+E291*$AC$14+F291*$AC$15+G291*$AC$16+H291*$AC$17+I291*$AC$18+J291*$AC$19+K291*$AC$20+L291*$AC$21+M291*$AC$22+N291*$AC$23+O291*$AC$24+P291*$AC$25+Q291*$AC$26+R291*$AC$27+S291*$AC$28+T291*$AC$29+U291*$AC$30</f>
        <v/>
      </c>
      <c r="W291" s="8">
        <f>1/(1+EXP(-V291))</f>
        <v/>
      </c>
      <c r="X291" s="9">
        <f>-IF(C291=1,LN(W291),LN(1-W291))</f>
        <v/>
      </c>
      <c r="Y291" s="10">
        <f>IF(W291&gt;$AC$33,1,0)</f>
        <v/>
      </c>
      <c r="Z291">
        <f>IF(Y291=C291,1,0)</f>
        <v/>
      </c>
    </row>
    <row r="292">
      <c r="A292">
        <f>'1 datos preparados'!A285</f>
        <v/>
      </c>
      <c r="B292" s="5">
        <f>'1 datos preparados'!U285</f>
        <v/>
      </c>
      <c r="C292">
        <f>'1 datos preparados'!B285</f>
        <v/>
      </c>
      <c r="D292" s="7">
        <f>'1 datos preparados'!C285</f>
        <v/>
      </c>
      <c r="E292" s="7">
        <f>'1 datos preparados'!D285</f>
        <v/>
      </c>
      <c r="F292" s="7">
        <f>'1 datos preparados'!E285</f>
        <v/>
      </c>
      <c r="G292" s="7">
        <f>'1 datos preparados'!F285</f>
        <v/>
      </c>
      <c r="H292" s="7">
        <f>'1 datos preparados'!G285</f>
        <v/>
      </c>
      <c r="I292" s="7">
        <f>'1 datos preparados'!H285</f>
        <v/>
      </c>
      <c r="J292" s="7">
        <f>'1 datos preparados'!I285</f>
        <v/>
      </c>
      <c r="K292" s="7">
        <f>'1 datos preparados'!J285</f>
        <v/>
      </c>
      <c r="L292" s="7">
        <f>'1 datos preparados'!K285</f>
        <v/>
      </c>
      <c r="M292" s="7">
        <f>'1 datos preparados'!L285</f>
        <v/>
      </c>
      <c r="N292" s="7">
        <f>'1 datos preparados'!M285</f>
        <v/>
      </c>
      <c r="O292" s="7">
        <f>'1 datos preparados'!N285</f>
        <v/>
      </c>
      <c r="P292" s="7">
        <f>'1 datos preparados'!O285</f>
        <v/>
      </c>
      <c r="Q292" s="7">
        <f>'1 datos preparados'!P285</f>
        <v/>
      </c>
      <c r="R292" s="7">
        <f>'1 datos preparados'!Q285</f>
        <v/>
      </c>
      <c r="S292" s="7">
        <f>'1 datos preparados'!R285</f>
        <v/>
      </c>
      <c r="T292" s="7">
        <f>'1 datos preparados'!S285</f>
        <v/>
      </c>
      <c r="U292" s="7">
        <f>'1 datos preparados'!T285</f>
        <v/>
      </c>
      <c r="V292" s="8">
        <f>$AC$12+D292*$AC$13+E292*$AC$14+F292*$AC$15+G292*$AC$16+H292*$AC$17+I292*$AC$18+J292*$AC$19+K292*$AC$20+L292*$AC$21+M292*$AC$22+N292*$AC$23+O292*$AC$24+P292*$AC$25+Q292*$AC$26+R292*$AC$27+S292*$AC$28+T292*$AC$29+U292*$AC$30</f>
        <v/>
      </c>
      <c r="W292" s="8">
        <f>1/(1+EXP(-V292))</f>
        <v/>
      </c>
      <c r="X292" s="9">
        <f>-IF(C292=1,LN(W292),LN(1-W292))</f>
        <v/>
      </c>
      <c r="Y292" s="10">
        <f>IF(W292&gt;$AC$33,1,0)</f>
        <v/>
      </c>
      <c r="Z292">
        <f>IF(Y292=C292,1,0)</f>
        <v/>
      </c>
    </row>
    <row r="293">
      <c r="A293">
        <f>'1 datos preparados'!A286</f>
        <v/>
      </c>
      <c r="B293" s="5">
        <f>'1 datos preparados'!U286</f>
        <v/>
      </c>
      <c r="C293">
        <f>'1 datos preparados'!B286</f>
        <v/>
      </c>
      <c r="D293" s="7">
        <f>'1 datos preparados'!C286</f>
        <v/>
      </c>
      <c r="E293" s="7">
        <f>'1 datos preparados'!D286</f>
        <v/>
      </c>
      <c r="F293" s="7">
        <f>'1 datos preparados'!E286</f>
        <v/>
      </c>
      <c r="G293" s="7">
        <f>'1 datos preparados'!F286</f>
        <v/>
      </c>
      <c r="H293" s="7">
        <f>'1 datos preparados'!G286</f>
        <v/>
      </c>
      <c r="I293" s="7">
        <f>'1 datos preparados'!H286</f>
        <v/>
      </c>
      <c r="J293" s="7">
        <f>'1 datos preparados'!I286</f>
        <v/>
      </c>
      <c r="K293" s="7">
        <f>'1 datos preparados'!J286</f>
        <v/>
      </c>
      <c r="L293" s="7">
        <f>'1 datos preparados'!K286</f>
        <v/>
      </c>
      <c r="M293" s="7">
        <f>'1 datos preparados'!L286</f>
        <v/>
      </c>
      <c r="N293" s="7">
        <f>'1 datos preparados'!M286</f>
        <v/>
      </c>
      <c r="O293" s="7">
        <f>'1 datos preparados'!N286</f>
        <v/>
      </c>
      <c r="P293" s="7">
        <f>'1 datos preparados'!O286</f>
        <v/>
      </c>
      <c r="Q293" s="7">
        <f>'1 datos preparados'!P286</f>
        <v/>
      </c>
      <c r="R293" s="7">
        <f>'1 datos preparados'!Q286</f>
        <v/>
      </c>
      <c r="S293" s="7">
        <f>'1 datos preparados'!R286</f>
        <v/>
      </c>
      <c r="T293" s="7">
        <f>'1 datos preparados'!S286</f>
        <v/>
      </c>
      <c r="U293" s="7">
        <f>'1 datos preparados'!T286</f>
        <v/>
      </c>
      <c r="V293" s="8">
        <f>$AC$12+D293*$AC$13+E293*$AC$14+F293*$AC$15+G293*$AC$16+H293*$AC$17+I293*$AC$18+J293*$AC$19+K293*$AC$20+L293*$AC$21+M293*$AC$22+N293*$AC$23+O293*$AC$24+P293*$AC$25+Q293*$AC$26+R293*$AC$27+S293*$AC$28+T293*$AC$29+U293*$AC$30</f>
        <v/>
      </c>
      <c r="W293" s="8">
        <f>1/(1+EXP(-V293))</f>
        <v/>
      </c>
      <c r="X293" s="9">
        <f>-IF(C293=1,LN(W293),LN(1-W293))</f>
        <v/>
      </c>
      <c r="Y293" s="10">
        <f>IF(W293&gt;$AC$33,1,0)</f>
        <v/>
      </c>
      <c r="Z293">
        <f>IF(Y293=C293,1,0)</f>
        <v/>
      </c>
    </row>
    <row r="294">
      <c r="A294">
        <f>'1 datos preparados'!A287</f>
        <v/>
      </c>
      <c r="B294" s="5">
        <f>'1 datos preparados'!U287</f>
        <v/>
      </c>
      <c r="C294">
        <f>'1 datos preparados'!B287</f>
        <v/>
      </c>
      <c r="D294" s="7">
        <f>'1 datos preparados'!C287</f>
        <v/>
      </c>
      <c r="E294" s="7">
        <f>'1 datos preparados'!D287</f>
        <v/>
      </c>
      <c r="F294" s="7">
        <f>'1 datos preparados'!E287</f>
        <v/>
      </c>
      <c r="G294" s="7">
        <f>'1 datos preparados'!F287</f>
        <v/>
      </c>
      <c r="H294" s="7">
        <f>'1 datos preparados'!G287</f>
        <v/>
      </c>
      <c r="I294" s="7">
        <f>'1 datos preparados'!H287</f>
        <v/>
      </c>
      <c r="J294" s="7">
        <f>'1 datos preparados'!I287</f>
        <v/>
      </c>
      <c r="K294" s="7">
        <f>'1 datos preparados'!J287</f>
        <v/>
      </c>
      <c r="L294" s="7">
        <f>'1 datos preparados'!K287</f>
        <v/>
      </c>
      <c r="M294" s="7">
        <f>'1 datos preparados'!L287</f>
        <v/>
      </c>
      <c r="N294" s="7">
        <f>'1 datos preparados'!M287</f>
        <v/>
      </c>
      <c r="O294" s="7">
        <f>'1 datos preparados'!N287</f>
        <v/>
      </c>
      <c r="P294" s="7">
        <f>'1 datos preparados'!O287</f>
        <v/>
      </c>
      <c r="Q294" s="7">
        <f>'1 datos preparados'!P287</f>
        <v/>
      </c>
      <c r="R294" s="7">
        <f>'1 datos preparados'!Q287</f>
        <v/>
      </c>
      <c r="S294" s="7">
        <f>'1 datos preparados'!R287</f>
        <v/>
      </c>
      <c r="T294" s="7">
        <f>'1 datos preparados'!S287</f>
        <v/>
      </c>
      <c r="U294" s="7">
        <f>'1 datos preparados'!T287</f>
        <v/>
      </c>
      <c r="V294" s="8">
        <f>$AC$12+D294*$AC$13+E294*$AC$14+F294*$AC$15+G294*$AC$16+H294*$AC$17+I294*$AC$18+J294*$AC$19+K294*$AC$20+L294*$AC$21+M294*$AC$22+N294*$AC$23+O294*$AC$24+P294*$AC$25+Q294*$AC$26+R294*$AC$27+S294*$AC$28+T294*$AC$29+U294*$AC$30</f>
        <v/>
      </c>
      <c r="W294" s="8">
        <f>1/(1+EXP(-V294))</f>
        <v/>
      </c>
      <c r="X294" s="9">
        <f>-IF(C294=1,LN(W294),LN(1-W294))</f>
        <v/>
      </c>
      <c r="Y294" s="10">
        <f>IF(W294&gt;$AC$33,1,0)</f>
        <v/>
      </c>
      <c r="Z294">
        <f>IF(Y294=C294,1,0)</f>
        <v/>
      </c>
    </row>
    <row r="295">
      <c r="A295">
        <f>'1 datos preparados'!A288</f>
        <v/>
      </c>
      <c r="B295" s="5">
        <f>'1 datos preparados'!U288</f>
        <v/>
      </c>
      <c r="C295">
        <f>'1 datos preparados'!B288</f>
        <v/>
      </c>
      <c r="D295" s="7">
        <f>'1 datos preparados'!C288</f>
        <v/>
      </c>
      <c r="E295" s="7">
        <f>'1 datos preparados'!D288</f>
        <v/>
      </c>
      <c r="F295" s="7">
        <f>'1 datos preparados'!E288</f>
        <v/>
      </c>
      <c r="G295" s="7">
        <f>'1 datos preparados'!F288</f>
        <v/>
      </c>
      <c r="H295" s="7">
        <f>'1 datos preparados'!G288</f>
        <v/>
      </c>
      <c r="I295" s="7">
        <f>'1 datos preparados'!H288</f>
        <v/>
      </c>
      <c r="J295" s="7">
        <f>'1 datos preparados'!I288</f>
        <v/>
      </c>
      <c r="K295" s="7">
        <f>'1 datos preparados'!J288</f>
        <v/>
      </c>
      <c r="L295" s="7">
        <f>'1 datos preparados'!K288</f>
        <v/>
      </c>
      <c r="M295" s="7">
        <f>'1 datos preparados'!L288</f>
        <v/>
      </c>
      <c r="N295" s="7">
        <f>'1 datos preparados'!M288</f>
        <v/>
      </c>
      <c r="O295" s="7">
        <f>'1 datos preparados'!N288</f>
        <v/>
      </c>
      <c r="P295" s="7">
        <f>'1 datos preparados'!O288</f>
        <v/>
      </c>
      <c r="Q295" s="7">
        <f>'1 datos preparados'!P288</f>
        <v/>
      </c>
      <c r="R295" s="7">
        <f>'1 datos preparados'!Q288</f>
        <v/>
      </c>
      <c r="S295" s="7">
        <f>'1 datos preparados'!R288</f>
        <v/>
      </c>
      <c r="T295" s="7">
        <f>'1 datos preparados'!S288</f>
        <v/>
      </c>
      <c r="U295" s="7">
        <f>'1 datos preparados'!T288</f>
        <v/>
      </c>
      <c r="V295" s="8">
        <f>$AC$12+D295*$AC$13+E295*$AC$14+F295*$AC$15+G295*$AC$16+H295*$AC$17+I295*$AC$18+J295*$AC$19+K295*$AC$20+L295*$AC$21+M295*$AC$22+N295*$AC$23+O295*$AC$24+P295*$AC$25+Q295*$AC$26+R295*$AC$27+S295*$AC$28+T295*$AC$29+U295*$AC$30</f>
        <v/>
      </c>
      <c r="W295" s="8">
        <f>1/(1+EXP(-V295))</f>
        <v/>
      </c>
      <c r="X295" s="9">
        <f>-IF(C295=1,LN(W295),LN(1-W295))</f>
        <v/>
      </c>
      <c r="Y295" s="10">
        <f>IF(W295&gt;$AC$33,1,0)</f>
        <v/>
      </c>
      <c r="Z295">
        <f>IF(Y295=C295,1,0)</f>
        <v/>
      </c>
    </row>
    <row r="296">
      <c r="A296">
        <f>'1 datos preparados'!A289</f>
        <v/>
      </c>
      <c r="B296" s="5">
        <f>'1 datos preparados'!U289</f>
        <v/>
      </c>
      <c r="C296">
        <f>'1 datos preparados'!B289</f>
        <v/>
      </c>
      <c r="D296" s="7">
        <f>'1 datos preparados'!C289</f>
        <v/>
      </c>
      <c r="E296" s="7">
        <f>'1 datos preparados'!D289</f>
        <v/>
      </c>
      <c r="F296" s="7">
        <f>'1 datos preparados'!E289</f>
        <v/>
      </c>
      <c r="G296" s="7">
        <f>'1 datos preparados'!F289</f>
        <v/>
      </c>
      <c r="H296" s="7">
        <f>'1 datos preparados'!G289</f>
        <v/>
      </c>
      <c r="I296" s="7">
        <f>'1 datos preparados'!H289</f>
        <v/>
      </c>
      <c r="J296" s="7">
        <f>'1 datos preparados'!I289</f>
        <v/>
      </c>
      <c r="K296" s="7">
        <f>'1 datos preparados'!J289</f>
        <v/>
      </c>
      <c r="L296" s="7">
        <f>'1 datos preparados'!K289</f>
        <v/>
      </c>
      <c r="M296" s="7">
        <f>'1 datos preparados'!L289</f>
        <v/>
      </c>
      <c r="N296" s="7">
        <f>'1 datos preparados'!M289</f>
        <v/>
      </c>
      <c r="O296" s="7">
        <f>'1 datos preparados'!N289</f>
        <v/>
      </c>
      <c r="P296" s="7">
        <f>'1 datos preparados'!O289</f>
        <v/>
      </c>
      <c r="Q296" s="7">
        <f>'1 datos preparados'!P289</f>
        <v/>
      </c>
      <c r="R296" s="7">
        <f>'1 datos preparados'!Q289</f>
        <v/>
      </c>
      <c r="S296" s="7">
        <f>'1 datos preparados'!R289</f>
        <v/>
      </c>
      <c r="T296" s="7">
        <f>'1 datos preparados'!S289</f>
        <v/>
      </c>
      <c r="U296" s="7">
        <f>'1 datos preparados'!T289</f>
        <v/>
      </c>
      <c r="V296" s="8">
        <f>$AC$12+D296*$AC$13+E296*$AC$14+F296*$AC$15+G296*$AC$16+H296*$AC$17+I296*$AC$18+J296*$AC$19+K296*$AC$20+L296*$AC$21+M296*$AC$22+N296*$AC$23+O296*$AC$24+P296*$AC$25+Q296*$AC$26+R296*$AC$27+S296*$AC$28+T296*$AC$29+U296*$AC$30</f>
        <v/>
      </c>
      <c r="W296" s="8">
        <f>1/(1+EXP(-V296))</f>
        <v/>
      </c>
      <c r="X296" s="9">
        <f>-IF(C296=1,LN(W296),LN(1-W296))</f>
        <v/>
      </c>
      <c r="Y296" s="10">
        <f>IF(W296&gt;$AC$33,1,0)</f>
        <v/>
      </c>
      <c r="Z296">
        <f>IF(Y296=C296,1,0)</f>
        <v/>
      </c>
    </row>
    <row r="297">
      <c r="A297">
        <f>'1 datos preparados'!A290</f>
        <v/>
      </c>
      <c r="B297" s="5">
        <f>'1 datos preparados'!U290</f>
        <v/>
      </c>
      <c r="C297">
        <f>'1 datos preparados'!B290</f>
        <v/>
      </c>
      <c r="D297" s="7">
        <f>'1 datos preparados'!C290</f>
        <v/>
      </c>
      <c r="E297" s="7">
        <f>'1 datos preparados'!D290</f>
        <v/>
      </c>
      <c r="F297" s="7">
        <f>'1 datos preparados'!E290</f>
        <v/>
      </c>
      <c r="G297" s="7">
        <f>'1 datos preparados'!F290</f>
        <v/>
      </c>
      <c r="H297" s="7">
        <f>'1 datos preparados'!G290</f>
        <v/>
      </c>
      <c r="I297" s="7">
        <f>'1 datos preparados'!H290</f>
        <v/>
      </c>
      <c r="J297" s="7">
        <f>'1 datos preparados'!I290</f>
        <v/>
      </c>
      <c r="K297" s="7">
        <f>'1 datos preparados'!J290</f>
        <v/>
      </c>
      <c r="L297" s="7">
        <f>'1 datos preparados'!K290</f>
        <v/>
      </c>
      <c r="M297" s="7">
        <f>'1 datos preparados'!L290</f>
        <v/>
      </c>
      <c r="N297" s="7">
        <f>'1 datos preparados'!M290</f>
        <v/>
      </c>
      <c r="O297" s="7">
        <f>'1 datos preparados'!N290</f>
        <v/>
      </c>
      <c r="P297" s="7">
        <f>'1 datos preparados'!O290</f>
        <v/>
      </c>
      <c r="Q297" s="7">
        <f>'1 datos preparados'!P290</f>
        <v/>
      </c>
      <c r="R297" s="7">
        <f>'1 datos preparados'!Q290</f>
        <v/>
      </c>
      <c r="S297" s="7">
        <f>'1 datos preparados'!R290</f>
        <v/>
      </c>
      <c r="T297" s="7">
        <f>'1 datos preparados'!S290</f>
        <v/>
      </c>
      <c r="U297" s="7">
        <f>'1 datos preparados'!T290</f>
        <v/>
      </c>
      <c r="V297" s="8">
        <f>$AC$12+D297*$AC$13+E297*$AC$14+F297*$AC$15+G297*$AC$16+H297*$AC$17+I297*$AC$18+J297*$AC$19+K297*$AC$20+L297*$AC$21+M297*$AC$22+N297*$AC$23+O297*$AC$24+P297*$AC$25+Q297*$AC$26+R297*$AC$27+S297*$AC$28+T297*$AC$29+U297*$AC$30</f>
        <v/>
      </c>
      <c r="W297" s="8">
        <f>1/(1+EXP(-V297))</f>
        <v/>
      </c>
      <c r="X297" s="9">
        <f>-IF(C297=1,LN(W297),LN(1-W297))</f>
        <v/>
      </c>
      <c r="Y297" s="10">
        <f>IF(W297&gt;$AC$33,1,0)</f>
        <v/>
      </c>
      <c r="Z297">
        <f>IF(Y297=C297,1,0)</f>
        <v/>
      </c>
    </row>
    <row r="298">
      <c r="A298">
        <f>'1 datos preparados'!A291</f>
        <v/>
      </c>
      <c r="B298" s="5">
        <f>'1 datos preparados'!U291</f>
        <v/>
      </c>
      <c r="C298">
        <f>'1 datos preparados'!B291</f>
        <v/>
      </c>
      <c r="D298" s="7">
        <f>'1 datos preparados'!C291</f>
        <v/>
      </c>
      <c r="E298" s="7">
        <f>'1 datos preparados'!D291</f>
        <v/>
      </c>
      <c r="F298" s="7">
        <f>'1 datos preparados'!E291</f>
        <v/>
      </c>
      <c r="G298" s="7">
        <f>'1 datos preparados'!F291</f>
        <v/>
      </c>
      <c r="H298" s="7">
        <f>'1 datos preparados'!G291</f>
        <v/>
      </c>
      <c r="I298" s="7">
        <f>'1 datos preparados'!H291</f>
        <v/>
      </c>
      <c r="J298" s="7">
        <f>'1 datos preparados'!I291</f>
        <v/>
      </c>
      <c r="K298" s="7">
        <f>'1 datos preparados'!J291</f>
        <v/>
      </c>
      <c r="L298" s="7">
        <f>'1 datos preparados'!K291</f>
        <v/>
      </c>
      <c r="M298" s="7">
        <f>'1 datos preparados'!L291</f>
        <v/>
      </c>
      <c r="N298" s="7">
        <f>'1 datos preparados'!M291</f>
        <v/>
      </c>
      <c r="O298" s="7">
        <f>'1 datos preparados'!N291</f>
        <v/>
      </c>
      <c r="P298" s="7">
        <f>'1 datos preparados'!O291</f>
        <v/>
      </c>
      <c r="Q298" s="7">
        <f>'1 datos preparados'!P291</f>
        <v/>
      </c>
      <c r="R298" s="7">
        <f>'1 datos preparados'!Q291</f>
        <v/>
      </c>
      <c r="S298" s="7">
        <f>'1 datos preparados'!R291</f>
        <v/>
      </c>
      <c r="T298" s="7">
        <f>'1 datos preparados'!S291</f>
        <v/>
      </c>
      <c r="U298" s="7">
        <f>'1 datos preparados'!T291</f>
        <v/>
      </c>
      <c r="V298" s="8">
        <f>$AC$12+D298*$AC$13+E298*$AC$14+F298*$AC$15+G298*$AC$16+H298*$AC$17+I298*$AC$18+J298*$AC$19+K298*$AC$20+L298*$AC$21+M298*$AC$22+N298*$AC$23+O298*$AC$24+P298*$AC$25+Q298*$AC$26+R298*$AC$27+S298*$AC$28+T298*$AC$29+U298*$AC$30</f>
        <v/>
      </c>
      <c r="W298" s="8">
        <f>1/(1+EXP(-V298))</f>
        <v/>
      </c>
      <c r="X298" s="9">
        <f>-IF(C298=1,LN(W298),LN(1-W298))</f>
        <v/>
      </c>
      <c r="Y298" s="10">
        <f>IF(W298&gt;$AC$33,1,0)</f>
        <v/>
      </c>
      <c r="Z298">
        <f>IF(Y298=C298,1,0)</f>
        <v/>
      </c>
    </row>
    <row r="299">
      <c r="A299">
        <f>'1 datos preparados'!A292</f>
        <v/>
      </c>
      <c r="B299" s="5">
        <f>'1 datos preparados'!U292</f>
        <v/>
      </c>
      <c r="C299">
        <f>'1 datos preparados'!B292</f>
        <v/>
      </c>
      <c r="D299" s="7">
        <f>'1 datos preparados'!C292</f>
        <v/>
      </c>
      <c r="E299" s="7">
        <f>'1 datos preparados'!D292</f>
        <v/>
      </c>
      <c r="F299" s="7">
        <f>'1 datos preparados'!E292</f>
        <v/>
      </c>
      <c r="G299" s="7">
        <f>'1 datos preparados'!F292</f>
        <v/>
      </c>
      <c r="H299" s="7">
        <f>'1 datos preparados'!G292</f>
        <v/>
      </c>
      <c r="I299" s="7">
        <f>'1 datos preparados'!H292</f>
        <v/>
      </c>
      <c r="J299" s="7">
        <f>'1 datos preparados'!I292</f>
        <v/>
      </c>
      <c r="K299" s="7">
        <f>'1 datos preparados'!J292</f>
        <v/>
      </c>
      <c r="L299" s="7">
        <f>'1 datos preparados'!K292</f>
        <v/>
      </c>
      <c r="M299" s="7">
        <f>'1 datos preparados'!L292</f>
        <v/>
      </c>
      <c r="N299" s="7">
        <f>'1 datos preparados'!M292</f>
        <v/>
      </c>
      <c r="O299" s="7">
        <f>'1 datos preparados'!N292</f>
        <v/>
      </c>
      <c r="P299" s="7">
        <f>'1 datos preparados'!O292</f>
        <v/>
      </c>
      <c r="Q299" s="7">
        <f>'1 datos preparados'!P292</f>
        <v/>
      </c>
      <c r="R299" s="7">
        <f>'1 datos preparados'!Q292</f>
        <v/>
      </c>
      <c r="S299" s="7">
        <f>'1 datos preparados'!R292</f>
        <v/>
      </c>
      <c r="T299" s="7">
        <f>'1 datos preparados'!S292</f>
        <v/>
      </c>
      <c r="U299" s="7">
        <f>'1 datos preparados'!T292</f>
        <v/>
      </c>
      <c r="V299" s="8">
        <f>$AC$12+D299*$AC$13+E299*$AC$14+F299*$AC$15+G299*$AC$16+H299*$AC$17+I299*$AC$18+J299*$AC$19+K299*$AC$20+L299*$AC$21+M299*$AC$22+N299*$AC$23+O299*$AC$24+P299*$AC$25+Q299*$AC$26+R299*$AC$27+S299*$AC$28+T299*$AC$29+U299*$AC$30</f>
        <v/>
      </c>
      <c r="W299" s="8">
        <f>1/(1+EXP(-V299))</f>
        <v/>
      </c>
      <c r="X299" s="9">
        <f>-IF(C299=1,LN(W299),LN(1-W299))</f>
        <v/>
      </c>
      <c r="Y299" s="10">
        <f>IF(W299&gt;$AC$33,1,0)</f>
        <v/>
      </c>
      <c r="Z299">
        <f>IF(Y299=C299,1,0)</f>
        <v/>
      </c>
    </row>
    <row r="300">
      <c r="A300">
        <f>'1 datos preparados'!A293</f>
        <v/>
      </c>
      <c r="B300" s="5">
        <f>'1 datos preparados'!U293</f>
        <v/>
      </c>
      <c r="C300">
        <f>'1 datos preparados'!B293</f>
        <v/>
      </c>
      <c r="D300" s="7">
        <f>'1 datos preparados'!C293</f>
        <v/>
      </c>
      <c r="E300" s="7">
        <f>'1 datos preparados'!D293</f>
        <v/>
      </c>
      <c r="F300" s="7">
        <f>'1 datos preparados'!E293</f>
        <v/>
      </c>
      <c r="G300" s="7">
        <f>'1 datos preparados'!F293</f>
        <v/>
      </c>
      <c r="H300" s="7">
        <f>'1 datos preparados'!G293</f>
        <v/>
      </c>
      <c r="I300" s="7">
        <f>'1 datos preparados'!H293</f>
        <v/>
      </c>
      <c r="J300" s="7">
        <f>'1 datos preparados'!I293</f>
        <v/>
      </c>
      <c r="K300" s="7">
        <f>'1 datos preparados'!J293</f>
        <v/>
      </c>
      <c r="L300" s="7">
        <f>'1 datos preparados'!K293</f>
        <v/>
      </c>
      <c r="M300" s="7">
        <f>'1 datos preparados'!L293</f>
        <v/>
      </c>
      <c r="N300" s="7">
        <f>'1 datos preparados'!M293</f>
        <v/>
      </c>
      <c r="O300" s="7">
        <f>'1 datos preparados'!N293</f>
        <v/>
      </c>
      <c r="P300" s="7">
        <f>'1 datos preparados'!O293</f>
        <v/>
      </c>
      <c r="Q300" s="7">
        <f>'1 datos preparados'!P293</f>
        <v/>
      </c>
      <c r="R300" s="7">
        <f>'1 datos preparados'!Q293</f>
        <v/>
      </c>
      <c r="S300" s="7">
        <f>'1 datos preparados'!R293</f>
        <v/>
      </c>
      <c r="T300" s="7">
        <f>'1 datos preparados'!S293</f>
        <v/>
      </c>
      <c r="U300" s="7">
        <f>'1 datos preparados'!T293</f>
        <v/>
      </c>
      <c r="V300" s="8">
        <f>$AC$12+D300*$AC$13+E300*$AC$14+F300*$AC$15+G300*$AC$16+H300*$AC$17+I300*$AC$18+J300*$AC$19+K300*$AC$20+L300*$AC$21+M300*$AC$22+N300*$AC$23+O300*$AC$24+P300*$AC$25+Q300*$AC$26+R300*$AC$27+S300*$AC$28+T300*$AC$29+U300*$AC$30</f>
        <v/>
      </c>
      <c r="W300" s="8">
        <f>1/(1+EXP(-V300))</f>
        <v/>
      </c>
      <c r="X300" s="9">
        <f>-IF(C300=1,LN(W300),LN(1-W300))</f>
        <v/>
      </c>
      <c r="Y300" s="10">
        <f>IF(W300&gt;$AC$33,1,0)</f>
        <v/>
      </c>
      <c r="Z300">
        <f>IF(Y300=C300,1,0)</f>
        <v/>
      </c>
    </row>
    <row r="301">
      <c r="A301">
        <f>'1 datos preparados'!A294</f>
        <v/>
      </c>
      <c r="B301" s="5">
        <f>'1 datos preparados'!U294</f>
        <v/>
      </c>
      <c r="C301">
        <f>'1 datos preparados'!B294</f>
        <v/>
      </c>
      <c r="D301" s="7">
        <f>'1 datos preparados'!C294</f>
        <v/>
      </c>
      <c r="E301" s="7">
        <f>'1 datos preparados'!D294</f>
        <v/>
      </c>
      <c r="F301" s="7">
        <f>'1 datos preparados'!E294</f>
        <v/>
      </c>
      <c r="G301" s="7">
        <f>'1 datos preparados'!F294</f>
        <v/>
      </c>
      <c r="H301" s="7">
        <f>'1 datos preparados'!G294</f>
        <v/>
      </c>
      <c r="I301" s="7">
        <f>'1 datos preparados'!H294</f>
        <v/>
      </c>
      <c r="J301" s="7">
        <f>'1 datos preparados'!I294</f>
        <v/>
      </c>
      <c r="K301" s="7">
        <f>'1 datos preparados'!J294</f>
        <v/>
      </c>
      <c r="L301" s="7">
        <f>'1 datos preparados'!K294</f>
        <v/>
      </c>
      <c r="M301" s="7">
        <f>'1 datos preparados'!L294</f>
        <v/>
      </c>
      <c r="N301" s="7">
        <f>'1 datos preparados'!M294</f>
        <v/>
      </c>
      <c r="O301" s="7">
        <f>'1 datos preparados'!N294</f>
        <v/>
      </c>
      <c r="P301" s="7">
        <f>'1 datos preparados'!O294</f>
        <v/>
      </c>
      <c r="Q301" s="7">
        <f>'1 datos preparados'!P294</f>
        <v/>
      </c>
      <c r="R301" s="7">
        <f>'1 datos preparados'!Q294</f>
        <v/>
      </c>
      <c r="S301" s="7">
        <f>'1 datos preparados'!R294</f>
        <v/>
      </c>
      <c r="T301" s="7">
        <f>'1 datos preparados'!S294</f>
        <v/>
      </c>
      <c r="U301" s="7">
        <f>'1 datos preparados'!T294</f>
        <v/>
      </c>
      <c r="V301" s="8">
        <f>$AC$12+D301*$AC$13+E301*$AC$14+F301*$AC$15+G301*$AC$16+H301*$AC$17+I301*$AC$18+J301*$AC$19+K301*$AC$20+L301*$AC$21+M301*$AC$22+N301*$AC$23+O301*$AC$24+P301*$AC$25+Q301*$AC$26+R301*$AC$27+S301*$AC$28+T301*$AC$29+U301*$AC$30</f>
        <v/>
      </c>
      <c r="W301" s="8">
        <f>1/(1+EXP(-V301))</f>
        <v/>
      </c>
      <c r="X301" s="9">
        <f>-IF(C301=1,LN(W301),LN(1-W301))</f>
        <v/>
      </c>
      <c r="Y301" s="10">
        <f>IF(W301&gt;$AC$33,1,0)</f>
        <v/>
      </c>
      <c r="Z301">
        <f>IF(Y301=C301,1,0)</f>
        <v/>
      </c>
    </row>
    <row r="302">
      <c r="A302">
        <f>'1 datos preparados'!A295</f>
        <v/>
      </c>
      <c r="B302" s="5">
        <f>'1 datos preparados'!U295</f>
        <v/>
      </c>
      <c r="C302">
        <f>'1 datos preparados'!B295</f>
        <v/>
      </c>
      <c r="D302" s="7">
        <f>'1 datos preparados'!C295</f>
        <v/>
      </c>
      <c r="E302" s="7">
        <f>'1 datos preparados'!D295</f>
        <v/>
      </c>
      <c r="F302" s="7">
        <f>'1 datos preparados'!E295</f>
        <v/>
      </c>
      <c r="G302" s="7">
        <f>'1 datos preparados'!F295</f>
        <v/>
      </c>
      <c r="H302" s="7">
        <f>'1 datos preparados'!G295</f>
        <v/>
      </c>
      <c r="I302" s="7">
        <f>'1 datos preparados'!H295</f>
        <v/>
      </c>
      <c r="J302" s="7">
        <f>'1 datos preparados'!I295</f>
        <v/>
      </c>
      <c r="K302" s="7">
        <f>'1 datos preparados'!J295</f>
        <v/>
      </c>
      <c r="L302" s="7">
        <f>'1 datos preparados'!K295</f>
        <v/>
      </c>
      <c r="M302" s="7">
        <f>'1 datos preparados'!L295</f>
        <v/>
      </c>
      <c r="N302" s="7">
        <f>'1 datos preparados'!M295</f>
        <v/>
      </c>
      <c r="O302" s="7">
        <f>'1 datos preparados'!N295</f>
        <v/>
      </c>
      <c r="P302" s="7">
        <f>'1 datos preparados'!O295</f>
        <v/>
      </c>
      <c r="Q302" s="7">
        <f>'1 datos preparados'!P295</f>
        <v/>
      </c>
      <c r="R302" s="7">
        <f>'1 datos preparados'!Q295</f>
        <v/>
      </c>
      <c r="S302" s="7">
        <f>'1 datos preparados'!R295</f>
        <v/>
      </c>
      <c r="T302" s="7">
        <f>'1 datos preparados'!S295</f>
        <v/>
      </c>
      <c r="U302" s="7">
        <f>'1 datos preparados'!T295</f>
        <v/>
      </c>
      <c r="V302" s="8">
        <f>$AC$12+D302*$AC$13+E302*$AC$14+F302*$AC$15+G302*$AC$16+H302*$AC$17+I302*$AC$18+J302*$AC$19+K302*$AC$20+L302*$AC$21+M302*$AC$22+N302*$AC$23+O302*$AC$24+P302*$AC$25+Q302*$AC$26+R302*$AC$27+S302*$AC$28+T302*$AC$29+U302*$AC$30</f>
        <v/>
      </c>
      <c r="W302" s="8">
        <f>1/(1+EXP(-V302))</f>
        <v/>
      </c>
      <c r="X302" s="9">
        <f>-IF(C302=1,LN(W302),LN(1-W302))</f>
        <v/>
      </c>
      <c r="Y302" s="10">
        <f>IF(W302&gt;$AC$33,1,0)</f>
        <v/>
      </c>
      <c r="Z302">
        <f>IF(Y302=C302,1,0)</f>
        <v/>
      </c>
    </row>
    <row r="303">
      <c r="A303">
        <f>'1 datos preparados'!A296</f>
        <v/>
      </c>
      <c r="B303" s="5">
        <f>'1 datos preparados'!U296</f>
        <v/>
      </c>
      <c r="C303">
        <f>'1 datos preparados'!B296</f>
        <v/>
      </c>
      <c r="D303" s="7">
        <f>'1 datos preparados'!C296</f>
        <v/>
      </c>
      <c r="E303" s="7">
        <f>'1 datos preparados'!D296</f>
        <v/>
      </c>
      <c r="F303" s="7">
        <f>'1 datos preparados'!E296</f>
        <v/>
      </c>
      <c r="G303" s="7">
        <f>'1 datos preparados'!F296</f>
        <v/>
      </c>
      <c r="H303" s="7">
        <f>'1 datos preparados'!G296</f>
        <v/>
      </c>
      <c r="I303" s="7">
        <f>'1 datos preparados'!H296</f>
        <v/>
      </c>
      <c r="J303" s="7">
        <f>'1 datos preparados'!I296</f>
        <v/>
      </c>
      <c r="K303" s="7">
        <f>'1 datos preparados'!J296</f>
        <v/>
      </c>
      <c r="L303" s="7">
        <f>'1 datos preparados'!K296</f>
        <v/>
      </c>
      <c r="M303" s="7">
        <f>'1 datos preparados'!L296</f>
        <v/>
      </c>
      <c r="N303" s="7">
        <f>'1 datos preparados'!M296</f>
        <v/>
      </c>
      <c r="O303" s="7">
        <f>'1 datos preparados'!N296</f>
        <v/>
      </c>
      <c r="P303" s="7">
        <f>'1 datos preparados'!O296</f>
        <v/>
      </c>
      <c r="Q303" s="7">
        <f>'1 datos preparados'!P296</f>
        <v/>
      </c>
      <c r="R303" s="7">
        <f>'1 datos preparados'!Q296</f>
        <v/>
      </c>
      <c r="S303" s="7">
        <f>'1 datos preparados'!R296</f>
        <v/>
      </c>
      <c r="T303" s="7">
        <f>'1 datos preparados'!S296</f>
        <v/>
      </c>
      <c r="U303" s="7">
        <f>'1 datos preparados'!T296</f>
        <v/>
      </c>
      <c r="V303" s="8">
        <f>$AC$12+D303*$AC$13+E303*$AC$14+F303*$AC$15+G303*$AC$16+H303*$AC$17+I303*$AC$18+J303*$AC$19+K303*$AC$20+L303*$AC$21+M303*$AC$22+N303*$AC$23+O303*$AC$24+P303*$AC$25+Q303*$AC$26+R303*$AC$27+S303*$AC$28+T303*$AC$29+U303*$AC$30</f>
        <v/>
      </c>
      <c r="W303" s="8">
        <f>1/(1+EXP(-V303))</f>
        <v/>
      </c>
      <c r="X303" s="9">
        <f>-IF(C303=1,LN(W303),LN(1-W303))</f>
        <v/>
      </c>
      <c r="Y303" s="10">
        <f>IF(W303&gt;$AC$33,1,0)</f>
        <v/>
      </c>
      <c r="Z303">
        <f>IF(Y303=C303,1,0)</f>
        <v/>
      </c>
    </row>
    <row r="304">
      <c r="A304">
        <f>'1 datos preparados'!A297</f>
        <v/>
      </c>
      <c r="B304" s="5">
        <f>'1 datos preparados'!U297</f>
        <v/>
      </c>
      <c r="C304">
        <f>'1 datos preparados'!B297</f>
        <v/>
      </c>
      <c r="D304" s="7">
        <f>'1 datos preparados'!C297</f>
        <v/>
      </c>
      <c r="E304" s="7">
        <f>'1 datos preparados'!D297</f>
        <v/>
      </c>
      <c r="F304" s="7">
        <f>'1 datos preparados'!E297</f>
        <v/>
      </c>
      <c r="G304" s="7">
        <f>'1 datos preparados'!F297</f>
        <v/>
      </c>
      <c r="H304" s="7">
        <f>'1 datos preparados'!G297</f>
        <v/>
      </c>
      <c r="I304" s="7">
        <f>'1 datos preparados'!H297</f>
        <v/>
      </c>
      <c r="J304" s="7">
        <f>'1 datos preparados'!I297</f>
        <v/>
      </c>
      <c r="K304" s="7">
        <f>'1 datos preparados'!J297</f>
        <v/>
      </c>
      <c r="L304" s="7">
        <f>'1 datos preparados'!K297</f>
        <v/>
      </c>
      <c r="M304" s="7">
        <f>'1 datos preparados'!L297</f>
        <v/>
      </c>
      <c r="N304" s="7">
        <f>'1 datos preparados'!M297</f>
        <v/>
      </c>
      <c r="O304" s="7">
        <f>'1 datos preparados'!N297</f>
        <v/>
      </c>
      <c r="P304" s="7">
        <f>'1 datos preparados'!O297</f>
        <v/>
      </c>
      <c r="Q304" s="7">
        <f>'1 datos preparados'!P297</f>
        <v/>
      </c>
      <c r="R304" s="7">
        <f>'1 datos preparados'!Q297</f>
        <v/>
      </c>
      <c r="S304" s="7">
        <f>'1 datos preparados'!R297</f>
        <v/>
      </c>
      <c r="T304" s="7">
        <f>'1 datos preparados'!S297</f>
        <v/>
      </c>
      <c r="U304" s="7">
        <f>'1 datos preparados'!T297</f>
        <v/>
      </c>
      <c r="V304" s="8">
        <f>$AC$12+D304*$AC$13+E304*$AC$14+F304*$AC$15+G304*$AC$16+H304*$AC$17+I304*$AC$18+J304*$AC$19+K304*$AC$20+L304*$AC$21+M304*$AC$22+N304*$AC$23+O304*$AC$24+P304*$AC$25+Q304*$AC$26+R304*$AC$27+S304*$AC$28+T304*$AC$29+U304*$AC$30</f>
        <v/>
      </c>
      <c r="W304" s="8">
        <f>1/(1+EXP(-V304))</f>
        <v/>
      </c>
      <c r="X304" s="9">
        <f>-IF(C304=1,LN(W304),LN(1-W304))</f>
        <v/>
      </c>
      <c r="Y304" s="10">
        <f>IF(W304&gt;$AC$33,1,0)</f>
        <v/>
      </c>
      <c r="Z304">
        <f>IF(Y304=C304,1,0)</f>
        <v/>
      </c>
    </row>
    <row r="305">
      <c r="A305">
        <f>'1 datos preparados'!A298</f>
        <v/>
      </c>
      <c r="B305" s="5">
        <f>'1 datos preparados'!U298</f>
        <v/>
      </c>
      <c r="C305">
        <f>'1 datos preparados'!B298</f>
        <v/>
      </c>
      <c r="D305" s="7">
        <f>'1 datos preparados'!C298</f>
        <v/>
      </c>
      <c r="E305" s="7">
        <f>'1 datos preparados'!D298</f>
        <v/>
      </c>
      <c r="F305" s="7">
        <f>'1 datos preparados'!E298</f>
        <v/>
      </c>
      <c r="G305" s="7">
        <f>'1 datos preparados'!F298</f>
        <v/>
      </c>
      <c r="H305" s="7">
        <f>'1 datos preparados'!G298</f>
        <v/>
      </c>
      <c r="I305" s="7">
        <f>'1 datos preparados'!H298</f>
        <v/>
      </c>
      <c r="J305" s="7">
        <f>'1 datos preparados'!I298</f>
        <v/>
      </c>
      <c r="K305" s="7">
        <f>'1 datos preparados'!J298</f>
        <v/>
      </c>
      <c r="L305" s="7">
        <f>'1 datos preparados'!K298</f>
        <v/>
      </c>
      <c r="M305" s="7">
        <f>'1 datos preparados'!L298</f>
        <v/>
      </c>
      <c r="N305" s="7">
        <f>'1 datos preparados'!M298</f>
        <v/>
      </c>
      <c r="O305" s="7">
        <f>'1 datos preparados'!N298</f>
        <v/>
      </c>
      <c r="P305" s="7">
        <f>'1 datos preparados'!O298</f>
        <v/>
      </c>
      <c r="Q305" s="7">
        <f>'1 datos preparados'!P298</f>
        <v/>
      </c>
      <c r="R305" s="7">
        <f>'1 datos preparados'!Q298</f>
        <v/>
      </c>
      <c r="S305" s="7">
        <f>'1 datos preparados'!R298</f>
        <v/>
      </c>
      <c r="T305" s="7">
        <f>'1 datos preparados'!S298</f>
        <v/>
      </c>
      <c r="U305" s="7">
        <f>'1 datos preparados'!T298</f>
        <v/>
      </c>
      <c r="V305" s="8">
        <f>$AC$12+D305*$AC$13+E305*$AC$14+F305*$AC$15+G305*$AC$16+H305*$AC$17+I305*$AC$18+J305*$AC$19+K305*$AC$20+L305*$AC$21+M305*$AC$22+N305*$AC$23+O305*$AC$24+P305*$AC$25+Q305*$AC$26+R305*$AC$27+S305*$AC$28+T305*$AC$29+U305*$AC$30</f>
        <v/>
      </c>
      <c r="W305" s="8">
        <f>1/(1+EXP(-V305))</f>
        <v/>
      </c>
      <c r="X305" s="9">
        <f>-IF(C305=1,LN(W305),LN(1-W305))</f>
        <v/>
      </c>
      <c r="Y305" s="10">
        <f>IF(W305&gt;$AC$33,1,0)</f>
        <v/>
      </c>
      <c r="Z305">
        <f>IF(Y305=C305,1,0)</f>
        <v/>
      </c>
    </row>
    <row r="306">
      <c r="A306">
        <f>'1 datos preparados'!A299</f>
        <v/>
      </c>
      <c r="B306" s="5">
        <f>'1 datos preparados'!U299</f>
        <v/>
      </c>
      <c r="C306">
        <f>'1 datos preparados'!B299</f>
        <v/>
      </c>
      <c r="D306" s="7">
        <f>'1 datos preparados'!C299</f>
        <v/>
      </c>
      <c r="E306" s="7">
        <f>'1 datos preparados'!D299</f>
        <v/>
      </c>
      <c r="F306" s="7">
        <f>'1 datos preparados'!E299</f>
        <v/>
      </c>
      <c r="G306" s="7">
        <f>'1 datos preparados'!F299</f>
        <v/>
      </c>
      <c r="H306" s="7">
        <f>'1 datos preparados'!G299</f>
        <v/>
      </c>
      <c r="I306" s="7">
        <f>'1 datos preparados'!H299</f>
        <v/>
      </c>
      <c r="J306" s="7">
        <f>'1 datos preparados'!I299</f>
        <v/>
      </c>
      <c r="K306" s="7">
        <f>'1 datos preparados'!J299</f>
        <v/>
      </c>
      <c r="L306" s="7">
        <f>'1 datos preparados'!K299</f>
        <v/>
      </c>
      <c r="M306" s="7">
        <f>'1 datos preparados'!L299</f>
        <v/>
      </c>
      <c r="N306" s="7">
        <f>'1 datos preparados'!M299</f>
        <v/>
      </c>
      <c r="O306" s="7">
        <f>'1 datos preparados'!N299</f>
        <v/>
      </c>
      <c r="P306" s="7">
        <f>'1 datos preparados'!O299</f>
        <v/>
      </c>
      <c r="Q306" s="7">
        <f>'1 datos preparados'!P299</f>
        <v/>
      </c>
      <c r="R306" s="7">
        <f>'1 datos preparados'!Q299</f>
        <v/>
      </c>
      <c r="S306" s="7">
        <f>'1 datos preparados'!R299</f>
        <v/>
      </c>
      <c r="T306" s="7">
        <f>'1 datos preparados'!S299</f>
        <v/>
      </c>
      <c r="U306" s="7">
        <f>'1 datos preparados'!T299</f>
        <v/>
      </c>
      <c r="V306" s="8">
        <f>$AC$12+D306*$AC$13+E306*$AC$14+F306*$AC$15+G306*$AC$16+H306*$AC$17+I306*$AC$18+J306*$AC$19+K306*$AC$20+L306*$AC$21+M306*$AC$22+N306*$AC$23+O306*$AC$24+P306*$AC$25+Q306*$AC$26+R306*$AC$27+S306*$AC$28+T306*$AC$29+U306*$AC$30</f>
        <v/>
      </c>
      <c r="W306" s="8">
        <f>1/(1+EXP(-V306))</f>
        <v/>
      </c>
      <c r="X306" s="9">
        <f>-IF(C306=1,LN(W306),LN(1-W306))</f>
        <v/>
      </c>
      <c r="Y306" s="10">
        <f>IF(W306&gt;$AC$33,1,0)</f>
        <v/>
      </c>
      <c r="Z306">
        <f>IF(Y306=C306,1,0)</f>
        <v/>
      </c>
    </row>
    <row r="307">
      <c r="A307">
        <f>'1 datos preparados'!A300</f>
        <v/>
      </c>
      <c r="B307" s="5">
        <f>'1 datos preparados'!U300</f>
        <v/>
      </c>
      <c r="C307">
        <f>'1 datos preparados'!B300</f>
        <v/>
      </c>
      <c r="D307" s="7">
        <f>'1 datos preparados'!C300</f>
        <v/>
      </c>
      <c r="E307" s="7">
        <f>'1 datos preparados'!D300</f>
        <v/>
      </c>
      <c r="F307" s="7">
        <f>'1 datos preparados'!E300</f>
        <v/>
      </c>
      <c r="G307" s="7">
        <f>'1 datos preparados'!F300</f>
        <v/>
      </c>
      <c r="H307" s="7">
        <f>'1 datos preparados'!G300</f>
        <v/>
      </c>
      <c r="I307" s="7">
        <f>'1 datos preparados'!H300</f>
        <v/>
      </c>
      <c r="J307" s="7">
        <f>'1 datos preparados'!I300</f>
        <v/>
      </c>
      <c r="K307" s="7">
        <f>'1 datos preparados'!J300</f>
        <v/>
      </c>
      <c r="L307" s="7">
        <f>'1 datos preparados'!K300</f>
        <v/>
      </c>
      <c r="M307" s="7">
        <f>'1 datos preparados'!L300</f>
        <v/>
      </c>
      <c r="N307" s="7">
        <f>'1 datos preparados'!M300</f>
        <v/>
      </c>
      <c r="O307" s="7">
        <f>'1 datos preparados'!N300</f>
        <v/>
      </c>
      <c r="P307" s="7">
        <f>'1 datos preparados'!O300</f>
        <v/>
      </c>
      <c r="Q307" s="7">
        <f>'1 datos preparados'!P300</f>
        <v/>
      </c>
      <c r="R307" s="7">
        <f>'1 datos preparados'!Q300</f>
        <v/>
      </c>
      <c r="S307" s="7">
        <f>'1 datos preparados'!R300</f>
        <v/>
      </c>
      <c r="T307" s="7">
        <f>'1 datos preparados'!S300</f>
        <v/>
      </c>
      <c r="U307" s="7">
        <f>'1 datos preparados'!T300</f>
        <v/>
      </c>
      <c r="V307" s="8">
        <f>$AC$12+D307*$AC$13+E307*$AC$14+F307*$AC$15+G307*$AC$16+H307*$AC$17+I307*$AC$18+J307*$AC$19+K307*$AC$20+L307*$AC$21+M307*$AC$22+N307*$AC$23+O307*$AC$24+P307*$AC$25+Q307*$AC$26+R307*$AC$27+S307*$AC$28+T307*$AC$29+U307*$AC$30</f>
        <v/>
      </c>
      <c r="W307" s="8">
        <f>1/(1+EXP(-V307))</f>
        <v/>
      </c>
      <c r="X307" s="9">
        <f>-IF(C307=1,LN(W307),LN(1-W307))</f>
        <v/>
      </c>
      <c r="Y307" s="10">
        <f>IF(W307&gt;$AC$33,1,0)</f>
        <v/>
      </c>
      <c r="Z307">
        <f>IF(Y307=C307,1,0)</f>
        <v/>
      </c>
    </row>
    <row r="308">
      <c r="A308">
        <f>'1 datos preparados'!A301</f>
        <v/>
      </c>
      <c r="B308" s="5">
        <f>'1 datos preparados'!U301</f>
        <v/>
      </c>
      <c r="C308">
        <f>'1 datos preparados'!B301</f>
        <v/>
      </c>
      <c r="D308" s="7">
        <f>'1 datos preparados'!C301</f>
        <v/>
      </c>
      <c r="E308" s="7">
        <f>'1 datos preparados'!D301</f>
        <v/>
      </c>
      <c r="F308" s="7">
        <f>'1 datos preparados'!E301</f>
        <v/>
      </c>
      <c r="G308" s="7">
        <f>'1 datos preparados'!F301</f>
        <v/>
      </c>
      <c r="H308" s="7">
        <f>'1 datos preparados'!G301</f>
        <v/>
      </c>
      <c r="I308" s="7">
        <f>'1 datos preparados'!H301</f>
        <v/>
      </c>
      <c r="J308" s="7">
        <f>'1 datos preparados'!I301</f>
        <v/>
      </c>
      <c r="K308" s="7">
        <f>'1 datos preparados'!J301</f>
        <v/>
      </c>
      <c r="L308" s="7">
        <f>'1 datos preparados'!K301</f>
        <v/>
      </c>
      <c r="M308" s="7">
        <f>'1 datos preparados'!L301</f>
        <v/>
      </c>
      <c r="N308" s="7">
        <f>'1 datos preparados'!M301</f>
        <v/>
      </c>
      <c r="O308" s="7">
        <f>'1 datos preparados'!N301</f>
        <v/>
      </c>
      <c r="P308" s="7">
        <f>'1 datos preparados'!O301</f>
        <v/>
      </c>
      <c r="Q308" s="7">
        <f>'1 datos preparados'!P301</f>
        <v/>
      </c>
      <c r="R308" s="7">
        <f>'1 datos preparados'!Q301</f>
        <v/>
      </c>
      <c r="S308" s="7">
        <f>'1 datos preparados'!R301</f>
        <v/>
      </c>
      <c r="T308" s="7">
        <f>'1 datos preparados'!S301</f>
        <v/>
      </c>
      <c r="U308" s="7">
        <f>'1 datos preparados'!T301</f>
        <v/>
      </c>
      <c r="V308" s="8">
        <f>$AC$12+D308*$AC$13+E308*$AC$14+F308*$AC$15+G308*$AC$16+H308*$AC$17+I308*$AC$18+J308*$AC$19+K308*$AC$20+L308*$AC$21+M308*$AC$22+N308*$AC$23+O308*$AC$24+P308*$AC$25+Q308*$AC$26+R308*$AC$27+S308*$AC$28+T308*$AC$29+U308*$AC$30</f>
        <v/>
      </c>
      <c r="W308" s="8">
        <f>1/(1+EXP(-V308))</f>
        <v/>
      </c>
      <c r="X308" s="9">
        <f>-IF(C308=1,LN(W308),LN(1-W308))</f>
        <v/>
      </c>
      <c r="Y308" s="10">
        <f>IF(W308&gt;$AC$33,1,0)</f>
        <v/>
      </c>
      <c r="Z308">
        <f>IF(Y308=C308,1,0)</f>
        <v/>
      </c>
    </row>
    <row r="309">
      <c r="A309">
        <f>'1 datos preparados'!A302</f>
        <v/>
      </c>
      <c r="B309" s="5">
        <f>'1 datos preparados'!U302</f>
        <v/>
      </c>
      <c r="C309">
        <f>'1 datos preparados'!B302</f>
        <v/>
      </c>
      <c r="D309" s="7">
        <f>'1 datos preparados'!C302</f>
        <v/>
      </c>
      <c r="E309" s="7">
        <f>'1 datos preparados'!D302</f>
        <v/>
      </c>
      <c r="F309" s="7">
        <f>'1 datos preparados'!E302</f>
        <v/>
      </c>
      <c r="G309" s="7">
        <f>'1 datos preparados'!F302</f>
        <v/>
      </c>
      <c r="H309" s="7">
        <f>'1 datos preparados'!G302</f>
        <v/>
      </c>
      <c r="I309" s="7">
        <f>'1 datos preparados'!H302</f>
        <v/>
      </c>
      <c r="J309" s="7">
        <f>'1 datos preparados'!I302</f>
        <v/>
      </c>
      <c r="K309" s="7">
        <f>'1 datos preparados'!J302</f>
        <v/>
      </c>
      <c r="L309" s="7">
        <f>'1 datos preparados'!K302</f>
        <v/>
      </c>
      <c r="M309" s="7">
        <f>'1 datos preparados'!L302</f>
        <v/>
      </c>
      <c r="N309" s="7">
        <f>'1 datos preparados'!M302</f>
        <v/>
      </c>
      <c r="O309" s="7">
        <f>'1 datos preparados'!N302</f>
        <v/>
      </c>
      <c r="P309" s="7">
        <f>'1 datos preparados'!O302</f>
        <v/>
      </c>
      <c r="Q309" s="7">
        <f>'1 datos preparados'!P302</f>
        <v/>
      </c>
      <c r="R309" s="7">
        <f>'1 datos preparados'!Q302</f>
        <v/>
      </c>
      <c r="S309" s="7">
        <f>'1 datos preparados'!R302</f>
        <v/>
      </c>
      <c r="T309" s="7">
        <f>'1 datos preparados'!S302</f>
        <v/>
      </c>
      <c r="U309" s="7">
        <f>'1 datos preparados'!T302</f>
        <v/>
      </c>
      <c r="V309" s="8">
        <f>$AC$12+D309*$AC$13+E309*$AC$14+F309*$AC$15+G309*$AC$16+H309*$AC$17+I309*$AC$18+J309*$AC$19+K309*$AC$20+L309*$AC$21+M309*$AC$22+N309*$AC$23+O309*$AC$24+P309*$AC$25+Q309*$AC$26+R309*$AC$27+S309*$AC$28+T309*$AC$29+U309*$AC$30</f>
        <v/>
      </c>
      <c r="W309" s="8">
        <f>1/(1+EXP(-V309))</f>
        <v/>
      </c>
      <c r="X309" s="9">
        <f>-IF(C309=1,LN(W309),LN(1-W309))</f>
        <v/>
      </c>
      <c r="Y309" s="10">
        <f>IF(W309&gt;$AC$33,1,0)</f>
        <v/>
      </c>
      <c r="Z309">
        <f>IF(Y309=C309,1,0)</f>
        <v/>
      </c>
    </row>
    <row r="310">
      <c r="A310">
        <f>'1 datos preparados'!A303</f>
        <v/>
      </c>
      <c r="B310" s="5">
        <f>'1 datos preparados'!U303</f>
        <v/>
      </c>
      <c r="C310">
        <f>'1 datos preparados'!B303</f>
        <v/>
      </c>
      <c r="D310" s="7">
        <f>'1 datos preparados'!C303</f>
        <v/>
      </c>
      <c r="E310" s="7">
        <f>'1 datos preparados'!D303</f>
        <v/>
      </c>
      <c r="F310" s="7">
        <f>'1 datos preparados'!E303</f>
        <v/>
      </c>
      <c r="G310" s="7">
        <f>'1 datos preparados'!F303</f>
        <v/>
      </c>
      <c r="H310" s="7">
        <f>'1 datos preparados'!G303</f>
        <v/>
      </c>
      <c r="I310" s="7">
        <f>'1 datos preparados'!H303</f>
        <v/>
      </c>
      <c r="J310" s="7">
        <f>'1 datos preparados'!I303</f>
        <v/>
      </c>
      <c r="K310" s="7">
        <f>'1 datos preparados'!J303</f>
        <v/>
      </c>
      <c r="L310" s="7">
        <f>'1 datos preparados'!K303</f>
        <v/>
      </c>
      <c r="M310" s="7">
        <f>'1 datos preparados'!L303</f>
        <v/>
      </c>
      <c r="N310" s="7">
        <f>'1 datos preparados'!M303</f>
        <v/>
      </c>
      <c r="O310" s="7">
        <f>'1 datos preparados'!N303</f>
        <v/>
      </c>
      <c r="P310" s="7">
        <f>'1 datos preparados'!O303</f>
        <v/>
      </c>
      <c r="Q310" s="7">
        <f>'1 datos preparados'!P303</f>
        <v/>
      </c>
      <c r="R310" s="7">
        <f>'1 datos preparados'!Q303</f>
        <v/>
      </c>
      <c r="S310" s="7">
        <f>'1 datos preparados'!R303</f>
        <v/>
      </c>
      <c r="T310" s="7">
        <f>'1 datos preparados'!S303</f>
        <v/>
      </c>
      <c r="U310" s="7">
        <f>'1 datos preparados'!T303</f>
        <v/>
      </c>
      <c r="V310" s="8">
        <f>$AC$12+D310*$AC$13+E310*$AC$14+F310*$AC$15+G310*$AC$16+H310*$AC$17+I310*$AC$18+J310*$AC$19+K310*$AC$20+L310*$AC$21+M310*$AC$22+N310*$AC$23+O310*$AC$24+P310*$AC$25+Q310*$AC$26+R310*$AC$27+S310*$AC$28+T310*$AC$29+U310*$AC$30</f>
        <v/>
      </c>
      <c r="W310" s="8">
        <f>1/(1+EXP(-V310))</f>
        <v/>
      </c>
      <c r="X310" s="9">
        <f>-IF(C310=1,LN(W310),LN(1-W310))</f>
        <v/>
      </c>
      <c r="Y310" s="10">
        <f>IF(W310&gt;$AC$33,1,0)</f>
        <v/>
      </c>
      <c r="Z310">
        <f>IF(Y310=C310,1,0)</f>
        <v/>
      </c>
    </row>
    <row r="311">
      <c r="A311">
        <f>'1 datos preparados'!A304</f>
        <v/>
      </c>
      <c r="B311" s="5">
        <f>'1 datos preparados'!U304</f>
        <v/>
      </c>
      <c r="C311">
        <f>'1 datos preparados'!B304</f>
        <v/>
      </c>
      <c r="D311" s="7">
        <f>'1 datos preparados'!C304</f>
        <v/>
      </c>
      <c r="E311" s="7">
        <f>'1 datos preparados'!D304</f>
        <v/>
      </c>
      <c r="F311" s="7">
        <f>'1 datos preparados'!E304</f>
        <v/>
      </c>
      <c r="G311" s="7">
        <f>'1 datos preparados'!F304</f>
        <v/>
      </c>
      <c r="H311" s="7">
        <f>'1 datos preparados'!G304</f>
        <v/>
      </c>
      <c r="I311" s="7">
        <f>'1 datos preparados'!H304</f>
        <v/>
      </c>
      <c r="J311" s="7">
        <f>'1 datos preparados'!I304</f>
        <v/>
      </c>
      <c r="K311" s="7">
        <f>'1 datos preparados'!J304</f>
        <v/>
      </c>
      <c r="L311" s="7">
        <f>'1 datos preparados'!K304</f>
        <v/>
      </c>
      <c r="M311" s="7">
        <f>'1 datos preparados'!L304</f>
        <v/>
      </c>
      <c r="N311" s="7">
        <f>'1 datos preparados'!M304</f>
        <v/>
      </c>
      <c r="O311" s="7">
        <f>'1 datos preparados'!N304</f>
        <v/>
      </c>
      <c r="P311" s="7">
        <f>'1 datos preparados'!O304</f>
        <v/>
      </c>
      <c r="Q311" s="7">
        <f>'1 datos preparados'!P304</f>
        <v/>
      </c>
      <c r="R311" s="7">
        <f>'1 datos preparados'!Q304</f>
        <v/>
      </c>
      <c r="S311" s="7">
        <f>'1 datos preparados'!R304</f>
        <v/>
      </c>
      <c r="T311" s="7">
        <f>'1 datos preparados'!S304</f>
        <v/>
      </c>
      <c r="U311" s="7">
        <f>'1 datos preparados'!T304</f>
        <v/>
      </c>
      <c r="V311" s="8">
        <f>$AC$12+D311*$AC$13+E311*$AC$14+F311*$AC$15+G311*$AC$16+H311*$AC$17+I311*$AC$18+J311*$AC$19+K311*$AC$20+L311*$AC$21+M311*$AC$22+N311*$AC$23+O311*$AC$24+P311*$AC$25+Q311*$AC$26+R311*$AC$27+S311*$AC$28+T311*$AC$29+U311*$AC$30</f>
        <v/>
      </c>
      <c r="W311" s="8">
        <f>1/(1+EXP(-V311))</f>
        <v/>
      </c>
      <c r="X311" s="9">
        <f>-IF(C311=1,LN(W311),LN(1-W311))</f>
        <v/>
      </c>
      <c r="Y311" s="10">
        <f>IF(W311&gt;$AC$33,1,0)</f>
        <v/>
      </c>
      <c r="Z311">
        <f>IF(Y311=C311,1,0)</f>
        <v/>
      </c>
    </row>
    <row r="312">
      <c r="A312">
        <f>'1 datos preparados'!A305</f>
        <v/>
      </c>
      <c r="B312" s="5">
        <f>'1 datos preparados'!U305</f>
        <v/>
      </c>
      <c r="C312">
        <f>'1 datos preparados'!B305</f>
        <v/>
      </c>
      <c r="D312" s="7">
        <f>'1 datos preparados'!C305</f>
        <v/>
      </c>
      <c r="E312" s="7">
        <f>'1 datos preparados'!D305</f>
        <v/>
      </c>
      <c r="F312" s="7">
        <f>'1 datos preparados'!E305</f>
        <v/>
      </c>
      <c r="G312" s="7">
        <f>'1 datos preparados'!F305</f>
        <v/>
      </c>
      <c r="H312" s="7">
        <f>'1 datos preparados'!G305</f>
        <v/>
      </c>
      <c r="I312" s="7">
        <f>'1 datos preparados'!H305</f>
        <v/>
      </c>
      <c r="J312" s="7">
        <f>'1 datos preparados'!I305</f>
        <v/>
      </c>
      <c r="K312" s="7">
        <f>'1 datos preparados'!J305</f>
        <v/>
      </c>
      <c r="L312" s="7">
        <f>'1 datos preparados'!K305</f>
        <v/>
      </c>
      <c r="M312" s="7">
        <f>'1 datos preparados'!L305</f>
        <v/>
      </c>
      <c r="N312" s="7">
        <f>'1 datos preparados'!M305</f>
        <v/>
      </c>
      <c r="O312" s="7">
        <f>'1 datos preparados'!N305</f>
        <v/>
      </c>
      <c r="P312" s="7">
        <f>'1 datos preparados'!O305</f>
        <v/>
      </c>
      <c r="Q312" s="7">
        <f>'1 datos preparados'!P305</f>
        <v/>
      </c>
      <c r="R312" s="7">
        <f>'1 datos preparados'!Q305</f>
        <v/>
      </c>
      <c r="S312" s="7">
        <f>'1 datos preparados'!R305</f>
        <v/>
      </c>
      <c r="T312" s="7">
        <f>'1 datos preparados'!S305</f>
        <v/>
      </c>
      <c r="U312" s="7">
        <f>'1 datos preparados'!T305</f>
        <v/>
      </c>
      <c r="V312" s="8">
        <f>$AC$12+D312*$AC$13+E312*$AC$14+F312*$AC$15+G312*$AC$16+H312*$AC$17+I312*$AC$18+J312*$AC$19+K312*$AC$20+L312*$AC$21+M312*$AC$22+N312*$AC$23+O312*$AC$24+P312*$AC$25+Q312*$AC$26+R312*$AC$27+S312*$AC$28+T312*$AC$29+U312*$AC$30</f>
        <v/>
      </c>
      <c r="W312" s="8">
        <f>1/(1+EXP(-V312))</f>
        <v/>
      </c>
      <c r="X312" s="9">
        <f>-IF(C312=1,LN(W312),LN(1-W312))</f>
        <v/>
      </c>
      <c r="Y312" s="10">
        <f>IF(W312&gt;$AC$33,1,0)</f>
        <v/>
      </c>
      <c r="Z312">
        <f>IF(Y312=C312,1,0)</f>
        <v/>
      </c>
    </row>
    <row r="313">
      <c r="A313">
        <f>'1 datos preparados'!A306</f>
        <v/>
      </c>
      <c r="B313" s="5">
        <f>'1 datos preparados'!U306</f>
        <v/>
      </c>
      <c r="C313">
        <f>'1 datos preparados'!B306</f>
        <v/>
      </c>
      <c r="D313" s="7">
        <f>'1 datos preparados'!C306</f>
        <v/>
      </c>
      <c r="E313" s="7">
        <f>'1 datos preparados'!D306</f>
        <v/>
      </c>
      <c r="F313" s="7">
        <f>'1 datos preparados'!E306</f>
        <v/>
      </c>
      <c r="G313" s="7">
        <f>'1 datos preparados'!F306</f>
        <v/>
      </c>
      <c r="H313" s="7">
        <f>'1 datos preparados'!G306</f>
        <v/>
      </c>
      <c r="I313" s="7">
        <f>'1 datos preparados'!H306</f>
        <v/>
      </c>
      <c r="J313" s="7">
        <f>'1 datos preparados'!I306</f>
        <v/>
      </c>
      <c r="K313" s="7">
        <f>'1 datos preparados'!J306</f>
        <v/>
      </c>
      <c r="L313" s="7">
        <f>'1 datos preparados'!K306</f>
        <v/>
      </c>
      <c r="M313" s="7">
        <f>'1 datos preparados'!L306</f>
        <v/>
      </c>
      <c r="N313" s="7">
        <f>'1 datos preparados'!M306</f>
        <v/>
      </c>
      <c r="O313" s="7">
        <f>'1 datos preparados'!N306</f>
        <v/>
      </c>
      <c r="P313" s="7">
        <f>'1 datos preparados'!O306</f>
        <v/>
      </c>
      <c r="Q313" s="7">
        <f>'1 datos preparados'!P306</f>
        <v/>
      </c>
      <c r="R313" s="7">
        <f>'1 datos preparados'!Q306</f>
        <v/>
      </c>
      <c r="S313" s="7">
        <f>'1 datos preparados'!R306</f>
        <v/>
      </c>
      <c r="T313" s="7">
        <f>'1 datos preparados'!S306</f>
        <v/>
      </c>
      <c r="U313" s="7">
        <f>'1 datos preparados'!T306</f>
        <v/>
      </c>
      <c r="V313" s="8">
        <f>$AC$12+D313*$AC$13+E313*$AC$14+F313*$AC$15+G313*$AC$16+H313*$AC$17+I313*$AC$18+J313*$AC$19+K313*$AC$20+L313*$AC$21+M313*$AC$22+N313*$AC$23+O313*$AC$24+P313*$AC$25+Q313*$AC$26+R313*$AC$27+S313*$AC$28+T313*$AC$29+U313*$AC$30</f>
        <v/>
      </c>
      <c r="W313" s="8">
        <f>1/(1+EXP(-V313))</f>
        <v/>
      </c>
      <c r="X313" s="9">
        <f>-IF(C313=1,LN(W313),LN(1-W313))</f>
        <v/>
      </c>
      <c r="Y313" s="10">
        <f>IF(W313&gt;$AC$33,1,0)</f>
        <v/>
      </c>
      <c r="Z313">
        <f>IF(Y313=C313,1,0)</f>
        <v/>
      </c>
    </row>
    <row r="314">
      <c r="A314">
        <f>'1 datos preparados'!A307</f>
        <v/>
      </c>
      <c r="B314" s="5">
        <f>'1 datos preparados'!U307</f>
        <v/>
      </c>
      <c r="C314">
        <f>'1 datos preparados'!B307</f>
        <v/>
      </c>
      <c r="D314" s="7">
        <f>'1 datos preparados'!C307</f>
        <v/>
      </c>
      <c r="E314" s="7">
        <f>'1 datos preparados'!D307</f>
        <v/>
      </c>
      <c r="F314" s="7">
        <f>'1 datos preparados'!E307</f>
        <v/>
      </c>
      <c r="G314" s="7">
        <f>'1 datos preparados'!F307</f>
        <v/>
      </c>
      <c r="H314" s="7">
        <f>'1 datos preparados'!G307</f>
        <v/>
      </c>
      <c r="I314" s="7">
        <f>'1 datos preparados'!H307</f>
        <v/>
      </c>
      <c r="J314" s="7">
        <f>'1 datos preparados'!I307</f>
        <v/>
      </c>
      <c r="K314" s="7">
        <f>'1 datos preparados'!J307</f>
        <v/>
      </c>
      <c r="L314" s="7">
        <f>'1 datos preparados'!K307</f>
        <v/>
      </c>
      <c r="M314" s="7">
        <f>'1 datos preparados'!L307</f>
        <v/>
      </c>
      <c r="N314" s="7">
        <f>'1 datos preparados'!M307</f>
        <v/>
      </c>
      <c r="O314" s="7">
        <f>'1 datos preparados'!N307</f>
        <v/>
      </c>
      <c r="P314" s="7">
        <f>'1 datos preparados'!O307</f>
        <v/>
      </c>
      <c r="Q314" s="7">
        <f>'1 datos preparados'!P307</f>
        <v/>
      </c>
      <c r="R314" s="7">
        <f>'1 datos preparados'!Q307</f>
        <v/>
      </c>
      <c r="S314" s="7">
        <f>'1 datos preparados'!R307</f>
        <v/>
      </c>
      <c r="T314" s="7">
        <f>'1 datos preparados'!S307</f>
        <v/>
      </c>
      <c r="U314" s="7">
        <f>'1 datos preparados'!T307</f>
        <v/>
      </c>
      <c r="V314" s="8">
        <f>$AC$12+D314*$AC$13+E314*$AC$14+F314*$AC$15+G314*$AC$16+H314*$AC$17+I314*$AC$18+J314*$AC$19+K314*$AC$20+L314*$AC$21+M314*$AC$22+N314*$AC$23+O314*$AC$24+P314*$AC$25+Q314*$AC$26+R314*$AC$27+S314*$AC$28+T314*$AC$29+U314*$AC$30</f>
        <v/>
      </c>
      <c r="W314" s="8">
        <f>1/(1+EXP(-V314))</f>
        <v/>
      </c>
      <c r="X314" s="9">
        <f>-IF(C314=1,LN(W314),LN(1-W314))</f>
        <v/>
      </c>
      <c r="Y314" s="10">
        <f>IF(W314&gt;$AC$33,1,0)</f>
        <v/>
      </c>
      <c r="Z314">
        <f>IF(Y314=C314,1,0)</f>
        <v/>
      </c>
    </row>
    <row r="315">
      <c r="A315">
        <f>'1 datos preparados'!A308</f>
        <v/>
      </c>
      <c r="B315" s="5">
        <f>'1 datos preparados'!U308</f>
        <v/>
      </c>
      <c r="C315">
        <f>'1 datos preparados'!B308</f>
        <v/>
      </c>
      <c r="D315" s="7">
        <f>'1 datos preparados'!C308</f>
        <v/>
      </c>
      <c r="E315" s="7">
        <f>'1 datos preparados'!D308</f>
        <v/>
      </c>
      <c r="F315" s="7">
        <f>'1 datos preparados'!E308</f>
        <v/>
      </c>
      <c r="G315" s="7">
        <f>'1 datos preparados'!F308</f>
        <v/>
      </c>
      <c r="H315" s="7">
        <f>'1 datos preparados'!G308</f>
        <v/>
      </c>
      <c r="I315" s="7">
        <f>'1 datos preparados'!H308</f>
        <v/>
      </c>
      <c r="J315" s="7">
        <f>'1 datos preparados'!I308</f>
        <v/>
      </c>
      <c r="K315" s="7">
        <f>'1 datos preparados'!J308</f>
        <v/>
      </c>
      <c r="L315" s="7">
        <f>'1 datos preparados'!K308</f>
        <v/>
      </c>
      <c r="M315" s="7">
        <f>'1 datos preparados'!L308</f>
        <v/>
      </c>
      <c r="N315" s="7">
        <f>'1 datos preparados'!M308</f>
        <v/>
      </c>
      <c r="O315" s="7">
        <f>'1 datos preparados'!N308</f>
        <v/>
      </c>
      <c r="P315" s="7">
        <f>'1 datos preparados'!O308</f>
        <v/>
      </c>
      <c r="Q315" s="7">
        <f>'1 datos preparados'!P308</f>
        <v/>
      </c>
      <c r="R315" s="7">
        <f>'1 datos preparados'!Q308</f>
        <v/>
      </c>
      <c r="S315" s="7">
        <f>'1 datos preparados'!R308</f>
        <v/>
      </c>
      <c r="T315" s="7">
        <f>'1 datos preparados'!S308</f>
        <v/>
      </c>
      <c r="U315" s="7">
        <f>'1 datos preparados'!T308</f>
        <v/>
      </c>
      <c r="V315" s="8">
        <f>$AC$12+D315*$AC$13+E315*$AC$14+F315*$AC$15+G315*$AC$16+H315*$AC$17+I315*$AC$18+J315*$AC$19+K315*$AC$20+L315*$AC$21+M315*$AC$22+N315*$AC$23+O315*$AC$24+P315*$AC$25+Q315*$AC$26+R315*$AC$27+S315*$AC$28+T315*$AC$29+U315*$AC$30</f>
        <v/>
      </c>
      <c r="W315" s="8">
        <f>1/(1+EXP(-V315))</f>
        <v/>
      </c>
      <c r="X315" s="9">
        <f>-IF(C315=1,LN(W315),LN(1-W315))</f>
        <v/>
      </c>
      <c r="Y315" s="10">
        <f>IF(W315&gt;$AC$33,1,0)</f>
        <v/>
      </c>
      <c r="Z315">
        <f>IF(Y315=C315,1,0)</f>
        <v/>
      </c>
    </row>
    <row r="316">
      <c r="A316">
        <f>'1 datos preparados'!A309</f>
        <v/>
      </c>
      <c r="B316" s="5">
        <f>'1 datos preparados'!U309</f>
        <v/>
      </c>
      <c r="C316">
        <f>'1 datos preparados'!B309</f>
        <v/>
      </c>
      <c r="D316" s="7">
        <f>'1 datos preparados'!C309</f>
        <v/>
      </c>
      <c r="E316" s="7">
        <f>'1 datos preparados'!D309</f>
        <v/>
      </c>
      <c r="F316" s="7">
        <f>'1 datos preparados'!E309</f>
        <v/>
      </c>
      <c r="G316" s="7">
        <f>'1 datos preparados'!F309</f>
        <v/>
      </c>
      <c r="H316" s="7">
        <f>'1 datos preparados'!G309</f>
        <v/>
      </c>
      <c r="I316" s="7">
        <f>'1 datos preparados'!H309</f>
        <v/>
      </c>
      <c r="J316" s="7">
        <f>'1 datos preparados'!I309</f>
        <v/>
      </c>
      <c r="K316" s="7">
        <f>'1 datos preparados'!J309</f>
        <v/>
      </c>
      <c r="L316" s="7">
        <f>'1 datos preparados'!K309</f>
        <v/>
      </c>
      <c r="M316" s="7">
        <f>'1 datos preparados'!L309</f>
        <v/>
      </c>
      <c r="N316" s="7">
        <f>'1 datos preparados'!M309</f>
        <v/>
      </c>
      <c r="O316" s="7">
        <f>'1 datos preparados'!N309</f>
        <v/>
      </c>
      <c r="P316" s="7">
        <f>'1 datos preparados'!O309</f>
        <v/>
      </c>
      <c r="Q316" s="7">
        <f>'1 datos preparados'!P309</f>
        <v/>
      </c>
      <c r="R316" s="7">
        <f>'1 datos preparados'!Q309</f>
        <v/>
      </c>
      <c r="S316" s="7">
        <f>'1 datos preparados'!R309</f>
        <v/>
      </c>
      <c r="T316" s="7">
        <f>'1 datos preparados'!S309</f>
        <v/>
      </c>
      <c r="U316" s="7">
        <f>'1 datos preparados'!T309</f>
        <v/>
      </c>
      <c r="V316" s="8">
        <f>$AC$12+D316*$AC$13+E316*$AC$14+F316*$AC$15+G316*$AC$16+H316*$AC$17+I316*$AC$18+J316*$AC$19+K316*$AC$20+L316*$AC$21+M316*$AC$22+N316*$AC$23+O316*$AC$24+P316*$AC$25+Q316*$AC$26+R316*$AC$27+S316*$AC$28+T316*$AC$29+U316*$AC$30</f>
        <v/>
      </c>
      <c r="W316" s="8">
        <f>1/(1+EXP(-V316))</f>
        <v/>
      </c>
      <c r="X316" s="9">
        <f>-IF(C316=1,LN(W316),LN(1-W316))</f>
        <v/>
      </c>
      <c r="Y316" s="10">
        <f>IF(W316&gt;$AC$33,1,0)</f>
        <v/>
      </c>
      <c r="Z316">
        <f>IF(Y316=C316,1,0)</f>
        <v/>
      </c>
    </row>
    <row r="317">
      <c r="A317">
        <f>'1 datos preparados'!A310</f>
        <v/>
      </c>
      <c r="B317" s="5">
        <f>'1 datos preparados'!U310</f>
        <v/>
      </c>
      <c r="C317">
        <f>'1 datos preparados'!B310</f>
        <v/>
      </c>
      <c r="D317" s="7">
        <f>'1 datos preparados'!C310</f>
        <v/>
      </c>
      <c r="E317" s="7">
        <f>'1 datos preparados'!D310</f>
        <v/>
      </c>
      <c r="F317" s="7">
        <f>'1 datos preparados'!E310</f>
        <v/>
      </c>
      <c r="G317" s="7">
        <f>'1 datos preparados'!F310</f>
        <v/>
      </c>
      <c r="H317" s="7">
        <f>'1 datos preparados'!G310</f>
        <v/>
      </c>
      <c r="I317" s="7">
        <f>'1 datos preparados'!H310</f>
        <v/>
      </c>
      <c r="J317" s="7">
        <f>'1 datos preparados'!I310</f>
        <v/>
      </c>
      <c r="K317" s="7">
        <f>'1 datos preparados'!J310</f>
        <v/>
      </c>
      <c r="L317" s="7">
        <f>'1 datos preparados'!K310</f>
        <v/>
      </c>
      <c r="M317" s="7">
        <f>'1 datos preparados'!L310</f>
        <v/>
      </c>
      <c r="N317" s="7">
        <f>'1 datos preparados'!M310</f>
        <v/>
      </c>
      <c r="O317" s="7">
        <f>'1 datos preparados'!N310</f>
        <v/>
      </c>
      <c r="P317" s="7">
        <f>'1 datos preparados'!O310</f>
        <v/>
      </c>
      <c r="Q317" s="7">
        <f>'1 datos preparados'!P310</f>
        <v/>
      </c>
      <c r="R317" s="7">
        <f>'1 datos preparados'!Q310</f>
        <v/>
      </c>
      <c r="S317" s="7">
        <f>'1 datos preparados'!R310</f>
        <v/>
      </c>
      <c r="T317" s="7">
        <f>'1 datos preparados'!S310</f>
        <v/>
      </c>
      <c r="U317" s="7">
        <f>'1 datos preparados'!T310</f>
        <v/>
      </c>
      <c r="V317" s="8">
        <f>$AC$12+D317*$AC$13+E317*$AC$14+F317*$AC$15+G317*$AC$16+H317*$AC$17+I317*$AC$18+J317*$AC$19+K317*$AC$20+L317*$AC$21+M317*$AC$22+N317*$AC$23+O317*$AC$24+P317*$AC$25+Q317*$AC$26+R317*$AC$27+S317*$AC$28+T317*$AC$29+U317*$AC$30</f>
        <v/>
      </c>
      <c r="W317" s="8">
        <f>1/(1+EXP(-V317))</f>
        <v/>
      </c>
      <c r="X317" s="9">
        <f>-IF(C317=1,LN(W317),LN(1-W317))</f>
        <v/>
      </c>
      <c r="Y317" s="10">
        <f>IF(W317&gt;$AC$33,1,0)</f>
        <v/>
      </c>
      <c r="Z317">
        <f>IF(Y317=C317,1,0)</f>
        <v/>
      </c>
    </row>
    <row r="318">
      <c r="A318">
        <f>'1 datos preparados'!A311</f>
        <v/>
      </c>
      <c r="B318" s="5">
        <f>'1 datos preparados'!U311</f>
        <v/>
      </c>
      <c r="C318">
        <f>'1 datos preparados'!B311</f>
        <v/>
      </c>
      <c r="D318" s="7">
        <f>'1 datos preparados'!C311</f>
        <v/>
      </c>
      <c r="E318" s="7">
        <f>'1 datos preparados'!D311</f>
        <v/>
      </c>
      <c r="F318" s="7">
        <f>'1 datos preparados'!E311</f>
        <v/>
      </c>
      <c r="G318" s="7">
        <f>'1 datos preparados'!F311</f>
        <v/>
      </c>
      <c r="H318" s="7">
        <f>'1 datos preparados'!G311</f>
        <v/>
      </c>
      <c r="I318" s="7">
        <f>'1 datos preparados'!H311</f>
        <v/>
      </c>
      <c r="J318" s="7">
        <f>'1 datos preparados'!I311</f>
        <v/>
      </c>
      <c r="K318" s="7">
        <f>'1 datos preparados'!J311</f>
        <v/>
      </c>
      <c r="L318" s="7">
        <f>'1 datos preparados'!K311</f>
        <v/>
      </c>
      <c r="M318" s="7">
        <f>'1 datos preparados'!L311</f>
        <v/>
      </c>
      <c r="N318" s="7">
        <f>'1 datos preparados'!M311</f>
        <v/>
      </c>
      <c r="O318" s="7">
        <f>'1 datos preparados'!N311</f>
        <v/>
      </c>
      <c r="P318" s="7">
        <f>'1 datos preparados'!O311</f>
        <v/>
      </c>
      <c r="Q318" s="7">
        <f>'1 datos preparados'!P311</f>
        <v/>
      </c>
      <c r="R318" s="7">
        <f>'1 datos preparados'!Q311</f>
        <v/>
      </c>
      <c r="S318" s="7">
        <f>'1 datos preparados'!R311</f>
        <v/>
      </c>
      <c r="T318" s="7">
        <f>'1 datos preparados'!S311</f>
        <v/>
      </c>
      <c r="U318" s="7">
        <f>'1 datos preparados'!T311</f>
        <v/>
      </c>
      <c r="V318" s="8">
        <f>$AC$12+D318*$AC$13+E318*$AC$14+F318*$AC$15+G318*$AC$16+H318*$AC$17+I318*$AC$18+J318*$AC$19+K318*$AC$20+L318*$AC$21+M318*$AC$22+N318*$AC$23+O318*$AC$24+P318*$AC$25+Q318*$AC$26+R318*$AC$27+S318*$AC$28+T318*$AC$29+U318*$AC$30</f>
        <v/>
      </c>
      <c r="W318" s="8">
        <f>1/(1+EXP(-V318))</f>
        <v/>
      </c>
      <c r="X318" s="9">
        <f>-IF(C318=1,LN(W318),LN(1-W318))</f>
        <v/>
      </c>
      <c r="Y318" s="10">
        <f>IF(W318&gt;$AC$33,1,0)</f>
        <v/>
      </c>
      <c r="Z318">
        <f>IF(Y318=C318,1,0)</f>
        <v/>
      </c>
    </row>
    <row r="319">
      <c r="A319">
        <f>'1 datos preparados'!A312</f>
        <v/>
      </c>
      <c r="B319" s="5">
        <f>'1 datos preparados'!U312</f>
        <v/>
      </c>
      <c r="C319">
        <f>'1 datos preparados'!B312</f>
        <v/>
      </c>
      <c r="D319" s="7">
        <f>'1 datos preparados'!C312</f>
        <v/>
      </c>
      <c r="E319" s="7">
        <f>'1 datos preparados'!D312</f>
        <v/>
      </c>
      <c r="F319" s="7">
        <f>'1 datos preparados'!E312</f>
        <v/>
      </c>
      <c r="G319" s="7">
        <f>'1 datos preparados'!F312</f>
        <v/>
      </c>
      <c r="H319" s="7">
        <f>'1 datos preparados'!G312</f>
        <v/>
      </c>
      <c r="I319" s="7">
        <f>'1 datos preparados'!H312</f>
        <v/>
      </c>
      <c r="J319" s="7">
        <f>'1 datos preparados'!I312</f>
        <v/>
      </c>
      <c r="K319" s="7">
        <f>'1 datos preparados'!J312</f>
        <v/>
      </c>
      <c r="L319" s="7">
        <f>'1 datos preparados'!K312</f>
        <v/>
      </c>
      <c r="M319" s="7">
        <f>'1 datos preparados'!L312</f>
        <v/>
      </c>
      <c r="N319" s="7">
        <f>'1 datos preparados'!M312</f>
        <v/>
      </c>
      <c r="O319" s="7">
        <f>'1 datos preparados'!N312</f>
        <v/>
      </c>
      <c r="P319" s="7">
        <f>'1 datos preparados'!O312</f>
        <v/>
      </c>
      <c r="Q319" s="7">
        <f>'1 datos preparados'!P312</f>
        <v/>
      </c>
      <c r="R319" s="7">
        <f>'1 datos preparados'!Q312</f>
        <v/>
      </c>
      <c r="S319" s="7">
        <f>'1 datos preparados'!R312</f>
        <v/>
      </c>
      <c r="T319" s="7">
        <f>'1 datos preparados'!S312</f>
        <v/>
      </c>
      <c r="U319" s="7">
        <f>'1 datos preparados'!T312</f>
        <v/>
      </c>
      <c r="V319" s="8">
        <f>$AC$12+D319*$AC$13+E319*$AC$14+F319*$AC$15+G319*$AC$16+H319*$AC$17+I319*$AC$18+J319*$AC$19+K319*$AC$20+L319*$AC$21+M319*$AC$22+N319*$AC$23+O319*$AC$24+P319*$AC$25+Q319*$AC$26+R319*$AC$27+S319*$AC$28+T319*$AC$29+U319*$AC$30</f>
        <v/>
      </c>
      <c r="W319" s="8">
        <f>1/(1+EXP(-V319))</f>
        <v/>
      </c>
      <c r="X319" s="9">
        <f>-IF(C319=1,LN(W319),LN(1-W319))</f>
        <v/>
      </c>
      <c r="Y319" s="10">
        <f>IF(W319&gt;$AC$33,1,0)</f>
        <v/>
      </c>
      <c r="Z319">
        <f>IF(Y319=C319,1,0)</f>
        <v/>
      </c>
    </row>
    <row r="320">
      <c r="A320">
        <f>'1 datos preparados'!A313</f>
        <v/>
      </c>
      <c r="B320" s="5">
        <f>'1 datos preparados'!U313</f>
        <v/>
      </c>
      <c r="C320">
        <f>'1 datos preparados'!B313</f>
        <v/>
      </c>
      <c r="D320" s="7">
        <f>'1 datos preparados'!C313</f>
        <v/>
      </c>
      <c r="E320" s="7">
        <f>'1 datos preparados'!D313</f>
        <v/>
      </c>
      <c r="F320" s="7">
        <f>'1 datos preparados'!E313</f>
        <v/>
      </c>
      <c r="G320" s="7">
        <f>'1 datos preparados'!F313</f>
        <v/>
      </c>
      <c r="H320" s="7">
        <f>'1 datos preparados'!G313</f>
        <v/>
      </c>
      <c r="I320" s="7">
        <f>'1 datos preparados'!H313</f>
        <v/>
      </c>
      <c r="J320" s="7">
        <f>'1 datos preparados'!I313</f>
        <v/>
      </c>
      <c r="K320" s="7">
        <f>'1 datos preparados'!J313</f>
        <v/>
      </c>
      <c r="L320" s="7">
        <f>'1 datos preparados'!K313</f>
        <v/>
      </c>
      <c r="M320" s="7">
        <f>'1 datos preparados'!L313</f>
        <v/>
      </c>
      <c r="N320" s="7">
        <f>'1 datos preparados'!M313</f>
        <v/>
      </c>
      <c r="O320" s="7">
        <f>'1 datos preparados'!N313</f>
        <v/>
      </c>
      <c r="P320" s="7">
        <f>'1 datos preparados'!O313</f>
        <v/>
      </c>
      <c r="Q320" s="7">
        <f>'1 datos preparados'!P313</f>
        <v/>
      </c>
      <c r="R320" s="7">
        <f>'1 datos preparados'!Q313</f>
        <v/>
      </c>
      <c r="S320" s="7">
        <f>'1 datos preparados'!R313</f>
        <v/>
      </c>
      <c r="T320" s="7">
        <f>'1 datos preparados'!S313</f>
        <v/>
      </c>
      <c r="U320" s="7">
        <f>'1 datos preparados'!T313</f>
        <v/>
      </c>
      <c r="V320" s="8">
        <f>$AC$12+D320*$AC$13+E320*$AC$14+F320*$AC$15+G320*$AC$16+H320*$AC$17+I320*$AC$18+J320*$AC$19+K320*$AC$20+L320*$AC$21+M320*$AC$22+N320*$AC$23+O320*$AC$24+P320*$AC$25+Q320*$AC$26+R320*$AC$27+S320*$AC$28+T320*$AC$29+U320*$AC$30</f>
        <v/>
      </c>
      <c r="W320" s="8">
        <f>1/(1+EXP(-V320))</f>
        <v/>
      </c>
      <c r="X320" s="9">
        <f>-IF(C320=1,LN(W320),LN(1-W320))</f>
        <v/>
      </c>
      <c r="Y320" s="10">
        <f>IF(W320&gt;$AC$33,1,0)</f>
        <v/>
      </c>
      <c r="Z320">
        <f>IF(Y320=C320,1,0)</f>
        <v/>
      </c>
    </row>
    <row r="321">
      <c r="A321">
        <f>'1 datos preparados'!A314</f>
        <v/>
      </c>
      <c r="B321" s="5">
        <f>'1 datos preparados'!U314</f>
        <v/>
      </c>
      <c r="C321">
        <f>'1 datos preparados'!B314</f>
        <v/>
      </c>
      <c r="D321" s="7">
        <f>'1 datos preparados'!C314</f>
        <v/>
      </c>
      <c r="E321" s="7">
        <f>'1 datos preparados'!D314</f>
        <v/>
      </c>
      <c r="F321" s="7">
        <f>'1 datos preparados'!E314</f>
        <v/>
      </c>
      <c r="G321" s="7">
        <f>'1 datos preparados'!F314</f>
        <v/>
      </c>
      <c r="H321" s="7">
        <f>'1 datos preparados'!G314</f>
        <v/>
      </c>
      <c r="I321" s="7">
        <f>'1 datos preparados'!H314</f>
        <v/>
      </c>
      <c r="J321" s="7">
        <f>'1 datos preparados'!I314</f>
        <v/>
      </c>
      <c r="K321" s="7">
        <f>'1 datos preparados'!J314</f>
        <v/>
      </c>
      <c r="L321" s="7">
        <f>'1 datos preparados'!K314</f>
        <v/>
      </c>
      <c r="M321" s="7">
        <f>'1 datos preparados'!L314</f>
        <v/>
      </c>
      <c r="N321" s="7">
        <f>'1 datos preparados'!M314</f>
        <v/>
      </c>
      <c r="O321" s="7">
        <f>'1 datos preparados'!N314</f>
        <v/>
      </c>
      <c r="P321" s="7">
        <f>'1 datos preparados'!O314</f>
        <v/>
      </c>
      <c r="Q321" s="7">
        <f>'1 datos preparados'!P314</f>
        <v/>
      </c>
      <c r="R321" s="7">
        <f>'1 datos preparados'!Q314</f>
        <v/>
      </c>
      <c r="S321" s="7">
        <f>'1 datos preparados'!R314</f>
        <v/>
      </c>
      <c r="T321" s="7">
        <f>'1 datos preparados'!S314</f>
        <v/>
      </c>
      <c r="U321" s="7">
        <f>'1 datos preparados'!T314</f>
        <v/>
      </c>
      <c r="V321" s="8">
        <f>$AC$12+D321*$AC$13+E321*$AC$14+F321*$AC$15+G321*$AC$16+H321*$AC$17+I321*$AC$18+J321*$AC$19+K321*$AC$20+L321*$AC$21+M321*$AC$22+N321*$AC$23+O321*$AC$24+P321*$AC$25+Q321*$AC$26+R321*$AC$27+S321*$AC$28+T321*$AC$29+U321*$AC$30</f>
        <v/>
      </c>
      <c r="W321" s="8">
        <f>1/(1+EXP(-V321))</f>
        <v/>
      </c>
      <c r="X321" s="9">
        <f>-IF(C321=1,LN(W321),LN(1-W321))</f>
        <v/>
      </c>
      <c r="Y321" s="10">
        <f>IF(W321&gt;$AC$33,1,0)</f>
        <v/>
      </c>
      <c r="Z321">
        <f>IF(Y321=C321,1,0)</f>
        <v/>
      </c>
    </row>
    <row r="322">
      <c r="A322">
        <f>'1 datos preparados'!A315</f>
        <v/>
      </c>
      <c r="B322" s="5">
        <f>'1 datos preparados'!U315</f>
        <v/>
      </c>
      <c r="C322">
        <f>'1 datos preparados'!B315</f>
        <v/>
      </c>
      <c r="D322" s="7">
        <f>'1 datos preparados'!C315</f>
        <v/>
      </c>
      <c r="E322" s="7">
        <f>'1 datos preparados'!D315</f>
        <v/>
      </c>
      <c r="F322" s="7">
        <f>'1 datos preparados'!E315</f>
        <v/>
      </c>
      <c r="G322" s="7">
        <f>'1 datos preparados'!F315</f>
        <v/>
      </c>
      <c r="H322" s="7">
        <f>'1 datos preparados'!G315</f>
        <v/>
      </c>
      <c r="I322" s="7">
        <f>'1 datos preparados'!H315</f>
        <v/>
      </c>
      <c r="J322" s="7">
        <f>'1 datos preparados'!I315</f>
        <v/>
      </c>
      <c r="K322" s="7">
        <f>'1 datos preparados'!J315</f>
        <v/>
      </c>
      <c r="L322" s="7">
        <f>'1 datos preparados'!K315</f>
        <v/>
      </c>
      <c r="M322" s="7">
        <f>'1 datos preparados'!L315</f>
        <v/>
      </c>
      <c r="N322" s="7">
        <f>'1 datos preparados'!M315</f>
        <v/>
      </c>
      <c r="O322" s="7">
        <f>'1 datos preparados'!N315</f>
        <v/>
      </c>
      <c r="P322" s="7">
        <f>'1 datos preparados'!O315</f>
        <v/>
      </c>
      <c r="Q322" s="7">
        <f>'1 datos preparados'!P315</f>
        <v/>
      </c>
      <c r="R322" s="7">
        <f>'1 datos preparados'!Q315</f>
        <v/>
      </c>
      <c r="S322" s="7">
        <f>'1 datos preparados'!R315</f>
        <v/>
      </c>
      <c r="T322" s="7">
        <f>'1 datos preparados'!S315</f>
        <v/>
      </c>
      <c r="U322" s="7">
        <f>'1 datos preparados'!T315</f>
        <v/>
      </c>
      <c r="V322" s="8">
        <f>$AC$12+D322*$AC$13+E322*$AC$14+F322*$AC$15+G322*$AC$16+H322*$AC$17+I322*$AC$18+J322*$AC$19+K322*$AC$20+L322*$AC$21+M322*$AC$22+N322*$AC$23+O322*$AC$24+P322*$AC$25+Q322*$AC$26+R322*$AC$27+S322*$AC$28+T322*$AC$29+U322*$AC$30</f>
        <v/>
      </c>
      <c r="W322" s="8">
        <f>1/(1+EXP(-V322))</f>
        <v/>
      </c>
      <c r="X322" s="9">
        <f>-IF(C322=1,LN(W322),LN(1-W322))</f>
        <v/>
      </c>
      <c r="Y322" s="10">
        <f>IF(W322&gt;$AC$33,1,0)</f>
        <v/>
      </c>
      <c r="Z322">
        <f>IF(Y322=C322,1,0)</f>
        <v/>
      </c>
    </row>
    <row r="323">
      <c r="A323">
        <f>'1 datos preparados'!A316</f>
        <v/>
      </c>
      <c r="B323" s="5">
        <f>'1 datos preparados'!U316</f>
        <v/>
      </c>
      <c r="C323">
        <f>'1 datos preparados'!B316</f>
        <v/>
      </c>
      <c r="D323" s="7">
        <f>'1 datos preparados'!C316</f>
        <v/>
      </c>
      <c r="E323" s="7">
        <f>'1 datos preparados'!D316</f>
        <v/>
      </c>
      <c r="F323" s="7">
        <f>'1 datos preparados'!E316</f>
        <v/>
      </c>
      <c r="G323" s="7">
        <f>'1 datos preparados'!F316</f>
        <v/>
      </c>
      <c r="H323" s="7">
        <f>'1 datos preparados'!G316</f>
        <v/>
      </c>
      <c r="I323" s="7">
        <f>'1 datos preparados'!H316</f>
        <v/>
      </c>
      <c r="J323" s="7">
        <f>'1 datos preparados'!I316</f>
        <v/>
      </c>
      <c r="K323" s="7">
        <f>'1 datos preparados'!J316</f>
        <v/>
      </c>
      <c r="L323" s="7">
        <f>'1 datos preparados'!K316</f>
        <v/>
      </c>
      <c r="M323" s="7">
        <f>'1 datos preparados'!L316</f>
        <v/>
      </c>
      <c r="N323" s="7">
        <f>'1 datos preparados'!M316</f>
        <v/>
      </c>
      <c r="O323" s="7">
        <f>'1 datos preparados'!N316</f>
        <v/>
      </c>
      <c r="P323" s="7">
        <f>'1 datos preparados'!O316</f>
        <v/>
      </c>
      <c r="Q323" s="7">
        <f>'1 datos preparados'!P316</f>
        <v/>
      </c>
      <c r="R323" s="7">
        <f>'1 datos preparados'!Q316</f>
        <v/>
      </c>
      <c r="S323" s="7">
        <f>'1 datos preparados'!R316</f>
        <v/>
      </c>
      <c r="T323" s="7">
        <f>'1 datos preparados'!S316</f>
        <v/>
      </c>
      <c r="U323" s="7">
        <f>'1 datos preparados'!T316</f>
        <v/>
      </c>
      <c r="V323" s="8">
        <f>$AC$12+D323*$AC$13+E323*$AC$14+F323*$AC$15+G323*$AC$16+H323*$AC$17+I323*$AC$18+J323*$AC$19+K323*$AC$20+L323*$AC$21+M323*$AC$22+N323*$AC$23+O323*$AC$24+P323*$AC$25+Q323*$AC$26+R323*$AC$27+S323*$AC$28+T323*$AC$29+U323*$AC$30</f>
        <v/>
      </c>
      <c r="W323" s="8">
        <f>1/(1+EXP(-V323))</f>
        <v/>
      </c>
      <c r="X323" s="9">
        <f>-IF(C323=1,LN(W323),LN(1-W323))</f>
        <v/>
      </c>
      <c r="Y323" s="10">
        <f>IF(W323&gt;$AC$33,1,0)</f>
        <v/>
      </c>
      <c r="Z323">
        <f>IF(Y323=C323,1,0)</f>
        <v/>
      </c>
    </row>
    <row r="324">
      <c r="A324">
        <f>'1 datos preparados'!A317</f>
        <v/>
      </c>
      <c r="B324" s="5">
        <f>'1 datos preparados'!U317</f>
        <v/>
      </c>
      <c r="C324">
        <f>'1 datos preparados'!B317</f>
        <v/>
      </c>
      <c r="D324" s="7">
        <f>'1 datos preparados'!C317</f>
        <v/>
      </c>
      <c r="E324" s="7">
        <f>'1 datos preparados'!D317</f>
        <v/>
      </c>
      <c r="F324" s="7">
        <f>'1 datos preparados'!E317</f>
        <v/>
      </c>
      <c r="G324" s="7">
        <f>'1 datos preparados'!F317</f>
        <v/>
      </c>
      <c r="H324" s="7">
        <f>'1 datos preparados'!G317</f>
        <v/>
      </c>
      <c r="I324" s="7">
        <f>'1 datos preparados'!H317</f>
        <v/>
      </c>
      <c r="J324" s="7">
        <f>'1 datos preparados'!I317</f>
        <v/>
      </c>
      <c r="K324" s="7">
        <f>'1 datos preparados'!J317</f>
        <v/>
      </c>
      <c r="L324" s="7">
        <f>'1 datos preparados'!K317</f>
        <v/>
      </c>
      <c r="M324" s="7">
        <f>'1 datos preparados'!L317</f>
        <v/>
      </c>
      <c r="N324" s="7">
        <f>'1 datos preparados'!M317</f>
        <v/>
      </c>
      <c r="O324" s="7">
        <f>'1 datos preparados'!N317</f>
        <v/>
      </c>
      <c r="P324" s="7">
        <f>'1 datos preparados'!O317</f>
        <v/>
      </c>
      <c r="Q324" s="7">
        <f>'1 datos preparados'!P317</f>
        <v/>
      </c>
      <c r="R324" s="7">
        <f>'1 datos preparados'!Q317</f>
        <v/>
      </c>
      <c r="S324" s="7">
        <f>'1 datos preparados'!R317</f>
        <v/>
      </c>
      <c r="T324" s="7">
        <f>'1 datos preparados'!S317</f>
        <v/>
      </c>
      <c r="U324" s="7">
        <f>'1 datos preparados'!T317</f>
        <v/>
      </c>
      <c r="V324" s="8">
        <f>$AC$12+D324*$AC$13+E324*$AC$14+F324*$AC$15+G324*$AC$16+H324*$AC$17+I324*$AC$18+J324*$AC$19+K324*$AC$20+L324*$AC$21+M324*$AC$22+N324*$AC$23+O324*$AC$24+P324*$AC$25+Q324*$AC$26+R324*$AC$27+S324*$AC$28+T324*$AC$29+U324*$AC$30</f>
        <v/>
      </c>
      <c r="W324" s="8">
        <f>1/(1+EXP(-V324))</f>
        <v/>
      </c>
      <c r="X324" s="9">
        <f>-IF(C324=1,LN(W324),LN(1-W324))</f>
        <v/>
      </c>
      <c r="Y324" s="10">
        <f>IF(W324&gt;$AC$33,1,0)</f>
        <v/>
      </c>
      <c r="Z324">
        <f>IF(Y324=C324,1,0)</f>
        <v/>
      </c>
    </row>
    <row r="325">
      <c r="A325">
        <f>'1 datos preparados'!A318</f>
        <v/>
      </c>
      <c r="B325" s="5">
        <f>'1 datos preparados'!U318</f>
        <v/>
      </c>
      <c r="C325">
        <f>'1 datos preparados'!B318</f>
        <v/>
      </c>
      <c r="D325" s="7">
        <f>'1 datos preparados'!C318</f>
        <v/>
      </c>
      <c r="E325" s="7">
        <f>'1 datos preparados'!D318</f>
        <v/>
      </c>
      <c r="F325" s="7">
        <f>'1 datos preparados'!E318</f>
        <v/>
      </c>
      <c r="G325" s="7">
        <f>'1 datos preparados'!F318</f>
        <v/>
      </c>
      <c r="H325" s="7">
        <f>'1 datos preparados'!G318</f>
        <v/>
      </c>
      <c r="I325" s="7">
        <f>'1 datos preparados'!H318</f>
        <v/>
      </c>
      <c r="J325" s="7">
        <f>'1 datos preparados'!I318</f>
        <v/>
      </c>
      <c r="K325" s="7">
        <f>'1 datos preparados'!J318</f>
        <v/>
      </c>
      <c r="L325" s="7">
        <f>'1 datos preparados'!K318</f>
        <v/>
      </c>
      <c r="M325" s="7">
        <f>'1 datos preparados'!L318</f>
        <v/>
      </c>
      <c r="N325" s="7">
        <f>'1 datos preparados'!M318</f>
        <v/>
      </c>
      <c r="O325" s="7">
        <f>'1 datos preparados'!N318</f>
        <v/>
      </c>
      <c r="P325" s="7">
        <f>'1 datos preparados'!O318</f>
        <v/>
      </c>
      <c r="Q325" s="7">
        <f>'1 datos preparados'!P318</f>
        <v/>
      </c>
      <c r="R325" s="7">
        <f>'1 datos preparados'!Q318</f>
        <v/>
      </c>
      <c r="S325" s="7">
        <f>'1 datos preparados'!R318</f>
        <v/>
      </c>
      <c r="T325" s="7">
        <f>'1 datos preparados'!S318</f>
        <v/>
      </c>
      <c r="U325" s="7">
        <f>'1 datos preparados'!T318</f>
        <v/>
      </c>
      <c r="V325" s="8">
        <f>$AC$12+D325*$AC$13+E325*$AC$14+F325*$AC$15+G325*$AC$16+H325*$AC$17+I325*$AC$18+J325*$AC$19+K325*$AC$20+L325*$AC$21+M325*$AC$22+N325*$AC$23+O325*$AC$24+P325*$AC$25+Q325*$AC$26+R325*$AC$27+S325*$AC$28+T325*$AC$29+U325*$AC$30</f>
        <v/>
      </c>
      <c r="W325" s="8">
        <f>1/(1+EXP(-V325))</f>
        <v/>
      </c>
      <c r="X325" s="9">
        <f>-IF(C325=1,LN(W325),LN(1-W325))</f>
        <v/>
      </c>
      <c r="Y325" s="10">
        <f>IF(W325&gt;$AC$33,1,0)</f>
        <v/>
      </c>
      <c r="Z325">
        <f>IF(Y325=C325,1,0)</f>
        <v/>
      </c>
    </row>
    <row r="326">
      <c r="A326">
        <f>'1 datos preparados'!A319</f>
        <v/>
      </c>
      <c r="B326" s="5">
        <f>'1 datos preparados'!U319</f>
        <v/>
      </c>
      <c r="C326">
        <f>'1 datos preparados'!B319</f>
        <v/>
      </c>
      <c r="D326" s="7">
        <f>'1 datos preparados'!C319</f>
        <v/>
      </c>
      <c r="E326" s="7">
        <f>'1 datos preparados'!D319</f>
        <v/>
      </c>
      <c r="F326" s="7">
        <f>'1 datos preparados'!E319</f>
        <v/>
      </c>
      <c r="G326" s="7">
        <f>'1 datos preparados'!F319</f>
        <v/>
      </c>
      <c r="H326" s="7">
        <f>'1 datos preparados'!G319</f>
        <v/>
      </c>
      <c r="I326" s="7">
        <f>'1 datos preparados'!H319</f>
        <v/>
      </c>
      <c r="J326" s="7">
        <f>'1 datos preparados'!I319</f>
        <v/>
      </c>
      <c r="K326" s="7">
        <f>'1 datos preparados'!J319</f>
        <v/>
      </c>
      <c r="L326" s="7">
        <f>'1 datos preparados'!K319</f>
        <v/>
      </c>
      <c r="M326" s="7">
        <f>'1 datos preparados'!L319</f>
        <v/>
      </c>
      <c r="N326" s="7">
        <f>'1 datos preparados'!M319</f>
        <v/>
      </c>
      <c r="O326" s="7">
        <f>'1 datos preparados'!N319</f>
        <v/>
      </c>
      <c r="P326" s="7">
        <f>'1 datos preparados'!O319</f>
        <v/>
      </c>
      <c r="Q326" s="7">
        <f>'1 datos preparados'!P319</f>
        <v/>
      </c>
      <c r="R326" s="7">
        <f>'1 datos preparados'!Q319</f>
        <v/>
      </c>
      <c r="S326" s="7">
        <f>'1 datos preparados'!R319</f>
        <v/>
      </c>
      <c r="T326" s="7">
        <f>'1 datos preparados'!S319</f>
        <v/>
      </c>
      <c r="U326" s="7">
        <f>'1 datos preparados'!T319</f>
        <v/>
      </c>
      <c r="V326" s="8">
        <f>$AC$12+D326*$AC$13+E326*$AC$14+F326*$AC$15+G326*$AC$16+H326*$AC$17+I326*$AC$18+J326*$AC$19+K326*$AC$20+L326*$AC$21+M326*$AC$22+N326*$AC$23+O326*$AC$24+P326*$AC$25+Q326*$AC$26+R326*$AC$27+S326*$AC$28+T326*$AC$29+U326*$AC$30</f>
        <v/>
      </c>
      <c r="W326" s="8">
        <f>1/(1+EXP(-V326))</f>
        <v/>
      </c>
      <c r="X326" s="9">
        <f>-IF(C326=1,LN(W326),LN(1-W326))</f>
        <v/>
      </c>
      <c r="Y326" s="10">
        <f>IF(W326&gt;$AC$33,1,0)</f>
        <v/>
      </c>
      <c r="Z326">
        <f>IF(Y326=C326,1,0)</f>
        <v/>
      </c>
    </row>
    <row r="327">
      <c r="A327">
        <f>'1 datos preparados'!A320</f>
        <v/>
      </c>
      <c r="B327" s="5">
        <f>'1 datos preparados'!U320</f>
        <v/>
      </c>
      <c r="C327">
        <f>'1 datos preparados'!B320</f>
        <v/>
      </c>
      <c r="D327" s="7">
        <f>'1 datos preparados'!C320</f>
        <v/>
      </c>
      <c r="E327" s="7">
        <f>'1 datos preparados'!D320</f>
        <v/>
      </c>
      <c r="F327" s="7">
        <f>'1 datos preparados'!E320</f>
        <v/>
      </c>
      <c r="G327" s="7">
        <f>'1 datos preparados'!F320</f>
        <v/>
      </c>
      <c r="H327" s="7">
        <f>'1 datos preparados'!G320</f>
        <v/>
      </c>
      <c r="I327" s="7">
        <f>'1 datos preparados'!H320</f>
        <v/>
      </c>
      <c r="J327" s="7">
        <f>'1 datos preparados'!I320</f>
        <v/>
      </c>
      <c r="K327" s="7">
        <f>'1 datos preparados'!J320</f>
        <v/>
      </c>
      <c r="L327" s="7">
        <f>'1 datos preparados'!K320</f>
        <v/>
      </c>
      <c r="M327" s="7">
        <f>'1 datos preparados'!L320</f>
        <v/>
      </c>
      <c r="N327" s="7">
        <f>'1 datos preparados'!M320</f>
        <v/>
      </c>
      <c r="O327" s="7">
        <f>'1 datos preparados'!N320</f>
        <v/>
      </c>
      <c r="P327" s="7">
        <f>'1 datos preparados'!O320</f>
        <v/>
      </c>
      <c r="Q327" s="7">
        <f>'1 datos preparados'!P320</f>
        <v/>
      </c>
      <c r="R327" s="7">
        <f>'1 datos preparados'!Q320</f>
        <v/>
      </c>
      <c r="S327" s="7">
        <f>'1 datos preparados'!R320</f>
        <v/>
      </c>
      <c r="T327" s="7">
        <f>'1 datos preparados'!S320</f>
        <v/>
      </c>
      <c r="U327" s="7">
        <f>'1 datos preparados'!T320</f>
        <v/>
      </c>
      <c r="V327" s="8">
        <f>$AC$12+D327*$AC$13+E327*$AC$14+F327*$AC$15+G327*$AC$16+H327*$AC$17+I327*$AC$18+J327*$AC$19+K327*$AC$20+L327*$AC$21+M327*$AC$22+N327*$AC$23+O327*$AC$24+P327*$AC$25+Q327*$AC$26+R327*$AC$27+S327*$AC$28+T327*$AC$29+U327*$AC$30</f>
        <v/>
      </c>
      <c r="W327" s="8">
        <f>1/(1+EXP(-V327))</f>
        <v/>
      </c>
      <c r="X327" s="9">
        <f>-IF(C327=1,LN(W327),LN(1-W327))</f>
        <v/>
      </c>
      <c r="Y327" s="10">
        <f>IF(W327&gt;$AC$33,1,0)</f>
        <v/>
      </c>
      <c r="Z327">
        <f>IF(Y327=C327,1,0)</f>
        <v/>
      </c>
    </row>
    <row r="328">
      <c r="A328">
        <f>'1 datos preparados'!A321</f>
        <v/>
      </c>
      <c r="B328" s="5">
        <f>'1 datos preparados'!U321</f>
        <v/>
      </c>
      <c r="C328">
        <f>'1 datos preparados'!B321</f>
        <v/>
      </c>
      <c r="D328" s="7">
        <f>'1 datos preparados'!C321</f>
        <v/>
      </c>
      <c r="E328" s="7">
        <f>'1 datos preparados'!D321</f>
        <v/>
      </c>
      <c r="F328" s="7">
        <f>'1 datos preparados'!E321</f>
        <v/>
      </c>
      <c r="G328" s="7">
        <f>'1 datos preparados'!F321</f>
        <v/>
      </c>
      <c r="H328" s="7">
        <f>'1 datos preparados'!G321</f>
        <v/>
      </c>
      <c r="I328" s="7">
        <f>'1 datos preparados'!H321</f>
        <v/>
      </c>
      <c r="J328" s="7">
        <f>'1 datos preparados'!I321</f>
        <v/>
      </c>
      <c r="K328" s="7">
        <f>'1 datos preparados'!J321</f>
        <v/>
      </c>
      <c r="L328" s="7">
        <f>'1 datos preparados'!K321</f>
        <v/>
      </c>
      <c r="M328" s="7">
        <f>'1 datos preparados'!L321</f>
        <v/>
      </c>
      <c r="N328" s="7">
        <f>'1 datos preparados'!M321</f>
        <v/>
      </c>
      <c r="O328" s="7">
        <f>'1 datos preparados'!N321</f>
        <v/>
      </c>
      <c r="P328" s="7">
        <f>'1 datos preparados'!O321</f>
        <v/>
      </c>
      <c r="Q328" s="7">
        <f>'1 datos preparados'!P321</f>
        <v/>
      </c>
      <c r="R328" s="7">
        <f>'1 datos preparados'!Q321</f>
        <v/>
      </c>
      <c r="S328" s="7">
        <f>'1 datos preparados'!R321</f>
        <v/>
      </c>
      <c r="T328" s="7">
        <f>'1 datos preparados'!S321</f>
        <v/>
      </c>
      <c r="U328" s="7">
        <f>'1 datos preparados'!T321</f>
        <v/>
      </c>
      <c r="V328" s="8">
        <f>$AC$12+D328*$AC$13+E328*$AC$14+F328*$AC$15+G328*$AC$16+H328*$AC$17+I328*$AC$18+J328*$AC$19+K328*$AC$20+L328*$AC$21+M328*$AC$22+N328*$AC$23+O328*$AC$24+P328*$AC$25+Q328*$AC$26+R328*$AC$27+S328*$AC$28+T328*$AC$29+U328*$AC$30</f>
        <v/>
      </c>
      <c r="W328" s="8">
        <f>1/(1+EXP(-V328))</f>
        <v/>
      </c>
      <c r="X328" s="9">
        <f>-IF(C328=1,LN(W328),LN(1-W328))</f>
        <v/>
      </c>
      <c r="Y328" s="10">
        <f>IF(W328&gt;$AC$33,1,0)</f>
        <v/>
      </c>
      <c r="Z328">
        <f>IF(Y328=C328,1,0)</f>
        <v/>
      </c>
    </row>
    <row r="329">
      <c r="A329">
        <f>'1 datos preparados'!A322</f>
        <v/>
      </c>
      <c r="B329" s="5">
        <f>'1 datos preparados'!U322</f>
        <v/>
      </c>
      <c r="C329">
        <f>'1 datos preparados'!B322</f>
        <v/>
      </c>
      <c r="D329" s="7">
        <f>'1 datos preparados'!C322</f>
        <v/>
      </c>
      <c r="E329" s="7">
        <f>'1 datos preparados'!D322</f>
        <v/>
      </c>
      <c r="F329" s="7">
        <f>'1 datos preparados'!E322</f>
        <v/>
      </c>
      <c r="G329" s="7">
        <f>'1 datos preparados'!F322</f>
        <v/>
      </c>
      <c r="H329" s="7">
        <f>'1 datos preparados'!G322</f>
        <v/>
      </c>
      <c r="I329" s="7">
        <f>'1 datos preparados'!H322</f>
        <v/>
      </c>
      <c r="J329" s="7">
        <f>'1 datos preparados'!I322</f>
        <v/>
      </c>
      <c r="K329" s="7">
        <f>'1 datos preparados'!J322</f>
        <v/>
      </c>
      <c r="L329" s="7">
        <f>'1 datos preparados'!K322</f>
        <v/>
      </c>
      <c r="M329" s="7">
        <f>'1 datos preparados'!L322</f>
        <v/>
      </c>
      <c r="N329" s="7">
        <f>'1 datos preparados'!M322</f>
        <v/>
      </c>
      <c r="O329" s="7">
        <f>'1 datos preparados'!N322</f>
        <v/>
      </c>
      <c r="P329" s="7">
        <f>'1 datos preparados'!O322</f>
        <v/>
      </c>
      <c r="Q329" s="7">
        <f>'1 datos preparados'!P322</f>
        <v/>
      </c>
      <c r="R329" s="7">
        <f>'1 datos preparados'!Q322</f>
        <v/>
      </c>
      <c r="S329" s="7">
        <f>'1 datos preparados'!R322</f>
        <v/>
      </c>
      <c r="T329" s="7">
        <f>'1 datos preparados'!S322</f>
        <v/>
      </c>
      <c r="U329" s="7">
        <f>'1 datos preparados'!T322</f>
        <v/>
      </c>
      <c r="V329" s="8">
        <f>$AC$12+D329*$AC$13+E329*$AC$14+F329*$AC$15+G329*$AC$16+H329*$AC$17+I329*$AC$18+J329*$AC$19+K329*$AC$20+L329*$AC$21+M329*$AC$22+N329*$AC$23+O329*$AC$24+P329*$AC$25+Q329*$AC$26+R329*$AC$27+S329*$AC$28+T329*$AC$29+U329*$AC$30</f>
        <v/>
      </c>
      <c r="W329" s="8">
        <f>1/(1+EXP(-V329))</f>
        <v/>
      </c>
      <c r="X329" s="9">
        <f>-IF(C329=1,LN(W329),LN(1-W329))</f>
        <v/>
      </c>
      <c r="Y329" s="10">
        <f>IF(W329&gt;$AC$33,1,0)</f>
        <v/>
      </c>
      <c r="Z329">
        <f>IF(Y329=C329,1,0)</f>
        <v/>
      </c>
    </row>
    <row r="330">
      <c r="A330">
        <f>'1 datos preparados'!A323</f>
        <v/>
      </c>
      <c r="B330" s="5">
        <f>'1 datos preparados'!U323</f>
        <v/>
      </c>
      <c r="C330">
        <f>'1 datos preparados'!B323</f>
        <v/>
      </c>
      <c r="D330" s="7">
        <f>'1 datos preparados'!C323</f>
        <v/>
      </c>
      <c r="E330" s="7">
        <f>'1 datos preparados'!D323</f>
        <v/>
      </c>
      <c r="F330" s="7">
        <f>'1 datos preparados'!E323</f>
        <v/>
      </c>
      <c r="G330" s="7">
        <f>'1 datos preparados'!F323</f>
        <v/>
      </c>
      <c r="H330" s="7">
        <f>'1 datos preparados'!G323</f>
        <v/>
      </c>
      <c r="I330" s="7">
        <f>'1 datos preparados'!H323</f>
        <v/>
      </c>
      <c r="J330" s="7">
        <f>'1 datos preparados'!I323</f>
        <v/>
      </c>
      <c r="K330" s="7">
        <f>'1 datos preparados'!J323</f>
        <v/>
      </c>
      <c r="L330" s="7">
        <f>'1 datos preparados'!K323</f>
        <v/>
      </c>
      <c r="M330" s="7">
        <f>'1 datos preparados'!L323</f>
        <v/>
      </c>
      <c r="N330" s="7">
        <f>'1 datos preparados'!M323</f>
        <v/>
      </c>
      <c r="O330" s="7">
        <f>'1 datos preparados'!N323</f>
        <v/>
      </c>
      <c r="P330" s="7">
        <f>'1 datos preparados'!O323</f>
        <v/>
      </c>
      <c r="Q330" s="7">
        <f>'1 datos preparados'!P323</f>
        <v/>
      </c>
      <c r="R330" s="7">
        <f>'1 datos preparados'!Q323</f>
        <v/>
      </c>
      <c r="S330" s="7">
        <f>'1 datos preparados'!R323</f>
        <v/>
      </c>
      <c r="T330" s="7">
        <f>'1 datos preparados'!S323</f>
        <v/>
      </c>
      <c r="U330" s="7">
        <f>'1 datos preparados'!T323</f>
        <v/>
      </c>
      <c r="V330" s="8">
        <f>$AC$12+D330*$AC$13+E330*$AC$14+F330*$AC$15+G330*$AC$16+H330*$AC$17+I330*$AC$18+J330*$AC$19+K330*$AC$20+L330*$AC$21+M330*$AC$22+N330*$AC$23+O330*$AC$24+P330*$AC$25+Q330*$AC$26+R330*$AC$27+S330*$AC$28+T330*$AC$29+U330*$AC$30</f>
        <v/>
      </c>
      <c r="W330" s="8">
        <f>1/(1+EXP(-V330))</f>
        <v/>
      </c>
      <c r="X330" s="9">
        <f>-IF(C330=1,LN(W330),LN(1-W330))</f>
        <v/>
      </c>
      <c r="Y330" s="10">
        <f>IF(W330&gt;$AC$33,1,0)</f>
        <v/>
      </c>
      <c r="Z330">
        <f>IF(Y330=C330,1,0)</f>
        <v/>
      </c>
    </row>
    <row r="331">
      <c r="A331">
        <f>'1 datos preparados'!A324</f>
        <v/>
      </c>
      <c r="B331" s="5">
        <f>'1 datos preparados'!U324</f>
        <v/>
      </c>
      <c r="C331">
        <f>'1 datos preparados'!B324</f>
        <v/>
      </c>
      <c r="D331" s="7">
        <f>'1 datos preparados'!C324</f>
        <v/>
      </c>
      <c r="E331" s="7">
        <f>'1 datos preparados'!D324</f>
        <v/>
      </c>
      <c r="F331" s="7">
        <f>'1 datos preparados'!E324</f>
        <v/>
      </c>
      <c r="G331" s="7">
        <f>'1 datos preparados'!F324</f>
        <v/>
      </c>
      <c r="H331" s="7">
        <f>'1 datos preparados'!G324</f>
        <v/>
      </c>
      <c r="I331" s="7">
        <f>'1 datos preparados'!H324</f>
        <v/>
      </c>
      <c r="J331" s="7">
        <f>'1 datos preparados'!I324</f>
        <v/>
      </c>
      <c r="K331" s="7">
        <f>'1 datos preparados'!J324</f>
        <v/>
      </c>
      <c r="L331" s="7">
        <f>'1 datos preparados'!K324</f>
        <v/>
      </c>
      <c r="M331" s="7">
        <f>'1 datos preparados'!L324</f>
        <v/>
      </c>
      <c r="N331" s="7">
        <f>'1 datos preparados'!M324</f>
        <v/>
      </c>
      <c r="O331" s="7">
        <f>'1 datos preparados'!N324</f>
        <v/>
      </c>
      <c r="P331" s="7">
        <f>'1 datos preparados'!O324</f>
        <v/>
      </c>
      <c r="Q331" s="7">
        <f>'1 datos preparados'!P324</f>
        <v/>
      </c>
      <c r="R331" s="7">
        <f>'1 datos preparados'!Q324</f>
        <v/>
      </c>
      <c r="S331" s="7">
        <f>'1 datos preparados'!R324</f>
        <v/>
      </c>
      <c r="T331" s="7">
        <f>'1 datos preparados'!S324</f>
        <v/>
      </c>
      <c r="U331" s="7">
        <f>'1 datos preparados'!T324</f>
        <v/>
      </c>
      <c r="V331" s="8">
        <f>$AC$12+D331*$AC$13+E331*$AC$14+F331*$AC$15+G331*$AC$16+H331*$AC$17+I331*$AC$18+J331*$AC$19+K331*$AC$20+L331*$AC$21+M331*$AC$22+N331*$AC$23+O331*$AC$24+P331*$AC$25+Q331*$AC$26+R331*$AC$27+S331*$AC$28+T331*$AC$29+U331*$AC$30</f>
        <v/>
      </c>
      <c r="W331" s="8">
        <f>1/(1+EXP(-V331))</f>
        <v/>
      </c>
      <c r="X331" s="9">
        <f>-IF(C331=1,LN(W331),LN(1-W331))</f>
        <v/>
      </c>
      <c r="Y331" s="10">
        <f>IF(W331&gt;$AC$33,1,0)</f>
        <v/>
      </c>
      <c r="Z331">
        <f>IF(Y331=C331,1,0)</f>
        <v/>
      </c>
    </row>
    <row r="332">
      <c r="A332">
        <f>'1 datos preparados'!A325</f>
        <v/>
      </c>
      <c r="B332" s="5">
        <f>'1 datos preparados'!U325</f>
        <v/>
      </c>
      <c r="C332">
        <f>'1 datos preparados'!B325</f>
        <v/>
      </c>
      <c r="D332" s="7">
        <f>'1 datos preparados'!C325</f>
        <v/>
      </c>
      <c r="E332" s="7">
        <f>'1 datos preparados'!D325</f>
        <v/>
      </c>
      <c r="F332" s="7">
        <f>'1 datos preparados'!E325</f>
        <v/>
      </c>
      <c r="G332" s="7">
        <f>'1 datos preparados'!F325</f>
        <v/>
      </c>
      <c r="H332" s="7">
        <f>'1 datos preparados'!G325</f>
        <v/>
      </c>
      <c r="I332" s="7">
        <f>'1 datos preparados'!H325</f>
        <v/>
      </c>
      <c r="J332" s="7">
        <f>'1 datos preparados'!I325</f>
        <v/>
      </c>
      <c r="K332" s="7">
        <f>'1 datos preparados'!J325</f>
        <v/>
      </c>
      <c r="L332" s="7">
        <f>'1 datos preparados'!K325</f>
        <v/>
      </c>
      <c r="M332" s="7">
        <f>'1 datos preparados'!L325</f>
        <v/>
      </c>
      <c r="N332" s="7">
        <f>'1 datos preparados'!M325</f>
        <v/>
      </c>
      <c r="O332" s="7">
        <f>'1 datos preparados'!N325</f>
        <v/>
      </c>
      <c r="P332" s="7">
        <f>'1 datos preparados'!O325</f>
        <v/>
      </c>
      <c r="Q332" s="7">
        <f>'1 datos preparados'!P325</f>
        <v/>
      </c>
      <c r="R332" s="7">
        <f>'1 datos preparados'!Q325</f>
        <v/>
      </c>
      <c r="S332" s="7">
        <f>'1 datos preparados'!R325</f>
        <v/>
      </c>
      <c r="T332" s="7">
        <f>'1 datos preparados'!S325</f>
        <v/>
      </c>
      <c r="U332" s="7">
        <f>'1 datos preparados'!T325</f>
        <v/>
      </c>
      <c r="V332" s="8">
        <f>$AC$12+D332*$AC$13+E332*$AC$14+F332*$AC$15+G332*$AC$16+H332*$AC$17+I332*$AC$18+J332*$AC$19+K332*$AC$20+L332*$AC$21+M332*$AC$22+N332*$AC$23+O332*$AC$24+P332*$AC$25+Q332*$AC$26+R332*$AC$27+S332*$AC$28+T332*$AC$29+U332*$AC$30</f>
        <v/>
      </c>
      <c r="W332" s="8">
        <f>1/(1+EXP(-V332))</f>
        <v/>
      </c>
      <c r="X332" s="9">
        <f>-IF(C332=1,LN(W332),LN(1-W332))</f>
        <v/>
      </c>
      <c r="Y332" s="10">
        <f>IF(W332&gt;$AC$33,1,0)</f>
        <v/>
      </c>
      <c r="Z332">
        <f>IF(Y332=C332,1,0)</f>
        <v/>
      </c>
    </row>
    <row r="333">
      <c r="A333">
        <f>'1 datos preparados'!A326</f>
        <v/>
      </c>
      <c r="B333" s="5">
        <f>'1 datos preparados'!U326</f>
        <v/>
      </c>
      <c r="C333">
        <f>'1 datos preparados'!B326</f>
        <v/>
      </c>
      <c r="D333" s="7">
        <f>'1 datos preparados'!C326</f>
        <v/>
      </c>
      <c r="E333" s="7">
        <f>'1 datos preparados'!D326</f>
        <v/>
      </c>
      <c r="F333" s="7">
        <f>'1 datos preparados'!E326</f>
        <v/>
      </c>
      <c r="G333" s="7">
        <f>'1 datos preparados'!F326</f>
        <v/>
      </c>
      <c r="H333" s="7">
        <f>'1 datos preparados'!G326</f>
        <v/>
      </c>
      <c r="I333" s="7">
        <f>'1 datos preparados'!H326</f>
        <v/>
      </c>
      <c r="J333" s="7">
        <f>'1 datos preparados'!I326</f>
        <v/>
      </c>
      <c r="K333" s="7">
        <f>'1 datos preparados'!J326</f>
        <v/>
      </c>
      <c r="L333" s="7">
        <f>'1 datos preparados'!K326</f>
        <v/>
      </c>
      <c r="M333" s="7">
        <f>'1 datos preparados'!L326</f>
        <v/>
      </c>
      <c r="N333" s="7">
        <f>'1 datos preparados'!M326</f>
        <v/>
      </c>
      <c r="O333" s="7">
        <f>'1 datos preparados'!N326</f>
        <v/>
      </c>
      <c r="P333" s="7">
        <f>'1 datos preparados'!O326</f>
        <v/>
      </c>
      <c r="Q333" s="7">
        <f>'1 datos preparados'!P326</f>
        <v/>
      </c>
      <c r="R333" s="7">
        <f>'1 datos preparados'!Q326</f>
        <v/>
      </c>
      <c r="S333" s="7">
        <f>'1 datos preparados'!R326</f>
        <v/>
      </c>
      <c r="T333" s="7">
        <f>'1 datos preparados'!S326</f>
        <v/>
      </c>
      <c r="U333" s="7">
        <f>'1 datos preparados'!T326</f>
        <v/>
      </c>
      <c r="V333" s="8">
        <f>$AC$12+D333*$AC$13+E333*$AC$14+F333*$AC$15+G333*$AC$16+H333*$AC$17+I333*$AC$18+J333*$AC$19+K333*$AC$20+L333*$AC$21+M333*$AC$22+N333*$AC$23+O333*$AC$24+P333*$AC$25+Q333*$AC$26+R333*$AC$27+S333*$AC$28+T333*$AC$29+U333*$AC$30</f>
        <v/>
      </c>
      <c r="W333" s="8">
        <f>1/(1+EXP(-V333))</f>
        <v/>
      </c>
      <c r="X333" s="9">
        <f>-IF(C333=1,LN(W333),LN(1-W333))</f>
        <v/>
      </c>
      <c r="Y333" s="10">
        <f>IF(W333&gt;$AC$33,1,0)</f>
        <v/>
      </c>
      <c r="Z333">
        <f>IF(Y333=C333,1,0)</f>
        <v/>
      </c>
    </row>
    <row r="334">
      <c r="A334">
        <f>'1 datos preparados'!A327</f>
        <v/>
      </c>
      <c r="B334" s="5">
        <f>'1 datos preparados'!U327</f>
        <v/>
      </c>
      <c r="C334">
        <f>'1 datos preparados'!B327</f>
        <v/>
      </c>
      <c r="D334" s="7">
        <f>'1 datos preparados'!C327</f>
        <v/>
      </c>
      <c r="E334" s="7">
        <f>'1 datos preparados'!D327</f>
        <v/>
      </c>
      <c r="F334" s="7">
        <f>'1 datos preparados'!E327</f>
        <v/>
      </c>
      <c r="G334" s="7">
        <f>'1 datos preparados'!F327</f>
        <v/>
      </c>
      <c r="H334" s="7">
        <f>'1 datos preparados'!G327</f>
        <v/>
      </c>
      <c r="I334" s="7">
        <f>'1 datos preparados'!H327</f>
        <v/>
      </c>
      <c r="J334" s="7">
        <f>'1 datos preparados'!I327</f>
        <v/>
      </c>
      <c r="K334" s="7">
        <f>'1 datos preparados'!J327</f>
        <v/>
      </c>
      <c r="L334" s="7">
        <f>'1 datos preparados'!K327</f>
        <v/>
      </c>
      <c r="M334" s="7">
        <f>'1 datos preparados'!L327</f>
        <v/>
      </c>
      <c r="N334" s="7">
        <f>'1 datos preparados'!M327</f>
        <v/>
      </c>
      <c r="O334" s="7">
        <f>'1 datos preparados'!N327</f>
        <v/>
      </c>
      <c r="P334" s="7">
        <f>'1 datos preparados'!O327</f>
        <v/>
      </c>
      <c r="Q334" s="7">
        <f>'1 datos preparados'!P327</f>
        <v/>
      </c>
      <c r="R334" s="7">
        <f>'1 datos preparados'!Q327</f>
        <v/>
      </c>
      <c r="S334" s="7">
        <f>'1 datos preparados'!R327</f>
        <v/>
      </c>
      <c r="T334" s="7">
        <f>'1 datos preparados'!S327</f>
        <v/>
      </c>
      <c r="U334" s="7">
        <f>'1 datos preparados'!T327</f>
        <v/>
      </c>
      <c r="V334" s="8">
        <f>$AC$12+D334*$AC$13+E334*$AC$14+F334*$AC$15+G334*$AC$16+H334*$AC$17+I334*$AC$18+J334*$AC$19+K334*$AC$20+L334*$AC$21+M334*$AC$22+N334*$AC$23+O334*$AC$24+P334*$AC$25+Q334*$AC$26+R334*$AC$27+S334*$AC$28+T334*$AC$29+U334*$AC$30</f>
        <v/>
      </c>
      <c r="W334" s="8">
        <f>1/(1+EXP(-V334))</f>
        <v/>
      </c>
      <c r="X334" s="9">
        <f>-IF(C334=1,LN(W334),LN(1-W334))</f>
        <v/>
      </c>
      <c r="Y334" s="10">
        <f>IF(W334&gt;$AC$33,1,0)</f>
        <v/>
      </c>
      <c r="Z334">
        <f>IF(Y334=C334,1,0)</f>
        <v/>
      </c>
    </row>
    <row r="335">
      <c r="A335">
        <f>'1 datos preparados'!A328</f>
        <v/>
      </c>
      <c r="B335" s="5">
        <f>'1 datos preparados'!U328</f>
        <v/>
      </c>
      <c r="C335">
        <f>'1 datos preparados'!B328</f>
        <v/>
      </c>
      <c r="D335" s="7">
        <f>'1 datos preparados'!C328</f>
        <v/>
      </c>
      <c r="E335" s="7">
        <f>'1 datos preparados'!D328</f>
        <v/>
      </c>
      <c r="F335" s="7">
        <f>'1 datos preparados'!E328</f>
        <v/>
      </c>
      <c r="G335" s="7">
        <f>'1 datos preparados'!F328</f>
        <v/>
      </c>
      <c r="H335" s="7">
        <f>'1 datos preparados'!G328</f>
        <v/>
      </c>
      <c r="I335" s="7">
        <f>'1 datos preparados'!H328</f>
        <v/>
      </c>
      <c r="J335" s="7">
        <f>'1 datos preparados'!I328</f>
        <v/>
      </c>
      <c r="K335" s="7">
        <f>'1 datos preparados'!J328</f>
        <v/>
      </c>
      <c r="L335" s="7">
        <f>'1 datos preparados'!K328</f>
        <v/>
      </c>
      <c r="M335" s="7">
        <f>'1 datos preparados'!L328</f>
        <v/>
      </c>
      <c r="N335" s="7">
        <f>'1 datos preparados'!M328</f>
        <v/>
      </c>
      <c r="O335" s="7">
        <f>'1 datos preparados'!N328</f>
        <v/>
      </c>
      <c r="P335" s="7">
        <f>'1 datos preparados'!O328</f>
        <v/>
      </c>
      <c r="Q335" s="7">
        <f>'1 datos preparados'!P328</f>
        <v/>
      </c>
      <c r="R335" s="7">
        <f>'1 datos preparados'!Q328</f>
        <v/>
      </c>
      <c r="S335" s="7">
        <f>'1 datos preparados'!R328</f>
        <v/>
      </c>
      <c r="T335" s="7">
        <f>'1 datos preparados'!S328</f>
        <v/>
      </c>
      <c r="U335" s="7">
        <f>'1 datos preparados'!T328</f>
        <v/>
      </c>
      <c r="V335" s="8">
        <f>$AC$12+D335*$AC$13+E335*$AC$14+F335*$AC$15+G335*$AC$16+H335*$AC$17+I335*$AC$18+J335*$AC$19+K335*$AC$20+L335*$AC$21+M335*$AC$22+N335*$AC$23+O335*$AC$24+P335*$AC$25+Q335*$AC$26+R335*$AC$27+S335*$AC$28+T335*$AC$29+U335*$AC$30</f>
        <v/>
      </c>
      <c r="W335" s="8">
        <f>1/(1+EXP(-V335))</f>
        <v/>
      </c>
      <c r="X335" s="9">
        <f>-IF(C335=1,LN(W335),LN(1-W335))</f>
        <v/>
      </c>
      <c r="Y335" s="10">
        <f>IF(W335&gt;$AC$33,1,0)</f>
        <v/>
      </c>
      <c r="Z335">
        <f>IF(Y335=C335,1,0)</f>
        <v/>
      </c>
    </row>
    <row r="336">
      <c r="A336">
        <f>'1 datos preparados'!A329</f>
        <v/>
      </c>
      <c r="B336" s="5">
        <f>'1 datos preparados'!U329</f>
        <v/>
      </c>
      <c r="C336">
        <f>'1 datos preparados'!B329</f>
        <v/>
      </c>
      <c r="D336" s="7">
        <f>'1 datos preparados'!C329</f>
        <v/>
      </c>
      <c r="E336" s="7">
        <f>'1 datos preparados'!D329</f>
        <v/>
      </c>
      <c r="F336" s="7">
        <f>'1 datos preparados'!E329</f>
        <v/>
      </c>
      <c r="G336" s="7">
        <f>'1 datos preparados'!F329</f>
        <v/>
      </c>
      <c r="H336" s="7">
        <f>'1 datos preparados'!G329</f>
        <v/>
      </c>
      <c r="I336" s="7">
        <f>'1 datos preparados'!H329</f>
        <v/>
      </c>
      <c r="J336" s="7">
        <f>'1 datos preparados'!I329</f>
        <v/>
      </c>
      <c r="K336" s="7">
        <f>'1 datos preparados'!J329</f>
        <v/>
      </c>
      <c r="L336" s="7">
        <f>'1 datos preparados'!K329</f>
        <v/>
      </c>
      <c r="M336" s="7">
        <f>'1 datos preparados'!L329</f>
        <v/>
      </c>
      <c r="N336" s="7">
        <f>'1 datos preparados'!M329</f>
        <v/>
      </c>
      <c r="O336" s="7">
        <f>'1 datos preparados'!N329</f>
        <v/>
      </c>
      <c r="P336" s="7">
        <f>'1 datos preparados'!O329</f>
        <v/>
      </c>
      <c r="Q336" s="7">
        <f>'1 datos preparados'!P329</f>
        <v/>
      </c>
      <c r="R336" s="7">
        <f>'1 datos preparados'!Q329</f>
        <v/>
      </c>
      <c r="S336" s="7">
        <f>'1 datos preparados'!R329</f>
        <v/>
      </c>
      <c r="T336" s="7">
        <f>'1 datos preparados'!S329</f>
        <v/>
      </c>
      <c r="U336" s="7">
        <f>'1 datos preparados'!T329</f>
        <v/>
      </c>
      <c r="V336" s="8">
        <f>$AC$12+D336*$AC$13+E336*$AC$14+F336*$AC$15+G336*$AC$16+H336*$AC$17+I336*$AC$18+J336*$AC$19+K336*$AC$20+L336*$AC$21+M336*$AC$22+N336*$AC$23+O336*$AC$24+P336*$AC$25+Q336*$AC$26+R336*$AC$27+S336*$AC$28+T336*$AC$29+U336*$AC$30</f>
        <v/>
      </c>
      <c r="W336" s="8">
        <f>1/(1+EXP(-V336))</f>
        <v/>
      </c>
      <c r="X336" s="9">
        <f>-IF(C336=1,LN(W336),LN(1-W336))</f>
        <v/>
      </c>
      <c r="Y336" s="10">
        <f>IF(W336&gt;$AC$33,1,0)</f>
        <v/>
      </c>
      <c r="Z336">
        <f>IF(Y336=C336,1,0)</f>
        <v/>
      </c>
    </row>
    <row r="337">
      <c r="A337">
        <f>'1 datos preparados'!A330</f>
        <v/>
      </c>
      <c r="B337" s="5">
        <f>'1 datos preparados'!U330</f>
        <v/>
      </c>
      <c r="C337">
        <f>'1 datos preparados'!B330</f>
        <v/>
      </c>
      <c r="D337" s="7">
        <f>'1 datos preparados'!C330</f>
        <v/>
      </c>
      <c r="E337" s="7">
        <f>'1 datos preparados'!D330</f>
        <v/>
      </c>
      <c r="F337" s="7">
        <f>'1 datos preparados'!E330</f>
        <v/>
      </c>
      <c r="G337" s="7">
        <f>'1 datos preparados'!F330</f>
        <v/>
      </c>
      <c r="H337" s="7">
        <f>'1 datos preparados'!G330</f>
        <v/>
      </c>
      <c r="I337" s="7">
        <f>'1 datos preparados'!H330</f>
        <v/>
      </c>
      <c r="J337" s="7">
        <f>'1 datos preparados'!I330</f>
        <v/>
      </c>
      <c r="K337" s="7">
        <f>'1 datos preparados'!J330</f>
        <v/>
      </c>
      <c r="L337" s="7">
        <f>'1 datos preparados'!K330</f>
        <v/>
      </c>
      <c r="M337" s="7">
        <f>'1 datos preparados'!L330</f>
        <v/>
      </c>
      <c r="N337" s="7">
        <f>'1 datos preparados'!M330</f>
        <v/>
      </c>
      <c r="O337" s="7">
        <f>'1 datos preparados'!N330</f>
        <v/>
      </c>
      <c r="P337" s="7">
        <f>'1 datos preparados'!O330</f>
        <v/>
      </c>
      <c r="Q337" s="7">
        <f>'1 datos preparados'!P330</f>
        <v/>
      </c>
      <c r="R337" s="7">
        <f>'1 datos preparados'!Q330</f>
        <v/>
      </c>
      <c r="S337" s="7">
        <f>'1 datos preparados'!R330</f>
        <v/>
      </c>
      <c r="T337" s="7">
        <f>'1 datos preparados'!S330</f>
        <v/>
      </c>
      <c r="U337" s="7">
        <f>'1 datos preparados'!T330</f>
        <v/>
      </c>
      <c r="V337" s="8">
        <f>$AC$12+D337*$AC$13+E337*$AC$14+F337*$AC$15+G337*$AC$16+H337*$AC$17+I337*$AC$18+J337*$AC$19+K337*$AC$20+L337*$AC$21+M337*$AC$22+N337*$AC$23+O337*$AC$24+P337*$AC$25+Q337*$AC$26+R337*$AC$27+S337*$AC$28+T337*$AC$29+U337*$AC$30</f>
        <v/>
      </c>
      <c r="W337" s="8">
        <f>1/(1+EXP(-V337))</f>
        <v/>
      </c>
      <c r="X337" s="9">
        <f>-IF(C337=1,LN(W337),LN(1-W337))</f>
        <v/>
      </c>
      <c r="Y337" s="10">
        <f>IF(W337&gt;$AC$33,1,0)</f>
        <v/>
      </c>
      <c r="Z337">
        <f>IF(Y337=C337,1,0)</f>
        <v/>
      </c>
    </row>
    <row r="338">
      <c r="A338">
        <f>'1 datos preparados'!A331</f>
        <v/>
      </c>
      <c r="B338" s="5">
        <f>'1 datos preparados'!U331</f>
        <v/>
      </c>
      <c r="C338">
        <f>'1 datos preparados'!B331</f>
        <v/>
      </c>
      <c r="D338" s="7">
        <f>'1 datos preparados'!C331</f>
        <v/>
      </c>
      <c r="E338" s="7">
        <f>'1 datos preparados'!D331</f>
        <v/>
      </c>
      <c r="F338" s="7">
        <f>'1 datos preparados'!E331</f>
        <v/>
      </c>
      <c r="G338" s="7">
        <f>'1 datos preparados'!F331</f>
        <v/>
      </c>
      <c r="H338" s="7">
        <f>'1 datos preparados'!G331</f>
        <v/>
      </c>
      <c r="I338" s="7">
        <f>'1 datos preparados'!H331</f>
        <v/>
      </c>
      <c r="J338" s="7">
        <f>'1 datos preparados'!I331</f>
        <v/>
      </c>
      <c r="K338" s="7">
        <f>'1 datos preparados'!J331</f>
        <v/>
      </c>
      <c r="L338" s="7">
        <f>'1 datos preparados'!K331</f>
        <v/>
      </c>
      <c r="M338" s="7">
        <f>'1 datos preparados'!L331</f>
        <v/>
      </c>
      <c r="N338" s="7">
        <f>'1 datos preparados'!M331</f>
        <v/>
      </c>
      <c r="O338" s="7">
        <f>'1 datos preparados'!N331</f>
        <v/>
      </c>
      <c r="P338" s="7">
        <f>'1 datos preparados'!O331</f>
        <v/>
      </c>
      <c r="Q338" s="7">
        <f>'1 datos preparados'!P331</f>
        <v/>
      </c>
      <c r="R338" s="7">
        <f>'1 datos preparados'!Q331</f>
        <v/>
      </c>
      <c r="S338" s="7">
        <f>'1 datos preparados'!R331</f>
        <v/>
      </c>
      <c r="T338" s="7">
        <f>'1 datos preparados'!S331</f>
        <v/>
      </c>
      <c r="U338" s="7">
        <f>'1 datos preparados'!T331</f>
        <v/>
      </c>
      <c r="V338" s="8">
        <f>$AC$12+D338*$AC$13+E338*$AC$14+F338*$AC$15+G338*$AC$16+H338*$AC$17+I338*$AC$18+J338*$AC$19+K338*$AC$20+L338*$AC$21+M338*$AC$22+N338*$AC$23+O338*$AC$24+P338*$AC$25+Q338*$AC$26+R338*$AC$27+S338*$AC$28+T338*$AC$29+U338*$AC$30</f>
        <v/>
      </c>
      <c r="W338" s="8">
        <f>1/(1+EXP(-V338))</f>
        <v/>
      </c>
      <c r="X338" s="9">
        <f>-IF(C338=1,LN(W338),LN(1-W338))</f>
        <v/>
      </c>
      <c r="Y338" s="10">
        <f>IF(W338&gt;$AC$33,1,0)</f>
        <v/>
      </c>
      <c r="Z338">
        <f>IF(Y338=C338,1,0)</f>
        <v/>
      </c>
    </row>
    <row r="339">
      <c r="A339">
        <f>'1 datos preparados'!A332</f>
        <v/>
      </c>
      <c r="B339" s="5">
        <f>'1 datos preparados'!U332</f>
        <v/>
      </c>
      <c r="C339">
        <f>'1 datos preparados'!B332</f>
        <v/>
      </c>
      <c r="D339" s="7">
        <f>'1 datos preparados'!C332</f>
        <v/>
      </c>
      <c r="E339" s="7">
        <f>'1 datos preparados'!D332</f>
        <v/>
      </c>
      <c r="F339" s="7">
        <f>'1 datos preparados'!E332</f>
        <v/>
      </c>
      <c r="G339" s="7">
        <f>'1 datos preparados'!F332</f>
        <v/>
      </c>
      <c r="H339" s="7">
        <f>'1 datos preparados'!G332</f>
        <v/>
      </c>
      <c r="I339" s="7">
        <f>'1 datos preparados'!H332</f>
        <v/>
      </c>
      <c r="J339" s="7">
        <f>'1 datos preparados'!I332</f>
        <v/>
      </c>
      <c r="K339" s="7">
        <f>'1 datos preparados'!J332</f>
        <v/>
      </c>
      <c r="L339" s="7">
        <f>'1 datos preparados'!K332</f>
        <v/>
      </c>
      <c r="M339" s="7">
        <f>'1 datos preparados'!L332</f>
        <v/>
      </c>
      <c r="N339" s="7">
        <f>'1 datos preparados'!M332</f>
        <v/>
      </c>
      <c r="O339" s="7">
        <f>'1 datos preparados'!N332</f>
        <v/>
      </c>
      <c r="P339" s="7">
        <f>'1 datos preparados'!O332</f>
        <v/>
      </c>
      <c r="Q339" s="7">
        <f>'1 datos preparados'!P332</f>
        <v/>
      </c>
      <c r="R339" s="7">
        <f>'1 datos preparados'!Q332</f>
        <v/>
      </c>
      <c r="S339" s="7">
        <f>'1 datos preparados'!R332</f>
        <v/>
      </c>
      <c r="T339" s="7">
        <f>'1 datos preparados'!S332</f>
        <v/>
      </c>
      <c r="U339" s="7">
        <f>'1 datos preparados'!T332</f>
        <v/>
      </c>
      <c r="V339" s="8">
        <f>$AC$12+D339*$AC$13+E339*$AC$14+F339*$AC$15+G339*$AC$16+H339*$AC$17+I339*$AC$18+J339*$AC$19+K339*$AC$20+L339*$AC$21+M339*$AC$22+N339*$AC$23+O339*$AC$24+P339*$AC$25+Q339*$AC$26+R339*$AC$27+S339*$AC$28+T339*$AC$29+U339*$AC$30</f>
        <v/>
      </c>
      <c r="W339" s="8">
        <f>1/(1+EXP(-V339))</f>
        <v/>
      </c>
      <c r="X339" s="9">
        <f>-IF(C339=1,LN(W339),LN(1-W339))</f>
        <v/>
      </c>
      <c r="Y339" s="10">
        <f>IF(W339&gt;$AC$33,1,0)</f>
        <v/>
      </c>
      <c r="Z339">
        <f>IF(Y339=C339,1,0)</f>
        <v/>
      </c>
    </row>
    <row r="340">
      <c r="A340">
        <f>'1 datos preparados'!A333</f>
        <v/>
      </c>
      <c r="B340" s="5">
        <f>'1 datos preparados'!U333</f>
        <v/>
      </c>
      <c r="C340">
        <f>'1 datos preparados'!B333</f>
        <v/>
      </c>
      <c r="D340" s="7">
        <f>'1 datos preparados'!C333</f>
        <v/>
      </c>
      <c r="E340" s="7">
        <f>'1 datos preparados'!D333</f>
        <v/>
      </c>
      <c r="F340" s="7">
        <f>'1 datos preparados'!E333</f>
        <v/>
      </c>
      <c r="G340" s="7">
        <f>'1 datos preparados'!F333</f>
        <v/>
      </c>
      <c r="H340" s="7">
        <f>'1 datos preparados'!G333</f>
        <v/>
      </c>
      <c r="I340" s="7">
        <f>'1 datos preparados'!H333</f>
        <v/>
      </c>
      <c r="J340" s="7">
        <f>'1 datos preparados'!I333</f>
        <v/>
      </c>
      <c r="K340" s="7">
        <f>'1 datos preparados'!J333</f>
        <v/>
      </c>
      <c r="L340" s="7">
        <f>'1 datos preparados'!K333</f>
        <v/>
      </c>
      <c r="M340" s="7">
        <f>'1 datos preparados'!L333</f>
        <v/>
      </c>
      <c r="N340" s="7">
        <f>'1 datos preparados'!M333</f>
        <v/>
      </c>
      <c r="O340" s="7">
        <f>'1 datos preparados'!N333</f>
        <v/>
      </c>
      <c r="P340" s="7">
        <f>'1 datos preparados'!O333</f>
        <v/>
      </c>
      <c r="Q340" s="7">
        <f>'1 datos preparados'!P333</f>
        <v/>
      </c>
      <c r="R340" s="7">
        <f>'1 datos preparados'!Q333</f>
        <v/>
      </c>
      <c r="S340" s="7">
        <f>'1 datos preparados'!R333</f>
        <v/>
      </c>
      <c r="T340" s="7">
        <f>'1 datos preparados'!S333</f>
        <v/>
      </c>
      <c r="U340" s="7">
        <f>'1 datos preparados'!T333</f>
        <v/>
      </c>
      <c r="V340" s="8">
        <f>$AC$12+D340*$AC$13+E340*$AC$14+F340*$AC$15+G340*$AC$16+H340*$AC$17+I340*$AC$18+J340*$AC$19+K340*$AC$20+L340*$AC$21+M340*$AC$22+N340*$AC$23+O340*$AC$24+P340*$AC$25+Q340*$AC$26+R340*$AC$27+S340*$AC$28+T340*$AC$29+U340*$AC$30</f>
        <v/>
      </c>
      <c r="W340" s="8">
        <f>1/(1+EXP(-V340))</f>
        <v/>
      </c>
      <c r="X340" s="9">
        <f>-IF(C340=1,LN(W340),LN(1-W340))</f>
        <v/>
      </c>
      <c r="Y340" s="10">
        <f>IF(W340&gt;$AC$33,1,0)</f>
        <v/>
      </c>
      <c r="Z340">
        <f>IF(Y340=C340,1,0)</f>
        <v/>
      </c>
    </row>
    <row r="341">
      <c r="A341">
        <f>'1 datos preparados'!A334</f>
        <v/>
      </c>
      <c r="B341" s="5">
        <f>'1 datos preparados'!U334</f>
        <v/>
      </c>
      <c r="C341">
        <f>'1 datos preparados'!B334</f>
        <v/>
      </c>
      <c r="D341" s="7">
        <f>'1 datos preparados'!C334</f>
        <v/>
      </c>
      <c r="E341" s="7">
        <f>'1 datos preparados'!D334</f>
        <v/>
      </c>
      <c r="F341" s="7">
        <f>'1 datos preparados'!E334</f>
        <v/>
      </c>
      <c r="G341" s="7">
        <f>'1 datos preparados'!F334</f>
        <v/>
      </c>
      <c r="H341" s="7">
        <f>'1 datos preparados'!G334</f>
        <v/>
      </c>
      <c r="I341" s="7">
        <f>'1 datos preparados'!H334</f>
        <v/>
      </c>
      <c r="J341" s="7">
        <f>'1 datos preparados'!I334</f>
        <v/>
      </c>
      <c r="K341" s="7">
        <f>'1 datos preparados'!J334</f>
        <v/>
      </c>
      <c r="L341" s="7">
        <f>'1 datos preparados'!K334</f>
        <v/>
      </c>
      <c r="M341" s="7">
        <f>'1 datos preparados'!L334</f>
        <v/>
      </c>
      <c r="N341" s="7">
        <f>'1 datos preparados'!M334</f>
        <v/>
      </c>
      <c r="O341" s="7">
        <f>'1 datos preparados'!N334</f>
        <v/>
      </c>
      <c r="P341" s="7">
        <f>'1 datos preparados'!O334</f>
        <v/>
      </c>
      <c r="Q341" s="7">
        <f>'1 datos preparados'!P334</f>
        <v/>
      </c>
      <c r="R341" s="7">
        <f>'1 datos preparados'!Q334</f>
        <v/>
      </c>
      <c r="S341" s="7">
        <f>'1 datos preparados'!R334</f>
        <v/>
      </c>
      <c r="T341" s="7">
        <f>'1 datos preparados'!S334</f>
        <v/>
      </c>
      <c r="U341" s="7">
        <f>'1 datos preparados'!T334</f>
        <v/>
      </c>
      <c r="V341" s="8">
        <f>$AC$12+D341*$AC$13+E341*$AC$14+F341*$AC$15+G341*$AC$16+H341*$AC$17+I341*$AC$18+J341*$AC$19+K341*$AC$20+L341*$AC$21+M341*$AC$22+N341*$AC$23+O341*$AC$24+P341*$AC$25+Q341*$AC$26+R341*$AC$27+S341*$AC$28+T341*$AC$29+U341*$AC$30</f>
        <v/>
      </c>
      <c r="W341" s="8">
        <f>1/(1+EXP(-V341))</f>
        <v/>
      </c>
      <c r="X341" s="9">
        <f>-IF(C341=1,LN(W341),LN(1-W341))</f>
        <v/>
      </c>
      <c r="Y341" s="10">
        <f>IF(W341&gt;$AC$33,1,0)</f>
        <v/>
      </c>
      <c r="Z341">
        <f>IF(Y341=C341,1,0)</f>
        <v/>
      </c>
    </row>
    <row r="342">
      <c r="A342">
        <f>'1 datos preparados'!A335</f>
        <v/>
      </c>
      <c r="B342" s="5">
        <f>'1 datos preparados'!U335</f>
        <v/>
      </c>
      <c r="C342">
        <f>'1 datos preparados'!B335</f>
        <v/>
      </c>
      <c r="D342" s="7">
        <f>'1 datos preparados'!C335</f>
        <v/>
      </c>
      <c r="E342" s="7">
        <f>'1 datos preparados'!D335</f>
        <v/>
      </c>
      <c r="F342" s="7">
        <f>'1 datos preparados'!E335</f>
        <v/>
      </c>
      <c r="G342" s="7">
        <f>'1 datos preparados'!F335</f>
        <v/>
      </c>
      <c r="H342" s="7">
        <f>'1 datos preparados'!G335</f>
        <v/>
      </c>
      <c r="I342" s="7">
        <f>'1 datos preparados'!H335</f>
        <v/>
      </c>
      <c r="J342" s="7">
        <f>'1 datos preparados'!I335</f>
        <v/>
      </c>
      <c r="K342" s="7">
        <f>'1 datos preparados'!J335</f>
        <v/>
      </c>
      <c r="L342" s="7">
        <f>'1 datos preparados'!K335</f>
        <v/>
      </c>
      <c r="M342" s="7">
        <f>'1 datos preparados'!L335</f>
        <v/>
      </c>
      <c r="N342" s="7">
        <f>'1 datos preparados'!M335</f>
        <v/>
      </c>
      <c r="O342" s="7">
        <f>'1 datos preparados'!N335</f>
        <v/>
      </c>
      <c r="P342" s="7">
        <f>'1 datos preparados'!O335</f>
        <v/>
      </c>
      <c r="Q342" s="7">
        <f>'1 datos preparados'!P335</f>
        <v/>
      </c>
      <c r="R342" s="7">
        <f>'1 datos preparados'!Q335</f>
        <v/>
      </c>
      <c r="S342" s="7">
        <f>'1 datos preparados'!R335</f>
        <v/>
      </c>
      <c r="T342" s="7">
        <f>'1 datos preparados'!S335</f>
        <v/>
      </c>
      <c r="U342" s="7">
        <f>'1 datos preparados'!T335</f>
        <v/>
      </c>
      <c r="V342" s="8">
        <f>$AC$12+D342*$AC$13+E342*$AC$14+F342*$AC$15+G342*$AC$16+H342*$AC$17+I342*$AC$18+J342*$AC$19+K342*$AC$20+L342*$AC$21+M342*$AC$22+N342*$AC$23+O342*$AC$24+P342*$AC$25+Q342*$AC$26+R342*$AC$27+S342*$AC$28+T342*$AC$29+U342*$AC$30</f>
        <v/>
      </c>
      <c r="W342" s="8">
        <f>1/(1+EXP(-V342))</f>
        <v/>
      </c>
      <c r="X342" s="9">
        <f>-IF(C342=1,LN(W342),LN(1-W342))</f>
        <v/>
      </c>
      <c r="Y342" s="10">
        <f>IF(W342&gt;$AC$33,1,0)</f>
        <v/>
      </c>
      <c r="Z342">
        <f>IF(Y342=C342,1,0)</f>
        <v/>
      </c>
    </row>
    <row r="343">
      <c r="A343">
        <f>'1 datos preparados'!A336</f>
        <v/>
      </c>
      <c r="B343" s="5">
        <f>'1 datos preparados'!U336</f>
        <v/>
      </c>
      <c r="C343">
        <f>'1 datos preparados'!B336</f>
        <v/>
      </c>
      <c r="D343" s="7">
        <f>'1 datos preparados'!C336</f>
        <v/>
      </c>
      <c r="E343" s="7">
        <f>'1 datos preparados'!D336</f>
        <v/>
      </c>
      <c r="F343" s="7">
        <f>'1 datos preparados'!E336</f>
        <v/>
      </c>
      <c r="G343" s="7">
        <f>'1 datos preparados'!F336</f>
        <v/>
      </c>
      <c r="H343" s="7">
        <f>'1 datos preparados'!G336</f>
        <v/>
      </c>
      <c r="I343" s="7">
        <f>'1 datos preparados'!H336</f>
        <v/>
      </c>
      <c r="J343" s="7">
        <f>'1 datos preparados'!I336</f>
        <v/>
      </c>
      <c r="K343" s="7">
        <f>'1 datos preparados'!J336</f>
        <v/>
      </c>
      <c r="L343" s="7">
        <f>'1 datos preparados'!K336</f>
        <v/>
      </c>
      <c r="M343" s="7">
        <f>'1 datos preparados'!L336</f>
        <v/>
      </c>
      <c r="N343" s="7">
        <f>'1 datos preparados'!M336</f>
        <v/>
      </c>
      <c r="O343" s="7">
        <f>'1 datos preparados'!N336</f>
        <v/>
      </c>
      <c r="P343" s="7">
        <f>'1 datos preparados'!O336</f>
        <v/>
      </c>
      <c r="Q343" s="7">
        <f>'1 datos preparados'!P336</f>
        <v/>
      </c>
      <c r="R343" s="7">
        <f>'1 datos preparados'!Q336</f>
        <v/>
      </c>
      <c r="S343" s="7">
        <f>'1 datos preparados'!R336</f>
        <v/>
      </c>
      <c r="T343" s="7">
        <f>'1 datos preparados'!S336</f>
        <v/>
      </c>
      <c r="U343" s="7">
        <f>'1 datos preparados'!T336</f>
        <v/>
      </c>
      <c r="V343" s="8">
        <f>$AC$12+D343*$AC$13+E343*$AC$14+F343*$AC$15+G343*$AC$16+H343*$AC$17+I343*$AC$18+J343*$AC$19+K343*$AC$20+L343*$AC$21+M343*$AC$22+N343*$AC$23+O343*$AC$24+P343*$AC$25+Q343*$AC$26+R343*$AC$27+S343*$AC$28+T343*$AC$29+U343*$AC$30</f>
        <v/>
      </c>
      <c r="W343" s="8">
        <f>1/(1+EXP(-V343))</f>
        <v/>
      </c>
      <c r="X343" s="9">
        <f>-IF(C343=1,LN(W343),LN(1-W343))</f>
        <v/>
      </c>
      <c r="Y343" s="10">
        <f>IF(W343&gt;$AC$33,1,0)</f>
        <v/>
      </c>
      <c r="Z343">
        <f>IF(Y343=C343,1,0)</f>
        <v/>
      </c>
    </row>
    <row r="344">
      <c r="A344">
        <f>'1 datos preparados'!A337</f>
        <v/>
      </c>
      <c r="B344" s="5">
        <f>'1 datos preparados'!U337</f>
        <v/>
      </c>
      <c r="C344">
        <f>'1 datos preparados'!B337</f>
        <v/>
      </c>
      <c r="D344" s="7">
        <f>'1 datos preparados'!C337</f>
        <v/>
      </c>
      <c r="E344" s="7">
        <f>'1 datos preparados'!D337</f>
        <v/>
      </c>
      <c r="F344" s="7">
        <f>'1 datos preparados'!E337</f>
        <v/>
      </c>
      <c r="G344" s="7">
        <f>'1 datos preparados'!F337</f>
        <v/>
      </c>
      <c r="H344" s="7">
        <f>'1 datos preparados'!G337</f>
        <v/>
      </c>
      <c r="I344" s="7">
        <f>'1 datos preparados'!H337</f>
        <v/>
      </c>
      <c r="J344" s="7">
        <f>'1 datos preparados'!I337</f>
        <v/>
      </c>
      <c r="K344" s="7">
        <f>'1 datos preparados'!J337</f>
        <v/>
      </c>
      <c r="L344" s="7">
        <f>'1 datos preparados'!K337</f>
        <v/>
      </c>
      <c r="M344" s="7">
        <f>'1 datos preparados'!L337</f>
        <v/>
      </c>
      <c r="N344" s="7">
        <f>'1 datos preparados'!M337</f>
        <v/>
      </c>
      <c r="O344" s="7">
        <f>'1 datos preparados'!N337</f>
        <v/>
      </c>
      <c r="P344" s="7">
        <f>'1 datos preparados'!O337</f>
        <v/>
      </c>
      <c r="Q344" s="7">
        <f>'1 datos preparados'!P337</f>
        <v/>
      </c>
      <c r="R344" s="7">
        <f>'1 datos preparados'!Q337</f>
        <v/>
      </c>
      <c r="S344" s="7">
        <f>'1 datos preparados'!R337</f>
        <v/>
      </c>
      <c r="T344" s="7">
        <f>'1 datos preparados'!S337</f>
        <v/>
      </c>
      <c r="U344" s="7">
        <f>'1 datos preparados'!T337</f>
        <v/>
      </c>
      <c r="V344" s="8">
        <f>$AC$12+D344*$AC$13+E344*$AC$14+F344*$AC$15+G344*$AC$16+H344*$AC$17+I344*$AC$18+J344*$AC$19+K344*$AC$20+L344*$AC$21+M344*$AC$22+N344*$AC$23+O344*$AC$24+P344*$AC$25+Q344*$AC$26+R344*$AC$27+S344*$AC$28+T344*$AC$29+U344*$AC$30</f>
        <v/>
      </c>
      <c r="W344" s="8">
        <f>1/(1+EXP(-V344))</f>
        <v/>
      </c>
      <c r="X344" s="9">
        <f>-IF(C344=1,LN(W344),LN(1-W344))</f>
        <v/>
      </c>
      <c r="Y344" s="10">
        <f>IF(W344&gt;$AC$33,1,0)</f>
        <v/>
      </c>
      <c r="Z344">
        <f>IF(Y344=C344,1,0)</f>
        <v/>
      </c>
    </row>
    <row r="345">
      <c r="A345">
        <f>'1 datos preparados'!A338</f>
        <v/>
      </c>
      <c r="B345" s="5">
        <f>'1 datos preparados'!U338</f>
        <v/>
      </c>
      <c r="C345">
        <f>'1 datos preparados'!B338</f>
        <v/>
      </c>
      <c r="D345" s="7">
        <f>'1 datos preparados'!C338</f>
        <v/>
      </c>
      <c r="E345" s="7">
        <f>'1 datos preparados'!D338</f>
        <v/>
      </c>
      <c r="F345" s="7">
        <f>'1 datos preparados'!E338</f>
        <v/>
      </c>
      <c r="G345" s="7">
        <f>'1 datos preparados'!F338</f>
        <v/>
      </c>
      <c r="H345" s="7">
        <f>'1 datos preparados'!G338</f>
        <v/>
      </c>
      <c r="I345" s="7">
        <f>'1 datos preparados'!H338</f>
        <v/>
      </c>
      <c r="J345" s="7">
        <f>'1 datos preparados'!I338</f>
        <v/>
      </c>
      <c r="K345" s="7">
        <f>'1 datos preparados'!J338</f>
        <v/>
      </c>
      <c r="L345" s="7">
        <f>'1 datos preparados'!K338</f>
        <v/>
      </c>
      <c r="M345" s="7">
        <f>'1 datos preparados'!L338</f>
        <v/>
      </c>
      <c r="N345" s="7">
        <f>'1 datos preparados'!M338</f>
        <v/>
      </c>
      <c r="O345" s="7">
        <f>'1 datos preparados'!N338</f>
        <v/>
      </c>
      <c r="P345" s="7">
        <f>'1 datos preparados'!O338</f>
        <v/>
      </c>
      <c r="Q345" s="7">
        <f>'1 datos preparados'!P338</f>
        <v/>
      </c>
      <c r="R345" s="7">
        <f>'1 datos preparados'!Q338</f>
        <v/>
      </c>
      <c r="S345" s="7">
        <f>'1 datos preparados'!R338</f>
        <v/>
      </c>
      <c r="T345" s="7">
        <f>'1 datos preparados'!S338</f>
        <v/>
      </c>
      <c r="U345" s="7">
        <f>'1 datos preparados'!T338</f>
        <v/>
      </c>
      <c r="V345" s="8">
        <f>$AC$12+D345*$AC$13+E345*$AC$14+F345*$AC$15+G345*$AC$16+H345*$AC$17+I345*$AC$18+J345*$AC$19+K345*$AC$20+L345*$AC$21+M345*$AC$22+N345*$AC$23+O345*$AC$24+P345*$AC$25+Q345*$AC$26+R345*$AC$27+S345*$AC$28+T345*$AC$29+U345*$AC$30</f>
        <v/>
      </c>
      <c r="W345" s="8">
        <f>1/(1+EXP(-V345))</f>
        <v/>
      </c>
      <c r="X345" s="9">
        <f>-IF(C345=1,LN(W345),LN(1-W345))</f>
        <v/>
      </c>
      <c r="Y345" s="10">
        <f>IF(W345&gt;$AC$33,1,0)</f>
        <v/>
      </c>
      <c r="Z345">
        <f>IF(Y345=C345,1,0)</f>
        <v/>
      </c>
    </row>
    <row r="346">
      <c r="A346">
        <f>'1 datos preparados'!A339</f>
        <v/>
      </c>
      <c r="B346" s="5">
        <f>'1 datos preparados'!U339</f>
        <v/>
      </c>
      <c r="C346">
        <f>'1 datos preparados'!B339</f>
        <v/>
      </c>
      <c r="D346" s="7">
        <f>'1 datos preparados'!C339</f>
        <v/>
      </c>
      <c r="E346" s="7">
        <f>'1 datos preparados'!D339</f>
        <v/>
      </c>
      <c r="F346" s="7">
        <f>'1 datos preparados'!E339</f>
        <v/>
      </c>
      <c r="G346" s="7">
        <f>'1 datos preparados'!F339</f>
        <v/>
      </c>
      <c r="H346" s="7">
        <f>'1 datos preparados'!G339</f>
        <v/>
      </c>
      <c r="I346" s="7">
        <f>'1 datos preparados'!H339</f>
        <v/>
      </c>
      <c r="J346" s="7">
        <f>'1 datos preparados'!I339</f>
        <v/>
      </c>
      <c r="K346" s="7">
        <f>'1 datos preparados'!J339</f>
        <v/>
      </c>
      <c r="L346" s="7">
        <f>'1 datos preparados'!K339</f>
        <v/>
      </c>
      <c r="M346" s="7">
        <f>'1 datos preparados'!L339</f>
        <v/>
      </c>
      <c r="N346" s="7">
        <f>'1 datos preparados'!M339</f>
        <v/>
      </c>
      <c r="O346" s="7">
        <f>'1 datos preparados'!N339</f>
        <v/>
      </c>
      <c r="P346" s="7">
        <f>'1 datos preparados'!O339</f>
        <v/>
      </c>
      <c r="Q346" s="7">
        <f>'1 datos preparados'!P339</f>
        <v/>
      </c>
      <c r="R346" s="7">
        <f>'1 datos preparados'!Q339</f>
        <v/>
      </c>
      <c r="S346" s="7">
        <f>'1 datos preparados'!R339</f>
        <v/>
      </c>
      <c r="T346" s="7">
        <f>'1 datos preparados'!S339</f>
        <v/>
      </c>
      <c r="U346" s="7">
        <f>'1 datos preparados'!T339</f>
        <v/>
      </c>
      <c r="V346" s="8">
        <f>$AC$12+D346*$AC$13+E346*$AC$14+F346*$AC$15+G346*$AC$16+H346*$AC$17+I346*$AC$18+J346*$AC$19+K346*$AC$20+L346*$AC$21+M346*$AC$22+N346*$AC$23+O346*$AC$24+P346*$AC$25+Q346*$AC$26+R346*$AC$27+S346*$AC$28+T346*$AC$29+U346*$AC$30</f>
        <v/>
      </c>
      <c r="W346" s="8">
        <f>1/(1+EXP(-V346))</f>
        <v/>
      </c>
      <c r="X346" s="9">
        <f>-IF(C346=1,LN(W346),LN(1-W346))</f>
        <v/>
      </c>
      <c r="Y346" s="10">
        <f>IF(W346&gt;$AC$33,1,0)</f>
        <v/>
      </c>
      <c r="Z346">
        <f>IF(Y346=C346,1,0)</f>
        <v/>
      </c>
    </row>
    <row r="347">
      <c r="A347">
        <f>'1 datos preparados'!A340</f>
        <v/>
      </c>
      <c r="B347" s="5">
        <f>'1 datos preparados'!U340</f>
        <v/>
      </c>
      <c r="C347">
        <f>'1 datos preparados'!B340</f>
        <v/>
      </c>
      <c r="D347" s="7">
        <f>'1 datos preparados'!C340</f>
        <v/>
      </c>
      <c r="E347" s="7">
        <f>'1 datos preparados'!D340</f>
        <v/>
      </c>
      <c r="F347" s="7">
        <f>'1 datos preparados'!E340</f>
        <v/>
      </c>
      <c r="G347" s="7">
        <f>'1 datos preparados'!F340</f>
        <v/>
      </c>
      <c r="H347" s="7">
        <f>'1 datos preparados'!G340</f>
        <v/>
      </c>
      <c r="I347" s="7">
        <f>'1 datos preparados'!H340</f>
        <v/>
      </c>
      <c r="J347" s="7">
        <f>'1 datos preparados'!I340</f>
        <v/>
      </c>
      <c r="K347" s="7">
        <f>'1 datos preparados'!J340</f>
        <v/>
      </c>
      <c r="L347" s="7">
        <f>'1 datos preparados'!K340</f>
        <v/>
      </c>
      <c r="M347" s="7">
        <f>'1 datos preparados'!L340</f>
        <v/>
      </c>
      <c r="N347" s="7">
        <f>'1 datos preparados'!M340</f>
        <v/>
      </c>
      <c r="O347" s="7">
        <f>'1 datos preparados'!N340</f>
        <v/>
      </c>
      <c r="P347" s="7">
        <f>'1 datos preparados'!O340</f>
        <v/>
      </c>
      <c r="Q347" s="7">
        <f>'1 datos preparados'!P340</f>
        <v/>
      </c>
      <c r="R347" s="7">
        <f>'1 datos preparados'!Q340</f>
        <v/>
      </c>
      <c r="S347" s="7">
        <f>'1 datos preparados'!R340</f>
        <v/>
      </c>
      <c r="T347" s="7">
        <f>'1 datos preparados'!S340</f>
        <v/>
      </c>
      <c r="U347" s="7">
        <f>'1 datos preparados'!T340</f>
        <v/>
      </c>
      <c r="V347" s="8">
        <f>$AC$12+D347*$AC$13+E347*$AC$14+F347*$AC$15+G347*$AC$16+H347*$AC$17+I347*$AC$18+J347*$AC$19+K347*$AC$20+L347*$AC$21+M347*$AC$22+N347*$AC$23+O347*$AC$24+P347*$AC$25+Q347*$AC$26+R347*$AC$27+S347*$AC$28+T347*$AC$29+U347*$AC$30</f>
        <v/>
      </c>
      <c r="W347" s="8">
        <f>1/(1+EXP(-V347))</f>
        <v/>
      </c>
      <c r="X347" s="9">
        <f>-IF(C347=1,LN(W347),LN(1-W347))</f>
        <v/>
      </c>
      <c r="Y347" s="10">
        <f>IF(W347&gt;$AC$33,1,0)</f>
        <v/>
      </c>
      <c r="Z347">
        <f>IF(Y347=C347,1,0)</f>
        <v/>
      </c>
    </row>
    <row r="348">
      <c r="A348">
        <f>'1 datos preparados'!A341</f>
        <v/>
      </c>
      <c r="B348" s="5">
        <f>'1 datos preparados'!U341</f>
        <v/>
      </c>
      <c r="C348">
        <f>'1 datos preparados'!B341</f>
        <v/>
      </c>
      <c r="D348" s="7">
        <f>'1 datos preparados'!C341</f>
        <v/>
      </c>
      <c r="E348" s="7">
        <f>'1 datos preparados'!D341</f>
        <v/>
      </c>
      <c r="F348" s="7">
        <f>'1 datos preparados'!E341</f>
        <v/>
      </c>
      <c r="G348" s="7">
        <f>'1 datos preparados'!F341</f>
        <v/>
      </c>
      <c r="H348" s="7">
        <f>'1 datos preparados'!G341</f>
        <v/>
      </c>
      <c r="I348" s="7">
        <f>'1 datos preparados'!H341</f>
        <v/>
      </c>
      <c r="J348" s="7">
        <f>'1 datos preparados'!I341</f>
        <v/>
      </c>
      <c r="K348" s="7">
        <f>'1 datos preparados'!J341</f>
        <v/>
      </c>
      <c r="L348" s="7">
        <f>'1 datos preparados'!K341</f>
        <v/>
      </c>
      <c r="M348" s="7">
        <f>'1 datos preparados'!L341</f>
        <v/>
      </c>
      <c r="N348" s="7">
        <f>'1 datos preparados'!M341</f>
        <v/>
      </c>
      <c r="O348" s="7">
        <f>'1 datos preparados'!N341</f>
        <v/>
      </c>
      <c r="P348" s="7">
        <f>'1 datos preparados'!O341</f>
        <v/>
      </c>
      <c r="Q348" s="7">
        <f>'1 datos preparados'!P341</f>
        <v/>
      </c>
      <c r="R348" s="7">
        <f>'1 datos preparados'!Q341</f>
        <v/>
      </c>
      <c r="S348" s="7">
        <f>'1 datos preparados'!R341</f>
        <v/>
      </c>
      <c r="T348" s="7">
        <f>'1 datos preparados'!S341</f>
        <v/>
      </c>
      <c r="U348" s="7">
        <f>'1 datos preparados'!T341</f>
        <v/>
      </c>
      <c r="V348" s="8">
        <f>$AC$12+D348*$AC$13+E348*$AC$14+F348*$AC$15+G348*$AC$16+H348*$AC$17+I348*$AC$18+J348*$AC$19+K348*$AC$20+L348*$AC$21+M348*$AC$22+N348*$AC$23+O348*$AC$24+P348*$AC$25+Q348*$AC$26+R348*$AC$27+S348*$AC$28+T348*$AC$29+U348*$AC$30</f>
        <v/>
      </c>
      <c r="W348" s="8">
        <f>1/(1+EXP(-V348))</f>
        <v/>
      </c>
      <c r="X348" s="9">
        <f>-IF(C348=1,LN(W348),LN(1-W348))</f>
        <v/>
      </c>
      <c r="Y348" s="10">
        <f>IF(W348&gt;$AC$33,1,0)</f>
        <v/>
      </c>
      <c r="Z348">
        <f>IF(Y348=C348,1,0)</f>
        <v/>
      </c>
    </row>
    <row r="349">
      <c r="A349">
        <f>'1 datos preparados'!A342</f>
        <v/>
      </c>
      <c r="B349" s="5">
        <f>'1 datos preparados'!U342</f>
        <v/>
      </c>
      <c r="C349">
        <f>'1 datos preparados'!B342</f>
        <v/>
      </c>
      <c r="D349" s="7">
        <f>'1 datos preparados'!C342</f>
        <v/>
      </c>
      <c r="E349" s="7">
        <f>'1 datos preparados'!D342</f>
        <v/>
      </c>
      <c r="F349" s="7">
        <f>'1 datos preparados'!E342</f>
        <v/>
      </c>
      <c r="G349" s="7">
        <f>'1 datos preparados'!F342</f>
        <v/>
      </c>
      <c r="H349" s="7">
        <f>'1 datos preparados'!G342</f>
        <v/>
      </c>
      <c r="I349" s="7">
        <f>'1 datos preparados'!H342</f>
        <v/>
      </c>
      <c r="J349" s="7">
        <f>'1 datos preparados'!I342</f>
        <v/>
      </c>
      <c r="K349" s="7">
        <f>'1 datos preparados'!J342</f>
        <v/>
      </c>
      <c r="L349" s="7">
        <f>'1 datos preparados'!K342</f>
        <v/>
      </c>
      <c r="M349" s="7">
        <f>'1 datos preparados'!L342</f>
        <v/>
      </c>
      <c r="N349" s="7">
        <f>'1 datos preparados'!M342</f>
        <v/>
      </c>
      <c r="O349" s="7">
        <f>'1 datos preparados'!N342</f>
        <v/>
      </c>
      <c r="P349" s="7">
        <f>'1 datos preparados'!O342</f>
        <v/>
      </c>
      <c r="Q349" s="7">
        <f>'1 datos preparados'!P342</f>
        <v/>
      </c>
      <c r="R349" s="7">
        <f>'1 datos preparados'!Q342</f>
        <v/>
      </c>
      <c r="S349" s="7">
        <f>'1 datos preparados'!R342</f>
        <v/>
      </c>
      <c r="T349" s="7">
        <f>'1 datos preparados'!S342</f>
        <v/>
      </c>
      <c r="U349" s="7">
        <f>'1 datos preparados'!T342</f>
        <v/>
      </c>
      <c r="V349" s="8">
        <f>$AC$12+D349*$AC$13+E349*$AC$14+F349*$AC$15+G349*$AC$16+H349*$AC$17+I349*$AC$18+J349*$AC$19+K349*$AC$20+L349*$AC$21+M349*$AC$22+N349*$AC$23+O349*$AC$24+P349*$AC$25+Q349*$AC$26+R349*$AC$27+S349*$AC$28+T349*$AC$29+U349*$AC$30</f>
        <v/>
      </c>
      <c r="W349" s="8">
        <f>1/(1+EXP(-V349))</f>
        <v/>
      </c>
      <c r="X349" s="9">
        <f>-IF(C349=1,LN(W349),LN(1-W349))</f>
        <v/>
      </c>
      <c r="Y349" s="10">
        <f>IF(W349&gt;$AC$33,1,0)</f>
        <v/>
      </c>
      <c r="Z349">
        <f>IF(Y349=C349,1,0)</f>
        <v/>
      </c>
    </row>
    <row r="350">
      <c r="A350">
        <f>'1 datos preparados'!A343</f>
        <v/>
      </c>
      <c r="B350" s="5">
        <f>'1 datos preparados'!U343</f>
        <v/>
      </c>
      <c r="C350">
        <f>'1 datos preparados'!B343</f>
        <v/>
      </c>
      <c r="D350" s="7">
        <f>'1 datos preparados'!C343</f>
        <v/>
      </c>
      <c r="E350" s="7">
        <f>'1 datos preparados'!D343</f>
        <v/>
      </c>
      <c r="F350" s="7">
        <f>'1 datos preparados'!E343</f>
        <v/>
      </c>
      <c r="G350" s="7">
        <f>'1 datos preparados'!F343</f>
        <v/>
      </c>
      <c r="H350" s="7">
        <f>'1 datos preparados'!G343</f>
        <v/>
      </c>
      <c r="I350" s="7">
        <f>'1 datos preparados'!H343</f>
        <v/>
      </c>
      <c r="J350" s="7">
        <f>'1 datos preparados'!I343</f>
        <v/>
      </c>
      <c r="K350" s="7">
        <f>'1 datos preparados'!J343</f>
        <v/>
      </c>
      <c r="L350" s="7">
        <f>'1 datos preparados'!K343</f>
        <v/>
      </c>
      <c r="M350" s="7">
        <f>'1 datos preparados'!L343</f>
        <v/>
      </c>
      <c r="N350" s="7">
        <f>'1 datos preparados'!M343</f>
        <v/>
      </c>
      <c r="O350" s="7">
        <f>'1 datos preparados'!N343</f>
        <v/>
      </c>
      <c r="P350" s="7">
        <f>'1 datos preparados'!O343</f>
        <v/>
      </c>
      <c r="Q350" s="7">
        <f>'1 datos preparados'!P343</f>
        <v/>
      </c>
      <c r="R350" s="7">
        <f>'1 datos preparados'!Q343</f>
        <v/>
      </c>
      <c r="S350" s="7">
        <f>'1 datos preparados'!R343</f>
        <v/>
      </c>
      <c r="T350" s="7">
        <f>'1 datos preparados'!S343</f>
        <v/>
      </c>
      <c r="U350" s="7">
        <f>'1 datos preparados'!T343</f>
        <v/>
      </c>
      <c r="V350" s="8">
        <f>$AC$12+D350*$AC$13+E350*$AC$14+F350*$AC$15+G350*$AC$16+H350*$AC$17+I350*$AC$18+J350*$AC$19+K350*$AC$20+L350*$AC$21+M350*$AC$22+N350*$AC$23+O350*$AC$24+P350*$AC$25+Q350*$AC$26+R350*$AC$27+S350*$AC$28+T350*$AC$29+U350*$AC$30</f>
        <v/>
      </c>
      <c r="W350" s="8">
        <f>1/(1+EXP(-V350))</f>
        <v/>
      </c>
      <c r="X350" s="9">
        <f>-IF(C350=1,LN(W350),LN(1-W350))</f>
        <v/>
      </c>
      <c r="Y350" s="10">
        <f>IF(W350&gt;$AC$33,1,0)</f>
        <v/>
      </c>
      <c r="Z350">
        <f>IF(Y350=C350,1,0)</f>
        <v/>
      </c>
    </row>
    <row r="351">
      <c r="A351">
        <f>'1 datos preparados'!A344</f>
        <v/>
      </c>
      <c r="B351" s="5">
        <f>'1 datos preparados'!U344</f>
        <v/>
      </c>
      <c r="C351">
        <f>'1 datos preparados'!B344</f>
        <v/>
      </c>
      <c r="D351" s="7">
        <f>'1 datos preparados'!C344</f>
        <v/>
      </c>
      <c r="E351" s="7">
        <f>'1 datos preparados'!D344</f>
        <v/>
      </c>
      <c r="F351" s="7">
        <f>'1 datos preparados'!E344</f>
        <v/>
      </c>
      <c r="G351" s="7">
        <f>'1 datos preparados'!F344</f>
        <v/>
      </c>
      <c r="H351" s="7">
        <f>'1 datos preparados'!G344</f>
        <v/>
      </c>
      <c r="I351" s="7">
        <f>'1 datos preparados'!H344</f>
        <v/>
      </c>
      <c r="J351" s="7">
        <f>'1 datos preparados'!I344</f>
        <v/>
      </c>
      <c r="K351" s="7">
        <f>'1 datos preparados'!J344</f>
        <v/>
      </c>
      <c r="L351" s="7">
        <f>'1 datos preparados'!K344</f>
        <v/>
      </c>
      <c r="M351" s="7">
        <f>'1 datos preparados'!L344</f>
        <v/>
      </c>
      <c r="N351" s="7">
        <f>'1 datos preparados'!M344</f>
        <v/>
      </c>
      <c r="O351" s="7">
        <f>'1 datos preparados'!N344</f>
        <v/>
      </c>
      <c r="P351" s="7">
        <f>'1 datos preparados'!O344</f>
        <v/>
      </c>
      <c r="Q351" s="7">
        <f>'1 datos preparados'!P344</f>
        <v/>
      </c>
      <c r="R351" s="7">
        <f>'1 datos preparados'!Q344</f>
        <v/>
      </c>
      <c r="S351" s="7">
        <f>'1 datos preparados'!R344</f>
        <v/>
      </c>
      <c r="T351" s="7">
        <f>'1 datos preparados'!S344</f>
        <v/>
      </c>
      <c r="U351" s="7">
        <f>'1 datos preparados'!T344</f>
        <v/>
      </c>
      <c r="V351" s="8">
        <f>$AC$12+D351*$AC$13+E351*$AC$14+F351*$AC$15+G351*$AC$16+H351*$AC$17+I351*$AC$18+J351*$AC$19+K351*$AC$20+L351*$AC$21+M351*$AC$22+N351*$AC$23+O351*$AC$24+P351*$AC$25+Q351*$AC$26+R351*$AC$27+S351*$AC$28+T351*$AC$29+U351*$AC$30</f>
        <v/>
      </c>
      <c r="W351" s="8">
        <f>1/(1+EXP(-V351))</f>
        <v/>
      </c>
      <c r="X351" s="9">
        <f>-IF(C351=1,LN(W351),LN(1-W351))</f>
        <v/>
      </c>
      <c r="Y351" s="10">
        <f>IF(W351&gt;$AC$33,1,0)</f>
        <v/>
      </c>
      <c r="Z351">
        <f>IF(Y351=C351,1,0)</f>
        <v/>
      </c>
    </row>
    <row r="352">
      <c r="A352">
        <f>'1 datos preparados'!A345</f>
        <v/>
      </c>
      <c r="B352" s="5">
        <f>'1 datos preparados'!U345</f>
        <v/>
      </c>
      <c r="C352">
        <f>'1 datos preparados'!B345</f>
        <v/>
      </c>
      <c r="D352" s="7">
        <f>'1 datos preparados'!C345</f>
        <v/>
      </c>
      <c r="E352" s="7">
        <f>'1 datos preparados'!D345</f>
        <v/>
      </c>
      <c r="F352" s="7">
        <f>'1 datos preparados'!E345</f>
        <v/>
      </c>
      <c r="G352" s="7">
        <f>'1 datos preparados'!F345</f>
        <v/>
      </c>
      <c r="H352" s="7">
        <f>'1 datos preparados'!G345</f>
        <v/>
      </c>
      <c r="I352" s="7">
        <f>'1 datos preparados'!H345</f>
        <v/>
      </c>
      <c r="J352" s="7">
        <f>'1 datos preparados'!I345</f>
        <v/>
      </c>
      <c r="K352" s="7">
        <f>'1 datos preparados'!J345</f>
        <v/>
      </c>
      <c r="L352" s="7">
        <f>'1 datos preparados'!K345</f>
        <v/>
      </c>
      <c r="M352" s="7">
        <f>'1 datos preparados'!L345</f>
        <v/>
      </c>
      <c r="N352" s="7">
        <f>'1 datos preparados'!M345</f>
        <v/>
      </c>
      <c r="O352" s="7">
        <f>'1 datos preparados'!N345</f>
        <v/>
      </c>
      <c r="P352" s="7">
        <f>'1 datos preparados'!O345</f>
        <v/>
      </c>
      <c r="Q352" s="7">
        <f>'1 datos preparados'!P345</f>
        <v/>
      </c>
      <c r="R352" s="7">
        <f>'1 datos preparados'!Q345</f>
        <v/>
      </c>
      <c r="S352" s="7">
        <f>'1 datos preparados'!R345</f>
        <v/>
      </c>
      <c r="T352" s="7">
        <f>'1 datos preparados'!S345</f>
        <v/>
      </c>
      <c r="U352" s="7">
        <f>'1 datos preparados'!T345</f>
        <v/>
      </c>
      <c r="V352" s="8">
        <f>$AC$12+D352*$AC$13+E352*$AC$14+F352*$AC$15+G352*$AC$16+H352*$AC$17+I352*$AC$18+J352*$AC$19+K352*$AC$20+L352*$AC$21+M352*$AC$22+N352*$AC$23+O352*$AC$24+P352*$AC$25+Q352*$AC$26+R352*$AC$27+S352*$AC$28+T352*$AC$29+U352*$AC$30</f>
        <v/>
      </c>
      <c r="W352" s="8">
        <f>1/(1+EXP(-V352))</f>
        <v/>
      </c>
      <c r="X352" s="9">
        <f>-IF(C352=1,LN(W352),LN(1-W352))</f>
        <v/>
      </c>
      <c r="Y352" s="10">
        <f>IF(W352&gt;$AC$33,1,0)</f>
        <v/>
      </c>
      <c r="Z352">
        <f>IF(Y352=C352,1,0)</f>
        <v/>
      </c>
    </row>
    <row r="353">
      <c r="A353">
        <f>'1 datos preparados'!A346</f>
        <v/>
      </c>
      <c r="B353" s="5">
        <f>'1 datos preparados'!U346</f>
        <v/>
      </c>
      <c r="C353">
        <f>'1 datos preparados'!B346</f>
        <v/>
      </c>
      <c r="D353" s="7">
        <f>'1 datos preparados'!C346</f>
        <v/>
      </c>
      <c r="E353" s="7">
        <f>'1 datos preparados'!D346</f>
        <v/>
      </c>
      <c r="F353" s="7">
        <f>'1 datos preparados'!E346</f>
        <v/>
      </c>
      <c r="G353" s="7">
        <f>'1 datos preparados'!F346</f>
        <v/>
      </c>
      <c r="H353" s="7">
        <f>'1 datos preparados'!G346</f>
        <v/>
      </c>
      <c r="I353" s="7">
        <f>'1 datos preparados'!H346</f>
        <v/>
      </c>
      <c r="J353" s="7">
        <f>'1 datos preparados'!I346</f>
        <v/>
      </c>
      <c r="K353" s="7">
        <f>'1 datos preparados'!J346</f>
        <v/>
      </c>
      <c r="L353" s="7">
        <f>'1 datos preparados'!K346</f>
        <v/>
      </c>
      <c r="M353" s="7">
        <f>'1 datos preparados'!L346</f>
        <v/>
      </c>
      <c r="N353" s="7">
        <f>'1 datos preparados'!M346</f>
        <v/>
      </c>
      <c r="O353" s="7">
        <f>'1 datos preparados'!N346</f>
        <v/>
      </c>
      <c r="P353" s="7">
        <f>'1 datos preparados'!O346</f>
        <v/>
      </c>
      <c r="Q353" s="7">
        <f>'1 datos preparados'!P346</f>
        <v/>
      </c>
      <c r="R353" s="7">
        <f>'1 datos preparados'!Q346</f>
        <v/>
      </c>
      <c r="S353" s="7">
        <f>'1 datos preparados'!R346</f>
        <v/>
      </c>
      <c r="T353" s="7">
        <f>'1 datos preparados'!S346</f>
        <v/>
      </c>
      <c r="U353" s="7">
        <f>'1 datos preparados'!T346</f>
        <v/>
      </c>
      <c r="V353" s="8">
        <f>$AC$12+D353*$AC$13+E353*$AC$14+F353*$AC$15+G353*$AC$16+H353*$AC$17+I353*$AC$18+J353*$AC$19+K353*$AC$20+L353*$AC$21+M353*$AC$22+N353*$AC$23+O353*$AC$24+P353*$AC$25+Q353*$AC$26+R353*$AC$27+S353*$AC$28+T353*$AC$29+U353*$AC$30</f>
        <v/>
      </c>
      <c r="W353" s="8">
        <f>1/(1+EXP(-V353))</f>
        <v/>
      </c>
      <c r="X353" s="9">
        <f>-IF(C353=1,LN(W353),LN(1-W353))</f>
        <v/>
      </c>
      <c r="Y353" s="10">
        <f>IF(W353&gt;$AC$33,1,0)</f>
        <v/>
      </c>
      <c r="Z353">
        <f>IF(Y353=C353,1,0)</f>
        <v/>
      </c>
    </row>
    <row r="354">
      <c r="A354">
        <f>'1 datos preparados'!A347</f>
        <v/>
      </c>
      <c r="B354" s="5">
        <f>'1 datos preparados'!U347</f>
        <v/>
      </c>
      <c r="C354">
        <f>'1 datos preparados'!B347</f>
        <v/>
      </c>
      <c r="D354" s="7">
        <f>'1 datos preparados'!C347</f>
        <v/>
      </c>
      <c r="E354" s="7">
        <f>'1 datos preparados'!D347</f>
        <v/>
      </c>
      <c r="F354" s="7">
        <f>'1 datos preparados'!E347</f>
        <v/>
      </c>
      <c r="G354" s="7">
        <f>'1 datos preparados'!F347</f>
        <v/>
      </c>
      <c r="H354" s="7">
        <f>'1 datos preparados'!G347</f>
        <v/>
      </c>
      <c r="I354" s="7">
        <f>'1 datos preparados'!H347</f>
        <v/>
      </c>
      <c r="J354" s="7">
        <f>'1 datos preparados'!I347</f>
        <v/>
      </c>
      <c r="K354" s="7">
        <f>'1 datos preparados'!J347</f>
        <v/>
      </c>
      <c r="L354" s="7">
        <f>'1 datos preparados'!K347</f>
        <v/>
      </c>
      <c r="M354" s="7">
        <f>'1 datos preparados'!L347</f>
        <v/>
      </c>
      <c r="N354" s="7">
        <f>'1 datos preparados'!M347</f>
        <v/>
      </c>
      <c r="O354" s="7">
        <f>'1 datos preparados'!N347</f>
        <v/>
      </c>
      <c r="P354" s="7">
        <f>'1 datos preparados'!O347</f>
        <v/>
      </c>
      <c r="Q354" s="7">
        <f>'1 datos preparados'!P347</f>
        <v/>
      </c>
      <c r="R354" s="7">
        <f>'1 datos preparados'!Q347</f>
        <v/>
      </c>
      <c r="S354" s="7">
        <f>'1 datos preparados'!R347</f>
        <v/>
      </c>
      <c r="T354" s="7">
        <f>'1 datos preparados'!S347</f>
        <v/>
      </c>
      <c r="U354" s="7">
        <f>'1 datos preparados'!T347</f>
        <v/>
      </c>
      <c r="V354" s="8">
        <f>$AC$12+D354*$AC$13+E354*$AC$14+F354*$AC$15+G354*$AC$16+H354*$AC$17+I354*$AC$18+J354*$AC$19+K354*$AC$20+L354*$AC$21+M354*$AC$22+N354*$AC$23+O354*$AC$24+P354*$AC$25+Q354*$AC$26+R354*$AC$27+S354*$AC$28+T354*$AC$29+U354*$AC$30</f>
        <v/>
      </c>
      <c r="W354" s="8">
        <f>1/(1+EXP(-V354))</f>
        <v/>
      </c>
      <c r="X354" s="9">
        <f>-IF(C354=1,LN(W354),LN(1-W354))</f>
        <v/>
      </c>
      <c r="Y354" s="10">
        <f>IF(W354&gt;$AC$33,1,0)</f>
        <v/>
      </c>
      <c r="Z354">
        <f>IF(Y354=C354,1,0)</f>
        <v/>
      </c>
    </row>
    <row r="355">
      <c r="A355">
        <f>'1 datos preparados'!A348</f>
        <v/>
      </c>
      <c r="B355" s="5">
        <f>'1 datos preparados'!U348</f>
        <v/>
      </c>
      <c r="C355">
        <f>'1 datos preparados'!B348</f>
        <v/>
      </c>
      <c r="D355" s="7">
        <f>'1 datos preparados'!C348</f>
        <v/>
      </c>
      <c r="E355" s="7">
        <f>'1 datos preparados'!D348</f>
        <v/>
      </c>
      <c r="F355" s="7">
        <f>'1 datos preparados'!E348</f>
        <v/>
      </c>
      <c r="G355" s="7">
        <f>'1 datos preparados'!F348</f>
        <v/>
      </c>
      <c r="H355" s="7">
        <f>'1 datos preparados'!G348</f>
        <v/>
      </c>
      <c r="I355" s="7">
        <f>'1 datos preparados'!H348</f>
        <v/>
      </c>
      <c r="J355" s="7">
        <f>'1 datos preparados'!I348</f>
        <v/>
      </c>
      <c r="K355" s="7">
        <f>'1 datos preparados'!J348</f>
        <v/>
      </c>
      <c r="L355" s="7">
        <f>'1 datos preparados'!K348</f>
        <v/>
      </c>
      <c r="M355" s="7">
        <f>'1 datos preparados'!L348</f>
        <v/>
      </c>
      <c r="N355" s="7">
        <f>'1 datos preparados'!M348</f>
        <v/>
      </c>
      <c r="O355" s="7">
        <f>'1 datos preparados'!N348</f>
        <v/>
      </c>
      <c r="P355" s="7">
        <f>'1 datos preparados'!O348</f>
        <v/>
      </c>
      <c r="Q355" s="7">
        <f>'1 datos preparados'!P348</f>
        <v/>
      </c>
      <c r="R355" s="7">
        <f>'1 datos preparados'!Q348</f>
        <v/>
      </c>
      <c r="S355" s="7">
        <f>'1 datos preparados'!R348</f>
        <v/>
      </c>
      <c r="T355" s="7">
        <f>'1 datos preparados'!S348</f>
        <v/>
      </c>
      <c r="U355" s="7">
        <f>'1 datos preparados'!T348</f>
        <v/>
      </c>
      <c r="V355" s="8">
        <f>$AC$12+D355*$AC$13+E355*$AC$14+F355*$AC$15+G355*$AC$16+H355*$AC$17+I355*$AC$18+J355*$AC$19+K355*$AC$20+L355*$AC$21+M355*$AC$22+N355*$AC$23+O355*$AC$24+P355*$AC$25+Q355*$AC$26+R355*$AC$27+S355*$AC$28+T355*$AC$29+U355*$AC$30</f>
        <v/>
      </c>
      <c r="W355" s="8">
        <f>1/(1+EXP(-V355))</f>
        <v/>
      </c>
      <c r="X355" s="9">
        <f>-IF(C355=1,LN(W355),LN(1-W355))</f>
        <v/>
      </c>
      <c r="Y355" s="10">
        <f>IF(W355&gt;$AC$33,1,0)</f>
        <v/>
      </c>
      <c r="Z355">
        <f>IF(Y355=C355,1,0)</f>
        <v/>
      </c>
    </row>
    <row r="356">
      <c r="A356">
        <f>'1 datos preparados'!A349</f>
        <v/>
      </c>
      <c r="B356" s="5">
        <f>'1 datos preparados'!U349</f>
        <v/>
      </c>
      <c r="C356">
        <f>'1 datos preparados'!B349</f>
        <v/>
      </c>
      <c r="D356" s="7">
        <f>'1 datos preparados'!C349</f>
        <v/>
      </c>
      <c r="E356" s="7">
        <f>'1 datos preparados'!D349</f>
        <v/>
      </c>
      <c r="F356" s="7">
        <f>'1 datos preparados'!E349</f>
        <v/>
      </c>
      <c r="G356" s="7">
        <f>'1 datos preparados'!F349</f>
        <v/>
      </c>
      <c r="H356" s="7">
        <f>'1 datos preparados'!G349</f>
        <v/>
      </c>
      <c r="I356" s="7">
        <f>'1 datos preparados'!H349</f>
        <v/>
      </c>
      <c r="J356" s="7">
        <f>'1 datos preparados'!I349</f>
        <v/>
      </c>
      <c r="K356" s="7">
        <f>'1 datos preparados'!J349</f>
        <v/>
      </c>
      <c r="L356" s="7">
        <f>'1 datos preparados'!K349</f>
        <v/>
      </c>
      <c r="M356" s="7">
        <f>'1 datos preparados'!L349</f>
        <v/>
      </c>
      <c r="N356" s="7">
        <f>'1 datos preparados'!M349</f>
        <v/>
      </c>
      <c r="O356" s="7">
        <f>'1 datos preparados'!N349</f>
        <v/>
      </c>
      <c r="P356" s="7">
        <f>'1 datos preparados'!O349</f>
        <v/>
      </c>
      <c r="Q356" s="7">
        <f>'1 datos preparados'!P349</f>
        <v/>
      </c>
      <c r="R356" s="7">
        <f>'1 datos preparados'!Q349</f>
        <v/>
      </c>
      <c r="S356" s="7">
        <f>'1 datos preparados'!R349</f>
        <v/>
      </c>
      <c r="T356" s="7">
        <f>'1 datos preparados'!S349</f>
        <v/>
      </c>
      <c r="U356" s="7">
        <f>'1 datos preparados'!T349</f>
        <v/>
      </c>
      <c r="V356" s="8">
        <f>$AC$12+D356*$AC$13+E356*$AC$14+F356*$AC$15+G356*$AC$16+H356*$AC$17+I356*$AC$18+J356*$AC$19+K356*$AC$20+L356*$AC$21+M356*$AC$22+N356*$AC$23+O356*$AC$24+P356*$AC$25+Q356*$AC$26+R356*$AC$27+S356*$AC$28+T356*$AC$29+U356*$AC$30</f>
        <v/>
      </c>
      <c r="W356" s="8">
        <f>1/(1+EXP(-V356))</f>
        <v/>
      </c>
      <c r="X356" s="9">
        <f>-IF(C356=1,LN(W356),LN(1-W356))</f>
        <v/>
      </c>
      <c r="Y356" s="10">
        <f>IF(W356&gt;$AC$33,1,0)</f>
        <v/>
      </c>
      <c r="Z356">
        <f>IF(Y356=C356,1,0)</f>
        <v/>
      </c>
    </row>
    <row r="357">
      <c r="A357">
        <f>'1 datos preparados'!A350</f>
        <v/>
      </c>
      <c r="B357" s="5">
        <f>'1 datos preparados'!U350</f>
        <v/>
      </c>
      <c r="C357">
        <f>'1 datos preparados'!B350</f>
        <v/>
      </c>
      <c r="D357" s="7">
        <f>'1 datos preparados'!C350</f>
        <v/>
      </c>
      <c r="E357" s="7">
        <f>'1 datos preparados'!D350</f>
        <v/>
      </c>
      <c r="F357" s="7">
        <f>'1 datos preparados'!E350</f>
        <v/>
      </c>
      <c r="G357" s="7">
        <f>'1 datos preparados'!F350</f>
        <v/>
      </c>
      <c r="H357" s="7">
        <f>'1 datos preparados'!G350</f>
        <v/>
      </c>
      <c r="I357" s="7">
        <f>'1 datos preparados'!H350</f>
        <v/>
      </c>
      <c r="J357" s="7">
        <f>'1 datos preparados'!I350</f>
        <v/>
      </c>
      <c r="K357" s="7">
        <f>'1 datos preparados'!J350</f>
        <v/>
      </c>
      <c r="L357" s="7">
        <f>'1 datos preparados'!K350</f>
        <v/>
      </c>
      <c r="M357" s="7">
        <f>'1 datos preparados'!L350</f>
        <v/>
      </c>
      <c r="N357" s="7">
        <f>'1 datos preparados'!M350</f>
        <v/>
      </c>
      <c r="O357" s="7">
        <f>'1 datos preparados'!N350</f>
        <v/>
      </c>
      <c r="P357" s="7">
        <f>'1 datos preparados'!O350</f>
        <v/>
      </c>
      <c r="Q357" s="7">
        <f>'1 datos preparados'!P350</f>
        <v/>
      </c>
      <c r="R357" s="7">
        <f>'1 datos preparados'!Q350</f>
        <v/>
      </c>
      <c r="S357" s="7">
        <f>'1 datos preparados'!R350</f>
        <v/>
      </c>
      <c r="T357" s="7">
        <f>'1 datos preparados'!S350</f>
        <v/>
      </c>
      <c r="U357" s="7">
        <f>'1 datos preparados'!T350</f>
        <v/>
      </c>
      <c r="V357" s="8">
        <f>$AC$12+D357*$AC$13+E357*$AC$14+F357*$AC$15+G357*$AC$16+H357*$AC$17+I357*$AC$18+J357*$AC$19+K357*$AC$20+L357*$AC$21+M357*$AC$22+N357*$AC$23+O357*$AC$24+P357*$AC$25+Q357*$AC$26+R357*$AC$27+S357*$AC$28+T357*$AC$29+U357*$AC$30</f>
        <v/>
      </c>
      <c r="W357" s="8">
        <f>1/(1+EXP(-V357))</f>
        <v/>
      </c>
      <c r="X357" s="9">
        <f>-IF(C357=1,LN(W357),LN(1-W357))</f>
        <v/>
      </c>
      <c r="Y357" s="10">
        <f>IF(W357&gt;$AC$33,1,0)</f>
        <v/>
      </c>
      <c r="Z357">
        <f>IF(Y357=C357,1,0)</f>
        <v/>
      </c>
    </row>
    <row r="358">
      <c r="A358">
        <f>'1 datos preparados'!A351</f>
        <v/>
      </c>
      <c r="B358" s="5">
        <f>'1 datos preparados'!U351</f>
        <v/>
      </c>
      <c r="C358">
        <f>'1 datos preparados'!B351</f>
        <v/>
      </c>
      <c r="D358" s="7">
        <f>'1 datos preparados'!C351</f>
        <v/>
      </c>
      <c r="E358" s="7">
        <f>'1 datos preparados'!D351</f>
        <v/>
      </c>
      <c r="F358" s="7">
        <f>'1 datos preparados'!E351</f>
        <v/>
      </c>
      <c r="G358" s="7">
        <f>'1 datos preparados'!F351</f>
        <v/>
      </c>
      <c r="H358" s="7">
        <f>'1 datos preparados'!G351</f>
        <v/>
      </c>
      <c r="I358" s="7">
        <f>'1 datos preparados'!H351</f>
        <v/>
      </c>
      <c r="J358" s="7">
        <f>'1 datos preparados'!I351</f>
        <v/>
      </c>
      <c r="K358" s="7">
        <f>'1 datos preparados'!J351</f>
        <v/>
      </c>
      <c r="L358" s="7">
        <f>'1 datos preparados'!K351</f>
        <v/>
      </c>
      <c r="M358" s="7">
        <f>'1 datos preparados'!L351</f>
        <v/>
      </c>
      <c r="N358" s="7">
        <f>'1 datos preparados'!M351</f>
        <v/>
      </c>
      <c r="O358" s="7">
        <f>'1 datos preparados'!N351</f>
        <v/>
      </c>
      <c r="P358" s="7">
        <f>'1 datos preparados'!O351</f>
        <v/>
      </c>
      <c r="Q358" s="7">
        <f>'1 datos preparados'!P351</f>
        <v/>
      </c>
      <c r="R358" s="7">
        <f>'1 datos preparados'!Q351</f>
        <v/>
      </c>
      <c r="S358" s="7">
        <f>'1 datos preparados'!R351</f>
        <v/>
      </c>
      <c r="T358" s="7">
        <f>'1 datos preparados'!S351</f>
        <v/>
      </c>
      <c r="U358" s="7">
        <f>'1 datos preparados'!T351</f>
        <v/>
      </c>
      <c r="V358" s="8">
        <f>$AC$12+D358*$AC$13+E358*$AC$14+F358*$AC$15+G358*$AC$16+H358*$AC$17+I358*$AC$18+J358*$AC$19+K358*$AC$20+L358*$AC$21+M358*$AC$22+N358*$AC$23+O358*$AC$24+P358*$AC$25+Q358*$AC$26+R358*$AC$27+S358*$AC$28+T358*$AC$29+U358*$AC$30</f>
        <v/>
      </c>
      <c r="W358" s="8">
        <f>1/(1+EXP(-V358))</f>
        <v/>
      </c>
      <c r="X358" s="9">
        <f>-IF(C358=1,LN(W358),LN(1-W358))</f>
        <v/>
      </c>
      <c r="Y358" s="10">
        <f>IF(W358&gt;$AC$33,1,0)</f>
        <v/>
      </c>
      <c r="Z358">
        <f>IF(Y358=C358,1,0)</f>
        <v/>
      </c>
    </row>
    <row r="359">
      <c r="A359">
        <f>'1 datos preparados'!A352</f>
        <v/>
      </c>
      <c r="B359" s="5">
        <f>'1 datos preparados'!U352</f>
        <v/>
      </c>
      <c r="C359">
        <f>'1 datos preparados'!B352</f>
        <v/>
      </c>
      <c r="D359" s="7">
        <f>'1 datos preparados'!C352</f>
        <v/>
      </c>
      <c r="E359" s="7">
        <f>'1 datos preparados'!D352</f>
        <v/>
      </c>
      <c r="F359" s="7">
        <f>'1 datos preparados'!E352</f>
        <v/>
      </c>
      <c r="G359" s="7">
        <f>'1 datos preparados'!F352</f>
        <v/>
      </c>
      <c r="H359" s="7">
        <f>'1 datos preparados'!G352</f>
        <v/>
      </c>
      <c r="I359" s="7">
        <f>'1 datos preparados'!H352</f>
        <v/>
      </c>
      <c r="J359" s="7">
        <f>'1 datos preparados'!I352</f>
        <v/>
      </c>
      <c r="K359" s="7">
        <f>'1 datos preparados'!J352</f>
        <v/>
      </c>
      <c r="L359" s="7">
        <f>'1 datos preparados'!K352</f>
        <v/>
      </c>
      <c r="M359" s="7">
        <f>'1 datos preparados'!L352</f>
        <v/>
      </c>
      <c r="N359" s="7">
        <f>'1 datos preparados'!M352</f>
        <v/>
      </c>
      <c r="O359" s="7">
        <f>'1 datos preparados'!N352</f>
        <v/>
      </c>
      <c r="P359" s="7">
        <f>'1 datos preparados'!O352</f>
        <v/>
      </c>
      <c r="Q359" s="7">
        <f>'1 datos preparados'!P352</f>
        <v/>
      </c>
      <c r="R359" s="7">
        <f>'1 datos preparados'!Q352</f>
        <v/>
      </c>
      <c r="S359" s="7">
        <f>'1 datos preparados'!R352</f>
        <v/>
      </c>
      <c r="T359" s="7">
        <f>'1 datos preparados'!S352</f>
        <v/>
      </c>
      <c r="U359" s="7">
        <f>'1 datos preparados'!T352</f>
        <v/>
      </c>
      <c r="V359" s="8">
        <f>$AC$12+D359*$AC$13+E359*$AC$14+F359*$AC$15+G359*$AC$16+H359*$AC$17+I359*$AC$18+J359*$AC$19+K359*$AC$20+L359*$AC$21+M359*$AC$22+N359*$AC$23+O359*$AC$24+P359*$AC$25+Q359*$AC$26+R359*$AC$27+S359*$AC$28+T359*$AC$29+U359*$AC$30</f>
        <v/>
      </c>
      <c r="W359" s="8">
        <f>1/(1+EXP(-V359))</f>
        <v/>
      </c>
      <c r="X359" s="9">
        <f>-IF(C359=1,LN(W359),LN(1-W359))</f>
        <v/>
      </c>
      <c r="Y359" s="10">
        <f>IF(W359&gt;$AC$33,1,0)</f>
        <v/>
      </c>
      <c r="Z359">
        <f>IF(Y359=C359,1,0)</f>
        <v/>
      </c>
    </row>
    <row r="360">
      <c r="A360">
        <f>'1 datos preparados'!A353</f>
        <v/>
      </c>
      <c r="B360" s="5">
        <f>'1 datos preparados'!U353</f>
        <v/>
      </c>
      <c r="C360">
        <f>'1 datos preparados'!B353</f>
        <v/>
      </c>
      <c r="D360" s="7">
        <f>'1 datos preparados'!C353</f>
        <v/>
      </c>
      <c r="E360" s="7">
        <f>'1 datos preparados'!D353</f>
        <v/>
      </c>
      <c r="F360" s="7">
        <f>'1 datos preparados'!E353</f>
        <v/>
      </c>
      <c r="G360" s="7">
        <f>'1 datos preparados'!F353</f>
        <v/>
      </c>
      <c r="H360" s="7">
        <f>'1 datos preparados'!G353</f>
        <v/>
      </c>
      <c r="I360" s="7">
        <f>'1 datos preparados'!H353</f>
        <v/>
      </c>
      <c r="J360" s="7">
        <f>'1 datos preparados'!I353</f>
        <v/>
      </c>
      <c r="K360" s="7">
        <f>'1 datos preparados'!J353</f>
        <v/>
      </c>
      <c r="L360" s="7">
        <f>'1 datos preparados'!K353</f>
        <v/>
      </c>
      <c r="M360" s="7">
        <f>'1 datos preparados'!L353</f>
        <v/>
      </c>
      <c r="N360" s="7">
        <f>'1 datos preparados'!M353</f>
        <v/>
      </c>
      <c r="O360" s="7">
        <f>'1 datos preparados'!N353</f>
        <v/>
      </c>
      <c r="P360" s="7">
        <f>'1 datos preparados'!O353</f>
        <v/>
      </c>
      <c r="Q360" s="7">
        <f>'1 datos preparados'!P353</f>
        <v/>
      </c>
      <c r="R360" s="7">
        <f>'1 datos preparados'!Q353</f>
        <v/>
      </c>
      <c r="S360" s="7">
        <f>'1 datos preparados'!R353</f>
        <v/>
      </c>
      <c r="T360" s="7">
        <f>'1 datos preparados'!S353</f>
        <v/>
      </c>
      <c r="U360" s="7">
        <f>'1 datos preparados'!T353</f>
        <v/>
      </c>
      <c r="V360" s="8">
        <f>$AC$12+D360*$AC$13+E360*$AC$14+F360*$AC$15+G360*$AC$16+H360*$AC$17+I360*$AC$18+J360*$AC$19+K360*$AC$20+L360*$AC$21+M360*$AC$22+N360*$AC$23+O360*$AC$24+P360*$AC$25+Q360*$AC$26+R360*$AC$27+S360*$AC$28+T360*$AC$29+U360*$AC$30</f>
        <v/>
      </c>
      <c r="W360" s="8">
        <f>1/(1+EXP(-V360))</f>
        <v/>
      </c>
      <c r="X360" s="9">
        <f>-IF(C360=1,LN(W360),LN(1-W360))</f>
        <v/>
      </c>
      <c r="Y360" s="10">
        <f>IF(W360&gt;$AC$33,1,0)</f>
        <v/>
      </c>
      <c r="Z360">
        <f>IF(Y360=C360,1,0)</f>
        <v/>
      </c>
    </row>
    <row r="361">
      <c r="A361">
        <f>'1 datos preparados'!A354</f>
        <v/>
      </c>
      <c r="B361" s="5">
        <f>'1 datos preparados'!U354</f>
        <v/>
      </c>
      <c r="C361">
        <f>'1 datos preparados'!B354</f>
        <v/>
      </c>
      <c r="D361" s="7">
        <f>'1 datos preparados'!C354</f>
        <v/>
      </c>
      <c r="E361" s="7">
        <f>'1 datos preparados'!D354</f>
        <v/>
      </c>
      <c r="F361" s="7">
        <f>'1 datos preparados'!E354</f>
        <v/>
      </c>
      <c r="G361" s="7">
        <f>'1 datos preparados'!F354</f>
        <v/>
      </c>
      <c r="H361" s="7">
        <f>'1 datos preparados'!G354</f>
        <v/>
      </c>
      <c r="I361" s="7">
        <f>'1 datos preparados'!H354</f>
        <v/>
      </c>
      <c r="J361" s="7">
        <f>'1 datos preparados'!I354</f>
        <v/>
      </c>
      <c r="K361" s="7">
        <f>'1 datos preparados'!J354</f>
        <v/>
      </c>
      <c r="L361" s="7">
        <f>'1 datos preparados'!K354</f>
        <v/>
      </c>
      <c r="M361" s="7">
        <f>'1 datos preparados'!L354</f>
        <v/>
      </c>
      <c r="N361" s="7">
        <f>'1 datos preparados'!M354</f>
        <v/>
      </c>
      <c r="O361" s="7">
        <f>'1 datos preparados'!N354</f>
        <v/>
      </c>
      <c r="P361" s="7">
        <f>'1 datos preparados'!O354</f>
        <v/>
      </c>
      <c r="Q361" s="7">
        <f>'1 datos preparados'!P354</f>
        <v/>
      </c>
      <c r="R361" s="7">
        <f>'1 datos preparados'!Q354</f>
        <v/>
      </c>
      <c r="S361" s="7">
        <f>'1 datos preparados'!R354</f>
        <v/>
      </c>
      <c r="T361" s="7">
        <f>'1 datos preparados'!S354</f>
        <v/>
      </c>
      <c r="U361" s="7">
        <f>'1 datos preparados'!T354</f>
        <v/>
      </c>
      <c r="V361" s="8">
        <f>$AC$12+D361*$AC$13+E361*$AC$14+F361*$AC$15+G361*$AC$16+H361*$AC$17+I361*$AC$18+J361*$AC$19+K361*$AC$20+L361*$AC$21+M361*$AC$22+N361*$AC$23+O361*$AC$24+P361*$AC$25+Q361*$AC$26+R361*$AC$27+S361*$AC$28+T361*$AC$29+U361*$AC$30</f>
        <v/>
      </c>
      <c r="W361" s="8">
        <f>1/(1+EXP(-V361))</f>
        <v/>
      </c>
      <c r="X361" s="9">
        <f>-IF(C361=1,LN(W361),LN(1-W361))</f>
        <v/>
      </c>
      <c r="Y361" s="10">
        <f>IF(W361&gt;$AC$33,1,0)</f>
        <v/>
      </c>
      <c r="Z361">
        <f>IF(Y361=C361,1,0)</f>
        <v/>
      </c>
    </row>
    <row r="362">
      <c r="A362">
        <f>'1 datos preparados'!A355</f>
        <v/>
      </c>
      <c r="B362" s="5">
        <f>'1 datos preparados'!U355</f>
        <v/>
      </c>
      <c r="C362">
        <f>'1 datos preparados'!B355</f>
        <v/>
      </c>
      <c r="D362" s="7">
        <f>'1 datos preparados'!C355</f>
        <v/>
      </c>
      <c r="E362" s="7">
        <f>'1 datos preparados'!D355</f>
        <v/>
      </c>
      <c r="F362" s="7">
        <f>'1 datos preparados'!E355</f>
        <v/>
      </c>
      <c r="G362" s="7">
        <f>'1 datos preparados'!F355</f>
        <v/>
      </c>
      <c r="H362" s="7">
        <f>'1 datos preparados'!G355</f>
        <v/>
      </c>
      <c r="I362" s="7">
        <f>'1 datos preparados'!H355</f>
        <v/>
      </c>
      <c r="J362" s="7">
        <f>'1 datos preparados'!I355</f>
        <v/>
      </c>
      <c r="K362" s="7">
        <f>'1 datos preparados'!J355</f>
        <v/>
      </c>
      <c r="L362" s="7">
        <f>'1 datos preparados'!K355</f>
        <v/>
      </c>
      <c r="M362" s="7">
        <f>'1 datos preparados'!L355</f>
        <v/>
      </c>
      <c r="N362" s="7">
        <f>'1 datos preparados'!M355</f>
        <v/>
      </c>
      <c r="O362" s="7">
        <f>'1 datos preparados'!N355</f>
        <v/>
      </c>
      <c r="P362" s="7">
        <f>'1 datos preparados'!O355</f>
        <v/>
      </c>
      <c r="Q362" s="7">
        <f>'1 datos preparados'!P355</f>
        <v/>
      </c>
      <c r="R362" s="7">
        <f>'1 datos preparados'!Q355</f>
        <v/>
      </c>
      <c r="S362" s="7">
        <f>'1 datos preparados'!R355</f>
        <v/>
      </c>
      <c r="T362" s="7">
        <f>'1 datos preparados'!S355</f>
        <v/>
      </c>
      <c r="U362" s="7">
        <f>'1 datos preparados'!T355</f>
        <v/>
      </c>
      <c r="V362" s="8">
        <f>$AC$12+D362*$AC$13+E362*$AC$14+F362*$AC$15+G362*$AC$16+H362*$AC$17+I362*$AC$18+J362*$AC$19+K362*$AC$20+L362*$AC$21+M362*$AC$22+N362*$AC$23+O362*$AC$24+P362*$AC$25+Q362*$AC$26+R362*$AC$27+S362*$AC$28+T362*$AC$29+U362*$AC$30</f>
        <v/>
      </c>
      <c r="W362" s="8">
        <f>1/(1+EXP(-V362))</f>
        <v/>
      </c>
      <c r="X362" s="9">
        <f>-IF(C362=1,LN(W362),LN(1-W362))</f>
        <v/>
      </c>
      <c r="Y362" s="10">
        <f>IF(W362&gt;$AC$33,1,0)</f>
        <v/>
      </c>
      <c r="Z362">
        <f>IF(Y362=C362,1,0)</f>
        <v/>
      </c>
    </row>
    <row r="363">
      <c r="A363">
        <f>'1 datos preparados'!A356</f>
        <v/>
      </c>
      <c r="B363" s="5">
        <f>'1 datos preparados'!U356</f>
        <v/>
      </c>
      <c r="C363">
        <f>'1 datos preparados'!B356</f>
        <v/>
      </c>
      <c r="D363" s="7">
        <f>'1 datos preparados'!C356</f>
        <v/>
      </c>
      <c r="E363" s="7">
        <f>'1 datos preparados'!D356</f>
        <v/>
      </c>
      <c r="F363" s="7">
        <f>'1 datos preparados'!E356</f>
        <v/>
      </c>
      <c r="G363" s="7">
        <f>'1 datos preparados'!F356</f>
        <v/>
      </c>
      <c r="H363" s="7">
        <f>'1 datos preparados'!G356</f>
        <v/>
      </c>
      <c r="I363" s="7">
        <f>'1 datos preparados'!H356</f>
        <v/>
      </c>
      <c r="J363" s="7">
        <f>'1 datos preparados'!I356</f>
        <v/>
      </c>
      <c r="K363" s="7">
        <f>'1 datos preparados'!J356</f>
        <v/>
      </c>
      <c r="L363" s="7">
        <f>'1 datos preparados'!K356</f>
        <v/>
      </c>
      <c r="M363" s="7">
        <f>'1 datos preparados'!L356</f>
        <v/>
      </c>
      <c r="N363" s="7">
        <f>'1 datos preparados'!M356</f>
        <v/>
      </c>
      <c r="O363" s="7">
        <f>'1 datos preparados'!N356</f>
        <v/>
      </c>
      <c r="P363" s="7">
        <f>'1 datos preparados'!O356</f>
        <v/>
      </c>
      <c r="Q363" s="7">
        <f>'1 datos preparados'!P356</f>
        <v/>
      </c>
      <c r="R363" s="7">
        <f>'1 datos preparados'!Q356</f>
        <v/>
      </c>
      <c r="S363" s="7">
        <f>'1 datos preparados'!R356</f>
        <v/>
      </c>
      <c r="T363" s="7">
        <f>'1 datos preparados'!S356</f>
        <v/>
      </c>
      <c r="U363" s="7">
        <f>'1 datos preparados'!T356</f>
        <v/>
      </c>
      <c r="V363" s="8">
        <f>$AC$12+D363*$AC$13+E363*$AC$14+F363*$AC$15+G363*$AC$16+H363*$AC$17+I363*$AC$18+J363*$AC$19+K363*$AC$20+L363*$AC$21+M363*$AC$22+N363*$AC$23+O363*$AC$24+P363*$AC$25+Q363*$AC$26+R363*$AC$27+S363*$AC$28+T363*$AC$29+U363*$AC$30</f>
        <v/>
      </c>
      <c r="W363" s="8">
        <f>1/(1+EXP(-V363))</f>
        <v/>
      </c>
      <c r="X363" s="9">
        <f>-IF(C363=1,LN(W363),LN(1-W363))</f>
        <v/>
      </c>
      <c r="Y363" s="10">
        <f>IF(W363&gt;$AC$33,1,0)</f>
        <v/>
      </c>
      <c r="Z363">
        <f>IF(Y363=C363,1,0)</f>
        <v/>
      </c>
    </row>
    <row r="364">
      <c r="A364">
        <f>'1 datos preparados'!A357</f>
        <v/>
      </c>
      <c r="B364" s="5">
        <f>'1 datos preparados'!U357</f>
        <v/>
      </c>
      <c r="C364">
        <f>'1 datos preparados'!B357</f>
        <v/>
      </c>
      <c r="D364" s="7">
        <f>'1 datos preparados'!C357</f>
        <v/>
      </c>
      <c r="E364" s="7">
        <f>'1 datos preparados'!D357</f>
        <v/>
      </c>
      <c r="F364" s="7">
        <f>'1 datos preparados'!E357</f>
        <v/>
      </c>
      <c r="G364" s="7">
        <f>'1 datos preparados'!F357</f>
        <v/>
      </c>
      <c r="H364" s="7">
        <f>'1 datos preparados'!G357</f>
        <v/>
      </c>
      <c r="I364" s="7">
        <f>'1 datos preparados'!H357</f>
        <v/>
      </c>
      <c r="J364" s="7">
        <f>'1 datos preparados'!I357</f>
        <v/>
      </c>
      <c r="K364" s="7">
        <f>'1 datos preparados'!J357</f>
        <v/>
      </c>
      <c r="L364" s="7">
        <f>'1 datos preparados'!K357</f>
        <v/>
      </c>
      <c r="M364" s="7">
        <f>'1 datos preparados'!L357</f>
        <v/>
      </c>
      <c r="N364" s="7">
        <f>'1 datos preparados'!M357</f>
        <v/>
      </c>
      <c r="O364" s="7">
        <f>'1 datos preparados'!N357</f>
        <v/>
      </c>
      <c r="P364" s="7">
        <f>'1 datos preparados'!O357</f>
        <v/>
      </c>
      <c r="Q364" s="7">
        <f>'1 datos preparados'!P357</f>
        <v/>
      </c>
      <c r="R364" s="7">
        <f>'1 datos preparados'!Q357</f>
        <v/>
      </c>
      <c r="S364" s="7">
        <f>'1 datos preparados'!R357</f>
        <v/>
      </c>
      <c r="T364" s="7">
        <f>'1 datos preparados'!S357</f>
        <v/>
      </c>
      <c r="U364" s="7">
        <f>'1 datos preparados'!T357</f>
        <v/>
      </c>
      <c r="V364" s="8">
        <f>$AC$12+D364*$AC$13+E364*$AC$14+F364*$AC$15+G364*$AC$16+H364*$AC$17+I364*$AC$18+J364*$AC$19+K364*$AC$20+L364*$AC$21+M364*$AC$22+N364*$AC$23+O364*$AC$24+P364*$AC$25+Q364*$AC$26+R364*$AC$27+S364*$AC$28+T364*$AC$29+U364*$AC$30</f>
        <v/>
      </c>
      <c r="W364" s="8">
        <f>1/(1+EXP(-V364))</f>
        <v/>
      </c>
      <c r="X364" s="9">
        <f>-IF(C364=1,LN(W364),LN(1-W364))</f>
        <v/>
      </c>
      <c r="Y364" s="10">
        <f>IF(W364&gt;$AC$33,1,0)</f>
        <v/>
      </c>
      <c r="Z364">
        <f>IF(Y364=C364,1,0)</f>
        <v/>
      </c>
    </row>
    <row r="365">
      <c r="A365">
        <f>'1 datos preparados'!A358</f>
        <v/>
      </c>
      <c r="B365" s="5">
        <f>'1 datos preparados'!U358</f>
        <v/>
      </c>
      <c r="C365">
        <f>'1 datos preparados'!B358</f>
        <v/>
      </c>
      <c r="D365" s="7">
        <f>'1 datos preparados'!C358</f>
        <v/>
      </c>
      <c r="E365" s="7">
        <f>'1 datos preparados'!D358</f>
        <v/>
      </c>
      <c r="F365" s="7">
        <f>'1 datos preparados'!E358</f>
        <v/>
      </c>
      <c r="G365" s="7">
        <f>'1 datos preparados'!F358</f>
        <v/>
      </c>
      <c r="H365" s="7">
        <f>'1 datos preparados'!G358</f>
        <v/>
      </c>
      <c r="I365" s="7">
        <f>'1 datos preparados'!H358</f>
        <v/>
      </c>
      <c r="J365" s="7">
        <f>'1 datos preparados'!I358</f>
        <v/>
      </c>
      <c r="K365" s="7">
        <f>'1 datos preparados'!J358</f>
        <v/>
      </c>
      <c r="L365" s="7">
        <f>'1 datos preparados'!K358</f>
        <v/>
      </c>
      <c r="M365" s="7">
        <f>'1 datos preparados'!L358</f>
        <v/>
      </c>
      <c r="N365" s="7">
        <f>'1 datos preparados'!M358</f>
        <v/>
      </c>
      <c r="O365" s="7">
        <f>'1 datos preparados'!N358</f>
        <v/>
      </c>
      <c r="P365" s="7">
        <f>'1 datos preparados'!O358</f>
        <v/>
      </c>
      <c r="Q365" s="7">
        <f>'1 datos preparados'!P358</f>
        <v/>
      </c>
      <c r="R365" s="7">
        <f>'1 datos preparados'!Q358</f>
        <v/>
      </c>
      <c r="S365" s="7">
        <f>'1 datos preparados'!R358</f>
        <v/>
      </c>
      <c r="T365" s="7">
        <f>'1 datos preparados'!S358</f>
        <v/>
      </c>
      <c r="U365" s="7">
        <f>'1 datos preparados'!T358</f>
        <v/>
      </c>
      <c r="V365" s="8">
        <f>$AC$12+D365*$AC$13+E365*$AC$14+F365*$AC$15+G365*$AC$16+H365*$AC$17+I365*$AC$18+J365*$AC$19+K365*$AC$20+L365*$AC$21+M365*$AC$22+N365*$AC$23+O365*$AC$24+P365*$AC$25+Q365*$AC$26+R365*$AC$27+S365*$AC$28+T365*$AC$29+U365*$AC$30</f>
        <v/>
      </c>
      <c r="W365" s="8">
        <f>1/(1+EXP(-V365))</f>
        <v/>
      </c>
      <c r="X365" s="9">
        <f>-IF(C365=1,LN(W365),LN(1-W365))</f>
        <v/>
      </c>
      <c r="Y365" s="10">
        <f>IF(W365&gt;$AC$33,1,0)</f>
        <v/>
      </c>
      <c r="Z365">
        <f>IF(Y365=C365,1,0)</f>
        <v/>
      </c>
    </row>
    <row r="366">
      <c r="A366">
        <f>'1 datos preparados'!A359</f>
        <v/>
      </c>
      <c r="B366" s="5">
        <f>'1 datos preparados'!U359</f>
        <v/>
      </c>
      <c r="C366">
        <f>'1 datos preparados'!B359</f>
        <v/>
      </c>
      <c r="D366" s="7">
        <f>'1 datos preparados'!C359</f>
        <v/>
      </c>
      <c r="E366" s="7">
        <f>'1 datos preparados'!D359</f>
        <v/>
      </c>
      <c r="F366" s="7">
        <f>'1 datos preparados'!E359</f>
        <v/>
      </c>
      <c r="G366" s="7">
        <f>'1 datos preparados'!F359</f>
        <v/>
      </c>
      <c r="H366" s="7">
        <f>'1 datos preparados'!G359</f>
        <v/>
      </c>
      <c r="I366" s="7">
        <f>'1 datos preparados'!H359</f>
        <v/>
      </c>
      <c r="J366" s="7">
        <f>'1 datos preparados'!I359</f>
        <v/>
      </c>
      <c r="K366" s="7">
        <f>'1 datos preparados'!J359</f>
        <v/>
      </c>
      <c r="L366" s="7">
        <f>'1 datos preparados'!K359</f>
        <v/>
      </c>
      <c r="M366" s="7">
        <f>'1 datos preparados'!L359</f>
        <v/>
      </c>
      <c r="N366" s="7">
        <f>'1 datos preparados'!M359</f>
        <v/>
      </c>
      <c r="O366" s="7">
        <f>'1 datos preparados'!N359</f>
        <v/>
      </c>
      <c r="P366" s="7">
        <f>'1 datos preparados'!O359</f>
        <v/>
      </c>
      <c r="Q366" s="7">
        <f>'1 datos preparados'!P359</f>
        <v/>
      </c>
      <c r="R366" s="7">
        <f>'1 datos preparados'!Q359</f>
        <v/>
      </c>
      <c r="S366" s="7">
        <f>'1 datos preparados'!R359</f>
        <v/>
      </c>
      <c r="T366" s="7">
        <f>'1 datos preparados'!S359</f>
        <v/>
      </c>
      <c r="U366" s="7">
        <f>'1 datos preparados'!T359</f>
        <v/>
      </c>
      <c r="V366" s="8">
        <f>$AC$12+D366*$AC$13+E366*$AC$14+F366*$AC$15+G366*$AC$16+H366*$AC$17+I366*$AC$18+J366*$AC$19+K366*$AC$20+L366*$AC$21+M366*$AC$22+N366*$AC$23+O366*$AC$24+P366*$AC$25+Q366*$AC$26+R366*$AC$27+S366*$AC$28+T366*$AC$29+U366*$AC$30</f>
        <v/>
      </c>
      <c r="W366" s="8">
        <f>1/(1+EXP(-V366))</f>
        <v/>
      </c>
      <c r="X366" s="9">
        <f>-IF(C366=1,LN(W366),LN(1-W366))</f>
        <v/>
      </c>
      <c r="Y366" s="10">
        <f>IF(W366&gt;$AC$33,1,0)</f>
        <v/>
      </c>
      <c r="Z366">
        <f>IF(Y366=C366,1,0)</f>
        <v/>
      </c>
    </row>
    <row r="367">
      <c r="A367">
        <f>'1 datos preparados'!A360</f>
        <v/>
      </c>
      <c r="B367" s="5">
        <f>'1 datos preparados'!U360</f>
        <v/>
      </c>
      <c r="C367">
        <f>'1 datos preparados'!B360</f>
        <v/>
      </c>
      <c r="D367" s="7">
        <f>'1 datos preparados'!C360</f>
        <v/>
      </c>
      <c r="E367" s="7">
        <f>'1 datos preparados'!D360</f>
        <v/>
      </c>
      <c r="F367" s="7">
        <f>'1 datos preparados'!E360</f>
        <v/>
      </c>
      <c r="G367" s="7">
        <f>'1 datos preparados'!F360</f>
        <v/>
      </c>
      <c r="H367" s="7">
        <f>'1 datos preparados'!G360</f>
        <v/>
      </c>
      <c r="I367" s="7">
        <f>'1 datos preparados'!H360</f>
        <v/>
      </c>
      <c r="J367" s="7">
        <f>'1 datos preparados'!I360</f>
        <v/>
      </c>
      <c r="K367" s="7">
        <f>'1 datos preparados'!J360</f>
        <v/>
      </c>
      <c r="L367" s="7">
        <f>'1 datos preparados'!K360</f>
        <v/>
      </c>
      <c r="M367" s="7">
        <f>'1 datos preparados'!L360</f>
        <v/>
      </c>
      <c r="N367" s="7">
        <f>'1 datos preparados'!M360</f>
        <v/>
      </c>
      <c r="O367" s="7">
        <f>'1 datos preparados'!N360</f>
        <v/>
      </c>
      <c r="P367" s="7">
        <f>'1 datos preparados'!O360</f>
        <v/>
      </c>
      <c r="Q367" s="7">
        <f>'1 datos preparados'!P360</f>
        <v/>
      </c>
      <c r="R367" s="7">
        <f>'1 datos preparados'!Q360</f>
        <v/>
      </c>
      <c r="S367" s="7">
        <f>'1 datos preparados'!R360</f>
        <v/>
      </c>
      <c r="T367" s="7">
        <f>'1 datos preparados'!S360</f>
        <v/>
      </c>
      <c r="U367" s="7">
        <f>'1 datos preparados'!T360</f>
        <v/>
      </c>
      <c r="V367" s="8">
        <f>$AC$12+D367*$AC$13+E367*$AC$14+F367*$AC$15+G367*$AC$16+H367*$AC$17+I367*$AC$18+J367*$AC$19+K367*$AC$20+L367*$AC$21+M367*$AC$22+N367*$AC$23+O367*$AC$24+P367*$AC$25+Q367*$AC$26+R367*$AC$27+S367*$AC$28+T367*$AC$29+U367*$AC$30</f>
        <v/>
      </c>
      <c r="W367" s="8">
        <f>1/(1+EXP(-V367))</f>
        <v/>
      </c>
      <c r="X367" s="9">
        <f>-IF(C367=1,LN(W367),LN(1-W367))</f>
        <v/>
      </c>
      <c r="Y367" s="10">
        <f>IF(W367&gt;$AC$33,1,0)</f>
        <v/>
      </c>
      <c r="Z367">
        <f>IF(Y367=C367,1,0)</f>
        <v/>
      </c>
    </row>
    <row r="368">
      <c r="A368">
        <f>'1 datos preparados'!A361</f>
        <v/>
      </c>
      <c r="B368" s="5">
        <f>'1 datos preparados'!U361</f>
        <v/>
      </c>
      <c r="C368">
        <f>'1 datos preparados'!B361</f>
        <v/>
      </c>
      <c r="D368" s="7">
        <f>'1 datos preparados'!C361</f>
        <v/>
      </c>
      <c r="E368" s="7">
        <f>'1 datos preparados'!D361</f>
        <v/>
      </c>
      <c r="F368" s="7">
        <f>'1 datos preparados'!E361</f>
        <v/>
      </c>
      <c r="G368" s="7">
        <f>'1 datos preparados'!F361</f>
        <v/>
      </c>
      <c r="H368" s="7">
        <f>'1 datos preparados'!G361</f>
        <v/>
      </c>
      <c r="I368" s="7">
        <f>'1 datos preparados'!H361</f>
        <v/>
      </c>
      <c r="J368" s="7">
        <f>'1 datos preparados'!I361</f>
        <v/>
      </c>
      <c r="K368" s="7">
        <f>'1 datos preparados'!J361</f>
        <v/>
      </c>
      <c r="L368" s="7">
        <f>'1 datos preparados'!K361</f>
        <v/>
      </c>
      <c r="M368" s="7">
        <f>'1 datos preparados'!L361</f>
        <v/>
      </c>
      <c r="N368" s="7">
        <f>'1 datos preparados'!M361</f>
        <v/>
      </c>
      <c r="O368" s="7">
        <f>'1 datos preparados'!N361</f>
        <v/>
      </c>
      <c r="P368" s="7">
        <f>'1 datos preparados'!O361</f>
        <v/>
      </c>
      <c r="Q368" s="7">
        <f>'1 datos preparados'!P361</f>
        <v/>
      </c>
      <c r="R368" s="7">
        <f>'1 datos preparados'!Q361</f>
        <v/>
      </c>
      <c r="S368" s="7">
        <f>'1 datos preparados'!R361</f>
        <v/>
      </c>
      <c r="T368" s="7">
        <f>'1 datos preparados'!S361</f>
        <v/>
      </c>
      <c r="U368" s="7">
        <f>'1 datos preparados'!T361</f>
        <v/>
      </c>
      <c r="V368" s="8">
        <f>$AC$12+D368*$AC$13+E368*$AC$14+F368*$AC$15+G368*$AC$16+H368*$AC$17+I368*$AC$18+J368*$AC$19+K368*$AC$20+L368*$AC$21+M368*$AC$22+N368*$AC$23+O368*$AC$24+P368*$AC$25+Q368*$AC$26+R368*$AC$27+S368*$AC$28+T368*$AC$29+U368*$AC$30</f>
        <v/>
      </c>
      <c r="W368" s="8">
        <f>1/(1+EXP(-V368))</f>
        <v/>
      </c>
      <c r="X368" s="9">
        <f>-IF(C368=1,LN(W368),LN(1-W368))</f>
        <v/>
      </c>
      <c r="Y368" s="10">
        <f>IF(W368&gt;$AC$33,1,0)</f>
        <v/>
      </c>
      <c r="Z368">
        <f>IF(Y368=C368,1,0)</f>
        <v/>
      </c>
    </row>
    <row r="369">
      <c r="A369">
        <f>'1 datos preparados'!A362</f>
        <v/>
      </c>
      <c r="B369" s="5">
        <f>'1 datos preparados'!U362</f>
        <v/>
      </c>
      <c r="C369">
        <f>'1 datos preparados'!B362</f>
        <v/>
      </c>
      <c r="D369" s="7">
        <f>'1 datos preparados'!C362</f>
        <v/>
      </c>
      <c r="E369" s="7">
        <f>'1 datos preparados'!D362</f>
        <v/>
      </c>
      <c r="F369" s="7">
        <f>'1 datos preparados'!E362</f>
        <v/>
      </c>
      <c r="G369" s="7">
        <f>'1 datos preparados'!F362</f>
        <v/>
      </c>
      <c r="H369" s="7">
        <f>'1 datos preparados'!G362</f>
        <v/>
      </c>
      <c r="I369" s="7">
        <f>'1 datos preparados'!H362</f>
        <v/>
      </c>
      <c r="J369" s="7">
        <f>'1 datos preparados'!I362</f>
        <v/>
      </c>
      <c r="K369" s="7">
        <f>'1 datos preparados'!J362</f>
        <v/>
      </c>
      <c r="L369" s="7">
        <f>'1 datos preparados'!K362</f>
        <v/>
      </c>
      <c r="M369" s="7">
        <f>'1 datos preparados'!L362</f>
        <v/>
      </c>
      <c r="N369" s="7">
        <f>'1 datos preparados'!M362</f>
        <v/>
      </c>
      <c r="O369" s="7">
        <f>'1 datos preparados'!N362</f>
        <v/>
      </c>
      <c r="P369" s="7">
        <f>'1 datos preparados'!O362</f>
        <v/>
      </c>
      <c r="Q369" s="7">
        <f>'1 datos preparados'!P362</f>
        <v/>
      </c>
      <c r="R369" s="7">
        <f>'1 datos preparados'!Q362</f>
        <v/>
      </c>
      <c r="S369" s="7">
        <f>'1 datos preparados'!R362</f>
        <v/>
      </c>
      <c r="T369" s="7">
        <f>'1 datos preparados'!S362</f>
        <v/>
      </c>
      <c r="U369" s="7">
        <f>'1 datos preparados'!T362</f>
        <v/>
      </c>
      <c r="V369" s="8">
        <f>$AC$12+D369*$AC$13+E369*$AC$14+F369*$AC$15+G369*$AC$16+H369*$AC$17+I369*$AC$18+J369*$AC$19+K369*$AC$20+L369*$AC$21+M369*$AC$22+N369*$AC$23+O369*$AC$24+P369*$AC$25+Q369*$AC$26+R369*$AC$27+S369*$AC$28+T369*$AC$29+U369*$AC$30</f>
        <v/>
      </c>
      <c r="W369" s="8">
        <f>1/(1+EXP(-V369))</f>
        <v/>
      </c>
      <c r="X369" s="9">
        <f>-IF(C369=1,LN(W369),LN(1-W369))</f>
        <v/>
      </c>
      <c r="Y369" s="10">
        <f>IF(W369&gt;$AC$33,1,0)</f>
        <v/>
      </c>
      <c r="Z369">
        <f>IF(Y369=C369,1,0)</f>
        <v/>
      </c>
    </row>
    <row r="370">
      <c r="A370">
        <f>'1 datos preparados'!A363</f>
        <v/>
      </c>
      <c r="B370" s="5">
        <f>'1 datos preparados'!U363</f>
        <v/>
      </c>
      <c r="C370">
        <f>'1 datos preparados'!B363</f>
        <v/>
      </c>
      <c r="D370" s="7">
        <f>'1 datos preparados'!C363</f>
        <v/>
      </c>
      <c r="E370" s="7">
        <f>'1 datos preparados'!D363</f>
        <v/>
      </c>
      <c r="F370" s="7">
        <f>'1 datos preparados'!E363</f>
        <v/>
      </c>
      <c r="G370" s="7">
        <f>'1 datos preparados'!F363</f>
        <v/>
      </c>
      <c r="H370" s="7">
        <f>'1 datos preparados'!G363</f>
        <v/>
      </c>
      <c r="I370" s="7">
        <f>'1 datos preparados'!H363</f>
        <v/>
      </c>
      <c r="J370" s="7">
        <f>'1 datos preparados'!I363</f>
        <v/>
      </c>
      <c r="K370" s="7">
        <f>'1 datos preparados'!J363</f>
        <v/>
      </c>
      <c r="L370" s="7">
        <f>'1 datos preparados'!K363</f>
        <v/>
      </c>
      <c r="M370" s="7">
        <f>'1 datos preparados'!L363</f>
        <v/>
      </c>
      <c r="N370" s="7">
        <f>'1 datos preparados'!M363</f>
        <v/>
      </c>
      <c r="O370" s="7">
        <f>'1 datos preparados'!N363</f>
        <v/>
      </c>
      <c r="P370" s="7">
        <f>'1 datos preparados'!O363</f>
        <v/>
      </c>
      <c r="Q370" s="7">
        <f>'1 datos preparados'!P363</f>
        <v/>
      </c>
      <c r="R370" s="7">
        <f>'1 datos preparados'!Q363</f>
        <v/>
      </c>
      <c r="S370" s="7">
        <f>'1 datos preparados'!R363</f>
        <v/>
      </c>
      <c r="T370" s="7">
        <f>'1 datos preparados'!S363</f>
        <v/>
      </c>
      <c r="U370" s="7">
        <f>'1 datos preparados'!T363</f>
        <v/>
      </c>
      <c r="V370" s="8">
        <f>$AC$12+D370*$AC$13+E370*$AC$14+F370*$AC$15+G370*$AC$16+H370*$AC$17+I370*$AC$18+J370*$AC$19+K370*$AC$20+L370*$AC$21+M370*$AC$22+N370*$AC$23+O370*$AC$24+P370*$AC$25+Q370*$AC$26+R370*$AC$27+S370*$AC$28+T370*$AC$29+U370*$AC$30</f>
        <v/>
      </c>
      <c r="W370" s="8">
        <f>1/(1+EXP(-V370))</f>
        <v/>
      </c>
      <c r="X370" s="9">
        <f>-IF(C370=1,LN(W370),LN(1-W370))</f>
        <v/>
      </c>
      <c r="Y370" s="10">
        <f>IF(W370&gt;$AC$33,1,0)</f>
        <v/>
      </c>
      <c r="Z370">
        <f>IF(Y370=C370,1,0)</f>
        <v/>
      </c>
    </row>
    <row r="371">
      <c r="A371">
        <f>'1 datos preparados'!A364</f>
        <v/>
      </c>
      <c r="B371" s="5">
        <f>'1 datos preparados'!U364</f>
        <v/>
      </c>
      <c r="C371">
        <f>'1 datos preparados'!B364</f>
        <v/>
      </c>
      <c r="D371" s="7">
        <f>'1 datos preparados'!C364</f>
        <v/>
      </c>
      <c r="E371" s="7">
        <f>'1 datos preparados'!D364</f>
        <v/>
      </c>
      <c r="F371" s="7">
        <f>'1 datos preparados'!E364</f>
        <v/>
      </c>
      <c r="G371" s="7">
        <f>'1 datos preparados'!F364</f>
        <v/>
      </c>
      <c r="H371" s="7">
        <f>'1 datos preparados'!G364</f>
        <v/>
      </c>
      <c r="I371" s="7">
        <f>'1 datos preparados'!H364</f>
        <v/>
      </c>
      <c r="J371" s="7">
        <f>'1 datos preparados'!I364</f>
        <v/>
      </c>
      <c r="K371" s="7">
        <f>'1 datos preparados'!J364</f>
        <v/>
      </c>
      <c r="L371" s="7">
        <f>'1 datos preparados'!K364</f>
        <v/>
      </c>
      <c r="M371" s="7">
        <f>'1 datos preparados'!L364</f>
        <v/>
      </c>
      <c r="N371" s="7">
        <f>'1 datos preparados'!M364</f>
        <v/>
      </c>
      <c r="O371" s="7">
        <f>'1 datos preparados'!N364</f>
        <v/>
      </c>
      <c r="P371" s="7">
        <f>'1 datos preparados'!O364</f>
        <v/>
      </c>
      <c r="Q371" s="7">
        <f>'1 datos preparados'!P364</f>
        <v/>
      </c>
      <c r="R371" s="7">
        <f>'1 datos preparados'!Q364</f>
        <v/>
      </c>
      <c r="S371" s="7">
        <f>'1 datos preparados'!R364</f>
        <v/>
      </c>
      <c r="T371" s="7">
        <f>'1 datos preparados'!S364</f>
        <v/>
      </c>
      <c r="U371" s="7">
        <f>'1 datos preparados'!T364</f>
        <v/>
      </c>
      <c r="V371" s="8">
        <f>$AC$12+D371*$AC$13+E371*$AC$14+F371*$AC$15+G371*$AC$16+H371*$AC$17+I371*$AC$18+J371*$AC$19+K371*$AC$20+L371*$AC$21+M371*$AC$22+N371*$AC$23+O371*$AC$24+P371*$AC$25+Q371*$AC$26+R371*$AC$27+S371*$AC$28+T371*$AC$29+U371*$AC$30</f>
        <v/>
      </c>
      <c r="W371" s="8">
        <f>1/(1+EXP(-V371))</f>
        <v/>
      </c>
      <c r="X371" s="9">
        <f>-IF(C371=1,LN(W371),LN(1-W371))</f>
        <v/>
      </c>
      <c r="Y371" s="10">
        <f>IF(W371&gt;$AC$33,1,0)</f>
        <v/>
      </c>
      <c r="Z371">
        <f>IF(Y371=C371,1,0)</f>
        <v/>
      </c>
    </row>
    <row r="372">
      <c r="A372">
        <f>'1 datos preparados'!A365</f>
        <v/>
      </c>
      <c r="B372" s="5">
        <f>'1 datos preparados'!U365</f>
        <v/>
      </c>
      <c r="C372">
        <f>'1 datos preparados'!B365</f>
        <v/>
      </c>
      <c r="D372" s="7">
        <f>'1 datos preparados'!C365</f>
        <v/>
      </c>
      <c r="E372" s="7">
        <f>'1 datos preparados'!D365</f>
        <v/>
      </c>
      <c r="F372" s="7">
        <f>'1 datos preparados'!E365</f>
        <v/>
      </c>
      <c r="G372" s="7">
        <f>'1 datos preparados'!F365</f>
        <v/>
      </c>
      <c r="H372" s="7">
        <f>'1 datos preparados'!G365</f>
        <v/>
      </c>
      <c r="I372" s="7">
        <f>'1 datos preparados'!H365</f>
        <v/>
      </c>
      <c r="J372" s="7">
        <f>'1 datos preparados'!I365</f>
        <v/>
      </c>
      <c r="K372" s="7">
        <f>'1 datos preparados'!J365</f>
        <v/>
      </c>
      <c r="L372" s="7">
        <f>'1 datos preparados'!K365</f>
        <v/>
      </c>
      <c r="M372" s="7">
        <f>'1 datos preparados'!L365</f>
        <v/>
      </c>
      <c r="N372" s="7">
        <f>'1 datos preparados'!M365</f>
        <v/>
      </c>
      <c r="O372" s="7">
        <f>'1 datos preparados'!N365</f>
        <v/>
      </c>
      <c r="P372" s="7">
        <f>'1 datos preparados'!O365</f>
        <v/>
      </c>
      <c r="Q372" s="7">
        <f>'1 datos preparados'!P365</f>
        <v/>
      </c>
      <c r="R372" s="7">
        <f>'1 datos preparados'!Q365</f>
        <v/>
      </c>
      <c r="S372" s="7">
        <f>'1 datos preparados'!R365</f>
        <v/>
      </c>
      <c r="T372" s="7">
        <f>'1 datos preparados'!S365</f>
        <v/>
      </c>
      <c r="U372" s="7">
        <f>'1 datos preparados'!T365</f>
        <v/>
      </c>
      <c r="V372" s="8">
        <f>$AC$12+D372*$AC$13+E372*$AC$14+F372*$AC$15+G372*$AC$16+H372*$AC$17+I372*$AC$18+J372*$AC$19+K372*$AC$20+L372*$AC$21+M372*$AC$22+N372*$AC$23+O372*$AC$24+P372*$AC$25+Q372*$AC$26+R372*$AC$27+S372*$AC$28+T372*$AC$29+U372*$AC$30</f>
        <v/>
      </c>
      <c r="W372" s="8">
        <f>1/(1+EXP(-V372))</f>
        <v/>
      </c>
      <c r="X372" s="9">
        <f>-IF(C372=1,LN(W372),LN(1-W372))</f>
        <v/>
      </c>
      <c r="Y372" s="10">
        <f>IF(W372&gt;$AC$33,1,0)</f>
        <v/>
      </c>
      <c r="Z372">
        <f>IF(Y372=C372,1,0)</f>
        <v/>
      </c>
    </row>
    <row r="373">
      <c r="A373">
        <f>'1 datos preparados'!A366</f>
        <v/>
      </c>
      <c r="B373" s="5">
        <f>'1 datos preparados'!U366</f>
        <v/>
      </c>
      <c r="C373">
        <f>'1 datos preparados'!B366</f>
        <v/>
      </c>
      <c r="D373" s="7">
        <f>'1 datos preparados'!C366</f>
        <v/>
      </c>
      <c r="E373" s="7">
        <f>'1 datos preparados'!D366</f>
        <v/>
      </c>
      <c r="F373" s="7">
        <f>'1 datos preparados'!E366</f>
        <v/>
      </c>
      <c r="G373" s="7">
        <f>'1 datos preparados'!F366</f>
        <v/>
      </c>
      <c r="H373" s="7">
        <f>'1 datos preparados'!G366</f>
        <v/>
      </c>
      <c r="I373" s="7">
        <f>'1 datos preparados'!H366</f>
        <v/>
      </c>
      <c r="J373" s="7">
        <f>'1 datos preparados'!I366</f>
        <v/>
      </c>
      <c r="K373" s="7">
        <f>'1 datos preparados'!J366</f>
        <v/>
      </c>
      <c r="L373" s="7">
        <f>'1 datos preparados'!K366</f>
        <v/>
      </c>
      <c r="M373" s="7">
        <f>'1 datos preparados'!L366</f>
        <v/>
      </c>
      <c r="N373" s="7">
        <f>'1 datos preparados'!M366</f>
        <v/>
      </c>
      <c r="O373" s="7">
        <f>'1 datos preparados'!N366</f>
        <v/>
      </c>
      <c r="P373" s="7">
        <f>'1 datos preparados'!O366</f>
        <v/>
      </c>
      <c r="Q373" s="7">
        <f>'1 datos preparados'!P366</f>
        <v/>
      </c>
      <c r="R373" s="7">
        <f>'1 datos preparados'!Q366</f>
        <v/>
      </c>
      <c r="S373" s="7">
        <f>'1 datos preparados'!R366</f>
        <v/>
      </c>
      <c r="T373" s="7">
        <f>'1 datos preparados'!S366</f>
        <v/>
      </c>
      <c r="U373" s="7">
        <f>'1 datos preparados'!T366</f>
        <v/>
      </c>
      <c r="V373" s="8">
        <f>$AC$12+D373*$AC$13+E373*$AC$14+F373*$AC$15+G373*$AC$16+H373*$AC$17+I373*$AC$18+J373*$AC$19+K373*$AC$20+L373*$AC$21+M373*$AC$22+N373*$AC$23+O373*$AC$24+P373*$AC$25+Q373*$AC$26+R373*$AC$27+S373*$AC$28+T373*$AC$29+U373*$AC$30</f>
        <v/>
      </c>
      <c r="W373" s="8">
        <f>1/(1+EXP(-V373))</f>
        <v/>
      </c>
      <c r="X373" s="9">
        <f>-IF(C373=1,LN(W373),LN(1-W373))</f>
        <v/>
      </c>
      <c r="Y373" s="10">
        <f>IF(W373&gt;$AC$33,1,0)</f>
        <v/>
      </c>
      <c r="Z373">
        <f>IF(Y373=C373,1,0)</f>
        <v/>
      </c>
    </row>
    <row r="374">
      <c r="A374">
        <f>'1 datos preparados'!A367</f>
        <v/>
      </c>
      <c r="B374" s="5">
        <f>'1 datos preparados'!U367</f>
        <v/>
      </c>
      <c r="C374">
        <f>'1 datos preparados'!B367</f>
        <v/>
      </c>
      <c r="D374" s="7">
        <f>'1 datos preparados'!C367</f>
        <v/>
      </c>
      <c r="E374" s="7">
        <f>'1 datos preparados'!D367</f>
        <v/>
      </c>
      <c r="F374" s="7">
        <f>'1 datos preparados'!E367</f>
        <v/>
      </c>
      <c r="G374" s="7">
        <f>'1 datos preparados'!F367</f>
        <v/>
      </c>
      <c r="H374" s="7">
        <f>'1 datos preparados'!G367</f>
        <v/>
      </c>
      <c r="I374" s="7">
        <f>'1 datos preparados'!H367</f>
        <v/>
      </c>
      <c r="J374" s="7">
        <f>'1 datos preparados'!I367</f>
        <v/>
      </c>
      <c r="K374" s="7">
        <f>'1 datos preparados'!J367</f>
        <v/>
      </c>
      <c r="L374" s="7">
        <f>'1 datos preparados'!K367</f>
        <v/>
      </c>
      <c r="M374" s="7">
        <f>'1 datos preparados'!L367</f>
        <v/>
      </c>
      <c r="N374" s="7">
        <f>'1 datos preparados'!M367</f>
        <v/>
      </c>
      <c r="O374" s="7">
        <f>'1 datos preparados'!N367</f>
        <v/>
      </c>
      <c r="P374" s="7">
        <f>'1 datos preparados'!O367</f>
        <v/>
      </c>
      <c r="Q374" s="7">
        <f>'1 datos preparados'!P367</f>
        <v/>
      </c>
      <c r="R374" s="7">
        <f>'1 datos preparados'!Q367</f>
        <v/>
      </c>
      <c r="S374" s="7">
        <f>'1 datos preparados'!R367</f>
        <v/>
      </c>
      <c r="T374" s="7">
        <f>'1 datos preparados'!S367</f>
        <v/>
      </c>
      <c r="U374" s="7">
        <f>'1 datos preparados'!T367</f>
        <v/>
      </c>
      <c r="V374" s="8">
        <f>$AC$12+D374*$AC$13+E374*$AC$14+F374*$AC$15+G374*$AC$16+H374*$AC$17+I374*$AC$18+J374*$AC$19+K374*$AC$20+L374*$AC$21+M374*$AC$22+N374*$AC$23+O374*$AC$24+P374*$AC$25+Q374*$AC$26+R374*$AC$27+S374*$AC$28+T374*$AC$29+U374*$AC$30</f>
        <v/>
      </c>
      <c r="W374" s="8">
        <f>1/(1+EXP(-V374))</f>
        <v/>
      </c>
      <c r="X374" s="9">
        <f>-IF(C374=1,LN(W374),LN(1-W374))</f>
        <v/>
      </c>
      <c r="Y374" s="10">
        <f>IF(W374&gt;$AC$33,1,0)</f>
        <v/>
      </c>
      <c r="Z374">
        <f>IF(Y374=C374,1,0)</f>
        <v/>
      </c>
    </row>
    <row r="375">
      <c r="A375">
        <f>'1 datos preparados'!A368</f>
        <v/>
      </c>
      <c r="B375" s="5">
        <f>'1 datos preparados'!U368</f>
        <v/>
      </c>
      <c r="C375">
        <f>'1 datos preparados'!B368</f>
        <v/>
      </c>
      <c r="D375" s="7">
        <f>'1 datos preparados'!C368</f>
        <v/>
      </c>
      <c r="E375" s="7">
        <f>'1 datos preparados'!D368</f>
        <v/>
      </c>
      <c r="F375" s="7">
        <f>'1 datos preparados'!E368</f>
        <v/>
      </c>
      <c r="G375" s="7">
        <f>'1 datos preparados'!F368</f>
        <v/>
      </c>
      <c r="H375" s="7">
        <f>'1 datos preparados'!G368</f>
        <v/>
      </c>
      <c r="I375" s="7">
        <f>'1 datos preparados'!H368</f>
        <v/>
      </c>
      <c r="J375" s="7">
        <f>'1 datos preparados'!I368</f>
        <v/>
      </c>
      <c r="K375" s="7">
        <f>'1 datos preparados'!J368</f>
        <v/>
      </c>
      <c r="L375" s="7">
        <f>'1 datos preparados'!K368</f>
        <v/>
      </c>
      <c r="M375" s="7">
        <f>'1 datos preparados'!L368</f>
        <v/>
      </c>
      <c r="N375" s="7">
        <f>'1 datos preparados'!M368</f>
        <v/>
      </c>
      <c r="O375" s="7">
        <f>'1 datos preparados'!N368</f>
        <v/>
      </c>
      <c r="P375" s="7">
        <f>'1 datos preparados'!O368</f>
        <v/>
      </c>
      <c r="Q375" s="7">
        <f>'1 datos preparados'!P368</f>
        <v/>
      </c>
      <c r="R375" s="7">
        <f>'1 datos preparados'!Q368</f>
        <v/>
      </c>
      <c r="S375" s="7">
        <f>'1 datos preparados'!R368</f>
        <v/>
      </c>
      <c r="T375" s="7">
        <f>'1 datos preparados'!S368</f>
        <v/>
      </c>
      <c r="U375" s="7">
        <f>'1 datos preparados'!T368</f>
        <v/>
      </c>
      <c r="V375" s="8">
        <f>$AC$12+D375*$AC$13+E375*$AC$14+F375*$AC$15+G375*$AC$16+H375*$AC$17+I375*$AC$18+J375*$AC$19+K375*$AC$20+L375*$AC$21+M375*$AC$22+N375*$AC$23+O375*$AC$24+P375*$AC$25+Q375*$AC$26+R375*$AC$27+S375*$AC$28+T375*$AC$29+U375*$AC$30</f>
        <v/>
      </c>
      <c r="W375" s="8">
        <f>1/(1+EXP(-V375))</f>
        <v/>
      </c>
      <c r="X375" s="9">
        <f>-IF(C375=1,LN(W375),LN(1-W375))</f>
        <v/>
      </c>
      <c r="Y375" s="10">
        <f>IF(W375&gt;$AC$33,1,0)</f>
        <v/>
      </c>
      <c r="Z375">
        <f>IF(Y375=C375,1,0)</f>
        <v/>
      </c>
    </row>
    <row r="376">
      <c r="A376">
        <f>'1 datos preparados'!A369</f>
        <v/>
      </c>
      <c r="B376" s="5">
        <f>'1 datos preparados'!U369</f>
        <v/>
      </c>
      <c r="C376">
        <f>'1 datos preparados'!B369</f>
        <v/>
      </c>
      <c r="D376" s="7">
        <f>'1 datos preparados'!C369</f>
        <v/>
      </c>
      <c r="E376" s="7">
        <f>'1 datos preparados'!D369</f>
        <v/>
      </c>
      <c r="F376" s="7">
        <f>'1 datos preparados'!E369</f>
        <v/>
      </c>
      <c r="G376" s="7">
        <f>'1 datos preparados'!F369</f>
        <v/>
      </c>
      <c r="H376" s="7">
        <f>'1 datos preparados'!G369</f>
        <v/>
      </c>
      <c r="I376" s="7">
        <f>'1 datos preparados'!H369</f>
        <v/>
      </c>
      <c r="J376" s="7">
        <f>'1 datos preparados'!I369</f>
        <v/>
      </c>
      <c r="K376" s="7">
        <f>'1 datos preparados'!J369</f>
        <v/>
      </c>
      <c r="L376" s="7">
        <f>'1 datos preparados'!K369</f>
        <v/>
      </c>
      <c r="M376" s="7">
        <f>'1 datos preparados'!L369</f>
        <v/>
      </c>
      <c r="N376" s="7">
        <f>'1 datos preparados'!M369</f>
        <v/>
      </c>
      <c r="O376" s="7">
        <f>'1 datos preparados'!N369</f>
        <v/>
      </c>
      <c r="P376" s="7">
        <f>'1 datos preparados'!O369</f>
        <v/>
      </c>
      <c r="Q376" s="7">
        <f>'1 datos preparados'!P369</f>
        <v/>
      </c>
      <c r="R376" s="7">
        <f>'1 datos preparados'!Q369</f>
        <v/>
      </c>
      <c r="S376" s="7">
        <f>'1 datos preparados'!R369</f>
        <v/>
      </c>
      <c r="T376" s="7">
        <f>'1 datos preparados'!S369</f>
        <v/>
      </c>
      <c r="U376" s="7">
        <f>'1 datos preparados'!T369</f>
        <v/>
      </c>
      <c r="V376" s="8">
        <f>$AC$12+D376*$AC$13+E376*$AC$14+F376*$AC$15+G376*$AC$16+H376*$AC$17+I376*$AC$18+J376*$AC$19+K376*$AC$20+L376*$AC$21+M376*$AC$22+N376*$AC$23+O376*$AC$24+P376*$AC$25+Q376*$AC$26+R376*$AC$27+S376*$AC$28+T376*$AC$29+U376*$AC$30</f>
        <v/>
      </c>
      <c r="W376" s="8">
        <f>1/(1+EXP(-V376))</f>
        <v/>
      </c>
      <c r="X376" s="9">
        <f>-IF(C376=1,LN(W376),LN(1-W376))</f>
        <v/>
      </c>
      <c r="Y376" s="10">
        <f>IF(W376&gt;$AC$33,1,0)</f>
        <v/>
      </c>
      <c r="Z376">
        <f>IF(Y376=C376,1,0)</f>
        <v/>
      </c>
    </row>
    <row r="377">
      <c r="A377">
        <f>'1 datos preparados'!A370</f>
        <v/>
      </c>
      <c r="B377" s="5">
        <f>'1 datos preparados'!U370</f>
        <v/>
      </c>
      <c r="C377">
        <f>'1 datos preparados'!B370</f>
        <v/>
      </c>
      <c r="D377" s="7">
        <f>'1 datos preparados'!C370</f>
        <v/>
      </c>
      <c r="E377" s="7">
        <f>'1 datos preparados'!D370</f>
        <v/>
      </c>
      <c r="F377" s="7">
        <f>'1 datos preparados'!E370</f>
        <v/>
      </c>
      <c r="G377" s="7">
        <f>'1 datos preparados'!F370</f>
        <v/>
      </c>
      <c r="H377" s="7">
        <f>'1 datos preparados'!G370</f>
        <v/>
      </c>
      <c r="I377" s="7">
        <f>'1 datos preparados'!H370</f>
        <v/>
      </c>
      <c r="J377" s="7">
        <f>'1 datos preparados'!I370</f>
        <v/>
      </c>
      <c r="K377" s="7">
        <f>'1 datos preparados'!J370</f>
        <v/>
      </c>
      <c r="L377" s="7">
        <f>'1 datos preparados'!K370</f>
        <v/>
      </c>
      <c r="M377" s="7">
        <f>'1 datos preparados'!L370</f>
        <v/>
      </c>
      <c r="N377" s="7">
        <f>'1 datos preparados'!M370</f>
        <v/>
      </c>
      <c r="O377" s="7">
        <f>'1 datos preparados'!N370</f>
        <v/>
      </c>
      <c r="P377" s="7">
        <f>'1 datos preparados'!O370</f>
        <v/>
      </c>
      <c r="Q377" s="7">
        <f>'1 datos preparados'!P370</f>
        <v/>
      </c>
      <c r="R377" s="7">
        <f>'1 datos preparados'!Q370</f>
        <v/>
      </c>
      <c r="S377" s="7">
        <f>'1 datos preparados'!R370</f>
        <v/>
      </c>
      <c r="T377" s="7">
        <f>'1 datos preparados'!S370</f>
        <v/>
      </c>
      <c r="U377" s="7">
        <f>'1 datos preparados'!T370</f>
        <v/>
      </c>
      <c r="V377" s="8">
        <f>$AC$12+D377*$AC$13+E377*$AC$14+F377*$AC$15+G377*$AC$16+H377*$AC$17+I377*$AC$18+J377*$AC$19+K377*$AC$20+L377*$AC$21+M377*$AC$22+N377*$AC$23+O377*$AC$24+P377*$AC$25+Q377*$AC$26+R377*$AC$27+S377*$AC$28+T377*$AC$29+U377*$AC$30</f>
        <v/>
      </c>
      <c r="W377" s="8">
        <f>1/(1+EXP(-V377))</f>
        <v/>
      </c>
      <c r="X377" s="9">
        <f>-IF(C377=1,LN(W377),LN(1-W377))</f>
        <v/>
      </c>
      <c r="Y377" s="10">
        <f>IF(W377&gt;$AC$33,1,0)</f>
        <v/>
      </c>
      <c r="Z377">
        <f>IF(Y377=C377,1,0)</f>
        <v/>
      </c>
    </row>
    <row r="378">
      <c r="A378">
        <f>'1 datos preparados'!A371</f>
        <v/>
      </c>
      <c r="B378" s="5">
        <f>'1 datos preparados'!U371</f>
        <v/>
      </c>
      <c r="C378">
        <f>'1 datos preparados'!B371</f>
        <v/>
      </c>
      <c r="D378" s="7">
        <f>'1 datos preparados'!C371</f>
        <v/>
      </c>
      <c r="E378" s="7">
        <f>'1 datos preparados'!D371</f>
        <v/>
      </c>
      <c r="F378" s="7">
        <f>'1 datos preparados'!E371</f>
        <v/>
      </c>
      <c r="G378" s="7">
        <f>'1 datos preparados'!F371</f>
        <v/>
      </c>
      <c r="H378" s="7">
        <f>'1 datos preparados'!G371</f>
        <v/>
      </c>
      <c r="I378" s="7">
        <f>'1 datos preparados'!H371</f>
        <v/>
      </c>
      <c r="J378" s="7">
        <f>'1 datos preparados'!I371</f>
        <v/>
      </c>
      <c r="K378" s="7">
        <f>'1 datos preparados'!J371</f>
        <v/>
      </c>
      <c r="L378" s="7">
        <f>'1 datos preparados'!K371</f>
        <v/>
      </c>
      <c r="M378" s="7">
        <f>'1 datos preparados'!L371</f>
        <v/>
      </c>
      <c r="N378" s="7">
        <f>'1 datos preparados'!M371</f>
        <v/>
      </c>
      <c r="O378" s="7">
        <f>'1 datos preparados'!N371</f>
        <v/>
      </c>
      <c r="P378" s="7">
        <f>'1 datos preparados'!O371</f>
        <v/>
      </c>
      <c r="Q378" s="7">
        <f>'1 datos preparados'!P371</f>
        <v/>
      </c>
      <c r="R378" s="7">
        <f>'1 datos preparados'!Q371</f>
        <v/>
      </c>
      <c r="S378" s="7">
        <f>'1 datos preparados'!R371</f>
        <v/>
      </c>
      <c r="T378" s="7">
        <f>'1 datos preparados'!S371</f>
        <v/>
      </c>
      <c r="U378" s="7">
        <f>'1 datos preparados'!T371</f>
        <v/>
      </c>
      <c r="V378" s="8">
        <f>$AC$12+D378*$AC$13+E378*$AC$14+F378*$AC$15+G378*$AC$16+H378*$AC$17+I378*$AC$18+J378*$AC$19+K378*$AC$20+L378*$AC$21+M378*$AC$22+N378*$AC$23+O378*$AC$24+P378*$AC$25+Q378*$AC$26+R378*$AC$27+S378*$AC$28+T378*$AC$29+U378*$AC$30</f>
        <v/>
      </c>
      <c r="W378" s="8">
        <f>1/(1+EXP(-V378))</f>
        <v/>
      </c>
      <c r="X378" s="9">
        <f>-IF(C378=1,LN(W378),LN(1-W378))</f>
        <v/>
      </c>
      <c r="Y378" s="10">
        <f>IF(W378&gt;$AC$33,1,0)</f>
        <v/>
      </c>
      <c r="Z378">
        <f>IF(Y378=C378,1,0)</f>
        <v/>
      </c>
    </row>
    <row r="379">
      <c r="A379">
        <f>'1 datos preparados'!A372</f>
        <v/>
      </c>
      <c r="B379" s="5">
        <f>'1 datos preparados'!U372</f>
        <v/>
      </c>
      <c r="C379">
        <f>'1 datos preparados'!B372</f>
        <v/>
      </c>
      <c r="D379" s="7">
        <f>'1 datos preparados'!C372</f>
        <v/>
      </c>
      <c r="E379" s="7">
        <f>'1 datos preparados'!D372</f>
        <v/>
      </c>
      <c r="F379" s="7">
        <f>'1 datos preparados'!E372</f>
        <v/>
      </c>
      <c r="G379" s="7">
        <f>'1 datos preparados'!F372</f>
        <v/>
      </c>
      <c r="H379" s="7">
        <f>'1 datos preparados'!G372</f>
        <v/>
      </c>
      <c r="I379" s="7">
        <f>'1 datos preparados'!H372</f>
        <v/>
      </c>
      <c r="J379" s="7">
        <f>'1 datos preparados'!I372</f>
        <v/>
      </c>
      <c r="K379" s="7">
        <f>'1 datos preparados'!J372</f>
        <v/>
      </c>
      <c r="L379" s="7">
        <f>'1 datos preparados'!K372</f>
        <v/>
      </c>
      <c r="M379" s="7">
        <f>'1 datos preparados'!L372</f>
        <v/>
      </c>
      <c r="N379" s="7">
        <f>'1 datos preparados'!M372</f>
        <v/>
      </c>
      <c r="O379" s="7">
        <f>'1 datos preparados'!N372</f>
        <v/>
      </c>
      <c r="P379" s="7">
        <f>'1 datos preparados'!O372</f>
        <v/>
      </c>
      <c r="Q379" s="7">
        <f>'1 datos preparados'!P372</f>
        <v/>
      </c>
      <c r="R379" s="7">
        <f>'1 datos preparados'!Q372</f>
        <v/>
      </c>
      <c r="S379" s="7">
        <f>'1 datos preparados'!R372</f>
        <v/>
      </c>
      <c r="T379" s="7">
        <f>'1 datos preparados'!S372</f>
        <v/>
      </c>
      <c r="U379" s="7">
        <f>'1 datos preparados'!T372</f>
        <v/>
      </c>
      <c r="V379" s="8">
        <f>$AC$12+D379*$AC$13+E379*$AC$14+F379*$AC$15+G379*$AC$16+H379*$AC$17+I379*$AC$18+J379*$AC$19+K379*$AC$20+L379*$AC$21+M379*$AC$22+N379*$AC$23+O379*$AC$24+P379*$AC$25+Q379*$AC$26+R379*$AC$27+S379*$AC$28+T379*$AC$29+U379*$AC$30</f>
        <v/>
      </c>
      <c r="W379" s="8">
        <f>1/(1+EXP(-V379))</f>
        <v/>
      </c>
      <c r="X379" s="9">
        <f>-IF(C379=1,LN(W379),LN(1-W379))</f>
        <v/>
      </c>
      <c r="Y379" s="10">
        <f>IF(W379&gt;$AC$33,1,0)</f>
        <v/>
      </c>
      <c r="Z379">
        <f>IF(Y379=C379,1,0)</f>
        <v/>
      </c>
    </row>
    <row r="380">
      <c r="A380">
        <f>'1 datos preparados'!A373</f>
        <v/>
      </c>
      <c r="B380" s="5">
        <f>'1 datos preparados'!U373</f>
        <v/>
      </c>
      <c r="C380">
        <f>'1 datos preparados'!B373</f>
        <v/>
      </c>
      <c r="D380" s="7">
        <f>'1 datos preparados'!C373</f>
        <v/>
      </c>
      <c r="E380" s="7">
        <f>'1 datos preparados'!D373</f>
        <v/>
      </c>
      <c r="F380" s="7">
        <f>'1 datos preparados'!E373</f>
        <v/>
      </c>
      <c r="G380" s="7">
        <f>'1 datos preparados'!F373</f>
        <v/>
      </c>
      <c r="H380" s="7">
        <f>'1 datos preparados'!G373</f>
        <v/>
      </c>
      <c r="I380" s="7">
        <f>'1 datos preparados'!H373</f>
        <v/>
      </c>
      <c r="J380" s="7">
        <f>'1 datos preparados'!I373</f>
        <v/>
      </c>
      <c r="K380" s="7">
        <f>'1 datos preparados'!J373</f>
        <v/>
      </c>
      <c r="L380" s="7">
        <f>'1 datos preparados'!K373</f>
        <v/>
      </c>
      <c r="M380" s="7">
        <f>'1 datos preparados'!L373</f>
        <v/>
      </c>
      <c r="N380" s="7">
        <f>'1 datos preparados'!M373</f>
        <v/>
      </c>
      <c r="O380" s="7">
        <f>'1 datos preparados'!N373</f>
        <v/>
      </c>
      <c r="P380" s="7">
        <f>'1 datos preparados'!O373</f>
        <v/>
      </c>
      <c r="Q380" s="7">
        <f>'1 datos preparados'!P373</f>
        <v/>
      </c>
      <c r="R380" s="7">
        <f>'1 datos preparados'!Q373</f>
        <v/>
      </c>
      <c r="S380" s="7">
        <f>'1 datos preparados'!R373</f>
        <v/>
      </c>
      <c r="T380" s="7">
        <f>'1 datos preparados'!S373</f>
        <v/>
      </c>
      <c r="U380" s="7">
        <f>'1 datos preparados'!T373</f>
        <v/>
      </c>
      <c r="V380" s="8">
        <f>$AC$12+D380*$AC$13+E380*$AC$14+F380*$AC$15+G380*$AC$16+H380*$AC$17+I380*$AC$18+J380*$AC$19+K380*$AC$20+L380*$AC$21+M380*$AC$22+N380*$AC$23+O380*$AC$24+P380*$AC$25+Q380*$AC$26+R380*$AC$27+S380*$AC$28+T380*$AC$29+U380*$AC$30</f>
        <v/>
      </c>
      <c r="W380" s="8">
        <f>1/(1+EXP(-V380))</f>
        <v/>
      </c>
      <c r="X380" s="9">
        <f>-IF(C380=1,LN(W380),LN(1-W380))</f>
        <v/>
      </c>
      <c r="Y380" s="10">
        <f>IF(W380&gt;$AC$33,1,0)</f>
        <v/>
      </c>
      <c r="Z380">
        <f>IF(Y380=C380,1,0)</f>
        <v/>
      </c>
    </row>
    <row r="381">
      <c r="A381">
        <f>'1 datos preparados'!A374</f>
        <v/>
      </c>
      <c r="B381" s="5">
        <f>'1 datos preparados'!U374</f>
        <v/>
      </c>
      <c r="C381">
        <f>'1 datos preparados'!B374</f>
        <v/>
      </c>
      <c r="D381" s="7">
        <f>'1 datos preparados'!C374</f>
        <v/>
      </c>
      <c r="E381" s="7">
        <f>'1 datos preparados'!D374</f>
        <v/>
      </c>
      <c r="F381" s="7">
        <f>'1 datos preparados'!E374</f>
        <v/>
      </c>
      <c r="G381" s="7">
        <f>'1 datos preparados'!F374</f>
        <v/>
      </c>
      <c r="H381" s="7">
        <f>'1 datos preparados'!G374</f>
        <v/>
      </c>
      <c r="I381" s="7">
        <f>'1 datos preparados'!H374</f>
        <v/>
      </c>
      <c r="J381" s="7">
        <f>'1 datos preparados'!I374</f>
        <v/>
      </c>
      <c r="K381" s="7">
        <f>'1 datos preparados'!J374</f>
        <v/>
      </c>
      <c r="L381" s="7">
        <f>'1 datos preparados'!K374</f>
        <v/>
      </c>
      <c r="M381" s="7">
        <f>'1 datos preparados'!L374</f>
        <v/>
      </c>
      <c r="N381" s="7">
        <f>'1 datos preparados'!M374</f>
        <v/>
      </c>
      <c r="O381" s="7">
        <f>'1 datos preparados'!N374</f>
        <v/>
      </c>
      <c r="P381" s="7">
        <f>'1 datos preparados'!O374</f>
        <v/>
      </c>
      <c r="Q381" s="7">
        <f>'1 datos preparados'!P374</f>
        <v/>
      </c>
      <c r="R381" s="7">
        <f>'1 datos preparados'!Q374</f>
        <v/>
      </c>
      <c r="S381" s="7">
        <f>'1 datos preparados'!R374</f>
        <v/>
      </c>
      <c r="T381" s="7">
        <f>'1 datos preparados'!S374</f>
        <v/>
      </c>
      <c r="U381" s="7">
        <f>'1 datos preparados'!T374</f>
        <v/>
      </c>
      <c r="V381" s="8">
        <f>$AC$12+D381*$AC$13+E381*$AC$14+F381*$AC$15+G381*$AC$16+H381*$AC$17+I381*$AC$18+J381*$AC$19+K381*$AC$20+L381*$AC$21+M381*$AC$22+N381*$AC$23+O381*$AC$24+P381*$AC$25+Q381*$AC$26+R381*$AC$27+S381*$AC$28+T381*$AC$29+U381*$AC$30</f>
        <v/>
      </c>
      <c r="W381" s="8">
        <f>1/(1+EXP(-V381))</f>
        <v/>
      </c>
      <c r="X381" s="9">
        <f>-IF(C381=1,LN(W381),LN(1-W381))</f>
        <v/>
      </c>
      <c r="Y381" s="10">
        <f>IF(W381&gt;$AC$33,1,0)</f>
        <v/>
      </c>
      <c r="Z381">
        <f>IF(Y381=C381,1,0)</f>
        <v/>
      </c>
    </row>
    <row r="382">
      <c r="A382">
        <f>'1 datos preparados'!A375</f>
        <v/>
      </c>
      <c r="B382" s="5">
        <f>'1 datos preparados'!U375</f>
        <v/>
      </c>
      <c r="C382">
        <f>'1 datos preparados'!B375</f>
        <v/>
      </c>
      <c r="D382" s="7">
        <f>'1 datos preparados'!C375</f>
        <v/>
      </c>
      <c r="E382" s="7">
        <f>'1 datos preparados'!D375</f>
        <v/>
      </c>
      <c r="F382" s="7">
        <f>'1 datos preparados'!E375</f>
        <v/>
      </c>
      <c r="G382" s="7">
        <f>'1 datos preparados'!F375</f>
        <v/>
      </c>
      <c r="H382" s="7">
        <f>'1 datos preparados'!G375</f>
        <v/>
      </c>
      <c r="I382" s="7">
        <f>'1 datos preparados'!H375</f>
        <v/>
      </c>
      <c r="J382" s="7">
        <f>'1 datos preparados'!I375</f>
        <v/>
      </c>
      <c r="K382" s="7">
        <f>'1 datos preparados'!J375</f>
        <v/>
      </c>
      <c r="L382" s="7">
        <f>'1 datos preparados'!K375</f>
        <v/>
      </c>
      <c r="M382" s="7">
        <f>'1 datos preparados'!L375</f>
        <v/>
      </c>
      <c r="N382" s="7">
        <f>'1 datos preparados'!M375</f>
        <v/>
      </c>
      <c r="O382" s="7">
        <f>'1 datos preparados'!N375</f>
        <v/>
      </c>
      <c r="P382" s="7">
        <f>'1 datos preparados'!O375</f>
        <v/>
      </c>
      <c r="Q382" s="7">
        <f>'1 datos preparados'!P375</f>
        <v/>
      </c>
      <c r="R382" s="7">
        <f>'1 datos preparados'!Q375</f>
        <v/>
      </c>
      <c r="S382" s="7">
        <f>'1 datos preparados'!R375</f>
        <v/>
      </c>
      <c r="T382" s="7">
        <f>'1 datos preparados'!S375</f>
        <v/>
      </c>
      <c r="U382" s="7">
        <f>'1 datos preparados'!T375</f>
        <v/>
      </c>
      <c r="V382" s="8">
        <f>$AC$12+D382*$AC$13+E382*$AC$14+F382*$AC$15+G382*$AC$16+H382*$AC$17+I382*$AC$18+J382*$AC$19+K382*$AC$20+L382*$AC$21+M382*$AC$22+N382*$AC$23+O382*$AC$24+P382*$AC$25+Q382*$AC$26+R382*$AC$27+S382*$AC$28+T382*$AC$29+U382*$AC$30</f>
        <v/>
      </c>
      <c r="W382" s="8">
        <f>1/(1+EXP(-V382))</f>
        <v/>
      </c>
      <c r="X382" s="9">
        <f>-IF(C382=1,LN(W382),LN(1-W382))</f>
        <v/>
      </c>
      <c r="Y382" s="10">
        <f>IF(W382&gt;$AC$33,1,0)</f>
        <v/>
      </c>
      <c r="Z382">
        <f>IF(Y382=C382,1,0)</f>
        <v/>
      </c>
    </row>
    <row r="383">
      <c r="A383">
        <f>'1 datos preparados'!A376</f>
        <v/>
      </c>
      <c r="B383" s="5">
        <f>'1 datos preparados'!U376</f>
        <v/>
      </c>
      <c r="C383">
        <f>'1 datos preparados'!B376</f>
        <v/>
      </c>
      <c r="D383" s="7">
        <f>'1 datos preparados'!C376</f>
        <v/>
      </c>
      <c r="E383" s="7">
        <f>'1 datos preparados'!D376</f>
        <v/>
      </c>
      <c r="F383" s="7">
        <f>'1 datos preparados'!E376</f>
        <v/>
      </c>
      <c r="G383" s="7">
        <f>'1 datos preparados'!F376</f>
        <v/>
      </c>
      <c r="H383" s="7">
        <f>'1 datos preparados'!G376</f>
        <v/>
      </c>
      <c r="I383" s="7">
        <f>'1 datos preparados'!H376</f>
        <v/>
      </c>
      <c r="J383" s="7">
        <f>'1 datos preparados'!I376</f>
        <v/>
      </c>
      <c r="K383" s="7">
        <f>'1 datos preparados'!J376</f>
        <v/>
      </c>
      <c r="L383" s="7">
        <f>'1 datos preparados'!K376</f>
        <v/>
      </c>
      <c r="M383" s="7">
        <f>'1 datos preparados'!L376</f>
        <v/>
      </c>
      <c r="N383" s="7">
        <f>'1 datos preparados'!M376</f>
        <v/>
      </c>
      <c r="O383" s="7">
        <f>'1 datos preparados'!N376</f>
        <v/>
      </c>
      <c r="P383" s="7">
        <f>'1 datos preparados'!O376</f>
        <v/>
      </c>
      <c r="Q383" s="7">
        <f>'1 datos preparados'!P376</f>
        <v/>
      </c>
      <c r="R383" s="7">
        <f>'1 datos preparados'!Q376</f>
        <v/>
      </c>
      <c r="S383" s="7">
        <f>'1 datos preparados'!R376</f>
        <v/>
      </c>
      <c r="T383" s="7">
        <f>'1 datos preparados'!S376</f>
        <v/>
      </c>
      <c r="U383" s="7">
        <f>'1 datos preparados'!T376</f>
        <v/>
      </c>
      <c r="V383" s="8">
        <f>$AC$12+D383*$AC$13+E383*$AC$14+F383*$AC$15+G383*$AC$16+H383*$AC$17+I383*$AC$18+J383*$AC$19+K383*$AC$20+L383*$AC$21+M383*$AC$22+N383*$AC$23+O383*$AC$24+P383*$AC$25+Q383*$AC$26+R383*$AC$27+S383*$AC$28+T383*$AC$29+U383*$AC$30</f>
        <v/>
      </c>
      <c r="W383" s="8">
        <f>1/(1+EXP(-V383))</f>
        <v/>
      </c>
      <c r="X383" s="9">
        <f>-IF(C383=1,LN(W383),LN(1-W383))</f>
        <v/>
      </c>
      <c r="Y383" s="10">
        <f>IF(W383&gt;$AC$33,1,0)</f>
        <v/>
      </c>
      <c r="Z383">
        <f>IF(Y383=C383,1,0)</f>
        <v/>
      </c>
    </row>
    <row r="384">
      <c r="A384">
        <f>'1 datos preparados'!A377</f>
        <v/>
      </c>
      <c r="B384" s="5">
        <f>'1 datos preparados'!U377</f>
        <v/>
      </c>
      <c r="C384">
        <f>'1 datos preparados'!B377</f>
        <v/>
      </c>
      <c r="D384" s="7">
        <f>'1 datos preparados'!C377</f>
        <v/>
      </c>
      <c r="E384" s="7">
        <f>'1 datos preparados'!D377</f>
        <v/>
      </c>
      <c r="F384" s="7">
        <f>'1 datos preparados'!E377</f>
        <v/>
      </c>
      <c r="G384" s="7">
        <f>'1 datos preparados'!F377</f>
        <v/>
      </c>
      <c r="H384" s="7">
        <f>'1 datos preparados'!G377</f>
        <v/>
      </c>
      <c r="I384" s="7">
        <f>'1 datos preparados'!H377</f>
        <v/>
      </c>
      <c r="J384" s="7">
        <f>'1 datos preparados'!I377</f>
        <v/>
      </c>
      <c r="K384" s="7">
        <f>'1 datos preparados'!J377</f>
        <v/>
      </c>
      <c r="L384" s="7">
        <f>'1 datos preparados'!K377</f>
        <v/>
      </c>
      <c r="M384" s="7">
        <f>'1 datos preparados'!L377</f>
        <v/>
      </c>
      <c r="N384" s="7">
        <f>'1 datos preparados'!M377</f>
        <v/>
      </c>
      <c r="O384" s="7">
        <f>'1 datos preparados'!N377</f>
        <v/>
      </c>
      <c r="P384" s="7">
        <f>'1 datos preparados'!O377</f>
        <v/>
      </c>
      <c r="Q384" s="7">
        <f>'1 datos preparados'!P377</f>
        <v/>
      </c>
      <c r="R384" s="7">
        <f>'1 datos preparados'!Q377</f>
        <v/>
      </c>
      <c r="S384" s="7">
        <f>'1 datos preparados'!R377</f>
        <v/>
      </c>
      <c r="T384" s="7">
        <f>'1 datos preparados'!S377</f>
        <v/>
      </c>
      <c r="U384" s="7">
        <f>'1 datos preparados'!T377</f>
        <v/>
      </c>
      <c r="V384" s="8">
        <f>$AC$12+D384*$AC$13+E384*$AC$14+F384*$AC$15+G384*$AC$16+H384*$AC$17+I384*$AC$18+J384*$AC$19+K384*$AC$20+L384*$AC$21+M384*$AC$22+N384*$AC$23+O384*$AC$24+P384*$AC$25+Q384*$AC$26+R384*$AC$27+S384*$AC$28+T384*$AC$29+U384*$AC$30</f>
        <v/>
      </c>
      <c r="W384" s="8">
        <f>1/(1+EXP(-V384))</f>
        <v/>
      </c>
      <c r="X384" s="9">
        <f>-IF(C384=1,LN(W384),LN(1-W384))</f>
        <v/>
      </c>
      <c r="Y384" s="10">
        <f>IF(W384&gt;$AC$33,1,0)</f>
        <v/>
      </c>
      <c r="Z384">
        <f>IF(Y384=C384,1,0)</f>
        <v/>
      </c>
    </row>
    <row r="385">
      <c r="A385">
        <f>'1 datos preparados'!A378</f>
        <v/>
      </c>
      <c r="B385" s="5">
        <f>'1 datos preparados'!U378</f>
        <v/>
      </c>
      <c r="C385">
        <f>'1 datos preparados'!B378</f>
        <v/>
      </c>
      <c r="D385" s="7">
        <f>'1 datos preparados'!C378</f>
        <v/>
      </c>
      <c r="E385" s="7">
        <f>'1 datos preparados'!D378</f>
        <v/>
      </c>
      <c r="F385" s="7">
        <f>'1 datos preparados'!E378</f>
        <v/>
      </c>
      <c r="G385" s="7">
        <f>'1 datos preparados'!F378</f>
        <v/>
      </c>
      <c r="H385" s="7">
        <f>'1 datos preparados'!G378</f>
        <v/>
      </c>
      <c r="I385" s="7">
        <f>'1 datos preparados'!H378</f>
        <v/>
      </c>
      <c r="J385" s="7">
        <f>'1 datos preparados'!I378</f>
        <v/>
      </c>
      <c r="K385" s="7">
        <f>'1 datos preparados'!J378</f>
        <v/>
      </c>
      <c r="L385" s="7">
        <f>'1 datos preparados'!K378</f>
        <v/>
      </c>
      <c r="M385" s="7">
        <f>'1 datos preparados'!L378</f>
        <v/>
      </c>
      <c r="N385" s="7">
        <f>'1 datos preparados'!M378</f>
        <v/>
      </c>
      <c r="O385" s="7">
        <f>'1 datos preparados'!N378</f>
        <v/>
      </c>
      <c r="P385" s="7">
        <f>'1 datos preparados'!O378</f>
        <v/>
      </c>
      <c r="Q385" s="7">
        <f>'1 datos preparados'!P378</f>
        <v/>
      </c>
      <c r="R385" s="7">
        <f>'1 datos preparados'!Q378</f>
        <v/>
      </c>
      <c r="S385" s="7">
        <f>'1 datos preparados'!R378</f>
        <v/>
      </c>
      <c r="T385" s="7">
        <f>'1 datos preparados'!S378</f>
        <v/>
      </c>
      <c r="U385" s="7">
        <f>'1 datos preparados'!T378</f>
        <v/>
      </c>
      <c r="V385" s="8">
        <f>$AC$12+D385*$AC$13+E385*$AC$14+F385*$AC$15+G385*$AC$16+H385*$AC$17+I385*$AC$18+J385*$AC$19+K385*$AC$20+L385*$AC$21+M385*$AC$22+N385*$AC$23+O385*$AC$24+P385*$AC$25+Q385*$AC$26+R385*$AC$27+S385*$AC$28+T385*$AC$29+U385*$AC$30</f>
        <v/>
      </c>
      <c r="W385" s="8">
        <f>1/(1+EXP(-V385))</f>
        <v/>
      </c>
      <c r="X385" s="9">
        <f>-IF(C385=1,LN(W385),LN(1-W385))</f>
        <v/>
      </c>
      <c r="Y385" s="10">
        <f>IF(W385&gt;$AC$33,1,0)</f>
        <v/>
      </c>
      <c r="Z385">
        <f>IF(Y385=C385,1,0)</f>
        <v/>
      </c>
    </row>
    <row r="386">
      <c r="A386">
        <f>'1 datos preparados'!A379</f>
        <v/>
      </c>
      <c r="B386" s="5">
        <f>'1 datos preparados'!U379</f>
        <v/>
      </c>
      <c r="C386">
        <f>'1 datos preparados'!B379</f>
        <v/>
      </c>
      <c r="D386" s="7">
        <f>'1 datos preparados'!C379</f>
        <v/>
      </c>
      <c r="E386" s="7">
        <f>'1 datos preparados'!D379</f>
        <v/>
      </c>
      <c r="F386" s="7">
        <f>'1 datos preparados'!E379</f>
        <v/>
      </c>
      <c r="G386" s="7">
        <f>'1 datos preparados'!F379</f>
        <v/>
      </c>
      <c r="H386" s="7">
        <f>'1 datos preparados'!G379</f>
        <v/>
      </c>
      <c r="I386" s="7">
        <f>'1 datos preparados'!H379</f>
        <v/>
      </c>
      <c r="J386" s="7">
        <f>'1 datos preparados'!I379</f>
        <v/>
      </c>
      <c r="K386" s="7">
        <f>'1 datos preparados'!J379</f>
        <v/>
      </c>
      <c r="L386" s="7">
        <f>'1 datos preparados'!K379</f>
        <v/>
      </c>
      <c r="M386" s="7">
        <f>'1 datos preparados'!L379</f>
        <v/>
      </c>
      <c r="N386" s="7">
        <f>'1 datos preparados'!M379</f>
        <v/>
      </c>
      <c r="O386" s="7">
        <f>'1 datos preparados'!N379</f>
        <v/>
      </c>
      <c r="P386" s="7">
        <f>'1 datos preparados'!O379</f>
        <v/>
      </c>
      <c r="Q386" s="7">
        <f>'1 datos preparados'!P379</f>
        <v/>
      </c>
      <c r="R386" s="7">
        <f>'1 datos preparados'!Q379</f>
        <v/>
      </c>
      <c r="S386" s="7">
        <f>'1 datos preparados'!R379</f>
        <v/>
      </c>
      <c r="T386" s="7">
        <f>'1 datos preparados'!S379</f>
        <v/>
      </c>
      <c r="U386" s="7">
        <f>'1 datos preparados'!T379</f>
        <v/>
      </c>
      <c r="V386" s="8">
        <f>$AC$12+D386*$AC$13+E386*$AC$14+F386*$AC$15+G386*$AC$16+H386*$AC$17+I386*$AC$18+J386*$AC$19+K386*$AC$20+L386*$AC$21+M386*$AC$22+N386*$AC$23+O386*$AC$24+P386*$AC$25+Q386*$AC$26+R386*$AC$27+S386*$AC$28+T386*$AC$29+U386*$AC$30</f>
        <v/>
      </c>
      <c r="W386" s="8">
        <f>1/(1+EXP(-V386))</f>
        <v/>
      </c>
      <c r="X386" s="9">
        <f>-IF(C386=1,LN(W386),LN(1-W386))</f>
        <v/>
      </c>
      <c r="Y386" s="10">
        <f>IF(W386&gt;$AC$33,1,0)</f>
        <v/>
      </c>
      <c r="Z386">
        <f>IF(Y386=C386,1,0)</f>
        <v/>
      </c>
    </row>
    <row r="387">
      <c r="A387">
        <f>'1 datos preparados'!A380</f>
        <v/>
      </c>
      <c r="B387" s="5">
        <f>'1 datos preparados'!U380</f>
        <v/>
      </c>
      <c r="C387">
        <f>'1 datos preparados'!B380</f>
        <v/>
      </c>
      <c r="D387" s="7">
        <f>'1 datos preparados'!C380</f>
        <v/>
      </c>
      <c r="E387" s="7">
        <f>'1 datos preparados'!D380</f>
        <v/>
      </c>
      <c r="F387" s="7">
        <f>'1 datos preparados'!E380</f>
        <v/>
      </c>
      <c r="G387" s="7">
        <f>'1 datos preparados'!F380</f>
        <v/>
      </c>
      <c r="H387" s="7">
        <f>'1 datos preparados'!G380</f>
        <v/>
      </c>
      <c r="I387" s="7">
        <f>'1 datos preparados'!H380</f>
        <v/>
      </c>
      <c r="J387" s="7">
        <f>'1 datos preparados'!I380</f>
        <v/>
      </c>
      <c r="K387" s="7">
        <f>'1 datos preparados'!J380</f>
        <v/>
      </c>
      <c r="L387" s="7">
        <f>'1 datos preparados'!K380</f>
        <v/>
      </c>
      <c r="M387" s="7">
        <f>'1 datos preparados'!L380</f>
        <v/>
      </c>
      <c r="N387" s="7">
        <f>'1 datos preparados'!M380</f>
        <v/>
      </c>
      <c r="O387" s="7">
        <f>'1 datos preparados'!N380</f>
        <v/>
      </c>
      <c r="P387" s="7">
        <f>'1 datos preparados'!O380</f>
        <v/>
      </c>
      <c r="Q387" s="7">
        <f>'1 datos preparados'!P380</f>
        <v/>
      </c>
      <c r="R387" s="7">
        <f>'1 datos preparados'!Q380</f>
        <v/>
      </c>
      <c r="S387" s="7">
        <f>'1 datos preparados'!R380</f>
        <v/>
      </c>
      <c r="T387" s="7">
        <f>'1 datos preparados'!S380</f>
        <v/>
      </c>
      <c r="U387" s="7">
        <f>'1 datos preparados'!T380</f>
        <v/>
      </c>
      <c r="V387" s="8">
        <f>$AC$12+D387*$AC$13+E387*$AC$14+F387*$AC$15+G387*$AC$16+H387*$AC$17+I387*$AC$18+J387*$AC$19+K387*$AC$20+L387*$AC$21+M387*$AC$22+N387*$AC$23+O387*$AC$24+P387*$AC$25+Q387*$AC$26+R387*$AC$27+S387*$AC$28+T387*$AC$29+U387*$AC$30</f>
        <v/>
      </c>
      <c r="W387" s="8">
        <f>1/(1+EXP(-V387))</f>
        <v/>
      </c>
      <c r="X387" s="9">
        <f>-IF(C387=1,LN(W387),LN(1-W387))</f>
        <v/>
      </c>
      <c r="Y387" s="10">
        <f>IF(W387&gt;$AC$33,1,0)</f>
        <v/>
      </c>
      <c r="Z387">
        <f>IF(Y387=C387,1,0)</f>
        <v/>
      </c>
    </row>
    <row r="388">
      <c r="A388">
        <f>'1 datos preparados'!A381</f>
        <v/>
      </c>
      <c r="B388" s="5">
        <f>'1 datos preparados'!U381</f>
        <v/>
      </c>
      <c r="C388">
        <f>'1 datos preparados'!B381</f>
        <v/>
      </c>
      <c r="D388" s="7">
        <f>'1 datos preparados'!C381</f>
        <v/>
      </c>
      <c r="E388" s="7">
        <f>'1 datos preparados'!D381</f>
        <v/>
      </c>
      <c r="F388" s="7">
        <f>'1 datos preparados'!E381</f>
        <v/>
      </c>
      <c r="G388" s="7">
        <f>'1 datos preparados'!F381</f>
        <v/>
      </c>
      <c r="H388" s="7">
        <f>'1 datos preparados'!G381</f>
        <v/>
      </c>
      <c r="I388" s="7">
        <f>'1 datos preparados'!H381</f>
        <v/>
      </c>
      <c r="J388" s="7">
        <f>'1 datos preparados'!I381</f>
        <v/>
      </c>
      <c r="K388" s="7">
        <f>'1 datos preparados'!J381</f>
        <v/>
      </c>
      <c r="L388" s="7">
        <f>'1 datos preparados'!K381</f>
        <v/>
      </c>
      <c r="M388" s="7">
        <f>'1 datos preparados'!L381</f>
        <v/>
      </c>
      <c r="N388" s="7">
        <f>'1 datos preparados'!M381</f>
        <v/>
      </c>
      <c r="O388" s="7">
        <f>'1 datos preparados'!N381</f>
        <v/>
      </c>
      <c r="P388" s="7">
        <f>'1 datos preparados'!O381</f>
        <v/>
      </c>
      <c r="Q388" s="7">
        <f>'1 datos preparados'!P381</f>
        <v/>
      </c>
      <c r="R388" s="7">
        <f>'1 datos preparados'!Q381</f>
        <v/>
      </c>
      <c r="S388" s="7">
        <f>'1 datos preparados'!R381</f>
        <v/>
      </c>
      <c r="T388" s="7">
        <f>'1 datos preparados'!S381</f>
        <v/>
      </c>
      <c r="U388" s="7">
        <f>'1 datos preparados'!T381</f>
        <v/>
      </c>
      <c r="V388" s="8">
        <f>$AC$12+D388*$AC$13+E388*$AC$14+F388*$AC$15+G388*$AC$16+H388*$AC$17+I388*$AC$18+J388*$AC$19+K388*$AC$20+L388*$AC$21+M388*$AC$22+N388*$AC$23+O388*$AC$24+P388*$AC$25+Q388*$AC$26+R388*$AC$27+S388*$AC$28+T388*$AC$29+U388*$AC$30</f>
        <v/>
      </c>
      <c r="W388" s="8">
        <f>1/(1+EXP(-V388))</f>
        <v/>
      </c>
      <c r="X388" s="9">
        <f>-IF(C388=1,LN(W388),LN(1-W388))</f>
        <v/>
      </c>
      <c r="Y388" s="10">
        <f>IF(W388&gt;$AC$33,1,0)</f>
        <v/>
      </c>
      <c r="Z388">
        <f>IF(Y388=C388,1,0)</f>
        <v/>
      </c>
    </row>
    <row r="389">
      <c r="A389">
        <f>'1 datos preparados'!A382</f>
        <v/>
      </c>
      <c r="B389" s="5">
        <f>'1 datos preparados'!U382</f>
        <v/>
      </c>
      <c r="C389">
        <f>'1 datos preparados'!B382</f>
        <v/>
      </c>
      <c r="D389" s="7">
        <f>'1 datos preparados'!C382</f>
        <v/>
      </c>
      <c r="E389" s="7">
        <f>'1 datos preparados'!D382</f>
        <v/>
      </c>
      <c r="F389" s="7">
        <f>'1 datos preparados'!E382</f>
        <v/>
      </c>
      <c r="G389" s="7">
        <f>'1 datos preparados'!F382</f>
        <v/>
      </c>
      <c r="H389" s="7">
        <f>'1 datos preparados'!G382</f>
        <v/>
      </c>
      <c r="I389" s="7">
        <f>'1 datos preparados'!H382</f>
        <v/>
      </c>
      <c r="J389" s="7">
        <f>'1 datos preparados'!I382</f>
        <v/>
      </c>
      <c r="K389" s="7">
        <f>'1 datos preparados'!J382</f>
        <v/>
      </c>
      <c r="L389" s="7">
        <f>'1 datos preparados'!K382</f>
        <v/>
      </c>
      <c r="M389" s="7">
        <f>'1 datos preparados'!L382</f>
        <v/>
      </c>
      <c r="N389" s="7">
        <f>'1 datos preparados'!M382</f>
        <v/>
      </c>
      <c r="O389" s="7">
        <f>'1 datos preparados'!N382</f>
        <v/>
      </c>
      <c r="P389" s="7">
        <f>'1 datos preparados'!O382</f>
        <v/>
      </c>
      <c r="Q389" s="7">
        <f>'1 datos preparados'!P382</f>
        <v/>
      </c>
      <c r="R389" s="7">
        <f>'1 datos preparados'!Q382</f>
        <v/>
      </c>
      <c r="S389" s="7">
        <f>'1 datos preparados'!R382</f>
        <v/>
      </c>
      <c r="T389" s="7">
        <f>'1 datos preparados'!S382</f>
        <v/>
      </c>
      <c r="U389" s="7">
        <f>'1 datos preparados'!T382</f>
        <v/>
      </c>
      <c r="V389" s="8">
        <f>$AC$12+D389*$AC$13+E389*$AC$14+F389*$AC$15+G389*$AC$16+H389*$AC$17+I389*$AC$18+J389*$AC$19+K389*$AC$20+L389*$AC$21+M389*$AC$22+N389*$AC$23+O389*$AC$24+P389*$AC$25+Q389*$AC$26+R389*$AC$27+S389*$AC$28+T389*$AC$29+U389*$AC$30</f>
        <v/>
      </c>
      <c r="W389" s="8">
        <f>1/(1+EXP(-V389))</f>
        <v/>
      </c>
      <c r="X389" s="9">
        <f>-IF(C389=1,LN(W389),LN(1-W389))</f>
        <v/>
      </c>
      <c r="Y389" s="10">
        <f>IF(W389&gt;$AC$33,1,0)</f>
        <v/>
      </c>
      <c r="Z389">
        <f>IF(Y389=C389,1,0)</f>
        <v/>
      </c>
    </row>
    <row r="390">
      <c r="A390">
        <f>'1 datos preparados'!A383</f>
        <v/>
      </c>
      <c r="B390" s="5">
        <f>'1 datos preparados'!U383</f>
        <v/>
      </c>
      <c r="C390">
        <f>'1 datos preparados'!B383</f>
        <v/>
      </c>
      <c r="D390" s="7">
        <f>'1 datos preparados'!C383</f>
        <v/>
      </c>
      <c r="E390" s="7">
        <f>'1 datos preparados'!D383</f>
        <v/>
      </c>
      <c r="F390" s="7">
        <f>'1 datos preparados'!E383</f>
        <v/>
      </c>
      <c r="G390" s="7">
        <f>'1 datos preparados'!F383</f>
        <v/>
      </c>
      <c r="H390" s="7">
        <f>'1 datos preparados'!G383</f>
        <v/>
      </c>
      <c r="I390" s="7">
        <f>'1 datos preparados'!H383</f>
        <v/>
      </c>
      <c r="J390" s="7">
        <f>'1 datos preparados'!I383</f>
        <v/>
      </c>
      <c r="K390" s="7">
        <f>'1 datos preparados'!J383</f>
        <v/>
      </c>
      <c r="L390" s="7">
        <f>'1 datos preparados'!K383</f>
        <v/>
      </c>
      <c r="M390" s="7">
        <f>'1 datos preparados'!L383</f>
        <v/>
      </c>
      <c r="N390" s="7">
        <f>'1 datos preparados'!M383</f>
        <v/>
      </c>
      <c r="O390" s="7">
        <f>'1 datos preparados'!N383</f>
        <v/>
      </c>
      <c r="P390" s="7">
        <f>'1 datos preparados'!O383</f>
        <v/>
      </c>
      <c r="Q390" s="7">
        <f>'1 datos preparados'!P383</f>
        <v/>
      </c>
      <c r="R390" s="7">
        <f>'1 datos preparados'!Q383</f>
        <v/>
      </c>
      <c r="S390" s="7">
        <f>'1 datos preparados'!R383</f>
        <v/>
      </c>
      <c r="T390" s="7">
        <f>'1 datos preparados'!S383</f>
        <v/>
      </c>
      <c r="U390" s="7">
        <f>'1 datos preparados'!T383</f>
        <v/>
      </c>
      <c r="V390" s="8">
        <f>$AC$12+D390*$AC$13+E390*$AC$14+F390*$AC$15+G390*$AC$16+H390*$AC$17+I390*$AC$18+J390*$AC$19+K390*$AC$20+L390*$AC$21+M390*$AC$22+N390*$AC$23+O390*$AC$24+P390*$AC$25+Q390*$AC$26+R390*$AC$27+S390*$AC$28+T390*$AC$29+U390*$AC$30</f>
        <v/>
      </c>
      <c r="W390" s="8">
        <f>1/(1+EXP(-V390))</f>
        <v/>
      </c>
      <c r="X390" s="9">
        <f>-IF(C390=1,LN(W390),LN(1-W390))</f>
        <v/>
      </c>
      <c r="Y390" s="10">
        <f>IF(W390&gt;$AC$33,1,0)</f>
        <v/>
      </c>
      <c r="Z390">
        <f>IF(Y390=C390,1,0)</f>
        <v/>
      </c>
    </row>
    <row r="391">
      <c r="A391">
        <f>'1 datos preparados'!A384</f>
        <v/>
      </c>
      <c r="B391" s="5">
        <f>'1 datos preparados'!U384</f>
        <v/>
      </c>
      <c r="C391">
        <f>'1 datos preparados'!B384</f>
        <v/>
      </c>
      <c r="D391" s="7">
        <f>'1 datos preparados'!C384</f>
        <v/>
      </c>
      <c r="E391" s="7">
        <f>'1 datos preparados'!D384</f>
        <v/>
      </c>
      <c r="F391" s="7">
        <f>'1 datos preparados'!E384</f>
        <v/>
      </c>
      <c r="G391" s="7">
        <f>'1 datos preparados'!F384</f>
        <v/>
      </c>
      <c r="H391" s="7">
        <f>'1 datos preparados'!G384</f>
        <v/>
      </c>
      <c r="I391" s="7">
        <f>'1 datos preparados'!H384</f>
        <v/>
      </c>
      <c r="J391" s="7">
        <f>'1 datos preparados'!I384</f>
        <v/>
      </c>
      <c r="K391" s="7">
        <f>'1 datos preparados'!J384</f>
        <v/>
      </c>
      <c r="L391" s="7">
        <f>'1 datos preparados'!K384</f>
        <v/>
      </c>
      <c r="M391" s="7">
        <f>'1 datos preparados'!L384</f>
        <v/>
      </c>
      <c r="N391" s="7">
        <f>'1 datos preparados'!M384</f>
        <v/>
      </c>
      <c r="O391" s="7">
        <f>'1 datos preparados'!N384</f>
        <v/>
      </c>
      <c r="P391" s="7">
        <f>'1 datos preparados'!O384</f>
        <v/>
      </c>
      <c r="Q391" s="7">
        <f>'1 datos preparados'!P384</f>
        <v/>
      </c>
      <c r="R391" s="7">
        <f>'1 datos preparados'!Q384</f>
        <v/>
      </c>
      <c r="S391" s="7">
        <f>'1 datos preparados'!R384</f>
        <v/>
      </c>
      <c r="T391" s="7">
        <f>'1 datos preparados'!S384</f>
        <v/>
      </c>
      <c r="U391" s="7">
        <f>'1 datos preparados'!T384</f>
        <v/>
      </c>
      <c r="V391" s="8">
        <f>$AC$12+D391*$AC$13+E391*$AC$14+F391*$AC$15+G391*$AC$16+H391*$AC$17+I391*$AC$18+J391*$AC$19+K391*$AC$20+L391*$AC$21+M391*$AC$22+N391*$AC$23+O391*$AC$24+P391*$AC$25+Q391*$AC$26+R391*$AC$27+S391*$AC$28+T391*$AC$29+U391*$AC$30</f>
        <v/>
      </c>
      <c r="W391" s="8">
        <f>1/(1+EXP(-V391))</f>
        <v/>
      </c>
      <c r="X391" s="9">
        <f>-IF(C391=1,LN(W391),LN(1-W391))</f>
        <v/>
      </c>
      <c r="Y391" s="10">
        <f>IF(W391&gt;$AC$33,1,0)</f>
        <v/>
      </c>
      <c r="Z391">
        <f>IF(Y391=C391,1,0)</f>
        <v/>
      </c>
    </row>
    <row r="392">
      <c r="A392">
        <f>'1 datos preparados'!A385</f>
        <v/>
      </c>
      <c r="B392" s="5">
        <f>'1 datos preparados'!U385</f>
        <v/>
      </c>
      <c r="C392">
        <f>'1 datos preparados'!B385</f>
        <v/>
      </c>
      <c r="D392" s="7">
        <f>'1 datos preparados'!C385</f>
        <v/>
      </c>
      <c r="E392" s="7">
        <f>'1 datos preparados'!D385</f>
        <v/>
      </c>
      <c r="F392" s="7">
        <f>'1 datos preparados'!E385</f>
        <v/>
      </c>
      <c r="G392" s="7">
        <f>'1 datos preparados'!F385</f>
        <v/>
      </c>
      <c r="H392" s="7">
        <f>'1 datos preparados'!G385</f>
        <v/>
      </c>
      <c r="I392" s="7">
        <f>'1 datos preparados'!H385</f>
        <v/>
      </c>
      <c r="J392" s="7">
        <f>'1 datos preparados'!I385</f>
        <v/>
      </c>
      <c r="K392" s="7">
        <f>'1 datos preparados'!J385</f>
        <v/>
      </c>
      <c r="L392" s="7">
        <f>'1 datos preparados'!K385</f>
        <v/>
      </c>
      <c r="M392" s="7">
        <f>'1 datos preparados'!L385</f>
        <v/>
      </c>
      <c r="N392" s="7">
        <f>'1 datos preparados'!M385</f>
        <v/>
      </c>
      <c r="O392" s="7">
        <f>'1 datos preparados'!N385</f>
        <v/>
      </c>
      <c r="P392" s="7">
        <f>'1 datos preparados'!O385</f>
        <v/>
      </c>
      <c r="Q392" s="7">
        <f>'1 datos preparados'!P385</f>
        <v/>
      </c>
      <c r="R392" s="7">
        <f>'1 datos preparados'!Q385</f>
        <v/>
      </c>
      <c r="S392" s="7">
        <f>'1 datos preparados'!R385</f>
        <v/>
      </c>
      <c r="T392" s="7">
        <f>'1 datos preparados'!S385</f>
        <v/>
      </c>
      <c r="U392" s="7">
        <f>'1 datos preparados'!T385</f>
        <v/>
      </c>
      <c r="V392" s="8">
        <f>$AC$12+D392*$AC$13+E392*$AC$14+F392*$AC$15+G392*$AC$16+H392*$AC$17+I392*$AC$18+J392*$AC$19+K392*$AC$20+L392*$AC$21+M392*$AC$22+N392*$AC$23+O392*$AC$24+P392*$AC$25+Q392*$AC$26+R392*$AC$27+S392*$AC$28+T392*$AC$29+U392*$AC$30</f>
        <v/>
      </c>
      <c r="W392" s="8">
        <f>1/(1+EXP(-V392))</f>
        <v/>
      </c>
      <c r="X392" s="9">
        <f>-IF(C392=1,LN(W392),LN(1-W392))</f>
        <v/>
      </c>
      <c r="Y392" s="10">
        <f>IF(W392&gt;$AC$33,1,0)</f>
        <v/>
      </c>
      <c r="Z392">
        <f>IF(Y392=C392,1,0)</f>
        <v/>
      </c>
    </row>
    <row r="393">
      <c r="A393">
        <f>'1 datos preparados'!A386</f>
        <v/>
      </c>
      <c r="B393" s="5">
        <f>'1 datos preparados'!U386</f>
        <v/>
      </c>
      <c r="C393">
        <f>'1 datos preparados'!B386</f>
        <v/>
      </c>
      <c r="D393" s="7">
        <f>'1 datos preparados'!C386</f>
        <v/>
      </c>
      <c r="E393" s="7">
        <f>'1 datos preparados'!D386</f>
        <v/>
      </c>
      <c r="F393" s="7">
        <f>'1 datos preparados'!E386</f>
        <v/>
      </c>
      <c r="G393" s="7">
        <f>'1 datos preparados'!F386</f>
        <v/>
      </c>
      <c r="H393" s="7">
        <f>'1 datos preparados'!G386</f>
        <v/>
      </c>
      <c r="I393" s="7">
        <f>'1 datos preparados'!H386</f>
        <v/>
      </c>
      <c r="J393" s="7">
        <f>'1 datos preparados'!I386</f>
        <v/>
      </c>
      <c r="K393" s="7">
        <f>'1 datos preparados'!J386</f>
        <v/>
      </c>
      <c r="L393" s="7">
        <f>'1 datos preparados'!K386</f>
        <v/>
      </c>
      <c r="M393" s="7">
        <f>'1 datos preparados'!L386</f>
        <v/>
      </c>
      <c r="N393" s="7">
        <f>'1 datos preparados'!M386</f>
        <v/>
      </c>
      <c r="O393" s="7">
        <f>'1 datos preparados'!N386</f>
        <v/>
      </c>
      <c r="P393" s="7">
        <f>'1 datos preparados'!O386</f>
        <v/>
      </c>
      <c r="Q393" s="7">
        <f>'1 datos preparados'!P386</f>
        <v/>
      </c>
      <c r="R393" s="7">
        <f>'1 datos preparados'!Q386</f>
        <v/>
      </c>
      <c r="S393" s="7">
        <f>'1 datos preparados'!R386</f>
        <v/>
      </c>
      <c r="T393" s="7">
        <f>'1 datos preparados'!S386</f>
        <v/>
      </c>
      <c r="U393" s="7">
        <f>'1 datos preparados'!T386</f>
        <v/>
      </c>
      <c r="V393" s="8">
        <f>$AC$12+D393*$AC$13+E393*$AC$14+F393*$AC$15+G393*$AC$16+H393*$AC$17+I393*$AC$18+J393*$AC$19+K393*$AC$20+L393*$AC$21+M393*$AC$22+N393*$AC$23+O393*$AC$24+P393*$AC$25+Q393*$AC$26+R393*$AC$27+S393*$AC$28+T393*$AC$29+U393*$AC$30</f>
        <v/>
      </c>
      <c r="W393" s="8">
        <f>1/(1+EXP(-V393))</f>
        <v/>
      </c>
      <c r="X393" s="9">
        <f>-IF(C393=1,LN(W393),LN(1-W393))</f>
        <v/>
      </c>
      <c r="Y393" s="10">
        <f>IF(W393&gt;$AC$33,1,0)</f>
        <v/>
      </c>
      <c r="Z393">
        <f>IF(Y393=C393,1,0)</f>
        <v/>
      </c>
    </row>
    <row r="394">
      <c r="A394">
        <f>'1 datos preparados'!A387</f>
        <v/>
      </c>
      <c r="B394" s="5">
        <f>'1 datos preparados'!U387</f>
        <v/>
      </c>
      <c r="C394">
        <f>'1 datos preparados'!B387</f>
        <v/>
      </c>
      <c r="D394" s="7">
        <f>'1 datos preparados'!C387</f>
        <v/>
      </c>
      <c r="E394" s="7">
        <f>'1 datos preparados'!D387</f>
        <v/>
      </c>
      <c r="F394" s="7">
        <f>'1 datos preparados'!E387</f>
        <v/>
      </c>
      <c r="G394" s="7">
        <f>'1 datos preparados'!F387</f>
        <v/>
      </c>
      <c r="H394" s="7">
        <f>'1 datos preparados'!G387</f>
        <v/>
      </c>
      <c r="I394" s="7">
        <f>'1 datos preparados'!H387</f>
        <v/>
      </c>
      <c r="J394" s="7">
        <f>'1 datos preparados'!I387</f>
        <v/>
      </c>
      <c r="K394" s="7">
        <f>'1 datos preparados'!J387</f>
        <v/>
      </c>
      <c r="L394" s="7">
        <f>'1 datos preparados'!K387</f>
        <v/>
      </c>
      <c r="M394" s="7">
        <f>'1 datos preparados'!L387</f>
        <v/>
      </c>
      <c r="N394" s="7">
        <f>'1 datos preparados'!M387</f>
        <v/>
      </c>
      <c r="O394" s="7">
        <f>'1 datos preparados'!N387</f>
        <v/>
      </c>
      <c r="P394" s="7">
        <f>'1 datos preparados'!O387</f>
        <v/>
      </c>
      <c r="Q394" s="7">
        <f>'1 datos preparados'!P387</f>
        <v/>
      </c>
      <c r="R394" s="7">
        <f>'1 datos preparados'!Q387</f>
        <v/>
      </c>
      <c r="S394" s="7">
        <f>'1 datos preparados'!R387</f>
        <v/>
      </c>
      <c r="T394" s="7">
        <f>'1 datos preparados'!S387</f>
        <v/>
      </c>
      <c r="U394" s="7">
        <f>'1 datos preparados'!T387</f>
        <v/>
      </c>
      <c r="V394" s="8">
        <f>$AC$12+D394*$AC$13+E394*$AC$14+F394*$AC$15+G394*$AC$16+H394*$AC$17+I394*$AC$18+J394*$AC$19+K394*$AC$20+L394*$AC$21+M394*$AC$22+N394*$AC$23+O394*$AC$24+P394*$AC$25+Q394*$AC$26+R394*$AC$27+S394*$AC$28+T394*$AC$29+U394*$AC$30</f>
        <v/>
      </c>
      <c r="W394" s="8">
        <f>1/(1+EXP(-V394))</f>
        <v/>
      </c>
      <c r="X394" s="9">
        <f>-IF(C394=1,LN(W394),LN(1-W394))</f>
        <v/>
      </c>
      <c r="Y394" s="10">
        <f>IF(W394&gt;$AC$33,1,0)</f>
        <v/>
      </c>
      <c r="Z394">
        <f>IF(Y394=C394,1,0)</f>
        <v/>
      </c>
    </row>
    <row r="395">
      <c r="A395">
        <f>'1 datos preparados'!A388</f>
        <v/>
      </c>
      <c r="B395" s="5">
        <f>'1 datos preparados'!U388</f>
        <v/>
      </c>
      <c r="C395">
        <f>'1 datos preparados'!B388</f>
        <v/>
      </c>
      <c r="D395" s="7">
        <f>'1 datos preparados'!C388</f>
        <v/>
      </c>
      <c r="E395" s="7">
        <f>'1 datos preparados'!D388</f>
        <v/>
      </c>
      <c r="F395" s="7">
        <f>'1 datos preparados'!E388</f>
        <v/>
      </c>
      <c r="G395" s="7">
        <f>'1 datos preparados'!F388</f>
        <v/>
      </c>
      <c r="H395" s="7">
        <f>'1 datos preparados'!G388</f>
        <v/>
      </c>
      <c r="I395" s="7">
        <f>'1 datos preparados'!H388</f>
        <v/>
      </c>
      <c r="J395" s="7">
        <f>'1 datos preparados'!I388</f>
        <v/>
      </c>
      <c r="K395" s="7">
        <f>'1 datos preparados'!J388</f>
        <v/>
      </c>
      <c r="L395" s="7">
        <f>'1 datos preparados'!K388</f>
        <v/>
      </c>
      <c r="M395" s="7">
        <f>'1 datos preparados'!L388</f>
        <v/>
      </c>
      <c r="N395" s="7">
        <f>'1 datos preparados'!M388</f>
        <v/>
      </c>
      <c r="O395" s="7">
        <f>'1 datos preparados'!N388</f>
        <v/>
      </c>
      <c r="P395" s="7">
        <f>'1 datos preparados'!O388</f>
        <v/>
      </c>
      <c r="Q395" s="7">
        <f>'1 datos preparados'!P388</f>
        <v/>
      </c>
      <c r="R395" s="7">
        <f>'1 datos preparados'!Q388</f>
        <v/>
      </c>
      <c r="S395" s="7">
        <f>'1 datos preparados'!R388</f>
        <v/>
      </c>
      <c r="T395" s="7">
        <f>'1 datos preparados'!S388</f>
        <v/>
      </c>
      <c r="U395" s="7">
        <f>'1 datos preparados'!T388</f>
        <v/>
      </c>
      <c r="V395" s="8">
        <f>$AC$12+D395*$AC$13+E395*$AC$14+F395*$AC$15+G395*$AC$16+H395*$AC$17+I395*$AC$18+J395*$AC$19+K395*$AC$20+L395*$AC$21+M395*$AC$22+N395*$AC$23+O395*$AC$24+P395*$AC$25+Q395*$AC$26+R395*$AC$27+S395*$AC$28+T395*$AC$29+U395*$AC$30</f>
        <v/>
      </c>
      <c r="W395" s="8">
        <f>1/(1+EXP(-V395))</f>
        <v/>
      </c>
      <c r="X395" s="9">
        <f>-IF(C395=1,LN(W395),LN(1-W395))</f>
        <v/>
      </c>
      <c r="Y395" s="10">
        <f>IF(W395&gt;$AC$33,1,0)</f>
        <v/>
      </c>
      <c r="Z395">
        <f>IF(Y395=C395,1,0)</f>
        <v/>
      </c>
    </row>
    <row r="396">
      <c r="A396">
        <f>'1 datos preparados'!A389</f>
        <v/>
      </c>
      <c r="B396" s="5">
        <f>'1 datos preparados'!U389</f>
        <v/>
      </c>
      <c r="C396">
        <f>'1 datos preparados'!B389</f>
        <v/>
      </c>
      <c r="D396" s="7">
        <f>'1 datos preparados'!C389</f>
        <v/>
      </c>
      <c r="E396" s="7">
        <f>'1 datos preparados'!D389</f>
        <v/>
      </c>
      <c r="F396" s="7">
        <f>'1 datos preparados'!E389</f>
        <v/>
      </c>
      <c r="G396" s="7">
        <f>'1 datos preparados'!F389</f>
        <v/>
      </c>
      <c r="H396" s="7">
        <f>'1 datos preparados'!G389</f>
        <v/>
      </c>
      <c r="I396" s="7">
        <f>'1 datos preparados'!H389</f>
        <v/>
      </c>
      <c r="J396" s="7">
        <f>'1 datos preparados'!I389</f>
        <v/>
      </c>
      <c r="K396" s="7">
        <f>'1 datos preparados'!J389</f>
        <v/>
      </c>
      <c r="L396" s="7">
        <f>'1 datos preparados'!K389</f>
        <v/>
      </c>
      <c r="M396" s="7">
        <f>'1 datos preparados'!L389</f>
        <v/>
      </c>
      <c r="N396" s="7">
        <f>'1 datos preparados'!M389</f>
        <v/>
      </c>
      <c r="O396" s="7">
        <f>'1 datos preparados'!N389</f>
        <v/>
      </c>
      <c r="P396" s="7">
        <f>'1 datos preparados'!O389</f>
        <v/>
      </c>
      <c r="Q396" s="7">
        <f>'1 datos preparados'!P389</f>
        <v/>
      </c>
      <c r="R396" s="7">
        <f>'1 datos preparados'!Q389</f>
        <v/>
      </c>
      <c r="S396" s="7">
        <f>'1 datos preparados'!R389</f>
        <v/>
      </c>
      <c r="T396" s="7">
        <f>'1 datos preparados'!S389</f>
        <v/>
      </c>
      <c r="U396" s="7">
        <f>'1 datos preparados'!T389</f>
        <v/>
      </c>
      <c r="V396" s="8">
        <f>$AC$12+D396*$AC$13+E396*$AC$14+F396*$AC$15+G396*$AC$16+H396*$AC$17+I396*$AC$18+J396*$AC$19+K396*$AC$20+L396*$AC$21+M396*$AC$22+N396*$AC$23+O396*$AC$24+P396*$AC$25+Q396*$AC$26+R396*$AC$27+S396*$AC$28+T396*$AC$29+U396*$AC$30</f>
        <v/>
      </c>
      <c r="W396" s="8">
        <f>1/(1+EXP(-V396))</f>
        <v/>
      </c>
      <c r="X396" s="9">
        <f>-IF(C396=1,LN(W396),LN(1-W396))</f>
        <v/>
      </c>
      <c r="Y396" s="10">
        <f>IF(W396&gt;$AC$33,1,0)</f>
        <v/>
      </c>
      <c r="Z396">
        <f>IF(Y396=C396,1,0)</f>
        <v/>
      </c>
    </row>
    <row r="397">
      <c r="A397">
        <f>'1 datos preparados'!A390</f>
        <v/>
      </c>
      <c r="B397" s="5">
        <f>'1 datos preparados'!U390</f>
        <v/>
      </c>
      <c r="C397">
        <f>'1 datos preparados'!B390</f>
        <v/>
      </c>
      <c r="D397" s="7">
        <f>'1 datos preparados'!C390</f>
        <v/>
      </c>
      <c r="E397" s="7">
        <f>'1 datos preparados'!D390</f>
        <v/>
      </c>
      <c r="F397" s="7">
        <f>'1 datos preparados'!E390</f>
        <v/>
      </c>
      <c r="G397" s="7">
        <f>'1 datos preparados'!F390</f>
        <v/>
      </c>
      <c r="H397" s="7">
        <f>'1 datos preparados'!G390</f>
        <v/>
      </c>
      <c r="I397" s="7">
        <f>'1 datos preparados'!H390</f>
        <v/>
      </c>
      <c r="J397" s="7">
        <f>'1 datos preparados'!I390</f>
        <v/>
      </c>
      <c r="K397" s="7">
        <f>'1 datos preparados'!J390</f>
        <v/>
      </c>
      <c r="L397" s="7">
        <f>'1 datos preparados'!K390</f>
        <v/>
      </c>
      <c r="M397" s="7">
        <f>'1 datos preparados'!L390</f>
        <v/>
      </c>
      <c r="N397" s="7">
        <f>'1 datos preparados'!M390</f>
        <v/>
      </c>
      <c r="O397" s="7">
        <f>'1 datos preparados'!N390</f>
        <v/>
      </c>
      <c r="P397" s="7">
        <f>'1 datos preparados'!O390</f>
        <v/>
      </c>
      <c r="Q397" s="7">
        <f>'1 datos preparados'!P390</f>
        <v/>
      </c>
      <c r="R397" s="7">
        <f>'1 datos preparados'!Q390</f>
        <v/>
      </c>
      <c r="S397" s="7">
        <f>'1 datos preparados'!R390</f>
        <v/>
      </c>
      <c r="T397" s="7">
        <f>'1 datos preparados'!S390</f>
        <v/>
      </c>
      <c r="U397" s="7">
        <f>'1 datos preparados'!T390</f>
        <v/>
      </c>
      <c r="V397" s="8">
        <f>$AC$12+D397*$AC$13+E397*$AC$14+F397*$AC$15+G397*$AC$16+H397*$AC$17+I397*$AC$18+J397*$AC$19+K397*$AC$20+L397*$AC$21+M397*$AC$22+N397*$AC$23+O397*$AC$24+P397*$AC$25+Q397*$AC$26+R397*$AC$27+S397*$AC$28+T397*$AC$29+U397*$AC$30</f>
        <v/>
      </c>
      <c r="W397" s="8">
        <f>1/(1+EXP(-V397))</f>
        <v/>
      </c>
      <c r="X397" s="9">
        <f>-IF(C397=1,LN(W397),LN(1-W397))</f>
        <v/>
      </c>
      <c r="Y397" s="10">
        <f>IF(W397&gt;$AC$33,1,0)</f>
        <v/>
      </c>
      <c r="Z397">
        <f>IF(Y397=C397,1,0)</f>
        <v/>
      </c>
    </row>
    <row r="398">
      <c r="A398">
        <f>'1 datos preparados'!A391</f>
        <v/>
      </c>
      <c r="B398" s="5">
        <f>'1 datos preparados'!U391</f>
        <v/>
      </c>
      <c r="C398">
        <f>'1 datos preparados'!B391</f>
        <v/>
      </c>
      <c r="D398" s="7">
        <f>'1 datos preparados'!C391</f>
        <v/>
      </c>
      <c r="E398" s="7">
        <f>'1 datos preparados'!D391</f>
        <v/>
      </c>
      <c r="F398" s="7">
        <f>'1 datos preparados'!E391</f>
        <v/>
      </c>
      <c r="G398" s="7">
        <f>'1 datos preparados'!F391</f>
        <v/>
      </c>
      <c r="H398" s="7">
        <f>'1 datos preparados'!G391</f>
        <v/>
      </c>
      <c r="I398" s="7">
        <f>'1 datos preparados'!H391</f>
        <v/>
      </c>
      <c r="J398" s="7">
        <f>'1 datos preparados'!I391</f>
        <v/>
      </c>
      <c r="K398" s="7">
        <f>'1 datos preparados'!J391</f>
        <v/>
      </c>
      <c r="L398" s="7">
        <f>'1 datos preparados'!K391</f>
        <v/>
      </c>
      <c r="M398" s="7">
        <f>'1 datos preparados'!L391</f>
        <v/>
      </c>
      <c r="N398" s="7">
        <f>'1 datos preparados'!M391</f>
        <v/>
      </c>
      <c r="O398" s="7">
        <f>'1 datos preparados'!N391</f>
        <v/>
      </c>
      <c r="P398" s="7">
        <f>'1 datos preparados'!O391</f>
        <v/>
      </c>
      <c r="Q398" s="7">
        <f>'1 datos preparados'!P391</f>
        <v/>
      </c>
      <c r="R398" s="7">
        <f>'1 datos preparados'!Q391</f>
        <v/>
      </c>
      <c r="S398" s="7">
        <f>'1 datos preparados'!R391</f>
        <v/>
      </c>
      <c r="T398" s="7">
        <f>'1 datos preparados'!S391</f>
        <v/>
      </c>
      <c r="U398" s="7">
        <f>'1 datos preparados'!T391</f>
        <v/>
      </c>
      <c r="V398" s="8">
        <f>$AC$12+D398*$AC$13+E398*$AC$14+F398*$AC$15+G398*$AC$16+H398*$AC$17+I398*$AC$18+J398*$AC$19+K398*$AC$20+L398*$AC$21+M398*$AC$22+N398*$AC$23+O398*$AC$24+P398*$AC$25+Q398*$AC$26+R398*$AC$27+S398*$AC$28+T398*$AC$29+U398*$AC$30</f>
        <v/>
      </c>
      <c r="W398" s="8">
        <f>1/(1+EXP(-V398))</f>
        <v/>
      </c>
      <c r="X398" s="9">
        <f>-IF(C398=1,LN(W398),LN(1-W398))</f>
        <v/>
      </c>
      <c r="Y398" s="10">
        <f>IF(W398&gt;$AC$33,1,0)</f>
        <v/>
      </c>
      <c r="Z398">
        <f>IF(Y398=C398,1,0)</f>
        <v/>
      </c>
    </row>
    <row r="399">
      <c r="A399">
        <f>'1 datos preparados'!A392</f>
        <v/>
      </c>
      <c r="B399" s="5">
        <f>'1 datos preparados'!U392</f>
        <v/>
      </c>
      <c r="C399">
        <f>'1 datos preparados'!B392</f>
        <v/>
      </c>
      <c r="D399" s="7">
        <f>'1 datos preparados'!C392</f>
        <v/>
      </c>
      <c r="E399" s="7">
        <f>'1 datos preparados'!D392</f>
        <v/>
      </c>
      <c r="F399" s="7">
        <f>'1 datos preparados'!E392</f>
        <v/>
      </c>
      <c r="G399" s="7">
        <f>'1 datos preparados'!F392</f>
        <v/>
      </c>
      <c r="H399" s="7">
        <f>'1 datos preparados'!G392</f>
        <v/>
      </c>
      <c r="I399" s="7">
        <f>'1 datos preparados'!H392</f>
        <v/>
      </c>
      <c r="J399" s="7">
        <f>'1 datos preparados'!I392</f>
        <v/>
      </c>
      <c r="K399" s="7">
        <f>'1 datos preparados'!J392</f>
        <v/>
      </c>
      <c r="L399" s="7">
        <f>'1 datos preparados'!K392</f>
        <v/>
      </c>
      <c r="M399" s="7">
        <f>'1 datos preparados'!L392</f>
        <v/>
      </c>
      <c r="N399" s="7">
        <f>'1 datos preparados'!M392</f>
        <v/>
      </c>
      <c r="O399" s="7">
        <f>'1 datos preparados'!N392</f>
        <v/>
      </c>
      <c r="P399" s="7">
        <f>'1 datos preparados'!O392</f>
        <v/>
      </c>
      <c r="Q399" s="7">
        <f>'1 datos preparados'!P392</f>
        <v/>
      </c>
      <c r="R399" s="7">
        <f>'1 datos preparados'!Q392</f>
        <v/>
      </c>
      <c r="S399" s="7">
        <f>'1 datos preparados'!R392</f>
        <v/>
      </c>
      <c r="T399" s="7">
        <f>'1 datos preparados'!S392</f>
        <v/>
      </c>
      <c r="U399" s="7">
        <f>'1 datos preparados'!T392</f>
        <v/>
      </c>
      <c r="V399" s="8">
        <f>$AC$12+D399*$AC$13+E399*$AC$14+F399*$AC$15+G399*$AC$16+H399*$AC$17+I399*$AC$18+J399*$AC$19+K399*$AC$20+L399*$AC$21+M399*$AC$22+N399*$AC$23+O399*$AC$24+P399*$AC$25+Q399*$AC$26+R399*$AC$27+S399*$AC$28+T399*$AC$29+U399*$AC$30</f>
        <v/>
      </c>
      <c r="W399" s="8">
        <f>1/(1+EXP(-V399))</f>
        <v/>
      </c>
      <c r="X399" s="9">
        <f>-IF(C399=1,LN(W399),LN(1-W399))</f>
        <v/>
      </c>
      <c r="Y399" s="10">
        <f>IF(W399&gt;$AC$33,1,0)</f>
        <v/>
      </c>
      <c r="Z399">
        <f>IF(Y399=C399,1,0)</f>
        <v/>
      </c>
    </row>
    <row r="400">
      <c r="A400">
        <f>'1 datos preparados'!A393</f>
        <v/>
      </c>
      <c r="B400" s="5">
        <f>'1 datos preparados'!U393</f>
        <v/>
      </c>
      <c r="C400">
        <f>'1 datos preparados'!B393</f>
        <v/>
      </c>
      <c r="D400" s="7">
        <f>'1 datos preparados'!C393</f>
        <v/>
      </c>
      <c r="E400" s="7">
        <f>'1 datos preparados'!D393</f>
        <v/>
      </c>
      <c r="F400" s="7">
        <f>'1 datos preparados'!E393</f>
        <v/>
      </c>
      <c r="G400" s="7">
        <f>'1 datos preparados'!F393</f>
        <v/>
      </c>
      <c r="H400" s="7">
        <f>'1 datos preparados'!G393</f>
        <v/>
      </c>
      <c r="I400" s="7">
        <f>'1 datos preparados'!H393</f>
        <v/>
      </c>
      <c r="J400" s="7">
        <f>'1 datos preparados'!I393</f>
        <v/>
      </c>
      <c r="K400" s="7">
        <f>'1 datos preparados'!J393</f>
        <v/>
      </c>
      <c r="L400" s="7">
        <f>'1 datos preparados'!K393</f>
        <v/>
      </c>
      <c r="M400" s="7">
        <f>'1 datos preparados'!L393</f>
        <v/>
      </c>
      <c r="N400" s="7">
        <f>'1 datos preparados'!M393</f>
        <v/>
      </c>
      <c r="O400" s="7">
        <f>'1 datos preparados'!N393</f>
        <v/>
      </c>
      <c r="P400" s="7">
        <f>'1 datos preparados'!O393</f>
        <v/>
      </c>
      <c r="Q400" s="7">
        <f>'1 datos preparados'!P393</f>
        <v/>
      </c>
      <c r="R400" s="7">
        <f>'1 datos preparados'!Q393</f>
        <v/>
      </c>
      <c r="S400" s="7">
        <f>'1 datos preparados'!R393</f>
        <v/>
      </c>
      <c r="T400" s="7">
        <f>'1 datos preparados'!S393</f>
        <v/>
      </c>
      <c r="U400" s="7">
        <f>'1 datos preparados'!T393</f>
        <v/>
      </c>
      <c r="V400" s="8">
        <f>$AC$12+D400*$AC$13+E400*$AC$14+F400*$AC$15+G400*$AC$16+H400*$AC$17+I400*$AC$18+J400*$AC$19+K400*$AC$20+L400*$AC$21+M400*$AC$22+N400*$AC$23+O400*$AC$24+P400*$AC$25+Q400*$AC$26+R400*$AC$27+S400*$AC$28+T400*$AC$29+U400*$AC$30</f>
        <v/>
      </c>
      <c r="W400" s="8">
        <f>1/(1+EXP(-V400))</f>
        <v/>
      </c>
      <c r="X400" s="9">
        <f>-IF(C400=1,LN(W400),LN(1-W400))</f>
        <v/>
      </c>
      <c r="Y400" s="10">
        <f>IF(W400&gt;$AC$33,1,0)</f>
        <v/>
      </c>
      <c r="Z400">
        <f>IF(Y400=C400,1,0)</f>
        <v/>
      </c>
    </row>
    <row r="401">
      <c r="A401">
        <f>'1 datos preparados'!A394</f>
        <v/>
      </c>
      <c r="B401" s="5">
        <f>'1 datos preparados'!U394</f>
        <v/>
      </c>
      <c r="C401">
        <f>'1 datos preparados'!B394</f>
        <v/>
      </c>
      <c r="D401" s="7">
        <f>'1 datos preparados'!C394</f>
        <v/>
      </c>
      <c r="E401" s="7">
        <f>'1 datos preparados'!D394</f>
        <v/>
      </c>
      <c r="F401" s="7">
        <f>'1 datos preparados'!E394</f>
        <v/>
      </c>
      <c r="G401" s="7">
        <f>'1 datos preparados'!F394</f>
        <v/>
      </c>
      <c r="H401" s="7">
        <f>'1 datos preparados'!G394</f>
        <v/>
      </c>
      <c r="I401" s="7">
        <f>'1 datos preparados'!H394</f>
        <v/>
      </c>
      <c r="J401" s="7">
        <f>'1 datos preparados'!I394</f>
        <v/>
      </c>
      <c r="K401" s="7">
        <f>'1 datos preparados'!J394</f>
        <v/>
      </c>
      <c r="L401" s="7">
        <f>'1 datos preparados'!K394</f>
        <v/>
      </c>
      <c r="M401" s="7">
        <f>'1 datos preparados'!L394</f>
        <v/>
      </c>
      <c r="N401" s="7">
        <f>'1 datos preparados'!M394</f>
        <v/>
      </c>
      <c r="O401" s="7">
        <f>'1 datos preparados'!N394</f>
        <v/>
      </c>
      <c r="P401" s="7">
        <f>'1 datos preparados'!O394</f>
        <v/>
      </c>
      <c r="Q401" s="7">
        <f>'1 datos preparados'!P394</f>
        <v/>
      </c>
      <c r="R401" s="7">
        <f>'1 datos preparados'!Q394</f>
        <v/>
      </c>
      <c r="S401" s="7">
        <f>'1 datos preparados'!R394</f>
        <v/>
      </c>
      <c r="T401" s="7">
        <f>'1 datos preparados'!S394</f>
        <v/>
      </c>
      <c r="U401" s="7">
        <f>'1 datos preparados'!T394</f>
        <v/>
      </c>
      <c r="V401" s="8">
        <f>$AC$12+D401*$AC$13+E401*$AC$14+F401*$AC$15+G401*$AC$16+H401*$AC$17+I401*$AC$18+J401*$AC$19+K401*$AC$20+L401*$AC$21+M401*$AC$22+N401*$AC$23+O401*$AC$24+P401*$AC$25+Q401*$AC$26+R401*$AC$27+S401*$AC$28+T401*$AC$29+U401*$AC$30</f>
        <v/>
      </c>
      <c r="W401" s="8">
        <f>1/(1+EXP(-V401))</f>
        <v/>
      </c>
      <c r="X401" s="9">
        <f>-IF(C401=1,LN(W401),LN(1-W401))</f>
        <v/>
      </c>
      <c r="Y401" s="10">
        <f>IF(W401&gt;$AC$33,1,0)</f>
        <v/>
      </c>
      <c r="Z401">
        <f>IF(Y401=C401,1,0)</f>
        <v/>
      </c>
    </row>
    <row r="402">
      <c r="A402">
        <f>'1 datos preparados'!A395</f>
        <v/>
      </c>
      <c r="B402" s="5">
        <f>'1 datos preparados'!U395</f>
        <v/>
      </c>
      <c r="C402">
        <f>'1 datos preparados'!B395</f>
        <v/>
      </c>
      <c r="D402" s="7">
        <f>'1 datos preparados'!C395</f>
        <v/>
      </c>
      <c r="E402" s="7">
        <f>'1 datos preparados'!D395</f>
        <v/>
      </c>
      <c r="F402" s="7">
        <f>'1 datos preparados'!E395</f>
        <v/>
      </c>
      <c r="G402" s="7">
        <f>'1 datos preparados'!F395</f>
        <v/>
      </c>
      <c r="H402" s="7">
        <f>'1 datos preparados'!G395</f>
        <v/>
      </c>
      <c r="I402" s="7">
        <f>'1 datos preparados'!H395</f>
        <v/>
      </c>
      <c r="J402" s="7">
        <f>'1 datos preparados'!I395</f>
        <v/>
      </c>
      <c r="K402" s="7">
        <f>'1 datos preparados'!J395</f>
        <v/>
      </c>
      <c r="L402" s="7">
        <f>'1 datos preparados'!K395</f>
        <v/>
      </c>
      <c r="M402" s="7">
        <f>'1 datos preparados'!L395</f>
        <v/>
      </c>
      <c r="N402" s="7">
        <f>'1 datos preparados'!M395</f>
        <v/>
      </c>
      <c r="O402" s="7">
        <f>'1 datos preparados'!N395</f>
        <v/>
      </c>
      <c r="P402" s="7">
        <f>'1 datos preparados'!O395</f>
        <v/>
      </c>
      <c r="Q402" s="7">
        <f>'1 datos preparados'!P395</f>
        <v/>
      </c>
      <c r="R402" s="7">
        <f>'1 datos preparados'!Q395</f>
        <v/>
      </c>
      <c r="S402" s="7">
        <f>'1 datos preparados'!R395</f>
        <v/>
      </c>
      <c r="T402" s="7">
        <f>'1 datos preparados'!S395</f>
        <v/>
      </c>
      <c r="U402" s="7">
        <f>'1 datos preparados'!T395</f>
        <v/>
      </c>
      <c r="V402" s="8">
        <f>$AC$12+D402*$AC$13+E402*$AC$14+F402*$AC$15+G402*$AC$16+H402*$AC$17+I402*$AC$18+J402*$AC$19+K402*$AC$20+L402*$AC$21+M402*$AC$22+N402*$AC$23+O402*$AC$24+P402*$AC$25+Q402*$AC$26+R402*$AC$27+S402*$AC$28+T402*$AC$29+U402*$AC$30</f>
        <v/>
      </c>
      <c r="W402" s="8">
        <f>1/(1+EXP(-V402))</f>
        <v/>
      </c>
      <c r="X402" s="9">
        <f>-IF(C402=1,LN(W402),LN(1-W402))</f>
        <v/>
      </c>
      <c r="Y402" s="10">
        <f>IF(W402&gt;$AC$33,1,0)</f>
        <v/>
      </c>
      <c r="Z402">
        <f>IF(Y402=C402,1,0)</f>
        <v/>
      </c>
    </row>
    <row r="403">
      <c r="A403">
        <f>'1 datos preparados'!A396</f>
        <v/>
      </c>
      <c r="B403" s="5">
        <f>'1 datos preparados'!U396</f>
        <v/>
      </c>
      <c r="C403">
        <f>'1 datos preparados'!B396</f>
        <v/>
      </c>
      <c r="D403" s="7">
        <f>'1 datos preparados'!C396</f>
        <v/>
      </c>
      <c r="E403" s="7">
        <f>'1 datos preparados'!D396</f>
        <v/>
      </c>
      <c r="F403" s="7">
        <f>'1 datos preparados'!E396</f>
        <v/>
      </c>
      <c r="G403" s="7">
        <f>'1 datos preparados'!F396</f>
        <v/>
      </c>
      <c r="H403" s="7">
        <f>'1 datos preparados'!G396</f>
        <v/>
      </c>
      <c r="I403" s="7">
        <f>'1 datos preparados'!H396</f>
        <v/>
      </c>
      <c r="J403" s="7">
        <f>'1 datos preparados'!I396</f>
        <v/>
      </c>
      <c r="K403" s="7">
        <f>'1 datos preparados'!J396</f>
        <v/>
      </c>
      <c r="L403" s="7">
        <f>'1 datos preparados'!K396</f>
        <v/>
      </c>
      <c r="M403" s="7">
        <f>'1 datos preparados'!L396</f>
        <v/>
      </c>
      <c r="N403" s="7">
        <f>'1 datos preparados'!M396</f>
        <v/>
      </c>
      <c r="O403" s="7">
        <f>'1 datos preparados'!N396</f>
        <v/>
      </c>
      <c r="P403" s="7">
        <f>'1 datos preparados'!O396</f>
        <v/>
      </c>
      <c r="Q403" s="7">
        <f>'1 datos preparados'!P396</f>
        <v/>
      </c>
      <c r="R403" s="7">
        <f>'1 datos preparados'!Q396</f>
        <v/>
      </c>
      <c r="S403" s="7">
        <f>'1 datos preparados'!R396</f>
        <v/>
      </c>
      <c r="T403" s="7">
        <f>'1 datos preparados'!S396</f>
        <v/>
      </c>
      <c r="U403" s="7">
        <f>'1 datos preparados'!T396</f>
        <v/>
      </c>
      <c r="V403" s="8">
        <f>$AC$12+D403*$AC$13+E403*$AC$14+F403*$AC$15+G403*$AC$16+H403*$AC$17+I403*$AC$18+J403*$AC$19+K403*$AC$20+L403*$AC$21+M403*$AC$22+N403*$AC$23+O403*$AC$24+P403*$AC$25+Q403*$AC$26+R403*$AC$27+S403*$AC$28+T403*$AC$29+U403*$AC$30</f>
        <v/>
      </c>
      <c r="W403" s="8">
        <f>1/(1+EXP(-V403))</f>
        <v/>
      </c>
      <c r="X403" s="9">
        <f>-IF(C403=1,LN(W403),LN(1-W403))</f>
        <v/>
      </c>
      <c r="Y403" s="10">
        <f>IF(W403&gt;$AC$33,1,0)</f>
        <v/>
      </c>
      <c r="Z403">
        <f>IF(Y403=C403,1,0)</f>
        <v/>
      </c>
    </row>
    <row r="404">
      <c r="A404">
        <f>'1 datos preparados'!A397</f>
        <v/>
      </c>
      <c r="B404" s="5">
        <f>'1 datos preparados'!U397</f>
        <v/>
      </c>
      <c r="C404">
        <f>'1 datos preparados'!B397</f>
        <v/>
      </c>
      <c r="D404" s="7">
        <f>'1 datos preparados'!C397</f>
        <v/>
      </c>
      <c r="E404" s="7">
        <f>'1 datos preparados'!D397</f>
        <v/>
      </c>
      <c r="F404" s="7">
        <f>'1 datos preparados'!E397</f>
        <v/>
      </c>
      <c r="G404" s="7">
        <f>'1 datos preparados'!F397</f>
        <v/>
      </c>
      <c r="H404" s="7">
        <f>'1 datos preparados'!G397</f>
        <v/>
      </c>
      <c r="I404" s="7">
        <f>'1 datos preparados'!H397</f>
        <v/>
      </c>
      <c r="J404" s="7">
        <f>'1 datos preparados'!I397</f>
        <v/>
      </c>
      <c r="K404" s="7">
        <f>'1 datos preparados'!J397</f>
        <v/>
      </c>
      <c r="L404" s="7">
        <f>'1 datos preparados'!K397</f>
        <v/>
      </c>
      <c r="M404" s="7">
        <f>'1 datos preparados'!L397</f>
        <v/>
      </c>
      <c r="N404" s="7">
        <f>'1 datos preparados'!M397</f>
        <v/>
      </c>
      <c r="O404" s="7">
        <f>'1 datos preparados'!N397</f>
        <v/>
      </c>
      <c r="P404" s="7">
        <f>'1 datos preparados'!O397</f>
        <v/>
      </c>
      <c r="Q404" s="7">
        <f>'1 datos preparados'!P397</f>
        <v/>
      </c>
      <c r="R404" s="7">
        <f>'1 datos preparados'!Q397</f>
        <v/>
      </c>
      <c r="S404" s="7">
        <f>'1 datos preparados'!R397</f>
        <v/>
      </c>
      <c r="T404" s="7">
        <f>'1 datos preparados'!S397</f>
        <v/>
      </c>
      <c r="U404" s="7">
        <f>'1 datos preparados'!T397</f>
        <v/>
      </c>
      <c r="V404" s="8">
        <f>$AC$12+D404*$AC$13+E404*$AC$14+F404*$AC$15+G404*$AC$16+H404*$AC$17+I404*$AC$18+J404*$AC$19+K404*$AC$20+L404*$AC$21+M404*$AC$22+N404*$AC$23+O404*$AC$24+P404*$AC$25+Q404*$AC$26+R404*$AC$27+S404*$AC$28+T404*$AC$29+U404*$AC$30</f>
        <v/>
      </c>
      <c r="W404" s="8">
        <f>1/(1+EXP(-V404))</f>
        <v/>
      </c>
      <c r="X404" s="9">
        <f>-IF(C404=1,LN(W404),LN(1-W404))</f>
        <v/>
      </c>
      <c r="Y404" s="10">
        <f>IF(W404&gt;$AC$33,1,0)</f>
        <v/>
      </c>
      <c r="Z404">
        <f>IF(Y404=C404,1,0)</f>
        <v/>
      </c>
    </row>
    <row r="405">
      <c r="A405">
        <f>'1 datos preparados'!A398</f>
        <v/>
      </c>
      <c r="B405" s="5">
        <f>'1 datos preparados'!U398</f>
        <v/>
      </c>
      <c r="C405">
        <f>'1 datos preparados'!B398</f>
        <v/>
      </c>
      <c r="D405" s="7">
        <f>'1 datos preparados'!C398</f>
        <v/>
      </c>
      <c r="E405" s="7">
        <f>'1 datos preparados'!D398</f>
        <v/>
      </c>
      <c r="F405" s="7">
        <f>'1 datos preparados'!E398</f>
        <v/>
      </c>
      <c r="G405" s="7">
        <f>'1 datos preparados'!F398</f>
        <v/>
      </c>
      <c r="H405" s="7">
        <f>'1 datos preparados'!G398</f>
        <v/>
      </c>
      <c r="I405" s="7">
        <f>'1 datos preparados'!H398</f>
        <v/>
      </c>
      <c r="J405" s="7">
        <f>'1 datos preparados'!I398</f>
        <v/>
      </c>
      <c r="K405" s="7">
        <f>'1 datos preparados'!J398</f>
        <v/>
      </c>
      <c r="L405" s="7">
        <f>'1 datos preparados'!K398</f>
        <v/>
      </c>
      <c r="M405" s="7">
        <f>'1 datos preparados'!L398</f>
        <v/>
      </c>
      <c r="N405" s="7">
        <f>'1 datos preparados'!M398</f>
        <v/>
      </c>
      <c r="O405" s="7">
        <f>'1 datos preparados'!N398</f>
        <v/>
      </c>
      <c r="P405" s="7">
        <f>'1 datos preparados'!O398</f>
        <v/>
      </c>
      <c r="Q405" s="7">
        <f>'1 datos preparados'!P398</f>
        <v/>
      </c>
      <c r="R405" s="7">
        <f>'1 datos preparados'!Q398</f>
        <v/>
      </c>
      <c r="S405" s="7">
        <f>'1 datos preparados'!R398</f>
        <v/>
      </c>
      <c r="T405" s="7">
        <f>'1 datos preparados'!S398</f>
        <v/>
      </c>
      <c r="U405" s="7">
        <f>'1 datos preparados'!T398</f>
        <v/>
      </c>
      <c r="V405" s="8">
        <f>$AC$12+D405*$AC$13+E405*$AC$14+F405*$AC$15+G405*$AC$16+H405*$AC$17+I405*$AC$18+J405*$AC$19+K405*$AC$20+L405*$AC$21+M405*$AC$22+N405*$AC$23+O405*$AC$24+P405*$AC$25+Q405*$AC$26+R405*$AC$27+S405*$AC$28+T405*$AC$29+U405*$AC$30</f>
        <v/>
      </c>
      <c r="W405" s="8">
        <f>1/(1+EXP(-V405))</f>
        <v/>
      </c>
      <c r="X405" s="9">
        <f>-IF(C405=1,LN(W405),LN(1-W405))</f>
        <v/>
      </c>
      <c r="Y405" s="10">
        <f>IF(W405&gt;$AC$33,1,0)</f>
        <v/>
      </c>
      <c r="Z405">
        <f>IF(Y405=C405,1,0)</f>
        <v/>
      </c>
    </row>
    <row r="406">
      <c r="A406">
        <f>'1 datos preparados'!A399</f>
        <v/>
      </c>
      <c r="B406" s="5">
        <f>'1 datos preparados'!U399</f>
        <v/>
      </c>
      <c r="C406">
        <f>'1 datos preparados'!B399</f>
        <v/>
      </c>
      <c r="D406" s="7">
        <f>'1 datos preparados'!C399</f>
        <v/>
      </c>
      <c r="E406" s="7">
        <f>'1 datos preparados'!D399</f>
        <v/>
      </c>
      <c r="F406" s="7">
        <f>'1 datos preparados'!E399</f>
        <v/>
      </c>
      <c r="G406" s="7">
        <f>'1 datos preparados'!F399</f>
        <v/>
      </c>
      <c r="H406" s="7">
        <f>'1 datos preparados'!G399</f>
        <v/>
      </c>
      <c r="I406" s="7">
        <f>'1 datos preparados'!H399</f>
        <v/>
      </c>
      <c r="J406" s="7">
        <f>'1 datos preparados'!I399</f>
        <v/>
      </c>
      <c r="K406" s="7">
        <f>'1 datos preparados'!J399</f>
        <v/>
      </c>
      <c r="L406" s="7">
        <f>'1 datos preparados'!K399</f>
        <v/>
      </c>
      <c r="M406" s="7">
        <f>'1 datos preparados'!L399</f>
        <v/>
      </c>
      <c r="N406" s="7">
        <f>'1 datos preparados'!M399</f>
        <v/>
      </c>
      <c r="O406" s="7">
        <f>'1 datos preparados'!N399</f>
        <v/>
      </c>
      <c r="P406" s="7">
        <f>'1 datos preparados'!O399</f>
        <v/>
      </c>
      <c r="Q406" s="7">
        <f>'1 datos preparados'!P399</f>
        <v/>
      </c>
      <c r="R406" s="7">
        <f>'1 datos preparados'!Q399</f>
        <v/>
      </c>
      <c r="S406" s="7">
        <f>'1 datos preparados'!R399</f>
        <v/>
      </c>
      <c r="T406" s="7">
        <f>'1 datos preparados'!S399</f>
        <v/>
      </c>
      <c r="U406" s="7">
        <f>'1 datos preparados'!T399</f>
        <v/>
      </c>
      <c r="V406" s="8">
        <f>$AC$12+D406*$AC$13+E406*$AC$14+F406*$AC$15+G406*$AC$16+H406*$AC$17+I406*$AC$18+J406*$AC$19+K406*$AC$20+L406*$AC$21+M406*$AC$22+N406*$AC$23+O406*$AC$24+P406*$AC$25+Q406*$AC$26+R406*$AC$27+S406*$AC$28+T406*$AC$29+U406*$AC$30</f>
        <v/>
      </c>
      <c r="W406" s="8">
        <f>1/(1+EXP(-V406))</f>
        <v/>
      </c>
      <c r="X406" s="9">
        <f>-IF(C406=1,LN(W406),LN(1-W406))</f>
        <v/>
      </c>
      <c r="Y406" s="10">
        <f>IF(W406&gt;$AC$33,1,0)</f>
        <v/>
      </c>
      <c r="Z406">
        <f>IF(Y406=C406,1,0)</f>
        <v/>
      </c>
    </row>
    <row r="407">
      <c r="A407">
        <f>'1 datos preparados'!A400</f>
        <v/>
      </c>
      <c r="B407" s="5">
        <f>'1 datos preparados'!U400</f>
        <v/>
      </c>
      <c r="C407">
        <f>'1 datos preparados'!B400</f>
        <v/>
      </c>
      <c r="D407" s="7">
        <f>'1 datos preparados'!C400</f>
        <v/>
      </c>
      <c r="E407" s="7">
        <f>'1 datos preparados'!D400</f>
        <v/>
      </c>
      <c r="F407" s="7">
        <f>'1 datos preparados'!E400</f>
        <v/>
      </c>
      <c r="G407" s="7">
        <f>'1 datos preparados'!F400</f>
        <v/>
      </c>
      <c r="H407" s="7">
        <f>'1 datos preparados'!G400</f>
        <v/>
      </c>
      <c r="I407" s="7">
        <f>'1 datos preparados'!H400</f>
        <v/>
      </c>
      <c r="J407" s="7">
        <f>'1 datos preparados'!I400</f>
        <v/>
      </c>
      <c r="K407" s="7">
        <f>'1 datos preparados'!J400</f>
        <v/>
      </c>
      <c r="L407" s="7">
        <f>'1 datos preparados'!K400</f>
        <v/>
      </c>
      <c r="M407" s="7">
        <f>'1 datos preparados'!L400</f>
        <v/>
      </c>
      <c r="N407" s="7">
        <f>'1 datos preparados'!M400</f>
        <v/>
      </c>
      <c r="O407" s="7">
        <f>'1 datos preparados'!N400</f>
        <v/>
      </c>
      <c r="P407" s="7">
        <f>'1 datos preparados'!O400</f>
        <v/>
      </c>
      <c r="Q407" s="7">
        <f>'1 datos preparados'!P400</f>
        <v/>
      </c>
      <c r="R407" s="7">
        <f>'1 datos preparados'!Q400</f>
        <v/>
      </c>
      <c r="S407" s="7">
        <f>'1 datos preparados'!R400</f>
        <v/>
      </c>
      <c r="T407" s="7">
        <f>'1 datos preparados'!S400</f>
        <v/>
      </c>
      <c r="U407" s="7">
        <f>'1 datos preparados'!T400</f>
        <v/>
      </c>
      <c r="V407" s="8">
        <f>$AC$12+D407*$AC$13+E407*$AC$14+F407*$AC$15+G407*$AC$16+H407*$AC$17+I407*$AC$18+J407*$AC$19+K407*$AC$20+L407*$AC$21+M407*$AC$22+N407*$AC$23+O407*$AC$24+P407*$AC$25+Q407*$AC$26+R407*$AC$27+S407*$AC$28+T407*$AC$29+U407*$AC$30</f>
        <v/>
      </c>
      <c r="W407" s="8">
        <f>1/(1+EXP(-V407))</f>
        <v/>
      </c>
      <c r="X407" s="9">
        <f>-IF(C407=1,LN(W407),LN(1-W407))</f>
        <v/>
      </c>
      <c r="Y407" s="10">
        <f>IF(W407&gt;$AC$33,1,0)</f>
        <v/>
      </c>
      <c r="Z407">
        <f>IF(Y407=C407,1,0)</f>
        <v/>
      </c>
    </row>
    <row r="408">
      <c r="A408">
        <f>'1 datos preparados'!A401</f>
        <v/>
      </c>
      <c r="B408" s="5">
        <f>'1 datos preparados'!U401</f>
        <v/>
      </c>
      <c r="C408">
        <f>'1 datos preparados'!B401</f>
        <v/>
      </c>
      <c r="D408" s="7">
        <f>'1 datos preparados'!C401</f>
        <v/>
      </c>
      <c r="E408" s="7">
        <f>'1 datos preparados'!D401</f>
        <v/>
      </c>
      <c r="F408" s="7">
        <f>'1 datos preparados'!E401</f>
        <v/>
      </c>
      <c r="G408" s="7">
        <f>'1 datos preparados'!F401</f>
        <v/>
      </c>
      <c r="H408" s="7">
        <f>'1 datos preparados'!G401</f>
        <v/>
      </c>
      <c r="I408" s="7">
        <f>'1 datos preparados'!H401</f>
        <v/>
      </c>
      <c r="J408" s="7">
        <f>'1 datos preparados'!I401</f>
        <v/>
      </c>
      <c r="K408" s="7">
        <f>'1 datos preparados'!J401</f>
        <v/>
      </c>
      <c r="L408" s="7">
        <f>'1 datos preparados'!K401</f>
        <v/>
      </c>
      <c r="M408" s="7">
        <f>'1 datos preparados'!L401</f>
        <v/>
      </c>
      <c r="N408" s="7">
        <f>'1 datos preparados'!M401</f>
        <v/>
      </c>
      <c r="O408" s="7">
        <f>'1 datos preparados'!N401</f>
        <v/>
      </c>
      <c r="P408" s="7">
        <f>'1 datos preparados'!O401</f>
        <v/>
      </c>
      <c r="Q408" s="7">
        <f>'1 datos preparados'!P401</f>
        <v/>
      </c>
      <c r="R408" s="7">
        <f>'1 datos preparados'!Q401</f>
        <v/>
      </c>
      <c r="S408" s="7">
        <f>'1 datos preparados'!R401</f>
        <v/>
      </c>
      <c r="T408" s="7">
        <f>'1 datos preparados'!S401</f>
        <v/>
      </c>
      <c r="U408" s="7">
        <f>'1 datos preparados'!T401</f>
        <v/>
      </c>
      <c r="V408" s="8">
        <f>$AC$12+D408*$AC$13+E408*$AC$14+F408*$AC$15+G408*$AC$16+H408*$AC$17+I408*$AC$18+J408*$AC$19+K408*$AC$20+L408*$AC$21+M408*$AC$22+N408*$AC$23+O408*$AC$24+P408*$AC$25+Q408*$AC$26+R408*$AC$27+S408*$AC$28+T408*$AC$29+U408*$AC$30</f>
        <v/>
      </c>
      <c r="W408" s="8">
        <f>1/(1+EXP(-V408))</f>
        <v/>
      </c>
      <c r="X408" s="9">
        <f>-IF(C408=1,LN(W408),LN(1-W408))</f>
        <v/>
      </c>
      <c r="Y408" s="10">
        <f>IF(W408&gt;$AC$33,1,0)</f>
        <v/>
      </c>
      <c r="Z408">
        <f>IF(Y408=C408,1,0)</f>
        <v/>
      </c>
    </row>
    <row r="409">
      <c r="A409">
        <f>'1 datos preparados'!A402</f>
        <v/>
      </c>
      <c r="B409" s="5">
        <f>'1 datos preparados'!U402</f>
        <v/>
      </c>
      <c r="C409">
        <f>'1 datos preparados'!B402</f>
        <v/>
      </c>
      <c r="D409" s="7">
        <f>'1 datos preparados'!C402</f>
        <v/>
      </c>
      <c r="E409" s="7">
        <f>'1 datos preparados'!D402</f>
        <v/>
      </c>
      <c r="F409" s="7">
        <f>'1 datos preparados'!E402</f>
        <v/>
      </c>
      <c r="G409" s="7">
        <f>'1 datos preparados'!F402</f>
        <v/>
      </c>
      <c r="H409" s="7">
        <f>'1 datos preparados'!G402</f>
        <v/>
      </c>
      <c r="I409" s="7">
        <f>'1 datos preparados'!H402</f>
        <v/>
      </c>
      <c r="J409" s="7">
        <f>'1 datos preparados'!I402</f>
        <v/>
      </c>
      <c r="K409" s="7">
        <f>'1 datos preparados'!J402</f>
        <v/>
      </c>
      <c r="L409" s="7">
        <f>'1 datos preparados'!K402</f>
        <v/>
      </c>
      <c r="M409" s="7">
        <f>'1 datos preparados'!L402</f>
        <v/>
      </c>
      <c r="N409" s="7">
        <f>'1 datos preparados'!M402</f>
        <v/>
      </c>
      <c r="O409" s="7">
        <f>'1 datos preparados'!N402</f>
        <v/>
      </c>
      <c r="P409" s="7">
        <f>'1 datos preparados'!O402</f>
        <v/>
      </c>
      <c r="Q409" s="7">
        <f>'1 datos preparados'!P402</f>
        <v/>
      </c>
      <c r="R409" s="7">
        <f>'1 datos preparados'!Q402</f>
        <v/>
      </c>
      <c r="S409" s="7">
        <f>'1 datos preparados'!R402</f>
        <v/>
      </c>
      <c r="T409" s="7">
        <f>'1 datos preparados'!S402</f>
        <v/>
      </c>
      <c r="U409" s="7">
        <f>'1 datos preparados'!T402</f>
        <v/>
      </c>
      <c r="V409" s="8">
        <f>$AC$12+D409*$AC$13+E409*$AC$14+F409*$AC$15+G409*$AC$16+H409*$AC$17+I409*$AC$18+J409*$AC$19+K409*$AC$20+L409*$AC$21+M409*$AC$22+N409*$AC$23+O409*$AC$24+P409*$AC$25+Q409*$AC$26+R409*$AC$27+S409*$AC$28+T409*$AC$29+U409*$AC$30</f>
        <v/>
      </c>
      <c r="W409" s="8">
        <f>1/(1+EXP(-V409))</f>
        <v/>
      </c>
      <c r="X409" s="9">
        <f>-IF(C409=1,LN(W409),LN(1-W409))</f>
        <v/>
      </c>
      <c r="Y409" s="10">
        <f>IF(W409&gt;$AC$33,1,0)</f>
        <v/>
      </c>
      <c r="Z409">
        <f>IF(Y409=C409,1,0)</f>
        <v/>
      </c>
    </row>
    <row r="410">
      <c r="A410">
        <f>'1 datos preparados'!A403</f>
        <v/>
      </c>
      <c r="B410" s="5">
        <f>'1 datos preparados'!U403</f>
        <v/>
      </c>
      <c r="C410">
        <f>'1 datos preparados'!B403</f>
        <v/>
      </c>
      <c r="D410" s="7">
        <f>'1 datos preparados'!C403</f>
        <v/>
      </c>
      <c r="E410" s="7">
        <f>'1 datos preparados'!D403</f>
        <v/>
      </c>
      <c r="F410" s="7">
        <f>'1 datos preparados'!E403</f>
        <v/>
      </c>
      <c r="G410" s="7">
        <f>'1 datos preparados'!F403</f>
        <v/>
      </c>
      <c r="H410" s="7">
        <f>'1 datos preparados'!G403</f>
        <v/>
      </c>
      <c r="I410" s="7">
        <f>'1 datos preparados'!H403</f>
        <v/>
      </c>
      <c r="J410" s="7">
        <f>'1 datos preparados'!I403</f>
        <v/>
      </c>
      <c r="K410" s="7">
        <f>'1 datos preparados'!J403</f>
        <v/>
      </c>
      <c r="L410" s="7">
        <f>'1 datos preparados'!K403</f>
        <v/>
      </c>
      <c r="M410" s="7">
        <f>'1 datos preparados'!L403</f>
        <v/>
      </c>
      <c r="N410" s="7">
        <f>'1 datos preparados'!M403</f>
        <v/>
      </c>
      <c r="O410" s="7">
        <f>'1 datos preparados'!N403</f>
        <v/>
      </c>
      <c r="P410" s="7">
        <f>'1 datos preparados'!O403</f>
        <v/>
      </c>
      <c r="Q410" s="7">
        <f>'1 datos preparados'!P403</f>
        <v/>
      </c>
      <c r="R410" s="7">
        <f>'1 datos preparados'!Q403</f>
        <v/>
      </c>
      <c r="S410" s="7">
        <f>'1 datos preparados'!R403</f>
        <v/>
      </c>
      <c r="T410" s="7">
        <f>'1 datos preparados'!S403</f>
        <v/>
      </c>
      <c r="U410" s="7">
        <f>'1 datos preparados'!T403</f>
        <v/>
      </c>
      <c r="V410" s="8">
        <f>$AC$12+D410*$AC$13+E410*$AC$14+F410*$AC$15+G410*$AC$16+H410*$AC$17+I410*$AC$18+J410*$AC$19+K410*$AC$20+L410*$AC$21+M410*$AC$22+N410*$AC$23+O410*$AC$24+P410*$AC$25+Q410*$AC$26+R410*$AC$27+S410*$AC$28+T410*$AC$29+U410*$AC$30</f>
        <v/>
      </c>
      <c r="W410" s="8">
        <f>1/(1+EXP(-V410))</f>
        <v/>
      </c>
      <c r="X410" s="9">
        <f>-IF(C410=1,LN(W410),LN(1-W410))</f>
        <v/>
      </c>
      <c r="Y410" s="10">
        <f>IF(W410&gt;$AC$33,1,0)</f>
        <v/>
      </c>
      <c r="Z410">
        <f>IF(Y410=C410,1,0)</f>
        <v/>
      </c>
    </row>
    <row r="411">
      <c r="A411">
        <f>'1 datos preparados'!A404</f>
        <v/>
      </c>
      <c r="B411" s="5">
        <f>'1 datos preparados'!U404</f>
        <v/>
      </c>
      <c r="C411">
        <f>'1 datos preparados'!B404</f>
        <v/>
      </c>
      <c r="D411" s="7">
        <f>'1 datos preparados'!C404</f>
        <v/>
      </c>
      <c r="E411" s="7">
        <f>'1 datos preparados'!D404</f>
        <v/>
      </c>
      <c r="F411" s="7">
        <f>'1 datos preparados'!E404</f>
        <v/>
      </c>
      <c r="G411" s="7">
        <f>'1 datos preparados'!F404</f>
        <v/>
      </c>
      <c r="H411" s="7">
        <f>'1 datos preparados'!G404</f>
        <v/>
      </c>
      <c r="I411" s="7">
        <f>'1 datos preparados'!H404</f>
        <v/>
      </c>
      <c r="J411" s="7">
        <f>'1 datos preparados'!I404</f>
        <v/>
      </c>
      <c r="K411" s="7">
        <f>'1 datos preparados'!J404</f>
        <v/>
      </c>
      <c r="L411" s="7">
        <f>'1 datos preparados'!K404</f>
        <v/>
      </c>
      <c r="M411" s="7">
        <f>'1 datos preparados'!L404</f>
        <v/>
      </c>
      <c r="N411" s="7">
        <f>'1 datos preparados'!M404</f>
        <v/>
      </c>
      <c r="O411" s="7">
        <f>'1 datos preparados'!N404</f>
        <v/>
      </c>
      <c r="P411" s="7">
        <f>'1 datos preparados'!O404</f>
        <v/>
      </c>
      <c r="Q411" s="7">
        <f>'1 datos preparados'!P404</f>
        <v/>
      </c>
      <c r="R411" s="7">
        <f>'1 datos preparados'!Q404</f>
        <v/>
      </c>
      <c r="S411" s="7">
        <f>'1 datos preparados'!R404</f>
        <v/>
      </c>
      <c r="T411" s="7">
        <f>'1 datos preparados'!S404</f>
        <v/>
      </c>
      <c r="U411" s="7">
        <f>'1 datos preparados'!T404</f>
        <v/>
      </c>
      <c r="V411" s="8">
        <f>$AC$12+D411*$AC$13+E411*$AC$14+F411*$AC$15+G411*$AC$16+H411*$AC$17+I411*$AC$18+J411*$AC$19+K411*$AC$20+L411*$AC$21+M411*$AC$22+N411*$AC$23+O411*$AC$24+P411*$AC$25+Q411*$AC$26+R411*$AC$27+S411*$AC$28+T411*$AC$29+U411*$AC$30</f>
        <v/>
      </c>
      <c r="W411" s="8">
        <f>1/(1+EXP(-V411))</f>
        <v/>
      </c>
      <c r="X411" s="9">
        <f>-IF(C411=1,LN(W411),LN(1-W411))</f>
        <v/>
      </c>
      <c r="Y411" s="10">
        <f>IF(W411&gt;$AC$33,1,0)</f>
        <v/>
      </c>
      <c r="Z411">
        <f>IF(Y411=C411,1,0)</f>
        <v/>
      </c>
    </row>
    <row r="412">
      <c r="A412">
        <f>'1 datos preparados'!A405</f>
        <v/>
      </c>
      <c r="B412" s="5">
        <f>'1 datos preparados'!U405</f>
        <v/>
      </c>
      <c r="C412">
        <f>'1 datos preparados'!B405</f>
        <v/>
      </c>
      <c r="D412" s="7">
        <f>'1 datos preparados'!C405</f>
        <v/>
      </c>
      <c r="E412" s="7">
        <f>'1 datos preparados'!D405</f>
        <v/>
      </c>
      <c r="F412" s="7">
        <f>'1 datos preparados'!E405</f>
        <v/>
      </c>
      <c r="G412" s="7">
        <f>'1 datos preparados'!F405</f>
        <v/>
      </c>
      <c r="H412" s="7">
        <f>'1 datos preparados'!G405</f>
        <v/>
      </c>
      <c r="I412" s="7">
        <f>'1 datos preparados'!H405</f>
        <v/>
      </c>
      <c r="J412" s="7">
        <f>'1 datos preparados'!I405</f>
        <v/>
      </c>
      <c r="K412" s="7">
        <f>'1 datos preparados'!J405</f>
        <v/>
      </c>
      <c r="L412" s="7">
        <f>'1 datos preparados'!K405</f>
        <v/>
      </c>
      <c r="M412" s="7">
        <f>'1 datos preparados'!L405</f>
        <v/>
      </c>
      <c r="N412" s="7">
        <f>'1 datos preparados'!M405</f>
        <v/>
      </c>
      <c r="O412" s="7">
        <f>'1 datos preparados'!N405</f>
        <v/>
      </c>
      <c r="P412" s="7">
        <f>'1 datos preparados'!O405</f>
        <v/>
      </c>
      <c r="Q412" s="7">
        <f>'1 datos preparados'!P405</f>
        <v/>
      </c>
      <c r="R412" s="7">
        <f>'1 datos preparados'!Q405</f>
        <v/>
      </c>
      <c r="S412" s="7">
        <f>'1 datos preparados'!R405</f>
        <v/>
      </c>
      <c r="T412" s="7">
        <f>'1 datos preparados'!S405</f>
        <v/>
      </c>
      <c r="U412" s="7">
        <f>'1 datos preparados'!T405</f>
        <v/>
      </c>
      <c r="V412" s="8">
        <f>$AC$12+D412*$AC$13+E412*$AC$14+F412*$AC$15+G412*$AC$16+H412*$AC$17+I412*$AC$18+J412*$AC$19+K412*$AC$20+L412*$AC$21+M412*$AC$22+N412*$AC$23+O412*$AC$24+P412*$AC$25+Q412*$AC$26+R412*$AC$27+S412*$AC$28+T412*$AC$29+U412*$AC$30</f>
        <v/>
      </c>
      <c r="W412" s="8">
        <f>1/(1+EXP(-V412))</f>
        <v/>
      </c>
      <c r="X412" s="9">
        <f>-IF(C412=1,LN(W412),LN(1-W412))</f>
        <v/>
      </c>
      <c r="Y412" s="10">
        <f>IF(W412&gt;$AC$33,1,0)</f>
        <v/>
      </c>
      <c r="Z412">
        <f>IF(Y412=C412,1,0)</f>
        <v/>
      </c>
    </row>
    <row r="413">
      <c r="A413">
        <f>'1 datos preparados'!A406</f>
        <v/>
      </c>
      <c r="B413" s="5">
        <f>'1 datos preparados'!U406</f>
        <v/>
      </c>
      <c r="C413">
        <f>'1 datos preparados'!B406</f>
        <v/>
      </c>
      <c r="D413" s="7">
        <f>'1 datos preparados'!C406</f>
        <v/>
      </c>
      <c r="E413" s="7">
        <f>'1 datos preparados'!D406</f>
        <v/>
      </c>
      <c r="F413" s="7">
        <f>'1 datos preparados'!E406</f>
        <v/>
      </c>
      <c r="G413" s="7">
        <f>'1 datos preparados'!F406</f>
        <v/>
      </c>
      <c r="H413" s="7">
        <f>'1 datos preparados'!G406</f>
        <v/>
      </c>
      <c r="I413" s="7">
        <f>'1 datos preparados'!H406</f>
        <v/>
      </c>
      <c r="J413" s="7">
        <f>'1 datos preparados'!I406</f>
        <v/>
      </c>
      <c r="K413" s="7">
        <f>'1 datos preparados'!J406</f>
        <v/>
      </c>
      <c r="L413" s="7">
        <f>'1 datos preparados'!K406</f>
        <v/>
      </c>
      <c r="M413" s="7">
        <f>'1 datos preparados'!L406</f>
        <v/>
      </c>
      <c r="N413" s="7">
        <f>'1 datos preparados'!M406</f>
        <v/>
      </c>
      <c r="O413" s="7">
        <f>'1 datos preparados'!N406</f>
        <v/>
      </c>
      <c r="P413" s="7">
        <f>'1 datos preparados'!O406</f>
        <v/>
      </c>
      <c r="Q413" s="7">
        <f>'1 datos preparados'!P406</f>
        <v/>
      </c>
      <c r="R413" s="7">
        <f>'1 datos preparados'!Q406</f>
        <v/>
      </c>
      <c r="S413" s="7">
        <f>'1 datos preparados'!R406</f>
        <v/>
      </c>
      <c r="T413" s="7">
        <f>'1 datos preparados'!S406</f>
        <v/>
      </c>
      <c r="U413" s="7">
        <f>'1 datos preparados'!T406</f>
        <v/>
      </c>
      <c r="V413" s="8">
        <f>$AC$12+D413*$AC$13+E413*$AC$14+F413*$AC$15+G413*$AC$16+H413*$AC$17+I413*$AC$18+J413*$AC$19+K413*$AC$20+L413*$AC$21+M413*$AC$22+N413*$AC$23+O413*$AC$24+P413*$AC$25+Q413*$AC$26+R413*$AC$27+S413*$AC$28+T413*$AC$29+U413*$AC$30</f>
        <v/>
      </c>
      <c r="W413" s="8">
        <f>1/(1+EXP(-V413))</f>
        <v/>
      </c>
      <c r="X413" s="9">
        <f>-IF(C413=1,LN(W413),LN(1-W413))</f>
        <v/>
      </c>
      <c r="Y413" s="10">
        <f>IF(W413&gt;$AC$33,1,0)</f>
        <v/>
      </c>
      <c r="Z413">
        <f>IF(Y413=C413,1,0)</f>
        <v/>
      </c>
    </row>
    <row r="414">
      <c r="A414">
        <f>'1 datos preparados'!A407</f>
        <v/>
      </c>
      <c r="B414" s="5">
        <f>'1 datos preparados'!U407</f>
        <v/>
      </c>
      <c r="C414">
        <f>'1 datos preparados'!B407</f>
        <v/>
      </c>
      <c r="D414" s="7">
        <f>'1 datos preparados'!C407</f>
        <v/>
      </c>
      <c r="E414" s="7">
        <f>'1 datos preparados'!D407</f>
        <v/>
      </c>
      <c r="F414" s="7">
        <f>'1 datos preparados'!E407</f>
        <v/>
      </c>
      <c r="G414" s="7">
        <f>'1 datos preparados'!F407</f>
        <v/>
      </c>
      <c r="H414" s="7">
        <f>'1 datos preparados'!G407</f>
        <v/>
      </c>
      <c r="I414" s="7">
        <f>'1 datos preparados'!H407</f>
        <v/>
      </c>
      <c r="J414" s="7">
        <f>'1 datos preparados'!I407</f>
        <v/>
      </c>
      <c r="K414" s="7">
        <f>'1 datos preparados'!J407</f>
        <v/>
      </c>
      <c r="L414" s="7">
        <f>'1 datos preparados'!K407</f>
        <v/>
      </c>
      <c r="M414" s="7">
        <f>'1 datos preparados'!L407</f>
        <v/>
      </c>
      <c r="N414" s="7">
        <f>'1 datos preparados'!M407</f>
        <v/>
      </c>
      <c r="O414" s="7">
        <f>'1 datos preparados'!N407</f>
        <v/>
      </c>
      <c r="P414" s="7">
        <f>'1 datos preparados'!O407</f>
        <v/>
      </c>
      <c r="Q414" s="7">
        <f>'1 datos preparados'!P407</f>
        <v/>
      </c>
      <c r="R414" s="7">
        <f>'1 datos preparados'!Q407</f>
        <v/>
      </c>
      <c r="S414" s="7">
        <f>'1 datos preparados'!R407</f>
        <v/>
      </c>
      <c r="T414" s="7">
        <f>'1 datos preparados'!S407</f>
        <v/>
      </c>
      <c r="U414" s="7">
        <f>'1 datos preparados'!T407</f>
        <v/>
      </c>
      <c r="V414" s="8">
        <f>$AC$12+D414*$AC$13+E414*$AC$14+F414*$AC$15+G414*$AC$16+H414*$AC$17+I414*$AC$18+J414*$AC$19+K414*$AC$20+L414*$AC$21+M414*$AC$22+N414*$AC$23+O414*$AC$24+P414*$AC$25+Q414*$AC$26+R414*$AC$27+S414*$AC$28+T414*$AC$29+U414*$AC$30</f>
        <v/>
      </c>
      <c r="W414" s="8">
        <f>1/(1+EXP(-V414))</f>
        <v/>
      </c>
      <c r="X414" s="9">
        <f>-IF(C414=1,LN(W414),LN(1-W414))</f>
        <v/>
      </c>
      <c r="Y414" s="10">
        <f>IF(W414&gt;$AC$33,1,0)</f>
        <v/>
      </c>
      <c r="Z414">
        <f>IF(Y414=C414,1,0)</f>
        <v/>
      </c>
    </row>
    <row r="415">
      <c r="A415">
        <f>'1 datos preparados'!A408</f>
        <v/>
      </c>
      <c r="B415" s="5">
        <f>'1 datos preparados'!U408</f>
        <v/>
      </c>
      <c r="C415">
        <f>'1 datos preparados'!B408</f>
        <v/>
      </c>
      <c r="D415" s="7">
        <f>'1 datos preparados'!C408</f>
        <v/>
      </c>
      <c r="E415" s="7">
        <f>'1 datos preparados'!D408</f>
        <v/>
      </c>
      <c r="F415" s="7">
        <f>'1 datos preparados'!E408</f>
        <v/>
      </c>
      <c r="G415" s="7">
        <f>'1 datos preparados'!F408</f>
        <v/>
      </c>
      <c r="H415" s="7">
        <f>'1 datos preparados'!G408</f>
        <v/>
      </c>
      <c r="I415" s="7">
        <f>'1 datos preparados'!H408</f>
        <v/>
      </c>
      <c r="J415" s="7">
        <f>'1 datos preparados'!I408</f>
        <v/>
      </c>
      <c r="K415" s="7">
        <f>'1 datos preparados'!J408</f>
        <v/>
      </c>
      <c r="L415" s="7">
        <f>'1 datos preparados'!K408</f>
        <v/>
      </c>
      <c r="M415" s="7">
        <f>'1 datos preparados'!L408</f>
        <v/>
      </c>
      <c r="N415" s="7">
        <f>'1 datos preparados'!M408</f>
        <v/>
      </c>
      <c r="O415" s="7">
        <f>'1 datos preparados'!N408</f>
        <v/>
      </c>
      <c r="P415" s="7">
        <f>'1 datos preparados'!O408</f>
        <v/>
      </c>
      <c r="Q415" s="7">
        <f>'1 datos preparados'!P408</f>
        <v/>
      </c>
      <c r="R415" s="7">
        <f>'1 datos preparados'!Q408</f>
        <v/>
      </c>
      <c r="S415" s="7">
        <f>'1 datos preparados'!R408</f>
        <v/>
      </c>
      <c r="T415" s="7">
        <f>'1 datos preparados'!S408</f>
        <v/>
      </c>
      <c r="U415" s="7">
        <f>'1 datos preparados'!T408</f>
        <v/>
      </c>
      <c r="V415" s="8">
        <f>$AC$12+D415*$AC$13+E415*$AC$14+F415*$AC$15+G415*$AC$16+H415*$AC$17+I415*$AC$18+J415*$AC$19+K415*$AC$20+L415*$AC$21+M415*$AC$22+N415*$AC$23+O415*$AC$24+P415*$AC$25+Q415*$AC$26+R415*$AC$27+S415*$AC$28+T415*$AC$29+U415*$AC$30</f>
        <v/>
      </c>
      <c r="W415" s="8">
        <f>1/(1+EXP(-V415))</f>
        <v/>
      </c>
      <c r="X415" s="9">
        <f>-IF(C415=1,LN(W415),LN(1-W415))</f>
        <v/>
      </c>
      <c r="Y415" s="10">
        <f>IF(W415&gt;$AC$33,1,0)</f>
        <v/>
      </c>
      <c r="Z415">
        <f>IF(Y415=C415,1,0)</f>
        <v/>
      </c>
    </row>
    <row r="416">
      <c r="A416">
        <f>'1 datos preparados'!A409</f>
        <v/>
      </c>
      <c r="B416" s="5">
        <f>'1 datos preparados'!U409</f>
        <v/>
      </c>
      <c r="C416">
        <f>'1 datos preparados'!B409</f>
        <v/>
      </c>
      <c r="D416" s="7">
        <f>'1 datos preparados'!C409</f>
        <v/>
      </c>
      <c r="E416" s="7">
        <f>'1 datos preparados'!D409</f>
        <v/>
      </c>
      <c r="F416" s="7">
        <f>'1 datos preparados'!E409</f>
        <v/>
      </c>
      <c r="G416" s="7">
        <f>'1 datos preparados'!F409</f>
        <v/>
      </c>
      <c r="H416" s="7">
        <f>'1 datos preparados'!G409</f>
        <v/>
      </c>
      <c r="I416" s="7">
        <f>'1 datos preparados'!H409</f>
        <v/>
      </c>
      <c r="J416" s="7">
        <f>'1 datos preparados'!I409</f>
        <v/>
      </c>
      <c r="K416" s="7">
        <f>'1 datos preparados'!J409</f>
        <v/>
      </c>
      <c r="L416" s="7">
        <f>'1 datos preparados'!K409</f>
        <v/>
      </c>
      <c r="M416" s="7">
        <f>'1 datos preparados'!L409</f>
        <v/>
      </c>
      <c r="N416" s="7">
        <f>'1 datos preparados'!M409</f>
        <v/>
      </c>
      <c r="O416" s="7">
        <f>'1 datos preparados'!N409</f>
        <v/>
      </c>
      <c r="P416" s="7">
        <f>'1 datos preparados'!O409</f>
        <v/>
      </c>
      <c r="Q416" s="7">
        <f>'1 datos preparados'!P409</f>
        <v/>
      </c>
      <c r="R416" s="7">
        <f>'1 datos preparados'!Q409</f>
        <v/>
      </c>
      <c r="S416" s="7">
        <f>'1 datos preparados'!R409</f>
        <v/>
      </c>
      <c r="T416" s="7">
        <f>'1 datos preparados'!S409</f>
        <v/>
      </c>
      <c r="U416" s="7">
        <f>'1 datos preparados'!T409</f>
        <v/>
      </c>
      <c r="V416" s="8">
        <f>$AC$12+D416*$AC$13+E416*$AC$14+F416*$AC$15+G416*$AC$16+H416*$AC$17+I416*$AC$18+J416*$AC$19+K416*$AC$20+L416*$AC$21+M416*$AC$22+N416*$AC$23+O416*$AC$24+P416*$AC$25+Q416*$AC$26+R416*$AC$27+S416*$AC$28+T416*$AC$29+U416*$AC$30</f>
        <v/>
      </c>
      <c r="W416" s="8">
        <f>1/(1+EXP(-V416))</f>
        <v/>
      </c>
      <c r="X416" s="9">
        <f>-IF(C416=1,LN(W416),LN(1-W416))</f>
        <v/>
      </c>
      <c r="Y416" s="10">
        <f>IF(W416&gt;$AC$33,1,0)</f>
        <v/>
      </c>
      <c r="Z416">
        <f>IF(Y416=C416,1,0)</f>
        <v/>
      </c>
    </row>
    <row r="417">
      <c r="A417">
        <f>'1 datos preparados'!A410</f>
        <v/>
      </c>
      <c r="B417" s="5">
        <f>'1 datos preparados'!U410</f>
        <v/>
      </c>
      <c r="C417">
        <f>'1 datos preparados'!B410</f>
        <v/>
      </c>
      <c r="D417" s="7">
        <f>'1 datos preparados'!C410</f>
        <v/>
      </c>
      <c r="E417" s="7">
        <f>'1 datos preparados'!D410</f>
        <v/>
      </c>
      <c r="F417" s="7">
        <f>'1 datos preparados'!E410</f>
        <v/>
      </c>
      <c r="G417" s="7">
        <f>'1 datos preparados'!F410</f>
        <v/>
      </c>
      <c r="H417" s="7">
        <f>'1 datos preparados'!G410</f>
        <v/>
      </c>
      <c r="I417" s="7">
        <f>'1 datos preparados'!H410</f>
        <v/>
      </c>
      <c r="J417" s="7">
        <f>'1 datos preparados'!I410</f>
        <v/>
      </c>
      <c r="K417" s="7">
        <f>'1 datos preparados'!J410</f>
        <v/>
      </c>
      <c r="L417" s="7">
        <f>'1 datos preparados'!K410</f>
        <v/>
      </c>
      <c r="M417" s="7">
        <f>'1 datos preparados'!L410</f>
        <v/>
      </c>
      <c r="N417" s="7">
        <f>'1 datos preparados'!M410</f>
        <v/>
      </c>
      <c r="O417" s="7">
        <f>'1 datos preparados'!N410</f>
        <v/>
      </c>
      <c r="P417" s="7">
        <f>'1 datos preparados'!O410</f>
        <v/>
      </c>
      <c r="Q417" s="7">
        <f>'1 datos preparados'!P410</f>
        <v/>
      </c>
      <c r="R417" s="7">
        <f>'1 datos preparados'!Q410</f>
        <v/>
      </c>
      <c r="S417" s="7">
        <f>'1 datos preparados'!R410</f>
        <v/>
      </c>
      <c r="T417" s="7">
        <f>'1 datos preparados'!S410</f>
        <v/>
      </c>
      <c r="U417" s="7">
        <f>'1 datos preparados'!T410</f>
        <v/>
      </c>
      <c r="V417" s="8">
        <f>$AC$12+D417*$AC$13+E417*$AC$14+F417*$AC$15+G417*$AC$16+H417*$AC$17+I417*$AC$18+J417*$AC$19+K417*$AC$20+L417*$AC$21+M417*$AC$22+N417*$AC$23+O417*$AC$24+P417*$AC$25+Q417*$AC$26+R417*$AC$27+S417*$AC$28+T417*$AC$29+U417*$AC$30</f>
        <v/>
      </c>
      <c r="W417" s="8">
        <f>1/(1+EXP(-V417))</f>
        <v/>
      </c>
      <c r="X417" s="9">
        <f>-IF(C417=1,LN(W417),LN(1-W417))</f>
        <v/>
      </c>
      <c r="Y417" s="10">
        <f>IF(W417&gt;$AC$33,1,0)</f>
        <v/>
      </c>
      <c r="Z417">
        <f>IF(Y417=C417,1,0)</f>
        <v/>
      </c>
    </row>
    <row r="418">
      <c r="A418">
        <f>'1 datos preparados'!A411</f>
        <v/>
      </c>
      <c r="B418" s="5">
        <f>'1 datos preparados'!U411</f>
        <v/>
      </c>
      <c r="C418">
        <f>'1 datos preparados'!B411</f>
        <v/>
      </c>
      <c r="D418" s="7">
        <f>'1 datos preparados'!C411</f>
        <v/>
      </c>
      <c r="E418" s="7">
        <f>'1 datos preparados'!D411</f>
        <v/>
      </c>
      <c r="F418" s="7">
        <f>'1 datos preparados'!E411</f>
        <v/>
      </c>
      <c r="G418" s="7">
        <f>'1 datos preparados'!F411</f>
        <v/>
      </c>
      <c r="H418" s="7">
        <f>'1 datos preparados'!G411</f>
        <v/>
      </c>
      <c r="I418" s="7">
        <f>'1 datos preparados'!H411</f>
        <v/>
      </c>
      <c r="J418" s="7">
        <f>'1 datos preparados'!I411</f>
        <v/>
      </c>
      <c r="K418" s="7">
        <f>'1 datos preparados'!J411</f>
        <v/>
      </c>
      <c r="L418" s="7">
        <f>'1 datos preparados'!K411</f>
        <v/>
      </c>
      <c r="M418" s="7">
        <f>'1 datos preparados'!L411</f>
        <v/>
      </c>
      <c r="N418" s="7">
        <f>'1 datos preparados'!M411</f>
        <v/>
      </c>
      <c r="O418" s="7">
        <f>'1 datos preparados'!N411</f>
        <v/>
      </c>
      <c r="P418" s="7">
        <f>'1 datos preparados'!O411</f>
        <v/>
      </c>
      <c r="Q418" s="7">
        <f>'1 datos preparados'!P411</f>
        <v/>
      </c>
      <c r="R418" s="7">
        <f>'1 datos preparados'!Q411</f>
        <v/>
      </c>
      <c r="S418" s="7">
        <f>'1 datos preparados'!R411</f>
        <v/>
      </c>
      <c r="T418" s="7">
        <f>'1 datos preparados'!S411</f>
        <v/>
      </c>
      <c r="U418" s="7">
        <f>'1 datos preparados'!T411</f>
        <v/>
      </c>
      <c r="V418" s="8">
        <f>$AC$12+D418*$AC$13+E418*$AC$14+F418*$AC$15+G418*$AC$16+H418*$AC$17+I418*$AC$18+J418*$AC$19+K418*$AC$20+L418*$AC$21+M418*$AC$22+N418*$AC$23+O418*$AC$24+P418*$AC$25+Q418*$AC$26+R418*$AC$27+S418*$AC$28+T418*$AC$29+U418*$AC$30</f>
        <v/>
      </c>
      <c r="W418" s="8">
        <f>1/(1+EXP(-V418))</f>
        <v/>
      </c>
      <c r="X418" s="9">
        <f>-IF(C418=1,LN(W418),LN(1-W418))</f>
        <v/>
      </c>
      <c r="Y418" s="10">
        <f>IF(W418&gt;$AC$33,1,0)</f>
        <v/>
      </c>
      <c r="Z418">
        <f>IF(Y418=C418,1,0)</f>
        <v/>
      </c>
    </row>
    <row r="419">
      <c r="A419">
        <f>'1 datos preparados'!A412</f>
        <v/>
      </c>
      <c r="B419" s="5">
        <f>'1 datos preparados'!U412</f>
        <v/>
      </c>
      <c r="C419">
        <f>'1 datos preparados'!B412</f>
        <v/>
      </c>
      <c r="D419" s="7">
        <f>'1 datos preparados'!C412</f>
        <v/>
      </c>
      <c r="E419" s="7">
        <f>'1 datos preparados'!D412</f>
        <v/>
      </c>
      <c r="F419" s="7">
        <f>'1 datos preparados'!E412</f>
        <v/>
      </c>
      <c r="G419" s="7">
        <f>'1 datos preparados'!F412</f>
        <v/>
      </c>
      <c r="H419" s="7">
        <f>'1 datos preparados'!G412</f>
        <v/>
      </c>
      <c r="I419" s="7">
        <f>'1 datos preparados'!H412</f>
        <v/>
      </c>
      <c r="J419" s="7">
        <f>'1 datos preparados'!I412</f>
        <v/>
      </c>
      <c r="K419" s="7">
        <f>'1 datos preparados'!J412</f>
        <v/>
      </c>
      <c r="L419" s="7">
        <f>'1 datos preparados'!K412</f>
        <v/>
      </c>
      <c r="M419" s="7">
        <f>'1 datos preparados'!L412</f>
        <v/>
      </c>
      <c r="N419" s="7">
        <f>'1 datos preparados'!M412</f>
        <v/>
      </c>
      <c r="O419" s="7">
        <f>'1 datos preparados'!N412</f>
        <v/>
      </c>
      <c r="P419" s="7">
        <f>'1 datos preparados'!O412</f>
        <v/>
      </c>
      <c r="Q419" s="7">
        <f>'1 datos preparados'!P412</f>
        <v/>
      </c>
      <c r="R419" s="7">
        <f>'1 datos preparados'!Q412</f>
        <v/>
      </c>
      <c r="S419" s="7">
        <f>'1 datos preparados'!R412</f>
        <v/>
      </c>
      <c r="T419" s="7">
        <f>'1 datos preparados'!S412</f>
        <v/>
      </c>
      <c r="U419" s="7">
        <f>'1 datos preparados'!T412</f>
        <v/>
      </c>
      <c r="V419" s="8">
        <f>$AC$12+D419*$AC$13+E419*$AC$14+F419*$AC$15+G419*$AC$16+H419*$AC$17+I419*$AC$18+J419*$AC$19+K419*$AC$20+L419*$AC$21+M419*$AC$22+N419*$AC$23+O419*$AC$24+P419*$AC$25+Q419*$AC$26+R419*$AC$27+S419*$AC$28+T419*$AC$29+U419*$AC$30</f>
        <v/>
      </c>
      <c r="W419" s="8">
        <f>1/(1+EXP(-V419))</f>
        <v/>
      </c>
      <c r="X419" s="9">
        <f>-IF(C419=1,LN(W419),LN(1-W419))</f>
        <v/>
      </c>
      <c r="Y419" s="10">
        <f>IF(W419&gt;$AC$33,1,0)</f>
        <v/>
      </c>
      <c r="Z419">
        <f>IF(Y419=C419,1,0)</f>
        <v/>
      </c>
    </row>
    <row r="420">
      <c r="A420">
        <f>'1 datos preparados'!A413</f>
        <v/>
      </c>
      <c r="B420" s="5">
        <f>'1 datos preparados'!U413</f>
        <v/>
      </c>
      <c r="C420">
        <f>'1 datos preparados'!B413</f>
        <v/>
      </c>
      <c r="D420" s="7">
        <f>'1 datos preparados'!C413</f>
        <v/>
      </c>
      <c r="E420" s="7">
        <f>'1 datos preparados'!D413</f>
        <v/>
      </c>
      <c r="F420" s="7">
        <f>'1 datos preparados'!E413</f>
        <v/>
      </c>
      <c r="G420" s="7">
        <f>'1 datos preparados'!F413</f>
        <v/>
      </c>
      <c r="H420" s="7">
        <f>'1 datos preparados'!G413</f>
        <v/>
      </c>
      <c r="I420" s="7">
        <f>'1 datos preparados'!H413</f>
        <v/>
      </c>
      <c r="J420" s="7">
        <f>'1 datos preparados'!I413</f>
        <v/>
      </c>
      <c r="K420" s="7">
        <f>'1 datos preparados'!J413</f>
        <v/>
      </c>
      <c r="L420" s="7">
        <f>'1 datos preparados'!K413</f>
        <v/>
      </c>
      <c r="M420" s="7">
        <f>'1 datos preparados'!L413</f>
        <v/>
      </c>
      <c r="N420" s="7">
        <f>'1 datos preparados'!M413</f>
        <v/>
      </c>
      <c r="O420" s="7">
        <f>'1 datos preparados'!N413</f>
        <v/>
      </c>
      <c r="P420" s="7">
        <f>'1 datos preparados'!O413</f>
        <v/>
      </c>
      <c r="Q420" s="7">
        <f>'1 datos preparados'!P413</f>
        <v/>
      </c>
      <c r="R420" s="7">
        <f>'1 datos preparados'!Q413</f>
        <v/>
      </c>
      <c r="S420" s="7">
        <f>'1 datos preparados'!R413</f>
        <v/>
      </c>
      <c r="T420" s="7">
        <f>'1 datos preparados'!S413</f>
        <v/>
      </c>
      <c r="U420" s="7">
        <f>'1 datos preparados'!T413</f>
        <v/>
      </c>
      <c r="V420" s="8">
        <f>$AC$12+D420*$AC$13+E420*$AC$14+F420*$AC$15+G420*$AC$16+H420*$AC$17+I420*$AC$18+J420*$AC$19+K420*$AC$20+L420*$AC$21+M420*$AC$22+N420*$AC$23+O420*$AC$24+P420*$AC$25+Q420*$AC$26+R420*$AC$27+S420*$AC$28+T420*$AC$29+U420*$AC$30</f>
        <v/>
      </c>
      <c r="W420" s="8">
        <f>1/(1+EXP(-V420))</f>
        <v/>
      </c>
      <c r="X420" s="9">
        <f>-IF(C420=1,LN(W420),LN(1-W420))</f>
        <v/>
      </c>
      <c r="Y420" s="10">
        <f>IF(W420&gt;$AC$33,1,0)</f>
        <v/>
      </c>
      <c r="Z420">
        <f>IF(Y420=C420,1,0)</f>
        <v/>
      </c>
    </row>
    <row r="421">
      <c r="A421">
        <f>'1 datos preparados'!A414</f>
        <v/>
      </c>
      <c r="B421" s="5">
        <f>'1 datos preparados'!U414</f>
        <v/>
      </c>
      <c r="C421">
        <f>'1 datos preparados'!B414</f>
        <v/>
      </c>
      <c r="D421" s="7">
        <f>'1 datos preparados'!C414</f>
        <v/>
      </c>
      <c r="E421" s="7">
        <f>'1 datos preparados'!D414</f>
        <v/>
      </c>
      <c r="F421" s="7">
        <f>'1 datos preparados'!E414</f>
        <v/>
      </c>
      <c r="G421" s="7">
        <f>'1 datos preparados'!F414</f>
        <v/>
      </c>
      <c r="H421" s="7">
        <f>'1 datos preparados'!G414</f>
        <v/>
      </c>
      <c r="I421" s="7">
        <f>'1 datos preparados'!H414</f>
        <v/>
      </c>
      <c r="J421" s="7">
        <f>'1 datos preparados'!I414</f>
        <v/>
      </c>
      <c r="K421" s="7">
        <f>'1 datos preparados'!J414</f>
        <v/>
      </c>
      <c r="L421" s="7">
        <f>'1 datos preparados'!K414</f>
        <v/>
      </c>
      <c r="M421" s="7">
        <f>'1 datos preparados'!L414</f>
        <v/>
      </c>
      <c r="N421" s="7">
        <f>'1 datos preparados'!M414</f>
        <v/>
      </c>
      <c r="O421" s="7">
        <f>'1 datos preparados'!N414</f>
        <v/>
      </c>
      <c r="P421" s="7">
        <f>'1 datos preparados'!O414</f>
        <v/>
      </c>
      <c r="Q421" s="7">
        <f>'1 datos preparados'!P414</f>
        <v/>
      </c>
      <c r="R421" s="7">
        <f>'1 datos preparados'!Q414</f>
        <v/>
      </c>
      <c r="S421" s="7">
        <f>'1 datos preparados'!R414</f>
        <v/>
      </c>
      <c r="T421" s="7">
        <f>'1 datos preparados'!S414</f>
        <v/>
      </c>
      <c r="U421" s="7">
        <f>'1 datos preparados'!T414</f>
        <v/>
      </c>
      <c r="V421" s="8">
        <f>$AC$12+D421*$AC$13+E421*$AC$14+F421*$AC$15+G421*$AC$16+H421*$AC$17+I421*$AC$18+J421*$AC$19+K421*$AC$20+L421*$AC$21+M421*$AC$22+N421*$AC$23+O421*$AC$24+P421*$AC$25+Q421*$AC$26+R421*$AC$27+S421*$AC$28+T421*$AC$29+U421*$AC$30</f>
        <v/>
      </c>
      <c r="W421" s="8">
        <f>1/(1+EXP(-V421))</f>
        <v/>
      </c>
      <c r="X421" s="9">
        <f>-IF(C421=1,LN(W421),LN(1-W421))</f>
        <v/>
      </c>
      <c r="Y421" s="10">
        <f>IF(W421&gt;$AC$33,1,0)</f>
        <v/>
      </c>
      <c r="Z421">
        <f>IF(Y421=C421,1,0)</f>
        <v/>
      </c>
    </row>
    <row r="422">
      <c r="A422">
        <f>'1 datos preparados'!A415</f>
        <v/>
      </c>
      <c r="B422" s="5">
        <f>'1 datos preparados'!U415</f>
        <v/>
      </c>
      <c r="C422">
        <f>'1 datos preparados'!B415</f>
        <v/>
      </c>
      <c r="D422" s="7">
        <f>'1 datos preparados'!C415</f>
        <v/>
      </c>
      <c r="E422" s="7">
        <f>'1 datos preparados'!D415</f>
        <v/>
      </c>
      <c r="F422" s="7">
        <f>'1 datos preparados'!E415</f>
        <v/>
      </c>
      <c r="G422" s="7">
        <f>'1 datos preparados'!F415</f>
        <v/>
      </c>
      <c r="H422" s="7">
        <f>'1 datos preparados'!G415</f>
        <v/>
      </c>
      <c r="I422" s="7">
        <f>'1 datos preparados'!H415</f>
        <v/>
      </c>
      <c r="J422" s="7">
        <f>'1 datos preparados'!I415</f>
        <v/>
      </c>
      <c r="K422" s="7">
        <f>'1 datos preparados'!J415</f>
        <v/>
      </c>
      <c r="L422" s="7">
        <f>'1 datos preparados'!K415</f>
        <v/>
      </c>
      <c r="M422" s="7">
        <f>'1 datos preparados'!L415</f>
        <v/>
      </c>
      <c r="N422" s="7">
        <f>'1 datos preparados'!M415</f>
        <v/>
      </c>
      <c r="O422" s="7">
        <f>'1 datos preparados'!N415</f>
        <v/>
      </c>
      <c r="P422" s="7">
        <f>'1 datos preparados'!O415</f>
        <v/>
      </c>
      <c r="Q422" s="7">
        <f>'1 datos preparados'!P415</f>
        <v/>
      </c>
      <c r="R422" s="7">
        <f>'1 datos preparados'!Q415</f>
        <v/>
      </c>
      <c r="S422" s="7">
        <f>'1 datos preparados'!R415</f>
        <v/>
      </c>
      <c r="T422" s="7">
        <f>'1 datos preparados'!S415</f>
        <v/>
      </c>
      <c r="U422" s="7">
        <f>'1 datos preparados'!T415</f>
        <v/>
      </c>
      <c r="V422" s="8">
        <f>$AC$12+D422*$AC$13+E422*$AC$14+F422*$AC$15+G422*$AC$16+H422*$AC$17+I422*$AC$18+J422*$AC$19+K422*$AC$20+L422*$AC$21+M422*$AC$22+N422*$AC$23+O422*$AC$24+P422*$AC$25+Q422*$AC$26+R422*$AC$27+S422*$AC$28+T422*$AC$29+U422*$AC$30</f>
        <v/>
      </c>
      <c r="W422" s="8">
        <f>1/(1+EXP(-V422))</f>
        <v/>
      </c>
      <c r="X422" s="9">
        <f>-IF(C422=1,LN(W422),LN(1-W422))</f>
        <v/>
      </c>
      <c r="Y422" s="10">
        <f>IF(W422&gt;$AC$33,1,0)</f>
        <v/>
      </c>
      <c r="Z422">
        <f>IF(Y422=C422,1,0)</f>
        <v/>
      </c>
    </row>
    <row r="423">
      <c r="A423">
        <f>'1 datos preparados'!A416</f>
        <v/>
      </c>
      <c r="B423" s="5">
        <f>'1 datos preparados'!U416</f>
        <v/>
      </c>
      <c r="C423">
        <f>'1 datos preparados'!B416</f>
        <v/>
      </c>
      <c r="D423" s="7">
        <f>'1 datos preparados'!C416</f>
        <v/>
      </c>
      <c r="E423" s="7">
        <f>'1 datos preparados'!D416</f>
        <v/>
      </c>
      <c r="F423" s="7">
        <f>'1 datos preparados'!E416</f>
        <v/>
      </c>
      <c r="G423" s="7">
        <f>'1 datos preparados'!F416</f>
        <v/>
      </c>
      <c r="H423" s="7">
        <f>'1 datos preparados'!G416</f>
        <v/>
      </c>
      <c r="I423" s="7">
        <f>'1 datos preparados'!H416</f>
        <v/>
      </c>
      <c r="J423" s="7">
        <f>'1 datos preparados'!I416</f>
        <v/>
      </c>
      <c r="K423" s="7">
        <f>'1 datos preparados'!J416</f>
        <v/>
      </c>
      <c r="L423" s="7">
        <f>'1 datos preparados'!K416</f>
        <v/>
      </c>
      <c r="M423" s="7">
        <f>'1 datos preparados'!L416</f>
        <v/>
      </c>
      <c r="N423" s="7">
        <f>'1 datos preparados'!M416</f>
        <v/>
      </c>
      <c r="O423" s="7">
        <f>'1 datos preparados'!N416</f>
        <v/>
      </c>
      <c r="P423" s="7">
        <f>'1 datos preparados'!O416</f>
        <v/>
      </c>
      <c r="Q423" s="7">
        <f>'1 datos preparados'!P416</f>
        <v/>
      </c>
      <c r="R423" s="7">
        <f>'1 datos preparados'!Q416</f>
        <v/>
      </c>
      <c r="S423" s="7">
        <f>'1 datos preparados'!R416</f>
        <v/>
      </c>
      <c r="T423" s="7">
        <f>'1 datos preparados'!S416</f>
        <v/>
      </c>
      <c r="U423" s="7">
        <f>'1 datos preparados'!T416</f>
        <v/>
      </c>
      <c r="V423" s="8">
        <f>$AC$12+D423*$AC$13+E423*$AC$14+F423*$AC$15+G423*$AC$16+H423*$AC$17+I423*$AC$18+J423*$AC$19+K423*$AC$20+L423*$AC$21+M423*$AC$22+N423*$AC$23+O423*$AC$24+P423*$AC$25+Q423*$AC$26+R423*$AC$27+S423*$AC$28+T423*$AC$29+U423*$AC$30</f>
        <v/>
      </c>
      <c r="W423" s="8">
        <f>1/(1+EXP(-V423))</f>
        <v/>
      </c>
      <c r="X423" s="9">
        <f>-IF(C423=1,LN(W423),LN(1-W423))</f>
        <v/>
      </c>
      <c r="Y423" s="10">
        <f>IF(W423&gt;$AC$33,1,0)</f>
        <v/>
      </c>
      <c r="Z423">
        <f>IF(Y423=C423,1,0)</f>
        <v/>
      </c>
    </row>
    <row r="424">
      <c r="A424">
        <f>'1 datos preparados'!A417</f>
        <v/>
      </c>
      <c r="B424" s="5">
        <f>'1 datos preparados'!U417</f>
        <v/>
      </c>
      <c r="C424">
        <f>'1 datos preparados'!B417</f>
        <v/>
      </c>
      <c r="D424" s="7">
        <f>'1 datos preparados'!C417</f>
        <v/>
      </c>
      <c r="E424" s="7">
        <f>'1 datos preparados'!D417</f>
        <v/>
      </c>
      <c r="F424" s="7">
        <f>'1 datos preparados'!E417</f>
        <v/>
      </c>
      <c r="G424" s="7">
        <f>'1 datos preparados'!F417</f>
        <v/>
      </c>
      <c r="H424" s="7">
        <f>'1 datos preparados'!G417</f>
        <v/>
      </c>
      <c r="I424" s="7">
        <f>'1 datos preparados'!H417</f>
        <v/>
      </c>
      <c r="J424" s="7">
        <f>'1 datos preparados'!I417</f>
        <v/>
      </c>
      <c r="K424" s="7">
        <f>'1 datos preparados'!J417</f>
        <v/>
      </c>
      <c r="L424" s="7">
        <f>'1 datos preparados'!K417</f>
        <v/>
      </c>
      <c r="M424" s="7">
        <f>'1 datos preparados'!L417</f>
        <v/>
      </c>
      <c r="N424" s="7">
        <f>'1 datos preparados'!M417</f>
        <v/>
      </c>
      <c r="O424" s="7">
        <f>'1 datos preparados'!N417</f>
        <v/>
      </c>
      <c r="P424" s="7">
        <f>'1 datos preparados'!O417</f>
        <v/>
      </c>
      <c r="Q424" s="7">
        <f>'1 datos preparados'!P417</f>
        <v/>
      </c>
      <c r="R424" s="7">
        <f>'1 datos preparados'!Q417</f>
        <v/>
      </c>
      <c r="S424" s="7">
        <f>'1 datos preparados'!R417</f>
        <v/>
      </c>
      <c r="T424" s="7">
        <f>'1 datos preparados'!S417</f>
        <v/>
      </c>
      <c r="U424" s="7">
        <f>'1 datos preparados'!T417</f>
        <v/>
      </c>
      <c r="V424" s="8">
        <f>$AC$12+D424*$AC$13+E424*$AC$14+F424*$AC$15+G424*$AC$16+H424*$AC$17+I424*$AC$18+J424*$AC$19+K424*$AC$20+L424*$AC$21+M424*$AC$22+N424*$AC$23+O424*$AC$24+P424*$AC$25+Q424*$AC$26+R424*$AC$27+S424*$AC$28+T424*$AC$29+U424*$AC$30</f>
        <v/>
      </c>
      <c r="W424" s="8">
        <f>1/(1+EXP(-V424))</f>
        <v/>
      </c>
      <c r="X424" s="9">
        <f>-IF(C424=1,LN(W424),LN(1-W424))</f>
        <v/>
      </c>
      <c r="Y424" s="10">
        <f>IF(W424&gt;$AC$33,1,0)</f>
        <v/>
      </c>
      <c r="Z424">
        <f>IF(Y424=C424,1,0)</f>
        <v/>
      </c>
    </row>
    <row r="425">
      <c r="A425">
        <f>'1 datos preparados'!A418</f>
        <v/>
      </c>
      <c r="B425" s="5">
        <f>'1 datos preparados'!U418</f>
        <v/>
      </c>
      <c r="C425">
        <f>'1 datos preparados'!B418</f>
        <v/>
      </c>
      <c r="D425" s="7">
        <f>'1 datos preparados'!C418</f>
        <v/>
      </c>
      <c r="E425" s="7">
        <f>'1 datos preparados'!D418</f>
        <v/>
      </c>
      <c r="F425" s="7">
        <f>'1 datos preparados'!E418</f>
        <v/>
      </c>
      <c r="G425" s="7">
        <f>'1 datos preparados'!F418</f>
        <v/>
      </c>
      <c r="H425" s="7">
        <f>'1 datos preparados'!G418</f>
        <v/>
      </c>
      <c r="I425" s="7">
        <f>'1 datos preparados'!H418</f>
        <v/>
      </c>
      <c r="J425" s="7">
        <f>'1 datos preparados'!I418</f>
        <v/>
      </c>
      <c r="K425" s="7">
        <f>'1 datos preparados'!J418</f>
        <v/>
      </c>
      <c r="L425" s="7">
        <f>'1 datos preparados'!K418</f>
        <v/>
      </c>
      <c r="M425" s="7">
        <f>'1 datos preparados'!L418</f>
        <v/>
      </c>
      <c r="N425" s="7">
        <f>'1 datos preparados'!M418</f>
        <v/>
      </c>
      <c r="O425" s="7">
        <f>'1 datos preparados'!N418</f>
        <v/>
      </c>
      <c r="P425" s="7">
        <f>'1 datos preparados'!O418</f>
        <v/>
      </c>
      <c r="Q425" s="7">
        <f>'1 datos preparados'!P418</f>
        <v/>
      </c>
      <c r="R425" s="7">
        <f>'1 datos preparados'!Q418</f>
        <v/>
      </c>
      <c r="S425" s="7">
        <f>'1 datos preparados'!R418</f>
        <v/>
      </c>
      <c r="T425" s="7">
        <f>'1 datos preparados'!S418</f>
        <v/>
      </c>
      <c r="U425" s="7">
        <f>'1 datos preparados'!T418</f>
        <v/>
      </c>
      <c r="V425" s="8">
        <f>$AC$12+D425*$AC$13+E425*$AC$14+F425*$AC$15+G425*$AC$16+H425*$AC$17+I425*$AC$18+J425*$AC$19+K425*$AC$20+L425*$AC$21+M425*$AC$22+N425*$AC$23+O425*$AC$24+P425*$AC$25+Q425*$AC$26+R425*$AC$27+S425*$AC$28+T425*$AC$29+U425*$AC$30</f>
        <v/>
      </c>
      <c r="W425" s="8">
        <f>1/(1+EXP(-V425))</f>
        <v/>
      </c>
      <c r="X425" s="9">
        <f>-IF(C425=1,LN(W425),LN(1-W425))</f>
        <v/>
      </c>
      <c r="Y425" s="10">
        <f>IF(W425&gt;$AC$33,1,0)</f>
        <v/>
      </c>
      <c r="Z425">
        <f>IF(Y425=C425,1,0)</f>
        <v/>
      </c>
    </row>
    <row r="426">
      <c r="A426">
        <f>'1 datos preparados'!A419</f>
        <v/>
      </c>
      <c r="B426" s="5">
        <f>'1 datos preparados'!U419</f>
        <v/>
      </c>
      <c r="C426">
        <f>'1 datos preparados'!B419</f>
        <v/>
      </c>
      <c r="D426" s="7">
        <f>'1 datos preparados'!C419</f>
        <v/>
      </c>
      <c r="E426" s="7">
        <f>'1 datos preparados'!D419</f>
        <v/>
      </c>
      <c r="F426" s="7">
        <f>'1 datos preparados'!E419</f>
        <v/>
      </c>
      <c r="G426" s="7">
        <f>'1 datos preparados'!F419</f>
        <v/>
      </c>
      <c r="H426" s="7">
        <f>'1 datos preparados'!G419</f>
        <v/>
      </c>
      <c r="I426" s="7">
        <f>'1 datos preparados'!H419</f>
        <v/>
      </c>
      <c r="J426" s="7">
        <f>'1 datos preparados'!I419</f>
        <v/>
      </c>
      <c r="K426" s="7">
        <f>'1 datos preparados'!J419</f>
        <v/>
      </c>
      <c r="L426" s="7">
        <f>'1 datos preparados'!K419</f>
        <v/>
      </c>
      <c r="M426" s="7">
        <f>'1 datos preparados'!L419</f>
        <v/>
      </c>
      <c r="N426" s="7">
        <f>'1 datos preparados'!M419</f>
        <v/>
      </c>
      <c r="O426" s="7">
        <f>'1 datos preparados'!N419</f>
        <v/>
      </c>
      <c r="P426" s="7">
        <f>'1 datos preparados'!O419</f>
        <v/>
      </c>
      <c r="Q426" s="7">
        <f>'1 datos preparados'!P419</f>
        <v/>
      </c>
      <c r="R426" s="7">
        <f>'1 datos preparados'!Q419</f>
        <v/>
      </c>
      <c r="S426" s="7">
        <f>'1 datos preparados'!R419</f>
        <v/>
      </c>
      <c r="T426" s="7">
        <f>'1 datos preparados'!S419</f>
        <v/>
      </c>
      <c r="U426" s="7">
        <f>'1 datos preparados'!T419</f>
        <v/>
      </c>
      <c r="V426" s="8">
        <f>$AC$12+D426*$AC$13+E426*$AC$14+F426*$AC$15+G426*$AC$16+H426*$AC$17+I426*$AC$18+J426*$AC$19+K426*$AC$20+L426*$AC$21+M426*$AC$22+N426*$AC$23+O426*$AC$24+P426*$AC$25+Q426*$AC$26+R426*$AC$27+S426*$AC$28+T426*$AC$29+U426*$AC$30</f>
        <v/>
      </c>
      <c r="W426" s="8">
        <f>1/(1+EXP(-V426))</f>
        <v/>
      </c>
      <c r="X426" s="9">
        <f>-IF(C426=1,LN(W426),LN(1-W426))</f>
        <v/>
      </c>
      <c r="Y426" s="10">
        <f>IF(W426&gt;$AC$33,1,0)</f>
        <v/>
      </c>
      <c r="Z426">
        <f>IF(Y426=C426,1,0)</f>
        <v/>
      </c>
    </row>
    <row r="427">
      <c r="A427">
        <f>'1 datos preparados'!A420</f>
        <v/>
      </c>
      <c r="B427" s="5">
        <f>'1 datos preparados'!U420</f>
        <v/>
      </c>
      <c r="C427">
        <f>'1 datos preparados'!B420</f>
        <v/>
      </c>
      <c r="D427" s="7">
        <f>'1 datos preparados'!C420</f>
        <v/>
      </c>
      <c r="E427" s="7">
        <f>'1 datos preparados'!D420</f>
        <v/>
      </c>
      <c r="F427" s="7">
        <f>'1 datos preparados'!E420</f>
        <v/>
      </c>
      <c r="G427" s="7">
        <f>'1 datos preparados'!F420</f>
        <v/>
      </c>
      <c r="H427" s="7">
        <f>'1 datos preparados'!G420</f>
        <v/>
      </c>
      <c r="I427" s="7">
        <f>'1 datos preparados'!H420</f>
        <v/>
      </c>
      <c r="J427" s="7">
        <f>'1 datos preparados'!I420</f>
        <v/>
      </c>
      <c r="K427" s="7">
        <f>'1 datos preparados'!J420</f>
        <v/>
      </c>
      <c r="L427" s="7">
        <f>'1 datos preparados'!K420</f>
        <v/>
      </c>
      <c r="M427" s="7">
        <f>'1 datos preparados'!L420</f>
        <v/>
      </c>
      <c r="N427" s="7">
        <f>'1 datos preparados'!M420</f>
        <v/>
      </c>
      <c r="O427" s="7">
        <f>'1 datos preparados'!N420</f>
        <v/>
      </c>
      <c r="P427" s="7">
        <f>'1 datos preparados'!O420</f>
        <v/>
      </c>
      <c r="Q427" s="7">
        <f>'1 datos preparados'!P420</f>
        <v/>
      </c>
      <c r="R427" s="7">
        <f>'1 datos preparados'!Q420</f>
        <v/>
      </c>
      <c r="S427" s="7">
        <f>'1 datos preparados'!R420</f>
        <v/>
      </c>
      <c r="T427" s="7">
        <f>'1 datos preparados'!S420</f>
        <v/>
      </c>
      <c r="U427" s="7">
        <f>'1 datos preparados'!T420</f>
        <v/>
      </c>
      <c r="V427" s="8">
        <f>$AC$12+D427*$AC$13+E427*$AC$14+F427*$AC$15+G427*$AC$16+H427*$AC$17+I427*$AC$18+J427*$AC$19+K427*$AC$20+L427*$AC$21+M427*$AC$22+N427*$AC$23+O427*$AC$24+P427*$AC$25+Q427*$AC$26+R427*$AC$27+S427*$AC$28+T427*$AC$29+U427*$AC$30</f>
        <v/>
      </c>
      <c r="W427" s="8">
        <f>1/(1+EXP(-V427))</f>
        <v/>
      </c>
      <c r="X427" s="9">
        <f>-IF(C427=1,LN(W427),LN(1-W427))</f>
        <v/>
      </c>
      <c r="Y427" s="10">
        <f>IF(W427&gt;$AC$33,1,0)</f>
        <v/>
      </c>
      <c r="Z427">
        <f>IF(Y427=C427,1,0)</f>
        <v/>
      </c>
    </row>
    <row r="428">
      <c r="A428">
        <f>'1 datos preparados'!A421</f>
        <v/>
      </c>
      <c r="B428" s="5">
        <f>'1 datos preparados'!U421</f>
        <v/>
      </c>
      <c r="C428">
        <f>'1 datos preparados'!B421</f>
        <v/>
      </c>
      <c r="D428" s="7">
        <f>'1 datos preparados'!C421</f>
        <v/>
      </c>
      <c r="E428" s="7">
        <f>'1 datos preparados'!D421</f>
        <v/>
      </c>
      <c r="F428" s="7">
        <f>'1 datos preparados'!E421</f>
        <v/>
      </c>
      <c r="G428" s="7">
        <f>'1 datos preparados'!F421</f>
        <v/>
      </c>
      <c r="H428" s="7">
        <f>'1 datos preparados'!G421</f>
        <v/>
      </c>
      <c r="I428" s="7">
        <f>'1 datos preparados'!H421</f>
        <v/>
      </c>
      <c r="J428" s="7">
        <f>'1 datos preparados'!I421</f>
        <v/>
      </c>
      <c r="K428" s="7">
        <f>'1 datos preparados'!J421</f>
        <v/>
      </c>
      <c r="L428" s="7">
        <f>'1 datos preparados'!K421</f>
        <v/>
      </c>
      <c r="M428" s="7">
        <f>'1 datos preparados'!L421</f>
        <v/>
      </c>
      <c r="N428" s="7">
        <f>'1 datos preparados'!M421</f>
        <v/>
      </c>
      <c r="O428" s="7">
        <f>'1 datos preparados'!N421</f>
        <v/>
      </c>
      <c r="P428" s="7">
        <f>'1 datos preparados'!O421</f>
        <v/>
      </c>
      <c r="Q428" s="7">
        <f>'1 datos preparados'!P421</f>
        <v/>
      </c>
      <c r="R428" s="7">
        <f>'1 datos preparados'!Q421</f>
        <v/>
      </c>
      <c r="S428" s="7">
        <f>'1 datos preparados'!R421</f>
        <v/>
      </c>
      <c r="T428" s="7">
        <f>'1 datos preparados'!S421</f>
        <v/>
      </c>
      <c r="U428" s="7">
        <f>'1 datos preparados'!T421</f>
        <v/>
      </c>
      <c r="V428" s="8">
        <f>$AC$12+D428*$AC$13+E428*$AC$14+F428*$AC$15+G428*$AC$16+H428*$AC$17+I428*$AC$18+J428*$AC$19+K428*$AC$20+L428*$AC$21+M428*$AC$22+N428*$AC$23+O428*$AC$24+P428*$AC$25+Q428*$AC$26+R428*$AC$27+S428*$AC$28+T428*$AC$29+U428*$AC$30</f>
        <v/>
      </c>
      <c r="W428" s="8">
        <f>1/(1+EXP(-V428))</f>
        <v/>
      </c>
      <c r="X428" s="9">
        <f>-IF(C428=1,LN(W428),LN(1-W428))</f>
        <v/>
      </c>
      <c r="Y428" s="10">
        <f>IF(W428&gt;$AC$33,1,0)</f>
        <v/>
      </c>
      <c r="Z428">
        <f>IF(Y428=C428,1,0)</f>
        <v/>
      </c>
    </row>
    <row r="429">
      <c r="A429">
        <f>'1 datos preparados'!A422</f>
        <v/>
      </c>
      <c r="B429" s="5">
        <f>'1 datos preparados'!U422</f>
        <v/>
      </c>
      <c r="C429">
        <f>'1 datos preparados'!B422</f>
        <v/>
      </c>
      <c r="D429" s="7">
        <f>'1 datos preparados'!C422</f>
        <v/>
      </c>
      <c r="E429" s="7">
        <f>'1 datos preparados'!D422</f>
        <v/>
      </c>
      <c r="F429" s="7">
        <f>'1 datos preparados'!E422</f>
        <v/>
      </c>
      <c r="G429" s="7">
        <f>'1 datos preparados'!F422</f>
        <v/>
      </c>
      <c r="H429" s="7">
        <f>'1 datos preparados'!G422</f>
        <v/>
      </c>
      <c r="I429" s="7">
        <f>'1 datos preparados'!H422</f>
        <v/>
      </c>
      <c r="J429" s="7">
        <f>'1 datos preparados'!I422</f>
        <v/>
      </c>
      <c r="K429" s="7">
        <f>'1 datos preparados'!J422</f>
        <v/>
      </c>
      <c r="L429" s="7">
        <f>'1 datos preparados'!K422</f>
        <v/>
      </c>
      <c r="M429" s="7">
        <f>'1 datos preparados'!L422</f>
        <v/>
      </c>
      <c r="N429" s="7">
        <f>'1 datos preparados'!M422</f>
        <v/>
      </c>
      <c r="O429" s="7">
        <f>'1 datos preparados'!N422</f>
        <v/>
      </c>
      <c r="P429" s="7">
        <f>'1 datos preparados'!O422</f>
        <v/>
      </c>
      <c r="Q429" s="7">
        <f>'1 datos preparados'!P422</f>
        <v/>
      </c>
      <c r="R429" s="7">
        <f>'1 datos preparados'!Q422</f>
        <v/>
      </c>
      <c r="S429" s="7">
        <f>'1 datos preparados'!R422</f>
        <v/>
      </c>
      <c r="T429" s="7">
        <f>'1 datos preparados'!S422</f>
        <v/>
      </c>
      <c r="U429" s="7">
        <f>'1 datos preparados'!T422</f>
        <v/>
      </c>
      <c r="V429" s="8">
        <f>$AC$12+D429*$AC$13+E429*$AC$14+F429*$AC$15+G429*$AC$16+H429*$AC$17+I429*$AC$18+J429*$AC$19+K429*$AC$20+L429*$AC$21+M429*$AC$22+N429*$AC$23+O429*$AC$24+P429*$AC$25+Q429*$AC$26+R429*$AC$27+S429*$AC$28+T429*$AC$29+U429*$AC$30</f>
        <v/>
      </c>
      <c r="W429" s="8">
        <f>1/(1+EXP(-V429))</f>
        <v/>
      </c>
      <c r="X429" s="9">
        <f>-IF(C429=1,LN(W429),LN(1-W429))</f>
        <v/>
      </c>
      <c r="Y429" s="10">
        <f>IF(W429&gt;$AC$33,1,0)</f>
        <v/>
      </c>
      <c r="Z429">
        <f>IF(Y429=C429,1,0)</f>
        <v/>
      </c>
    </row>
    <row r="430">
      <c r="A430">
        <f>'1 datos preparados'!A423</f>
        <v/>
      </c>
      <c r="B430" s="5">
        <f>'1 datos preparados'!U423</f>
        <v/>
      </c>
      <c r="C430">
        <f>'1 datos preparados'!B423</f>
        <v/>
      </c>
      <c r="D430" s="7">
        <f>'1 datos preparados'!C423</f>
        <v/>
      </c>
      <c r="E430" s="7">
        <f>'1 datos preparados'!D423</f>
        <v/>
      </c>
      <c r="F430" s="7">
        <f>'1 datos preparados'!E423</f>
        <v/>
      </c>
      <c r="G430" s="7">
        <f>'1 datos preparados'!F423</f>
        <v/>
      </c>
      <c r="H430" s="7">
        <f>'1 datos preparados'!G423</f>
        <v/>
      </c>
      <c r="I430" s="7">
        <f>'1 datos preparados'!H423</f>
        <v/>
      </c>
      <c r="J430" s="7">
        <f>'1 datos preparados'!I423</f>
        <v/>
      </c>
      <c r="K430" s="7">
        <f>'1 datos preparados'!J423</f>
        <v/>
      </c>
      <c r="L430" s="7">
        <f>'1 datos preparados'!K423</f>
        <v/>
      </c>
      <c r="M430" s="7">
        <f>'1 datos preparados'!L423</f>
        <v/>
      </c>
      <c r="N430" s="7">
        <f>'1 datos preparados'!M423</f>
        <v/>
      </c>
      <c r="O430" s="7">
        <f>'1 datos preparados'!N423</f>
        <v/>
      </c>
      <c r="P430" s="7">
        <f>'1 datos preparados'!O423</f>
        <v/>
      </c>
      <c r="Q430" s="7">
        <f>'1 datos preparados'!P423</f>
        <v/>
      </c>
      <c r="R430" s="7">
        <f>'1 datos preparados'!Q423</f>
        <v/>
      </c>
      <c r="S430" s="7">
        <f>'1 datos preparados'!R423</f>
        <v/>
      </c>
      <c r="T430" s="7">
        <f>'1 datos preparados'!S423</f>
        <v/>
      </c>
      <c r="U430" s="7">
        <f>'1 datos preparados'!T423</f>
        <v/>
      </c>
      <c r="V430" s="8">
        <f>$AC$12+D430*$AC$13+E430*$AC$14+F430*$AC$15+G430*$AC$16+H430*$AC$17+I430*$AC$18+J430*$AC$19+K430*$AC$20+L430*$AC$21+M430*$AC$22+N430*$AC$23+O430*$AC$24+P430*$AC$25+Q430*$AC$26+R430*$AC$27+S430*$AC$28+T430*$AC$29+U430*$AC$30</f>
        <v/>
      </c>
      <c r="W430" s="8">
        <f>1/(1+EXP(-V430))</f>
        <v/>
      </c>
      <c r="X430" s="9">
        <f>-IF(C430=1,LN(W430),LN(1-W430))</f>
        <v/>
      </c>
      <c r="Y430" s="10">
        <f>IF(W430&gt;$AC$33,1,0)</f>
        <v/>
      </c>
      <c r="Z430">
        <f>IF(Y430=C430,1,0)</f>
        <v/>
      </c>
    </row>
    <row r="431">
      <c r="A431">
        <f>'1 datos preparados'!A424</f>
        <v/>
      </c>
      <c r="B431" s="5">
        <f>'1 datos preparados'!U424</f>
        <v/>
      </c>
      <c r="C431">
        <f>'1 datos preparados'!B424</f>
        <v/>
      </c>
      <c r="D431" s="7">
        <f>'1 datos preparados'!C424</f>
        <v/>
      </c>
      <c r="E431" s="7">
        <f>'1 datos preparados'!D424</f>
        <v/>
      </c>
      <c r="F431" s="7">
        <f>'1 datos preparados'!E424</f>
        <v/>
      </c>
      <c r="G431" s="7">
        <f>'1 datos preparados'!F424</f>
        <v/>
      </c>
      <c r="H431" s="7">
        <f>'1 datos preparados'!G424</f>
        <v/>
      </c>
      <c r="I431" s="7">
        <f>'1 datos preparados'!H424</f>
        <v/>
      </c>
      <c r="J431" s="7">
        <f>'1 datos preparados'!I424</f>
        <v/>
      </c>
      <c r="K431" s="7">
        <f>'1 datos preparados'!J424</f>
        <v/>
      </c>
      <c r="L431" s="7">
        <f>'1 datos preparados'!K424</f>
        <v/>
      </c>
      <c r="M431" s="7">
        <f>'1 datos preparados'!L424</f>
        <v/>
      </c>
      <c r="N431" s="7">
        <f>'1 datos preparados'!M424</f>
        <v/>
      </c>
      <c r="O431" s="7">
        <f>'1 datos preparados'!N424</f>
        <v/>
      </c>
      <c r="P431" s="7">
        <f>'1 datos preparados'!O424</f>
        <v/>
      </c>
      <c r="Q431" s="7">
        <f>'1 datos preparados'!P424</f>
        <v/>
      </c>
      <c r="R431" s="7">
        <f>'1 datos preparados'!Q424</f>
        <v/>
      </c>
      <c r="S431" s="7">
        <f>'1 datos preparados'!R424</f>
        <v/>
      </c>
      <c r="T431" s="7">
        <f>'1 datos preparados'!S424</f>
        <v/>
      </c>
      <c r="U431" s="7">
        <f>'1 datos preparados'!T424</f>
        <v/>
      </c>
      <c r="V431" s="8">
        <f>$AC$12+D431*$AC$13+E431*$AC$14+F431*$AC$15+G431*$AC$16+H431*$AC$17+I431*$AC$18+J431*$AC$19+K431*$AC$20+L431*$AC$21+M431*$AC$22+N431*$AC$23+O431*$AC$24+P431*$AC$25+Q431*$AC$26+R431*$AC$27+S431*$AC$28+T431*$AC$29+U431*$AC$30</f>
        <v/>
      </c>
      <c r="W431" s="8">
        <f>1/(1+EXP(-V431))</f>
        <v/>
      </c>
      <c r="X431" s="9">
        <f>-IF(C431=1,LN(W431),LN(1-W431))</f>
        <v/>
      </c>
      <c r="Y431" s="10">
        <f>IF(W431&gt;$AC$33,1,0)</f>
        <v/>
      </c>
      <c r="Z431">
        <f>IF(Y431=C431,1,0)</f>
        <v/>
      </c>
    </row>
    <row r="432">
      <c r="A432">
        <f>'1 datos preparados'!A425</f>
        <v/>
      </c>
      <c r="B432" s="5">
        <f>'1 datos preparados'!U425</f>
        <v/>
      </c>
      <c r="C432">
        <f>'1 datos preparados'!B425</f>
        <v/>
      </c>
      <c r="D432" s="7">
        <f>'1 datos preparados'!C425</f>
        <v/>
      </c>
      <c r="E432" s="7">
        <f>'1 datos preparados'!D425</f>
        <v/>
      </c>
      <c r="F432" s="7">
        <f>'1 datos preparados'!E425</f>
        <v/>
      </c>
      <c r="G432" s="7">
        <f>'1 datos preparados'!F425</f>
        <v/>
      </c>
      <c r="H432" s="7">
        <f>'1 datos preparados'!G425</f>
        <v/>
      </c>
      <c r="I432" s="7">
        <f>'1 datos preparados'!H425</f>
        <v/>
      </c>
      <c r="J432" s="7">
        <f>'1 datos preparados'!I425</f>
        <v/>
      </c>
      <c r="K432" s="7">
        <f>'1 datos preparados'!J425</f>
        <v/>
      </c>
      <c r="L432" s="7">
        <f>'1 datos preparados'!K425</f>
        <v/>
      </c>
      <c r="M432" s="7">
        <f>'1 datos preparados'!L425</f>
        <v/>
      </c>
      <c r="N432" s="7">
        <f>'1 datos preparados'!M425</f>
        <v/>
      </c>
      <c r="O432" s="7">
        <f>'1 datos preparados'!N425</f>
        <v/>
      </c>
      <c r="P432" s="7">
        <f>'1 datos preparados'!O425</f>
        <v/>
      </c>
      <c r="Q432" s="7">
        <f>'1 datos preparados'!P425</f>
        <v/>
      </c>
      <c r="R432" s="7">
        <f>'1 datos preparados'!Q425</f>
        <v/>
      </c>
      <c r="S432" s="7">
        <f>'1 datos preparados'!R425</f>
        <v/>
      </c>
      <c r="T432" s="7">
        <f>'1 datos preparados'!S425</f>
        <v/>
      </c>
      <c r="U432" s="7">
        <f>'1 datos preparados'!T425</f>
        <v/>
      </c>
      <c r="V432" s="8">
        <f>$AC$12+D432*$AC$13+E432*$AC$14+F432*$AC$15+G432*$AC$16+H432*$AC$17+I432*$AC$18+J432*$AC$19+K432*$AC$20+L432*$AC$21+M432*$AC$22+N432*$AC$23+O432*$AC$24+P432*$AC$25+Q432*$AC$26+R432*$AC$27+S432*$AC$28+T432*$AC$29+U432*$AC$30</f>
        <v/>
      </c>
      <c r="W432" s="8">
        <f>1/(1+EXP(-V432))</f>
        <v/>
      </c>
      <c r="X432" s="9">
        <f>-IF(C432=1,LN(W432),LN(1-W432))</f>
        <v/>
      </c>
      <c r="Y432" s="10">
        <f>IF(W432&gt;$AC$33,1,0)</f>
        <v/>
      </c>
      <c r="Z432">
        <f>IF(Y432=C432,1,0)</f>
        <v/>
      </c>
    </row>
    <row r="433">
      <c r="A433">
        <f>'1 datos preparados'!A426</f>
        <v/>
      </c>
      <c r="B433" s="5">
        <f>'1 datos preparados'!U426</f>
        <v/>
      </c>
      <c r="C433">
        <f>'1 datos preparados'!B426</f>
        <v/>
      </c>
      <c r="D433" s="7">
        <f>'1 datos preparados'!C426</f>
        <v/>
      </c>
      <c r="E433" s="7">
        <f>'1 datos preparados'!D426</f>
        <v/>
      </c>
      <c r="F433" s="7">
        <f>'1 datos preparados'!E426</f>
        <v/>
      </c>
      <c r="G433" s="7">
        <f>'1 datos preparados'!F426</f>
        <v/>
      </c>
      <c r="H433" s="7">
        <f>'1 datos preparados'!G426</f>
        <v/>
      </c>
      <c r="I433" s="7">
        <f>'1 datos preparados'!H426</f>
        <v/>
      </c>
      <c r="J433" s="7">
        <f>'1 datos preparados'!I426</f>
        <v/>
      </c>
      <c r="K433" s="7">
        <f>'1 datos preparados'!J426</f>
        <v/>
      </c>
      <c r="L433" s="7">
        <f>'1 datos preparados'!K426</f>
        <v/>
      </c>
      <c r="M433" s="7">
        <f>'1 datos preparados'!L426</f>
        <v/>
      </c>
      <c r="N433" s="7">
        <f>'1 datos preparados'!M426</f>
        <v/>
      </c>
      <c r="O433" s="7">
        <f>'1 datos preparados'!N426</f>
        <v/>
      </c>
      <c r="P433" s="7">
        <f>'1 datos preparados'!O426</f>
        <v/>
      </c>
      <c r="Q433" s="7">
        <f>'1 datos preparados'!P426</f>
        <v/>
      </c>
      <c r="R433" s="7">
        <f>'1 datos preparados'!Q426</f>
        <v/>
      </c>
      <c r="S433" s="7">
        <f>'1 datos preparados'!R426</f>
        <v/>
      </c>
      <c r="T433" s="7">
        <f>'1 datos preparados'!S426</f>
        <v/>
      </c>
      <c r="U433" s="7">
        <f>'1 datos preparados'!T426</f>
        <v/>
      </c>
      <c r="V433" s="8">
        <f>$AC$12+D433*$AC$13+E433*$AC$14+F433*$AC$15+G433*$AC$16+H433*$AC$17+I433*$AC$18+J433*$AC$19+K433*$AC$20+L433*$AC$21+M433*$AC$22+N433*$AC$23+O433*$AC$24+P433*$AC$25+Q433*$AC$26+R433*$AC$27+S433*$AC$28+T433*$AC$29+U433*$AC$30</f>
        <v/>
      </c>
      <c r="W433" s="8">
        <f>1/(1+EXP(-V433))</f>
        <v/>
      </c>
      <c r="X433" s="9">
        <f>-IF(C433=1,LN(W433),LN(1-W433))</f>
        <v/>
      </c>
      <c r="Y433" s="10">
        <f>IF(W433&gt;$AC$33,1,0)</f>
        <v/>
      </c>
      <c r="Z433">
        <f>IF(Y433=C433,1,0)</f>
        <v/>
      </c>
    </row>
    <row r="434">
      <c r="A434">
        <f>'1 datos preparados'!A427</f>
        <v/>
      </c>
      <c r="B434" s="5">
        <f>'1 datos preparados'!U427</f>
        <v/>
      </c>
      <c r="C434">
        <f>'1 datos preparados'!B427</f>
        <v/>
      </c>
      <c r="D434" s="7">
        <f>'1 datos preparados'!C427</f>
        <v/>
      </c>
      <c r="E434" s="7">
        <f>'1 datos preparados'!D427</f>
        <v/>
      </c>
      <c r="F434" s="7">
        <f>'1 datos preparados'!E427</f>
        <v/>
      </c>
      <c r="G434" s="7">
        <f>'1 datos preparados'!F427</f>
        <v/>
      </c>
      <c r="H434" s="7">
        <f>'1 datos preparados'!G427</f>
        <v/>
      </c>
      <c r="I434" s="7">
        <f>'1 datos preparados'!H427</f>
        <v/>
      </c>
      <c r="J434" s="7">
        <f>'1 datos preparados'!I427</f>
        <v/>
      </c>
      <c r="K434" s="7">
        <f>'1 datos preparados'!J427</f>
        <v/>
      </c>
      <c r="L434" s="7">
        <f>'1 datos preparados'!K427</f>
        <v/>
      </c>
      <c r="M434" s="7">
        <f>'1 datos preparados'!L427</f>
        <v/>
      </c>
      <c r="N434" s="7">
        <f>'1 datos preparados'!M427</f>
        <v/>
      </c>
      <c r="O434" s="7">
        <f>'1 datos preparados'!N427</f>
        <v/>
      </c>
      <c r="P434" s="7">
        <f>'1 datos preparados'!O427</f>
        <v/>
      </c>
      <c r="Q434" s="7">
        <f>'1 datos preparados'!P427</f>
        <v/>
      </c>
      <c r="R434" s="7">
        <f>'1 datos preparados'!Q427</f>
        <v/>
      </c>
      <c r="S434" s="7">
        <f>'1 datos preparados'!R427</f>
        <v/>
      </c>
      <c r="T434" s="7">
        <f>'1 datos preparados'!S427</f>
        <v/>
      </c>
      <c r="U434" s="7">
        <f>'1 datos preparados'!T427</f>
        <v/>
      </c>
      <c r="V434" s="8">
        <f>$AC$12+D434*$AC$13+E434*$AC$14+F434*$AC$15+G434*$AC$16+H434*$AC$17+I434*$AC$18+J434*$AC$19+K434*$AC$20+L434*$AC$21+M434*$AC$22+N434*$AC$23+O434*$AC$24+P434*$AC$25+Q434*$AC$26+R434*$AC$27+S434*$AC$28+T434*$AC$29+U434*$AC$30</f>
        <v/>
      </c>
      <c r="W434" s="8">
        <f>1/(1+EXP(-V434))</f>
        <v/>
      </c>
      <c r="X434" s="9">
        <f>-IF(C434=1,LN(W434),LN(1-W434))</f>
        <v/>
      </c>
      <c r="Y434" s="10">
        <f>IF(W434&gt;$AC$33,1,0)</f>
        <v/>
      </c>
      <c r="Z434">
        <f>IF(Y434=C434,1,0)</f>
        <v/>
      </c>
    </row>
    <row r="435">
      <c r="A435">
        <f>'1 datos preparados'!A428</f>
        <v/>
      </c>
      <c r="B435" s="5">
        <f>'1 datos preparados'!U428</f>
        <v/>
      </c>
      <c r="C435">
        <f>'1 datos preparados'!B428</f>
        <v/>
      </c>
      <c r="D435" s="7">
        <f>'1 datos preparados'!C428</f>
        <v/>
      </c>
      <c r="E435" s="7">
        <f>'1 datos preparados'!D428</f>
        <v/>
      </c>
      <c r="F435" s="7">
        <f>'1 datos preparados'!E428</f>
        <v/>
      </c>
      <c r="G435" s="7">
        <f>'1 datos preparados'!F428</f>
        <v/>
      </c>
      <c r="H435" s="7">
        <f>'1 datos preparados'!G428</f>
        <v/>
      </c>
      <c r="I435" s="7">
        <f>'1 datos preparados'!H428</f>
        <v/>
      </c>
      <c r="J435" s="7">
        <f>'1 datos preparados'!I428</f>
        <v/>
      </c>
      <c r="K435" s="7">
        <f>'1 datos preparados'!J428</f>
        <v/>
      </c>
      <c r="L435" s="7">
        <f>'1 datos preparados'!K428</f>
        <v/>
      </c>
      <c r="M435" s="7">
        <f>'1 datos preparados'!L428</f>
        <v/>
      </c>
      <c r="N435" s="7">
        <f>'1 datos preparados'!M428</f>
        <v/>
      </c>
      <c r="O435" s="7">
        <f>'1 datos preparados'!N428</f>
        <v/>
      </c>
      <c r="P435" s="7">
        <f>'1 datos preparados'!O428</f>
        <v/>
      </c>
      <c r="Q435" s="7">
        <f>'1 datos preparados'!P428</f>
        <v/>
      </c>
      <c r="R435" s="7">
        <f>'1 datos preparados'!Q428</f>
        <v/>
      </c>
      <c r="S435" s="7">
        <f>'1 datos preparados'!R428</f>
        <v/>
      </c>
      <c r="T435" s="7">
        <f>'1 datos preparados'!S428</f>
        <v/>
      </c>
      <c r="U435" s="7">
        <f>'1 datos preparados'!T428</f>
        <v/>
      </c>
      <c r="V435" s="8">
        <f>$AC$12+D435*$AC$13+E435*$AC$14+F435*$AC$15+G435*$AC$16+H435*$AC$17+I435*$AC$18+J435*$AC$19+K435*$AC$20+L435*$AC$21+M435*$AC$22+N435*$AC$23+O435*$AC$24+P435*$AC$25+Q435*$AC$26+R435*$AC$27+S435*$AC$28+T435*$AC$29+U435*$AC$30</f>
        <v/>
      </c>
      <c r="W435" s="8">
        <f>1/(1+EXP(-V435))</f>
        <v/>
      </c>
      <c r="X435" s="9">
        <f>-IF(C435=1,LN(W435),LN(1-W435))</f>
        <v/>
      </c>
      <c r="Y435" s="10">
        <f>IF(W435&gt;$AC$33,1,0)</f>
        <v/>
      </c>
      <c r="Z435">
        <f>IF(Y435=C435,1,0)</f>
        <v/>
      </c>
    </row>
    <row r="436">
      <c r="A436">
        <f>'1 datos preparados'!A429</f>
        <v/>
      </c>
      <c r="B436" s="5">
        <f>'1 datos preparados'!U429</f>
        <v/>
      </c>
      <c r="C436">
        <f>'1 datos preparados'!B429</f>
        <v/>
      </c>
      <c r="D436" s="7">
        <f>'1 datos preparados'!C429</f>
        <v/>
      </c>
      <c r="E436" s="7">
        <f>'1 datos preparados'!D429</f>
        <v/>
      </c>
      <c r="F436" s="7">
        <f>'1 datos preparados'!E429</f>
        <v/>
      </c>
      <c r="G436" s="7">
        <f>'1 datos preparados'!F429</f>
        <v/>
      </c>
      <c r="H436" s="7">
        <f>'1 datos preparados'!G429</f>
        <v/>
      </c>
      <c r="I436" s="7">
        <f>'1 datos preparados'!H429</f>
        <v/>
      </c>
      <c r="J436" s="7">
        <f>'1 datos preparados'!I429</f>
        <v/>
      </c>
      <c r="K436" s="7">
        <f>'1 datos preparados'!J429</f>
        <v/>
      </c>
      <c r="L436" s="7">
        <f>'1 datos preparados'!K429</f>
        <v/>
      </c>
      <c r="M436" s="7">
        <f>'1 datos preparados'!L429</f>
        <v/>
      </c>
      <c r="N436" s="7">
        <f>'1 datos preparados'!M429</f>
        <v/>
      </c>
      <c r="O436" s="7">
        <f>'1 datos preparados'!N429</f>
        <v/>
      </c>
      <c r="P436" s="7">
        <f>'1 datos preparados'!O429</f>
        <v/>
      </c>
      <c r="Q436" s="7">
        <f>'1 datos preparados'!P429</f>
        <v/>
      </c>
      <c r="R436" s="7">
        <f>'1 datos preparados'!Q429</f>
        <v/>
      </c>
      <c r="S436" s="7">
        <f>'1 datos preparados'!R429</f>
        <v/>
      </c>
      <c r="T436" s="7">
        <f>'1 datos preparados'!S429</f>
        <v/>
      </c>
      <c r="U436" s="7">
        <f>'1 datos preparados'!T429</f>
        <v/>
      </c>
      <c r="V436" s="8">
        <f>$AC$12+D436*$AC$13+E436*$AC$14+F436*$AC$15+G436*$AC$16+H436*$AC$17+I436*$AC$18+J436*$AC$19+K436*$AC$20+L436*$AC$21+M436*$AC$22+N436*$AC$23+O436*$AC$24+P436*$AC$25+Q436*$AC$26+R436*$AC$27+S436*$AC$28+T436*$AC$29+U436*$AC$30</f>
        <v/>
      </c>
      <c r="W436" s="8">
        <f>1/(1+EXP(-V436))</f>
        <v/>
      </c>
      <c r="X436" s="9">
        <f>-IF(C436=1,LN(W436),LN(1-W436))</f>
        <v/>
      </c>
      <c r="Y436" s="10">
        <f>IF(W436&gt;$AC$33,1,0)</f>
        <v/>
      </c>
      <c r="Z436">
        <f>IF(Y436=C436,1,0)</f>
        <v/>
      </c>
    </row>
    <row r="437">
      <c r="A437">
        <f>'1 datos preparados'!A430</f>
        <v/>
      </c>
      <c r="B437" s="5">
        <f>'1 datos preparados'!U430</f>
        <v/>
      </c>
      <c r="C437">
        <f>'1 datos preparados'!B430</f>
        <v/>
      </c>
      <c r="D437" s="7">
        <f>'1 datos preparados'!C430</f>
        <v/>
      </c>
      <c r="E437" s="7">
        <f>'1 datos preparados'!D430</f>
        <v/>
      </c>
      <c r="F437" s="7">
        <f>'1 datos preparados'!E430</f>
        <v/>
      </c>
      <c r="G437" s="7">
        <f>'1 datos preparados'!F430</f>
        <v/>
      </c>
      <c r="H437" s="7">
        <f>'1 datos preparados'!G430</f>
        <v/>
      </c>
      <c r="I437" s="7">
        <f>'1 datos preparados'!H430</f>
        <v/>
      </c>
      <c r="J437" s="7">
        <f>'1 datos preparados'!I430</f>
        <v/>
      </c>
      <c r="K437" s="7">
        <f>'1 datos preparados'!J430</f>
        <v/>
      </c>
      <c r="L437" s="7">
        <f>'1 datos preparados'!K430</f>
        <v/>
      </c>
      <c r="M437" s="7">
        <f>'1 datos preparados'!L430</f>
        <v/>
      </c>
      <c r="N437" s="7">
        <f>'1 datos preparados'!M430</f>
        <v/>
      </c>
      <c r="O437" s="7">
        <f>'1 datos preparados'!N430</f>
        <v/>
      </c>
      <c r="P437" s="7">
        <f>'1 datos preparados'!O430</f>
        <v/>
      </c>
      <c r="Q437" s="7">
        <f>'1 datos preparados'!P430</f>
        <v/>
      </c>
      <c r="R437" s="7">
        <f>'1 datos preparados'!Q430</f>
        <v/>
      </c>
      <c r="S437" s="7">
        <f>'1 datos preparados'!R430</f>
        <v/>
      </c>
      <c r="T437" s="7">
        <f>'1 datos preparados'!S430</f>
        <v/>
      </c>
      <c r="U437" s="7">
        <f>'1 datos preparados'!T430</f>
        <v/>
      </c>
      <c r="V437" s="8">
        <f>$AC$12+D437*$AC$13+E437*$AC$14+F437*$AC$15+G437*$AC$16+H437*$AC$17+I437*$AC$18+J437*$AC$19+K437*$AC$20+L437*$AC$21+M437*$AC$22+N437*$AC$23+O437*$AC$24+P437*$AC$25+Q437*$AC$26+R437*$AC$27+S437*$AC$28+T437*$AC$29+U437*$AC$30</f>
        <v/>
      </c>
      <c r="W437" s="8">
        <f>1/(1+EXP(-V437))</f>
        <v/>
      </c>
      <c r="X437" s="9">
        <f>-IF(C437=1,LN(W437),LN(1-W437))</f>
        <v/>
      </c>
      <c r="Y437" s="10">
        <f>IF(W437&gt;$AC$33,1,0)</f>
        <v/>
      </c>
      <c r="Z437">
        <f>IF(Y437=C437,1,0)</f>
        <v/>
      </c>
    </row>
    <row r="438">
      <c r="A438">
        <f>'1 datos preparados'!A431</f>
        <v/>
      </c>
      <c r="B438" s="5">
        <f>'1 datos preparados'!U431</f>
        <v/>
      </c>
      <c r="C438">
        <f>'1 datos preparados'!B431</f>
        <v/>
      </c>
      <c r="D438" s="7">
        <f>'1 datos preparados'!C431</f>
        <v/>
      </c>
      <c r="E438" s="7">
        <f>'1 datos preparados'!D431</f>
        <v/>
      </c>
      <c r="F438" s="7">
        <f>'1 datos preparados'!E431</f>
        <v/>
      </c>
      <c r="G438" s="7">
        <f>'1 datos preparados'!F431</f>
        <v/>
      </c>
      <c r="H438" s="7">
        <f>'1 datos preparados'!G431</f>
        <v/>
      </c>
      <c r="I438" s="7">
        <f>'1 datos preparados'!H431</f>
        <v/>
      </c>
      <c r="J438" s="7">
        <f>'1 datos preparados'!I431</f>
        <v/>
      </c>
      <c r="K438" s="7">
        <f>'1 datos preparados'!J431</f>
        <v/>
      </c>
      <c r="L438" s="7">
        <f>'1 datos preparados'!K431</f>
        <v/>
      </c>
      <c r="M438" s="7">
        <f>'1 datos preparados'!L431</f>
        <v/>
      </c>
      <c r="N438" s="7">
        <f>'1 datos preparados'!M431</f>
        <v/>
      </c>
      <c r="O438" s="7">
        <f>'1 datos preparados'!N431</f>
        <v/>
      </c>
      <c r="P438" s="7">
        <f>'1 datos preparados'!O431</f>
        <v/>
      </c>
      <c r="Q438" s="7">
        <f>'1 datos preparados'!P431</f>
        <v/>
      </c>
      <c r="R438" s="7">
        <f>'1 datos preparados'!Q431</f>
        <v/>
      </c>
      <c r="S438" s="7">
        <f>'1 datos preparados'!R431</f>
        <v/>
      </c>
      <c r="T438" s="7">
        <f>'1 datos preparados'!S431</f>
        <v/>
      </c>
      <c r="U438" s="7">
        <f>'1 datos preparados'!T431</f>
        <v/>
      </c>
      <c r="V438" s="8">
        <f>$AC$12+D438*$AC$13+E438*$AC$14+F438*$AC$15+G438*$AC$16+H438*$AC$17+I438*$AC$18+J438*$AC$19+K438*$AC$20+L438*$AC$21+M438*$AC$22+N438*$AC$23+O438*$AC$24+P438*$AC$25+Q438*$AC$26+R438*$AC$27+S438*$AC$28+T438*$AC$29+U438*$AC$30</f>
        <v/>
      </c>
      <c r="W438" s="8">
        <f>1/(1+EXP(-V438))</f>
        <v/>
      </c>
      <c r="X438" s="9">
        <f>-IF(C438=1,LN(W438),LN(1-W438))</f>
        <v/>
      </c>
      <c r="Y438" s="10">
        <f>IF(W438&gt;$AC$33,1,0)</f>
        <v/>
      </c>
      <c r="Z438">
        <f>IF(Y438=C438,1,0)</f>
        <v/>
      </c>
    </row>
    <row r="439">
      <c r="A439">
        <f>'1 datos preparados'!A432</f>
        <v/>
      </c>
      <c r="B439" s="5">
        <f>'1 datos preparados'!U432</f>
        <v/>
      </c>
      <c r="C439">
        <f>'1 datos preparados'!B432</f>
        <v/>
      </c>
      <c r="D439" s="7">
        <f>'1 datos preparados'!C432</f>
        <v/>
      </c>
      <c r="E439" s="7">
        <f>'1 datos preparados'!D432</f>
        <v/>
      </c>
      <c r="F439" s="7">
        <f>'1 datos preparados'!E432</f>
        <v/>
      </c>
      <c r="G439" s="7">
        <f>'1 datos preparados'!F432</f>
        <v/>
      </c>
      <c r="H439" s="7">
        <f>'1 datos preparados'!G432</f>
        <v/>
      </c>
      <c r="I439" s="7">
        <f>'1 datos preparados'!H432</f>
        <v/>
      </c>
      <c r="J439" s="7">
        <f>'1 datos preparados'!I432</f>
        <v/>
      </c>
      <c r="K439" s="7">
        <f>'1 datos preparados'!J432</f>
        <v/>
      </c>
      <c r="L439" s="7">
        <f>'1 datos preparados'!K432</f>
        <v/>
      </c>
      <c r="M439" s="7">
        <f>'1 datos preparados'!L432</f>
        <v/>
      </c>
      <c r="N439" s="7">
        <f>'1 datos preparados'!M432</f>
        <v/>
      </c>
      <c r="O439" s="7">
        <f>'1 datos preparados'!N432</f>
        <v/>
      </c>
      <c r="P439" s="7">
        <f>'1 datos preparados'!O432</f>
        <v/>
      </c>
      <c r="Q439" s="7">
        <f>'1 datos preparados'!P432</f>
        <v/>
      </c>
      <c r="R439" s="7">
        <f>'1 datos preparados'!Q432</f>
        <v/>
      </c>
      <c r="S439" s="7">
        <f>'1 datos preparados'!R432</f>
        <v/>
      </c>
      <c r="T439" s="7">
        <f>'1 datos preparados'!S432</f>
        <v/>
      </c>
      <c r="U439" s="7">
        <f>'1 datos preparados'!T432</f>
        <v/>
      </c>
      <c r="V439" s="8">
        <f>$AC$12+D439*$AC$13+E439*$AC$14+F439*$AC$15+G439*$AC$16+H439*$AC$17+I439*$AC$18+J439*$AC$19+K439*$AC$20+L439*$AC$21+M439*$AC$22+N439*$AC$23+O439*$AC$24+P439*$AC$25+Q439*$AC$26+R439*$AC$27+S439*$AC$28+T439*$AC$29+U439*$AC$30</f>
        <v/>
      </c>
      <c r="W439" s="8">
        <f>1/(1+EXP(-V439))</f>
        <v/>
      </c>
      <c r="X439" s="9">
        <f>-IF(C439=1,LN(W439),LN(1-W439))</f>
        <v/>
      </c>
      <c r="Y439" s="10">
        <f>IF(W439&gt;$AC$33,1,0)</f>
        <v/>
      </c>
      <c r="Z439">
        <f>IF(Y439=C439,1,0)</f>
        <v/>
      </c>
    </row>
    <row r="440">
      <c r="A440">
        <f>'1 datos preparados'!A433</f>
        <v/>
      </c>
      <c r="B440" s="5">
        <f>'1 datos preparados'!U433</f>
        <v/>
      </c>
      <c r="C440">
        <f>'1 datos preparados'!B433</f>
        <v/>
      </c>
      <c r="D440" s="7">
        <f>'1 datos preparados'!C433</f>
        <v/>
      </c>
      <c r="E440" s="7">
        <f>'1 datos preparados'!D433</f>
        <v/>
      </c>
      <c r="F440" s="7">
        <f>'1 datos preparados'!E433</f>
        <v/>
      </c>
      <c r="G440" s="7">
        <f>'1 datos preparados'!F433</f>
        <v/>
      </c>
      <c r="H440" s="7">
        <f>'1 datos preparados'!G433</f>
        <v/>
      </c>
      <c r="I440" s="7">
        <f>'1 datos preparados'!H433</f>
        <v/>
      </c>
      <c r="J440" s="7">
        <f>'1 datos preparados'!I433</f>
        <v/>
      </c>
      <c r="K440" s="7">
        <f>'1 datos preparados'!J433</f>
        <v/>
      </c>
      <c r="L440" s="7">
        <f>'1 datos preparados'!K433</f>
        <v/>
      </c>
      <c r="M440" s="7">
        <f>'1 datos preparados'!L433</f>
        <v/>
      </c>
      <c r="N440" s="7">
        <f>'1 datos preparados'!M433</f>
        <v/>
      </c>
      <c r="O440" s="7">
        <f>'1 datos preparados'!N433</f>
        <v/>
      </c>
      <c r="P440" s="7">
        <f>'1 datos preparados'!O433</f>
        <v/>
      </c>
      <c r="Q440" s="7">
        <f>'1 datos preparados'!P433</f>
        <v/>
      </c>
      <c r="R440" s="7">
        <f>'1 datos preparados'!Q433</f>
        <v/>
      </c>
      <c r="S440" s="7">
        <f>'1 datos preparados'!R433</f>
        <v/>
      </c>
      <c r="T440" s="7">
        <f>'1 datos preparados'!S433</f>
        <v/>
      </c>
      <c r="U440" s="7">
        <f>'1 datos preparados'!T433</f>
        <v/>
      </c>
      <c r="V440" s="8">
        <f>$AC$12+D440*$AC$13+E440*$AC$14+F440*$AC$15+G440*$AC$16+H440*$AC$17+I440*$AC$18+J440*$AC$19+K440*$AC$20+L440*$AC$21+M440*$AC$22+N440*$AC$23+O440*$AC$24+P440*$AC$25+Q440*$AC$26+R440*$AC$27+S440*$AC$28+T440*$AC$29+U440*$AC$30</f>
        <v/>
      </c>
      <c r="W440" s="8">
        <f>1/(1+EXP(-V440))</f>
        <v/>
      </c>
      <c r="X440" s="9">
        <f>-IF(C440=1,LN(W440),LN(1-W440))</f>
        <v/>
      </c>
      <c r="Y440" s="10">
        <f>IF(W440&gt;$AC$33,1,0)</f>
        <v/>
      </c>
      <c r="Z440">
        <f>IF(Y440=C440,1,0)</f>
        <v/>
      </c>
    </row>
    <row r="441">
      <c r="A441">
        <f>'1 datos preparados'!A434</f>
        <v/>
      </c>
      <c r="B441" s="5">
        <f>'1 datos preparados'!U434</f>
        <v/>
      </c>
      <c r="C441">
        <f>'1 datos preparados'!B434</f>
        <v/>
      </c>
      <c r="D441" s="7">
        <f>'1 datos preparados'!C434</f>
        <v/>
      </c>
      <c r="E441" s="7">
        <f>'1 datos preparados'!D434</f>
        <v/>
      </c>
      <c r="F441" s="7">
        <f>'1 datos preparados'!E434</f>
        <v/>
      </c>
      <c r="G441" s="7">
        <f>'1 datos preparados'!F434</f>
        <v/>
      </c>
      <c r="H441" s="7">
        <f>'1 datos preparados'!G434</f>
        <v/>
      </c>
      <c r="I441" s="7">
        <f>'1 datos preparados'!H434</f>
        <v/>
      </c>
      <c r="J441" s="7">
        <f>'1 datos preparados'!I434</f>
        <v/>
      </c>
      <c r="K441" s="7">
        <f>'1 datos preparados'!J434</f>
        <v/>
      </c>
      <c r="L441" s="7">
        <f>'1 datos preparados'!K434</f>
        <v/>
      </c>
      <c r="M441" s="7">
        <f>'1 datos preparados'!L434</f>
        <v/>
      </c>
      <c r="N441" s="7">
        <f>'1 datos preparados'!M434</f>
        <v/>
      </c>
      <c r="O441" s="7">
        <f>'1 datos preparados'!N434</f>
        <v/>
      </c>
      <c r="P441" s="7">
        <f>'1 datos preparados'!O434</f>
        <v/>
      </c>
      <c r="Q441" s="7">
        <f>'1 datos preparados'!P434</f>
        <v/>
      </c>
      <c r="R441" s="7">
        <f>'1 datos preparados'!Q434</f>
        <v/>
      </c>
      <c r="S441" s="7">
        <f>'1 datos preparados'!R434</f>
        <v/>
      </c>
      <c r="T441" s="7">
        <f>'1 datos preparados'!S434</f>
        <v/>
      </c>
      <c r="U441" s="7">
        <f>'1 datos preparados'!T434</f>
        <v/>
      </c>
      <c r="V441" s="8">
        <f>$AC$12+D441*$AC$13+E441*$AC$14+F441*$AC$15+G441*$AC$16+H441*$AC$17+I441*$AC$18+J441*$AC$19+K441*$AC$20+L441*$AC$21+M441*$AC$22+N441*$AC$23+O441*$AC$24+P441*$AC$25+Q441*$AC$26+R441*$AC$27+S441*$AC$28+T441*$AC$29+U441*$AC$30</f>
        <v/>
      </c>
      <c r="W441" s="8">
        <f>1/(1+EXP(-V441))</f>
        <v/>
      </c>
      <c r="X441" s="9">
        <f>-IF(C441=1,LN(W441),LN(1-W441))</f>
        <v/>
      </c>
      <c r="Y441" s="10">
        <f>IF(W441&gt;$AC$33,1,0)</f>
        <v/>
      </c>
      <c r="Z441">
        <f>IF(Y441=C441,1,0)</f>
        <v/>
      </c>
    </row>
    <row r="442">
      <c r="A442">
        <f>'1 datos preparados'!A435</f>
        <v/>
      </c>
      <c r="B442" s="5">
        <f>'1 datos preparados'!U435</f>
        <v/>
      </c>
      <c r="C442">
        <f>'1 datos preparados'!B435</f>
        <v/>
      </c>
      <c r="D442" s="7">
        <f>'1 datos preparados'!C435</f>
        <v/>
      </c>
      <c r="E442" s="7">
        <f>'1 datos preparados'!D435</f>
        <v/>
      </c>
      <c r="F442" s="7">
        <f>'1 datos preparados'!E435</f>
        <v/>
      </c>
      <c r="G442" s="7">
        <f>'1 datos preparados'!F435</f>
        <v/>
      </c>
      <c r="H442" s="7">
        <f>'1 datos preparados'!G435</f>
        <v/>
      </c>
      <c r="I442" s="7">
        <f>'1 datos preparados'!H435</f>
        <v/>
      </c>
      <c r="J442" s="7">
        <f>'1 datos preparados'!I435</f>
        <v/>
      </c>
      <c r="K442" s="7">
        <f>'1 datos preparados'!J435</f>
        <v/>
      </c>
      <c r="L442" s="7">
        <f>'1 datos preparados'!K435</f>
        <v/>
      </c>
      <c r="M442" s="7">
        <f>'1 datos preparados'!L435</f>
        <v/>
      </c>
      <c r="N442" s="7">
        <f>'1 datos preparados'!M435</f>
        <v/>
      </c>
      <c r="O442" s="7">
        <f>'1 datos preparados'!N435</f>
        <v/>
      </c>
      <c r="P442" s="7">
        <f>'1 datos preparados'!O435</f>
        <v/>
      </c>
      <c r="Q442" s="7">
        <f>'1 datos preparados'!P435</f>
        <v/>
      </c>
      <c r="R442" s="7">
        <f>'1 datos preparados'!Q435</f>
        <v/>
      </c>
      <c r="S442" s="7">
        <f>'1 datos preparados'!R435</f>
        <v/>
      </c>
      <c r="T442" s="7">
        <f>'1 datos preparados'!S435</f>
        <v/>
      </c>
      <c r="U442" s="7">
        <f>'1 datos preparados'!T435</f>
        <v/>
      </c>
      <c r="V442" s="8">
        <f>$AC$12+D442*$AC$13+E442*$AC$14+F442*$AC$15+G442*$AC$16+H442*$AC$17+I442*$AC$18+J442*$AC$19+K442*$AC$20+L442*$AC$21+M442*$AC$22+N442*$AC$23+O442*$AC$24+P442*$AC$25+Q442*$AC$26+R442*$AC$27+S442*$AC$28+T442*$AC$29+U442*$AC$30</f>
        <v/>
      </c>
      <c r="W442" s="8">
        <f>1/(1+EXP(-V442))</f>
        <v/>
      </c>
      <c r="X442" s="9">
        <f>-IF(C442=1,LN(W442),LN(1-W442))</f>
        <v/>
      </c>
      <c r="Y442" s="10">
        <f>IF(W442&gt;$AC$33,1,0)</f>
        <v/>
      </c>
      <c r="Z442">
        <f>IF(Y442=C442,1,0)</f>
        <v/>
      </c>
    </row>
    <row r="443">
      <c r="A443">
        <f>'1 datos preparados'!A436</f>
        <v/>
      </c>
      <c r="B443" s="5">
        <f>'1 datos preparados'!U436</f>
        <v/>
      </c>
      <c r="C443">
        <f>'1 datos preparados'!B436</f>
        <v/>
      </c>
      <c r="D443" s="7">
        <f>'1 datos preparados'!C436</f>
        <v/>
      </c>
      <c r="E443" s="7">
        <f>'1 datos preparados'!D436</f>
        <v/>
      </c>
      <c r="F443" s="7">
        <f>'1 datos preparados'!E436</f>
        <v/>
      </c>
      <c r="G443" s="7">
        <f>'1 datos preparados'!F436</f>
        <v/>
      </c>
      <c r="H443" s="7">
        <f>'1 datos preparados'!G436</f>
        <v/>
      </c>
      <c r="I443" s="7">
        <f>'1 datos preparados'!H436</f>
        <v/>
      </c>
      <c r="J443" s="7">
        <f>'1 datos preparados'!I436</f>
        <v/>
      </c>
      <c r="K443" s="7">
        <f>'1 datos preparados'!J436</f>
        <v/>
      </c>
      <c r="L443" s="7">
        <f>'1 datos preparados'!K436</f>
        <v/>
      </c>
      <c r="M443" s="7">
        <f>'1 datos preparados'!L436</f>
        <v/>
      </c>
      <c r="N443" s="7">
        <f>'1 datos preparados'!M436</f>
        <v/>
      </c>
      <c r="O443" s="7">
        <f>'1 datos preparados'!N436</f>
        <v/>
      </c>
      <c r="P443" s="7">
        <f>'1 datos preparados'!O436</f>
        <v/>
      </c>
      <c r="Q443" s="7">
        <f>'1 datos preparados'!P436</f>
        <v/>
      </c>
      <c r="R443" s="7">
        <f>'1 datos preparados'!Q436</f>
        <v/>
      </c>
      <c r="S443" s="7">
        <f>'1 datos preparados'!R436</f>
        <v/>
      </c>
      <c r="T443" s="7">
        <f>'1 datos preparados'!S436</f>
        <v/>
      </c>
      <c r="U443" s="7">
        <f>'1 datos preparados'!T436</f>
        <v/>
      </c>
      <c r="V443" s="8">
        <f>$AC$12+D443*$AC$13+E443*$AC$14+F443*$AC$15+G443*$AC$16+H443*$AC$17+I443*$AC$18+J443*$AC$19+K443*$AC$20+L443*$AC$21+M443*$AC$22+N443*$AC$23+O443*$AC$24+P443*$AC$25+Q443*$AC$26+R443*$AC$27+S443*$AC$28+T443*$AC$29+U443*$AC$30</f>
        <v/>
      </c>
      <c r="W443" s="8">
        <f>1/(1+EXP(-V443))</f>
        <v/>
      </c>
      <c r="X443" s="9">
        <f>-IF(C443=1,LN(W443),LN(1-W443))</f>
        <v/>
      </c>
      <c r="Y443" s="10">
        <f>IF(W443&gt;$AC$33,1,0)</f>
        <v/>
      </c>
      <c r="Z443">
        <f>IF(Y443=C443,1,0)</f>
        <v/>
      </c>
    </row>
    <row r="444">
      <c r="A444">
        <f>'1 datos preparados'!A437</f>
        <v/>
      </c>
      <c r="B444" s="5">
        <f>'1 datos preparados'!U437</f>
        <v/>
      </c>
      <c r="C444">
        <f>'1 datos preparados'!B437</f>
        <v/>
      </c>
      <c r="D444" s="7">
        <f>'1 datos preparados'!C437</f>
        <v/>
      </c>
      <c r="E444" s="7">
        <f>'1 datos preparados'!D437</f>
        <v/>
      </c>
      <c r="F444" s="7">
        <f>'1 datos preparados'!E437</f>
        <v/>
      </c>
      <c r="G444" s="7">
        <f>'1 datos preparados'!F437</f>
        <v/>
      </c>
      <c r="H444" s="7">
        <f>'1 datos preparados'!G437</f>
        <v/>
      </c>
      <c r="I444" s="7">
        <f>'1 datos preparados'!H437</f>
        <v/>
      </c>
      <c r="J444" s="7">
        <f>'1 datos preparados'!I437</f>
        <v/>
      </c>
      <c r="K444" s="7">
        <f>'1 datos preparados'!J437</f>
        <v/>
      </c>
      <c r="L444" s="7">
        <f>'1 datos preparados'!K437</f>
        <v/>
      </c>
      <c r="M444" s="7">
        <f>'1 datos preparados'!L437</f>
        <v/>
      </c>
      <c r="N444" s="7">
        <f>'1 datos preparados'!M437</f>
        <v/>
      </c>
      <c r="O444" s="7">
        <f>'1 datos preparados'!N437</f>
        <v/>
      </c>
      <c r="P444" s="7">
        <f>'1 datos preparados'!O437</f>
        <v/>
      </c>
      <c r="Q444" s="7">
        <f>'1 datos preparados'!P437</f>
        <v/>
      </c>
      <c r="R444" s="7">
        <f>'1 datos preparados'!Q437</f>
        <v/>
      </c>
      <c r="S444" s="7">
        <f>'1 datos preparados'!R437</f>
        <v/>
      </c>
      <c r="T444" s="7">
        <f>'1 datos preparados'!S437</f>
        <v/>
      </c>
      <c r="U444" s="7">
        <f>'1 datos preparados'!T437</f>
        <v/>
      </c>
      <c r="V444" s="8">
        <f>$AC$12+D444*$AC$13+E444*$AC$14+F444*$AC$15+G444*$AC$16+H444*$AC$17+I444*$AC$18+J444*$AC$19+K444*$AC$20+L444*$AC$21+M444*$AC$22+N444*$AC$23+O444*$AC$24+P444*$AC$25+Q444*$AC$26+R444*$AC$27+S444*$AC$28+T444*$AC$29+U444*$AC$30</f>
        <v/>
      </c>
      <c r="W444" s="8">
        <f>1/(1+EXP(-V444))</f>
        <v/>
      </c>
      <c r="X444" s="9">
        <f>-IF(C444=1,LN(W444),LN(1-W444))</f>
        <v/>
      </c>
      <c r="Y444" s="10">
        <f>IF(W444&gt;$AC$33,1,0)</f>
        <v/>
      </c>
      <c r="Z444">
        <f>IF(Y444=C444,1,0)</f>
        <v/>
      </c>
    </row>
    <row r="445">
      <c r="A445">
        <f>'1 datos preparados'!A438</f>
        <v/>
      </c>
      <c r="B445" s="5">
        <f>'1 datos preparados'!U438</f>
        <v/>
      </c>
      <c r="C445">
        <f>'1 datos preparados'!B438</f>
        <v/>
      </c>
      <c r="D445" s="7">
        <f>'1 datos preparados'!C438</f>
        <v/>
      </c>
      <c r="E445" s="7">
        <f>'1 datos preparados'!D438</f>
        <v/>
      </c>
      <c r="F445" s="7">
        <f>'1 datos preparados'!E438</f>
        <v/>
      </c>
      <c r="G445" s="7">
        <f>'1 datos preparados'!F438</f>
        <v/>
      </c>
      <c r="H445" s="7">
        <f>'1 datos preparados'!G438</f>
        <v/>
      </c>
      <c r="I445" s="7">
        <f>'1 datos preparados'!H438</f>
        <v/>
      </c>
      <c r="J445" s="7">
        <f>'1 datos preparados'!I438</f>
        <v/>
      </c>
      <c r="K445" s="7">
        <f>'1 datos preparados'!J438</f>
        <v/>
      </c>
      <c r="L445" s="7">
        <f>'1 datos preparados'!K438</f>
        <v/>
      </c>
      <c r="M445" s="7">
        <f>'1 datos preparados'!L438</f>
        <v/>
      </c>
      <c r="N445" s="7">
        <f>'1 datos preparados'!M438</f>
        <v/>
      </c>
      <c r="O445" s="7">
        <f>'1 datos preparados'!N438</f>
        <v/>
      </c>
      <c r="P445" s="7">
        <f>'1 datos preparados'!O438</f>
        <v/>
      </c>
      <c r="Q445" s="7">
        <f>'1 datos preparados'!P438</f>
        <v/>
      </c>
      <c r="R445" s="7">
        <f>'1 datos preparados'!Q438</f>
        <v/>
      </c>
      <c r="S445" s="7">
        <f>'1 datos preparados'!R438</f>
        <v/>
      </c>
      <c r="T445" s="7">
        <f>'1 datos preparados'!S438</f>
        <v/>
      </c>
      <c r="U445" s="7">
        <f>'1 datos preparados'!T438</f>
        <v/>
      </c>
      <c r="V445" s="8">
        <f>$AC$12+D445*$AC$13+E445*$AC$14+F445*$AC$15+G445*$AC$16+H445*$AC$17+I445*$AC$18+J445*$AC$19+K445*$AC$20+L445*$AC$21+M445*$AC$22+N445*$AC$23+O445*$AC$24+P445*$AC$25+Q445*$AC$26+R445*$AC$27+S445*$AC$28+T445*$AC$29+U445*$AC$30</f>
        <v/>
      </c>
      <c r="W445" s="8">
        <f>1/(1+EXP(-V445))</f>
        <v/>
      </c>
      <c r="X445" s="9">
        <f>-IF(C445=1,LN(W445),LN(1-W445))</f>
        <v/>
      </c>
      <c r="Y445" s="10">
        <f>IF(W445&gt;$AC$33,1,0)</f>
        <v/>
      </c>
      <c r="Z445">
        <f>IF(Y445=C445,1,0)</f>
        <v/>
      </c>
    </row>
    <row r="446">
      <c r="A446">
        <f>'1 datos preparados'!A439</f>
        <v/>
      </c>
      <c r="B446" s="5">
        <f>'1 datos preparados'!U439</f>
        <v/>
      </c>
      <c r="C446">
        <f>'1 datos preparados'!B439</f>
        <v/>
      </c>
      <c r="D446" s="7">
        <f>'1 datos preparados'!C439</f>
        <v/>
      </c>
      <c r="E446" s="7">
        <f>'1 datos preparados'!D439</f>
        <v/>
      </c>
      <c r="F446" s="7">
        <f>'1 datos preparados'!E439</f>
        <v/>
      </c>
      <c r="G446" s="7">
        <f>'1 datos preparados'!F439</f>
        <v/>
      </c>
      <c r="H446" s="7">
        <f>'1 datos preparados'!G439</f>
        <v/>
      </c>
      <c r="I446" s="7">
        <f>'1 datos preparados'!H439</f>
        <v/>
      </c>
      <c r="J446" s="7">
        <f>'1 datos preparados'!I439</f>
        <v/>
      </c>
      <c r="K446" s="7">
        <f>'1 datos preparados'!J439</f>
        <v/>
      </c>
      <c r="L446" s="7">
        <f>'1 datos preparados'!K439</f>
        <v/>
      </c>
      <c r="M446" s="7">
        <f>'1 datos preparados'!L439</f>
        <v/>
      </c>
      <c r="N446" s="7">
        <f>'1 datos preparados'!M439</f>
        <v/>
      </c>
      <c r="O446" s="7">
        <f>'1 datos preparados'!N439</f>
        <v/>
      </c>
      <c r="P446" s="7">
        <f>'1 datos preparados'!O439</f>
        <v/>
      </c>
      <c r="Q446" s="7">
        <f>'1 datos preparados'!P439</f>
        <v/>
      </c>
      <c r="R446" s="7">
        <f>'1 datos preparados'!Q439</f>
        <v/>
      </c>
      <c r="S446" s="7">
        <f>'1 datos preparados'!R439</f>
        <v/>
      </c>
      <c r="T446" s="7">
        <f>'1 datos preparados'!S439</f>
        <v/>
      </c>
      <c r="U446" s="7">
        <f>'1 datos preparados'!T439</f>
        <v/>
      </c>
      <c r="V446" s="8">
        <f>$AC$12+D446*$AC$13+E446*$AC$14+F446*$AC$15+G446*$AC$16+H446*$AC$17+I446*$AC$18+J446*$AC$19+K446*$AC$20+L446*$AC$21+M446*$AC$22+N446*$AC$23+O446*$AC$24+P446*$AC$25+Q446*$AC$26+R446*$AC$27+S446*$AC$28+T446*$AC$29+U446*$AC$30</f>
        <v/>
      </c>
      <c r="W446" s="8">
        <f>1/(1+EXP(-V446))</f>
        <v/>
      </c>
      <c r="X446" s="9">
        <f>-IF(C446=1,LN(W446),LN(1-W446))</f>
        <v/>
      </c>
      <c r="Y446" s="10">
        <f>IF(W446&gt;$AC$33,1,0)</f>
        <v/>
      </c>
      <c r="Z446">
        <f>IF(Y446=C446,1,0)</f>
        <v/>
      </c>
    </row>
    <row r="447">
      <c r="A447">
        <f>'1 datos preparados'!A440</f>
        <v/>
      </c>
      <c r="B447" s="5">
        <f>'1 datos preparados'!U440</f>
        <v/>
      </c>
      <c r="C447">
        <f>'1 datos preparados'!B440</f>
        <v/>
      </c>
      <c r="D447" s="7">
        <f>'1 datos preparados'!C440</f>
        <v/>
      </c>
      <c r="E447" s="7">
        <f>'1 datos preparados'!D440</f>
        <v/>
      </c>
      <c r="F447" s="7">
        <f>'1 datos preparados'!E440</f>
        <v/>
      </c>
      <c r="G447" s="7">
        <f>'1 datos preparados'!F440</f>
        <v/>
      </c>
      <c r="H447" s="7">
        <f>'1 datos preparados'!G440</f>
        <v/>
      </c>
      <c r="I447" s="7">
        <f>'1 datos preparados'!H440</f>
        <v/>
      </c>
      <c r="J447" s="7">
        <f>'1 datos preparados'!I440</f>
        <v/>
      </c>
      <c r="K447" s="7">
        <f>'1 datos preparados'!J440</f>
        <v/>
      </c>
      <c r="L447" s="7">
        <f>'1 datos preparados'!K440</f>
        <v/>
      </c>
      <c r="M447" s="7">
        <f>'1 datos preparados'!L440</f>
        <v/>
      </c>
      <c r="N447" s="7">
        <f>'1 datos preparados'!M440</f>
        <v/>
      </c>
      <c r="O447" s="7">
        <f>'1 datos preparados'!N440</f>
        <v/>
      </c>
      <c r="P447" s="7">
        <f>'1 datos preparados'!O440</f>
        <v/>
      </c>
      <c r="Q447" s="7">
        <f>'1 datos preparados'!P440</f>
        <v/>
      </c>
      <c r="R447" s="7">
        <f>'1 datos preparados'!Q440</f>
        <v/>
      </c>
      <c r="S447" s="7">
        <f>'1 datos preparados'!R440</f>
        <v/>
      </c>
      <c r="T447" s="7">
        <f>'1 datos preparados'!S440</f>
        <v/>
      </c>
      <c r="U447" s="7">
        <f>'1 datos preparados'!T440</f>
        <v/>
      </c>
      <c r="V447" s="8">
        <f>$AC$12+D447*$AC$13+E447*$AC$14+F447*$AC$15+G447*$AC$16+H447*$AC$17+I447*$AC$18+J447*$AC$19+K447*$AC$20+L447*$AC$21+M447*$AC$22+N447*$AC$23+O447*$AC$24+P447*$AC$25+Q447*$AC$26+R447*$AC$27+S447*$AC$28+T447*$AC$29+U447*$AC$30</f>
        <v/>
      </c>
      <c r="W447" s="8">
        <f>1/(1+EXP(-V447))</f>
        <v/>
      </c>
      <c r="X447" s="9">
        <f>-IF(C447=1,LN(W447),LN(1-W447))</f>
        <v/>
      </c>
      <c r="Y447" s="10">
        <f>IF(W447&gt;$AC$33,1,0)</f>
        <v/>
      </c>
      <c r="Z447">
        <f>IF(Y447=C447,1,0)</f>
        <v/>
      </c>
    </row>
    <row r="448">
      <c r="A448">
        <f>'1 datos preparados'!A441</f>
        <v/>
      </c>
      <c r="B448" s="5">
        <f>'1 datos preparados'!U441</f>
        <v/>
      </c>
      <c r="C448">
        <f>'1 datos preparados'!B441</f>
        <v/>
      </c>
      <c r="D448" s="7">
        <f>'1 datos preparados'!C441</f>
        <v/>
      </c>
      <c r="E448" s="7">
        <f>'1 datos preparados'!D441</f>
        <v/>
      </c>
      <c r="F448" s="7">
        <f>'1 datos preparados'!E441</f>
        <v/>
      </c>
      <c r="G448" s="7">
        <f>'1 datos preparados'!F441</f>
        <v/>
      </c>
      <c r="H448" s="7">
        <f>'1 datos preparados'!G441</f>
        <v/>
      </c>
      <c r="I448" s="7">
        <f>'1 datos preparados'!H441</f>
        <v/>
      </c>
      <c r="J448" s="7">
        <f>'1 datos preparados'!I441</f>
        <v/>
      </c>
      <c r="K448" s="7">
        <f>'1 datos preparados'!J441</f>
        <v/>
      </c>
      <c r="L448" s="7">
        <f>'1 datos preparados'!K441</f>
        <v/>
      </c>
      <c r="M448" s="7">
        <f>'1 datos preparados'!L441</f>
        <v/>
      </c>
      <c r="N448" s="7">
        <f>'1 datos preparados'!M441</f>
        <v/>
      </c>
      <c r="O448" s="7">
        <f>'1 datos preparados'!N441</f>
        <v/>
      </c>
      <c r="P448" s="7">
        <f>'1 datos preparados'!O441</f>
        <v/>
      </c>
      <c r="Q448" s="7">
        <f>'1 datos preparados'!P441</f>
        <v/>
      </c>
      <c r="R448" s="7">
        <f>'1 datos preparados'!Q441</f>
        <v/>
      </c>
      <c r="S448" s="7">
        <f>'1 datos preparados'!R441</f>
        <v/>
      </c>
      <c r="T448" s="7">
        <f>'1 datos preparados'!S441</f>
        <v/>
      </c>
      <c r="U448" s="7">
        <f>'1 datos preparados'!T441</f>
        <v/>
      </c>
      <c r="V448" s="8">
        <f>$AC$12+D448*$AC$13+E448*$AC$14+F448*$AC$15+G448*$AC$16+H448*$AC$17+I448*$AC$18+J448*$AC$19+K448*$AC$20+L448*$AC$21+M448*$AC$22+N448*$AC$23+O448*$AC$24+P448*$AC$25+Q448*$AC$26+R448*$AC$27+S448*$AC$28+T448*$AC$29+U448*$AC$30</f>
        <v/>
      </c>
      <c r="W448" s="8">
        <f>1/(1+EXP(-V448))</f>
        <v/>
      </c>
      <c r="X448" s="9">
        <f>-IF(C448=1,LN(W448),LN(1-W448))</f>
        <v/>
      </c>
      <c r="Y448" s="10">
        <f>IF(W448&gt;$AC$33,1,0)</f>
        <v/>
      </c>
      <c r="Z448">
        <f>IF(Y448=C448,1,0)</f>
        <v/>
      </c>
    </row>
    <row r="449">
      <c r="A449">
        <f>'1 datos preparados'!A442</f>
        <v/>
      </c>
      <c r="B449" s="5">
        <f>'1 datos preparados'!U442</f>
        <v/>
      </c>
      <c r="C449">
        <f>'1 datos preparados'!B442</f>
        <v/>
      </c>
      <c r="D449" s="7">
        <f>'1 datos preparados'!C442</f>
        <v/>
      </c>
      <c r="E449" s="7">
        <f>'1 datos preparados'!D442</f>
        <v/>
      </c>
      <c r="F449" s="7">
        <f>'1 datos preparados'!E442</f>
        <v/>
      </c>
      <c r="G449" s="7">
        <f>'1 datos preparados'!F442</f>
        <v/>
      </c>
      <c r="H449" s="7">
        <f>'1 datos preparados'!G442</f>
        <v/>
      </c>
      <c r="I449" s="7">
        <f>'1 datos preparados'!H442</f>
        <v/>
      </c>
      <c r="J449" s="7">
        <f>'1 datos preparados'!I442</f>
        <v/>
      </c>
      <c r="K449" s="7">
        <f>'1 datos preparados'!J442</f>
        <v/>
      </c>
      <c r="L449" s="7">
        <f>'1 datos preparados'!K442</f>
        <v/>
      </c>
      <c r="M449" s="7">
        <f>'1 datos preparados'!L442</f>
        <v/>
      </c>
      <c r="N449" s="7">
        <f>'1 datos preparados'!M442</f>
        <v/>
      </c>
      <c r="O449" s="7">
        <f>'1 datos preparados'!N442</f>
        <v/>
      </c>
      <c r="P449" s="7">
        <f>'1 datos preparados'!O442</f>
        <v/>
      </c>
      <c r="Q449" s="7">
        <f>'1 datos preparados'!P442</f>
        <v/>
      </c>
      <c r="R449" s="7">
        <f>'1 datos preparados'!Q442</f>
        <v/>
      </c>
      <c r="S449" s="7">
        <f>'1 datos preparados'!R442</f>
        <v/>
      </c>
      <c r="T449" s="7">
        <f>'1 datos preparados'!S442</f>
        <v/>
      </c>
      <c r="U449" s="7">
        <f>'1 datos preparados'!T442</f>
        <v/>
      </c>
      <c r="V449" s="8">
        <f>$AC$12+D449*$AC$13+E449*$AC$14+F449*$AC$15+G449*$AC$16+H449*$AC$17+I449*$AC$18+J449*$AC$19+K449*$AC$20+L449*$AC$21+M449*$AC$22+N449*$AC$23+O449*$AC$24+P449*$AC$25+Q449*$AC$26+R449*$AC$27+S449*$AC$28+T449*$AC$29+U449*$AC$30</f>
        <v/>
      </c>
      <c r="W449" s="8">
        <f>1/(1+EXP(-V449))</f>
        <v/>
      </c>
      <c r="X449" s="9">
        <f>-IF(C449=1,LN(W449),LN(1-W449))</f>
        <v/>
      </c>
      <c r="Y449" s="10">
        <f>IF(W449&gt;$AC$33,1,0)</f>
        <v/>
      </c>
      <c r="Z449">
        <f>IF(Y449=C449,1,0)</f>
        <v/>
      </c>
    </row>
    <row r="450">
      <c r="A450">
        <f>'1 datos preparados'!A443</f>
        <v/>
      </c>
      <c r="B450" s="5">
        <f>'1 datos preparados'!U443</f>
        <v/>
      </c>
      <c r="C450">
        <f>'1 datos preparados'!B443</f>
        <v/>
      </c>
      <c r="D450" s="7">
        <f>'1 datos preparados'!C443</f>
        <v/>
      </c>
      <c r="E450" s="7">
        <f>'1 datos preparados'!D443</f>
        <v/>
      </c>
      <c r="F450" s="7">
        <f>'1 datos preparados'!E443</f>
        <v/>
      </c>
      <c r="G450" s="7">
        <f>'1 datos preparados'!F443</f>
        <v/>
      </c>
      <c r="H450" s="7">
        <f>'1 datos preparados'!G443</f>
        <v/>
      </c>
      <c r="I450" s="7">
        <f>'1 datos preparados'!H443</f>
        <v/>
      </c>
      <c r="J450" s="7">
        <f>'1 datos preparados'!I443</f>
        <v/>
      </c>
      <c r="K450" s="7">
        <f>'1 datos preparados'!J443</f>
        <v/>
      </c>
      <c r="L450" s="7">
        <f>'1 datos preparados'!K443</f>
        <v/>
      </c>
      <c r="M450" s="7">
        <f>'1 datos preparados'!L443</f>
        <v/>
      </c>
      <c r="N450" s="7">
        <f>'1 datos preparados'!M443</f>
        <v/>
      </c>
      <c r="O450" s="7">
        <f>'1 datos preparados'!N443</f>
        <v/>
      </c>
      <c r="P450" s="7">
        <f>'1 datos preparados'!O443</f>
        <v/>
      </c>
      <c r="Q450" s="7">
        <f>'1 datos preparados'!P443</f>
        <v/>
      </c>
      <c r="R450" s="7">
        <f>'1 datos preparados'!Q443</f>
        <v/>
      </c>
      <c r="S450" s="7">
        <f>'1 datos preparados'!R443</f>
        <v/>
      </c>
      <c r="T450" s="7">
        <f>'1 datos preparados'!S443</f>
        <v/>
      </c>
      <c r="U450" s="7">
        <f>'1 datos preparados'!T443</f>
        <v/>
      </c>
      <c r="V450" s="8">
        <f>$AC$12+D450*$AC$13+E450*$AC$14+F450*$AC$15+G450*$AC$16+H450*$AC$17+I450*$AC$18+J450*$AC$19+K450*$AC$20+L450*$AC$21+M450*$AC$22+N450*$AC$23+O450*$AC$24+P450*$AC$25+Q450*$AC$26+R450*$AC$27+S450*$AC$28+T450*$AC$29+U450*$AC$30</f>
        <v/>
      </c>
      <c r="W450" s="8">
        <f>1/(1+EXP(-V450))</f>
        <v/>
      </c>
      <c r="X450" s="9">
        <f>-IF(C450=1,LN(W450),LN(1-W450))</f>
        <v/>
      </c>
      <c r="Y450" s="10">
        <f>IF(W450&gt;$AC$33,1,0)</f>
        <v/>
      </c>
      <c r="Z450">
        <f>IF(Y450=C450,1,0)</f>
        <v/>
      </c>
    </row>
    <row r="451">
      <c r="A451">
        <f>'1 datos preparados'!A444</f>
        <v/>
      </c>
      <c r="B451" s="5">
        <f>'1 datos preparados'!U444</f>
        <v/>
      </c>
      <c r="C451">
        <f>'1 datos preparados'!B444</f>
        <v/>
      </c>
      <c r="D451" s="7">
        <f>'1 datos preparados'!C444</f>
        <v/>
      </c>
      <c r="E451" s="7">
        <f>'1 datos preparados'!D444</f>
        <v/>
      </c>
      <c r="F451" s="7">
        <f>'1 datos preparados'!E444</f>
        <v/>
      </c>
      <c r="G451" s="7">
        <f>'1 datos preparados'!F444</f>
        <v/>
      </c>
      <c r="H451" s="7">
        <f>'1 datos preparados'!G444</f>
        <v/>
      </c>
      <c r="I451" s="7">
        <f>'1 datos preparados'!H444</f>
        <v/>
      </c>
      <c r="J451" s="7">
        <f>'1 datos preparados'!I444</f>
        <v/>
      </c>
      <c r="K451" s="7">
        <f>'1 datos preparados'!J444</f>
        <v/>
      </c>
      <c r="L451" s="7">
        <f>'1 datos preparados'!K444</f>
        <v/>
      </c>
      <c r="M451" s="7">
        <f>'1 datos preparados'!L444</f>
        <v/>
      </c>
      <c r="N451" s="7">
        <f>'1 datos preparados'!M444</f>
        <v/>
      </c>
      <c r="O451" s="7">
        <f>'1 datos preparados'!N444</f>
        <v/>
      </c>
      <c r="P451" s="7">
        <f>'1 datos preparados'!O444</f>
        <v/>
      </c>
      <c r="Q451" s="7">
        <f>'1 datos preparados'!P444</f>
        <v/>
      </c>
      <c r="R451" s="7">
        <f>'1 datos preparados'!Q444</f>
        <v/>
      </c>
      <c r="S451" s="7">
        <f>'1 datos preparados'!R444</f>
        <v/>
      </c>
      <c r="T451" s="7">
        <f>'1 datos preparados'!S444</f>
        <v/>
      </c>
      <c r="U451" s="7">
        <f>'1 datos preparados'!T444</f>
        <v/>
      </c>
      <c r="V451" s="8">
        <f>$AC$12+D451*$AC$13+E451*$AC$14+F451*$AC$15+G451*$AC$16+H451*$AC$17+I451*$AC$18+J451*$AC$19+K451*$AC$20+L451*$AC$21+M451*$AC$22+N451*$AC$23+O451*$AC$24+P451*$AC$25+Q451*$AC$26+R451*$AC$27+S451*$AC$28+T451*$AC$29+U451*$AC$30</f>
        <v/>
      </c>
      <c r="W451" s="8">
        <f>1/(1+EXP(-V451))</f>
        <v/>
      </c>
      <c r="X451" s="9">
        <f>-IF(C451=1,LN(W451),LN(1-W451))</f>
        <v/>
      </c>
      <c r="Y451" s="10">
        <f>IF(W451&gt;$AC$33,1,0)</f>
        <v/>
      </c>
      <c r="Z451">
        <f>IF(Y451=C451,1,0)</f>
        <v/>
      </c>
    </row>
    <row r="452">
      <c r="A452">
        <f>'1 datos preparados'!A445</f>
        <v/>
      </c>
      <c r="B452" s="5">
        <f>'1 datos preparados'!U445</f>
        <v/>
      </c>
      <c r="C452">
        <f>'1 datos preparados'!B445</f>
        <v/>
      </c>
      <c r="D452" s="7">
        <f>'1 datos preparados'!C445</f>
        <v/>
      </c>
      <c r="E452" s="7">
        <f>'1 datos preparados'!D445</f>
        <v/>
      </c>
      <c r="F452" s="7">
        <f>'1 datos preparados'!E445</f>
        <v/>
      </c>
      <c r="G452" s="7">
        <f>'1 datos preparados'!F445</f>
        <v/>
      </c>
      <c r="H452" s="7">
        <f>'1 datos preparados'!G445</f>
        <v/>
      </c>
      <c r="I452" s="7">
        <f>'1 datos preparados'!H445</f>
        <v/>
      </c>
      <c r="J452" s="7">
        <f>'1 datos preparados'!I445</f>
        <v/>
      </c>
      <c r="K452" s="7">
        <f>'1 datos preparados'!J445</f>
        <v/>
      </c>
      <c r="L452" s="7">
        <f>'1 datos preparados'!K445</f>
        <v/>
      </c>
      <c r="M452" s="7">
        <f>'1 datos preparados'!L445</f>
        <v/>
      </c>
      <c r="N452" s="7">
        <f>'1 datos preparados'!M445</f>
        <v/>
      </c>
      <c r="O452" s="7">
        <f>'1 datos preparados'!N445</f>
        <v/>
      </c>
      <c r="P452" s="7">
        <f>'1 datos preparados'!O445</f>
        <v/>
      </c>
      <c r="Q452" s="7">
        <f>'1 datos preparados'!P445</f>
        <v/>
      </c>
      <c r="R452" s="7">
        <f>'1 datos preparados'!Q445</f>
        <v/>
      </c>
      <c r="S452" s="7">
        <f>'1 datos preparados'!R445</f>
        <v/>
      </c>
      <c r="T452" s="7">
        <f>'1 datos preparados'!S445</f>
        <v/>
      </c>
      <c r="U452" s="7">
        <f>'1 datos preparados'!T445</f>
        <v/>
      </c>
      <c r="V452" s="8">
        <f>$AC$12+D452*$AC$13+E452*$AC$14+F452*$AC$15+G452*$AC$16+H452*$AC$17+I452*$AC$18+J452*$AC$19+K452*$AC$20+L452*$AC$21+M452*$AC$22+N452*$AC$23+O452*$AC$24+P452*$AC$25+Q452*$AC$26+R452*$AC$27+S452*$AC$28+T452*$AC$29+U452*$AC$30</f>
        <v/>
      </c>
      <c r="W452" s="8">
        <f>1/(1+EXP(-V452))</f>
        <v/>
      </c>
      <c r="X452" s="9">
        <f>-IF(C452=1,LN(W452),LN(1-W452))</f>
        <v/>
      </c>
      <c r="Y452" s="10">
        <f>IF(W452&gt;$AC$33,1,0)</f>
        <v/>
      </c>
      <c r="Z452">
        <f>IF(Y452=C452,1,0)</f>
        <v/>
      </c>
    </row>
    <row r="453">
      <c r="A453">
        <f>'1 datos preparados'!A446</f>
        <v/>
      </c>
      <c r="B453" s="5">
        <f>'1 datos preparados'!U446</f>
        <v/>
      </c>
      <c r="C453">
        <f>'1 datos preparados'!B446</f>
        <v/>
      </c>
      <c r="D453" s="7">
        <f>'1 datos preparados'!C446</f>
        <v/>
      </c>
      <c r="E453" s="7">
        <f>'1 datos preparados'!D446</f>
        <v/>
      </c>
      <c r="F453" s="7">
        <f>'1 datos preparados'!E446</f>
        <v/>
      </c>
      <c r="G453" s="7">
        <f>'1 datos preparados'!F446</f>
        <v/>
      </c>
      <c r="H453" s="7">
        <f>'1 datos preparados'!G446</f>
        <v/>
      </c>
      <c r="I453" s="7">
        <f>'1 datos preparados'!H446</f>
        <v/>
      </c>
      <c r="J453" s="7">
        <f>'1 datos preparados'!I446</f>
        <v/>
      </c>
      <c r="K453" s="7">
        <f>'1 datos preparados'!J446</f>
        <v/>
      </c>
      <c r="L453" s="7">
        <f>'1 datos preparados'!K446</f>
        <v/>
      </c>
      <c r="M453" s="7">
        <f>'1 datos preparados'!L446</f>
        <v/>
      </c>
      <c r="N453" s="7">
        <f>'1 datos preparados'!M446</f>
        <v/>
      </c>
      <c r="O453" s="7">
        <f>'1 datos preparados'!N446</f>
        <v/>
      </c>
      <c r="P453" s="7">
        <f>'1 datos preparados'!O446</f>
        <v/>
      </c>
      <c r="Q453" s="7">
        <f>'1 datos preparados'!P446</f>
        <v/>
      </c>
      <c r="R453" s="7">
        <f>'1 datos preparados'!Q446</f>
        <v/>
      </c>
      <c r="S453" s="7">
        <f>'1 datos preparados'!R446</f>
        <v/>
      </c>
      <c r="T453" s="7">
        <f>'1 datos preparados'!S446</f>
        <v/>
      </c>
      <c r="U453" s="7">
        <f>'1 datos preparados'!T446</f>
        <v/>
      </c>
      <c r="V453" s="8">
        <f>$AC$12+D453*$AC$13+E453*$AC$14+F453*$AC$15+G453*$AC$16+H453*$AC$17+I453*$AC$18+J453*$AC$19+K453*$AC$20+L453*$AC$21+M453*$AC$22+N453*$AC$23+O453*$AC$24+P453*$AC$25+Q453*$AC$26+R453*$AC$27+S453*$AC$28+T453*$AC$29+U453*$AC$30</f>
        <v/>
      </c>
      <c r="W453" s="8">
        <f>1/(1+EXP(-V453))</f>
        <v/>
      </c>
      <c r="X453" s="9">
        <f>-IF(C453=1,LN(W453),LN(1-W453))</f>
        <v/>
      </c>
      <c r="Y453" s="10">
        <f>IF(W453&gt;$AC$33,1,0)</f>
        <v/>
      </c>
      <c r="Z453">
        <f>IF(Y453=C453,1,0)</f>
        <v/>
      </c>
    </row>
    <row r="454">
      <c r="A454">
        <f>'1 datos preparados'!A447</f>
        <v/>
      </c>
      <c r="B454" s="5">
        <f>'1 datos preparados'!U447</f>
        <v/>
      </c>
      <c r="C454">
        <f>'1 datos preparados'!B447</f>
        <v/>
      </c>
      <c r="D454" s="7">
        <f>'1 datos preparados'!C447</f>
        <v/>
      </c>
      <c r="E454" s="7">
        <f>'1 datos preparados'!D447</f>
        <v/>
      </c>
      <c r="F454" s="7">
        <f>'1 datos preparados'!E447</f>
        <v/>
      </c>
      <c r="G454" s="7">
        <f>'1 datos preparados'!F447</f>
        <v/>
      </c>
      <c r="H454" s="7">
        <f>'1 datos preparados'!G447</f>
        <v/>
      </c>
      <c r="I454" s="7">
        <f>'1 datos preparados'!H447</f>
        <v/>
      </c>
      <c r="J454" s="7">
        <f>'1 datos preparados'!I447</f>
        <v/>
      </c>
      <c r="K454" s="7">
        <f>'1 datos preparados'!J447</f>
        <v/>
      </c>
      <c r="L454" s="7">
        <f>'1 datos preparados'!K447</f>
        <v/>
      </c>
      <c r="M454" s="7">
        <f>'1 datos preparados'!L447</f>
        <v/>
      </c>
      <c r="N454" s="7">
        <f>'1 datos preparados'!M447</f>
        <v/>
      </c>
      <c r="O454" s="7">
        <f>'1 datos preparados'!N447</f>
        <v/>
      </c>
      <c r="P454" s="7">
        <f>'1 datos preparados'!O447</f>
        <v/>
      </c>
      <c r="Q454" s="7">
        <f>'1 datos preparados'!P447</f>
        <v/>
      </c>
      <c r="R454" s="7">
        <f>'1 datos preparados'!Q447</f>
        <v/>
      </c>
      <c r="S454" s="7">
        <f>'1 datos preparados'!R447</f>
        <v/>
      </c>
      <c r="T454" s="7">
        <f>'1 datos preparados'!S447</f>
        <v/>
      </c>
      <c r="U454" s="7">
        <f>'1 datos preparados'!T447</f>
        <v/>
      </c>
      <c r="V454" s="8">
        <f>$AC$12+D454*$AC$13+E454*$AC$14+F454*$AC$15+G454*$AC$16+H454*$AC$17+I454*$AC$18+J454*$AC$19+K454*$AC$20+L454*$AC$21+M454*$AC$22+N454*$AC$23+O454*$AC$24+P454*$AC$25+Q454*$AC$26+R454*$AC$27+S454*$AC$28+T454*$AC$29+U454*$AC$30</f>
        <v/>
      </c>
      <c r="W454" s="8">
        <f>1/(1+EXP(-V454))</f>
        <v/>
      </c>
      <c r="X454" s="9">
        <f>-IF(C454=1,LN(W454),LN(1-W454))</f>
        <v/>
      </c>
      <c r="Y454" s="10">
        <f>IF(W454&gt;$AC$33,1,0)</f>
        <v/>
      </c>
      <c r="Z454">
        <f>IF(Y454=C454,1,0)</f>
        <v/>
      </c>
    </row>
    <row r="455">
      <c r="A455">
        <f>'1 datos preparados'!A448</f>
        <v/>
      </c>
      <c r="B455" s="5">
        <f>'1 datos preparados'!U448</f>
        <v/>
      </c>
      <c r="C455">
        <f>'1 datos preparados'!B448</f>
        <v/>
      </c>
      <c r="D455" s="7">
        <f>'1 datos preparados'!C448</f>
        <v/>
      </c>
      <c r="E455" s="7">
        <f>'1 datos preparados'!D448</f>
        <v/>
      </c>
      <c r="F455" s="7">
        <f>'1 datos preparados'!E448</f>
        <v/>
      </c>
      <c r="G455" s="7">
        <f>'1 datos preparados'!F448</f>
        <v/>
      </c>
      <c r="H455" s="7">
        <f>'1 datos preparados'!G448</f>
        <v/>
      </c>
      <c r="I455" s="7">
        <f>'1 datos preparados'!H448</f>
        <v/>
      </c>
      <c r="J455" s="7">
        <f>'1 datos preparados'!I448</f>
        <v/>
      </c>
      <c r="K455" s="7">
        <f>'1 datos preparados'!J448</f>
        <v/>
      </c>
      <c r="L455" s="7">
        <f>'1 datos preparados'!K448</f>
        <v/>
      </c>
      <c r="M455" s="7">
        <f>'1 datos preparados'!L448</f>
        <v/>
      </c>
      <c r="N455" s="7">
        <f>'1 datos preparados'!M448</f>
        <v/>
      </c>
      <c r="O455" s="7">
        <f>'1 datos preparados'!N448</f>
        <v/>
      </c>
      <c r="P455" s="7">
        <f>'1 datos preparados'!O448</f>
        <v/>
      </c>
      <c r="Q455" s="7">
        <f>'1 datos preparados'!P448</f>
        <v/>
      </c>
      <c r="R455" s="7">
        <f>'1 datos preparados'!Q448</f>
        <v/>
      </c>
      <c r="S455" s="7">
        <f>'1 datos preparados'!R448</f>
        <v/>
      </c>
      <c r="T455" s="7">
        <f>'1 datos preparados'!S448</f>
        <v/>
      </c>
      <c r="U455" s="7">
        <f>'1 datos preparados'!T448</f>
        <v/>
      </c>
      <c r="V455" s="8">
        <f>$AC$12+D455*$AC$13+E455*$AC$14+F455*$AC$15+G455*$AC$16+H455*$AC$17+I455*$AC$18+J455*$AC$19+K455*$AC$20+L455*$AC$21+M455*$AC$22+N455*$AC$23+O455*$AC$24+P455*$AC$25+Q455*$AC$26+R455*$AC$27+S455*$AC$28+T455*$AC$29+U455*$AC$30</f>
        <v/>
      </c>
      <c r="W455" s="8">
        <f>1/(1+EXP(-V455))</f>
        <v/>
      </c>
      <c r="X455" s="9">
        <f>-IF(C455=1,LN(W455),LN(1-W455))</f>
        <v/>
      </c>
      <c r="Y455" s="10">
        <f>IF(W455&gt;$AC$33,1,0)</f>
        <v/>
      </c>
      <c r="Z455">
        <f>IF(Y455=C455,1,0)</f>
        <v/>
      </c>
    </row>
    <row r="456">
      <c r="A456">
        <f>'1 datos preparados'!A449</f>
        <v/>
      </c>
      <c r="B456" s="5">
        <f>'1 datos preparados'!U449</f>
        <v/>
      </c>
      <c r="C456">
        <f>'1 datos preparados'!B449</f>
        <v/>
      </c>
      <c r="D456" s="7">
        <f>'1 datos preparados'!C449</f>
        <v/>
      </c>
      <c r="E456" s="7">
        <f>'1 datos preparados'!D449</f>
        <v/>
      </c>
      <c r="F456" s="7">
        <f>'1 datos preparados'!E449</f>
        <v/>
      </c>
      <c r="G456" s="7">
        <f>'1 datos preparados'!F449</f>
        <v/>
      </c>
      <c r="H456" s="7">
        <f>'1 datos preparados'!G449</f>
        <v/>
      </c>
      <c r="I456" s="7">
        <f>'1 datos preparados'!H449</f>
        <v/>
      </c>
      <c r="J456" s="7">
        <f>'1 datos preparados'!I449</f>
        <v/>
      </c>
      <c r="K456" s="7">
        <f>'1 datos preparados'!J449</f>
        <v/>
      </c>
      <c r="L456" s="7">
        <f>'1 datos preparados'!K449</f>
        <v/>
      </c>
      <c r="M456" s="7">
        <f>'1 datos preparados'!L449</f>
        <v/>
      </c>
      <c r="N456" s="7">
        <f>'1 datos preparados'!M449</f>
        <v/>
      </c>
      <c r="O456" s="7">
        <f>'1 datos preparados'!N449</f>
        <v/>
      </c>
      <c r="P456" s="7">
        <f>'1 datos preparados'!O449</f>
        <v/>
      </c>
      <c r="Q456" s="7">
        <f>'1 datos preparados'!P449</f>
        <v/>
      </c>
      <c r="R456" s="7">
        <f>'1 datos preparados'!Q449</f>
        <v/>
      </c>
      <c r="S456" s="7">
        <f>'1 datos preparados'!R449</f>
        <v/>
      </c>
      <c r="T456" s="7">
        <f>'1 datos preparados'!S449</f>
        <v/>
      </c>
      <c r="U456" s="7">
        <f>'1 datos preparados'!T449</f>
        <v/>
      </c>
      <c r="V456" s="8">
        <f>$AC$12+D456*$AC$13+E456*$AC$14+F456*$AC$15+G456*$AC$16+H456*$AC$17+I456*$AC$18+J456*$AC$19+K456*$AC$20+L456*$AC$21+M456*$AC$22+N456*$AC$23+O456*$AC$24+P456*$AC$25+Q456*$AC$26+R456*$AC$27+S456*$AC$28+T456*$AC$29+U456*$AC$30</f>
        <v/>
      </c>
      <c r="W456" s="8">
        <f>1/(1+EXP(-V456))</f>
        <v/>
      </c>
      <c r="X456" s="9">
        <f>-IF(C456=1,LN(W456),LN(1-W456))</f>
        <v/>
      </c>
      <c r="Y456" s="10">
        <f>IF(W456&gt;$AC$33,1,0)</f>
        <v/>
      </c>
      <c r="Z456">
        <f>IF(Y456=C456,1,0)</f>
        <v/>
      </c>
    </row>
    <row r="457">
      <c r="A457">
        <f>'1 datos preparados'!A450</f>
        <v/>
      </c>
      <c r="B457" s="5">
        <f>'1 datos preparados'!U450</f>
        <v/>
      </c>
      <c r="C457">
        <f>'1 datos preparados'!B450</f>
        <v/>
      </c>
      <c r="D457" s="7">
        <f>'1 datos preparados'!C450</f>
        <v/>
      </c>
      <c r="E457" s="7">
        <f>'1 datos preparados'!D450</f>
        <v/>
      </c>
      <c r="F457" s="7">
        <f>'1 datos preparados'!E450</f>
        <v/>
      </c>
      <c r="G457" s="7">
        <f>'1 datos preparados'!F450</f>
        <v/>
      </c>
      <c r="H457" s="7">
        <f>'1 datos preparados'!G450</f>
        <v/>
      </c>
      <c r="I457" s="7">
        <f>'1 datos preparados'!H450</f>
        <v/>
      </c>
      <c r="J457" s="7">
        <f>'1 datos preparados'!I450</f>
        <v/>
      </c>
      <c r="K457" s="7">
        <f>'1 datos preparados'!J450</f>
        <v/>
      </c>
      <c r="L457" s="7">
        <f>'1 datos preparados'!K450</f>
        <v/>
      </c>
      <c r="M457" s="7">
        <f>'1 datos preparados'!L450</f>
        <v/>
      </c>
      <c r="N457" s="7">
        <f>'1 datos preparados'!M450</f>
        <v/>
      </c>
      <c r="O457" s="7">
        <f>'1 datos preparados'!N450</f>
        <v/>
      </c>
      <c r="P457" s="7">
        <f>'1 datos preparados'!O450</f>
        <v/>
      </c>
      <c r="Q457" s="7">
        <f>'1 datos preparados'!P450</f>
        <v/>
      </c>
      <c r="R457" s="7">
        <f>'1 datos preparados'!Q450</f>
        <v/>
      </c>
      <c r="S457" s="7">
        <f>'1 datos preparados'!R450</f>
        <v/>
      </c>
      <c r="T457" s="7">
        <f>'1 datos preparados'!S450</f>
        <v/>
      </c>
      <c r="U457" s="7">
        <f>'1 datos preparados'!T450</f>
        <v/>
      </c>
      <c r="V457" s="8">
        <f>$AC$12+D457*$AC$13+E457*$AC$14+F457*$AC$15+G457*$AC$16+H457*$AC$17+I457*$AC$18+J457*$AC$19+K457*$AC$20+L457*$AC$21+M457*$AC$22+N457*$AC$23+O457*$AC$24+P457*$AC$25+Q457*$AC$26+R457*$AC$27+S457*$AC$28+T457*$AC$29+U457*$AC$30</f>
        <v/>
      </c>
      <c r="W457" s="8">
        <f>1/(1+EXP(-V457))</f>
        <v/>
      </c>
      <c r="X457" s="9">
        <f>-IF(C457=1,LN(W457),LN(1-W457))</f>
        <v/>
      </c>
      <c r="Y457" s="10">
        <f>IF(W457&gt;$AC$33,1,0)</f>
        <v/>
      </c>
      <c r="Z457">
        <f>IF(Y457=C457,1,0)</f>
        <v/>
      </c>
    </row>
    <row r="458">
      <c r="A458">
        <f>'1 datos preparados'!A451</f>
        <v/>
      </c>
      <c r="B458" s="5">
        <f>'1 datos preparados'!U451</f>
        <v/>
      </c>
      <c r="C458">
        <f>'1 datos preparados'!B451</f>
        <v/>
      </c>
      <c r="D458" s="7">
        <f>'1 datos preparados'!C451</f>
        <v/>
      </c>
      <c r="E458" s="7">
        <f>'1 datos preparados'!D451</f>
        <v/>
      </c>
      <c r="F458" s="7">
        <f>'1 datos preparados'!E451</f>
        <v/>
      </c>
      <c r="G458" s="7">
        <f>'1 datos preparados'!F451</f>
        <v/>
      </c>
      <c r="H458" s="7">
        <f>'1 datos preparados'!G451</f>
        <v/>
      </c>
      <c r="I458" s="7">
        <f>'1 datos preparados'!H451</f>
        <v/>
      </c>
      <c r="J458" s="7">
        <f>'1 datos preparados'!I451</f>
        <v/>
      </c>
      <c r="K458" s="7">
        <f>'1 datos preparados'!J451</f>
        <v/>
      </c>
      <c r="L458" s="7">
        <f>'1 datos preparados'!K451</f>
        <v/>
      </c>
      <c r="M458" s="7">
        <f>'1 datos preparados'!L451</f>
        <v/>
      </c>
      <c r="N458" s="7">
        <f>'1 datos preparados'!M451</f>
        <v/>
      </c>
      <c r="O458" s="7">
        <f>'1 datos preparados'!N451</f>
        <v/>
      </c>
      <c r="P458" s="7">
        <f>'1 datos preparados'!O451</f>
        <v/>
      </c>
      <c r="Q458" s="7">
        <f>'1 datos preparados'!P451</f>
        <v/>
      </c>
      <c r="R458" s="7">
        <f>'1 datos preparados'!Q451</f>
        <v/>
      </c>
      <c r="S458" s="7">
        <f>'1 datos preparados'!R451</f>
        <v/>
      </c>
      <c r="T458" s="7">
        <f>'1 datos preparados'!S451</f>
        <v/>
      </c>
      <c r="U458" s="7">
        <f>'1 datos preparados'!T451</f>
        <v/>
      </c>
      <c r="V458" s="8">
        <f>$AC$12+D458*$AC$13+E458*$AC$14+F458*$AC$15+G458*$AC$16+H458*$AC$17+I458*$AC$18+J458*$AC$19+K458*$AC$20+L458*$AC$21+M458*$AC$22+N458*$AC$23+O458*$AC$24+P458*$AC$25+Q458*$AC$26+R458*$AC$27+S458*$AC$28+T458*$AC$29+U458*$AC$30</f>
        <v/>
      </c>
      <c r="W458" s="8">
        <f>1/(1+EXP(-V458))</f>
        <v/>
      </c>
      <c r="X458" s="9">
        <f>-IF(C458=1,LN(W458),LN(1-W458))</f>
        <v/>
      </c>
      <c r="Y458" s="10">
        <f>IF(W458&gt;$AC$33,1,0)</f>
        <v/>
      </c>
      <c r="Z458">
        <f>IF(Y458=C458,1,0)</f>
        <v/>
      </c>
    </row>
    <row r="459">
      <c r="A459">
        <f>'1 datos preparados'!A452</f>
        <v/>
      </c>
      <c r="B459" s="5">
        <f>'1 datos preparados'!U452</f>
        <v/>
      </c>
      <c r="C459">
        <f>'1 datos preparados'!B452</f>
        <v/>
      </c>
      <c r="D459" s="7">
        <f>'1 datos preparados'!C452</f>
        <v/>
      </c>
      <c r="E459" s="7">
        <f>'1 datos preparados'!D452</f>
        <v/>
      </c>
      <c r="F459" s="7">
        <f>'1 datos preparados'!E452</f>
        <v/>
      </c>
      <c r="G459" s="7">
        <f>'1 datos preparados'!F452</f>
        <v/>
      </c>
      <c r="H459" s="7">
        <f>'1 datos preparados'!G452</f>
        <v/>
      </c>
      <c r="I459" s="7">
        <f>'1 datos preparados'!H452</f>
        <v/>
      </c>
      <c r="J459" s="7">
        <f>'1 datos preparados'!I452</f>
        <v/>
      </c>
      <c r="K459" s="7">
        <f>'1 datos preparados'!J452</f>
        <v/>
      </c>
      <c r="L459" s="7">
        <f>'1 datos preparados'!K452</f>
        <v/>
      </c>
      <c r="M459" s="7">
        <f>'1 datos preparados'!L452</f>
        <v/>
      </c>
      <c r="N459" s="7">
        <f>'1 datos preparados'!M452</f>
        <v/>
      </c>
      <c r="O459" s="7">
        <f>'1 datos preparados'!N452</f>
        <v/>
      </c>
      <c r="P459" s="7">
        <f>'1 datos preparados'!O452</f>
        <v/>
      </c>
      <c r="Q459" s="7">
        <f>'1 datos preparados'!P452</f>
        <v/>
      </c>
      <c r="R459" s="7">
        <f>'1 datos preparados'!Q452</f>
        <v/>
      </c>
      <c r="S459" s="7">
        <f>'1 datos preparados'!R452</f>
        <v/>
      </c>
      <c r="T459" s="7">
        <f>'1 datos preparados'!S452</f>
        <v/>
      </c>
      <c r="U459" s="7">
        <f>'1 datos preparados'!T452</f>
        <v/>
      </c>
      <c r="V459" s="8">
        <f>$AC$12+D459*$AC$13+E459*$AC$14+F459*$AC$15+G459*$AC$16+H459*$AC$17+I459*$AC$18+J459*$AC$19+K459*$AC$20+L459*$AC$21+M459*$AC$22+N459*$AC$23+O459*$AC$24+P459*$AC$25+Q459*$AC$26+R459*$AC$27+S459*$AC$28+T459*$AC$29+U459*$AC$30</f>
        <v/>
      </c>
      <c r="W459" s="8">
        <f>1/(1+EXP(-V459))</f>
        <v/>
      </c>
      <c r="X459" s="9">
        <f>-IF(C459=1,LN(W459),LN(1-W459))</f>
        <v/>
      </c>
      <c r="Y459" s="10">
        <f>IF(W459&gt;$AC$33,1,0)</f>
        <v/>
      </c>
      <c r="Z459">
        <f>IF(Y459=C459,1,0)</f>
        <v/>
      </c>
    </row>
    <row r="460">
      <c r="A460">
        <f>'1 datos preparados'!A453</f>
        <v/>
      </c>
      <c r="B460" s="5">
        <f>'1 datos preparados'!U453</f>
        <v/>
      </c>
      <c r="C460">
        <f>'1 datos preparados'!B453</f>
        <v/>
      </c>
      <c r="D460" s="7">
        <f>'1 datos preparados'!C453</f>
        <v/>
      </c>
      <c r="E460" s="7">
        <f>'1 datos preparados'!D453</f>
        <v/>
      </c>
      <c r="F460" s="7">
        <f>'1 datos preparados'!E453</f>
        <v/>
      </c>
      <c r="G460" s="7">
        <f>'1 datos preparados'!F453</f>
        <v/>
      </c>
      <c r="H460" s="7">
        <f>'1 datos preparados'!G453</f>
        <v/>
      </c>
      <c r="I460" s="7">
        <f>'1 datos preparados'!H453</f>
        <v/>
      </c>
      <c r="J460" s="7">
        <f>'1 datos preparados'!I453</f>
        <v/>
      </c>
      <c r="K460" s="7">
        <f>'1 datos preparados'!J453</f>
        <v/>
      </c>
      <c r="L460" s="7">
        <f>'1 datos preparados'!K453</f>
        <v/>
      </c>
      <c r="M460" s="7">
        <f>'1 datos preparados'!L453</f>
        <v/>
      </c>
      <c r="N460" s="7">
        <f>'1 datos preparados'!M453</f>
        <v/>
      </c>
      <c r="O460" s="7">
        <f>'1 datos preparados'!N453</f>
        <v/>
      </c>
      <c r="P460" s="7">
        <f>'1 datos preparados'!O453</f>
        <v/>
      </c>
      <c r="Q460" s="7">
        <f>'1 datos preparados'!P453</f>
        <v/>
      </c>
      <c r="R460" s="7">
        <f>'1 datos preparados'!Q453</f>
        <v/>
      </c>
      <c r="S460" s="7">
        <f>'1 datos preparados'!R453</f>
        <v/>
      </c>
      <c r="T460" s="7">
        <f>'1 datos preparados'!S453</f>
        <v/>
      </c>
      <c r="U460" s="7">
        <f>'1 datos preparados'!T453</f>
        <v/>
      </c>
      <c r="V460" s="8">
        <f>$AC$12+D460*$AC$13+E460*$AC$14+F460*$AC$15+G460*$AC$16+H460*$AC$17+I460*$AC$18+J460*$AC$19+K460*$AC$20+L460*$AC$21+M460*$AC$22+N460*$AC$23+O460*$AC$24+P460*$AC$25+Q460*$AC$26+R460*$AC$27+S460*$AC$28+T460*$AC$29+U460*$AC$30</f>
        <v/>
      </c>
      <c r="W460" s="8">
        <f>1/(1+EXP(-V460))</f>
        <v/>
      </c>
      <c r="X460" s="9">
        <f>-IF(C460=1,LN(W460),LN(1-W460))</f>
        <v/>
      </c>
      <c r="Y460" s="10">
        <f>IF(W460&gt;$AC$33,1,0)</f>
        <v/>
      </c>
      <c r="Z460">
        <f>IF(Y460=C460,1,0)</f>
        <v/>
      </c>
    </row>
    <row r="461">
      <c r="A461">
        <f>'1 datos preparados'!A454</f>
        <v/>
      </c>
      <c r="B461" s="5">
        <f>'1 datos preparados'!U454</f>
        <v/>
      </c>
      <c r="C461">
        <f>'1 datos preparados'!B454</f>
        <v/>
      </c>
      <c r="D461" s="7">
        <f>'1 datos preparados'!C454</f>
        <v/>
      </c>
      <c r="E461" s="7">
        <f>'1 datos preparados'!D454</f>
        <v/>
      </c>
      <c r="F461" s="7">
        <f>'1 datos preparados'!E454</f>
        <v/>
      </c>
      <c r="G461" s="7">
        <f>'1 datos preparados'!F454</f>
        <v/>
      </c>
      <c r="H461" s="7">
        <f>'1 datos preparados'!G454</f>
        <v/>
      </c>
      <c r="I461" s="7">
        <f>'1 datos preparados'!H454</f>
        <v/>
      </c>
      <c r="J461" s="7">
        <f>'1 datos preparados'!I454</f>
        <v/>
      </c>
      <c r="K461" s="7">
        <f>'1 datos preparados'!J454</f>
        <v/>
      </c>
      <c r="L461" s="7">
        <f>'1 datos preparados'!K454</f>
        <v/>
      </c>
      <c r="M461" s="7">
        <f>'1 datos preparados'!L454</f>
        <v/>
      </c>
      <c r="N461" s="7">
        <f>'1 datos preparados'!M454</f>
        <v/>
      </c>
      <c r="O461" s="7">
        <f>'1 datos preparados'!N454</f>
        <v/>
      </c>
      <c r="P461" s="7">
        <f>'1 datos preparados'!O454</f>
        <v/>
      </c>
      <c r="Q461" s="7">
        <f>'1 datos preparados'!P454</f>
        <v/>
      </c>
      <c r="R461" s="7">
        <f>'1 datos preparados'!Q454</f>
        <v/>
      </c>
      <c r="S461" s="7">
        <f>'1 datos preparados'!R454</f>
        <v/>
      </c>
      <c r="T461" s="7">
        <f>'1 datos preparados'!S454</f>
        <v/>
      </c>
      <c r="U461" s="7">
        <f>'1 datos preparados'!T454</f>
        <v/>
      </c>
      <c r="V461" s="8">
        <f>$AC$12+D461*$AC$13+E461*$AC$14+F461*$AC$15+G461*$AC$16+H461*$AC$17+I461*$AC$18+J461*$AC$19+K461*$AC$20+L461*$AC$21+M461*$AC$22+N461*$AC$23+O461*$AC$24+P461*$AC$25+Q461*$AC$26+R461*$AC$27+S461*$AC$28+T461*$AC$29+U461*$AC$30</f>
        <v/>
      </c>
      <c r="W461" s="8">
        <f>1/(1+EXP(-V461))</f>
        <v/>
      </c>
      <c r="X461" s="9">
        <f>-IF(C461=1,LN(W461),LN(1-W461))</f>
        <v/>
      </c>
      <c r="Y461" s="10">
        <f>IF(W461&gt;$AC$33,1,0)</f>
        <v/>
      </c>
      <c r="Z461">
        <f>IF(Y461=C461,1,0)</f>
        <v/>
      </c>
    </row>
    <row r="462">
      <c r="A462">
        <f>'1 datos preparados'!A455</f>
        <v/>
      </c>
      <c r="B462" s="5">
        <f>'1 datos preparados'!U455</f>
        <v/>
      </c>
      <c r="C462">
        <f>'1 datos preparados'!B455</f>
        <v/>
      </c>
      <c r="D462" s="7">
        <f>'1 datos preparados'!C455</f>
        <v/>
      </c>
      <c r="E462" s="7">
        <f>'1 datos preparados'!D455</f>
        <v/>
      </c>
      <c r="F462" s="7">
        <f>'1 datos preparados'!E455</f>
        <v/>
      </c>
      <c r="G462" s="7">
        <f>'1 datos preparados'!F455</f>
        <v/>
      </c>
      <c r="H462" s="7">
        <f>'1 datos preparados'!G455</f>
        <v/>
      </c>
      <c r="I462" s="7">
        <f>'1 datos preparados'!H455</f>
        <v/>
      </c>
      <c r="J462" s="7">
        <f>'1 datos preparados'!I455</f>
        <v/>
      </c>
      <c r="K462" s="7">
        <f>'1 datos preparados'!J455</f>
        <v/>
      </c>
      <c r="L462" s="7">
        <f>'1 datos preparados'!K455</f>
        <v/>
      </c>
      <c r="M462" s="7">
        <f>'1 datos preparados'!L455</f>
        <v/>
      </c>
      <c r="N462" s="7">
        <f>'1 datos preparados'!M455</f>
        <v/>
      </c>
      <c r="O462" s="7">
        <f>'1 datos preparados'!N455</f>
        <v/>
      </c>
      <c r="P462" s="7">
        <f>'1 datos preparados'!O455</f>
        <v/>
      </c>
      <c r="Q462" s="7">
        <f>'1 datos preparados'!P455</f>
        <v/>
      </c>
      <c r="R462" s="7">
        <f>'1 datos preparados'!Q455</f>
        <v/>
      </c>
      <c r="S462" s="7">
        <f>'1 datos preparados'!R455</f>
        <v/>
      </c>
      <c r="T462" s="7">
        <f>'1 datos preparados'!S455</f>
        <v/>
      </c>
      <c r="U462" s="7">
        <f>'1 datos preparados'!T455</f>
        <v/>
      </c>
      <c r="V462" s="8">
        <f>$AC$12+D462*$AC$13+E462*$AC$14+F462*$AC$15+G462*$AC$16+H462*$AC$17+I462*$AC$18+J462*$AC$19+K462*$AC$20+L462*$AC$21+M462*$AC$22+N462*$AC$23+O462*$AC$24+P462*$AC$25+Q462*$AC$26+R462*$AC$27+S462*$AC$28+T462*$AC$29+U462*$AC$30</f>
        <v/>
      </c>
      <c r="W462" s="8">
        <f>1/(1+EXP(-V462))</f>
        <v/>
      </c>
      <c r="X462" s="9">
        <f>-IF(C462=1,LN(W462),LN(1-W462))</f>
        <v/>
      </c>
      <c r="Y462" s="10">
        <f>IF(W462&gt;$AC$33,1,0)</f>
        <v/>
      </c>
      <c r="Z462">
        <f>IF(Y462=C462,1,0)</f>
        <v/>
      </c>
    </row>
    <row r="463">
      <c r="A463">
        <f>'1 datos preparados'!A456</f>
        <v/>
      </c>
      <c r="B463" s="5">
        <f>'1 datos preparados'!U456</f>
        <v/>
      </c>
      <c r="C463">
        <f>'1 datos preparados'!B456</f>
        <v/>
      </c>
      <c r="D463" s="7">
        <f>'1 datos preparados'!C456</f>
        <v/>
      </c>
      <c r="E463" s="7">
        <f>'1 datos preparados'!D456</f>
        <v/>
      </c>
      <c r="F463" s="7">
        <f>'1 datos preparados'!E456</f>
        <v/>
      </c>
      <c r="G463" s="7">
        <f>'1 datos preparados'!F456</f>
        <v/>
      </c>
      <c r="H463" s="7">
        <f>'1 datos preparados'!G456</f>
        <v/>
      </c>
      <c r="I463" s="7">
        <f>'1 datos preparados'!H456</f>
        <v/>
      </c>
      <c r="J463" s="7">
        <f>'1 datos preparados'!I456</f>
        <v/>
      </c>
      <c r="K463" s="7">
        <f>'1 datos preparados'!J456</f>
        <v/>
      </c>
      <c r="L463" s="7">
        <f>'1 datos preparados'!K456</f>
        <v/>
      </c>
      <c r="M463" s="7">
        <f>'1 datos preparados'!L456</f>
        <v/>
      </c>
      <c r="N463" s="7">
        <f>'1 datos preparados'!M456</f>
        <v/>
      </c>
      <c r="O463" s="7">
        <f>'1 datos preparados'!N456</f>
        <v/>
      </c>
      <c r="P463" s="7">
        <f>'1 datos preparados'!O456</f>
        <v/>
      </c>
      <c r="Q463" s="7">
        <f>'1 datos preparados'!P456</f>
        <v/>
      </c>
      <c r="R463" s="7">
        <f>'1 datos preparados'!Q456</f>
        <v/>
      </c>
      <c r="S463" s="7">
        <f>'1 datos preparados'!R456</f>
        <v/>
      </c>
      <c r="T463" s="7">
        <f>'1 datos preparados'!S456</f>
        <v/>
      </c>
      <c r="U463" s="7">
        <f>'1 datos preparados'!T456</f>
        <v/>
      </c>
      <c r="V463" s="8">
        <f>$AC$12+D463*$AC$13+E463*$AC$14+F463*$AC$15+G463*$AC$16+H463*$AC$17+I463*$AC$18+J463*$AC$19+K463*$AC$20+L463*$AC$21+M463*$AC$22+N463*$AC$23+O463*$AC$24+P463*$AC$25+Q463*$AC$26+R463*$AC$27+S463*$AC$28+T463*$AC$29+U463*$AC$30</f>
        <v/>
      </c>
      <c r="W463" s="8">
        <f>1/(1+EXP(-V463))</f>
        <v/>
      </c>
      <c r="X463" s="9">
        <f>-IF(C463=1,LN(W463),LN(1-W463))</f>
        <v/>
      </c>
      <c r="Y463" s="10">
        <f>IF(W463&gt;$AC$33,1,0)</f>
        <v/>
      </c>
      <c r="Z463">
        <f>IF(Y463=C463,1,0)</f>
        <v/>
      </c>
    </row>
    <row r="464">
      <c r="A464">
        <f>'1 datos preparados'!A457</f>
        <v/>
      </c>
      <c r="B464" s="5">
        <f>'1 datos preparados'!U457</f>
        <v/>
      </c>
      <c r="C464">
        <f>'1 datos preparados'!B457</f>
        <v/>
      </c>
      <c r="D464" s="7">
        <f>'1 datos preparados'!C457</f>
        <v/>
      </c>
      <c r="E464" s="7">
        <f>'1 datos preparados'!D457</f>
        <v/>
      </c>
      <c r="F464" s="7">
        <f>'1 datos preparados'!E457</f>
        <v/>
      </c>
      <c r="G464" s="7">
        <f>'1 datos preparados'!F457</f>
        <v/>
      </c>
      <c r="H464" s="7">
        <f>'1 datos preparados'!G457</f>
        <v/>
      </c>
      <c r="I464" s="7">
        <f>'1 datos preparados'!H457</f>
        <v/>
      </c>
      <c r="J464" s="7">
        <f>'1 datos preparados'!I457</f>
        <v/>
      </c>
      <c r="K464" s="7">
        <f>'1 datos preparados'!J457</f>
        <v/>
      </c>
      <c r="L464" s="7">
        <f>'1 datos preparados'!K457</f>
        <v/>
      </c>
      <c r="M464" s="7">
        <f>'1 datos preparados'!L457</f>
        <v/>
      </c>
      <c r="N464" s="7">
        <f>'1 datos preparados'!M457</f>
        <v/>
      </c>
      <c r="O464" s="7">
        <f>'1 datos preparados'!N457</f>
        <v/>
      </c>
      <c r="P464" s="7">
        <f>'1 datos preparados'!O457</f>
        <v/>
      </c>
      <c r="Q464" s="7">
        <f>'1 datos preparados'!P457</f>
        <v/>
      </c>
      <c r="R464" s="7">
        <f>'1 datos preparados'!Q457</f>
        <v/>
      </c>
      <c r="S464" s="7">
        <f>'1 datos preparados'!R457</f>
        <v/>
      </c>
      <c r="T464" s="7">
        <f>'1 datos preparados'!S457</f>
        <v/>
      </c>
      <c r="U464" s="7">
        <f>'1 datos preparados'!T457</f>
        <v/>
      </c>
      <c r="V464" s="8">
        <f>$AC$12+D464*$AC$13+E464*$AC$14+F464*$AC$15+G464*$AC$16+H464*$AC$17+I464*$AC$18+J464*$AC$19+K464*$AC$20+L464*$AC$21+M464*$AC$22+N464*$AC$23+O464*$AC$24+P464*$AC$25+Q464*$AC$26+R464*$AC$27+S464*$AC$28+T464*$AC$29+U464*$AC$30</f>
        <v/>
      </c>
      <c r="W464" s="8">
        <f>1/(1+EXP(-V464))</f>
        <v/>
      </c>
      <c r="X464" s="9">
        <f>-IF(C464=1,LN(W464),LN(1-W464))</f>
        <v/>
      </c>
      <c r="Y464" s="10">
        <f>IF(W464&gt;$AC$33,1,0)</f>
        <v/>
      </c>
      <c r="Z464">
        <f>IF(Y464=C464,1,0)</f>
        <v/>
      </c>
    </row>
    <row r="465">
      <c r="A465">
        <f>'1 datos preparados'!A458</f>
        <v/>
      </c>
      <c r="B465" s="5">
        <f>'1 datos preparados'!U458</f>
        <v/>
      </c>
      <c r="C465">
        <f>'1 datos preparados'!B458</f>
        <v/>
      </c>
      <c r="D465" s="7">
        <f>'1 datos preparados'!C458</f>
        <v/>
      </c>
      <c r="E465" s="7">
        <f>'1 datos preparados'!D458</f>
        <v/>
      </c>
      <c r="F465" s="7">
        <f>'1 datos preparados'!E458</f>
        <v/>
      </c>
      <c r="G465" s="7">
        <f>'1 datos preparados'!F458</f>
        <v/>
      </c>
      <c r="H465" s="7">
        <f>'1 datos preparados'!G458</f>
        <v/>
      </c>
      <c r="I465" s="7">
        <f>'1 datos preparados'!H458</f>
        <v/>
      </c>
      <c r="J465" s="7">
        <f>'1 datos preparados'!I458</f>
        <v/>
      </c>
      <c r="K465" s="7">
        <f>'1 datos preparados'!J458</f>
        <v/>
      </c>
      <c r="L465" s="7">
        <f>'1 datos preparados'!K458</f>
        <v/>
      </c>
      <c r="M465" s="7">
        <f>'1 datos preparados'!L458</f>
        <v/>
      </c>
      <c r="N465" s="7">
        <f>'1 datos preparados'!M458</f>
        <v/>
      </c>
      <c r="O465" s="7">
        <f>'1 datos preparados'!N458</f>
        <v/>
      </c>
      <c r="P465" s="7">
        <f>'1 datos preparados'!O458</f>
        <v/>
      </c>
      <c r="Q465" s="7">
        <f>'1 datos preparados'!P458</f>
        <v/>
      </c>
      <c r="R465" s="7">
        <f>'1 datos preparados'!Q458</f>
        <v/>
      </c>
      <c r="S465" s="7">
        <f>'1 datos preparados'!R458</f>
        <v/>
      </c>
      <c r="T465" s="7">
        <f>'1 datos preparados'!S458</f>
        <v/>
      </c>
      <c r="U465" s="7">
        <f>'1 datos preparados'!T458</f>
        <v/>
      </c>
      <c r="V465" s="8">
        <f>$AC$12+D465*$AC$13+E465*$AC$14+F465*$AC$15+G465*$AC$16+H465*$AC$17+I465*$AC$18+J465*$AC$19+K465*$AC$20+L465*$AC$21+M465*$AC$22+N465*$AC$23+O465*$AC$24+P465*$AC$25+Q465*$AC$26+R465*$AC$27+S465*$AC$28+T465*$AC$29+U465*$AC$30</f>
        <v/>
      </c>
      <c r="W465" s="8">
        <f>1/(1+EXP(-V465))</f>
        <v/>
      </c>
      <c r="X465" s="9">
        <f>-IF(C465=1,LN(W465),LN(1-W465))</f>
        <v/>
      </c>
      <c r="Y465" s="10">
        <f>IF(W465&gt;$AC$33,1,0)</f>
        <v/>
      </c>
      <c r="Z465">
        <f>IF(Y465=C465,1,0)</f>
        <v/>
      </c>
    </row>
    <row r="466">
      <c r="A466">
        <f>'1 datos preparados'!A459</f>
        <v/>
      </c>
      <c r="B466" s="5">
        <f>'1 datos preparados'!U459</f>
        <v/>
      </c>
      <c r="C466">
        <f>'1 datos preparados'!B459</f>
        <v/>
      </c>
      <c r="D466" s="7">
        <f>'1 datos preparados'!C459</f>
        <v/>
      </c>
      <c r="E466" s="7">
        <f>'1 datos preparados'!D459</f>
        <v/>
      </c>
      <c r="F466" s="7">
        <f>'1 datos preparados'!E459</f>
        <v/>
      </c>
      <c r="G466" s="7">
        <f>'1 datos preparados'!F459</f>
        <v/>
      </c>
      <c r="H466" s="7">
        <f>'1 datos preparados'!G459</f>
        <v/>
      </c>
      <c r="I466" s="7">
        <f>'1 datos preparados'!H459</f>
        <v/>
      </c>
      <c r="J466" s="7">
        <f>'1 datos preparados'!I459</f>
        <v/>
      </c>
      <c r="K466" s="7">
        <f>'1 datos preparados'!J459</f>
        <v/>
      </c>
      <c r="L466" s="7">
        <f>'1 datos preparados'!K459</f>
        <v/>
      </c>
      <c r="M466" s="7">
        <f>'1 datos preparados'!L459</f>
        <v/>
      </c>
      <c r="N466" s="7">
        <f>'1 datos preparados'!M459</f>
        <v/>
      </c>
      <c r="O466" s="7">
        <f>'1 datos preparados'!N459</f>
        <v/>
      </c>
      <c r="P466" s="7">
        <f>'1 datos preparados'!O459</f>
        <v/>
      </c>
      <c r="Q466" s="7">
        <f>'1 datos preparados'!P459</f>
        <v/>
      </c>
      <c r="R466" s="7">
        <f>'1 datos preparados'!Q459</f>
        <v/>
      </c>
      <c r="S466" s="7">
        <f>'1 datos preparados'!R459</f>
        <v/>
      </c>
      <c r="T466" s="7">
        <f>'1 datos preparados'!S459</f>
        <v/>
      </c>
      <c r="U466" s="7">
        <f>'1 datos preparados'!T459</f>
        <v/>
      </c>
      <c r="V466" s="8">
        <f>$AC$12+D466*$AC$13+E466*$AC$14+F466*$AC$15+G466*$AC$16+H466*$AC$17+I466*$AC$18+J466*$AC$19+K466*$AC$20+L466*$AC$21+M466*$AC$22+N466*$AC$23+O466*$AC$24+P466*$AC$25+Q466*$AC$26+R466*$AC$27+S466*$AC$28+T466*$AC$29+U466*$AC$30</f>
        <v/>
      </c>
      <c r="W466" s="8">
        <f>1/(1+EXP(-V466))</f>
        <v/>
      </c>
      <c r="X466" s="9">
        <f>-IF(C466=1,LN(W466),LN(1-W466))</f>
        <v/>
      </c>
      <c r="Y466" s="10">
        <f>IF(W466&gt;$AC$33,1,0)</f>
        <v/>
      </c>
      <c r="Z466">
        <f>IF(Y466=C466,1,0)</f>
        <v/>
      </c>
    </row>
    <row r="467">
      <c r="A467">
        <f>'1 datos preparados'!A460</f>
        <v/>
      </c>
      <c r="B467" s="5">
        <f>'1 datos preparados'!U460</f>
        <v/>
      </c>
      <c r="C467">
        <f>'1 datos preparados'!B460</f>
        <v/>
      </c>
      <c r="D467" s="7">
        <f>'1 datos preparados'!C460</f>
        <v/>
      </c>
      <c r="E467" s="7">
        <f>'1 datos preparados'!D460</f>
        <v/>
      </c>
      <c r="F467" s="7">
        <f>'1 datos preparados'!E460</f>
        <v/>
      </c>
      <c r="G467" s="7">
        <f>'1 datos preparados'!F460</f>
        <v/>
      </c>
      <c r="H467" s="7">
        <f>'1 datos preparados'!G460</f>
        <v/>
      </c>
      <c r="I467" s="7">
        <f>'1 datos preparados'!H460</f>
        <v/>
      </c>
      <c r="J467" s="7">
        <f>'1 datos preparados'!I460</f>
        <v/>
      </c>
      <c r="K467" s="7">
        <f>'1 datos preparados'!J460</f>
        <v/>
      </c>
      <c r="L467" s="7">
        <f>'1 datos preparados'!K460</f>
        <v/>
      </c>
      <c r="M467" s="7">
        <f>'1 datos preparados'!L460</f>
        <v/>
      </c>
      <c r="N467" s="7">
        <f>'1 datos preparados'!M460</f>
        <v/>
      </c>
      <c r="O467" s="7">
        <f>'1 datos preparados'!N460</f>
        <v/>
      </c>
      <c r="P467" s="7">
        <f>'1 datos preparados'!O460</f>
        <v/>
      </c>
      <c r="Q467" s="7">
        <f>'1 datos preparados'!P460</f>
        <v/>
      </c>
      <c r="R467" s="7">
        <f>'1 datos preparados'!Q460</f>
        <v/>
      </c>
      <c r="S467" s="7">
        <f>'1 datos preparados'!R460</f>
        <v/>
      </c>
      <c r="T467" s="7">
        <f>'1 datos preparados'!S460</f>
        <v/>
      </c>
      <c r="U467" s="7">
        <f>'1 datos preparados'!T460</f>
        <v/>
      </c>
      <c r="V467" s="8">
        <f>$AC$12+D467*$AC$13+E467*$AC$14+F467*$AC$15+G467*$AC$16+H467*$AC$17+I467*$AC$18+J467*$AC$19+K467*$AC$20+L467*$AC$21+M467*$AC$22+N467*$AC$23+O467*$AC$24+P467*$AC$25+Q467*$AC$26+R467*$AC$27+S467*$AC$28+T467*$AC$29+U467*$AC$30</f>
        <v/>
      </c>
      <c r="W467" s="8">
        <f>1/(1+EXP(-V467))</f>
        <v/>
      </c>
      <c r="X467" s="9">
        <f>-IF(C467=1,LN(W467),LN(1-W467))</f>
        <v/>
      </c>
      <c r="Y467" s="10">
        <f>IF(W467&gt;$AC$33,1,0)</f>
        <v/>
      </c>
      <c r="Z467">
        <f>IF(Y467=C467,1,0)</f>
        <v/>
      </c>
    </row>
    <row r="468">
      <c r="A468">
        <f>'1 datos preparados'!A461</f>
        <v/>
      </c>
      <c r="B468" s="5">
        <f>'1 datos preparados'!U461</f>
        <v/>
      </c>
      <c r="C468">
        <f>'1 datos preparados'!B461</f>
        <v/>
      </c>
      <c r="D468" s="7">
        <f>'1 datos preparados'!C461</f>
        <v/>
      </c>
      <c r="E468" s="7">
        <f>'1 datos preparados'!D461</f>
        <v/>
      </c>
      <c r="F468" s="7">
        <f>'1 datos preparados'!E461</f>
        <v/>
      </c>
      <c r="G468" s="7">
        <f>'1 datos preparados'!F461</f>
        <v/>
      </c>
      <c r="H468" s="7">
        <f>'1 datos preparados'!G461</f>
        <v/>
      </c>
      <c r="I468" s="7">
        <f>'1 datos preparados'!H461</f>
        <v/>
      </c>
      <c r="J468" s="7">
        <f>'1 datos preparados'!I461</f>
        <v/>
      </c>
      <c r="K468" s="7">
        <f>'1 datos preparados'!J461</f>
        <v/>
      </c>
      <c r="L468" s="7">
        <f>'1 datos preparados'!K461</f>
        <v/>
      </c>
      <c r="M468" s="7">
        <f>'1 datos preparados'!L461</f>
        <v/>
      </c>
      <c r="N468" s="7">
        <f>'1 datos preparados'!M461</f>
        <v/>
      </c>
      <c r="O468" s="7">
        <f>'1 datos preparados'!N461</f>
        <v/>
      </c>
      <c r="P468" s="7">
        <f>'1 datos preparados'!O461</f>
        <v/>
      </c>
      <c r="Q468" s="7">
        <f>'1 datos preparados'!P461</f>
        <v/>
      </c>
      <c r="R468" s="7">
        <f>'1 datos preparados'!Q461</f>
        <v/>
      </c>
      <c r="S468" s="7">
        <f>'1 datos preparados'!R461</f>
        <v/>
      </c>
      <c r="T468" s="7">
        <f>'1 datos preparados'!S461</f>
        <v/>
      </c>
      <c r="U468" s="7">
        <f>'1 datos preparados'!T461</f>
        <v/>
      </c>
      <c r="V468" s="8">
        <f>$AC$12+D468*$AC$13+E468*$AC$14+F468*$AC$15+G468*$AC$16+H468*$AC$17+I468*$AC$18+J468*$AC$19+K468*$AC$20+L468*$AC$21+M468*$AC$22+N468*$AC$23+O468*$AC$24+P468*$AC$25+Q468*$AC$26+R468*$AC$27+S468*$AC$28+T468*$AC$29+U468*$AC$30</f>
        <v/>
      </c>
      <c r="W468" s="8">
        <f>1/(1+EXP(-V468))</f>
        <v/>
      </c>
      <c r="X468" s="9">
        <f>-IF(C468=1,LN(W468),LN(1-W468))</f>
        <v/>
      </c>
      <c r="Y468" s="10">
        <f>IF(W468&gt;$AC$33,1,0)</f>
        <v/>
      </c>
      <c r="Z468">
        <f>IF(Y468=C468,1,0)</f>
        <v/>
      </c>
    </row>
    <row r="469">
      <c r="A469">
        <f>'1 datos preparados'!A462</f>
        <v/>
      </c>
      <c r="B469" s="5">
        <f>'1 datos preparados'!U462</f>
        <v/>
      </c>
      <c r="C469">
        <f>'1 datos preparados'!B462</f>
        <v/>
      </c>
      <c r="D469" s="7">
        <f>'1 datos preparados'!C462</f>
        <v/>
      </c>
      <c r="E469" s="7">
        <f>'1 datos preparados'!D462</f>
        <v/>
      </c>
      <c r="F469" s="7">
        <f>'1 datos preparados'!E462</f>
        <v/>
      </c>
      <c r="G469" s="7">
        <f>'1 datos preparados'!F462</f>
        <v/>
      </c>
      <c r="H469" s="7">
        <f>'1 datos preparados'!G462</f>
        <v/>
      </c>
      <c r="I469" s="7">
        <f>'1 datos preparados'!H462</f>
        <v/>
      </c>
      <c r="J469" s="7">
        <f>'1 datos preparados'!I462</f>
        <v/>
      </c>
      <c r="K469" s="7">
        <f>'1 datos preparados'!J462</f>
        <v/>
      </c>
      <c r="L469" s="7">
        <f>'1 datos preparados'!K462</f>
        <v/>
      </c>
      <c r="M469" s="7">
        <f>'1 datos preparados'!L462</f>
        <v/>
      </c>
      <c r="N469" s="7">
        <f>'1 datos preparados'!M462</f>
        <v/>
      </c>
      <c r="O469" s="7">
        <f>'1 datos preparados'!N462</f>
        <v/>
      </c>
      <c r="P469" s="7">
        <f>'1 datos preparados'!O462</f>
        <v/>
      </c>
      <c r="Q469" s="7">
        <f>'1 datos preparados'!P462</f>
        <v/>
      </c>
      <c r="R469" s="7">
        <f>'1 datos preparados'!Q462</f>
        <v/>
      </c>
      <c r="S469" s="7">
        <f>'1 datos preparados'!R462</f>
        <v/>
      </c>
      <c r="T469" s="7">
        <f>'1 datos preparados'!S462</f>
        <v/>
      </c>
      <c r="U469" s="7">
        <f>'1 datos preparados'!T462</f>
        <v/>
      </c>
      <c r="V469" s="8">
        <f>$AC$12+D469*$AC$13+E469*$AC$14+F469*$AC$15+G469*$AC$16+H469*$AC$17+I469*$AC$18+J469*$AC$19+K469*$AC$20+L469*$AC$21+M469*$AC$22+N469*$AC$23+O469*$AC$24+P469*$AC$25+Q469*$AC$26+R469*$AC$27+S469*$AC$28+T469*$AC$29+U469*$AC$30</f>
        <v/>
      </c>
      <c r="W469" s="8">
        <f>1/(1+EXP(-V469))</f>
        <v/>
      </c>
      <c r="X469" s="9">
        <f>-IF(C469=1,LN(W469),LN(1-W469))</f>
        <v/>
      </c>
      <c r="Y469" s="10">
        <f>IF(W469&gt;$AC$33,1,0)</f>
        <v/>
      </c>
      <c r="Z469">
        <f>IF(Y469=C469,1,0)</f>
        <v/>
      </c>
    </row>
    <row r="470">
      <c r="A470">
        <f>'1 datos preparados'!A463</f>
        <v/>
      </c>
      <c r="B470" s="5">
        <f>'1 datos preparados'!U463</f>
        <v/>
      </c>
      <c r="C470">
        <f>'1 datos preparados'!B463</f>
        <v/>
      </c>
      <c r="D470" s="7">
        <f>'1 datos preparados'!C463</f>
        <v/>
      </c>
      <c r="E470" s="7">
        <f>'1 datos preparados'!D463</f>
        <v/>
      </c>
      <c r="F470" s="7">
        <f>'1 datos preparados'!E463</f>
        <v/>
      </c>
      <c r="G470" s="7">
        <f>'1 datos preparados'!F463</f>
        <v/>
      </c>
      <c r="H470" s="7">
        <f>'1 datos preparados'!G463</f>
        <v/>
      </c>
      <c r="I470" s="7">
        <f>'1 datos preparados'!H463</f>
        <v/>
      </c>
      <c r="J470" s="7">
        <f>'1 datos preparados'!I463</f>
        <v/>
      </c>
      <c r="K470" s="7">
        <f>'1 datos preparados'!J463</f>
        <v/>
      </c>
      <c r="L470" s="7">
        <f>'1 datos preparados'!K463</f>
        <v/>
      </c>
      <c r="M470" s="7">
        <f>'1 datos preparados'!L463</f>
        <v/>
      </c>
      <c r="N470" s="7">
        <f>'1 datos preparados'!M463</f>
        <v/>
      </c>
      <c r="O470" s="7">
        <f>'1 datos preparados'!N463</f>
        <v/>
      </c>
      <c r="P470" s="7">
        <f>'1 datos preparados'!O463</f>
        <v/>
      </c>
      <c r="Q470" s="7">
        <f>'1 datos preparados'!P463</f>
        <v/>
      </c>
      <c r="R470" s="7">
        <f>'1 datos preparados'!Q463</f>
        <v/>
      </c>
      <c r="S470" s="7">
        <f>'1 datos preparados'!R463</f>
        <v/>
      </c>
      <c r="T470" s="7">
        <f>'1 datos preparados'!S463</f>
        <v/>
      </c>
      <c r="U470" s="7">
        <f>'1 datos preparados'!T463</f>
        <v/>
      </c>
      <c r="V470" s="8">
        <f>$AC$12+D470*$AC$13+E470*$AC$14+F470*$AC$15+G470*$AC$16+H470*$AC$17+I470*$AC$18+J470*$AC$19+K470*$AC$20+L470*$AC$21+M470*$AC$22+N470*$AC$23+O470*$AC$24+P470*$AC$25+Q470*$AC$26+R470*$AC$27+S470*$AC$28+T470*$AC$29+U470*$AC$30</f>
        <v/>
      </c>
      <c r="W470" s="8">
        <f>1/(1+EXP(-V470))</f>
        <v/>
      </c>
      <c r="X470" s="9">
        <f>-IF(C470=1,LN(W470),LN(1-W470))</f>
        <v/>
      </c>
      <c r="Y470" s="10">
        <f>IF(W470&gt;$AC$33,1,0)</f>
        <v/>
      </c>
      <c r="Z470">
        <f>IF(Y470=C470,1,0)</f>
        <v/>
      </c>
    </row>
    <row r="471">
      <c r="A471">
        <f>'1 datos preparados'!A464</f>
        <v/>
      </c>
      <c r="B471" s="5">
        <f>'1 datos preparados'!U464</f>
        <v/>
      </c>
      <c r="C471">
        <f>'1 datos preparados'!B464</f>
        <v/>
      </c>
      <c r="D471" s="7">
        <f>'1 datos preparados'!C464</f>
        <v/>
      </c>
      <c r="E471" s="7">
        <f>'1 datos preparados'!D464</f>
        <v/>
      </c>
      <c r="F471" s="7">
        <f>'1 datos preparados'!E464</f>
        <v/>
      </c>
      <c r="G471" s="7">
        <f>'1 datos preparados'!F464</f>
        <v/>
      </c>
      <c r="H471" s="7">
        <f>'1 datos preparados'!G464</f>
        <v/>
      </c>
      <c r="I471" s="7">
        <f>'1 datos preparados'!H464</f>
        <v/>
      </c>
      <c r="J471" s="7">
        <f>'1 datos preparados'!I464</f>
        <v/>
      </c>
      <c r="K471" s="7">
        <f>'1 datos preparados'!J464</f>
        <v/>
      </c>
      <c r="L471" s="7">
        <f>'1 datos preparados'!K464</f>
        <v/>
      </c>
      <c r="M471" s="7">
        <f>'1 datos preparados'!L464</f>
        <v/>
      </c>
      <c r="N471" s="7">
        <f>'1 datos preparados'!M464</f>
        <v/>
      </c>
      <c r="O471" s="7">
        <f>'1 datos preparados'!N464</f>
        <v/>
      </c>
      <c r="P471" s="7">
        <f>'1 datos preparados'!O464</f>
        <v/>
      </c>
      <c r="Q471" s="7">
        <f>'1 datos preparados'!P464</f>
        <v/>
      </c>
      <c r="R471" s="7">
        <f>'1 datos preparados'!Q464</f>
        <v/>
      </c>
      <c r="S471" s="7">
        <f>'1 datos preparados'!R464</f>
        <v/>
      </c>
      <c r="T471" s="7">
        <f>'1 datos preparados'!S464</f>
        <v/>
      </c>
      <c r="U471" s="7">
        <f>'1 datos preparados'!T464</f>
        <v/>
      </c>
      <c r="V471" s="8">
        <f>$AC$12+D471*$AC$13+E471*$AC$14+F471*$AC$15+G471*$AC$16+H471*$AC$17+I471*$AC$18+J471*$AC$19+K471*$AC$20+L471*$AC$21+M471*$AC$22+N471*$AC$23+O471*$AC$24+P471*$AC$25+Q471*$AC$26+R471*$AC$27+S471*$AC$28+T471*$AC$29+U471*$AC$30</f>
        <v/>
      </c>
      <c r="W471" s="8">
        <f>1/(1+EXP(-V471))</f>
        <v/>
      </c>
      <c r="X471" s="9">
        <f>-IF(C471=1,LN(W471),LN(1-W471))</f>
        <v/>
      </c>
      <c r="Y471" s="10">
        <f>IF(W471&gt;$AC$33,1,0)</f>
        <v/>
      </c>
      <c r="Z471">
        <f>IF(Y471=C471,1,0)</f>
        <v/>
      </c>
    </row>
    <row r="472">
      <c r="A472">
        <f>'1 datos preparados'!A465</f>
        <v/>
      </c>
      <c r="B472" s="5">
        <f>'1 datos preparados'!U465</f>
        <v/>
      </c>
      <c r="C472">
        <f>'1 datos preparados'!B465</f>
        <v/>
      </c>
      <c r="D472" s="7">
        <f>'1 datos preparados'!C465</f>
        <v/>
      </c>
      <c r="E472" s="7">
        <f>'1 datos preparados'!D465</f>
        <v/>
      </c>
      <c r="F472" s="7">
        <f>'1 datos preparados'!E465</f>
        <v/>
      </c>
      <c r="G472" s="7">
        <f>'1 datos preparados'!F465</f>
        <v/>
      </c>
      <c r="H472" s="7">
        <f>'1 datos preparados'!G465</f>
        <v/>
      </c>
      <c r="I472" s="7">
        <f>'1 datos preparados'!H465</f>
        <v/>
      </c>
      <c r="J472" s="7">
        <f>'1 datos preparados'!I465</f>
        <v/>
      </c>
      <c r="K472" s="7">
        <f>'1 datos preparados'!J465</f>
        <v/>
      </c>
      <c r="L472" s="7">
        <f>'1 datos preparados'!K465</f>
        <v/>
      </c>
      <c r="M472" s="7">
        <f>'1 datos preparados'!L465</f>
        <v/>
      </c>
      <c r="N472" s="7">
        <f>'1 datos preparados'!M465</f>
        <v/>
      </c>
      <c r="O472" s="7">
        <f>'1 datos preparados'!N465</f>
        <v/>
      </c>
      <c r="P472" s="7">
        <f>'1 datos preparados'!O465</f>
        <v/>
      </c>
      <c r="Q472" s="7">
        <f>'1 datos preparados'!P465</f>
        <v/>
      </c>
      <c r="R472" s="7">
        <f>'1 datos preparados'!Q465</f>
        <v/>
      </c>
      <c r="S472" s="7">
        <f>'1 datos preparados'!R465</f>
        <v/>
      </c>
      <c r="T472" s="7">
        <f>'1 datos preparados'!S465</f>
        <v/>
      </c>
      <c r="U472" s="7">
        <f>'1 datos preparados'!T465</f>
        <v/>
      </c>
      <c r="V472" s="8">
        <f>$AC$12+D472*$AC$13+E472*$AC$14+F472*$AC$15+G472*$AC$16+H472*$AC$17+I472*$AC$18+J472*$AC$19+K472*$AC$20+L472*$AC$21+M472*$AC$22+N472*$AC$23+O472*$AC$24+P472*$AC$25+Q472*$AC$26+R472*$AC$27+S472*$AC$28+T472*$AC$29+U472*$AC$30</f>
        <v/>
      </c>
      <c r="W472" s="8">
        <f>1/(1+EXP(-V472))</f>
        <v/>
      </c>
      <c r="X472" s="9">
        <f>-IF(C472=1,LN(W472),LN(1-W472))</f>
        <v/>
      </c>
      <c r="Y472" s="10">
        <f>IF(W472&gt;$AC$33,1,0)</f>
        <v/>
      </c>
      <c r="Z472">
        <f>IF(Y472=C472,1,0)</f>
        <v/>
      </c>
    </row>
    <row r="473">
      <c r="A473">
        <f>'1 datos preparados'!A466</f>
        <v/>
      </c>
      <c r="B473" s="5">
        <f>'1 datos preparados'!U466</f>
        <v/>
      </c>
      <c r="C473">
        <f>'1 datos preparados'!B466</f>
        <v/>
      </c>
      <c r="D473" s="7">
        <f>'1 datos preparados'!C466</f>
        <v/>
      </c>
      <c r="E473" s="7">
        <f>'1 datos preparados'!D466</f>
        <v/>
      </c>
      <c r="F473" s="7">
        <f>'1 datos preparados'!E466</f>
        <v/>
      </c>
      <c r="G473" s="7">
        <f>'1 datos preparados'!F466</f>
        <v/>
      </c>
      <c r="H473" s="7">
        <f>'1 datos preparados'!G466</f>
        <v/>
      </c>
      <c r="I473" s="7">
        <f>'1 datos preparados'!H466</f>
        <v/>
      </c>
      <c r="J473" s="7">
        <f>'1 datos preparados'!I466</f>
        <v/>
      </c>
      <c r="K473" s="7">
        <f>'1 datos preparados'!J466</f>
        <v/>
      </c>
      <c r="L473" s="7">
        <f>'1 datos preparados'!K466</f>
        <v/>
      </c>
      <c r="M473" s="7">
        <f>'1 datos preparados'!L466</f>
        <v/>
      </c>
      <c r="N473" s="7">
        <f>'1 datos preparados'!M466</f>
        <v/>
      </c>
      <c r="O473" s="7">
        <f>'1 datos preparados'!N466</f>
        <v/>
      </c>
      <c r="P473" s="7">
        <f>'1 datos preparados'!O466</f>
        <v/>
      </c>
      <c r="Q473" s="7">
        <f>'1 datos preparados'!P466</f>
        <v/>
      </c>
      <c r="R473" s="7">
        <f>'1 datos preparados'!Q466</f>
        <v/>
      </c>
      <c r="S473" s="7">
        <f>'1 datos preparados'!R466</f>
        <v/>
      </c>
      <c r="T473" s="7">
        <f>'1 datos preparados'!S466</f>
        <v/>
      </c>
      <c r="U473" s="7">
        <f>'1 datos preparados'!T466</f>
        <v/>
      </c>
      <c r="V473" s="8">
        <f>$AC$12+D473*$AC$13+E473*$AC$14+F473*$AC$15+G473*$AC$16+H473*$AC$17+I473*$AC$18+J473*$AC$19+K473*$AC$20+L473*$AC$21+M473*$AC$22+N473*$AC$23+O473*$AC$24+P473*$AC$25+Q473*$AC$26+R473*$AC$27+S473*$AC$28+T473*$AC$29+U473*$AC$30</f>
        <v/>
      </c>
      <c r="W473" s="8">
        <f>1/(1+EXP(-V473))</f>
        <v/>
      </c>
      <c r="X473" s="9">
        <f>-IF(C473=1,LN(W473),LN(1-W473))</f>
        <v/>
      </c>
      <c r="Y473" s="10">
        <f>IF(W473&gt;$AC$33,1,0)</f>
        <v/>
      </c>
      <c r="Z473">
        <f>IF(Y473=C473,1,0)</f>
        <v/>
      </c>
    </row>
    <row r="474">
      <c r="A474">
        <f>'1 datos preparados'!A467</f>
        <v/>
      </c>
      <c r="B474" s="5">
        <f>'1 datos preparados'!U467</f>
        <v/>
      </c>
      <c r="C474">
        <f>'1 datos preparados'!B467</f>
        <v/>
      </c>
      <c r="D474" s="7">
        <f>'1 datos preparados'!C467</f>
        <v/>
      </c>
      <c r="E474" s="7">
        <f>'1 datos preparados'!D467</f>
        <v/>
      </c>
      <c r="F474" s="7">
        <f>'1 datos preparados'!E467</f>
        <v/>
      </c>
      <c r="G474" s="7">
        <f>'1 datos preparados'!F467</f>
        <v/>
      </c>
      <c r="H474" s="7">
        <f>'1 datos preparados'!G467</f>
        <v/>
      </c>
      <c r="I474" s="7">
        <f>'1 datos preparados'!H467</f>
        <v/>
      </c>
      <c r="J474" s="7">
        <f>'1 datos preparados'!I467</f>
        <v/>
      </c>
      <c r="K474" s="7">
        <f>'1 datos preparados'!J467</f>
        <v/>
      </c>
      <c r="L474" s="7">
        <f>'1 datos preparados'!K467</f>
        <v/>
      </c>
      <c r="M474" s="7">
        <f>'1 datos preparados'!L467</f>
        <v/>
      </c>
      <c r="N474" s="7">
        <f>'1 datos preparados'!M467</f>
        <v/>
      </c>
      <c r="O474" s="7">
        <f>'1 datos preparados'!N467</f>
        <v/>
      </c>
      <c r="P474" s="7">
        <f>'1 datos preparados'!O467</f>
        <v/>
      </c>
      <c r="Q474" s="7">
        <f>'1 datos preparados'!P467</f>
        <v/>
      </c>
      <c r="R474" s="7">
        <f>'1 datos preparados'!Q467</f>
        <v/>
      </c>
      <c r="S474" s="7">
        <f>'1 datos preparados'!R467</f>
        <v/>
      </c>
      <c r="T474" s="7">
        <f>'1 datos preparados'!S467</f>
        <v/>
      </c>
      <c r="U474" s="7">
        <f>'1 datos preparados'!T467</f>
        <v/>
      </c>
      <c r="V474" s="8">
        <f>$AC$12+D474*$AC$13+E474*$AC$14+F474*$AC$15+G474*$AC$16+H474*$AC$17+I474*$AC$18+J474*$AC$19+K474*$AC$20+L474*$AC$21+M474*$AC$22+N474*$AC$23+O474*$AC$24+P474*$AC$25+Q474*$AC$26+R474*$AC$27+S474*$AC$28+T474*$AC$29+U474*$AC$30</f>
        <v/>
      </c>
      <c r="W474" s="8">
        <f>1/(1+EXP(-V474))</f>
        <v/>
      </c>
      <c r="X474" s="9">
        <f>-IF(C474=1,LN(W474),LN(1-W474))</f>
        <v/>
      </c>
      <c r="Y474" s="10">
        <f>IF(W474&gt;$AC$33,1,0)</f>
        <v/>
      </c>
      <c r="Z474">
        <f>IF(Y474=C474,1,0)</f>
        <v/>
      </c>
    </row>
    <row r="475">
      <c r="A475">
        <f>'1 datos preparados'!A468</f>
        <v/>
      </c>
      <c r="B475" s="5">
        <f>'1 datos preparados'!U468</f>
        <v/>
      </c>
      <c r="C475">
        <f>'1 datos preparados'!B468</f>
        <v/>
      </c>
      <c r="D475" s="7">
        <f>'1 datos preparados'!C468</f>
        <v/>
      </c>
      <c r="E475" s="7">
        <f>'1 datos preparados'!D468</f>
        <v/>
      </c>
      <c r="F475" s="7">
        <f>'1 datos preparados'!E468</f>
        <v/>
      </c>
      <c r="G475" s="7">
        <f>'1 datos preparados'!F468</f>
        <v/>
      </c>
      <c r="H475" s="7">
        <f>'1 datos preparados'!G468</f>
        <v/>
      </c>
      <c r="I475" s="7">
        <f>'1 datos preparados'!H468</f>
        <v/>
      </c>
      <c r="J475" s="7">
        <f>'1 datos preparados'!I468</f>
        <v/>
      </c>
      <c r="K475" s="7">
        <f>'1 datos preparados'!J468</f>
        <v/>
      </c>
      <c r="L475" s="7">
        <f>'1 datos preparados'!K468</f>
        <v/>
      </c>
      <c r="M475" s="7">
        <f>'1 datos preparados'!L468</f>
        <v/>
      </c>
      <c r="N475" s="7">
        <f>'1 datos preparados'!M468</f>
        <v/>
      </c>
      <c r="O475" s="7">
        <f>'1 datos preparados'!N468</f>
        <v/>
      </c>
      <c r="P475" s="7">
        <f>'1 datos preparados'!O468</f>
        <v/>
      </c>
      <c r="Q475" s="7">
        <f>'1 datos preparados'!P468</f>
        <v/>
      </c>
      <c r="R475" s="7">
        <f>'1 datos preparados'!Q468</f>
        <v/>
      </c>
      <c r="S475" s="7">
        <f>'1 datos preparados'!R468</f>
        <v/>
      </c>
      <c r="T475" s="7">
        <f>'1 datos preparados'!S468</f>
        <v/>
      </c>
      <c r="U475" s="7">
        <f>'1 datos preparados'!T468</f>
        <v/>
      </c>
      <c r="V475" s="8">
        <f>$AC$12+D475*$AC$13+E475*$AC$14+F475*$AC$15+G475*$AC$16+H475*$AC$17+I475*$AC$18+J475*$AC$19+K475*$AC$20+L475*$AC$21+M475*$AC$22+N475*$AC$23+O475*$AC$24+P475*$AC$25+Q475*$AC$26+R475*$AC$27+S475*$AC$28+T475*$AC$29+U475*$AC$30</f>
        <v/>
      </c>
      <c r="W475" s="8">
        <f>1/(1+EXP(-V475))</f>
        <v/>
      </c>
      <c r="X475" s="9">
        <f>-IF(C475=1,LN(W475),LN(1-W475))</f>
        <v/>
      </c>
      <c r="Y475" s="10">
        <f>IF(W475&gt;$AC$33,1,0)</f>
        <v/>
      </c>
      <c r="Z475">
        <f>IF(Y475=C475,1,0)</f>
        <v/>
      </c>
    </row>
    <row r="476">
      <c r="A476">
        <f>'1 datos preparados'!A469</f>
        <v/>
      </c>
      <c r="B476" s="5">
        <f>'1 datos preparados'!U469</f>
        <v/>
      </c>
      <c r="C476">
        <f>'1 datos preparados'!B469</f>
        <v/>
      </c>
      <c r="D476" s="7">
        <f>'1 datos preparados'!C469</f>
        <v/>
      </c>
      <c r="E476" s="7">
        <f>'1 datos preparados'!D469</f>
        <v/>
      </c>
      <c r="F476" s="7">
        <f>'1 datos preparados'!E469</f>
        <v/>
      </c>
      <c r="G476" s="7">
        <f>'1 datos preparados'!F469</f>
        <v/>
      </c>
      <c r="H476" s="7">
        <f>'1 datos preparados'!G469</f>
        <v/>
      </c>
      <c r="I476" s="7">
        <f>'1 datos preparados'!H469</f>
        <v/>
      </c>
      <c r="J476" s="7">
        <f>'1 datos preparados'!I469</f>
        <v/>
      </c>
      <c r="K476" s="7">
        <f>'1 datos preparados'!J469</f>
        <v/>
      </c>
      <c r="L476" s="7">
        <f>'1 datos preparados'!K469</f>
        <v/>
      </c>
      <c r="M476" s="7">
        <f>'1 datos preparados'!L469</f>
        <v/>
      </c>
      <c r="N476" s="7">
        <f>'1 datos preparados'!M469</f>
        <v/>
      </c>
      <c r="O476" s="7">
        <f>'1 datos preparados'!N469</f>
        <v/>
      </c>
      <c r="P476" s="7">
        <f>'1 datos preparados'!O469</f>
        <v/>
      </c>
      <c r="Q476" s="7">
        <f>'1 datos preparados'!P469</f>
        <v/>
      </c>
      <c r="R476" s="7">
        <f>'1 datos preparados'!Q469</f>
        <v/>
      </c>
      <c r="S476" s="7">
        <f>'1 datos preparados'!R469</f>
        <v/>
      </c>
      <c r="T476" s="7">
        <f>'1 datos preparados'!S469</f>
        <v/>
      </c>
      <c r="U476" s="7">
        <f>'1 datos preparados'!T469</f>
        <v/>
      </c>
      <c r="V476" s="8">
        <f>$AC$12+D476*$AC$13+E476*$AC$14+F476*$AC$15+G476*$AC$16+H476*$AC$17+I476*$AC$18+J476*$AC$19+K476*$AC$20+L476*$AC$21+M476*$AC$22+N476*$AC$23+O476*$AC$24+P476*$AC$25+Q476*$AC$26+R476*$AC$27+S476*$AC$28+T476*$AC$29+U476*$AC$30</f>
        <v/>
      </c>
      <c r="W476" s="8">
        <f>1/(1+EXP(-V476))</f>
        <v/>
      </c>
      <c r="X476" s="9">
        <f>-IF(C476=1,LN(W476),LN(1-W476))</f>
        <v/>
      </c>
      <c r="Y476" s="10">
        <f>IF(W476&gt;$AC$33,1,0)</f>
        <v/>
      </c>
      <c r="Z476">
        <f>IF(Y476=C476,1,0)</f>
        <v/>
      </c>
    </row>
    <row r="477">
      <c r="A477">
        <f>'1 datos preparados'!A470</f>
        <v/>
      </c>
      <c r="B477" s="5">
        <f>'1 datos preparados'!U470</f>
        <v/>
      </c>
      <c r="C477">
        <f>'1 datos preparados'!B470</f>
        <v/>
      </c>
      <c r="D477" s="7">
        <f>'1 datos preparados'!C470</f>
        <v/>
      </c>
      <c r="E477" s="7">
        <f>'1 datos preparados'!D470</f>
        <v/>
      </c>
      <c r="F477" s="7">
        <f>'1 datos preparados'!E470</f>
        <v/>
      </c>
      <c r="G477" s="7">
        <f>'1 datos preparados'!F470</f>
        <v/>
      </c>
      <c r="H477" s="7">
        <f>'1 datos preparados'!G470</f>
        <v/>
      </c>
      <c r="I477" s="7">
        <f>'1 datos preparados'!H470</f>
        <v/>
      </c>
      <c r="J477" s="7">
        <f>'1 datos preparados'!I470</f>
        <v/>
      </c>
      <c r="K477" s="7">
        <f>'1 datos preparados'!J470</f>
        <v/>
      </c>
      <c r="L477" s="7">
        <f>'1 datos preparados'!K470</f>
        <v/>
      </c>
      <c r="M477" s="7">
        <f>'1 datos preparados'!L470</f>
        <v/>
      </c>
      <c r="N477" s="7">
        <f>'1 datos preparados'!M470</f>
        <v/>
      </c>
      <c r="O477" s="7">
        <f>'1 datos preparados'!N470</f>
        <v/>
      </c>
      <c r="P477" s="7">
        <f>'1 datos preparados'!O470</f>
        <v/>
      </c>
      <c r="Q477" s="7">
        <f>'1 datos preparados'!P470</f>
        <v/>
      </c>
      <c r="R477" s="7">
        <f>'1 datos preparados'!Q470</f>
        <v/>
      </c>
      <c r="S477" s="7">
        <f>'1 datos preparados'!R470</f>
        <v/>
      </c>
      <c r="T477" s="7">
        <f>'1 datos preparados'!S470</f>
        <v/>
      </c>
      <c r="U477" s="7">
        <f>'1 datos preparados'!T470</f>
        <v/>
      </c>
      <c r="V477" s="8">
        <f>$AC$12+D477*$AC$13+E477*$AC$14+F477*$AC$15+G477*$AC$16+H477*$AC$17+I477*$AC$18+J477*$AC$19+K477*$AC$20+L477*$AC$21+M477*$AC$22+N477*$AC$23+O477*$AC$24+P477*$AC$25+Q477*$AC$26+R477*$AC$27+S477*$AC$28+T477*$AC$29+U477*$AC$30</f>
        <v/>
      </c>
      <c r="W477" s="8">
        <f>1/(1+EXP(-V477))</f>
        <v/>
      </c>
      <c r="X477" s="9">
        <f>-IF(C477=1,LN(W477),LN(1-W477))</f>
        <v/>
      </c>
      <c r="Y477" s="10">
        <f>IF(W477&gt;$AC$33,1,0)</f>
        <v/>
      </c>
      <c r="Z477">
        <f>IF(Y477=C477,1,0)</f>
        <v/>
      </c>
    </row>
    <row r="478">
      <c r="A478">
        <f>'1 datos preparados'!A471</f>
        <v/>
      </c>
      <c r="B478" s="5">
        <f>'1 datos preparados'!U471</f>
        <v/>
      </c>
      <c r="C478">
        <f>'1 datos preparados'!B471</f>
        <v/>
      </c>
      <c r="D478" s="7">
        <f>'1 datos preparados'!C471</f>
        <v/>
      </c>
      <c r="E478" s="7">
        <f>'1 datos preparados'!D471</f>
        <v/>
      </c>
      <c r="F478" s="7">
        <f>'1 datos preparados'!E471</f>
        <v/>
      </c>
      <c r="G478" s="7">
        <f>'1 datos preparados'!F471</f>
        <v/>
      </c>
      <c r="H478" s="7">
        <f>'1 datos preparados'!G471</f>
        <v/>
      </c>
      <c r="I478" s="7">
        <f>'1 datos preparados'!H471</f>
        <v/>
      </c>
      <c r="J478" s="7">
        <f>'1 datos preparados'!I471</f>
        <v/>
      </c>
      <c r="K478" s="7">
        <f>'1 datos preparados'!J471</f>
        <v/>
      </c>
      <c r="L478" s="7">
        <f>'1 datos preparados'!K471</f>
        <v/>
      </c>
      <c r="M478" s="7">
        <f>'1 datos preparados'!L471</f>
        <v/>
      </c>
      <c r="N478" s="7">
        <f>'1 datos preparados'!M471</f>
        <v/>
      </c>
      <c r="O478" s="7">
        <f>'1 datos preparados'!N471</f>
        <v/>
      </c>
      <c r="P478" s="7">
        <f>'1 datos preparados'!O471</f>
        <v/>
      </c>
      <c r="Q478" s="7">
        <f>'1 datos preparados'!P471</f>
        <v/>
      </c>
      <c r="R478" s="7">
        <f>'1 datos preparados'!Q471</f>
        <v/>
      </c>
      <c r="S478" s="7">
        <f>'1 datos preparados'!R471</f>
        <v/>
      </c>
      <c r="T478" s="7">
        <f>'1 datos preparados'!S471</f>
        <v/>
      </c>
      <c r="U478" s="7">
        <f>'1 datos preparados'!T471</f>
        <v/>
      </c>
      <c r="V478" s="8">
        <f>$AC$12+D478*$AC$13+E478*$AC$14+F478*$AC$15+G478*$AC$16+H478*$AC$17+I478*$AC$18+J478*$AC$19+K478*$AC$20+L478*$AC$21+M478*$AC$22+N478*$AC$23+O478*$AC$24+P478*$AC$25+Q478*$AC$26+R478*$AC$27+S478*$AC$28+T478*$AC$29+U478*$AC$30</f>
        <v/>
      </c>
      <c r="W478" s="8">
        <f>1/(1+EXP(-V478))</f>
        <v/>
      </c>
      <c r="X478" s="9">
        <f>-IF(C478=1,LN(W478),LN(1-W478))</f>
        <v/>
      </c>
      <c r="Y478" s="10">
        <f>IF(W478&gt;$AC$33,1,0)</f>
        <v/>
      </c>
      <c r="Z478">
        <f>IF(Y478=C478,1,0)</f>
        <v/>
      </c>
    </row>
    <row r="479">
      <c r="A479">
        <f>'1 datos preparados'!A472</f>
        <v/>
      </c>
      <c r="B479" s="5">
        <f>'1 datos preparados'!U472</f>
        <v/>
      </c>
      <c r="C479">
        <f>'1 datos preparados'!B472</f>
        <v/>
      </c>
      <c r="D479" s="7">
        <f>'1 datos preparados'!C472</f>
        <v/>
      </c>
      <c r="E479" s="7">
        <f>'1 datos preparados'!D472</f>
        <v/>
      </c>
      <c r="F479" s="7">
        <f>'1 datos preparados'!E472</f>
        <v/>
      </c>
      <c r="G479" s="7">
        <f>'1 datos preparados'!F472</f>
        <v/>
      </c>
      <c r="H479" s="7">
        <f>'1 datos preparados'!G472</f>
        <v/>
      </c>
      <c r="I479" s="7">
        <f>'1 datos preparados'!H472</f>
        <v/>
      </c>
      <c r="J479" s="7">
        <f>'1 datos preparados'!I472</f>
        <v/>
      </c>
      <c r="K479" s="7">
        <f>'1 datos preparados'!J472</f>
        <v/>
      </c>
      <c r="L479" s="7">
        <f>'1 datos preparados'!K472</f>
        <v/>
      </c>
      <c r="M479" s="7">
        <f>'1 datos preparados'!L472</f>
        <v/>
      </c>
      <c r="N479" s="7">
        <f>'1 datos preparados'!M472</f>
        <v/>
      </c>
      <c r="O479" s="7">
        <f>'1 datos preparados'!N472</f>
        <v/>
      </c>
      <c r="P479" s="7">
        <f>'1 datos preparados'!O472</f>
        <v/>
      </c>
      <c r="Q479" s="7">
        <f>'1 datos preparados'!P472</f>
        <v/>
      </c>
      <c r="R479" s="7">
        <f>'1 datos preparados'!Q472</f>
        <v/>
      </c>
      <c r="S479" s="7">
        <f>'1 datos preparados'!R472</f>
        <v/>
      </c>
      <c r="T479" s="7">
        <f>'1 datos preparados'!S472</f>
        <v/>
      </c>
      <c r="U479" s="7">
        <f>'1 datos preparados'!T472</f>
        <v/>
      </c>
      <c r="V479" s="8">
        <f>$AC$12+D479*$AC$13+E479*$AC$14+F479*$AC$15+G479*$AC$16+H479*$AC$17+I479*$AC$18+J479*$AC$19+K479*$AC$20+L479*$AC$21+M479*$AC$22+N479*$AC$23+O479*$AC$24+P479*$AC$25+Q479*$AC$26+R479*$AC$27+S479*$AC$28+T479*$AC$29+U479*$AC$30</f>
        <v/>
      </c>
      <c r="W479" s="8">
        <f>1/(1+EXP(-V479))</f>
        <v/>
      </c>
      <c r="X479" s="9">
        <f>-IF(C479=1,LN(W479),LN(1-W479))</f>
        <v/>
      </c>
      <c r="Y479" s="10">
        <f>IF(W479&gt;$AC$33,1,0)</f>
        <v/>
      </c>
      <c r="Z479">
        <f>IF(Y479=C479,1,0)</f>
        <v/>
      </c>
    </row>
    <row r="480">
      <c r="A480">
        <f>'1 datos preparados'!A473</f>
        <v/>
      </c>
      <c r="B480" s="5">
        <f>'1 datos preparados'!U473</f>
        <v/>
      </c>
      <c r="C480">
        <f>'1 datos preparados'!B473</f>
        <v/>
      </c>
      <c r="D480" s="7">
        <f>'1 datos preparados'!C473</f>
        <v/>
      </c>
      <c r="E480" s="7">
        <f>'1 datos preparados'!D473</f>
        <v/>
      </c>
      <c r="F480" s="7">
        <f>'1 datos preparados'!E473</f>
        <v/>
      </c>
      <c r="G480" s="7">
        <f>'1 datos preparados'!F473</f>
        <v/>
      </c>
      <c r="H480" s="7">
        <f>'1 datos preparados'!G473</f>
        <v/>
      </c>
      <c r="I480" s="7">
        <f>'1 datos preparados'!H473</f>
        <v/>
      </c>
      <c r="J480" s="7">
        <f>'1 datos preparados'!I473</f>
        <v/>
      </c>
      <c r="K480" s="7">
        <f>'1 datos preparados'!J473</f>
        <v/>
      </c>
      <c r="L480" s="7">
        <f>'1 datos preparados'!K473</f>
        <v/>
      </c>
      <c r="M480" s="7">
        <f>'1 datos preparados'!L473</f>
        <v/>
      </c>
      <c r="N480" s="7">
        <f>'1 datos preparados'!M473</f>
        <v/>
      </c>
      <c r="O480" s="7">
        <f>'1 datos preparados'!N473</f>
        <v/>
      </c>
      <c r="P480" s="7">
        <f>'1 datos preparados'!O473</f>
        <v/>
      </c>
      <c r="Q480" s="7">
        <f>'1 datos preparados'!P473</f>
        <v/>
      </c>
      <c r="R480" s="7">
        <f>'1 datos preparados'!Q473</f>
        <v/>
      </c>
      <c r="S480" s="7">
        <f>'1 datos preparados'!R473</f>
        <v/>
      </c>
      <c r="T480" s="7">
        <f>'1 datos preparados'!S473</f>
        <v/>
      </c>
      <c r="U480" s="7">
        <f>'1 datos preparados'!T473</f>
        <v/>
      </c>
      <c r="V480" s="8">
        <f>$AC$12+D480*$AC$13+E480*$AC$14+F480*$AC$15+G480*$AC$16+H480*$AC$17+I480*$AC$18+J480*$AC$19+K480*$AC$20+L480*$AC$21+M480*$AC$22+N480*$AC$23+O480*$AC$24+P480*$AC$25+Q480*$AC$26+R480*$AC$27+S480*$AC$28+T480*$AC$29+U480*$AC$30</f>
        <v/>
      </c>
      <c r="W480" s="8">
        <f>1/(1+EXP(-V480))</f>
        <v/>
      </c>
      <c r="X480" s="9">
        <f>-IF(C480=1,LN(W480),LN(1-W480))</f>
        <v/>
      </c>
      <c r="Y480" s="10">
        <f>IF(W480&gt;$AC$33,1,0)</f>
        <v/>
      </c>
      <c r="Z480">
        <f>IF(Y480=C480,1,0)</f>
        <v/>
      </c>
    </row>
    <row r="481">
      <c r="A481">
        <f>'1 datos preparados'!A474</f>
        <v/>
      </c>
      <c r="B481" s="5">
        <f>'1 datos preparados'!U474</f>
        <v/>
      </c>
      <c r="C481">
        <f>'1 datos preparados'!B474</f>
        <v/>
      </c>
      <c r="D481" s="7">
        <f>'1 datos preparados'!C474</f>
        <v/>
      </c>
      <c r="E481" s="7">
        <f>'1 datos preparados'!D474</f>
        <v/>
      </c>
      <c r="F481" s="7">
        <f>'1 datos preparados'!E474</f>
        <v/>
      </c>
      <c r="G481" s="7">
        <f>'1 datos preparados'!F474</f>
        <v/>
      </c>
      <c r="H481" s="7">
        <f>'1 datos preparados'!G474</f>
        <v/>
      </c>
      <c r="I481" s="7">
        <f>'1 datos preparados'!H474</f>
        <v/>
      </c>
      <c r="J481" s="7">
        <f>'1 datos preparados'!I474</f>
        <v/>
      </c>
      <c r="K481" s="7">
        <f>'1 datos preparados'!J474</f>
        <v/>
      </c>
      <c r="L481" s="7">
        <f>'1 datos preparados'!K474</f>
        <v/>
      </c>
      <c r="M481" s="7">
        <f>'1 datos preparados'!L474</f>
        <v/>
      </c>
      <c r="N481" s="7">
        <f>'1 datos preparados'!M474</f>
        <v/>
      </c>
      <c r="O481" s="7">
        <f>'1 datos preparados'!N474</f>
        <v/>
      </c>
      <c r="P481" s="7">
        <f>'1 datos preparados'!O474</f>
        <v/>
      </c>
      <c r="Q481" s="7">
        <f>'1 datos preparados'!P474</f>
        <v/>
      </c>
      <c r="R481" s="7">
        <f>'1 datos preparados'!Q474</f>
        <v/>
      </c>
      <c r="S481" s="7">
        <f>'1 datos preparados'!R474</f>
        <v/>
      </c>
      <c r="T481" s="7">
        <f>'1 datos preparados'!S474</f>
        <v/>
      </c>
      <c r="U481" s="7">
        <f>'1 datos preparados'!T474</f>
        <v/>
      </c>
      <c r="V481" s="8">
        <f>$AC$12+D481*$AC$13+E481*$AC$14+F481*$AC$15+G481*$AC$16+H481*$AC$17+I481*$AC$18+J481*$AC$19+K481*$AC$20+L481*$AC$21+M481*$AC$22+N481*$AC$23+O481*$AC$24+P481*$AC$25+Q481*$AC$26+R481*$AC$27+S481*$AC$28+T481*$AC$29+U481*$AC$30</f>
        <v/>
      </c>
      <c r="W481" s="8">
        <f>1/(1+EXP(-V481))</f>
        <v/>
      </c>
      <c r="X481" s="9">
        <f>-IF(C481=1,LN(W481),LN(1-W481))</f>
        <v/>
      </c>
      <c r="Y481" s="10">
        <f>IF(W481&gt;$AC$33,1,0)</f>
        <v/>
      </c>
      <c r="Z481">
        <f>IF(Y481=C481,1,0)</f>
        <v/>
      </c>
    </row>
    <row r="482">
      <c r="A482">
        <f>'1 datos preparados'!A475</f>
        <v/>
      </c>
      <c r="B482" s="5">
        <f>'1 datos preparados'!U475</f>
        <v/>
      </c>
      <c r="C482">
        <f>'1 datos preparados'!B475</f>
        <v/>
      </c>
      <c r="D482" s="7">
        <f>'1 datos preparados'!C475</f>
        <v/>
      </c>
      <c r="E482" s="7">
        <f>'1 datos preparados'!D475</f>
        <v/>
      </c>
      <c r="F482" s="7">
        <f>'1 datos preparados'!E475</f>
        <v/>
      </c>
      <c r="G482" s="7">
        <f>'1 datos preparados'!F475</f>
        <v/>
      </c>
      <c r="H482" s="7">
        <f>'1 datos preparados'!G475</f>
        <v/>
      </c>
      <c r="I482" s="7">
        <f>'1 datos preparados'!H475</f>
        <v/>
      </c>
      <c r="J482" s="7">
        <f>'1 datos preparados'!I475</f>
        <v/>
      </c>
      <c r="K482" s="7">
        <f>'1 datos preparados'!J475</f>
        <v/>
      </c>
      <c r="L482" s="7">
        <f>'1 datos preparados'!K475</f>
        <v/>
      </c>
      <c r="M482" s="7">
        <f>'1 datos preparados'!L475</f>
        <v/>
      </c>
      <c r="N482" s="7">
        <f>'1 datos preparados'!M475</f>
        <v/>
      </c>
      <c r="O482" s="7">
        <f>'1 datos preparados'!N475</f>
        <v/>
      </c>
      <c r="P482" s="7">
        <f>'1 datos preparados'!O475</f>
        <v/>
      </c>
      <c r="Q482" s="7">
        <f>'1 datos preparados'!P475</f>
        <v/>
      </c>
      <c r="R482" s="7">
        <f>'1 datos preparados'!Q475</f>
        <v/>
      </c>
      <c r="S482" s="7">
        <f>'1 datos preparados'!R475</f>
        <v/>
      </c>
      <c r="T482" s="7">
        <f>'1 datos preparados'!S475</f>
        <v/>
      </c>
      <c r="U482" s="7">
        <f>'1 datos preparados'!T475</f>
        <v/>
      </c>
      <c r="V482" s="8">
        <f>$AC$12+D482*$AC$13+E482*$AC$14+F482*$AC$15+G482*$AC$16+H482*$AC$17+I482*$AC$18+J482*$AC$19+K482*$AC$20+L482*$AC$21+M482*$AC$22+N482*$AC$23+O482*$AC$24+P482*$AC$25+Q482*$AC$26+R482*$AC$27+S482*$AC$28+T482*$AC$29+U482*$AC$30</f>
        <v/>
      </c>
      <c r="W482" s="8">
        <f>1/(1+EXP(-V482))</f>
        <v/>
      </c>
      <c r="X482" s="9">
        <f>-IF(C482=1,LN(W482),LN(1-W482))</f>
        <v/>
      </c>
      <c r="Y482" s="10">
        <f>IF(W482&gt;$AC$33,1,0)</f>
        <v/>
      </c>
      <c r="Z482">
        <f>IF(Y482=C482,1,0)</f>
        <v/>
      </c>
    </row>
    <row r="483">
      <c r="A483">
        <f>'1 datos preparados'!A476</f>
        <v/>
      </c>
      <c r="B483" s="5">
        <f>'1 datos preparados'!U476</f>
        <v/>
      </c>
      <c r="C483">
        <f>'1 datos preparados'!B476</f>
        <v/>
      </c>
      <c r="D483" s="7">
        <f>'1 datos preparados'!C476</f>
        <v/>
      </c>
      <c r="E483" s="7">
        <f>'1 datos preparados'!D476</f>
        <v/>
      </c>
      <c r="F483" s="7">
        <f>'1 datos preparados'!E476</f>
        <v/>
      </c>
      <c r="G483" s="7">
        <f>'1 datos preparados'!F476</f>
        <v/>
      </c>
      <c r="H483" s="7">
        <f>'1 datos preparados'!G476</f>
        <v/>
      </c>
      <c r="I483" s="7">
        <f>'1 datos preparados'!H476</f>
        <v/>
      </c>
      <c r="J483" s="7">
        <f>'1 datos preparados'!I476</f>
        <v/>
      </c>
      <c r="K483" s="7">
        <f>'1 datos preparados'!J476</f>
        <v/>
      </c>
      <c r="L483" s="7">
        <f>'1 datos preparados'!K476</f>
        <v/>
      </c>
      <c r="M483" s="7">
        <f>'1 datos preparados'!L476</f>
        <v/>
      </c>
      <c r="N483" s="7">
        <f>'1 datos preparados'!M476</f>
        <v/>
      </c>
      <c r="O483" s="7">
        <f>'1 datos preparados'!N476</f>
        <v/>
      </c>
      <c r="P483" s="7">
        <f>'1 datos preparados'!O476</f>
        <v/>
      </c>
      <c r="Q483" s="7">
        <f>'1 datos preparados'!P476</f>
        <v/>
      </c>
      <c r="R483" s="7">
        <f>'1 datos preparados'!Q476</f>
        <v/>
      </c>
      <c r="S483" s="7">
        <f>'1 datos preparados'!R476</f>
        <v/>
      </c>
      <c r="T483" s="7">
        <f>'1 datos preparados'!S476</f>
        <v/>
      </c>
      <c r="U483" s="7">
        <f>'1 datos preparados'!T476</f>
        <v/>
      </c>
      <c r="V483" s="8">
        <f>$AC$12+D483*$AC$13+E483*$AC$14+F483*$AC$15+G483*$AC$16+H483*$AC$17+I483*$AC$18+J483*$AC$19+K483*$AC$20+L483*$AC$21+M483*$AC$22+N483*$AC$23+O483*$AC$24+P483*$AC$25+Q483*$AC$26+R483*$AC$27+S483*$AC$28+T483*$AC$29+U483*$AC$30</f>
        <v/>
      </c>
      <c r="W483" s="8">
        <f>1/(1+EXP(-V483))</f>
        <v/>
      </c>
      <c r="X483" s="9">
        <f>-IF(C483=1,LN(W483),LN(1-W483))</f>
        <v/>
      </c>
      <c r="Y483" s="10">
        <f>IF(W483&gt;$AC$33,1,0)</f>
        <v/>
      </c>
      <c r="Z483">
        <f>IF(Y483=C483,1,0)</f>
        <v/>
      </c>
    </row>
    <row r="484">
      <c r="A484">
        <f>'1 datos preparados'!A477</f>
        <v/>
      </c>
      <c r="B484" s="5">
        <f>'1 datos preparados'!U477</f>
        <v/>
      </c>
      <c r="C484">
        <f>'1 datos preparados'!B477</f>
        <v/>
      </c>
      <c r="D484" s="7">
        <f>'1 datos preparados'!C477</f>
        <v/>
      </c>
      <c r="E484" s="7">
        <f>'1 datos preparados'!D477</f>
        <v/>
      </c>
      <c r="F484" s="7">
        <f>'1 datos preparados'!E477</f>
        <v/>
      </c>
      <c r="G484" s="7">
        <f>'1 datos preparados'!F477</f>
        <v/>
      </c>
      <c r="H484" s="7">
        <f>'1 datos preparados'!G477</f>
        <v/>
      </c>
      <c r="I484" s="7">
        <f>'1 datos preparados'!H477</f>
        <v/>
      </c>
      <c r="J484" s="7">
        <f>'1 datos preparados'!I477</f>
        <v/>
      </c>
      <c r="K484" s="7">
        <f>'1 datos preparados'!J477</f>
        <v/>
      </c>
      <c r="L484" s="7">
        <f>'1 datos preparados'!K477</f>
        <v/>
      </c>
      <c r="M484" s="7">
        <f>'1 datos preparados'!L477</f>
        <v/>
      </c>
      <c r="N484" s="7">
        <f>'1 datos preparados'!M477</f>
        <v/>
      </c>
      <c r="O484" s="7">
        <f>'1 datos preparados'!N477</f>
        <v/>
      </c>
      <c r="P484" s="7">
        <f>'1 datos preparados'!O477</f>
        <v/>
      </c>
      <c r="Q484" s="7">
        <f>'1 datos preparados'!P477</f>
        <v/>
      </c>
      <c r="R484" s="7">
        <f>'1 datos preparados'!Q477</f>
        <v/>
      </c>
      <c r="S484" s="7">
        <f>'1 datos preparados'!R477</f>
        <v/>
      </c>
      <c r="T484" s="7">
        <f>'1 datos preparados'!S477</f>
        <v/>
      </c>
      <c r="U484" s="7">
        <f>'1 datos preparados'!T477</f>
        <v/>
      </c>
      <c r="V484" s="8">
        <f>$AC$12+D484*$AC$13+E484*$AC$14+F484*$AC$15+G484*$AC$16+H484*$AC$17+I484*$AC$18+J484*$AC$19+K484*$AC$20+L484*$AC$21+M484*$AC$22+N484*$AC$23+O484*$AC$24+P484*$AC$25+Q484*$AC$26+R484*$AC$27+S484*$AC$28+T484*$AC$29+U484*$AC$30</f>
        <v/>
      </c>
      <c r="W484" s="8">
        <f>1/(1+EXP(-V484))</f>
        <v/>
      </c>
      <c r="X484" s="9">
        <f>-IF(C484=1,LN(W484),LN(1-W484))</f>
        <v/>
      </c>
      <c r="Y484" s="10">
        <f>IF(W484&gt;$AC$33,1,0)</f>
        <v/>
      </c>
      <c r="Z484">
        <f>IF(Y484=C484,1,0)</f>
        <v/>
      </c>
    </row>
    <row r="485">
      <c r="A485">
        <f>'1 datos preparados'!A478</f>
        <v/>
      </c>
      <c r="B485" s="5">
        <f>'1 datos preparados'!U478</f>
        <v/>
      </c>
      <c r="C485">
        <f>'1 datos preparados'!B478</f>
        <v/>
      </c>
      <c r="D485" s="7">
        <f>'1 datos preparados'!C478</f>
        <v/>
      </c>
      <c r="E485" s="7">
        <f>'1 datos preparados'!D478</f>
        <v/>
      </c>
      <c r="F485" s="7">
        <f>'1 datos preparados'!E478</f>
        <v/>
      </c>
      <c r="G485" s="7">
        <f>'1 datos preparados'!F478</f>
        <v/>
      </c>
      <c r="H485" s="7">
        <f>'1 datos preparados'!G478</f>
        <v/>
      </c>
      <c r="I485" s="7">
        <f>'1 datos preparados'!H478</f>
        <v/>
      </c>
      <c r="J485" s="7">
        <f>'1 datos preparados'!I478</f>
        <v/>
      </c>
      <c r="K485" s="7">
        <f>'1 datos preparados'!J478</f>
        <v/>
      </c>
      <c r="L485" s="7">
        <f>'1 datos preparados'!K478</f>
        <v/>
      </c>
      <c r="M485" s="7">
        <f>'1 datos preparados'!L478</f>
        <v/>
      </c>
      <c r="N485" s="7">
        <f>'1 datos preparados'!M478</f>
        <v/>
      </c>
      <c r="O485" s="7">
        <f>'1 datos preparados'!N478</f>
        <v/>
      </c>
      <c r="P485" s="7">
        <f>'1 datos preparados'!O478</f>
        <v/>
      </c>
      <c r="Q485" s="7">
        <f>'1 datos preparados'!P478</f>
        <v/>
      </c>
      <c r="R485" s="7">
        <f>'1 datos preparados'!Q478</f>
        <v/>
      </c>
      <c r="S485" s="7">
        <f>'1 datos preparados'!R478</f>
        <v/>
      </c>
      <c r="T485" s="7">
        <f>'1 datos preparados'!S478</f>
        <v/>
      </c>
      <c r="U485" s="7">
        <f>'1 datos preparados'!T478</f>
        <v/>
      </c>
      <c r="V485" s="8">
        <f>$AC$12+D485*$AC$13+E485*$AC$14+F485*$AC$15+G485*$AC$16+H485*$AC$17+I485*$AC$18+J485*$AC$19+K485*$AC$20+L485*$AC$21+M485*$AC$22+N485*$AC$23+O485*$AC$24+P485*$AC$25+Q485*$AC$26+R485*$AC$27+S485*$AC$28+T485*$AC$29+U485*$AC$30</f>
        <v/>
      </c>
      <c r="W485" s="8">
        <f>1/(1+EXP(-V485))</f>
        <v/>
      </c>
      <c r="X485" s="9">
        <f>-IF(C485=1,LN(W485),LN(1-W485))</f>
        <v/>
      </c>
      <c r="Y485" s="10">
        <f>IF(W485&gt;$AC$33,1,0)</f>
        <v/>
      </c>
      <c r="Z485">
        <f>IF(Y485=C485,1,0)</f>
        <v/>
      </c>
    </row>
    <row r="486">
      <c r="A486">
        <f>'1 datos preparados'!A479</f>
        <v/>
      </c>
      <c r="B486" s="5">
        <f>'1 datos preparados'!U479</f>
        <v/>
      </c>
      <c r="C486">
        <f>'1 datos preparados'!B479</f>
        <v/>
      </c>
      <c r="D486" s="7">
        <f>'1 datos preparados'!C479</f>
        <v/>
      </c>
      <c r="E486" s="7">
        <f>'1 datos preparados'!D479</f>
        <v/>
      </c>
      <c r="F486" s="7">
        <f>'1 datos preparados'!E479</f>
        <v/>
      </c>
      <c r="G486" s="7">
        <f>'1 datos preparados'!F479</f>
        <v/>
      </c>
      <c r="H486" s="7">
        <f>'1 datos preparados'!G479</f>
        <v/>
      </c>
      <c r="I486" s="7">
        <f>'1 datos preparados'!H479</f>
        <v/>
      </c>
      <c r="J486" s="7">
        <f>'1 datos preparados'!I479</f>
        <v/>
      </c>
      <c r="K486" s="7">
        <f>'1 datos preparados'!J479</f>
        <v/>
      </c>
      <c r="L486" s="7">
        <f>'1 datos preparados'!K479</f>
        <v/>
      </c>
      <c r="M486" s="7">
        <f>'1 datos preparados'!L479</f>
        <v/>
      </c>
      <c r="N486" s="7">
        <f>'1 datos preparados'!M479</f>
        <v/>
      </c>
      <c r="O486" s="7">
        <f>'1 datos preparados'!N479</f>
        <v/>
      </c>
      <c r="P486" s="7">
        <f>'1 datos preparados'!O479</f>
        <v/>
      </c>
      <c r="Q486" s="7">
        <f>'1 datos preparados'!P479</f>
        <v/>
      </c>
      <c r="R486" s="7">
        <f>'1 datos preparados'!Q479</f>
        <v/>
      </c>
      <c r="S486" s="7">
        <f>'1 datos preparados'!R479</f>
        <v/>
      </c>
      <c r="T486" s="7">
        <f>'1 datos preparados'!S479</f>
        <v/>
      </c>
      <c r="U486" s="7">
        <f>'1 datos preparados'!T479</f>
        <v/>
      </c>
      <c r="V486" s="8">
        <f>$AC$12+D486*$AC$13+E486*$AC$14+F486*$AC$15+G486*$AC$16+H486*$AC$17+I486*$AC$18+J486*$AC$19+K486*$AC$20+L486*$AC$21+M486*$AC$22+N486*$AC$23+O486*$AC$24+P486*$AC$25+Q486*$AC$26+R486*$AC$27+S486*$AC$28+T486*$AC$29+U486*$AC$30</f>
        <v/>
      </c>
      <c r="W486" s="8">
        <f>1/(1+EXP(-V486))</f>
        <v/>
      </c>
      <c r="X486" s="9">
        <f>-IF(C486=1,LN(W486),LN(1-W486))</f>
        <v/>
      </c>
      <c r="Y486" s="10">
        <f>IF(W486&gt;$AC$33,1,0)</f>
        <v/>
      </c>
      <c r="Z486">
        <f>IF(Y486=C486,1,0)</f>
        <v/>
      </c>
    </row>
    <row r="487">
      <c r="A487">
        <f>'1 datos preparados'!A480</f>
        <v/>
      </c>
      <c r="B487" s="5">
        <f>'1 datos preparados'!U480</f>
        <v/>
      </c>
      <c r="C487">
        <f>'1 datos preparados'!B480</f>
        <v/>
      </c>
      <c r="D487" s="7">
        <f>'1 datos preparados'!C480</f>
        <v/>
      </c>
      <c r="E487" s="7">
        <f>'1 datos preparados'!D480</f>
        <v/>
      </c>
      <c r="F487" s="7">
        <f>'1 datos preparados'!E480</f>
        <v/>
      </c>
      <c r="G487" s="7">
        <f>'1 datos preparados'!F480</f>
        <v/>
      </c>
      <c r="H487" s="7">
        <f>'1 datos preparados'!G480</f>
        <v/>
      </c>
      <c r="I487" s="7">
        <f>'1 datos preparados'!H480</f>
        <v/>
      </c>
      <c r="J487" s="7">
        <f>'1 datos preparados'!I480</f>
        <v/>
      </c>
      <c r="K487" s="7">
        <f>'1 datos preparados'!J480</f>
        <v/>
      </c>
      <c r="L487" s="7">
        <f>'1 datos preparados'!K480</f>
        <v/>
      </c>
      <c r="M487" s="7">
        <f>'1 datos preparados'!L480</f>
        <v/>
      </c>
      <c r="N487" s="7">
        <f>'1 datos preparados'!M480</f>
        <v/>
      </c>
      <c r="O487" s="7">
        <f>'1 datos preparados'!N480</f>
        <v/>
      </c>
      <c r="P487" s="7">
        <f>'1 datos preparados'!O480</f>
        <v/>
      </c>
      <c r="Q487" s="7">
        <f>'1 datos preparados'!P480</f>
        <v/>
      </c>
      <c r="R487" s="7">
        <f>'1 datos preparados'!Q480</f>
        <v/>
      </c>
      <c r="S487" s="7">
        <f>'1 datos preparados'!R480</f>
        <v/>
      </c>
      <c r="T487" s="7">
        <f>'1 datos preparados'!S480</f>
        <v/>
      </c>
      <c r="U487" s="7">
        <f>'1 datos preparados'!T480</f>
        <v/>
      </c>
      <c r="V487" s="8">
        <f>$AC$12+D487*$AC$13+E487*$AC$14+F487*$AC$15+G487*$AC$16+H487*$AC$17+I487*$AC$18+J487*$AC$19+K487*$AC$20+L487*$AC$21+M487*$AC$22+N487*$AC$23+O487*$AC$24+P487*$AC$25+Q487*$AC$26+R487*$AC$27+S487*$AC$28+T487*$AC$29+U487*$AC$30</f>
        <v/>
      </c>
      <c r="W487" s="8">
        <f>1/(1+EXP(-V487))</f>
        <v/>
      </c>
      <c r="X487" s="9">
        <f>-IF(C487=1,LN(W487),LN(1-W487))</f>
        <v/>
      </c>
      <c r="Y487" s="10">
        <f>IF(W487&gt;$AC$33,1,0)</f>
        <v/>
      </c>
      <c r="Z487">
        <f>IF(Y487=C487,1,0)</f>
        <v/>
      </c>
    </row>
    <row r="488">
      <c r="A488">
        <f>'1 datos preparados'!A481</f>
        <v/>
      </c>
      <c r="B488" s="5">
        <f>'1 datos preparados'!U481</f>
        <v/>
      </c>
      <c r="C488">
        <f>'1 datos preparados'!B481</f>
        <v/>
      </c>
      <c r="D488" s="7">
        <f>'1 datos preparados'!C481</f>
        <v/>
      </c>
      <c r="E488" s="7">
        <f>'1 datos preparados'!D481</f>
        <v/>
      </c>
      <c r="F488" s="7">
        <f>'1 datos preparados'!E481</f>
        <v/>
      </c>
      <c r="G488" s="7">
        <f>'1 datos preparados'!F481</f>
        <v/>
      </c>
      <c r="H488" s="7">
        <f>'1 datos preparados'!G481</f>
        <v/>
      </c>
      <c r="I488" s="7">
        <f>'1 datos preparados'!H481</f>
        <v/>
      </c>
      <c r="J488" s="7">
        <f>'1 datos preparados'!I481</f>
        <v/>
      </c>
      <c r="K488" s="7">
        <f>'1 datos preparados'!J481</f>
        <v/>
      </c>
      <c r="L488" s="7">
        <f>'1 datos preparados'!K481</f>
        <v/>
      </c>
      <c r="M488" s="7">
        <f>'1 datos preparados'!L481</f>
        <v/>
      </c>
      <c r="N488" s="7">
        <f>'1 datos preparados'!M481</f>
        <v/>
      </c>
      <c r="O488" s="7">
        <f>'1 datos preparados'!N481</f>
        <v/>
      </c>
      <c r="P488" s="7">
        <f>'1 datos preparados'!O481</f>
        <v/>
      </c>
      <c r="Q488" s="7">
        <f>'1 datos preparados'!P481</f>
        <v/>
      </c>
      <c r="R488" s="7">
        <f>'1 datos preparados'!Q481</f>
        <v/>
      </c>
      <c r="S488" s="7">
        <f>'1 datos preparados'!R481</f>
        <v/>
      </c>
      <c r="T488" s="7">
        <f>'1 datos preparados'!S481</f>
        <v/>
      </c>
      <c r="U488" s="7">
        <f>'1 datos preparados'!T481</f>
        <v/>
      </c>
      <c r="V488" s="8">
        <f>$AC$12+D488*$AC$13+E488*$AC$14+F488*$AC$15+G488*$AC$16+H488*$AC$17+I488*$AC$18+J488*$AC$19+K488*$AC$20+L488*$AC$21+M488*$AC$22+N488*$AC$23+O488*$AC$24+P488*$AC$25+Q488*$AC$26+R488*$AC$27+S488*$AC$28+T488*$AC$29+U488*$AC$30</f>
        <v/>
      </c>
      <c r="W488" s="8">
        <f>1/(1+EXP(-V488))</f>
        <v/>
      </c>
      <c r="X488" s="9">
        <f>-IF(C488=1,LN(W488),LN(1-W488))</f>
        <v/>
      </c>
      <c r="Y488" s="10">
        <f>IF(W488&gt;$AC$33,1,0)</f>
        <v/>
      </c>
      <c r="Z488">
        <f>IF(Y488=C488,1,0)</f>
        <v/>
      </c>
    </row>
    <row r="489">
      <c r="A489">
        <f>'1 datos preparados'!A482</f>
        <v/>
      </c>
      <c r="B489" s="5">
        <f>'1 datos preparados'!U482</f>
        <v/>
      </c>
      <c r="C489">
        <f>'1 datos preparados'!B482</f>
        <v/>
      </c>
      <c r="D489" s="7">
        <f>'1 datos preparados'!C482</f>
        <v/>
      </c>
      <c r="E489" s="7">
        <f>'1 datos preparados'!D482</f>
        <v/>
      </c>
      <c r="F489" s="7">
        <f>'1 datos preparados'!E482</f>
        <v/>
      </c>
      <c r="G489" s="7">
        <f>'1 datos preparados'!F482</f>
        <v/>
      </c>
      <c r="H489" s="7">
        <f>'1 datos preparados'!G482</f>
        <v/>
      </c>
      <c r="I489" s="7">
        <f>'1 datos preparados'!H482</f>
        <v/>
      </c>
      <c r="J489" s="7">
        <f>'1 datos preparados'!I482</f>
        <v/>
      </c>
      <c r="K489" s="7">
        <f>'1 datos preparados'!J482</f>
        <v/>
      </c>
      <c r="L489" s="7">
        <f>'1 datos preparados'!K482</f>
        <v/>
      </c>
      <c r="M489" s="7">
        <f>'1 datos preparados'!L482</f>
        <v/>
      </c>
      <c r="N489" s="7">
        <f>'1 datos preparados'!M482</f>
        <v/>
      </c>
      <c r="O489" s="7">
        <f>'1 datos preparados'!N482</f>
        <v/>
      </c>
      <c r="P489" s="7">
        <f>'1 datos preparados'!O482</f>
        <v/>
      </c>
      <c r="Q489" s="7">
        <f>'1 datos preparados'!P482</f>
        <v/>
      </c>
      <c r="R489" s="7">
        <f>'1 datos preparados'!Q482</f>
        <v/>
      </c>
      <c r="S489" s="7">
        <f>'1 datos preparados'!R482</f>
        <v/>
      </c>
      <c r="T489" s="7">
        <f>'1 datos preparados'!S482</f>
        <v/>
      </c>
      <c r="U489" s="7">
        <f>'1 datos preparados'!T482</f>
        <v/>
      </c>
      <c r="V489" s="8">
        <f>$AC$12+D489*$AC$13+E489*$AC$14+F489*$AC$15+G489*$AC$16+H489*$AC$17+I489*$AC$18+J489*$AC$19+K489*$AC$20+L489*$AC$21+M489*$AC$22+N489*$AC$23+O489*$AC$24+P489*$AC$25+Q489*$AC$26+R489*$AC$27+S489*$AC$28+T489*$AC$29+U489*$AC$30</f>
        <v/>
      </c>
      <c r="W489" s="8">
        <f>1/(1+EXP(-V489))</f>
        <v/>
      </c>
      <c r="X489" s="9">
        <f>-IF(C489=1,LN(W489),LN(1-W489))</f>
        <v/>
      </c>
      <c r="Y489" s="10">
        <f>IF(W489&gt;$AC$33,1,0)</f>
        <v/>
      </c>
      <c r="Z489">
        <f>IF(Y489=C489,1,0)</f>
        <v/>
      </c>
    </row>
    <row r="490">
      <c r="A490">
        <f>'1 datos preparados'!A483</f>
        <v/>
      </c>
      <c r="B490" s="5">
        <f>'1 datos preparados'!U483</f>
        <v/>
      </c>
      <c r="C490">
        <f>'1 datos preparados'!B483</f>
        <v/>
      </c>
      <c r="D490" s="7">
        <f>'1 datos preparados'!C483</f>
        <v/>
      </c>
      <c r="E490" s="7">
        <f>'1 datos preparados'!D483</f>
        <v/>
      </c>
      <c r="F490" s="7">
        <f>'1 datos preparados'!E483</f>
        <v/>
      </c>
      <c r="G490" s="7">
        <f>'1 datos preparados'!F483</f>
        <v/>
      </c>
      <c r="H490" s="7">
        <f>'1 datos preparados'!G483</f>
        <v/>
      </c>
      <c r="I490" s="7">
        <f>'1 datos preparados'!H483</f>
        <v/>
      </c>
      <c r="J490" s="7">
        <f>'1 datos preparados'!I483</f>
        <v/>
      </c>
      <c r="K490" s="7">
        <f>'1 datos preparados'!J483</f>
        <v/>
      </c>
      <c r="L490" s="7">
        <f>'1 datos preparados'!K483</f>
        <v/>
      </c>
      <c r="M490" s="7">
        <f>'1 datos preparados'!L483</f>
        <v/>
      </c>
      <c r="N490" s="7">
        <f>'1 datos preparados'!M483</f>
        <v/>
      </c>
      <c r="O490" s="7">
        <f>'1 datos preparados'!N483</f>
        <v/>
      </c>
      <c r="P490" s="7">
        <f>'1 datos preparados'!O483</f>
        <v/>
      </c>
      <c r="Q490" s="7">
        <f>'1 datos preparados'!P483</f>
        <v/>
      </c>
      <c r="R490" s="7">
        <f>'1 datos preparados'!Q483</f>
        <v/>
      </c>
      <c r="S490" s="7">
        <f>'1 datos preparados'!R483</f>
        <v/>
      </c>
      <c r="T490" s="7">
        <f>'1 datos preparados'!S483</f>
        <v/>
      </c>
      <c r="U490" s="7">
        <f>'1 datos preparados'!T483</f>
        <v/>
      </c>
      <c r="V490" s="8">
        <f>$AC$12+D490*$AC$13+E490*$AC$14+F490*$AC$15+G490*$AC$16+H490*$AC$17+I490*$AC$18+J490*$AC$19+K490*$AC$20+L490*$AC$21+M490*$AC$22+N490*$AC$23+O490*$AC$24+P490*$AC$25+Q490*$AC$26+R490*$AC$27+S490*$AC$28+T490*$AC$29+U490*$AC$30</f>
        <v/>
      </c>
      <c r="W490" s="8">
        <f>1/(1+EXP(-V490))</f>
        <v/>
      </c>
      <c r="X490" s="9">
        <f>-IF(C490=1,LN(W490),LN(1-W490))</f>
        <v/>
      </c>
      <c r="Y490" s="10">
        <f>IF(W490&gt;$AC$33,1,0)</f>
        <v/>
      </c>
      <c r="Z490">
        <f>IF(Y490=C490,1,0)</f>
        <v/>
      </c>
    </row>
    <row r="491">
      <c r="A491">
        <f>'1 datos preparados'!A484</f>
        <v/>
      </c>
      <c r="B491" s="5">
        <f>'1 datos preparados'!U484</f>
        <v/>
      </c>
      <c r="C491">
        <f>'1 datos preparados'!B484</f>
        <v/>
      </c>
      <c r="D491" s="7">
        <f>'1 datos preparados'!C484</f>
        <v/>
      </c>
      <c r="E491" s="7">
        <f>'1 datos preparados'!D484</f>
        <v/>
      </c>
      <c r="F491" s="7">
        <f>'1 datos preparados'!E484</f>
        <v/>
      </c>
      <c r="G491" s="7">
        <f>'1 datos preparados'!F484</f>
        <v/>
      </c>
      <c r="H491" s="7">
        <f>'1 datos preparados'!G484</f>
        <v/>
      </c>
      <c r="I491" s="7">
        <f>'1 datos preparados'!H484</f>
        <v/>
      </c>
      <c r="J491" s="7">
        <f>'1 datos preparados'!I484</f>
        <v/>
      </c>
      <c r="K491" s="7">
        <f>'1 datos preparados'!J484</f>
        <v/>
      </c>
      <c r="L491" s="7">
        <f>'1 datos preparados'!K484</f>
        <v/>
      </c>
      <c r="M491" s="7">
        <f>'1 datos preparados'!L484</f>
        <v/>
      </c>
      <c r="N491" s="7">
        <f>'1 datos preparados'!M484</f>
        <v/>
      </c>
      <c r="O491" s="7">
        <f>'1 datos preparados'!N484</f>
        <v/>
      </c>
      <c r="P491" s="7">
        <f>'1 datos preparados'!O484</f>
        <v/>
      </c>
      <c r="Q491" s="7">
        <f>'1 datos preparados'!P484</f>
        <v/>
      </c>
      <c r="R491" s="7">
        <f>'1 datos preparados'!Q484</f>
        <v/>
      </c>
      <c r="S491" s="7">
        <f>'1 datos preparados'!R484</f>
        <v/>
      </c>
      <c r="T491" s="7">
        <f>'1 datos preparados'!S484</f>
        <v/>
      </c>
      <c r="U491" s="7">
        <f>'1 datos preparados'!T484</f>
        <v/>
      </c>
      <c r="V491" s="8">
        <f>$AC$12+D491*$AC$13+E491*$AC$14+F491*$AC$15+G491*$AC$16+H491*$AC$17+I491*$AC$18+J491*$AC$19+K491*$AC$20+L491*$AC$21+M491*$AC$22+N491*$AC$23+O491*$AC$24+P491*$AC$25+Q491*$AC$26+R491*$AC$27+S491*$AC$28+T491*$AC$29+U491*$AC$30</f>
        <v/>
      </c>
      <c r="W491" s="8">
        <f>1/(1+EXP(-V491))</f>
        <v/>
      </c>
      <c r="X491" s="9">
        <f>-IF(C491=1,LN(W491),LN(1-W491))</f>
        <v/>
      </c>
      <c r="Y491" s="10">
        <f>IF(W491&gt;$AC$33,1,0)</f>
        <v/>
      </c>
      <c r="Z491">
        <f>IF(Y491=C491,1,0)</f>
        <v/>
      </c>
    </row>
    <row r="492">
      <c r="A492">
        <f>'1 datos preparados'!A485</f>
        <v/>
      </c>
      <c r="B492" s="5">
        <f>'1 datos preparados'!U485</f>
        <v/>
      </c>
      <c r="C492">
        <f>'1 datos preparados'!B485</f>
        <v/>
      </c>
      <c r="D492" s="7">
        <f>'1 datos preparados'!C485</f>
        <v/>
      </c>
      <c r="E492" s="7">
        <f>'1 datos preparados'!D485</f>
        <v/>
      </c>
      <c r="F492" s="7">
        <f>'1 datos preparados'!E485</f>
        <v/>
      </c>
      <c r="G492" s="7">
        <f>'1 datos preparados'!F485</f>
        <v/>
      </c>
      <c r="H492" s="7">
        <f>'1 datos preparados'!G485</f>
        <v/>
      </c>
      <c r="I492" s="7">
        <f>'1 datos preparados'!H485</f>
        <v/>
      </c>
      <c r="J492" s="7">
        <f>'1 datos preparados'!I485</f>
        <v/>
      </c>
      <c r="K492" s="7">
        <f>'1 datos preparados'!J485</f>
        <v/>
      </c>
      <c r="L492" s="7">
        <f>'1 datos preparados'!K485</f>
        <v/>
      </c>
      <c r="M492" s="7">
        <f>'1 datos preparados'!L485</f>
        <v/>
      </c>
      <c r="N492" s="7">
        <f>'1 datos preparados'!M485</f>
        <v/>
      </c>
      <c r="O492" s="7">
        <f>'1 datos preparados'!N485</f>
        <v/>
      </c>
      <c r="P492" s="7">
        <f>'1 datos preparados'!O485</f>
        <v/>
      </c>
      <c r="Q492" s="7">
        <f>'1 datos preparados'!P485</f>
        <v/>
      </c>
      <c r="R492" s="7">
        <f>'1 datos preparados'!Q485</f>
        <v/>
      </c>
      <c r="S492" s="7">
        <f>'1 datos preparados'!R485</f>
        <v/>
      </c>
      <c r="T492" s="7">
        <f>'1 datos preparados'!S485</f>
        <v/>
      </c>
      <c r="U492" s="7">
        <f>'1 datos preparados'!T485</f>
        <v/>
      </c>
      <c r="V492" s="8">
        <f>$AC$12+D492*$AC$13+E492*$AC$14+F492*$AC$15+G492*$AC$16+H492*$AC$17+I492*$AC$18+J492*$AC$19+K492*$AC$20+L492*$AC$21+M492*$AC$22+N492*$AC$23+O492*$AC$24+P492*$AC$25+Q492*$AC$26+R492*$AC$27+S492*$AC$28+T492*$AC$29+U492*$AC$30</f>
        <v/>
      </c>
      <c r="W492" s="8">
        <f>1/(1+EXP(-V492))</f>
        <v/>
      </c>
      <c r="X492" s="9">
        <f>-IF(C492=1,LN(W492),LN(1-W492))</f>
        <v/>
      </c>
      <c r="Y492" s="10">
        <f>IF(W492&gt;$AC$33,1,0)</f>
        <v/>
      </c>
      <c r="Z492">
        <f>IF(Y492=C492,1,0)</f>
        <v/>
      </c>
    </row>
    <row r="493">
      <c r="A493">
        <f>'1 datos preparados'!A486</f>
        <v/>
      </c>
      <c r="B493" s="5">
        <f>'1 datos preparados'!U486</f>
        <v/>
      </c>
      <c r="C493">
        <f>'1 datos preparados'!B486</f>
        <v/>
      </c>
      <c r="D493" s="7">
        <f>'1 datos preparados'!C486</f>
        <v/>
      </c>
      <c r="E493" s="7">
        <f>'1 datos preparados'!D486</f>
        <v/>
      </c>
      <c r="F493" s="7">
        <f>'1 datos preparados'!E486</f>
        <v/>
      </c>
      <c r="G493" s="7">
        <f>'1 datos preparados'!F486</f>
        <v/>
      </c>
      <c r="H493" s="7">
        <f>'1 datos preparados'!G486</f>
        <v/>
      </c>
      <c r="I493" s="7">
        <f>'1 datos preparados'!H486</f>
        <v/>
      </c>
      <c r="J493" s="7">
        <f>'1 datos preparados'!I486</f>
        <v/>
      </c>
      <c r="K493" s="7">
        <f>'1 datos preparados'!J486</f>
        <v/>
      </c>
      <c r="L493" s="7">
        <f>'1 datos preparados'!K486</f>
        <v/>
      </c>
      <c r="M493" s="7">
        <f>'1 datos preparados'!L486</f>
        <v/>
      </c>
      <c r="N493" s="7">
        <f>'1 datos preparados'!M486</f>
        <v/>
      </c>
      <c r="O493" s="7">
        <f>'1 datos preparados'!N486</f>
        <v/>
      </c>
      <c r="P493" s="7">
        <f>'1 datos preparados'!O486</f>
        <v/>
      </c>
      <c r="Q493" s="7">
        <f>'1 datos preparados'!P486</f>
        <v/>
      </c>
      <c r="R493" s="7">
        <f>'1 datos preparados'!Q486</f>
        <v/>
      </c>
      <c r="S493" s="7">
        <f>'1 datos preparados'!R486</f>
        <v/>
      </c>
      <c r="T493" s="7">
        <f>'1 datos preparados'!S486</f>
        <v/>
      </c>
      <c r="U493" s="7">
        <f>'1 datos preparados'!T486</f>
        <v/>
      </c>
      <c r="V493" s="8">
        <f>$AC$12+D493*$AC$13+E493*$AC$14+F493*$AC$15+G493*$AC$16+H493*$AC$17+I493*$AC$18+J493*$AC$19+K493*$AC$20+L493*$AC$21+M493*$AC$22+N493*$AC$23+O493*$AC$24+P493*$AC$25+Q493*$AC$26+R493*$AC$27+S493*$AC$28+T493*$AC$29+U493*$AC$30</f>
        <v/>
      </c>
      <c r="W493" s="8">
        <f>1/(1+EXP(-V493))</f>
        <v/>
      </c>
      <c r="X493" s="9">
        <f>-IF(C493=1,LN(W493),LN(1-W493))</f>
        <v/>
      </c>
      <c r="Y493" s="10">
        <f>IF(W493&gt;$AC$33,1,0)</f>
        <v/>
      </c>
      <c r="Z493">
        <f>IF(Y493=C493,1,0)</f>
        <v/>
      </c>
    </row>
    <row r="494">
      <c r="A494">
        <f>'1 datos preparados'!A487</f>
        <v/>
      </c>
      <c r="B494" s="5">
        <f>'1 datos preparados'!U487</f>
        <v/>
      </c>
      <c r="C494">
        <f>'1 datos preparados'!B487</f>
        <v/>
      </c>
      <c r="D494" s="7">
        <f>'1 datos preparados'!C487</f>
        <v/>
      </c>
      <c r="E494" s="7">
        <f>'1 datos preparados'!D487</f>
        <v/>
      </c>
      <c r="F494" s="7">
        <f>'1 datos preparados'!E487</f>
        <v/>
      </c>
      <c r="G494" s="7">
        <f>'1 datos preparados'!F487</f>
        <v/>
      </c>
      <c r="H494" s="7">
        <f>'1 datos preparados'!G487</f>
        <v/>
      </c>
      <c r="I494" s="7">
        <f>'1 datos preparados'!H487</f>
        <v/>
      </c>
      <c r="J494" s="7">
        <f>'1 datos preparados'!I487</f>
        <v/>
      </c>
      <c r="K494" s="7">
        <f>'1 datos preparados'!J487</f>
        <v/>
      </c>
      <c r="L494" s="7">
        <f>'1 datos preparados'!K487</f>
        <v/>
      </c>
      <c r="M494" s="7">
        <f>'1 datos preparados'!L487</f>
        <v/>
      </c>
      <c r="N494" s="7">
        <f>'1 datos preparados'!M487</f>
        <v/>
      </c>
      <c r="O494" s="7">
        <f>'1 datos preparados'!N487</f>
        <v/>
      </c>
      <c r="P494" s="7">
        <f>'1 datos preparados'!O487</f>
        <v/>
      </c>
      <c r="Q494" s="7">
        <f>'1 datos preparados'!P487</f>
        <v/>
      </c>
      <c r="R494" s="7">
        <f>'1 datos preparados'!Q487</f>
        <v/>
      </c>
      <c r="S494" s="7">
        <f>'1 datos preparados'!R487</f>
        <v/>
      </c>
      <c r="T494" s="7">
        <f>'1 datos preparados'!S487</f>
        <v/>
      </c>
      <c r="U494" s="7">
        <f>'1 datos preparados'!T487</f>
        <v/>
      </c>
      <c r="V494" s="8">
        <f>$AC$12+D494*$AC$13+E494*$AC$14+F494*$AC$15+G494*$AC$16+H494*$AC$17+I494*$AC$18+J494*$AC$19+K494*$AC$20+L494*$AC$21+M494*$AC$22+N494*$AC$23+O494*$AC$24+P494*$AC$25+Q494*$AC$26+R494*$AC$27+S494*$AC$28+T494*$AC$29+U494*$AC$30</f>
        <v/>
      </c>
      <c r="W494" s="8">
        <f>1/(1+EXP(-V494))</f>
        <v/>
      </c>
      <c r="X494" s="9">
        <f>-IF(C494=1,LN(W494),LN(1-W494))</f>
        <v/>
      </c>
      <c r="Y494" s="10">
        <f>IF(W494&gt;$AC$33,1,0)</f>
        <v/>
      </c>
      <c r="Z494">
        <f>IF(Y494=C494,1,0)</f>
        <v/>
      </c>
    </row>
    <row r="495">
      <c r="A495">
        <f>'1 datos preparados'!A488</f>
        <v/>
      </c>
      <c r="B495" s="5">
        <f>'1 datos preparados'!U488</f>
        <v/>
      </c>
      <c r="C495">
        <f>'1 datos preparados'!B488</f>
        <v/>
      </c>
      <c r="D495" s="7">
        <f>'1 datos preparados'!C488</f>
        <v/>
      </c>
      <c r="E495" s="7">
        <f>'1 datos preparados'!D488</f>
        <v/>
      </c>
      <c r="F495" s="7">
        <f>'1 datos preparados'!E488</f>
        <v/>
      </c>
      <c r="G495" s="7">
        <f>'1 datos preparados'!F488</f>
        <v/>
      </c>
      <c r="H495" s="7">
        <f>'1 datos preparados'!G488</f>
        <v/>
      </c>
      <c r="I495" s="7">
        <f>'1 datos preparados'!H488</f>
        <v/>
      </c>
      <c r="J495" s="7">
        <f>'1 datos preparados'!I488</f>
        <v/>
      </c>
      <c r="K495" s="7">
        <f>'1 datos preparados'!J488</f>
        <v/>
      </c>
      <c r="L495" s="7">
        <f>'1 datos preparados'!K488</f>
        <v/>
      </c>
      <c r="M495" s="7">
        <f>'1 datos preparados'!L488</f>
        <v/>
      </c>
      <c r="N495" s="7">
        <f>'1 datos preparados'!M488</f>
        <v/>
      </c>
      <c r="O495" s="7">
        <f>'1 datos preparados'!N488</f>
        <v/>
      </c>
      <c r="P495" s="7">
        <f>'1 datos preparados'!O488</f>
        <v/>
      </c>
      <c r="Q495" s="7">
        <f>'1 datos preparados'!P488</f>
        <v/>
      </c>
      <c r="R495" s="7">
        <f>'1 datos preparados'!Q488</f>
        <v/>
      </c>
      <c r="S495" s="7">
        <f>'1 datos preparados'!R488</f>
        <v/>
      </c>
      <c r="T495" s="7">
        <f>'1 datos preparados'!S488</f>
        <v/>
      </c>
      <c r="U495" s="7">
        <f>'1 datos preparados'!T488</f>
        <v/>
      </c>
      <c r="V495" s="8">
        <f>$AC$12+D495*$AC$13+E495*$AC$14+F495*$AC$15+G495*$AC$16+H495*$AC$17+I495*$AC$18+J495*$AC$19+K495*$AC$20+L495*$AC$21+M495*$AC$22+N495*$AC$23+O495*$AC$24+P495*$AC$25+Q495*$AC$26+R495*$AC$27+S495*$AC$28+T495*$AC$29+U495*$AC$30</f>
        <v/>
      </c>
      <c r="W495" s="8">
        <f>1/(1+EXP(-V495))</f>
        <v/>
      </c>
      <c r="X495" s="9">
        <f>-IF(C495=1,LN(W495),LN(1-W495))</f>
        <v/>
      </c>
      <c r="Y495" s="10">
        <f>IF(W495&gt;$AC$33,1,0)</f>
        <v/>
      </c>
      <c r="Z495">
        <f>IF(Y495=C495,1,0)</f>
        <v/>
      </c>
    </row>
    <row r="496">
      <c r="A496">
        <f>'1 datos preparados'!A489</f>
        <v/>
      </c>
      <c r="B496" s="5">
        <f>'1 datos preparados'!U489</f>
        <v/>
      </c>
      <c r="C496">
        <f>'1 datos preparados'!B489</f>
        <v/>
      </c>
      <c r="D496" s="7">
        <f>'1 datos preparados'!C489</f>
        <v/>
      </c>
      <c r="E496" s="7">
        <f>'1 datos preparados'!D489</f>
        <v/>
      </c>
      <c r="F496" s="7">
        <f>'1 datos preparados'!E489</f>
        <v/>
      </c>
      <c r="G496" s="7">
        <f>'1 datos preparados'!F489</f>
        <v/>
      </c>
      <c r="H496" s="7">
        <f>'1 datos preparados'!G489</f>
        <v/>
      </c>
      <c r="I496" s="7">
        <f>'1 datos preparados'!H489</f>
        <v/>
      </c>
      <c r="J496" s="7">
        <f>'1 datos preparados'!I489</f>
        <v/>
      </c>
      <c r="K496" s="7">
        <f>'1 datos preparados'!J489</f>
        <v/>
      </c>
      <c r="L496" s="7">
        <f>'1 datos preparados'!K489</f>
        <v/>
      </c>
      <c r="M496" s="7">
        <f>'1 datos preparados'!L489</f>
        <v/>
      </c>
      <c r="N496" s="7">
        <f>'1 datos preparados'!M489</f>
        <v/>
      </c>
      <c r="O496" s="7">
        <f>'1 datos preparados'!N489</f>
        <v/>
      </c>
      <c r="P496" s="7">
        <f>'1 datos preparados'!O489</f>
        <v/>
      </c>
      <c r="Q496" s="7">
        <f>'1 datos preparados'!P489</f>
        <v/>
      </c>
      <c r="R496" s="7">
        <f>'1 datos preparados'!Q489</f>
        <v/>
      </c>
      <c r="S496" s="7">
        <f>'1 datos preparados'!R489</f>
        <v/>
      </c>
      <c r="T496" s="7">
        <f>'1 datos preparados'!S489</f>
        <v/>
      </c>
      <c r="U496" s="7">
        <f>'1 datos preparados'!T489</f>
        <v/>
      </c>
      <c r="V496" s="8">
        <f>$AC$12+D496*$AC$13+E496*$AC$14+F496*$AC$15+G496*$AC$16+H496*$AC$17+I496*$AC$18+J496*$AC$19+K496*$AC$20+L496*$AC$21+M496*$AC$22+N496*$AC$23+O496*$AC$24+P496*$AC$25+Q496*$AC$26+R496*$AC$27+S496*$AC$28+T496*$AC$29+U496*$AC$30</f>
        <v/>
      </c>
      <c r="W496" s="8">
        <f>1/(1+EXP(-V496))</f>
        <v/>
      </c>
      <c r="X496" s="9">
        <f>-IF(C496=1,LN(W496),LN(1-W496))</f>
        <v/>
      </c>
      <c r="Y496" s="10">
        <f>IF(W496&gt;$AC$33,1,0)</f>
        <v/>
      </c>
      <c r="Z496">
        <f>IF(Y496=C496,1,0)</f>
        <v/>
      </c>
    </row>
    <row r="497">
      <c r="A497">
        <f>'1 datos preparados'!A490</f>
        <v/>
      </c>
      <c r="B497" s="5">
        <f>'1 datos preparados'!U490</f>
        <v/>
      </c>
      <c r="C497">
        <f>'1 datos preparados'!B490</f>
        <v/>
      </c>
      <c r="D497" s="7">
        <f>'1 datos preparados'!C490</f>
        <v/>
      </c>
      <c r="E497" s="7">
        <f>'1 datos preparados'!D490</f>
        <v/>
      </c>
      <c r="F497" s="7">
        <f>'1 datos preparados'!E490</f>
        <v/>
      </c>
      <c r="G497" s="7">
        <f>'1 datos preparados'!F490</f>
        <v/>
      </c>
      <c r="H497" s="7">
        <f>'1 datos preparados'!G490</f>
        <v/>
      </c>
      <c r="I497" s="7">
        <f>'1 datos preparados'!H490</f>
        <v/>
      </c>
      <c r="J497" s="7">
        <f>'1 datos preparados'!I490</f>
        <v/>
      </c>
      <c r="K497" s="7">
        <f>'1 datos preparados'!J490</f>
        <v/>
      </c>
      <c r="L497" s="7">
        <f>'1 datos preparados'!K490</f>
        <v/>
      </c>
      <c r="M497" s="7">
        <f>'1 datos preparados'!L490</f>
        <v/>
      </c>
      <c r="N497" s="7">
        <f>'1 datos preparados'!M490</f>
        <v/>
      </c>
      <c r="O497" s="7">
        <f>'1 datos preparados'!N490</f>
        <v/>
      </c>
      <c r="P497" s="7">
        <f>'1 datos preparados'!O490</f>
        <v/>
      </c>
      <c r="Q497" s="7">
        <f>'1 datos preparados'!P490</f>
        <v/>
      </c>
      <c r="R497" s="7">
        <f>'1 datos preparados'!Q490</f>
        <v/>
      </c>
      <c r="S497" s="7">
        <f>'1 datos preparados'!R490</f>
        <v/>
      </c>
      <c r="T497" s="7">
        <f>'1 datos preparados'!S490</f>
        <v/>
      </c>
      <c r="U497" s="7">
        <f>'1 datos preparados'!T490</f>
        <v/>
      </c>
      <c r="V497" s="8">
        <f>$AC$12+D497*$AC$13+E497*$AC$14+F497*$AC$15+G497*$AC$16+H497*$AC$17+I497*$AC$18+J497*$AC$19+K497*$AC$20+L497*$AC$21+M497*$AC$22+N497*$AC$23+O497*$AC$24+P497*$AC$25+Q497*$AC$26+R497*$AC$27+S497*$AC$28+T497*$AC$29+U497*$AC$30</f>
        <v/>
      </c>
      <c r="W497" s="8">
        <f>1/(1+EXP(-V497))</f>
        <v/>
      </c>
      <c r="X497" s="9">
        <f>-IF(C497=1,LN(W497),LN(1-W497))</f>
        <v/>
      </c>
      <c r="Y497" s="10">
        <f>IF(W497&gt;$AC$33,1,0)</f>
        <v/>
      </c>
      <c r="Z497">
        <f>IF(Y497=C497,1,0)</f>
        <v/>
      </c>
    </row>
    <row r="498">
      <c r="A498">
        <f>'1 datos preparados'!A491</f>
        <v/>
      </c>
      <c r="B498" s="5">
        <f>'1 datos preparados'!U491</f>
        <v/>
      </c>
      <c r="C498">
        <f>'1 datos preparados'!B491</f>
        <v/>
      </c>
      <c r="D498" s="7">
        <f>'1 datos preparados'!C491</f>
        <v/>
      </c>
      <c r="E498" s="7">
        <f>'1 datos preparados'!D491</f>
        <v/>
      </c>
      <c r="F498" s="7">
        <f>'1 datos preparados'!E491</f>
        <v/>
      </c>
      <c r="G498" s="7">
        <f>'1 datos preparados'!F491</f>
        <v/>
      </c>
      <c r="H498" s="7">
        <f>'1 datos preparados'!G491</f>
        <v/>
      </c>
      <c r="I498" s="7">
        <f>'1 datos preparados'!H491</f>
        <v/>
      </c>
      <c r="J498" s="7">
        <f>'1 datos preparados'!I491</f>
        <v/>
      </c>
      <c r="K498" s="7">
        <f>'1 datos preparados'!J491</f>
        <v/>
      </c>
      <c r="L498" s="7">
        <f>'1 datos preparados'!K491</f>
        <v/>
      </c>
      <c r="M498" s="7">
        <f>'1 datos preparados'!L491</f>
        <v/>
      </c>
      <c r="N498" s="7">
        <f>'1 datos preparados'!M491</f>
        <v/>
      </c>
      <c r="O498" s="7">
        <f>'1 datos preparados'!N491</f>
        <v/>
      </c>
      <c r="P498" s="7">
        <f>'1 datos preparados'!O491</f>
        <v/>
      </c>
      <c r="Q498" s="7">
        <f>'1 datos preparados'!P491</f>
        <v/>
      </c>
      <c r="R498" s="7">
        <f>'1 datos preparados'!Q491</f>
        <v/>
      </c>
      <c r="S498" s="7">
        <f>'1 datos preparados'!R491</f>
        <v/>
      </c>
      <c r="T498" s="7">
        <f>'1 datos preparados'!S491</f>
        <v/>
      </c>
      <c r="U498" s="7">
        <f>'1 datos preparados'!T491</f>
        <v/>
      </c>
      <c r="V498" s="8">
        <f>$AC$12+D498*$AC$13+E498*$AC$14+F498*$AC$15+G498*$AC$16+H498*$AC$17+I498*$AC$18+J498*$AC$19+K498*$AC$20+L498*$AC$21+M498*$AC$22+N498*$AC$23+O498*$AC$24+P498*$AC$25+Q498*$AC$26+R498*$AC$27+S498*$AC$28+T498*$AC$29+U498*$AC$30</f>
        <v/>
      </c>
      <c r="W498" s="8">
        <f>1/(1+EXP(-V498))</f>
        <v/>
      </c>
      <c r="X498" s="9">
        <f>-IF(C498=1,LN(W498),LN(1-W498))</f>
        <v/>
      </c>
      <c r="Y498" s="10">
        <f>IF(W498&gt;$AC$33,1,0)</f>
        <v/>
      </c>
      <c r="Z498">
        <f>IF(Y498=C498,1,0)</f>
        <v/>
      </c>
    </row>
    <row r="499">
      <c r="A499">
        <f>'1 datos preparados'!A492</f>
        <v/>
      </c>
      <c r="B499" s="5">
        <f>'1 datos preparados'!U492</f>
        <v/>
      </c>
      <c r="C499">
        <f>'1 datos preparados'!B492</f>
        <v/>
      </c>
      <c r="D499" s="7">
        <f>'1 datos preparados'!C492</f>
        <v/>
      </c>
      <c r="E499" s="7">
        <f>'1 datos preparados'!D492</f>
        <v/>
      </c>
      <c r="F499" s="7">
        <f>'1 datos preparados'!E492</f>
        <v/>
      </c>
      <c r="G499" s="7">
        <f>'1 datos preparados'!F492</f>
        <v/>
      </c>
      <c r="H499" s="7">
        <f>'1 datos preparados'!G492</f>
        <v/>
      </c>
      <c r="I499" s="7">
        <f>'1 datos preparados'!H492</f>
        <v/>
      </c>
      <c r="J499" s="7">
        <f>'1 datos preparados'!I492</f>
        <v/>
      </c>
      <c r="K499" s="7">
        <f>'1 datos preparados'!J492</f>
        <v/>
      </c>
      <c r="L499" s="7">
        <f>'1 datos preparados'!K492</f>
        <v/>
      </c>
      <c r="M499" s="7">
        <f>'1 datos preparados'!L492</f>
        <v/>
      </c>
      <c r="N499" s="7">
        <f>'1 datos preparados'!M492</f>
        <v/>
      </c>
      <c r="O499" s="7">
        <f>'1 datos preparados'!N492</f>
        <v/>
      </c>
      <c r="P499" s="7">
        <f>'1 datos preparados'!O492</f>
        <v/>
      </c>
      <c r="Q499" s="7">
        <f>'1 datos preparados'!P492</f>
        <v/>
      </c>
      <c r="R499" s="7">
        <f>'1 datos preparados'!Q492</f>
        <v/>
      </c>
      <c r="S499" s="7">
        <f>'1 datos preparados'!R492</f>
        <v/>
      </c>
      <c r="T499" s="7">
        <f>'1 datos preparados'!S492</f>
        <v/>
      </c>
      <c r="U499" s="7">
        <f>'1 datos preparados'!T492</f>
        <v/>
      </c>
      <c r="V499" s="8">
        <f>$AC$12+D499*$AC$13+E499*$AC$14+F499*$AC$15+G499*$AC$16+H499*$AC$17+I499*$AC$18+J499*$AC$19+K499*$AC$20+L499*$AC$21+M499*$AC$22+N499*$AC$23+O499*$AC$24+P499*$AC$25+Q499*$AC$26+R499*$AC$27+S499*$AC$28+T499*$AC$29+U499*$AC$30</f>
        <v/>
      </c>
      <c r="W499" s="8">
        <f>1/(1+EXP(-V499))</f>
        <v/>
      </c>
      <c r="X499" s="9">
        <f>-IF(C499=1,LN(W499),LN(1-W499))</f>
        <v/>
      </c>
      <c r="Y499" s="10">
        <f>IF(W499&gt;$AC$33,1,0)</f>
        <v/>
      </c>
      <c r="Z499">
        <f>IF(Y499=C499,1,0)</f>
        <v/>
      </c>
    </row>
    <row r="500">
      <c r="A500">
        <f>'1 datos preparados'!A493</f>
        <v/>
      </c>
      <c r="B500" s="5">
        <f>'1 datos preparados'!U493</f>
        <v/>
      </c>
      <c r="C500">
        <f>'1 datos preparados'!B493</f>
        <v/>
      </c>
      <c r="D500" s="7">
        <f>'1 datos preparados'!C493</f>
        <v/>
      </c>
      <c r="E500" s="7">
        <f>'1 datos preparados'!D493</f>
        <v/>
      </c>
      <c r="F500" s="7">
        <f>'1 datos preparados'!E493</f>
        <v/>
      </c>
      <c r="G500" s="7">
        <f>'1 datos preparados'!F493</f>
        <v/>
      </c>
      <c r="H500" s="7">
        <f>'1 datos preparados'!G493</f>
        <v/>
      </c>
      <c r="I500" s="7">
        <f>'1 datos preparados'!H493</f>
        <v/>
      </c>
      <c r="J500" s="7">
        <f>'1 datos preparados'!I493</f>
        <v/>
      </c>
      <c r="K500" s="7">
        <f>'1 datos preparados'!J493</f>
        <v/>
      </c>
      <c r="L500" s="7">
        <f>'1 datos preparados'!K493</f>
        <v/>
      </c>
      <c r="M500" s="7">
        <f>'1 datos preparados'!L493</f>
        <v/>
      </c>
      <c r="N500" s="7">
        <f>'1 datos preparados'!M493</f>
        <v/>
      </c>
      <c r="O500" s="7">
        <f>'1 datos preparados'!N493</f>
        <v/>
      </c>
      <c r="P500" s="7">
        <f>'1 datos preparados'!O493</f>
        <v/>
      </c>
      <c r="Q500" s="7">
        <f>'1 datos preparados'!P493</f>
        <v/>
      </c>
      <c r="R500" s="7">
        <f>'1 datos preparados'!Q493</f>
        <v/>
      </c>
      <c r="S500" s="7">
        <f>'1 datos preparados'!R493</f>
        <v/>
      </c>
      <c r="T500" s="7">
        <f>'1 datos preparados'!S493</f>
        <v/>
      </c>
      <c r="U500" s="7">
        <f>'1 datos preparados'!T493</f>
        <v/>
      </c>
      <c r="V500" s="8">
        <f>$AC$12+D500*$AC$13+E500*$AC$14+F500*$AC$15+G500*$AC$16+H500*$AC$17+I500*$AC$18+J500*$AC$19+K500*$AC$20+L500*$AC$21+M500*$AC$22+N500*$AC$23+O500*$AC$24+P500*$AC$25+Q500*$AC$26+R500*$AC$27+S500*$AC$28+T500*$AC$29+U500*$AC$30</f>
        <v/>
      </c>
      <c r="W500" s="8">
        <f>1/(1+EXP(-V500))</f>
        <v/>
      </c>
      <c r="X500" s="9">
        <f>-IF(C500=1,LN(W500),LN(1-W500))</f>
        <v/>
      </c>
      <c r="Y500" s="10">
        <f>IF(W500&gt;$AC$33,1,0)</f>
        <v/>
      </c>
      <c r="Z500">
        <f>IF(Y500=C500,1,0)</f>
        <v/>
      </c>
    </row>
    <row r="501">
      <c r="A501">
        <f>'1 datos preparados'!A494</f>
        <v/>
      </c>
      <c r="B501" s="5">
        <f>'1 datos preparados'!U494</f>
        <v/>
      </c>
      <c r="C501">
        <f>'1 datos preparados'!B494</f>
        <v/>
      </c>
      <c r="D501" s="7">
        <f>'1 datos preparados'!C494</f>
        <v/>
      </c>
      <c r="E501" s="7">
        <f>'1 datos preparados'!D494</f>
        <v/>
      </c>
      <c r="F501" s="7">
        <f>'1 datos preparados'!E494</f>
        <v/>
      </c>
      <c r="G501" s="7">
        <f>'1 datos preparados'!F494</f>
        <v/>
      </c>
      <c r="H501" s="7">
        <f>'1 datos preparados'!G494</f>
        <v/>
      </c>
      <c r="I501" s="7">
        <f>'1 datos preparados'!H494</f>
        <v/>
      </c>
      <c r="J501" s="7">
        <f>'1 datos preparados'!I494</f>
        <v/>
      </c>
      <c r="K501" s="7">
        <f>'1 datos preparados'!J494</f>
        <v/>
      </c>
      <c r="L501" s="7">
        <f>'1 datos preparados'!K494</f>
        <v/>
      </c>
      <c r="M501" s="7">
        <f>'1 datos preparados'!L494</f>
        <v/>
      </c>
      <c r="N501" s="7">
        <f>'1 datos preparados'!M494</f>
        <v/>
      </c>
      <c r="O501" s="7">
        <f>'1 datos preparados'!N494</f>
        <v/>
      </c>
      <c r="P501" s="7">
        <f>'1 datos preparados'!O494</f>
        <v/>
      </c>
      <c r="Q501" s="7">
        <f>'1 datos preparados'!P494</f>
        <v/>
      </c>
      <c r="R501" s="7">
        <f>'1 datos preparados'!Q494</f>
        <v/>
      </c>
      <c r="S501" s="7">
        <f>'1 datos preparados'!R494</f>
        <v/>
      </c>
      <c r="T501" s="7">
        <f>'1 datos preparados'!S494</f>
        <v/>
      </c>
      <c r="U501" s="7">
        <f>'1 datos preparados'!T494</f>
        <v/>
      </c>
      <c r="V501" s="8">
        <f>$AC$12+D501*$AC$13+E501*$AC$14+F501*$AC$15+G501*$AC$16+H501*$AC$17+I501*$AC$18+J501*$AC$19+K501*$AC$20+L501*$AC$21+M501*$AC$22+N501*$AC$23+O501*$AC$24+P501*$AC$25+Q501*$AC$26+R501*$AC$27+S501*$AC$28+T501*$AC$29+U501*$AC$30</f>
        <v/>
      </c>
      <c r="W501" s="8">
        <f>1/(1+EXP(-V501))</f>
        <v/>
      </c>
      <c r="X501" s="9">
        <f>-IF(C501=1,LN(W501),LN(1-W501))</f>
        <v/>
      </c>
      <c r="Y501" s="10">
        <f>IF(W501&gt;$AC$33,1,0)</f>
        <v/>
      </c>
      <c r="Z501">
        <f>IF(Y501=C501,1,0)</f>
        <v/>
      </c>
    </row>
    <row r="502">
      <c r="A502">
        <f>'1 datos preparados'!A495</f>
        <v/>
      </c>
      <c r="B502" s="5">
        <f>'1 datos preparados'!U495</f>
        <v/>
      </c>
      <c r="C502">
        <f>'1 datos preparados'!B495</f>
        <v/>
      </c>
      <c r="D502" s="7">
        <f>'1 datos preparados'!C495</f>
        <v/>
      </c>
      <c r="E502" s="7">
        <f>'1 datos preparados'!D495</f>
        <v/>
      </c>
      <c r="F502" s="7">
        <f>'1 datos preparados'!E495</f>
        <v/>
      </c>
      <c r="G502" s="7">
        <f>'1 datos preparados'!F495</f>
        <v/>
      </c>
      <c r="H502" s="7">
        <f>'1 datos preparados'!G495</f>
        <v/>
      </c>
      <c r="I502" s="7">
        <f>'1 datos preparados'!H495</f>
        <v/>
      </c>
      <c r="J502" s="7">
        <f>'1 datos preparados'!I495</f>
        <v/>
      </c>
      <c r="K502" s="7">
        <f>'1 datos preparados'!J495</f>
        <v/>
      </c>
      <c r="L502" s="7">
        <f>'1 datos preparados'!K495</f>
        <v/>
      </c>
      <c r="M502" s="7">
        <f>'1 datos preparados'!L495</f>
        <v/>
      </c>
      <c r="N502" s="7">
        <f>'1 datos preparados'!M495</f>
        <v/>
      </c>
      <c r="O502" s="7">
        <f>'1 datos preparados'!N495</f>
        <v/>
      </c>
      <c r="P502" s="7">
        <f>'1 datos preparados'!O495</f>
        <v/>
      </c>
      <c r="Q502" s="7">
        <f>'1 datos preparados'!P495</f>
        <v/>
      </c>
      <c r="R502" s="7">
        <f>'1 datos preparados'!Q495</f>
        <v/>
      </c>
      <c r="S502" s="7">
        <f>'1 datos preparados'!R495</f>
        <v/>
      </c>
      <c r="T502" s="7">
        <f>'1 datos preparados'!S495</f>
        <v/>
      </c>
      <c r="U502" s="7">
        <f>'1 datos preparados'!T495</f>
        <v/>
      </c>
      <c r="V502" s="8">
        <f>$AC$12+D502*$AC$13+E502*$AC$14+F502*$AC$15+G502*$AC$16+H502*$AC$17+I502*$AC$18+J502*$AC$19+K502*$AC$20+L502*$AC$21+M502*$AC$22+N502*$AC$23+O502*$AC$24+P502*$AC$25+Q502*$AC$26+R502*$AC$27+S502*$AC$28+T502*$AC$29+U502*$AC$30</f>
        <v/>
      </c>
      <c r="W502" s="8">
        <f>1/(1+EXP(-V502))</f>
        <v/>
      </c>
      <c r="X502" s="9">
        <f>-IF(C502=1,LN(W502),LN(1-W502))</f>
        <v/>
      </c>
      <c r="Y502" s="10">
        <f>IF(W502&gt;$AC$33,1,0)</f>
        <v/>
      </c>
      <c r="Z502">
        <f>IF(Y502=C502,1,0)</f>
        <v/>
      </c>
    </row>
    <row r="503">
      <c r="A503">
        <f>'1 datos preparados'!A496</f>
        <v/>
      </c>
      <c r="B503" s="5">
        <f>'1 datos preparados'!U496</f>
        <v/>
      </c>
      <c r="C503">
        <f>'1 datos preparados'!B496</f>
        <v/>
      </c>
      <c r="D503" s="7">
        <f>'1 datos preparados'!C496</f>
        <v/>
      </c>
      <c r="E503" s="7">
        <f>'1 datos preparados'!D496</f>
        <v/>
      </c>
      <c r="F503" s="7">
        <f>'1 datos preparados'!E496</f>
        <v/>
      </c>
      <c r="G503" s="7">
        <f>'1 datos preparados'!F496</f>
        <v/>
      </c>
      <c r="H503" s="7">
        <f>'1 datos preparados'!G496</f>
        <v/>
      </c>
      <c r="I503" s="7">
        <f>'1 datos preparados'!H496</f>
        <v/>
      </c>
      <c r="J503" s="7">
        <f>'1 datos preparados'!I496</f>
        <v/>
      </c>
      <c r="K503" s="7">
        <f>'1 datos preparados'!J496</f>
        <v/>
      </c>
      <c r="L503" s="7">
        <f>'1 datos preparados'!K496</f>
        <v/>
      </c>
      <c r="M503" s="7">
        <f>'1 datos preparados'!L496</f>
        <v/>
      </c>
      <c r="N503" s="7">
        <f>'1 datos preparados'!M496</f>
        <v/>
      </c>
      <c r="O503" s="7">
        <f>'1 datos preparados'!N496</f>
        <v/>
      </c>
      <c r="P503" s="7">
        <f>'1 datos preparados'!O496</f>
        <v/>
      </c>
      <c r="Q503" s="7">
        <f>'1 datos preparados'!P496</f>
        <v/>
      </c>
      <c r="R503" s="7">
        <f>'1 datos preparados'!Q496</f>
        <v/>
      </c>
      <c r="S503" s="7">
        <f>'1 datos preparados'!R496</f>
        <v/>
      </c>
      <c r="T503" s="7">
        <f>'1 datos preparados'!S496</f>
        <v/>
      </c>
      <c r="U503" s="7">
        <f>'1 datos preparados'!T496</f>
        <v/>
      </c>
      <c r="V503" s="8">
        <f>$AC$12+D503*$AC$13+E503*$AC$14+F503*$AC$15+G503*$AC$16+H503*$AC$17+I503*$AC$18+J503*$AC$19+K503*$AC$20+L503*$AC$21+M503*$AC$22+N503*$AC$23+O503*$AC$24+P503*$AC$25+Q503*$AC$26+R503*$AC$27+S503*$AC$28+T503*$AC$29+U503*$AC$30</f>
        <v/>
      </c>
      <c r="W503" s="8">
        <f>1/(1+EXP(-V503))</f>
        <v/>
      </c>
      <c r="X503" s="9">
        <f>-IF(C503=1,LN(W503),LN(1-W503))</f>
        <v/>
      </c>
      <c r="Y503" s="10">
        <f>IF(W503&gt;$AC$33,1,0)</f>
        <v/>
      </c>
      <c r="Z503">
        <f>IF(Y503=C503,1,0)</f>
        <v/>
      </c>
    </row>
    <row r="504">
      <c r="A504">
        <f>'1 datos preparados'!A497</f>
        <v/>
      </c>
      <c r="B504" s="5">
        <f>'1 datos preparados'!U497</f>
        <v/>
      </c>
      <c r="C504">
        <f>'1 datos preparados'!B497</f>
        <v/>
      </c>
      <c r="D504" s="7">
        <f>'1 datos preparados'!C497</f>
        <v/>
      </c>
      <c r="E504" s="7">
        <f>'1 datos preparados'!D497</f>
        <v/>
      </c>
      <c r="F504" s="7">
        <f>'1 datos preparados'!E497</f>
        <v/>
      </c>
      <c r="G504" s="7">
        <f>'1 datos preparados'!F497</f>
        <v/>
      </c>
      <c r="H504" s="7">
        <f>'1 datos preparados'!G497</f>
        <v/>
      </c>
      <c r="I504" s="7">
        <f>'1 datos preparados'!H497</f>
        <v/>
      </c>
      <c r="J504" s="7">
        <f>'1 datos preparados'!I497</f>
        <v/>
      </c>
      <c r="K504" s="7">
        <f>'1 datos preparados'!J497</f>
        <v/>
      </c>
      <c r="L504" s="7">
        <f>'1 datos preparados'!K497</f>
        <v/>
      </c>
      <c r="M504" s="7">
        <f>'1 datos preparados'!L497</f>
        <v/>
      </c>
      <c r="N504" s="7">
        <f>'1 datos preparados'!M497</f>
        <v/>
      </c>
      <c r="O504" s="7">
        <f>'1 datos preparados'!N497</f>
        <v/>
      </c>
      <c r="P504" s="7">
        <f>'1 datos preparados'!O497</f>
        <v/>
      </c>
      <c r="Q504" s="7">
        <f>'1 datos preparados'!P497</f>
        <v/>
      </c>
      <c r="R504" s="7">
        <f>'1 datos preparados'!Q497</f>
        <v/>
      </c>
      <c r="S504" s="7">
        <f>'1 datos preparados'!R497</f>
        <v/>
      </c>
      <c r="T504" s="7">
        <f>'1 datos preparados'!S497</f>
        <v/>
      </c>
      <c r="U504" s="7">
        <f>'1 datos preparados'!T497</f>
        <v/>
      </c>
      <c r="V504" s="8">
        <f>$AC$12+D504*$AC$13+E504*$AC$14+F504*$AC$15+G504*$AC$16+H504*$AC$17+I504*$AC$18+J504*$AC$19+K504*$AC$20+L504*$AC$21+M504*$AC$22+N504*$AC$23+O504*$AC$24+P504*$AC$25+Q504*$AC$26+R504*$AC$27+S504*$AC$28+T504*$AC$29+U504*$AC$30</f>
        <v/>
      </c>
      <c r="W504" s="8">
        <f>1/(1+EXP(-V504))</f>
        <v/>
      </c>
      <c r="X504" s="9">
        <f>-IF(C504=1,LN(W504),LN(1-W504))</f>
        <v/>
      </c>
      <c r="Y504" s="10">
        <f>IF(W504&gt;$AC$33,1,0)</f>
        <v/>
      </c>
      <c r="Z504">
        <f>IF(Y504=C504,1,0)</f>
        <v/>
      </c>
    </row>
    <row r="505">
      <c r="A505">
        <f>'1 datos preparados'!A498</f>
        <v/>
      </c>
      <c r="B505" s="5">
        <f>'1 datos preparados'!U498</f>
        <v/>
      </c>
      <c r="C505">
        <f>'1 datos preparados'!B498</f>
        <v/>
      </c>
      <c r="D505" s="7">
        <f>'1 datos preparados'!C498</f>
        <v/>
      </c>
      <c r="E505" s="7">
        <f>'1 datos preparados'!D498</f>
        <v/>
      </c>
      <c r="F505" s="7">
        <f>'1 datos preparados'!E498</f>
        <v/>
      </c>
      <c r="G505" s="7">
        <f>'1 datos preparados'!F498</f>
        <v/>
      </c>
      <c r="H505" s="7">
        <f>'1 datos preparados'!G498</f>
        <v/>
      </c>
      <c r="I505" s="7">
        <f>'1 datos preparados'!H498</f>
        <v/>
      </c>
      <c r="J505" s="7">
        <f>'1 datos preparados'!I498</f>
        <v/>
      </c>
      <c r="K505" s="7">
        <f>'1 datos preparados'!J498</f>
        <v/>
      </c>
      <c r="L505" s="7">
        <f>'1 datos preparados'!K498</f>
        <v/>
      </c>
      <c r="M505" s="7">
        <f>'1 datos preparados'!L498</f>
        <v/>
      </c>
      <c r="N505" s="7">
        <f>'1 datos preparados'!M498</f>
        <v/>
      </c>
      <c r="O505" s="7">
        <f>'1 datos preparados'!N498</f>
        <v/>
      </c>
      <c r="P505" s="7">
        <f>'1 datos preparados'!O498</f>
        <v/>
      </c>
      <c r="Q505" s="7">
        <f>'1 datos preparados'!P498</f>
        <v/>
      </c>
      <c r="R505" s="7">
        <f>'1 datos preparados'!Q498</f>
        <v/>
      </c>
      <c r="S505" s="7">
        <f>'1 datos preparados'!R498</f>
        <v/>
      </c>
      <c r="T505" s="7">
        <f>'1 datos preparados'!S498</f>
        <v/>
      </c>
      <c r="U505" s="7">
        <f>'1 datos preparados'!T498</f>
        <v/>
      </c>
      <c r="V505" s="8">
        <f>$AC$12+D505*$AC$13+E505*$AC$14+F505*$AC$15+G505*$AC$16+H505*$AC$17+I505*$AC$18+J505*$AC$19+K505*$AC$20+L505*$AC$21+M505*$AC$22+N505*$AC$23+O505*$AC$24+P505*$AC$25+Q505*$AC$26+R505*$AC$27+S505*$AC$28+T505*$AC$29+U505*$AC$30</f>
        <v/>
      </c>
      <c r="W505" s="8">
        <f>1/(1+EXP(-V505))</f>
        <v/>
      </c>
      <c r="X505" s="9">
        <f>-IF(C505=1,LN(W505),LN(1-W505))</f>
        <v/>
      </c>
      <c r="Y505" s="10">
        <f>IF(W505&gt;$AC$33,1,0)</f>
        <v/>
      </c>
      <c r="Z505">
        <f>IF(Y505=C505,1,0)</f>
        <v/>
      </c>
    </row>
    <row r="506">
      <c r="A506">
        <f>'1 datos preparados'!A499</f>
        <v/>
      </c>
      <c r="B506" s="5">
        <f>'1 datos preparados'!U499</f>
        <v/>
      </c>
      <c r="C506">
        <f>'1 datos preparados'!B499</f>
        <v/>
      </c>
      <c r="D506" s="7">
        <f>'1 datos preparados'!C499</f>
        <v/>
      </c>
      <c r="E506" s="7">
        <f>'1 datos preparados'!D499</f>
        <v/>
      </c>
      <c r="F506" s="7">
        <f>'1 datos preparados'!E499</f>
        <v/>
      </c>
      <c r="G506" s="7">
        <f>'1 datos preparados'!F499</f>
        <v/>
      </c>
      <c r="H506" s="7">
        <f>'1 datos preparados'!G499</f>
        <v/>
      </c>
      <c r="I506" s="7">
        <f>'1 datos preparados'!H499</f>
        <v/>
      </c>
      <c r="J506" s="7">
        <f>'1 datos preparados'!I499</f>
        <v/>
      </c>
      <c r="K506" s="7">
        <f>'1 datos preparados'!J499</f>
        <v/>
      </c>
      <c r="L506" s="7">
        <f>'1 datos preparados'!K499</f>
        <v/>
      </c>
      <c r="M506" s="7">
        <f>'1 datos preparados'!L499</f>
        <v/>
      </c>
      <c r="N506" s="7">
        <f>'1 datos preparados'!M499</f>
        <v/>
      </c>
      <c r="O506" s="7">
        <f>'1 datos preparados'!N499</f>
        <v/>
      </c>
      <c r="P506" s="7">
        <f>'1 datos preparados'!O499</f>
        <v/>
      </c>
      <c r="Q506" s="7">
        <f>'1 datos preparados'!P499</f>
        <v/>
      </c>
      <c r="R506" s="7">
        <f>'1 datos preparados'!Q499</f>
        <v/>
      </c>
      <c r="S506" s="7">
        <f>'1 datos preparados'!R499</f>
        <v/>
      </c>
      <c r="T506" s="7">
        <f>'1 datos preparados'!S499</f>
        <v/>
      </c>
      <c r="U506" s="7">
        <f>'1 datos preparados'!T499</f>
        <v/>
      </c>
      <c r="V506" s="8">
        <f>$AC$12+D506*$AC$13+E506*$AC$14+F506*$AC$15+G506*$AC$16+H506*$AC$17+I506*$AC$18+J506*$AC$19+K506*$AC$20+L506*$AC$21+M506*$AC$22+N506*$AC$23+O506*$AC$24+P506*$AC$25+Q506*$AC$26+R506*$AC$27+S506*$AC$28+T506*$AC$29+U506*$AC$30</f>
        <v/>
      </c>
      <c r="W506" s="8">
        <f>1/(1+EXP(-V506))</f>
        <v/>
      </c>
      <c r="X506" s="9">
        <f>-IF(C506=1,LN(W506),LN(1-W506))</f>
        <v/>
      </c>
      <c r="Y506" s="10">
        <f>IF(W506&gt;$AC$33,1,0)</f>
        <v/>
      </c>
      <c r="Z506">
        <f>IF(Y506=C506,1,0)</f>
        <v/>
      </c>
    </row>
    <row r="507">
      <c r="A507">
        <f>'1 datos preparados'!A500</f>
        <v/>
      </c>
      <c r="B507" s="5">
        <f>'1 datos preparados'!U500</f>
        <v/>
      </c>
      <c r="C507">
        <f>'1 datos preparados'!B500</f>
        <v/>
      </c>
      <c r="D507" s="7">
        <f>'1 datos preparados'!C500</f>
        <v/>
      </c>
      <c r="E507" s="7">
        <f>'1 datos preparados'!D500</f>
        <v/>
      </c>
      <c r="F507" s="7">
        <f>'1 datos preparados'!E500</f>
        <v/>
      </c>
      <c r="G507" s="7">
        <f>'1 datos preparados'!F500</f>
        <v/>
      </c>
      <c r="H507" s="7">
        <f>'1 datos preparados'!G500</f>
        <v/>
      </c>
      <c r="I507" s="7">
        <f>'1 datos preparados'!H500</f>
        <v/>
      </c>
      <c r="J507" s="7">
        <f>'1 datos preparados'!I500</f>
        <v/>
      </c>
      <c r="K507" s="7">
        <f>'1 datos preparados'!J500</f>
        <v/>
      </c>
      <c r="L507" s="7">
        <f>'1 datos preparados'!K500</f>
        <v/>
      </c>
      <c r="M507" s="7">
        <f>'1 datos preparados'!L500</f>
        <v/>
      </c>
      <c r="N507" s="7">
        <f>'1 datos preparados'!M500</f>
        <v/>
      </c>
      <c r="O507" s="7">
        <f>'1 datos preparados'!N500</f>
        <v/>
      </c>
      <c r="P507" s="7">
        <f>'1 datos preparados'!O500</f>
        <v/>
      </c>
      <c r="Q507" s="7">
        <f>'1 datos preparados'!P500</f>
        <v/>
      </c>
      <c r="R507" s="7">
        <f>'1 datos preparados'!Q500</f>
        <v/>
      </c>
      <c r="S507" s="7">
        <f>'1 datos preparados'!R500</f>
        <v/>
      </c>
      <c r="T507" s="7">
        <f>'1 datos preparados'!S500</f>
        <v/>
      </c>
      <c r="U507" s="7">
        <f>'1 datos preparados'!T500</f>
        <v/>
      </c>
      <c r="V507" s="8">
        <f>$AC$12+D507*$AC$13+E507*$AC$14+F507*$AC$15+G507*$AC$16+H507*$AC$17+I507*$AC$18+J507*$AC$19+K507*$AC$20+L507*$AC$21+M507*$AC$22+N507*$AC$23+O507*$AC$24+P507*$AC$25+Q507*$AC$26+R507*$AC$27+S507*$AC$28+T507*$AC$29+U507*$AC$30</f>
        <v/>
      </c>
      <c r="W507" s="8">
        <f>1/(1+EXP(-V507))</f>
        <v/>
      </c>
      <c r="X507" s="9">
        <f>-IF(C507=1,LN(W507),LN(1-W507))</f>
        <v/>
      </c>
      <c r="Y507" s="10">
        <f>IF(W507&gt;$AC$33,1,0)</f>
        <v/>
      </c>
      <c r="Z507">
        <f>IF(Y507=C507,1,0)</f>
        <v/>
      </c>
    </row>
    <row r="508">
      <c r="A508">
        <f>'1 datos preparados'!A501</f>
        <v/>
      </c>
      <c r="B508" s="5">
        <f>'1 datos preparados'!U501</f>
        <v/>
      </c>
      <c r="C508">
        <f>'1 datos preparados'!B501</f>
        <v/>
      </c>
      <c r="D508" s="7">
        <f>'1 datos preparados'!C501</f>
        <v/>
      </c>
      <c r="E508" s="7">
        <f>'1 datos preparados'!D501</f>
        <v/>
      </c>
      <c r="F508" s="7">
        <f>'1 datos preparados'!E501</f>
        <v/>
      </c>
      <c r="G508" s="7">
        <f>'1 datos preparados'!F501</f>
        <v/>
      </c>
      <c r="H508" s="7">
        <f>'1 datos preparados'!G501</f>
        <v/>
      </c>
      <c r="I508" s="7">
        <f>'1 datos preparados'!H501</f>
        <v/>
      </c>
      <c r="J508" s="7">
        <f>'1 datos preparados'!I501</f>
        <v/>
      </c>
      <c r="K508" s="7">
        <f>'1 datos preparados'!J501</f>
        <v/>
      </c>
      <c r="L508" s="7">
        <f>'1 datos preparados'!K501</f>
        <v/>
      </c>
      <c r="M508" s="7">
        <f>'1 datos preparados'!L501</f>
        <v/>
      </c>
      <c r="N508" s="7">
        <f>'1 datos preparados'!M501</f>
        <v/>
      </c>
      <c r="O508" s="7">
        <f>'1 datos preparados'!N501</f>
        <v/>
      </c>
      <c r="P508" s="7">
        <f>'1 datos preparados'!O501</f>
        <v/>
      </c>
      <c r="Q508" s="7">
        <f>'1 datos preparados'!P501</f>
        <v/>
      </c>
      <c r="R508" s="7">
        <f>'1 datos preparados'!Q501</f>
        <v/>
      </c>
      <c r="S508" s="7">
        <f>'1 datos preparados'!R501</f>
        <v/>
      </c>
      <c r="T508" s="7">
        <f>'1 datos preparados'!S501</f>
        <v/>
      </c>
      <c r="U508" s="7">
        <f>'1 datos preparados'!T501</f>
        <v/>
      </c>
      <c r="V508" s="8">
        <f>$AC$12+D508*$AC$13+E508*$AC$14+F508*$AC$15+G508*$AC$16+H508*$AC$17+I508*$AC$18+J508*$AC$19+K508*$AC$20+L508*$AC$21+M508*$AC$22+N508*$AC$23+O508*$AC$24+P508*$AC$25+Q508*$AC$26+R508*$AC$27+S508*$AC$28+T508*$AC$29+U508*$AC$30</f>
        <v/>
      </c>
      <c r="W508" s="8">
        <f>1/(1+EXP(-V508))</f>
        <v/>
      </c>
      <c r="X508" s="9">
        <f>-IF(C508=1,LN(W508),LN(1-W508))</f>
        <v/>
      </c>
      <c r="Y508" s="10">
        <f>IF(W508&gt;$AC$33,1,0)</f>
        <v/>
      </c>
      <c r="Z508">
        <f>IF(Y508=C508,1,0)</f>
        <v/>
      </c>
    </row>
    <row r="509">
      <c r="A509">
        <f>'1 datos preparados'!A502</f>
        <v/>
      </c>
      <c r="B509" s="5">
        <f>'1 datos preparados'!U502</f>
        <v/>
      </c>
      <c r="C509">
        <f>'1 datos preparados'!B502</f>
        <v/>
      </c>
      <c r="D509" s="7">
        <f>'1 datos preparados'!C502</f>
        <v/>
      </c>
      <c r="E509" s="7">
        <f>'1 datos preparados'!D502</f>
        <v/>
      </c>
      <c r="F509" s="7">
        <f>'1 datos preparados'!E502</f>
        <v/>
      </c>
      <c r="G509" s="7">
        <f>'1 datos preparados'!F502</f>
        <v/>
      </c>
      <c r="H509" s="7">
        <f>'1 datos preparados'!G502</f>
        <v/>
      </c>
      <c r="I509" s="7">
        <f>'1 datos preparados'!H502</f>
        <v/>
      </c>
      <c r="J509" s="7">
        <f>'1 datos preparados'!I502</f>
        <v/>
      </c>
      <c r="K509" s="7">
        <f>'1 datos preparados'!J502</f>
        <v/>
      </c>
      <c r="L509" s="7">
        <f>'1 datos preparados'!K502</f>
        <v/>
      </c>
      <c r="M509" s="7">
        <f>'1 datos preparados'!L502</f>
        <v/>
      </c>
      <c r="N509" s="7">
        <f>'1 datos preparados'!M502</f>
        <v/>
      </c>
      <c r="O509" s="7">
        <f>'1 datos preparados'!N502</f>
        <v/>
      </c>
      <c r="P509" s="7">
        <f>'1 datos preparados'!O502</f>
        <v/>
      </c>
      <c r="Q509" s="7">
        <f>'1 datos preparados'!P502</f>
        <v/>
      </c>
      <c r="R509" s="7">
        <f>'1 datos preparados'!Q502</f>
        <v/>
      </c>
      <c r="S509" s="7">
        <f>'1 datos preparados'!R502</f>
        <v/>
      </c>
      <c r="T509" s="7">
        <f>'1 datos preparados'!S502</f>
        <v/>
      </c>
      <c r="U509" s="7">
        <f>'1 datos preparados'!T502</f>
        <v/>
      </c>
      <c r="V509" s="8">
        <f>$AC$12+D509*$AC$13+E509*$AC$14+F509*$AC$15+G509*$AC$16+H509*$AC$17+I509*$AC$18+J509*$AC$19+K509*$AC$20+L509*$AC$21+M509*$AC$22+N509*$AC$23+O509*$AC$24+P509*$AC$25+Q509*$AC$26+R509*$AC$27+S509*$AC$28+T509*$AC$29+U509*$AC$30</f>
        <v/>
      </c>
      <c r="W509" s="8">
        <f>1/(1+EXP(-V509))</f>
        <v/>
      </c>
      <c r="X509" s="9">
        <f>-IF(C509=1,LN(W509),LN(1-W509))</f>
        <v/>
      </c>
      <c r="Y509" s="10">
        <f>IF(W509&gt;$AC$33,1,0)</f>
        <v/>
      </c>
      <c r="Z509">
        <f>IF(Y509=C509,1,0)</f>
        <v/>
      </c>
    </row>
    <row r="510">
      <c r="A510">
        <f>'1 datos preparados'!A503</f>
        <v/>
      </c>
      <c r="B510" s="5">
        <f>'1 datos preparados'!U503</f>
        <v/>
      </c>
      <c r="C510">
        <f>'1 datos preparados'!B503</f>
        <v/>
      </c>
      <c r="D510" s="7">
        <f>'1 datos preparados'!C503</f>
        <v/>
      </c>
      <c r="E510" s="7">
        <f>'1 datos preparados'!D503</f>
        <v/>
      </c>
      <c r="F510" s="7">
        <f>'1 datos preparados'!E503</f>
        <v/>
      </c>
      <c r="G510" s="7">
        <f>'1 datos preparados'!F503</f>
        <v/>
      </c>
      <c r="H510" s="7">
        <f>'1 datos preparados'!G503</f>
        <v/>
      </c>
      <c r="I510" s="7">
        <f>'1 datos preparados'!H503</f>
        <v/>
      </c>
      <c r="J510" s="7">
        <f>'1 datos preparados'!I503</f>
        <v/>
      </c>
      <c r="K510" s="7">
        <f>'1 datos preparados'!J503</f>
        <v/>
      </c>
      <c r="L510" s="7">
        <f>'1 datos preparados'!K503</f>
        <v/>
      </c>
      <c r="M510" s="7">
        <f>'1 datos preparados'!L503</f>
        <v/>
      </c>
      <c r="N510" s="7">
        <f>'1 datos preparados'!M503</f>
        <v/>
      </c>
      <c r="O510" s="7">
        <f>'1 datos preparados'!N503</f>
        <v/>
      </c>
      <c r="P510" s="7">
        <f>'1 datos preparados'!O503</f>
        <v/>
      </c>
      <c r="Q510" s="7">
        <f>'1 datos preparados'!P503</f>
        <v/>
      </c>
      <c r="R510" s="7">
        <f>'1 datos preparados'!Q503</f>
        <v/>
      </c>
      <c r="S510" s="7">
        <f>'1 datos preparados'!R503</f>
        <v/>
      </c>
      <c r="T510" s="7">
        <f>'1 datos preparados'!S503</f>
        <v/>
      </c>
      <c r="U510" s="7">
        <f>'1 datos preparados'!T503</f>
        <v/>
      </c>
      <c r="V510" s="8">
        <f>$AC$12+D510*$AC$13+E510*$AC$14+F510*$AC$15+G510*$AC$16+H510*$AC$17+I510*$AC$18+J510*$AC$19+K510*$AC$20+L510*$AC$21+M510*$AC$22+N510*$AC$23+O510*$AC$24+P510*$AC$25+Q510*$AC$26+R510*$AC$27+S510*$AC$28+T510*$AC$29+U510*$AC$30</f>
        <v/>
      </c>
      <c r="W510" s="8">
        <f>1/(1+EXP(-V510))</f>
        <v/>
      </c>
      <c r="X510" s="9">
        <f>-IF(C510=1,LN(W510),LN(1-W510))</f>
        <v/>
      </c>
      <c r="Y510" s="10">
        <f>IF(W510&gt;$AC$33,1,0)</f>
        <v/>
      </c>
      <c r="Z510">
        <f>IF(Y510=C510,1,0)</f>
        <v/>
      </c>
    </row>
    <row r="511">
      <c r="A511">
        <f>'1 datos preparados'!A504</f>
        <v/>
      </c>
      <c r="B511" s="5">
        <f>'1 datos preparados'!U504</f>
        <v/>
      </c>
      <c r="C511">
        <f>'1 datos preparados'!B504</f>
        <v/>
      </c>
      <c r="D511" s="7">
        <f>'1 datos preparados'!C504</f>
        <v/>
      </c>
      <c r="E511" s="7">
        <f>'1 datos preparados'!D504</f>
        <v/>
      </c>
      <c r="F511" s="7">
        <f>'1 datos preparados'!E504</f>
        <v/>
      </c>
      <c r="G511" s="7">
        <f>'1 datos preparados'!F504</f>
        <v/>
      </c>
      <c r="H511" s="7">
        <f>'1 datos preparados'!G504</f>
        <v/>
      </c>
      <c r="I511" s="7">
        <f>'1 datos preparados'!H504</f>
        <v/>
      </c>
      <c r="J511" s="7">
        <f>'1 datos preparados'!I504</f>
        <v/>
      </c>
      <c r="K511" s="7">
        <f>'1 datos preparados'!J504</f>
        <v/>
      </c>
      <c r="L511" s="7">
        <f>'1 datos preparados'!K504</f>
        <v/>
      </c>
      <c r="M511" s="7">
        <f>'1 datos preparados'!L504</f>
        <v/>
      </c>
      <c r="N511" s="7">
        <f>'1 datos preparados'!M504</f>
        <v/>
      </c>
      <c r="O511" s="7">
        <f>'1 datos preparados'!N504</f>
        <v/>
      </c>
      <c r="P511" s="7">
        <f>'1 datos preparados'!O504</f>
        <v/>
      </c>
      <c r="Q511" s="7">
        <f>'1 datos preparados'!P504</f>
        <v/>
      </c>
      <c r="R511" s="7">
        <f>'1 datos preparados'!Q504</f>
        <v/>
      </c>
      <c r="S511" s="7">
        <f>'1 datos preparados'!R504</f>
        <v/>
      </c>
      <c r="T511" s="7">
        <f>'1 datos preparados'!S504</f>
        <v/>
      </c>
      <c r="U511" s="7">
        <f>'1 datos preparados'!T504</f>
        <v/>
      </c>
      <c r="V511" s="8">
        <f>$AC$12+D511*$AC$13+E511*$AC$14+F511*$AC$15+G511*$AC$16+H511*$AC$17+I511*$AC$18+J511*$AC$19+K511*$AC$20+L511*$AC$21+M511*$AC$22+N511*$AC$23+O511*$AC$24+P511*$AC$25+Q511*$AC$26+R511*$AC$27+S511*$AC$28+T511*$AC$29+U511*$AC$30</f>
        <v/>
      </c>
      <c r="W511" s="8">
        <f>1/(1+EXP(-V511))</f>
        <v/>
      </c>
      <c r="X511" s="9">
        <f>-IF(C511=1,LN(W511),LN(1-W511))</f>
        <v/>
      </c>
      <c r="Y511" s="10">
        <f>IF(W511&gt;$AC$33,1,0)</f>
        <v/>
      </c>
      <c r="Z511">
        <f>IF(Y511=C511,1,0)</f>
        <v/>
      </c>
    </row>
    <row r="512">
      <c r="A512">
        <f>'1 datos preparados'!A505</f>
        <v/>
      </c>
      <c r="B512" s="5">
        <f>'1 datos preparados'!U505</f>
        <v/>
      </c>
      <c r="C512">
        <f>'1 datos preparados'!B505</f>
        <v/>
      </c>
      <c r="D512" s="7">
        <f>'1 datos preparados'!C505</f>
        <v/>
      </c>
      <c r="E512" s="7">
        <f>'1 datos preparados'!D505</f>
        <v/>
      </c>
      <c r="F512" s="7">
        <f>'1 datos preparados'!E505</f>
        <v/>
      </c>
      <c r="G512" s="7">
        <f>'1 datos preparados'!F505</f>
        <v/>
      </c>
      <c r="H512" s="7">
        <f>'1 datos preparados'!G505</f>
        <v/>
      </c>
      <c r="I512" s="7">
        <f>'1 datos preparados'!H505</f>
        <v/>
      </c>
      <c r="J512" s="7">
        <f>'1 datos preparados'!I505</f>
        <v/>
      </c>
      <c r="K512" s="7">
        <f>'1 datos preparados'!J505</f>
        <v/>
      </c>
      <c r="L512" s="7">
        <f>'1 datos preparados'!K505</f>
        <v/>
      </c>
      <c r="M512" s="7">
        <f>'1 datos preparados'!L505</f>
        <v/>
      </c>
      <c r="N512" s="7">
        <f>'1 datos preparados'!M505</f>
        <v/>
      </c>
      <c r="O512" s="7">
        <f>'1 datos preparados'!N505</f>
        <v/>
      </c>
      <c r="P512" s="7">
        <f>'1 datos preparados'!O505</f>
        <v/>
      </c>
      <c r="Q512" s="7">
        <f>'1 datos preparados'!P505</f>
        <v/>
      </c>
      <c r="R512" s="7">
        <f>'1 datos preparados'!Q505</f>
        <v/>
      </c>
      <c r="S512" s="7">
        <f>'1 datos preparados'!R505</f>
        <v/>
      </c>
      <c r="T512" s="7">
        <f>'1 datos preparados'!S505</f>
        <v/>
      </c>
      <c r="U512" s="7">
        <f>'1 datos preparados'!T505</f>
        <v/>
      </c>
      <c r="V512" s="8">
        <f>$AC$12+D512*$AC$13+E512*$AC$14+F512*$AC$15+G512*$AC$16+H512*$AC$17+I512*$AC$18+J512*$AC$19+K512*$AC$20+L512*$AC$21+M512*$AC$22+N512*$AC$23+O512*$AC$24+P512*$AC$25+Q512*$AC$26+R512*$AC$27+S512*$AC$28+T512*$AC$29+U512*$AC$30</f>
        <v/>
      </c>
      <c r="W512" s="8">
        <f>1/(1+EXP(-V512))</f>
        <v/>
      </c>
      <c r="X512" s="9">
        <f>-IF(C512=1,LN(W512),LN(1-W512))</f>
        <v/>
      </c>
      <c r="Y512" s="10">
        <f>IF(W512&gt;$AC$33,1,0)</f>
        <v/>
      </c>
      <c r="Z512">
        <f>IF(Y512=C512,1,0)</f>
        <v/>
      </c>
    </row>
    <row r="513">
      <c r="A513">
        <f>'1 datos preparados'!A506</f>
        <v/>
      </c>
      <c r="B513" s="5">
        <f>'1 datos preparados'!U506</f>
        <v/>
      </c>
      <c r="C513">
        <f>'1 datos preparados'!B506</f>
        <v/>
      </c>
      <c r="D513" s="7">
        <f>'1 datos preparados'!C506</f>
        <v/>
      </c>
      <c r="E513" s="7">
        <f>'1 datos preparados'!D506</f>
        <v/>
      </c>
      <c r="F513" s="7">
        <f>'1 datos preparados'!E506</f>
        <v/>
      </c>
      <c r="G513" s="7">
        <f>'1 datos preparados'!F506</f>
        <v/>
      </c>
      <c r="H513" s="7">
        <f>'1 datos preparados'!G506</f>
        <v/>
      </c>
      <c r="I513" s="7">
        <f>'1 datos preparados'!H506</f>
        <v/>
      </c>
      <c r="J513" s="7">
        <f>'1 datos preparados'!I506</f>
        <v/>
      </c>
      <c r="K513" s="7">
        <f>'1 datos preparados'!J506</f>
        <v/>
      </c>
      <c r="L513" s="7">
        <f>'1 datos preparados'!K506</f>
        <v/>
      </c>
      <c r="M513" s="7">
        <f>'1 datos preparados'!L506</f>
        <v/>
      </c>
      <c r="N513" s="7">
        <f>'1 datos preparados'!M506</f>
        <v/>
      </c>
      <c r="O513" s="7">
        <f>'1 datos preparados'!N506</f>
        <v/>
      </c>
      <c r="P513" s="7">
        <f>'1 datos preparados'!O506</f>
        <v/>
      </c>
      <c r="Q513" s="7">
        <f>'1 datos preparados'!P506</f>
        <v/>
      </c>
      <c r="R513" s="7">
        <f>'1 datos preparados'!Q506</f>
        <v/>
      </c>
      <c r="S513" s="7">
        <f>'1 datos preparados'!R506</f>
        <v/>
      </c>
      <c r="T513" s="7">
        <f>'1 datos preparados'!S506</f>
        <v/>
      </c>
      <c r="U513" s="7">
        <f>'1 datos preparados'!T506</f>
        <v/>
      </c>
      <c r="V513" s="8">
        <f>$AC$12+D513*$AC$13+E513*$AC$14+F513*$AC$15+G513*$AC$16+H513*$AC$17+I513*$AC$18+J513*$AC$19+K513*$AC$20+L513*$AC$21+M513*$AC$22+N513*$AC$23+O513*$AC$24+P513*$AC$25+Q513*$AC$26+R513*$AC$27+S513*$AC$28+T513*$AC$29+U513*$AC$30</f>
        <v/>
      </c>
      <c r="W513" s="8">
        <f>1/(1+EXP(-V513))</f>
        <v/>
      </c>
      <c r="X513" s="9">
        <f>-IF(C513=1,LN(W513),LN(1-W513))</f>
        <v/>
      </c>
      <c r="Y513" s="10">
        <f>IF(W513&gt;$AC$33,1,0)</f>
        <v/>
      </c>
      <c r="Z513">
        <f>IF(Y513=C513,1,0)</f>
        <v/>
      </c>
    </row>
    <row r="514">
      <c r="A514">
        <f>'1 datos preparados'!A507</f>
        <v/>
      </c>
      <c r="B514" s="5">
        <f>'1 datos preparados'!U507</f>
        <v/>
      </c>
      <c r="C514">
        <f>'1 datos preparados'!B507</f>
        <v/>
      </c>
      <c r="D514" s="7">
        <f>'1 datos preparados'!C507</f>
        <v/>
      </c>
      <c r="E514" s="7">
        <f>'1 datos preparados'!D507</f>
        <v/>
      </c>
      <c r="F514" s="7">
        <f>'1 datos preparados'!E507</f>
        <v/>
      </c>
      <c r="G514" s="7">
        <f>'1 datos preparados'!F507</f>
        <v/>
      </c>
      <c r="H514" s="7">
        <f>'1 datos preparados'!G507</f>
        <v/>
      </c>
      <c r="I514" s="7">
        <f>'1 datos preparados'!H507</f>
        <v/>
      </c>
      <c r="J514" s="7">
        <f>'1 datos preparados'!I507</f>
        <v/>
      </c>
      <c r="K514" s="7">
        <f>'1 datos preparados'!J507</f>
        <v/>
      </c>
      <c r="L514" s="7">
        <f>'1 datos preparados'!K507</f>
        <v/>
      </c>
      <c r="M514" s="7">
        <f>'1 datos preparados'!L507</f>
        <v/>
      </c>
      <c r="N514" s="7">
        <f>'1 datos preparados'!M507</f>
        <v/>
      </c>
      <c r="O514" s="7">
        <f>'1 datos preparados'!N507</f>
        <v/>
      </c>
      <c r="P514" s="7">
        <f>'1 datos preparados'!O507</f>
        <v/>
      </c>
      <c r="Q514" s="7">
        <f>'1 datos preparados'!P507</f>
        <v/>
      </c>
      <c r="R514" s="7">
        <f>'1 datos preparados'!Q507</f>
        <v/>
      </c>
      <c r="S514" s="7">
        <f>'1 datos preparados'!R507</f>
        <v/>
      </c>
      <c r="T514" s="7">
        <f>'1 datos preparados'!S507</f>
        <v/>
      </c>
      <c r="U514" s="7">
        <f>'1 datos preparados'!T507</f>
        <v/>
      </c>
      <c r="V514" s="8">
        <f>$AC$12+D514*$AC$13+E514*$AC$14+F514*$AC$15+G514*$AC$16+H514*$AC$17+I514*$AC$18+J514*$AC$19+K514*$AC$20+L514*$AC$21+M514*$AC$22+N514*$AC$23+O514*$AC$24+P514*$AC$25+Q514*$AC$26+R514*$AC$27+S514*$AC$28+T514*$AC$29+U514*$AC$30</f>
        <v/>
      </c>
      <c r="W514" s="8">
        <f>1/(1+EXP(-V514))</f>
        <v/>
      </c>
      <c r="X514" s="9">
        <f>-IF(C514=1,LN(W514),LN(1-W514))</f>
        <v/>
      </c>
      <c r="Y514" s="10">
        <f>IF(W514&gt;$AC$33,1,0)</f>
        <v/>
      </c>
      <c r="Z514">
        <f>IF(Y514=C514,1,0)</f>
        <v/>
      </c>
    </row>
    <row r="515">
      <c r="A515">
        <f>'1 datos preparados'!A508</f>
        <v/>
      </c>
      <c r="B515" s="5">
        <f>'1 datos preparados'!U508</f>
        <v/>
      </c>
      <c r="C515">
        <f>'1 datos preparados'!B508</f>
        <v/>
      </c>
      <c r="D515" s="7">
        <f>'1 datos preparados'!C508</f>
        <v/>
      </c>
      <c r="E515" s="7">
        <f>'1 datos preparados'!D508</f>
        <v/>
      </c>
      <c r="F515" s="7">
        <f>'1 datos preparados'!E508</f>
        <v/>
      </c>
      <c r="G515" s="7">
        <f>'1 datos preparados'!F508</f>
        <v/>
      </c>
      <c r="H515" s="7">
        <f>'1 datos preparados'!G508</f>
        <v/>
      </c>
      <c r="I515" s="7">
        <f>'1 datos preparados'!H508</f>
        <v/>
      </c>
      <c r="J515" s="7">
        <f>'1 datos preparados'!I508</f>
        <v/>
      </c>
      <c r="K515" s="7">
        <f>'1 datos preparados'!J508</f>
        <v/>
      </c>
      <c r="L515" s="7">
        <f>'1 datos preparados'!K508</f>
        <v/>
      </c>
      <c r="M515" s="7">
        <f>'1 datos preparados'!L508</f>
        <v/>
      </c>
      <c r="N515" s="7">
        <f>'1 datos preparados'!M508</f>
        <v/>
      </c>
      <c r="O515" s="7">
        <f>'1 datos preparados'!N508</f>
        <v/>
      </c>
      <c r="P515" s="7">
        <f>'1 datos preparados'!O508</f>
        <v/>
      </c>
      <c r="Q515" s="7">
        <f>'1 datos preparados'!P508</f>
        <v/>
      </c>
      <c r="R515" s="7">
        <f>'1 datos preparados'!Q508</f>
        <v/>
      </c>
      <c r="S515" s="7">
        <f>'1 datos preparados'!R508</f>
        <v/>
      </c>
      <c r="T515" s="7">
        <f>'1 datos preparados'!S508</f>
        <v/>
      </c>
      <c r="U515" s="7">
        <f>'1 datos preparados'!T508</f>
        <v/>
      </c>
      <c r="V515" s="8">
        <f>$AC$12+D515*$AC$13+E515*$AC$14+F515*$AC$15+G515*$AC$16+H515*$AC$17+I515*$AC$18+J515*$AC$19+K515*$AC$20+L515*$AC$21+M515*$AC$22+N515*$AC$23+O515*$AC$24+P515*$AC$25+Q515*$AC$26+R515*$AC$27+S515*$AC$28+T515*$AC$29+U515*$AC$30</f>
        <v/>
      </c>
      <c r="W515" s="8">
        <f>1/(1+EXP(-V515))</f>
        <v/>
      </c>
      <c r="X515" s="9">
        <f>-IF(C515=1,LN(W515),LN(1-W515))</f>
        <v/>
      </c>
      <c r="Y515" s="10">
        <f>IF(W515&gt;$AC$33,1,0)</f>
        <v/>
      </c>
      <c r="Z515">
        <f>IF(Y515=C515,1,0)</f>
        <v/>
      </c>
    </row>
    <row r="516">
      <c r="A516">
        <f>'1 datos preparados'!A509</f>
        <v/>
      </c>
      <c r="B516" s="5">
        <f>'1 datos preparados'!U509</f>
        <v/>
      </c>
      <c r="C516">
        <f>'1 datos preparados'!B509</f>
        <v/>
      </c>
      <c r="D516" s="7">
        <f>'1 datos preparados'!C509</f>
        <v/>
      </c>
      <c r="E516" s="7">
        <f>'1 datos preparados'!D509</f>
        <v/>
      </c>
      <c r="F516" s="7">
        <f>'1 datos preparados'!E509</f>
        <v/>
      </c>
      <c r="G516" s="7">
        <f>'1 datos preparados'!F509</f>
        <v/>
      </c>
      <c r="H516" s="7">
        <f>'1 datos preparados'!G509</f>
        <v/>
      </c>
      <c r="I516" s="7">
        <f>'1 datos preparados'!H509</f>
        <v/>
      </c>
      <c r="J516" s="7">
        <f>'1 datos preparados'!I509</f>
        <v/>
      </c>
      <c r="K516" s="7">
        <f>'1 datos preparados'!J509</f>
        <v/>
      </c>
      <c r="L516" s="7">
        <f>'1 datos preparados'!K509</f>
        <v/>
      </c>
      <c r="M516" s="7">
        <f>'1 datos preparados'!L509</f>
        <v/>
      </c>
      <c r="N516" s="7">
        <f>'1 datos preparados'!M509</f>
        <v/>
      </c>
      <c r="O516" s="7">
        <f>'1 datos preparados'!N509</f>
        <v/>
      </c>
      <c r="P516" s="7">
        <f>'1 datos preparados'!O509</f>
        <v/>
      </c>
      <c r="Q516" s="7">
        <f>'1 datos preparados'!P509</f>
        <v/>
      </c>
      <c r="R516" s="7">
        <f>'1 datos preparados'!Q509</f>
        <v/>
      </c>
      <c r="S516" s="7">
        <f>'1 datos preparados'!R509</f>
        <v/>
      </c>
      <c r="T516" s="7">
        <f>'1 datos preparados'!S509</f>
        <v/>
      </c>
      <c r="U516" s="7">
        <f>'1 datos preparados'!T509</f>
        <v/>
      </c>
      <c r="V516" s="8">
        <f>$AC$12+D516*$AC$13+E516*$AC$14+F516*$AC$15+G516*$AC$16+H516*$AC$17+I516*$AC$18+J516*$AC$19+K516*$AC$20+L516*$AC$21+M516*$AC$22+N516*$AC$23+O516*$AC$24+P516*$AC$25+Q516*$AC$26+R516*$AC$27+S516*$AC$28+T516*$AC$29+U516*$AC$30</f>
        <v/>
      </c>
      <c r="W516" s="8">
        <f>1/(1+EXP(-V516))</f>
        <v/>
      </c>
      <c r="X516" s="9">
        <f>-IF(C516=1,LN(W516),LN(1-W516))</f>
        <v/>
      </c>
      <c r="Y516" s="10">
        <f>IF(W516&gt;$AC$33,1,0)</f>
        <v/>
      </c>
      <c r="Z516">
        <f>IF(Y516=C516,1,0)</f>
        <v/>
      </c>
    </row>
    <row r="517">
      <c r="A517">
        <f>'1 datos preparados'!A510</f>
        <v/>
      </c>
      <c r="B517" s="5">
        <f>'1 datos preparados'!U510</f>
        <v/>
      </c>
      <c r="C517">
        <f>'1 datos preparados'!B510</f>
        <v/>
      </c>
      <c r="D517" s="7">
        <f>'1 datos preparados'!C510</f>
        <v/>
      </c>
      <c r="E517" s="7">
        <f>'1 datos preparados'!D510</f>
        <v/>
      </c>
      <c r="F517" s="7">
        <f>'1 datos preparados'!E510</f>
        <v/>
      </c>
      <c r="G517" s="7">
        <f>'1 datos preparados'!F510</f>
        <v/>
      </c>
      <c r="H517" s="7">
        <f>'1 datos preparados'!G510</f>
        <v/>
      </c>
      <c r="I517" s="7">
        <f>'1 datos preparados'!H510</f>
        <v/>
      </c>
      <c r="J517" s="7">
        <f>'1 datos preparados'!I510</f>
        <v/>
      </c>
      <c r="K517" s="7">
        <f>'1 datos preparados'!J510</f>
        <v/>
      </c>
      <c r="L517" s="7">
        <f>'1 datos preparados'!K510</f>
        <v/>
      </c>
      <c r="M517" s="7">
        <f>'1 datos preparados'!L510</f>
        <v/>
      </c>
      <c r="N517" s="7">
        <f>'1 datos preparados'!M510</f>
        <v/>
      </c>
      <c r="O517" s="7">
        <f>'1 datos preparados'!N510</f>
        <v/>
      </c>
      <c r="P517" s="7">
        <f>'1 datos preparados'!O510</f>
        <v/>
      </c>
      <c r="Q517" s="7">
        <f>'1 datos preparados'!P510</f>
        <v/>
      </c>
      <c r="R517" s="7">
        <f>'1 datos preparados'!Q510</f>
        <v/>
      </c>
      <c r="S517" s="7">
        <f>'1 datos preparados'!R510</f>
        <v/>
      </c>
      <c r="T517" s="7">
        <f>'1 datos preparados'!S510</f>
        <v/>
      </c>
      <c r="U517" s="7">
        <f>'1 datos preparados'!T510</f>
        <v/>
      </c>
      <c r="V517" s="8">
        <f>$AC$12+D517*$AC$13+E517*$AC$14+F517*$AC$15+G517*$AC$16+H517*$AC$17+I517*$AC$18+J517*$AC$19+K517*$AC$20+L517*$AC$21+M517*$AC$22+N517*$AC$23+O517*$AC$24+P517*$AC$25+Q517*$AC$26+R517*$AC$27+S517*$AC$28+T517*$AC$29+U517*$AC$30</f>
        <v/>
      </c>
      <c r="W517" s="8">
        <f>1/(1+EXP(-V517))</f>
        <v/>
      </c>
      <c r="X517" s="9">
        <f>-IF(C517=1,LN(W517),LN(1-W517))</f>
        <v/>
      </c>
      <c r="Y517" s="10">
        <f>IF(W517&gt;$AC$33,1,0)</f>
        <v/>
      </c>
      <c r="Z517">
        <f>IF(Y517=C517,1,0)</f>
        <v/>
      </c>
    </row>
    <row r="518">
      <c r="A518">
        <f>'1 datos preparados'!A511</f>
        <v/>
      </c>
      <c r="B518" s="5">
        <f>'1 datos preparados'!U511</f>
        <v/>
      </c>
      <c r="C518">
        <f>'1 datos preparados'!B511</f>
        <v/>
      </c>
      <c r="D518" s="7">
        <f>'1 datos preparados'!C511</f>
        <v/>
      </c>
      <c r="E518" s="7">
        <f>'1 datos preparados'!D511</f>
        <v/>
      </c>
      <c r="F518" s="7">
        <f>'1 datos preparados'!E511</f>
        <v/>
      </c>
      <c r="G518" s="7">
        <f>'1 datos preparados'!F511</f>
        <v/>
      </c>
      <c r="H518" s="7">
        <f>'1 datos preparados'!G511</f>
        <v/>
      </c>
      <c r="I518" s="7">
        <f>'1 datos preparados'!H511</f>
        <v/>
      </c>
      <c r="J518" s="7">
        <f>'1 datos preparados'!I511</f>
        <v/>
      </c>
      <c r="K518" s="7">
        <f>'1 datos preparados'!J511</f>
        <v/>
      </c>
      <c r="L518" s="7">
        <f>'1 datos preparados'!K511</f>
        <v/>
      </c>
      <c r="M518" s="7">
        <f>'1 datos preparados'!L511</f>
        <v/>
      </c>
      <c r="N518" s="7">
        <f>'1 datos preparados'!M511</f>
        <v/>
      </c>
      <c r="O518" s="7">
        <f>'1 datos preparados'!N511</f>
        <v/>
      </c>
      <c r="P518" s="7">
        <f>'1 datos preparados'!O511</f>
        <v/>
      </c>
      <c r="Q518" s="7">
        <f>'1 datos preparados'!P511</f>
        <v/>
      </c>
      <c r="R518" s="7">
        <f>'1 datos preparados'!Q511</f>
        <v/>
      </c>
      <c r="S518" s="7">
        <f>'1 datos preparados'!R511</f>
        <v/>
      </c>
      <c r="T518" s="7">
        <f>'1 datos preparados'!S511</f>
        <v/>
      </c>
      <c r="U518" s="7">
        <f>'1 datos preparados'!T511</f>
        <v/>
      </c>
      <c r="V518" s="8">
        <f>$AC$12+D518*$AC$13+E518*$AC$14+F518*$AC$15+G518*$AC$16+H518*$AC$17+I518*$AC$18+J518*$AC$19+K518*$AC$20+L518*$AC$21+M518*$AC$22+N518*$AC$23+O518*$AC$24+P518*$AC$25+Q518*$AC$26+R518*$AC$27+S518*$AC$28+T518*$AC$29+U518*$AC$30</f>
        <v/>
      </c>
      <c r="W518" s="8">
        <f>1/(1+EXP(-V518))</f>
        <v/>
      </c>
      <c r="X518" s="9">
        <f>-IF(C518=1,LN(W518),LN(1-W518))</f>
        <v/>
      </c>
      <c r="Y518" s="10">
        <f>IF(W518&gt;$AC$33,1,0)</f>
        <v/>
      </c>
      <c r="Z518">
        <f>IF(Y518=C518,1,0)</f>
        <v/>
      </c>
    </row>
    <row r="519">
      <c r="A519">
        <f>'1 datos preparados'!A512</f>
        <v/>
      </c>
      <c r="B519" s="5">
        <f>'1 datos preparados'!U512</f>
        <v/>
      </c>
      <c r="C519">
        <f>'1 datos preparados'!B512</f>
        <v/>
      </c>
      <c r="D519" s="7">
        <f>'1 datos preparados'!C512</f>
        <v/>
      </c>
      <c r="E519" s="7">
        <f>'1 datos preparados'!D512</f>
        <v/>
      </c>
      <c r="F519" s="7">
        <f>'1 datos preparados'!E512</f>
        <v/>
      </c>
      <c r="G519" s="7">
        <f>'1 datos preparados'!F512</f>
        <v/>
      </c>
      <c r="H519" s="7">
        <f>'1 datos preparados'!G512</f>
        <v/>
      </c>
      <c r="I519" s="7">
        <f>'1 datos preparados'!H512</f>
        <v/>
      </c>
      <c r="J519" s="7">
        <f>'1 datos preparados'!I512</f>
        <v/>
      </c>
      <c r="K519" s="7">
        <f>'1 datos preparados'!J512</f>
        <v/>
      </c>
      <c r="L519" s="7">
        <f>'1 datos preparados'!K512</f>
        <v/>
      </c>
      <c r="M519" s="7">
        <f>'1 datos preparados'!L512</f>
        <v/>
      </c>
      <c r="N519" s="7">
        <f>'1 datos preparados'!M512</f>
        <v/>
      </c>
      <c r="O519" s="7">
        <f>'1 datos preparados'!N512</f>
        <v/>
      </c>
      <c r="P519" s="7">
        <f>'1 datos preparados'!O512</f>
        <v/>
      </c>
      <c r="Q519" s="7">
        <f>'1 datos preparados'!P512</f>
        <v/>
      </c>
      <c r="R519" s="7">
        <f>'1 datos preparados'!Q512</f>
        <v/>
      </c>
      <c r="S519" s="7">
        <f>'1 datos preparados'!R512</f>
        <v/>
      </c>
      <c r="T519" s="7">
        <f>'1 datos preparados'!S512</f>
        <v/>
      </c>
      <c r="U519" s="7">
        <f>'1 datos preparados'!T512</f>
        <v/>
      </c>
      <c r="V519" s="8">
        <f>$AC$12+D519*$AC$13+E519*$AC$14+F519*$AC$15+G519*$AC$16+H519*$AC$17+I519*$AC$18+J519*$AC$19+K519*$AC$20+L519*$AC$21+M519*$AC$22+N519*$AC$23+O519*$AC$24+P519*$AC$25+Q519*$AC$26+R519*$AC$27+S519*$AC$28+T519*$AC$29+U519*$AC$30</f>
        <v/>
      </c>
      <c r="W519" s="8">
        <f>1/(1+EXP(-V519))</f>
        <v/>
      </c>
      <c r="X519" s="9">
        <f>-IF(C519=1,LN(W519),LN(1-W519))</f>
        <v/>
      </c>
      <c r="Y519" s="10">
        <f>IF(W519&gt;$AC$33,1,0)</f>
        <v/>
      </c>
      <c r="Z519">
        <f>IF(Y519=C519,1,0)</f>
        <v/>
      </c>
    </row>
    <row r="520">
      <c r="A520">
        <f>'1 datos preparados'!A513</f>
        <v/>
      </c>
      <c r="B520" s="5">
        <f>'1 datos preparados'!U513</f>
        <v/>
      </c>
      <c r="C520">
        <f>'1 datos preparados'!B513</f>
        <v/>
      </c>
      <c r="D520" s="7">
        <f>'1 datos preparados'!C513</f>
        <v/>
      </c>
      <c r="E520" s="7">
        <f>'1 datos preparados'!D513</f>
        <v/>
      </c>
      <c r="F520" s="7">
        <f>'1 datos preparados'!E513</f>
        <v/>
      </c>
      <c r="G520" s="7">
        <f>'1 datos preparados'!F513</f>
        <v/>
      </c>
      <c r="H520" s="7">
        <f>'1 datos preparados'!G513</f>
        <v/>
      </c>
      <c r="I520" s="7">
        <f>'1 datos preparados'!H513</f>
        <v/>
      </c>
      <c r="J520" s="7">
        <f>'1 datos preparados'!I513</f>
        <v/>
      </c>
      <c r="K520" s="7">
        <f>'1 datos preparados'!J513</f>
        <v/>
      </c>
      <c r="L520" s="7">
        <f>'1 datos preparados'!K513</f>
        <v/>
      </c>
      <c r="M520" s="7">
        <f>'1 datos preparados'!L513</f>
        <v/>
      </c>
      <c r="N520" s="7">
        <f>'1 datos preparados'!M513</f>
        <v/>
      </c>
      <c r="O520" s="7">
        <f>'1 datos preparados'!N513</f>
        <v/>
      </c>
      <c r="P520" s="7">
        <f>'1 datos preparados'!O513</f>
        <v/>
      </c>
      <c r="Q520" s="7">
        <f>'1 datos preparados'!P513</f>
        <v/>
      </c>
      <c r="R520" s="7">
        <f>'1 datos preparados'!Q513</f>
        <v/>
      </c>
      <c r="S520" s="7">
        <f>'1 datos preparados'!R513</f>
        <v/>
      </c>
      <c r="T520" s="7">
        <f>'1 datos preparados'!S513</f>
        <v/>
      </c>
      <c r="U520" s="7">
        <f>'1 datos preparados'!T513</f>
        <v/>
      </c>
      <c r="V520" s="8">
        <f>$AC$12+D520*$AC$13+E520*$AC$14+F520*$AC$15+G520*$AC$16+H520*$AC$17+I520*$AC$18+J520*$AC$19+K520*$AC$20+L520*$AC$21+M520*$AC$22+N520*$AC$23+O520*$AC$24+P520*$AC$25+Q520*$AC$26+R520*$AC$27+S520*$AC$28+T520*$AC$29+U520*$AC$30</f>
        <v/>
      </c>
      <c r="W520" s="8">
        <f>1/(1+EXP(-V520))</f>
        <v/>
      </c>
      <c r="X520" s="9">
        <f>-IF(C520=1,LN(W520),LN(1-W520))</f>
        <v/>
      </c>
      <c r="Y520" s="10">
        <f>IF(W520&gt;$AC$33,1,0)</f>
        <v/>
      </c>
      <c r="Z520">
        <f>IF(Y520=C520,1,0)</f>
        <v/>
      </c>
    </row>
    <row r="521">
      <c r="A521">
        <f>'1 datos preparados'!A514</f>
        <v/>
      </c>
      <c r="B521" s="5">
        <f>'1 datos preparados'!U514</f>
        <v/>
      </c>
      <c r="C521">
        <f>'1 datos preparados'!B514</f>
        <v/>
      </c>
      <c r="D521" s="7">
        <f>'1 datos preparados'!C514</f>
        <v/>
      </c>
      <c r="E521" s="7">
        <f>'1 datos preparados'!D514</f>
        <v/>
      </c>
      <c r="F521" s="7">
        <f>'1 datos preparados'!E514</f>
        <v/>
      </c>
      <c r="G521" s="7">
        <f>'1 datos preparados'!F514</f>
        <v/>
      </c>
      <c r="H521" s="7">
        <f>'1 datos preparados'!G514</f>
        <v/>
      </c>
      <c r="I521" s="7">
        <f>'1 datos preparados'!H514</f>
        <v/>
      </c>
      <c r="J521" s="7">
        <f>'1 datos preparados'!I514</f>
        <v/>
      </c>
      <c r="K521" s="7">
        <f>'1 datos preparados'!J514</f>
        <v/>
      </c>
      <c r="L521" s="7">
        <f>'1 datos preparados'!K514</f>
        <v/>
      </c>
      <c r="M521" s="7">
        <f>'1 datos preparados'!L514</f>
        <v/>
      </c>
      <c r="N521" s="7">
        <f>'1 datos preparados'!M514</f>
        <v/>
      </c>
      <c r="O521" s="7">
        <f>'1 datos preparados'!N514</f>
        <v/>
      </c>
      <c r="P521" s="7">
        <f>'1 datos preparados'!O514</f>
        <v/>
      </c>
      <c r="Q521" s="7">
        <f>'1 datos preparados'!P514</f>
        <v/>
      </c>
      <c r="R521" s="7">
        <f>'1 datos preparados'!Q514</f>
        <v/>
      </c>
      <c r="S521" s="7">
        <f>'1 datos preparados'!R514</f>
        <v/>
      </c>
      <c r="T521" s="7">
        <f>'1 datos preparados'!S514</f>
        <v/>
      </c>
      <c r="U521" s="7">
        <f>'1 datos preparados'!T514</f>
        <v/>
      </c>
      <c r="V521" s="8">
        <f>$AC$12+D521*$AC$13+E521*$AC$14+F521*$AC$15+G521*$AC$16+H521*$AC$17+I521*$AC$18+J521*$AC$19+K521*$AC$20+L521*$AC$21+M521*$AC$22+N521*$AC$23+O521*$AC$24+P521*$AC$25+Q521*$AC$26+R521*$AC$27+S521*$AC$28+T521*$AC$29+U521*$AC$30</f>
        <v/>
      </c>
      <c r="W521" s="8">
        <f>1/(1+EXP(-V521))</f>
        <v/>
      </c>
      <c r="X521" s="9">
        <f>-IF(C521=1,LN(W521),LN(1-W521))</f>
        <v/>
      </c>
      <c r="Y521" s="10">
        <f>IF(W521&gt;$AC$33,1,0)</f>
        <v/>
      </c>
      <c r="Z521">
        <f>IF(Y521=C521,1,0)</f>
        <v/>
      </c>
    </row>
    <row r="522">
      <c r="A522">
        <f>'1 datos preparados'!A515</f>
        <v/>
      </c>
      <c r="B522" s="5">
        <f>'1 datos preparados'!U515</f>
        <v/>
      </c>
      <c r="C522">
        <f>'1 datos preparados'!B515</f>
        <v/>
      </c>
      <c r="D522" s="7">
        <f>'1 datos preparados'!C515</f>
        <v/>
      </c>
      <c r="E522" s="7">
        <f>'1 datos preparados'!D515</f>
        <v/>
      </c>
      <c r="F522" s="7">
        <f>'1 datos preparados'!E515</f>
        <v/>
      </c>
      <c r="G522" s="7">
        <f>'1 datos preparados'!F515</f>
        <v/>
      </c>
      <c r="H522" s="7">
        <f>'1 datos preparados'!G515</f>
        <v/>
      </c>
      <c r="I522" s="7">
        <f>'1 datos preparados'!H515</f>
        <v/>
      </c>
      <c r="J522" s="7">
        <f>'1 datos preparados'!I515</f>
        <v/>
      </c>
      <c r="K522" s="7">
        <f>'1 datos preparados'!J515</f>
        <v/>
      </c>
      <c r="L522" s="7">
        <f>'1 datos preparados'!K515</f>
        <v/>
      </c>
      <c r="M522" s="7">
        <f>'1 datos preparados'!L515</f>
        <v/>
      </c>
      <c r="N522" s="7">
        <f>'1 datos preparados'!M515</f>
        <v/>
      </c>
      <c r="O522" s="7">
        <f>'1 datos preparados'!N515</f>
        <v/>
      </c>
      <c r="P522" s="7">
        <f>'1 datos preparados'!O515</f>
        <v/>
      </c>
      <c r="Q522" s="7">
        <f>'1 datos preparados'!P515</f>
        <v/>
      </c>
      <c r="R522" s="7">
        <f>'1 datos preparados'!Q515</f>
        <v/>
      </c>
      <c r="S522" s="7">
        <f>'1 datos preparados'!R515</f>
        <v/>
      </c>
      <c r="T522" s="7">
        <f>'1 datos preparados'!S515</f>
        <v/>
      </c>
      <c r="U522" s="7">
        <f>'1 datos preparados'!T515</f>
        <v/>
      </c>
      <c r="V522" s="8">
        <f>$AC$12+D522*$AC$13+E522*$AC$14+F522*$AC$15+G522*$AC$16+H522*$AC$17+I522*$AC$18+J522*$AC$19+K522*$AC$20+L522*$AC$21+M522*$AC$22+N522*$AC$23+O522*$AC$24+P522*$AC$25+Q522*$AC$26+R522*$AC$27+S522*$AC$28+T522*$AC$29+U522*$AC$30</f>
        <v/>
      </c>
      <c r="W522" s="8">
        <f>1/(1+EXP(-V522))</f>
        <v/>
      </c>
      <c r="X522" s="9">
        <f>-IF(C522=1,LN(W522),LN(1-W522))</f>
        <v/>
      </c>
      <c r="Y522" s="10">
        <f>IF(W522&gt;$AC$33,1,0)</f>
        <v/>
      </c>
      <c r="Z522">
        <f>IF(Y522=C522,1,0)</f>
        <v/>
      </c>
    </row>
    <row r="523">
      <c r="A523">
        <f>'1 datos preparados'!A516</f>
        <v/>
      </c>
      <c r="B523" s="5">
        <f>'1 datos preparados'!U516</f>
        <v/>
      </c>
      <c r="C523">
        <f>'1 datos preparados'!B516</f>
        <v/>
      </c>
      <c r="D523" s="7">
        <f>'1 datos preparados'!C516</f>
        <v/>
      </c>
      <c r="E523" s="7">
        <f>'1 datos preparados'!D516</f>
        <v/>
      </c>
      <c r="F523" s="7">
        <f>'1 datos preparados'!E516</f>
        <v/>
      </c>
      <c r="G523" s="7">
        <f>'1 datos preparados'!F516</f>
        <v/>
      </c>
      <c r="H523" s="7">
        <f>'1 datos preparados'!G516</f>
        <v/>
      </c>
      <c r="I523" s="7">
        <f>'1 datos preparados'!H516</f>
        <v/>
      </c>
      <c r="J523" s="7">
        <f>'1 datos preparados'!I516</f>
        <v/>
      </c>
      <c r="K523" s="7">
        <f>'1 datos preparados'!J516</f>
        <v/>
      </c>
      <c r="L523" s="7">
        <f>'1 datos preparados'!K516</f>
        <v/>
      </c>
      <c r="M523" s="7">
        <f>'1 datos preparados'!L516</f>
        <v/>
      </c>
      <c r="N523" s="7">
        <f>'1 datos preparados'!M516</f>
        <v/>
      </c>
      <c r="O523" s="7">
        <f>'1 datos preparados'!N516</f>
        <v/>
      </c>
      <c r="P523" s="7">
        <f>'1 datos preparados'!O516</f>
        <v/>
      </c>
      <c r="Q523" s="7">
        <f>'1 datos preparados'!P516</f>
        <v/>
      </c>
      <c r="R523" s="7">
        <f>'1 datos preparados'!Q516</f>
        <v/>
      </c>
      <c r="S523" s="7">
        <f>'1 datos preparados'!R516</f>
        <v/>
      </c>
      <c r="T523" s="7">
        <f>'1 datos preparados'!S516</f>
        <v/>
      </c>
      <c r="U523" s="7">
        <f>'1 datos preparados'!T516</f>
        <v/>
      </c>
      <c r="V523" s="8">
        <f>$AC$12+D523*$AC$13+E523*$AC$14+F523*$AC$15+G523*$AC$16+H523*$AC$17+I523*$AC$18+J523*$AC$19+K523*$AC$20+L523*$AC$21+M523*$AC$22+N523*$AC$23+O523*$AC$24+P523*$AC$25+Q523*$AC$26+R523*$AC$27+S523*$AC$28+T523*$AC$29+U523*$AC$30</f>
        <v/>
      </c>
      <c r="W523" s="8">
        <f>1/(1+EXP(-V523))</f>
        <v/>
      </c>
      <c r="X523" s="9">
        <f>-IF(C523=1,LN(W523),LN(1-W523))</f>
        <v/>
      </c>
      <c r="Y523" s="10">
        <f>IF(W523&gt;$AC$33,1,0)</f>
        <v/>
      </c>
      <c r="Z523">
        <f>IF(Y523=C523,1,0)</f>
        <v/>
      </c>
    </row>
    <row r="524">
      <c r="A524">
        <f>'1 datos preparados'!A517</f>
        <v/>
      </c>
      <c r="B524" s="5">
        <f>'1 datos preparados'!U517</f>
        <v/>
      </c>
      <c r="C524">
        <f>'1 datos preparados'!B517</f>
        <v/>
      </c>
      <c r="D524" s="7">
        <f>'1 datos preparados'!C517</f>
        <v/>
      </c>
      <c r="E524" s="7">
        <f>'1 datos preparados'!D517</f>
        <v/>
      </c>
      <c r="F524" s="7">
        <f>'1 datos preparados'!E517</f>
        <v/>
      </c>
      <c r="G524" s="7">
        <f>'1 datos preparados'!F517</f>
        <v/>
      </c>
      <c r="H524" s="7">
        <f>'1 datos preparados'!G517</f>
        <v/>
      </c>
      <c r="I524" s="7">
        <f>'1 datos preparados'!H517</f>
        <v/>
      </c>
      <c r="J524" s="7">
        <f>'1 datos preparados'!I517</f>
        <v/>
      </c>
      <c r="K524" s="7">
        <f>'1 datos preparados'!J517</f>
        <v/>
      </c>
      <c r="L524" s="7">
        <f>'1 datos preparados'!K517</f>
        <v/>
      </c>
      <c r="M524" s="7">
        <f>'1 datos preparados'!L517</f>
        <v/>
      </c>
      <c r="N524" s="7">
        <f>'1 datos preparados'!M517</f>
        <v/>
      </c>
      <c r="O524" s="7">
        <f>'1 datos preparados'!N517</f>
        <v/>
      </c>
      <c r="P524" s="7">
        <f>'1 datos preparados'!O517</f>
        <v/>
      </c>
      <c r="Q524" s="7">
        <f>'1 datos preparados'!P517</f>
        <v/>
      </c>
      <c r="R524" s="7">
        <f>'1 datos preparados'!Q517</f>
        <v/>
      </c>
      <c r="S524" s="7">
        <f>'1 datos preparados'!R517</f>
        <v/>
      </c>
      <c r="T524" s="7">
        <f>'1 datos preparados'!S517</f>
        <v/>
      </c>
      <c r="U524" s="7">
        <f>'1 datos preparados'!T517</f>
        <v/>
      </c>
      <c r="V524" s="8">
        <f>$AC$12+D524*$AC$13+E524*$AC$14+F524*$AC$15+G524*$AC$16+H524*$AC$17+I524*$AC$18+J524*$AC$19+K524*$AC$20+L524*$AC$21+M524*$AC$22+N524*$AC$23+O524*$AC$24+P524*$AC$25+Q524*$AC$26+R524*$AC$27+S524*$AC$28+T524*$AC$29+U524*$AC$30</f>
        <v/>
      </c>
      <c r="W524" s="8">
        <f>1/(1+EXP(-V524))</f>
        <v/>
      </c>
      <c r="X524" s="9">
        <f>-IF(C524=1,LN(W524),LN(1-W524))</f>
        <v/>
      </c>
      <c r="Y524" s="10">
        <f>IF(W524&gt;$AC$33,1,0)</f>
        <v/>
      </c>
      <c r="Z524">
        <f>IF(Y524=C524,1,0)</f>
        <v/>
      </c>
    </row>
    <row r="525">
      <c r="A525">
        <f>'1 datos preparados'!A518</f>
        <v/>
      </c>
      <c r="B525" s="5">
        <f>'1 datos preparados'!U518</f>
        <v/>
      </c>
      <c r="C525">
        <f>'1 datos preparados'!B518</f>
        <v/>
      </c>
      <c r="D525" s="7">
        <f>'1 datos preparados'!C518</f>
        <v/>
      </c>
      <c r="E525" s="7">
        <f>'1 datos preparados'!D518</f>
        <v/>
      </c>
      <c r="F525" s="7">
        <f>'1 datos preparados'!E518</f>
        <v/>
      </c>
      <c r="G525" s="7">
        <f>'1 datos preparados'!F518</f>
        <v/>
      </c>
      <c r="H525" s="7">
        <f>'1 datos preparados'!G518</f>
        <v/>
      </c>
      <c r="I525" s="7">
        <f>'1 datos preparados'!H518</f>
        <v/>
      </c>
      <c r="J525" s="7">
        <f>'1 datos preparados'!I518</f>
        <v/>
      </c>
      <c r="K525" s="7">
        <f>'1 datos preparados'!J518</f>
        <v/>
      </c>
      <c r="L525" s="7">
        <f>'1 datos preparados'!K518</f>
        <v/>
      </c>
      <c r="M525" s="7">
        <f>'1 datos preparados'!L518</f>
        <v/>
      </c>
      <c r="N525" s="7">
        <f>'1 datos preparados'!M518</f>
        <v/>
      </c>
      <c r="O525" s="7">
        <f>'1 datos preparados'!N518</f>
        <v/>
      </c>
      <c r="P525" s="7">
        <f>'1 datos preparados'!O518</f>
        <v/>
      </c>
      <c r="Q525" s="7">
        <f>'1 datos preparados'!P518</f>
        <v/>
      </c>
      <c r="R525" s="7">
        <f>'1 datos preparados'!Q518</f>
        <v/>
      </c>
      <c r="S525" s="7">
        <f>'1 datos preparados'!R518</f>
        <v/>
      </c>
      <c r="T525" s="7">
        <f>'1 datos preparados'!S518</f>
        <v/>
      </c>
      <c r="U525" s="7">
        <f>'1 datos preparados'!T518</f>
        <v/>
      </c>
      <c r="V525" s="8">
        <f>$AC$12+D525*$AC$13+E525*$AC$14+F525*$AC$15+G525*$AC$16+H525*$AC$17+I525*$AC$18+J525*$AC$19+K525*$AC$20+L525*$AC$21+M525*$AC$22+N525*$AC$23+O525*$AC$24+P525*$AC$25+Q525*$AC$26+R525*$AC$27+S525*$AC$28+T525*$AC$29+U525*$AC$30</f>
        <v/>
      </c>
      <c r="W525" s="8">
        <f>1/(1+EXP(-V525))</f>
        <v/>
      </c>
      <c r="X525" s="9">
        <f>-IF(C525=1,LN(W525),LN(1-W525))</f>
        <v/>
      </c>
      <c r="Y525" s="10">
        <f>IF(W525&gt;$AC$33,1,0)</f>
        <v/>
      </c>
      <c r="Z525">
        <f>IF(Y525=C525,1,0)</f>
        <v/>
      </c>
    </row>
    <row r="526">
      <c r="A526">
        <f>'1 datos preparados'!A519</f>
        <v/>
      </c>
      <c r="B526" s="5">
        <f>'1 datos preparados'!U519</f>
        <v/>
      </c>
      <c r="C526">
        <f>'1 datos preparados'!B519</f>
        <v/>
      </c>
      <c r="D526" s="7">
        <f>'1 datos preparados'!C519</f>
        <v/>
      </c>
      <c r="E526" s="7">
        <f>'1 datos preparados'!D519</f>
        <v/>
      </c>
      <c r="F526" s="7">
        <f>'1 datos preparados'!E519</f>
        <v/>
      </c>
      <c r="G526" s="7">
        <f>'1 datos preparados'!F519</f>
        <v/>
      </c>
      <c r="H526" s="7">
        <f>'1 datos preparados'!G519</f>
        <v/>
      </c>
      <c r="I526" s="7">
        <f>'1 datos preparados'!H519</f>
        <v/>
      </c>
      <c r="J526" s="7">
        <f>'1 datos preparados'!I519</f>
        <v/>
      </c>
      <c r="K526" s="7">
        <f>'1 datos preparados'!J519</f>
        <v/>
      </c>
      <c r="L526" s="7">
        <f>'1 datos preparados'!K519</f>
        <v/>
      </c>
      <c r="M526" s="7">
        <f>'1 datos preparados'!L519</f>
        <v/>
      </c>
      <c r="N526" s="7">
        <f>'1 datos preparados'!M519</f>
        <v/>
      </c>
      <c r="O526" s="7">
        <f>'1 datos preparados'!N519</f>
        <v/>
      </c>
      <c r="P526" s="7">
        <f>'1 datos preparados'!O519</f>
        <v/>
      </c>
      <c r="Q526" s="7">
        <f>'1 datos preparados'!P519</f>
        <v/>
      </c>
      <c r="R526" s="7">
        <f>'1 datos preparados'!Q519</f>
        <v/>
      </c>
      <c r="S526" s="7">
        <f>'1 datos preparados'!R519</f>
        <v/>
      </c>
      <c r="T526" s="7">
        <f>'1 datos preparados'!S519</f>
        <v/>
      </c>
      <c r="U526" s="7">
        <f>'1 datos preparados'!T519</f>
        <v/>
      </c>
      <c r="V526" s="8">
        <f>$AC$12+D526*$AC$13+E526*$AC$14+F526*$AC$15+G526*$AC$16+H526*$AC$17+I526*$AC$18+J526*$AC$19+K526*$AC$20+L526*$AC$21+M526*$AC$22+N526*$AC$23+O526*$AC$24+P526*$AC$25+Q526*$AC$26+R526*$AC$27+S526*$AC$28+T526*$AC$29+U526*$AC$30</f>
        <v/>
      </c>
      <c r="W526" s="8">
        <f>1/(1+EXP(-V526))</f>
        <v/>
      </c>
      <c r="X526" s="9">
        <f>-IF(C526=1,LN(W526),LN(1-W526))</f>
        <v/>
      </c>
      <c r="Y526" s="10">
        <f>IF(W526&gt;$AC$33,1,0)</f>
        <v/>
      </c>
      <c r="Z526">
        <f>IF(Y526=C526,1,0)</f>
        <v/>
      </c>
    </row>
    <row r="527">
      <c r="A527">
        <f>'1 datos preparados'!A520</f>
        <v/>
      </c>
      <c r="B527" s="5">
        <f>'1 datos preparados'!U520</f>
        <v/>
      </c>
      <c r="C527">
        <f>'1 datos preparados'!B520</f>
        <v/>
      </c>
      <c r="D527" s="7">
        <f>'1 datos preparados'!C520</f>
        <v/>
      </c>
      <c r="E527" s="7">
        <f>'1 datos preparados'!D520</f>
        <v/>
      </c>
      <c r="F527" s="7">
        <f>'1 datos preparados'!E520</f>
        <v/>
      </c>
      <c r="G527" s="7">
        <f>'1 datos preparados'!F520</f>
        <v/>
      </c>
      <c r="H527" s="7">
        <f>'1 datos preparados'!G520</f>
        <v/>
      </c>
      <c r="I527" s="7">
        <f>'1 datos preparados'!H520</f>
        <v/>
      </c>
      <c r="J527" s="7">
        <f>'1 datos preparados'!I520</f>
        <v/>
      </c>
      <c r="K527" s="7">
        <f>'1 datos preparados'!J520</f>
        <v/>
      </c>
      <c r="L527" s="7">
        <f>'1 datos preparados'!K520</f>
        <v/>
      </c>
      <c r="M527" s="7">
        <f>'1 datos preparados'!L520</f>
        <v/>
      </c>
      <c r="N527" s="7">
        <f>'1 datos preparados'!M520</f>
        <v/>
      </c>
      <c r="O527" s="7">
        <f>'1 datos preparados'!N520</f>
        <v/>
      </c>
      <c r="P527" s="7">
        <f>'1 datos preparados'!O520</f>
        <v/>
      </c>
      <c r="Q527" s="7">
        <f>'1 datos preparados'!P520</f>
        <v/>
      </c>
      <c r="R527" s="7">
        <f>'1 datos preparados'!Q520</f>
        <v/>
      </c>
      <c r="S527" s="7">
        <f>'1 datos preparados'!R520</f>
        <v/>
      </c>
      <c r="T527" s="7">
        <f>'1 datos preparados'!S520</f>
        <v/>
      </c>
      <c r="U527" s="7">
        <f>'1 datos preparados'!T520</f>
        <v/>
      </c>
      <c r="V527" s="8">
        <f>$AC$12+D527*$AC$13+E527*$AC$14+F527*$AC$15+G527*$AC$16+H527*$AC$17+I527*$AC$18+J527*$AC$19+K527*$AC$20+L527*$AC$21+M527*$AC$22+N527*$AC$23+O527*$AC$24+P527*$AC$25+Q527*$AC$26+R527*$AC$27+S527*$AC$28+T527*$AC$29+U527*$AC$30</f>
        <v/>
      </c>
      <c r="W527" s="8">
        <f>1/(1+EXP(-V527))</f>
        <v/>
      </c>
      <c r="X527" s="9">
        <f>-IF(C527=1,LN(W527),LN(1-W527))</f>
        <v/>
      </c>
      <c r="Y527" s="10">
        <f>IF(W527&gt;$AC$33,1,0)</f>
        <v/>
      </c>
      <c r="Z527">
        <f>IF(Y527=C527,1,0)</f>
        <v/>
      </c>
    </row>
    <row r="528">
      <c r="A528">
        <f>'1 datos preparados'!A521</f>
        <v/>
      </c>
      <c r="B528" s="5">
        <f>'1 datos preparados'!U521</f>
        <v/>
      </c>
      <c r="C528">
        <f>'1 datos preparados'!B521</f>
        <v/>
      </c>
      <c r="D528" s="7">
        <f>'1 datos preparados'!C521</f>
        <v/>
      </c>
      <c r="E528" s="7">
        <f>'1 datos preparados'!D521</f>
        <v/>
      </c>
      <c r="F528" s="7">
        <f>'1 datos preparados'!E521</f>
        <v/>
      </c>
      <c r="G528" s="7">
        <f>'1 datos preparados'!F521</f>
        <v/>
      </c>
      <c r="H528" s="7">
        <f>'1 datos preparados'!G521</f>
        <v/>
      </c>
      <c r="I528" s="7">
        <f>'1 datos preparados'!H521</f>
        <v/>
      </c>
      <c r="J528" s="7">
        <f>'1 datos preparados'!I521</f>
        <v/>
      </c>
      <c r="K528" s="7">
        <f>'1 datos preparados'!J521</f>
        <v/>
      </c>
      <c r="L528" s="7">
        <f>'1 datos preparados'!K521</f>
        <v/>
      </c>
      <c r="M528" s="7">
        <f>'1 datos preparados'!L521</f>
        <v/>
      </c>
      <c r="N528" s="7">
        <f>'1 datos preparados'!M521</f>
        <v/>
      </c>
      <c r="O528" s="7">
        <f>'1 datos preparados'!N521</f>
        <v/>
      </c>
      <c r="P528" s="7">
        <f>'1 datos preparados'!O521</f>
        <v/>
      </c>
      <c r="Q528" s="7">
        <f>'1 datos preparados'!P521</f>
        <v/>
      </c>
      <c r="R528" s="7">
        <f>'1 datos preparados'!Q521</f>
        <v/>
      </c>
      <c r="S528" s="7">
        <f>'1 datos preparados'!R521</f>
        <v/>
      </c>
      <c r="T528" s="7">
        <f>'1 datos preparados'!S521</f>
        <v/>
      </c>
      <c r="U528" s="7">
        <f>'1 datos preparados'!T521</f>
        <v/>
      </c>
      <c r="V528" s="8">
        <f>$AC$12+D528*$AC$13+E528*$AC$14+F528*$AC$15+G528*$AC$16+H528*$AC$17+I528*$AC$18+J528*$AC$19+K528*$AC$20+L528*$AC$21+M528*$AC$22+N528*$AC$23+O528*$AC$24+P528*$AC$25+Q528*$AC$26+R528*$AC$27+S528*$AC$28+T528*$AC$29+U528*$AC$30</f>
        <v/>
      </c>
      <c r="W528" s="8">
        <f>1/(1+EXP(-V528))</f>
        <v/>
      </c>
      <c r="X528" s="9">
        <f>-IF(C528=1,LN(W528),LN(1-W528))</f>
        <v/>
      </c>
      <c r="Y528" s="10">
        <f>IF(W528&gt;$AC$33,1,0)</f>
        <v/>
      </c>
      <c r="Z528">
        <f>IF(Y528=C528,1,0)</f>
        <v/>
      </c>
    </row>
    <row r="529">
      <c r="A529">
        <f>'1 datos preparados'!A522</f>
        <v/>
      </c>
      <c r="B529" s="5">
        <f>'1 datos preparados'!U522</f>
        <v/>
      </c>
      <c r="C529">
        <f>'1 datos preparados'!B522</f>
        <v/>
      </c>
      <c r="D529" s="7">
        <f>'1 datos preparados'!C522</f>
        <v/>
      </c>
      <c r="E529" s="7">
        <f>'1 datos preparados'!D522</f>
        <v/>
      </c>
      <c r="F529" s="7">
        <f>'1 datos preparados'!E522</f>
        <v/>
      </c>
      <c r="G529" s="7">
        <f>'1 datos preparados'!F522</f>
        <v/>
      </c>
      <c r="H529" s="7">
        <f>'1 datos preparados'!G522</f>
        <v/>
      </c>
      <c r="I529" s="7">
        <f>'1 datos preparados'!H522</f>
        <v/>
      </c>
      <c r="J529" s="7">
        <f>'1 datos preparados'!I522</f>
        <v/>
      </c>
      <c r="K529" s="7">
        <f>'1 datos preparados'!J522</f>
        <v/>
      </c>
      <c r="L529" s="7">
        <f>'1 datos preparados'!K522</f>
        <v/>
      </c>
      <c r="M529" s="7">
        <f>'1 datos preparados'!L522</f>
        <v/>
      </c>
      <c r="N529" s="7">
        <f>'1 datos preparados'!M522</f>
        <v/>
      </c>
      <c r="O529" s="7">
        <f>'1 datos preparados'!N522</f>
        <v/>
      </c>
      <c r="P529" s="7">
        <f>'1 datos preparados'!O522</f>
        <v/>
      </c>
      <c r="Q529" s="7">
        <f>'1 datos preparados'!P522</f>
        <v/>
      </c>
      <c r="R529" s="7">
        <f>'1 datos preparados'!Q522</f>
        <v/>
      </c>
      <c r="S529" s="7">
        <f>'1 datos preparados'!R522</f>
        <v/>
      </c>
      <c r="T529" s="7">
        <f>'1 datos preparados'!S522</f>
        <v/>
      </c>
      <c r="U529" s="7">
        <f>'1 datos preparados'!T522</f>
        <v/>
      </c>
      <c r="V529" s="8">
        <f>$AC$12+D529*$AC$13+E529*$AC$14+F529*$AC$15+G529*$AC$16+H529*$AC$17+I529*$AC$18+J529*$AC$19+K529*$AC$20+L529*$AC$21+M529*$AC$22+N529*$AC$23+O529*$AC$24+P529*$AC$25+Q529*$AC$26+R529*$AC$27+S529*$AC$28+T529*$AC$29+U529*$AC$30</f>
        <v/>
      </c>
      <c r="W529" s="8">
        <f>1/(1+EXP(-V529))</f>
        <v/>
      </c>
      <c r="X529" s="9">
        <f>-IF(C529=1,LN(W529),LN(1-W529))</f>
        <v/>
      </c>
      <c r="Y529" s="10">
        <f>IF(W529&gt;$AC$33,1,0)</f>
        <v/>
      </c>
      <c r="Z529">
        <f>IF(Y529=C529,1,0)</f>
        <v/>
      </c>
    </row>
    <row r="530">
      <c r="A530">
        <f>'1 datos preparados'!A523</f>
        <v/>
      </c>
      <c r="B530" s="5">
        <f>'1 datos preparados'!U523</f>
        <v/>
      </c>
      <c r="C530">
        <f>'1 datos preparados'!B523</f>
        <v/>
      </c>
      <c r="D530" s="7">
        <f>'1 datos preparados'!C523</f>
        <v/>
      </c>
      <c r="E530" s="7">
        <f>'1 datos preparados'!D523</f>
        <v/>
      </c>
      <c r="F530" s="7">
        <f>'1 datos preparados'!E523</f>
        <v/>
      </c>
      <c r="G530" s="7">
        <f>'1 datos preparados'!F523</f>
        <v/>
      </c>
      <c r="H530" s="7">
        <f>'1 datos preparados'!G523</f>
        <v/>
      </c>
      <c r="I530" s="7">
        <f>'1 datos preparados'!H523</f>
        <v/>
      </c>
      <c r="J530" s="7">
        <f>'1 datos preparados'!I523</f>
        <v/>
      </c>
      <c r="K530" s="7">
        <f>'1 datos preparados'!J523</f>
        <v/>
      </c>
      <c r="L530" s="7">
        <f>'1 datos preparados'!K523</f>
        <v/>
      </c>
      <c r="M530" s="7">
        <f>'1 datos preparados'!L523</f>
        <v/>
      </c>
      <c r="N530" s="7">
        <f>'1 datos preparados'!M523</f>
        <v/>
      </c>
      <c r="O530" s="7">
        <f>'1 datos preparados'!N523</f>
        <v/>
      </c>
      <c r="P530" s="7">
        <f>'1 datos preparados'!O523</f>
        <v/>
      </c>
      <c r="Q530" s="7">
        <f>'1 datos preparados'!P523</f>
        <v/>
      </c>
      <c r="R530" s="7">
        <f>'1 datos preparados'!Q523</f>
        <v/>
      </c>
      <c r="S530" s="7">
        <f>'1 datos preparados'!R523</f>
        <v/>
      </c>
      <c r="T530" s="7">
        <f>'1 datos preparados'!S523</f>
        <v/>
      </c>
      <c r="U530" s="7">
        <f>'1 datos preparados'!T523</f>
        <v/>
      </c>
      <c r="V530" s="8">
        <f>$AC$12+D530*$AC$13+E530*$AC$14+F530*$AC$15+G530*$AC$16+H530*$AC$17+I530*$AC$18+J530*$AC$19+K530*$AC$20+L530*$AC$21+M530*$AC$22+N530*$AC$23+O530*$AC$24+P530*$AC$25+Q530*$AC$26+R530*$AC$27+S530*$AC$28+T530*$AC$29+U530*$AC$30</f>
        <v/>
      </c>
      <c r="W530" s="8">
        <f>1/(1+EXP(-V530))</f>
        <v/>
      </c>
      <c r="X530" s="9">
        <f>-IF(C530=1,LN(W530),LN(1-W530))</f>
        <v/>
      </c>
      <c r="Y530" s="10">
        <f>IF(W530&gt;$AC$33,1,0)</f>
        <v/>
      </c>
      <c r="Z530">
        <f>IF(Y530=C530,1,0)</f>
        <v/>
      </c>
    </row>
    <row r="531">
      <c r="A531">
        <f>'1 datos preparados'!A524</f>
        <v/>
      </c>
      <c r="B531" s="5">
        <f>'1 datos preparados'!U524</f>
        <v/>
      </c>
      <c r="C531">
        <f>'1 datos preparados'!B524</f>
        <v/>
      </c>
      <c r="D531" s="7">
        <f>'1 datos preparados'!C524</f>
        <v/>
      </c>
      <c r="E531" s="7">
        <f>'1 datos preparados'!D524</f>
        <v/>
      </c>
      <c r="F531" s="7">
        <f>'1 datos preparados'!E524</f>
        <v/>
      </c>
      <c r="G531" s="7">
        <f>'1 datos preparados'!F524</f>
        <v/>
      </c>
      <c r="H531" s="7">
        <f>'1 datos preparados'!G524</f>
        <v/>
      </c>
      <c r="I531" s="7">
        <f>'1 datos preparados'!H524</f>
        <v/>
      </c>
      <c r="J531" s="7">
        <f>'1 datos preparados'!I524</f>
        <v/>
      </c>
      <c r="K531" s="7">
        <f>'1 datos preparados'!J524</f>
        <v/>
      </c>
      <c r="L531" s="7">
        <f>'1 datos preparados'!K524</f>
        <v/>
      </c>
      <c r="M531" s="7">
        <f>'1 datos preparados'!L524</f>
        <v/>
      </c>
      <c r="N531" s="7">
        <f>'1 datos preparados'!M524</f>
        <v/>
      </c>
      <c r="O531" s="7">
        <f>'1 datos preparados'!N524</f>
        <v/>
      </c>
      <c r="P531" s="7">
        <f>'1 datos preparados'!O524</f>
        <v/>
      </c>
      <c r="Q531" s="7">
        <f>'1 datos preparados'!P524</f>
        <v/>
      </c>
      <c r="R531" s="7">
        <f>'1 datos preparados'!Q524</f>
        <v/>
      </c>
      <c r="S531" s="7">
        <f>'1 datos preparados'!R524</f>
        <v/>
      </c>
      <c r="T531" s="7">
        <f>'1 datos preparados'!S524</f>
        <v/>
      </c>
      <c r="U531" s="7">
        <f>'1 datos preparados'!T524</f>
        <v/>
      </c>
      <c r="V531" s="8">
        <f>$AC$12+D531*$AC$13+E531*$AC$14+F531*$AC$15+G531*$AC$16+H531*$AC$17+I531*$AC$18+J531*$AC$19+K531*$AC$20+L531*$AC$21+M531*$AC$22+N531*$AC$23+O531*$AC$24+P531*$AC$25+Q531*$AC$26+R531*$AC$27+S531*$AC$28+T531*$AC$29+U531*$AC$30</f>
        <v/>
      </c>
      <c r="W531" s="8">
        <f>1/(1+EXP(-V531))</f>
        <v/>
      </c>
      <c r="X531" s="9">
        <f>-IF(C531=1,LN(W531),LN(1-W531))</f>
        <v/>
      </c>
      <c r="Y531" s="10">
        <f>IF(W531&gt;$AC$33,1,0)</f>
        <v/>
      </c>
      <c r="Z531">
        <f>IF(Y531=C531,1,0)</f>
        <v/>
      </c>
    </row>
    <row r="532">
      <c r="A532">
        <f>'1 datos preparados'!A525</f>
        <v/>
      </c>
      <c r="B532" s="5">
        <f>'1 datos preparados'!U525</f>
        <v/>
      </c>
      <c r="C532">
        <f>'1 datos preparados'!B525</f>
        <v/>
      </c>
      <c r="D532" s="7">
        <f>'1 datos preparados'!C525</f>
        <v/>
      </c>
      <c r="E532" s="7">
        <f>'1 datos preparados'!D525</f>
        <v/>
      </c>
      <c r="F532" s="7">
        <f>'1 datos preparados'!E525</f>
        <v/>
      </c>
      <c r="G532" s="7">
        <f>'1 datos preparados'!F525</f>
        <v/>
      </c>
      <c r="H532" s="7">
        <f>'1 datos preparados'!G525</f>
        <v/>
      </c>
      <c r="I532" s="7">
        <f>'1 datos preparados'!H525</f>
        <v/>
      </c>
      <c r="J532" s="7">
        <f>'1 datos preparados'!I525</f>
        <v/>
      </c>
      <c r="K532" s="7">
        <f>'1 datos preparados'!J525</f>
        <v/>
      </c>
      <c r="L532" s="7">
        <f>'1 datos preparados'!K525</f>
        <v/>
      </c>
      <c r="M532" s="7">
        <f>'1 datos preparados'!L525</f>
        <v/>
      </c>
      <c r="N532" s="7">
        <f>'1 datos preparados'!M525</f>
        <v/>
      </c>
      <c r="O532" s="7">
        <f>'1 datos preparados'!N525</f>
        <v/>
      </c>
      <c r="P532" s="7">
        <f>'1 datos preparados'!O525</f>
        <v/>
      </c>
      <c r="Q532" s="7">
        <f>'1 datos preparados'!P525</f>
        <v/>
      </c>
      <c r="R532" s="7">
        <f>'1 datos preparados'!Q525</f>
        <v/>
      </c>
      <c r="S532" s="7">
        <f>'1 datos preparados'!R525</f>
        <v/>
      </c>
      <c r="T532" s="7">
        <f>'1 datos preparados'!S525</f>
        <v/>
      </c>
      <c r="U532" s="7">
        <f>'1 datos preparados'!T525</f>
        <v/>
      </c>
      <c r="V532" s="8">
        <f>$AC$12+D532*$AC$13+E532*$AC$14+F532*$AC$15+G532*$AC$16+H532*$AC$17+I532*$AC$18+J532*$AC$19+K532*$AC$20+L532*$AC$21+M532*$AC$22+N532*$AC$23+O532*$AC$24+P532*$AC$25+Q532*$AC$26+R532*$AC$27+S532*$AC$28+T532*$AC$29+U532*$AC$30</f>
        <v/>
      </c>
      <c r="W532" s="8">
        <f>1/(1+EXP(-V532))</f>
        <v/>
      </c>
      <c r="X532" s="9">
        <f>-IF(C532=1,LN(W532),LN(1-W532))</f>
        <v/>
      </c>
      <c r="Y532" s="10">
        <f>IF(W532&gt;$AC$33,1,0)</f>
        <v/>
      </c>
      <c r="Z532">
        <f>IF(Y532=C532,1,0)</f>
        <v/>
      </c>
    </row>
    <row r="533">
      <c r="A533">
        <f>'1 datos preparados'!A526</f>
        <v/>
      </c>
      <c r="B533" s="5">
        <f>'1 datos preparados'!U526</f>
        <v/>
      </c>
      <c r="C533">
        <f>'1 datos preparados'!B526</f>
        <v/>
      </c>
      <c r="D533" s="7">
        <f>'1 datos preparados'!C526</f>
        <v/>
      </c>
      <c r="E533" s="7">
        <f>'1 datos preparados'!D526</f>
        <v/>
      </c>
      <c r="F533" s="7">
        <f>'1 datos preparados'!E526</f>
        <v/>
      </c>
      <c r="G533" s="7">
        <f>'1 datos preparados'!F526</f>
        <v/>
      </c>
      <c r="H533" s="7">
        <f>'1 datos preparados'!G526</f>
        <v/>
      </c>
      <c r="I533" s="7">
        <f>'1 datos preparados'!H526</f>
        <v/>
      </c>
      <c r="J533" s="7">
        <f>'1 datos preparados'!I526</f>
        <v/>
      </c>
      <c r="K533" s="7">
        <f>'1 datos preparados'!J526</f>
        <v/>
      </c>
      <c r="L533" s="7">
        <f>'1 datos preparados'!K526</f>
        <v/>
      </c>
      <c r="M533" s="7">
        <f>'1 datos preparados'!L526</f>
        <v/>
      </c>
      <c r="N533" s="7">
        <f>'1 datos preparados'!M526</f>
        <v/>
      </c>
      <c r="O533" s="7">
        <f>'1 datos preparados'!N526</f>
        <v/>
      </c>
      <c r="P533" s="7">
        <f>'1 datos preparados'!O526</f>
        <v/>
      </c>
      <c r="Q533" s="7">
        <f>'1 datos preparados'!P526</f>
        <v/>
      </c>
      <c r="R533" s="7">
        <f>'1 datos preparados'!Q526</f>
        <v/>
      </c>
      <c r="S533" s="7">
        <f>'1 datos preparados'!R526</f>
        <v/>
      </c>
      <c r="T533" s="7">
        <f>'1 datos preparados'!S526</f>
        <v/>
      </c>
      <c r="U533" s="7">
        <f>'1 datos preparados'!T526</f>
        <v/>
      </c>
      <c r="V533" s="8">
        <f>$AC$12+D533*$AC$13+E533*$AC$14+F533*$AC$15+G533*$AC$16+H533*$AC$17+I533*$AC$18+J533*$AC$19+K533*$AC$20+L533*$AC$21+M533*$AC$22+N533*$AC$23+O533*$AC$24+P533*$AC$25+Q533*$AC$26+R533*$AC$27+S533*$AC$28+T533*$AC$29+U533*$AC$30</f>
        <v/>
      </c>
      <c r="W533" s="8">
        <f>1/(1+EXP(-V533))</f>
        <v/>
      </c>
      <c r="X533" s="9">
        <f>-IF(C533=1,LN(W533),LN(1-W533))</f>
        <v/>
      </c>
      <c r="Y533" s="10">
        <f>IF(W533&gt;$AC$33,1,0)</f>
        <v/>
      </c>
      <c r="Z533">
        <f>IF(Y533=C533,1,0)</f>
        <v/>
      </c>
    </row>
    <row r="534">
      <c r="A534">
        <f>'1 datos preparados'!A527</f>
        <v/>
      </c>
      <c r="B534" s="5">
        <f>'1 datos preparados'!U527</f>
        <v/>
      </c>
      <c r="C534">
        <f>'1 datos preparados'!B527</f>
        <v/>
      </c>
      <c r="D534" s="7">
        <f>'1 datos preparados'!C527</f>
        <v/>
      </c>
      <c r="E534" s="7">
        <f>'1 datos preparados'!D527</f>
        <v/>
      </c>
      <c r="F534" s="7">
        <f>'1 datos preparados'!E527</f>
        <v/>
      </c>
      <c r="G534" s="7">
        <f>'1 datos preparados'!F527</f>
        <v/>
      </c>
      <c r="H534" s="7">
        <f>'1 datos preparados'!G527</f>
        <v/>
      </c>
      <c r="I534" s="7">
        <f>'1 datos preparados'!H527</f>
        <v/>
      </c>
      <c r="J534" s="7">
        <f>'1 datos preparados'!I527</f>
        <v/>
      </c>
      <c r="K534" s="7">
        <f>'1 datos preparados'!J527</f>
        <v/>
      </c>
      <c r="L534" s="7">
        <f>'1 datos preparados'!K527</f>
        <v/>
      </c>
      <c r="M534" s="7">
        <f>'1 datos preparados'!L527</f>
        <v/>
      </c>
      <c r="N534" s="7">
        <f>'1 datos preparados'!M527</f>
        <v/>
      </c>
      <c r="O534" s="7">
        <f>'1 datos preparados'!N527</f>
        <v/>
      </c>
      <c r="P534" s="7">
        <f>'1 datos preparados'!O527</f>
        <v/>
      </c>
      <c r="Q534" s="7">
        <f>'1 datos preparados'!P527</f>
        <v/>
      </c>
      <c r="R534" s="7">
        <f>'1 datos preparados'!Q527</f>
        <v/>
      </c>
      <c r="S534" s="7">
        <f>'1 datos preparados'!R527</f>
        <v/>
      </c>
      <c r="T534" s="7">
        <f>'1 datos preparados'!S527</f>
        <v/>
      </c>
      <c r="U534" s="7">
        <f>'1 datos preparados'!T527</f>
        <v/>
      </c>
      <c r="V534" s="8">
        <f>$AC$12+D534*$AC$13+E534*$AC$14+F534*$AC$15+G534*$AC$16+H534*$AC$17+I534*$AC$18+J534*$AC$19+K534*$AC$20+L534*$AC$21+M534*$AC$22+N534*$AC$23+O534*$AC$24+P534*$AC$25+Q534*$AC$26+R534*$AC$27+S534*$AC$28+T534*$AC$29+U534*$AC$30</f>
        <v/>
      </c>
      <c r="W534" s="8">
        <f>1/(1+EXP(-V534))</f>
        <v/>
      </c>
      <c r="X534" s="9">
        <f>-IF(C534=1,LN(W534),LN(1-W534))</f>
        <v/>
      </c>
      <c r="Y534" s="10">
        <f>IF(W534&gt;$AC$33,1,0)</f>
        <v/>
      </c>
      <c r="Z534">
        <f>IF(Y534=C534,1,0)</f>
        <v/>
      </c>
    </row>
    <row r="535">
      <c r="A535">
        <f>'1 datos preparados'!A528</f>
        <v/>
      </c>
      <c r="B535" s="5">
        <f>'1 datos preparados'!U528</f>
        <v/>
      </c>
      <c r="C535">
        <f>'1 datos preparados'!B528</f>
        <v/>
      </c>
      <c r="D535" s="7">
        <f>'1 datos preparados'!C528</f>
        <v/>
      </c>
      <c r="E535" s="7">
        <f>'1 datos preparados'!D528</f>
        <v/>
      </c>
      <c r="F535" s="7">
        <f>'1 datos preparados'!E528</f>
        <v/>
      </c>
      <c r="G535" s="7">
        <f>'1 datos preparados'!F528</f>
        <v/>
      </c>
      <c r="H535" s="7">
        <f>'1 datos preparados'!G528</f>
        <v/>
      </c>
      <c r="I535" s="7">
        <f>'1 datos preparados'!H528</f>
        <v/>
      </c>
      <c r="J535" s="7">
        <f>'1 datos preparados'!I528</f>
        <v/>
      </c>
      <c r="K535" s="7">
        <f>'1 datos preparados'!J528</f>
        <v/>
      </c>
      <c r="L535" s="7">
        <f>'1 datos preparados'!K528</f>
        <v/>
      </c>
      <c r="M535" s="7">
        <f>'1 datos preparados'!L528</f>
        <v/>
      </c>
      <c r="N535" s="7">
        <f>'1 datos preparados'!M528</f>
        <v/>
      </c>
      <c r="O535" s="7">
        <f>'1 datos preparados'!N528</f>
        <v/>
      </c>
      <c r="P535" s="7">
        <f>'1 datos preparados'!O528</f>
        <v/>
      </c>
      <c r="Q535" s="7">
        <f>'1 datos preparados'!P528</f>
        <v/>
      </c>
      <c r="R535" s="7">
        <f>'1 datos preparados'!Q528</f>
        <v/>
      </c>
      <c r="S535" s="7">
        <f>'1 datos preparados'!R528</f>
        <v/>
      </c>
      <c r="T535" s="7">
        <f>'1 datos preparados'!S528</f>
        <v/>
      </c>
      <c r="U535" s="7">
        <f>'1 datos preparados'!T528</f>
        <v/>
      </c>
      <c r="V535" s="8">
        <f>$AC$12+D535*$AC$13+E535*$AC$14+F535*$AC$15+G535*$AC$16+H535*$AC$17+I535*$AC$18+J535*$AC$19+K535*$AC$20+L535*$AC$21+M535*$AC$22+N535*$AC$23+O535*$AC$24+P535*$AC$25+Q535*$AC$26+R535*$AC$27+S535*$AC$28+T535*$AC$29+U535*$AC$30</f>
        <v/>
      </c>
      <c r="W535" s="8">
        <f>1/(1+EXP(-V535))</f>
        <v/>
      </c>
      <c r="X535" s="9">
        <f>-IF(C535=1,LN(W535),LN(1-W535))</f>
        <v/>
      </c>
      <c r="Y535" s="10">
        <f>IF(W535&gt;$AC$33,1,0)</f>
        <v/>
      </c>
      <c r="Z535">
        <f>IF(Y535=C535,1,0)</f>
        <v/>
      </c>
    </row>
    <row r="536">
      <c r="A536">
        <f>'1 datos preparados'!A529</f>
        <v/>
      </c>
      <c r="B536" s="5">
        <f>'1 datos preparados'!U529</f>
        <v/>
      </c>
      <c r="C536">
        <f>'1 datos preparados'!B529</f>
        <v/>
      </c>
      <c r="D536" s="7">
        <f>'1 datos preparados'!C529</f>
        <v/>
      </c>
      <c r="E536" s="7">
        <f>'1 datos preparados'!D529</f>
        <v/>
      </c>
      <c r="F536" s="7">
        <f>'1 datos preparados'!E529</f>
        <v/>
      </c>
      <c r="G536" s="7">
        <f>'1 datos preparados'!F529</f>
        <v/>
      </c>
      <c r="H536" s="7">
        <f>'1 datos preparados'!G529</f>
        <v/>
      </c>
      <c r="I536" s="7">
        <f>'1 datos preparados'!H529</f>
        <v/>
      </c>
      <c r="J536" s="7">
        <f>'1 datos preparados'!I529</f>
        <v/>
      </c>
      <c r="K536" s="7">
        <f>'1 datos preparados'!J529</f>
        <v/>
      </c>
      <c r="L536" s="7">
        <f>'1 datos preparados'!K529</f>
        <v/>
      </c>
      <c r="M536" s="7">
        <f>'1 datos preparados'!L529</f>
        <v/>
      </c>
      <c r="N536" s="7">
        <f>'1 datos preparados'!M529</f>
        <v/>
      </c>
      <c r="O536" s="7">
        <f>'1 datos preparados'!N529</f>
        <v/>
      </c>
      <c r="P536" s="7">
        <f>'1 datos preparados'!O529</f>
        <v/>
      </c>
      <c r="Q536" s="7">
        <f>'1 datos preparados'!P529</f>
        <v/>
      </c>
      <c r="R536" s="7">
        <f>'1 datos preparados'!Q529</f>
        <v/>
      </c>
      <c r="S536" s="7">
        <f>'1 datos preparados'!R529</f>
        <v/>
      </c>
      <c r="T536" s="7">
        <f>'1 datos preparados'!S529</f>
        <v/>
      </c>
      <c r="U536" s="7">
        <f>'1 datos preparados'!T529</f>
        <v/>
      </c>
      <c r="V536" s="8">
        <f>$AC$12+D536*$AC$13+E536*$AC$14+F536*$AC$15+G536*$AC$16+H536*$AC$17+I536*$AC$18+J536*$AC$19+K536*$AC$20+L536*$AC$21+M536*$AC$22+N536*$AC$23+O536*$AC$24+P536*$AC$25+Q536*$AC$26+R536*$AC$27+S536*$AC$28+T536*$AC$29+U536*$AC$30</f>
        <v/>
      </c>
      <c r="W536" s="8">
        <f>1/(1+EXP(-V536))</f>
        <v/>
      </c>
      <c r="X536" s="9">
        <f>-IF(C536=1,LN(W536),LN(1-W536))</f>
        <v/>
      </c>
      <c r="Y536" s="10">
        <f>IF(W536&gt;$AC$33,1,0)</f>
        <v/>
      </c>
      <c r="Z536">
        <f>IF(Y536=C536,1,0)</f>
        <v/>
      </c>
    </row>
    <row r="537">
      <c r="A537">
        <f>'1 datos preparados'!A530</f>
        <v/>
      </c>
      <c r="B537" s="5">
        <f>'1 datos preparados'!U530</f>
        <v/>
      </c>
      <c r="C537">
        <f>'1 datos preparados'!B530</f>
        <v/>
      </c>
      <c r="D537" s="7">
        <f>'1 datos preparados'!C530</f>
        <v/>
      </c>
      <c r="E537" s="7">
        <f>'1 datos preparados'!D530</f>
        <v/>
      </c>
      <c r="F537" s="7">
        <f>'1 datos preparados'!E530</f>
        <v/>
      </c>
      <c r="G537" s="7">
        <f>'1 datos preparados'!F530</f>
        <v/>
      </c>
      <c r="H537" s="7">
        <f>'1 datos preparados'!G530</f>
        <v/>
      </c>
      <c r="I537" s="7">
        <f>'1 datos preparados'!H530</f>
        <v/>
      </c>
      <c r="J537" s="7">
        <f>'1 datos preparados'!I530</f>
        <v/>
      </c>
      <c r="K537" s="7">
        <f>'1 datos preparados'!J530</f>
        <v/>
      </c>
      <c r="L537" s="7">
        <f>'1 datos preparados'!K530</f>
        <v/>
      </c>
      <c r="M537" s="7">
        <f>'1 datos preparados'!L530</f>
        <v/>
      </c>
      <c r="N537" s="7">
        <f>'1 datos preparados'!M530</f>
        <v/>
      </c>
      <c r="O537" s="7">
        <f>'1 datos preparados'!N530</f>
        <v/>
      </c>
      <c r="P537" s="7">
        <f>'1 datos preparados'!O530</f>
        <v/>
      </c>
      <c r="Q537" s="7">
        <f>'1 datos preparados'!P530</f>
        <v/>
      </c>
      <c r="R537" s="7">
        <f>'1 datos preparados'!Q530</f>
        <v/>
      </c>
      <c r="S537" s="7">
        <f>'1 datos preparados'!R530</f>
        <v/>
      </c>
      <c r="T537" s="7">
        <f>'1 datos preparados'!S530</f>
        <v/>
      </c>
      <c r="U537" s="7">
        <f>'1 datos preparados'!T530</f>
        <v/>
      </c>
      <c r="V537" s="8">
        <f>$AC$12+D537*$AC$13+E537*$AC$14+F537*$AC$15+G537*$AC$16+H537*$AC$17+I537*$AC$18+J537*$AC$19+K537*$AC$20+L537*$AC$21+M537*$AC$22+N537*$AC$23+O537*$AC$24+P537*$AC$25+Q537*$AC$26+R537*$AC$27+S537*$AC$28+T537*$AC$29+U537*$AC$30</f>
        <v/>
      </c>
      <c r="W537" s="8">
        <f>1/(1+EXP(-V537))</f>
        <v/>
      </c>
      <c r="X537" s="9">
        <f>-IF(C537=1,LN(W537),LN(1-W537))</f>
        <v/>
      </c>
      <c r="Y537" s="10">
        <f>IF(W537&gt;$AC$33,1,0)</f>
        <v/>
      </c>
      <c r="Z537">
        <f>IF(Y537=C537,1,0)</f>
        <v/>
      </c>
    </row>
    <row r="538">
      <c r="A538">
        <f>'1 datos preparados'!A531</f>
        <v/>
      </c>
      <c r="B538" s="5">
        <f>'1 datos preparados'!U531</f>
        <v/>
      </c>
      <c r="C538">
        <f>'1 datos preparados'!B531</f>
        <v/>
      </c>
      <c r="D538" s="7">
        <f>'1 datos preparados'!C531</f>
        <v/>
      </c>
      <c r="E538" s="7">
        <f>'1 datos preparados'!D531</f>
        <v/>
      </c>
      <c r="F538" s="7">
        <f>'1 datos preparados'!E531</f>
        <v/>
      </c>
      <c r="G538" s="7">
        <f>'1 datos preparados'!F531</f>
        <v/>
      </c>
      <c r="H538" s="7">
        <f>'1 datos preparados'!G531</f>
        <v/>
      </c>
      <c r="I538" s="7">
        <f>'1 datos preparados'!H531</f>
        <v/>
      </c>
      <c r="J538" s="7">
        <f>'1 datos preparados'!I531</f>
        <v/>
      </c>
      <c r="K538" s="7">
        <f>'1 datos preparados'!J531</f>
        <v/>
      </c>
      <c r="L538" s="7">
        <f>'1 datos preparados'!K531</f>
        <v/>
      </c>
      <c r="M538" s="7">
        <f>'1 datos preparados'!L531</f>
        <v/>
      </c>
      <c r="N538" s="7">
        <f>'1 datos preparados'!M531</f>
        <v/>
      </c>
      <c r="O538" s="7">
        <f>'1 datos preparados'!N531</f>
        <v/>
      </c>
      <c r="P538" s="7">
        <f>'1 datos preparados'!O531</f>
        <v/>
      </c>
      <c r="Q538" s="7">
        <f>'1 datos preparados'!P531</f>
        <v/>
      </c>
      <c r="R538" s="7">
        <f>'1 datos preparados'!Q531</f>
        <v/>
      </c>
      <c r="S538" s="7">
        <f>'1 datos preparados'!R531</f>
        <v/>
      </c>
      <c r="T538" s="7">
        <f>'1 datos preparados'!S531</f>
        <v/>
      </c>
      <c r="U538" s="7">
        <f>'1 datos preparados'!T531</f>
        <v/>
      </c>
      <c r="V538" s="8">
        <f>$AC$12+D538*$AC$13+E538*$AC$14+F538*$AC$15+G538*$AC$16+H538*$AC$17+I538*$AC$18+J538*$AC$19+K538*$AC$20+L538*$AC$21+M538*$AC$22+N538*$AC$23+O538*$AC$24+P538*$AC$25+Q538*$AC$26+R538*$AC$27+S538*$AC$28+T538*$AC$29+U538*$AC$30</f>
        <v/>
      </c>
      <c r="W538" s="8">
        <f>1/(1+EXP(-V538))</f>
        <v/>
      </c>
      <c r="X538" s="9">
        <f>-IF(C538=1,LN(W538),LN(1-W538))</f>
        <v/>
      </c>
      <c r="Y538" s="10">
        <f>IF(W538&gt;$AC$33,1,0)</f>
        <v/>
      </c>
      <c r="Z538">
        <f>IF(Y538=C538,1,0)</f>
        <v/>
      </c>
    </row>
    <row r="539">
      <c r="A539">
        <f>'1 datos preparados'!A532</f>
        <v/>
      </c>
      <c r="B539" s="5">
        <f>'1 datos preparados'!U532</f>
        <v/>
      </c>
      <c r="C539">
        <f>'1 datos preparados'!B532</f>
        <v/>
      </c>
      <c r="D539" s="7">
        <f>'1 datos preparados'!C532</f>
        <v/>
      </c>
      <c r="E539" s="7">
        <f>'1 datos preparados'!D532</f>
        <v/>
      </c>
      <c r="F539" s="7">
        <f>'1 datos preparados'!E532</f>
        <v/>
      </c>
      <c r="G539" s="7">
        <f>'1 datos preparados'!F532</f>
        <v/>
      </c>
      <c r="H539" s="7">
        <f>'1 datos preparados'!G532</f>
        <v/>
      </c>
      <c r="I539" s="7">
        <f>'1 datos preparados'!H532</f>
        <v/>
      </c>
      <c r="J539" s="7">
        <f>'1 datos preparados'!I532</f>
        <v/>
      </c>
      <c r="K539" s="7">
        <f>'1 datos preparados'!J532</f>
        <v/>
      </c>
      <c r="L539" s="7">
        <f>'1 datos preparados'!K532</f>
        <v/>
      </c>
      <c r="M539" s="7">
        <f>'1 datos preparados'!L532</f>
        <v/>
      </c>
      <c r="N539" s="7">
        <f>'1 datos preparados'!M532</f>
        <v/>
      </c>
      <c r="O539" s="7">
        <f>'1 datos preparados'!N532</f>
        <v/>
      </c>
      <c r="P539" s="7">
        <f>'1 datos preparados'!O532</f>
        <v/>
      </c>
      <c r="Q539" s="7">
        <f>'1 datos preparados'!P532</f>
        <v/>
      </c>
      <c r="R539" s="7">
        <f>'1 datos preparados'!Q532</f>
        <v/>
      </c>
      <c r="S539" s="7">
        <f>'1 datos preparados'!R532</f>
        <v/>
      </c>
      <c r="T539" s="7">
        <f>'1 datos preparados'!S532</f>
        <v/>
      </c>
      <c r="U539" s="7">
        <f>'1 datos preparados'!T532</f>
        <v/>
      </c>
      <c r="V539" s="8">
        <f>$AC$12+D539*$AC$13+E539*$AC$14+F539*$AC$15+G539*$AC$16+H539*$AC$17+I539*$AC$18+J539*$AC$19+K539*$AC$20+L539*$AC$21+M539*$AC$22+N539*$AC$23+O539*$AC$24+P539*$AC$25+Q539*$AC$26+R539*$AC$27+S539*$AC$28+T539*$AC$29+U539*$AC$30</f>
        <v/>
      </c>
      <c r="W539" s="8">
        <f>1/(1+EXP(-V539))</f>
        <v/>
      </c>
      <c r="X539" s="9">
        <f>-IF(C539=1,LN(W539),LN(1-W539))</f>
        <v/>
      </c>
      <c r="Y539" s="10">
        <f>IF(W539&gt;$AC$33,1,0)</f>
        <v/>
      </c>
      <c r="Z539">
        <f>IF(Y539=C539,1,0)</f>
        <v/>
      </c>
    </row>
    <row r="540">
      <c r="A540">
        <f>'1 datos preparados'!A533</f>
        <v/>
      </c>
      <c r="B540" s="5">
        <f>'1 datos preparados'!U533</f>
        <v/>
      </c>
      <c r="C540">
        <f>'1 datos preparados'!B533</f>
        <v/>
      </c>
      <c r="D540" s="7">
        <f>'1 datos preparados'!C533</f>
        <v/>
      </c>
      <c r="E540" s="7">
        <f>'1 datos preparados'!D533</f>
        <v/>
      </c>
      <c r="F540" s="7">
        <f>'1 datos preparados'!E533</f>
        <v/>
      </c>
      <c r="G540" s="7">
        <f>'1 datos preparados'!F533</f>
        <v/>
      </c>
      <c r="H540" s="7">
        <f>'1 datos preparados'!G533</f>
        <v/>
      </c>
      <c r="I540" s="7">
        <f>'1 datos preparados'!H533</f>
        <v/>
      </c>
      <c r="J540" s="7">
        <f>'1 datos preparados'!I533</f>
        <v/>
      </c>
      <c r="K540" s="7">
        <f>'1 datos preparados'!J533</f>
        <v/>
      </c>
      <c r="L540" s="7">
        <f>'1 datos preparados'!K533</f>
        <v/>
      </c>
      <c r="M540" s="7">
        <f>'1 datos preparados'!L533</f>
        <v/>
      </c>
      <c r="N540" s="7">
        <f>'1 datos preparados'!M533</f>
        <v/>
      </c>
      <c r="O540" s="7">
        <f>'1 datos preparados'!N533</f>
        <v/>
      </c>
      <c r="P540" s="7">
        <f>'1 datos preparados'!O533</f>
        <v/>
      </c>
      <c r="Q540" s="7">
        <f>'1 datos preparados'!P533</f>
        <v/>
      </c>
      <c r="R540" s="7">
        <f>'1 datos preparados'!Q533</f>
        <v/>
      </c>
      <c r="S540" s="7">
        <f>'1 datos preparados'!R533</f>
        <v/>
      </c>
      <c r="T540" s="7">
        <f>'1 datos preparados'!S533</f>
        <v/>
      </c>
      <c r="U540" s="7">
        <f>'1 datos preparados'!T533</f>
        <v/>
      </c>
      <c r="V540" s="8">
        <f>$AC$12+D540*$AC$13+E540*$AC$14+F540*$AC$15+G540*$AC$16+H540*$AC$17+I540*$AC$18+J540*$AC$19+K540*$AC$20+L540*$AC$21+M540*$AC$22+N540*$AC$23+O540*$AC$24+P540*$AC$25+Q540*$AC$26+R540*$AC$27+S540*$AC$28+T540*$AC$29+U540*$AC$30</f>
        <v/>
      </c>
      <c r="W540" s="8">
        <f>1/(1+EXP(-V540))</f>
        <v/>
      </c>
      <c r="X540" s="9">
        <f>-IF(C540=1,LN(W540),LN(1-W540))</f>
        <v/>
      </c>
      <c r="Y540" s="10">
        <f>IF(W540&gt;$AC$33,1,0)</f>
        <v/>
      </c>
      <c r="Z540">
        <f>IF(Y540=C540,1,0)</f>
        <v/>
      </c>
    </row>
    <row r="541">
      <c r="A541">
        <f>'1 datos preparados'!A534</f>
        <v/>
      </c>
      <c r="B541" s="5">
        <f>'1 datos preparados'!U534</f>
        <v/>
      </c>
      <c r="C541">
        <f>'1 datos preparados'!B534</f>
        <v/>
      </c>
      <c r="D541" s="7">
        <f>'1 datos preparados'!C534</f>
        <v/>
      </c>
      <c r="E541" s="7">
        <f>'1 datos preparados'!D534</f>
        <v/>
      </c>
      <c r="F541" s="7">
        <f>'1 datos preparados'!E534</f>
        <v/>
      </c>
      <c r="G541" s="7">
        <f>'1 datos preparados'!F534</f>
        <v/>
      </c>
      <c r="H541" s="7">
        <f>'1 datos preparados'!G534</f>
        <v/>
      </c>
      <c r="I541" s="7">
        <f>'1 datos preparados'!H534</f>
        <v/>
      </c>
      <c r="J541" s="7">
        <f>'1 datos preparados'!I534</f>
        <v/>
      </c>
      <c r="K541" s="7">
        <f>'1 datos preparados'!J534</f>
        <v/>
      </c>
      <c r="L541" s="7">
        <f>'1 datos preparados'!K534</f>
        <v/>
      </c>
      <c r="M541" s="7">
        <f>'1 datos preparados'!L534</f>
        <v/>
      </c>
      <c r="N541" s="7">
        <f>'1 datos preparados'!M534</f>
        <v/>
      </c>
      <c r="O541" s="7">
        <f>'1 datos preparados'!N534</f>
        <v/>
      </c>
      <c r="P541" s="7">
        <f>'1 datos preparados'!O534</f>
        <v/>
      </c>
      <c r="Q541" s="7">
        <f>'1 datos preparados'!P534</f>
        <v/>
      </c>
      <c r="R541" s="7">
        <f>'1 datos preparados'!Q534</f>
        <v/>
      </c>
      <c r="S541" s="7">
        <f>'1 datos preparados'!R534</f>
        <v/>
      </c>
      <c r="T541" s="7">
        <f>'1 datos preparados'!S534</f>
        <v/>
      </c>
      <c r="U541" s="7">
        <f>'1 datos preparados'!T534</f>
        <v/>
      </c>
      <c r="V541" s="8">
        <f>$AC$12+D541*$AC$13+E541*$AC$14+F541*$AC$15+G541*$AC$16+H541*$AC$17+I541*$AC$18+J541*$AC$19+K541*$AC$20+L541*$AC$21+M541*$AC$22+N541*$AC$23+O541*$AC$24+P541*$AC$25+Q541*$AC$26+R541*$AC$27+S541*$AC$28+T541*$AC$29+U541*$AC$30</f>
        <v/>
      </c>
      <c r="W541" s="8">
        <f>1/(1+EXP(-V541))</f>
        <v/>
      </c>
      <c r="X541" s="9">
        <f>-IF(C541=1,LN(W541),LN(1-W541))</f>
        <v/>
      </c>
      <c r="Y541" s="10">
        <f>IF(W541&gt;$AC$33,1,0)</f>
        <v/>
      </c>
      <c r="Z541">
        <f>IF(Y541=C541,1,0)</f>
        <v/>
      </c>
    </row>
    <row r="542">
      <c r="A542">
        <f>'1 datos preparados'!A535</f>
        <v/>
      </c>
      <c r="B542" s="5">
        <f>'1 datos preparados'!U535</f>
        <v/>
      </c>
      <c r="C542">
        <f>'1 datos preparados'!B535</f>
        <v/>
      </c>
      <c r="D542" s="7">
        <f>'1 datos preparados'!C535</f>
        <v/>
      </c>
      <c r="E542" s="7">
        <f>'1 datos preparados'!D535</f>
        <v/>
      </c>
      <c r="F542" s="7">
        <f>'1 datos preparados'!E535</f>
        <v/>
      </c>
      <c r="G542" s="7">
        <f>'1 datos preparados'!F535</f>
        <v/>
      </c>
      <c r="H542" s="7">
        <f>'1 datos preparados'!G535</f>
        <v/>
      </c>
      <c r="I542" s="7">
        <f>'1 datos preparados'!H535</f>
        <v/>
      </c>
      <c r="J542" s="7">
        <f>'1 datos preparados'!I535</f>
        <v/>
      </c>
      <c r="K542" s="7">
        <f>'1 datos preparados'!J535</f>
        <v/>
      </c>
      <c r="L542" s="7">
        <f>'1 datos preparados'!K535</f>
        <v/>
      </c>
      <c r="M542" s="7">
        <f>'1 datos preparados'!L535</f>
        <v/>
      </c>
      <c r="N542" s="7">
        <f>'1 datos preparados'!M535</f>
        <v/>
      </c>
      <c r="O542" s="7">
        <f>'1 datos preparados'!N535</f>
        <v/>
      </c>
      <c r="P542" s="7">
        <f>'1 datos preparados'!O535</f>
        <v/>
      </c>
      <c r="Q542" s="7">
        <f>'1 datos preparados'!P535</f>
        <v/>
      </c>
      <c r="R542" s="7">
        <f>'1 datos preparados'!Q535</f>
        <v/>
      </c>
      <c r="S542" s="7">
        <f>'1 datos preparados'!R535</f>
        <v/>
      </c>
      <c r="T542" s="7">
        <f>'1 datos preparados'!S535</f>
        <v/>
      </c>
      <c r="U542" s="7">
        <f>'1 datos preparados'!T535</f>
        <v/>
      </c>
      <c r="V542" s="8">
        <f>$AC$12+D542*$AC$13+E542*$AC$14+F542*$AC$15+G542*$AC$16+H542*$AC$17+I542*$AC$18+J542*$AC$19+K542*$AC$20+L542*$AC$21+M542*$AC$22+N542*$AC$23+O542*$AC$24+P542*$AC$25+Q542*$AC$26+R542*$AC$27+S542*$AC$28+T542*$AC$29+U542*$AC$30</f>
        <v/>
      </c>
      <c r="W542" s="8">
        <f>1/(1+EXP(-V542))</f>
        <v/>
      </c>
      <c r="X542" s="9">
        <f>-IF(C542=1,LN(W542),LN(1-W542))</f>
        <v/>
      </c>
      <c r="Y542" s="10">
        <f>IF(W542&gt;$AC$33,1,0)</f>
        <v/>
      </c>
      <c r="Z542">
        <f>IF(Y542=C542,1,0)</f>
        <v/>
      </c>
    </row>
    <row r="543">
      <c r="A543">
        <f>'1 datos preparados'!A536</f>
        <v/>
      </c>
      <c r="B543" s="5">
        <f>'1 datos preparados'!U536</f>
        <v/>
      </c>
      <c r="C543">
        <f>'1 datos preparados'!B536</f>
        <v/>
      </c>
      <c r="D543" s="7">
        <f>'1 datos preparados'!C536</f>
        <v/>
      </c>
      <c r="E543" s="7">
        <f>'1 datos preparados'!D536</f>
        <v/>
      </c>
      <c r="F543" s="7">
        <f>'1 datos preparados'!E536</f>
        <v/>
      </c>
      <c r="G543" s="7">
        <f>'1 datos preparados'!F536</f>
        <v/>
      </c>
      <c r="H543" s="7">
        <f>'1 datos preparados'!G536</f>
        <v/>
      </c>
      <c r="I543" s="7">
        <f>'1 datos preparados'!H536</f>
        <v/>
      </c>
      <c r="J543" s="7">
        <f>'1 datos preparados'!I536</f>
        <v/>
      </c>
      <c r="K543" s="7">
        <f>'1 datos preparados'!J536</f>
        <v/>
      </c>
      <c r="L543" s="7">
        <f>'1 datos preparados'!K536</f>
        <v/>
      </c>
      <c r="M543" s="7">
        <f>'1 datos preparados'!L536</f>
        <v/>
      </c>
      <c r="N543" s="7">
        <f>'1 datos preparados'!M536</f>
        <v/>
      </c>
      <c r="O543" s="7">
        <f>'1 datos preparados'!N536</f>
        <v/>
      </c>
      <c r="P543" s="7">
        <f>'1 datos preparados'!O536</f>
        <v/>
      </c>
      <c r="Q543" s="7">
        <f>'1 datos preparados'!P536</f>
        <v/>
      </c>
      <c r="R543" s="7">
        <f>'1 datos preparados'!Q536</f>
        <v/>
      </c>
      <c r="S543" s="7">
        <f>'1 datos preparados'!R536</f>
        <v/>
      </c>
      <c r="T543" s="7">
        <f>'1 datos preparados'!S536</f>
        <v/>
      </c>
      <c r="U543" s="7">
        <f>'1 datos preparados'!T536</f>
        <v/>
      </c>
      <c r="V543" s="8">
        <f>$AC$12+D543*$AC$13+E543*$AC$14+F543*$AC$15+G543*$AC$16+H543*$AC$17+I543*$AC$18+J543*$AC$19+K543*$AC$20+L543*$AC$21+M543*$AC$22+N543*$AC$23+O543*$AC$24+P543*$AC$25+Q543*$AC$26+R543*$AC$27+S543*$AC$28+T543*$AC$29+U543*$AC$30</f>
        <v/>
      </c>
      <c r="W543" s="8">
        <f>1/(1+EXP(-V543))</f>
        <v/>
      </c>
      <c r="X543" s="9">
        <f>-IF(C543=1,LN(W543),LN(1-W543))</f>
        <v/>
      </c>
      <c r="Y543" s="10">
        <f>IF(W543&gt;$AC$33,1,0)</f>
        <v/>
      </c>
      <c r="Z543">
        <f>IF(Y543=C543,1,0)</f>
        <v/>
      </c>
    </row>
    <row r="544">
      <c r="A544">
        <f>'1 datos preparados'!A537</f>
        <v/>
      </c>
      <c r="B544" s="5">
        <f>'1 datos preparados'!U537</f>
        <v/>
      </c>
      <c r="C544">
        <f>'1 datos preparados'!B537</f>
        <v/>
      </c>
      <c r="D544" s="7">
        <f>'1 datos preparados'!C537</f>
        <v/>
      </c>
      <c r="E544" s="7">
        <f>'1 datos preparados'!D537</f>
        <v/>
      </c>
      <c r="F544" s="7">
        <f>'1 datos preparados'!E537</f>
        <v/>
      </c>
      <c r="G544" s="7">
        <f>'1 datos preparados'!F537</f>
        <v/>
      </c>
      <c r="H544" s="7">
        <f>'1 datos preparados'!G537</f>
        <v/>
      </c>
      <c r="I544" s="7">
        <f>'1 datos preparados'!H537</f>
        <v/>
      </c>
      <c r="J544" s="7">
        <f>'1 datos preparados'!I537</f>
        <v/>
      </c>
      <c r="K544" s="7">
        <f>'1 datos preparados'!J537</f>
        <v/>
      </c>
      <c r="L544" s="7">
        <f>'1 datos preparados'!K537</f>
        <v/>
      </c>
      <c r="M544" s="7">
        <f>'1 datos preparados'!L537</f>
        <v/>
      </c>
      <c r="N544" s="7">
        <f>'1 datos preparados'!M537</f>
        <v/>
      </c>
      <c r="O544" s="7">
        <f>'1 datos preparados'!N537</f>
        <v/>
      </c>
      <c r="P544" s="7">
        <f>'1 datos preparados'!O537</f>
        <v/>
      </c>
      <c r="Q544" s="7">
        <f>'1 datos preparados'!P537</f>
        <v/>
      </c>
      <c r="R544" s="7">
        <f>'1 datos preparados'!Q537</f>
        <v/>
      </c>
      <c r="S544" s="7">
        <f>'1 datos preparados'!R537</f>
        <v/>
      </c>
      <c r="T544" s="7">
        <f>'1 datos preparados'!S537</f>
        <v/>
      </c>
      <c r="U544" s="7">
        <f>'1 datos preparados'!T537</f>
        <v/>
      </c>
      <c r="V544" s="8">
        <f>$AC$12+D544*$AC$13+E544*$AC$14+F544*$AC$15+G544*$AC$16+H544*$AC$17+I544*$AC$18+J544*$AC$19+K544*$AC$20+L544*$AC$21+M544*$AC$22+N544*$AC$23+O544*$AC$24+P544*$AC$25+Q544*$AC$26+R544*$AC$27+S544*$AC$28+T544*$AC$29+U544*$AC$30</f>
        <v/>
      </c>
      <c r="W544" s="8">
        <f>1/(1+EXP(-V544))</f>
        <v/>
      </c>
      <c r="X544" s="9">
        <f>-IF(C544=1,LN(W544),LN(1-W544))</f>
        <v/>
      </c>
      <c r="Y544" s="10">
        <f>IF(W544&gt;$AC$33,1,0)</f>
        <v/>
      </c>
      <c r="Z544">
        <f>IF(Y544=C544,1,0)</f>
        <v/>
      </c>
    </row>
    <row r="545">
      <c r="A545">
        <f>'1 datos preparados'!A538</f>
        <v/>
      </c>
      <c r="B545" s="5">
        <f>'1 datos preparados'!U538</f>
        <v/>
      </c>
      <c r="C545">
        <f>'1 datos preparados'!B538</f>
        <v/>
      </c>
      <c r="D545" s="7">
        <f>'1 datos preparados'!C538</f>
        <v/>
      </c>
      <c r="E545" s="7">
        <f>'1 datos preparados'!D538</f>
        <v/>
      </c>
      <c r="F545" s="7">
        <f>'1 datos preparados'!E538</f>
        <v/>
      </c>
      <c r="G545" s="7">
        <f>'1 datos preparados'!F538</f>
        <v/>
      </c>
      <c r="H545" s="7">
        <f>'1 datos preparados'!G538</f>
        <v/>
      </c>
      <c r="I545" s="7">
        <f>'1 datos preparados'!H538</f>
        <v/>
      </c>
      <c r="J545" s="7">
        <f>'1 datos preparados'!I538</f>
        <v/>
      </c>
      <c r="K545" s="7">
        <f>'1 datos preparados'!J538</f>
        <v/>
      </c>
      <c r="L545" s="7">
        <f>'1 datos preparados'!K538</f>
        <v/>
      </c>
      <c r="M545" s="7">
        <f>'1 datos preparados'!L538</f>
        <v/>
      </c>
      <c r="N545" s="7">
        <f>'1 datos preparados'!M538</f>
        <v/>
      </c>
      <c r="O545" s="7">
        <f>'1 datos preparados'!N538</f>
        <v/>
      </c>
      <c r="P545" s="7">
        <f>'1 datos preparados'!O538</f>
        <v/>
      </c>
      <c r="Q545" s="7">
        <f>'1 datos preparados'!P538</f>
        <v/>
      </c>
      <c r="R545" s="7">
        <f>'1 datos preparados'!Q538</f>
        <v/>
      </c>
      <c r="S545" s="7">
        <f>'1 datos preparados'!R538</f>
        <v/>
      </c>
      <c r="T545" s="7">
        <f>'1 datos preparados'!S538</f>
        <v/>
      </c>
      <c r="U545" s="7">
        <f>'1 datos preparados'!T538</f>
        <v/>
      </c>
      <c r="V545" s="8">
        <f>$AC$12+D545*$AC$13+E545*$AC$14+F545*$AC$15+G545*$AC$16+H545*$AC$17+I545*$AC$18+J545*$AC$19+K545*$AC$20+L545*$AC$21+M545*$AC$22+N545*$AC$23+O545*$AC$24+P545*$AC$25+Q545*$AC$26+R545*$AC$27+S545*$AC$28+T545*$AC$29+U545*$AC$30</f>
        <v/>
      </c>
      <c r="W545" s="8">
        <f>1/(1+EXP(-V545))</f>
        <v/>
      </c>
      <c r="X545" s="9">
        <f>-IF(C545=1,LN(W545),LN(1-W545))</f>
        <v/>
      </c>
      <c r="Y545" s="10">
        <f>IF(W545&gt;$AC$33,1,0)</f>
        <v/>
      </c>
      <c r="Z545">
        <f>IF(Y545=C545,1,0)</f>
        <v/>
      </c>
    </row>
    <row r="546">
      <c r="A546">
        <f>'1 datos preparados'!A539</f>
        <v/>
      </c>
      <c r="B546" s="5">
        <f>'1 datos preparados'!U539</f>
        <v/>
      </c>
      <c r="C546">
        <f>'1 datos preparados'!B539</f>
        <v/>
      </c>
      <c r="D546" s="7">
        <f>'1 datos preparados'!C539</f>
        <v/>
      </c>
      <c r="E546" s="7">
        <f>'1 datos preparados'!D539</f>
        <v/>
      </c>
      <c r="F546" s="7">
        <f>'1 datos preparados'!E539</f>
        <v/>
      </c>
      <c r="G546" s="7">
        <f>'1 datos preparados'!F539</f>
        <v/>
      </c>
      <c r="H546" s="7">
        <f>'1 datos preparados'!G539</f>
        <v/>
      </c>
      <c r="I546" s="7">
        <f>'1 datos preparados'!H539</f>
        <v/>
      </c>
      <c r="J546" s="7">
        <f>'1 datos preparados'!I539</f>
        <v/>
      </c>
      <c r="K546" s="7">
        <f>'1 datos preparados'!J539</f>
        <v/>
      </c>
      <c r="L546" s="7">
        <f>'1 datos preparados'!K539</f>
        <v/>
      </c>
      <c r="M546" s="7">
        <f>'1 datos preparados'!L539</f>
        <v/>
      </c>
      <c r="N546" s="7">
        <f>'1 datos preparados'!M539</f>
        <v/>
      </c>
      <c r="O546" s="7">
        <f>'1 datos preparados'!N539</f>
        <v/>
      </c>
      <c r="P546" s="7">
        <f>'1 datos preparados'!O539</f>
        <v/>
      </c>
      <c r="Q546" s="7">
        <f>'1 datos preparados'!P539</f>
        <v/>
      </c>
      <c r="R546" s="7">
        <f>'1 datos preparados'!Q539</f>
        <v/>
      </c>
      <c r="S546" s="7">
        <f>'1 datos preparados'!R539</f>
        <v/>
      </c>
      <c r="T546" s="7">
        <f>'1 datos preparados'!S539</f>
        <v/>
      </c>
      <c r="U546" s="7">
        <f>'1 datos preparados'!T539</f>
        <v/>
      </c>
      <c r="V546" s="8">
        <f>$AC$12+D546*$AC$13+E546*$AC$14+F546*$AC$15+G546*$AC$16+H546*$AC$17+I546*$AC$18+J546*$AC$19+K546*$AC$20+L546*$AC$21+M546*$AC$22+N546*$AC$23+O546*$AC$24+P546*$AC$25+Q546*$AC$26+R546*$AC$27+S546*$AC$28+T546*$AC$29+U546*$AC$30</f>
        <v/>
      </c>
      <c r="W546" s="8">
        <f>1/(1+EXP(-V546))</f>
        <v/>
      </c>
      <c r="X546" s="9">
        <f>-IF(C546=1,LN(W546),LN(1-W546))</f>
        <v/>
      </c>
      <c r="Y546" s="10">
        <f>IF(W546&gt;$AC$33,1,0)</f>
        <v/>
      </c>
      <c r="Z546">
        <f>IF(Y546=C546,1,0)</f>
        <v/>
      </c>
    </row>
    <row r="547">
      <c r="A547">
        <f>'1 datos preparados'!A540</f>
        <v/>
      </c>
      <c r="B547" s="5">
        <f>'1 datos preparados'!U540</f>
        <v/>
      </c>
      <c r="C547">
        <f>'1 datos preparados'!B540</f>
        <v/>
      </c>
      <c r="D547" s="7">
        <f>'1 datos preparados'!C540</f>
        <v/>
      </c>
      <c r="E547" s="7">
        <f>'1 datos preparados'!D540</f>
        <v/>
      </c>
      <c r="F547" s="7">
        <f>'1 datos preparados'!E540</f>
        <v/>
      </c>
      <c r="G547" s="7">
        <f>'1 datos preparados'!F540</f>
        <v/>
      </c>
      <c r="H547" s="7">
        <f>'1 datos preparados'!G540</f>
        <v/>
      </c>
      <c r="I547" s="7">
        <f>'1 datos preparados'!H540</f>
        <v/>
      </c>
      <c r="J547" s="7">
        <f>'1 datos preparados'!I540</f>
        <v/>
      </c>
      <c r="K547" s="7">
        <f>'1 datos preparados'!J540</f>
        <v/>
      </c>
      <c r="L547" s="7">
        <f>'1 datos preparados'!K540</f>
        <v/>
      </c>
      <c r="M547" s="7">
        <f>'1 datos preparados'!L540</f>
        <v/>
      </c>
      <c r="N547" s="7">
        <f>'1 datos preparados'!M540</f>
        <v/>
      </c>
      <c r="O547" s="7">
        <f>'1 datos preparados'!N540</f>
        <v/>
      </c>
      <c r="P547" s="7">
        <f>'1 datos preparados'!O540</f>
        <v/>
      </c>
      <c r="Q547" s="7">
        <f>'1 datos preparados'!P540</f>
        <v/>
      </c>
      <c r="R547" s="7">
        <f>'1 datos preparados'!Q540</f>
        <v/>
      </c>
      <c r="S547" s="7">
        <f>'1 datos preparados'!R540</f>
        <v/>
      </c>
      <c r="T547" s="7">
        <f>'1 datos preparados'!S540</f>
        <v/>
      </c>
      <c r="U547" s="7">
        <f>'1 datos preparados'!T540</f>
        <v/>
      </c>
      <c r="V547" s="8">
        <f>$AC$12+D547*$AC$13+E547*$AC$14+F547*$AC$15+G547*$AC$16+H547*$AC$17+I547*$AC$18+J547*$AC$19+K547*$AC$20+L547*$AC$21+M547*$AC$22+N547*$AC$23+O547*$AC$24+P547*$AC$25+Q547*$AC$26+R547*$AC$27+S547*$AC$28+T547*$AC$29+U547*$AC$30</f>
        <v/>
      </c>
      <c r="W547" s="8">
        <f>1/(1+EXP(-V547))</f>
        <v/>
      </c>
      <c r="X547" s="9">
        <f>-IF(C547=1,LN(W547),LN(1-W547))</f>
        <v/>
      </c>
      <c r="Y547" s="10">
        <f>IF(W547&gt;$AC$33,1,0)</f>
        <v/>
      </c>
      <c r="Z547">
        <f>IF(Y547=C547,1,0)</f>
        <v/>
      </c>
    </row>
    <row r="548">
      <c r="A548">
        <f>'1 datos preparados'!A541</f>
        <v/>
      </c>
      <c r="B548" s="5">
        <f>'1 datos preparados'!U541</f>
        <v/>
      </c>
      <c r="C548">
        <f>'1 datos preparados'!B541</f>
        <v/>
      </c>
      <c r="D548" s="7">
        <f>'1 datos preparados'!C541</f>
        <v/>
      </c>
      <c r="E548" s="7">
        <f>'1 datos preparados'!D541</f>
        <v/>
      </c>
      <c r="F548" s="7">
        <f>'1 datos preparados'!E541</f>
        <v/>
      </c>
      <c r="G548" s="7">
        <f>'1 datos preparados'!F541</f>
        <v/>
      </c>
      <c r="H548" s="7">
        <f>'1 datos preparados'!G541</f>
        <v/>
      </c>
      <c r="I548" s="7">
        <f>'1 datos preparados'!H541</f>
        <v/>
      </c>
      <c r="J548" s="7">
        <f>'1 datos preparados'!I541</f>
        <v/>
      </c>
      <c r="K548" s="7">
        <f>'1 datos preparados'!J541</f>
        <v/>
      </c>
      <c r="L548" s="7">
        <f>'1 datos preparados'!K541</f>
        <v/>
      </c>
      <c r="M548" s="7">
        <f>'1 datos preparados'!L541</f>
        <v/>
      </c>
      <c r="N548" s="7">
        <f>'1 datos preparados'!M541</f>
        <v/>
      </c>
      <c r="O548" s="7">
        <f>'1 datos preparados'!N541</f>
        <v/>
      </c>
      <c r="P548" s="7">
        <f>'1 datos preparados'!O541</f>
        <v/>
      </c>
      <c r="Q548" s="7">
        <f>'1 datos preparados'!P541</f>
        <v/>
      </c>
      <c r="R548" s="7">
        <f>'1 datos preparados'!Q541</f>
        <v/>
      </c>
      <c r="S548" s="7">
        <f>'1 datos preparados'!R541</f>
        <v/>
      </c>
      <c r="T548" s="7">
        <f>'1 datos preparados'!S541</f>
        <v/>
      </c>
      <c r="U548" s="7">
        <f>'1 datos preparados'!T541</f>
        <v/>
      </c>
      <c r="V548" s="8">
        <f>$AC$12+D548*$AC$13+E548*$AC$14+F548*$AC$15+G548*$AC$16+H548*$AC$17+I548*$AC$18+J548*$AC$19+K548*$AC$20+L548*$AC$21+M548*$AC$22+N548*$AC$23+O548*$AC$24+P548*$AC$25+Q548*$AC$26+R548*$AC$27+S548*$AC$28+T548*$AC$29+U548*$AC$30</f>
        <v/>
      </c>
      <c r="W548" s="8">
        <f>1/(1+EXP(-V548))</f>
        <v/>
      </c>
      <c r="X548" s="9">
        <f>-IF(C548=1,LN(W548),LN(1-W548))</f>
        <v/>
      </c>
      <c r="Y548" s="10">
        <f>IF(W548&gt;$AC$33,1,0)</f>
        <v/>
      </c>
      <c r="Z548">
        <f>IF(Y548=C548,1,0)</f>
        <v/>
      </c>
    </row>
    <row r="549">
      <c r="A549">
        <f>'1 datos preparados'!A542</f>
        <v/>
      </c>
      <c r="B549" s="5">
        <f>'1 datos preparados'!U542</f>
        <v/>
      </c>
      <c r="C549">
        <f>'1 datos preparados'!B542</f>
        <v/>
      </c>
      <c r="D549" s="7">
        <f>'1 datos preparados'!C542</f>
        <v/>
      </c>
      <c r="E549" s="7">
        <f>'1 datos preparados'!D542</f>
        <v/>
      </c>
      <c r="F549" s="7">
        <f>'1 datos preparados'!E542</f>
        <v/>
      </c>
      <c r="G549" s="7">
        <f>'1 datos preparados'!F542</f>
        <v/>
      </c>
      <c r="H549" s="7">
        <f>'1 datos preparados'!G542</f>
        <v/>
      </c>
      <c r="I549" s="7">
        <f>'1 datos preparados'!H542</f>
        <v/>
      </c>
      <c r="J549" s="7">
        <f>'1 datos preparados'!I542</f>
        <v/>
      </c>
      <c r="K549" s="7">
        <f>'1 datos preparados'!J542</f>
        <v/>
      </c>
      <c r="L549" s="7">
        <f>'1 datos preparados'!K542</f>
        <v/>
      </c>
      <c r="M549" s="7">
        <f>'1 datos preparados'!L542</f>
        <v/>
      </c>
      <c r="N549" s="7">
        <f>'1 datos preparados'!M542</f>
        <v/>
      </c>
      <c r="O549" s="7">
        <f>'1 datos preparados'!N542</f>
        <v/>
      </c>
      <c r="P549" s="7">
        <f>'1 datos preparados'!O542</f>
        <v/>
      </c>
      <c r="Q549" s="7">
        <f>'1 datos preparados'!P542</f>
        <v/>
      </c>
      <c r="R549" s="7">
        <f>'1 datos preparados'!Q542</f>
        <v/>
      </c>
      <c r="S549" s="7">
        <f>'1 datos preparados'!R542</f>
        <v/>
      </c>
      <c r="T549" s="7">
        <f>'1 datos preparados'!S542</f>
        <v/>
      </c>
      <c r="U549" s="7">
        <f>'1 datos preparados'!T542</f>
        <v/>
      </c>
      <c r="V549" s="8">
        <f>$AC$12+D549*$AC$13+E549*$AC$14+F549*$AC$15+G549*$AC$16+H549*$AC$17+I549*$AC$18+J549*$AC$19+K549*$AC$20+L549*$AC$21+M549*$AC$22+N549*$AC$23+O549*$AC$24+P549*$AC$25+Q549*$AC$26+R549*$AC$27+S549*$AC$28+T549*$AC$29+U549*$AC$30</f>
        <v/>
      </c>
      <c r="W549" s="8">
        <f>1/(1+EXP(-V549))</f>
        <v/>
      </c>
      <c r="X549" s="9">
        <f>-IF(C549=1,LN(W549),LN(1-W549))</f>
        <v/>
      </c>
      <c r="Y549" s="10">
        <f>IF(W549&gt;$AC$33,1,0)</f>
        <v/>
      </c>
      <c r="Z549">
        <f>IF(Y549=C549,1,0)</f>
        <v/>
      </c>
    </row>
    <row r="550">
      <c r="A550">
        <f>'1 datos preparados'!A543</f>
        <v/>
      </c>
      <c r="B550" s="5">
        <f>'1 datos preparados'!U543</f>
        <v/>
      </c>
      <c r="C550">
        <f>'1 datos preparados'!B543</f>
        <v/>
      </c>
      <c r="D550" s="7">
        <f>'1 datos preparados'!C543</f>
        <v/>
      </c>
      <c r="E550" s="7">
        <f>'1 datos preparados'!D543</f>
        <v/>
      </c>
      <c r="F550" s="7">
        <f>'1 datos preparados'!E543</f>
        <v/>
      </c>
      <c r="G550" s="7">
        <f>'1 datos preparados'!F543</f>
        <v/>
      </c>
      <c r="H550" s="7">
        <f>'1 datos preparados'!G543</f>
        <v/>
      </c>
      <c r="I550" s="7">
        <f>'1 datos preparados'!H543</f>
        <v/>
      </c>
      <c r="J550" s="7">
        <f>'1 datos preparados'!I543</f>
        <v/>
      </c>
      <c r="K550" s="7">
        <f>'1 datos preparados'!J543</f>
        <v/>
      </c>
      <c r="L550" s="7">
        <f>'1 datos preparados'!K543</f>
        <v/>
      </c>
      <c r="M550" s="7">
        <f>'1 datos preparados'!L543</f>
        <v/>
      </c>
      <c r="N550" s="7">
        <f>'1 datos preparados'!M543</f>
        <v/>
      </c>
      <c r="O550" s="7">
        <f>'1 datos preparados'!N543</f>
        <v/>
      </c>
      <c r="P550" s="7">
        <f>'1 datos preparados'!O543</f>
        <v/>
      </c>
      <c r="Q550" s="7">
        <f>'1 datos preparados'!P543</f>
        <v/>
      </c>
      <c r="R550" s="7">
        <f>'1 datos preparados'!Q543</f>
        <v/>
      </c>
      <c r="S550" s="7">
        <f>'1 datos preparados'!R543</f>
        <v/>
      </c>
      <c r="T550" s="7">
        <f>'1 datos preparados'!S543</f>
        <v/>
      </c>
      <c r="U550" s="7">
        <f>'1 datos preparados'!T543</f>
        <v/>
      </c>
      <c r="V550" s="8">
        <f>$AC$12+D550*$AC$13+E550*$AC$14+F550*$AC$15+G550*$AC$16+H550*$AC$17+I550*$AC$18+J550*$AC$19+K550*$AC$20+L550*$AC$21+M550*$AC$22+N550*$AC$23+O550*$AC$24+P550*$AC$25+Q550*$AC$26+R550*$AC$27+S550*$AC$28+T550*$AC$29+U550*$AC$30</f>
        <v/>
      </c>
      <c r="W550" s="8">
        <f>1/(1+EXP(-V550))</f>
        <v/>
      </c>
      <c r="X550" s="9">
        <f>-IF(C550=1,LN(W550),LN(1-W550))</f>
        <v/>
      </c>
      <c r="Y550" s="10">
        <f>IF(W550&gt;$AC$33,1,0)</f>
        <v/>
      </c>
      <c r="Z550">
        <f>IF(Y550=C550,1,0)</f>
        <v/>
      </c>
    </row>
    <row r="551">
      <c r="A551">
        <f>'1 datos preparados'!A544</f>
        <v/>
      </c>
      <c r="B551" s="5">
        <f>'1 datos preparados'!U544</f>
        <v/>
      </c>
      <c r="C551">
        <f>'1 datos preparados'!B544</f>
        <v/>
      </c>
      <c r="D551" s="7">
        <f>'1 datos preparados'!C544</f>
        <v/>
      </c>
      <c r="E551" s="7">
        <f>'1 datos preparados'!D544</f>
        <v/>
      </c>
      <c r="F551" s="7">
        <f>'1 datos preparados'!E544</f>
        <v/>
      </c>
      <c r="G551" s="7">
        <f>'1 datos preparados'!F544</f>
        <v/>
      </c>
      <c r="H551" s="7">
        <f>'1 datos preparados'!G544</f>
        <v/>
      </c>
      <c r="I551" s="7">
        <f>'1 datos preparados'!H544</f>
        <v/>
      </c>
      <c r="J551" s="7">
        <f>'1 datos preparados'!I544</f>
        <v/>
      </c>
      <c r="K551" s="7">
        <f>'1 datos preparados'!J544</f>
        <v/>
      </c>
      <c r="L551" s="7">
        <f>'1 datos preparados'!K544</f>
        <v/>
      </c>
      <c r="M551" s="7">
        <f>'1 datos preparados'!L544</f>
        <v/>
      </c>
      <c r="N551" s="7">
        <f>'1 datos preparados'!M544</f>
        <v/>
      </c>
      <c r="O551" s="7">
        <f>'1 datos preparados'!N544</f>
        <v/>
      </c>
      <c r="P551" s="7">
        <f>'1 datos preparados'!O544</f>
        <v/>
      </c>
      <c r="Q551" s="7">
        <f>'1 datos preparados'!P544</f>
        <v/>
      </c>
      <c r="R551" s="7">
        <f>'1 datos preparados'!Q544</f>
        <v/>
      </c>
      <c r="S551" s="7">
        <f>'1 datos preparados'!R544</f>
        <v/>
      </c>
      <c r="T551" s="7">
        <f>'1 datos preparados'!S544</f>
        <v/>
      </c>
      <c r="U551" s="7">
        <f>'1 datos preparados'!T544</f>
        <v/>
      </c>
      <c r="V551" s="8">
        <f>$AC$12+D551*$AC$13+E551*$AC$14+F551*$AC$15+G551*$AC$16+H551*$AC$17+I551*$AC$18+J551*$AC$19+K551*$AC$20+L551*$AC$21+M551*$AC$22+N551*$AC$23+O551*$AC$24+P551*$AC$25+Q551*$AC$26+R551*$AC$27+S551*$AC$28+T551*$AC$29+U551*$AC$30</f>
        <v/>
      </c>
      <c r="W551" s="8">
        <f>1/(1+EXP(-V551))</f>
        <v/>
      </c>
      <c r="X551" s="9">
        <f>-IF(C551=1,LN(W551),LN(1-W551))</f>
        <v/>
      </c>
      <c r="Y551" s="10">
        <f>IF(W551&gt;$AC$33,1,0)</f>
        <v/>
      </c>
      <c r="Z551">
        <f>IF(Y551=C551,1,0)</f>
        <v/>
      </c>
    </row>
    <row r="552">
      <c r="A552">
        <f>'1 datos preparados'!A545</f>
        <v/>
      </c>
      <c r="B552" s="5">
        <f>'1 datos preparados'!U545</f>
        <v/>
      </c>
      <c r="C552">
        <f>'1 datos preparados'!B545</f>
        <v/>
      </c>
      <c r="D552" s="7">
        <f>'1 datos preparados'!C545</f>
        <v/>
      </c>
      <c r="E552" s="7">
        <f>'1 datos preparados'!D545</f>
        <v/>
      </c>
      <c r="F552" s="7">
        <f>'1 datos preparados'!E545</f>
        <v/>
      </c>
      <c r="G552" s="7">
        <f>'1 datos preparados'!F545</f>
        <v/>
      </c>
      <c r="H552" s="7">
        <f>'1 datos preparados'!G545</f>
        <v/>
      </c>
      <c r="I552" s="7">
        <f>'1 datos preparados'!H545</f>
        <v/>
      </c>
      <c r="J552" s="7">
        <f>'1 datos preparados'!I545</f>
        <v/>
      </c>
      <c r="K552" s="7">
        <f>'1 datos preparados'!J545</f>
        <v/>
      </c>
      <c r="L552" s="7">
        <f>'1 datos preparados'!K545</f>
        <v/>
      </c>
      <c r="M552" s="7">
        <f>'1 datos preparados'!L545</f>
        <v/>
      </c>
      <c r="N552" s="7">
        <f>'1 datos preparados'!M545</f>
        <v/>
      </c>
      <c r="O552" s="7">
        <f>'1 datos preparados'!N545</f>
        <v/>
      </c>
      <c r="P552" s="7">
        <f>'1 datos preparados'!O545</f>
        <v/>
      </c>
      <c r="Q552" s="7">
        <f>'1 datos preparados'!P545</f>
        <v/>
      </c>
      <c r="R552" s="7">
        <f>'1 datos preparados'!Q545</f>
        <v/>
      </c>
      <c r="S552" s="7">
        <f>'1 datos preparados'!R545</f>
        <v/>
      </c>
      <c r="T552" s="7">
        <f>'1 datos preparados'!S545</f>
        <v/>
      </c>
      <c r="U552" s="7">
        <f>'1 datos preparados'!T545</f>
        <v/>
      </c>
      <c r="V552" s="8">
        <f>$AC$12+D552*$AC$13+E552*$AC$14+F552*$AC$15+G552*$AC$16+H552*$AC$17+I552*$AC$18+J552*$AC$19+K552*$AC$20+L552*$AC$21+M552*$AC$22+N552*$AC$23+O552*$AC$24+P552*$AC$25+Q552*$AC$26+R552*$AC$27+S552*$AC$28+T552*$AC$29+U552*$AC$30</f>
        <v/>
      </c>
      <c r="W552" s="8">
        <f>1/(1+EXP(-V552))</f>
        <v/>
      </c>
      <c r="X552" s="9">
        <f>-IF(C552=1,LN(W552),LN(1-W552))</f>
        <v/>
      </c>
      <c r="Y552" s="10">
        <f>IF(W552&gt;$AC$33,1,0)</f>
        <v/>
      </c>
      <c r="Z552">
        <f>IF(Y552=C552,1,0)</f>
        <v/>
      </c>
    </row>
    <row r="553">
      <c r="A553">
        <f>'1 datos preparados'!A546</f>
        <v/>
      </c>
      <c r="B553" s="5">
        <f>'1 datos preparados'!U546</f>
        <v/>
      </c>
      <c r="C553">
        <f>'1 datos preparados'!B546</f>
        <v/>
      </c>
      <c r="D553" s="7">
        <f>'1 datos preparados'!C546</f>
        <v/>
      </c>
      <c r="E553" s="7">
        <f>'1 datos preparados'!D546</f>
        <v/>
      </c>
      <c r="F553" s="7">
        <f>'1 datos preparados'!E546</f>
        <v/>
      </c>
      <c r="G553" s="7">
        <f>'1 datos preparados'!F546</f>
        <v/>
      </c>
      <c r="H553" s="7">
        <f>'1 datos preparados'!G546</f>
        <v/>
      </c>
      <c r="I553" s="7">
        <f>'1 datos preparados'!H546</f>
        <v/>
      </c>
      <c r="J553" s="7">
        <f>'1 datos preparados'!I546</f>
        <v/>
      </c>
      <c r="K553" s="7">
        <f>'1 datos preparados'!J546</f>
        <v/>
      </c>
      <c r="L553" s="7">
        <f>'1 datos preparados'!K546</f>
        <v/>
      </c>
      <c r="M553" s="7">
        <f>'1 datos preparados'!L546</f>
        <v/>
      </c>
      <c r="N553" s="7">
        <f>'1 datos preparados'!M546</f>
        <v/>
      </c>
      <c r="O553" s="7">
        <f>'1 datos preparados'!N546</f>
        <v/>
      </c>
      <c r="P553" s="7">
        <f>'1 datos preparados'!O546</f>
        <v/>
      </c>
      <c r="Q553" s="7">
        <f>'1 datos preparados'!P546</f>
        <v/>
      </c>
      <c r="R553" s="7">
        <f>'1 datos preparados'!Q546</f>
        <v/>
      </c>
      <c r="S553" s="7">
        <f>'1 datos preparados'!R546</f>
        <v/>
      </c>
      <c r="T553" s="7">
        <f>'1 datos preparados'!S546</f>
        <v/>
      </c>
      <c r="U553" s="7">
        <f>'1 datos preparados'!T546</f>
        <v/>
      </c>
      <c r="V553" s="8">
        <f>$AC$12+D553*$AC$13+E553*$AC$14+F553*$AC$15+G553*$AC$16+H553*$AC$17+I553*$AC$18+J553*$AC$19+K553*$AC$20+L553*$AC$21+M553*$AC$22+N553*$AC$23+O553*$AC$24+P553*$AC$25+Q553*$AC$26+R553*$AC$27+S553*$AC$28+T553*$AC$29+U553*$AC$30</f>
        <v/>
      </c>
      <c r="W553" s="8">
        <f>1/(1+EXP(-V553))</f>
        <v/>
      </c>
      <c r="X553" s="9">
        <f>-IF(C553=1,LN(W553),LN(1-W553))</f>
        <v/>
      </c>
      <c r="Y553" s="10">
        <f>IF(W553&gt;$AC$33,1,0)</f>
        <v/>
      </c>
      <c r="Z553">
        <f>IF(Y553=C553,1,0)</f>
        <v/>
      </c>
    </row>
    <row r="554">
      <c r="A554">
        <f>'1 datos preparados'!A547</f>
        <v/>
      </c>
      <c r="B554" s="5">
        <f>'1 datos preparados'!U547</f>
        <v/>
      </c>
      <c r="C554">
        <f>'1 datos preparados'!B547</f>
        <v/>
      </c>
      <c r="D554" s="7">
        <f>'1 datos preparados'!C547</f>
        <v/>
      </c>
      <c r="E554" s="7">
        <f>'1 datos preparados'!D547</f>
        <v/>
      </c>
      <c r="F554" s="7">
        <f>'1 datos preparados'!E547</f>
        <v/>
      </c>
      <c r="G554" s="7">
        <f>'1 datos preparados'!F547</f>
        <v/>
      </c>
      <c r="H554" s="7">
        <f>'1 datos preparados'!G547</f>
        <v/>
      </c>
      <c r="I554" s="7">
        <f>'1 datos preparados'!H547</f>
        <v/>
      </c>
      <c r="J554" s="7">
        <f>'1 datos preparados'!I547</f>
        <v/>
      </c>
      <c r="K554" s="7">
        <f>'1 datos preparados'!J547</f>
        <v/>
      </c>
      <c r="L554" s="7">
        <f>'1 datos preparados'!K547</f>
        <v/>
      </c>
      <c r="M554" s="7">
        <f>'1 datos preparados'!L547</f>
        <v/>
      </c>
      <c r="N554" s="7">
        <f>'1 datos preparados'!M547</f>
        <v/>
      </c>
      <c r="O554" s="7">
        <f>'1 datos preparados'!N547</f>
        <v/>
      </c>
      <c r="P554" s="7">
        <f>'1 datos preparados'!O547</f>
        <v/>
      </c>
      <c r="Q554" s="7">
        <f>'1 datos preparados'!P547</f>
        <v/>
      </c>
      <c r="R554" s="7">
        <f>'1 datos preparados'!Q547</f>
        <v/>
      </c>
      <c r="S554" s="7">
        <f>'1 datos preparados'!R547</f>
        <v/>
      </c>
      <c r="T554" s="7">
        <f>'1 datos preparados'!S547</f>
        <v/>
      </c>
      <c r="U554" s="7">
        <f>'1 datos preparados'!T547</f>
        <v/>
      </c>
      <c r="V554" s="8">
        <f>$AC$12+D554*$AC$13+E554*$AC$14+F554*$AC$15+G554*$AC$16+H554*$AC$17+I554*$AC$18+J554*$AC$19+K554*$AC$20+L554*$AC$21+M554*$AC$22+N554*$AC$23+O554*$AC$24+P554*$AC$25+Q554*$AC$26+R554*$AC$27+S554*$AC$28+T554*$AC$29+U554*$AC$30</f>
        <v/>
      </c>
      <c r="W554" s="8">
        <f>1/(1+EXP(-V554))</f>
        <v/>
      </c>
      <c r="X554" s="9">
        <f>-IF(C554=1,LN(W554),LN(1-W554))</f>
        <v/>
      </c>
      <c r="Y554" s="10">
        <f>IF(W554&gt;$AC$33,1,0)</f>
        <v/>
      </c>
      <c r="Z554">
        <f>IF(Y554=C554,1,0)</f>
        <v/>
      </c>
    </row>
    <row r="555">
      <c r="A555">
        <f>'1 datos preparados'!A548</f>
        <v/>
      </c>
      <c r="B555" s="5">
        <f>'1 datos preparados'!U548</f>
        <v/>
      </c>
      <c r="C555">
        <f>'1 datos preparados'!B548</f>
        <v/>
      </c>
      <c r="D555" s="7">
        <f>'1 datos preparados'!C548</f>
        <v/>
      </c>
      <c r="E555" s="7">
        <f>'1 datos preparados'!D548</f>
        <v/>
      </c>
      <c r="F555" s="7">
        <f>'1 datos preparados'!E548</f>
        <v/>
      </c>
      <c r="G555" s="7">
        <f>'1 datos preparados'!F548</f>
        <v/>
      </c>
      <c r="H555" s="7">
        <f>'1 datos preparados'!G548</f>
        <v/>
      </c>
      <c r="I555" s="7">
        <f>'1 datos preparados'!H548</f>
        <v/>
      </c>
      <c r="J555" s="7">
        <f>'1 datos preparados'!I548</f>
        <v/>
      </c>
      <c r="K555" s="7">
        <f>'1 datos preparados'!J548</f>
        <v/>
      </c>
      <c r="L555" s="7">
        <f>'1 datos preparados'!K548</f>
        <v/>
      </c>
      <c r="M555" s="7">
        <f>'1 datos preparados'!L548</f>
        <v/>
      </c>
      <c r="N555" s="7">
        <f>'1 datos preparados'!M548</f>
        <v/>
      </c>
      <c r="O555" s="7">
        <f>'1 datos preparados'!N548</f>
        <v/>
      </c>
      <c r="P555" s="7">
        <f>'1 datos preparados'!O548</f>
        <v/>
      </c>
      <c r="Q555" s="7">
        <f>'1 datos preparados'!P548</f>
        <v/>
      </c>
      <c r="R555" s="7">
        <f>'1 datos preparados'!Q548</f>
        <v/>
      </c>
      <c r="S555" s="7">
        <f>'1 datos preparados'!R548</f>
        <v/>
      </c>
      <c r="T555" s="7">
        <f>'1 datos preparados'!S548</f>
        <v/>
      </c>
      <c r="U555" s="7">
        <f>'1 datos preparados'!T548</f>
        <v/>
      </c>
      <c r="V555" s="8">
        <f>$AC$12+D555*$AC$13+E555*$AC$14+F555*$AC$15+G555*$AC$16+H555*$AC$17+I555*$AC$18+J555*$AC$19+K555*$AC$20+L555*$AC$21+M555*$AC$22+N555*$AC$23+O555*$AC$24+P555*$AC$25+Q555*$AC$26+R555*$AC$27+S555*$AC$28+T555*$AC$29+U555*$AC$30</f>
        <v/>
      </c>
      <c r="W555" s="8">
        <f>1/(1+EXP(-V555))</f>
        <v/>
      </c>
      <c r="X555" s="9">
        <f>-IF(C555=1,LN(W555),LN(1-W555))</f>
        <v/>
      </c>
      <c r="Y555" s="10">
        <f>IF(W555&gt;$AC$33,1,0)</f>
        <v/>
      </c>
      <c r="Z555">
        <f>IF(Y555=C555,1,0)</f>
        <v/>
      </c>
    </row>
    <row r="556">
      <c r="A556">
        <f>'1 datos preparados'!A549</f>
        <v/>
      </c>
      <c r="B556" s="5">
        <f>'1 datos preparados'!U549</f>
        <v/>
      </c>
      <c r="C556">
        <f>'1 datos preparados'!B549</f>
        <v/>
      </c>
      <c r="D556" s="7">
        <f>'1 datos preparados'!C549</f>
        <v/>
      </c>
      <c r="E556" s="7">
        <f>'1 datos preparados'!D549</f>
        <v/>
      </c>
      <c r="F556" s="7">
        <f>'1 datos preparados'!E549</f>
        <v/>
      </c>
      <c r="G556" s="7">
        <f>'1 datos preparados'!F549</f>
        <v/>
      </c>
      <c r="H556" s="7">
        <f>'1 datos preparados'!G549</f>
        <v/>
      </c>
      <c r="I556" s="7">
        <f>'1 datos preparados'!H549</f>
        <v/>
      </c>
      <c r="J556" s="7">
        <f>'1 datos preparados'!I549</f>
        <v/>
      </c>
      <c r="K556" s="7">
        <f>'1 datos preparados'!J549</f>
        <v/>
      </c>
      <c r="L556" s="7">
        <f>'1 datos preparados'!K549</f>
        <v/>
      </c>
      <c r="M556" s="7">
        <f>'1 datos preparados'!L549</f>
        <v/>
      </c>
      <c r="N556" s="7">
        <f>'1 datos preparados'!M549</f>
        <v/>
      </c>
      <c r="O556" s="7">
        <f>'1 datos preparados'!N549</f>
        <v/>
      </c>
      <c r="P556" s="7">
        <f>'1 datos preparados'!O549</f>
        <v/>
      </c>
      <c r="Q556" s="7">
        <f>'1 datos preparados'!P549</f>
        <v/>
      </c>
      <c r="R556" s="7">
        <f>'1 datos preparados'!Q549</f>
        <v/>
      </c>
      <c r="S556" s="7">
        <f>'1 datos preparados'!R549</f>
        <v/>
      </c>
      <c r="T556" s="7">
        <f>'1 datos preparados'!S549</f>
        <v/>
      </c>
      <c r="U556" s="7">
        <f>'1 datos preparados'!T549</f>
        <v/>
      </c>
      <c r="V556" s="8">
        <f>$AC$12+D556*$AC$13+E556*$AC$14+F556*$AC$15+G556*$AC$16+H556*$AC$17+I556*$AC$18+J556*$AC$19+K556*$AC$20+L556*$AC$21+M556*$AC$22+N556*$AC$23+O556*$AC$24+P556*$AC$25+Q556*$AC$26+R556*$AC$27+S556*$AC$28+T556*$AC$29+U556*$AC$30</f>
        <v/>
      </c>
      <c r="W556" s="8">
        <f>1/(1+EXP(-V556))</f>
        <v/>
      </c>
      <c r="X556" s="9">
        <f>-IF(C556=1,LN(W556),LN(1-W556))</f>
        <v/>
      </c>
      <c r="Y556" s="10">
        <f>IF(W556&gt;$AC$33,1,0)</f>
        <v/>
      </c>
      <c r="Z556">
        <f>IF(Y556=C556,1,0)</f>
        <v/>
      </c>
    </row>
    <row r="557">
      <c r="A557">
        <f>'1 datos preparados'!A550</f>
        <v/>
      </c>
      <c r="B557" s="5">
        <f>'1 datos preparados'!U550</f>
        <v/>
      </c>
      <c r="C557">
        <f>'1 datos preparados'!B550</f>
        <v/>
      </c>
      <c r="D557" s="7">
        <f>'1 datos preparados'!C550</f>
        <v/>
      </c>
      <c r="E557" s="7">
        <f>'1 datos preparados'!D550</f>
        <v/>
      </c>
      <c r="F557" s="7">
        <f>'1 datos preparados'!E550</f>
        <v/>
      </c>
      <c r="G557" s="7">
        <f>'1 datos preparados'!F550</f>
        <v/>
      </c>
      <c r="H557" s="7">
        <f>'1 datos preparados'!G550</f>
        <v/>
      </c>
      <c r="I557" s="7">
        <f>'1 datos preparados'!H550</f>
        <v/>
      </c>
      <c r="J557" s="7">
        <f>'1 datos preparados'!I550</f>
        <v/>
      </c>
      <c r="K557" s="7">
        <f>'1 datos preparados'!J550</f>
        <v/>
      </c>
      <c r="L557" s="7">
        <f>'1 datos preparados'!K550</f>
        <v/>
      </c>
      <c r="M557" s="7">
        <f>'1 datos preparados'!L550</f>
        <v/>
      </c>
      <c r="N557" s="7">
        <f>'1 datos preparados'!M550</f>
        <v/>
      </c>
      <c r="O557" s="7">
        <f>'1 datos preparados'!N550</f>
        <v/>
      </c>
      <c r="P557" s="7">
        <f>'1 datos preparados'!O550</f>
        <v/>
      </c>
      <c r="Q557" s="7">
        <f>'1 datos preparados'!P550</f>
        <v/>
      </c>
      <c r="R557" s="7">
        <f>'1 datos preparados'!Q550</f>
        <v/>
      </c>
      <c r="S557" s="7">
        <f>'1 datos preparados'!R550</f>
        <v/>
      </c>
      <c r="T557" s="7">
        <f>'1 datos preparados'!S550</f>
        <v/>
      </c>
      <c r="U557" s="7">
        <f>'1 datos preparados'!T550</f>
        <v/>
      </c>
      <c r="V557" s="8">
        <f>$AC$12+D557*$AC$13+E557*$AC$14+F557*$AC$15+G557*$AC$16+H557*$AC$17+I557*$AC$18+J557*$AC$19+K557*$AC$20+L557*$AC$21+M557*$AC$22+N557*$AC$23+O557*$AC$24+P557*$AC$25+Q557*$AC$26+R557*$AC$27+S557*$AC$28+T557*$AC$29+U557*$AC$30</f>
        <v/>
      </c>
      <c r="W557" s="8">
        <f>1/(1+EXP(-V557))</f>
        <v/>
      </c>
      <c r="X557" s="9">
        <f>-IF(C557=1,LN(W557),LN(1-W557))</f>
        <v/>
      </c>
      <c r="Y557" s="10">
        <f>IF(W557&gt;$AC$33,1,0)</f>
        <v/>
      </c>
      <c r="Z557">
        <f>IF(Y557=C557,1,0)</f>
        <v/>
      </c>
    </row>
    <row r="558">
      <c r="A558">
        <f>'1 datos preparados'!A551</f>
        <v/>
      </c>
      <c r="B558" s="5">
        <f>'1 datos preparados'!U551</f>
        <v/>
      </c>
      <c r="C558">
        <f>'1 datos preparados'!B551</f>
        <v/>
      </c>
      <c r="D558" s="7">
        <f>'1 datos preparados'!C551</f>
        <v/>
      </c>
      <c r="E558" s="7">
        <f>'1 datos preparados'!D551</f>
        <v/>
      </c>
      <c r="F558" s="7">
        <f>'1 datos preparados'!E551</f>
        <v/>
      </c>
      <c r="G558" s="7">
        <f>'1 datos preparados'!F551</f>
        <v/>
      </c>
      <c r="H558" s="7">
        <f>'1 datos preparados'!G551</f>
        <v/>
      </c>
      <c r="I558" s="7">
        <f>'1 datos preparados'!H551</f>
        <v/>
      </c>
      <c r="J558" s="7">
        <f>'1 datos preparados'!I551</f>
        <v/>
      </c>
      <c r="K558" s="7">
        <f>'1 datos preparados'!J551</f>
        <v/>
      </c>
      <c r="L558" s="7">
        <f>'1 datos preparados'!K551</f>
        <v/>
      </c>
      <c r="M558" s="7">
        <f>'1 datos preparados'!L551</f>
        <v/>
      </c>
      <c r="N558" s="7">
        <f>'1 datos preparados'!M551</f>
        <v/>
      </c>
      <c r="O558" s="7">
        <f>'1 datos preparados'!N551</f>
        <v/>
      </c>
      <c r="P558" s="7">
        <f>'1 datos preparados'!O551</f>
        <v/>
      </c>
      <c r="Q558" s="7">
        <f>'1 datos preparados'!P551</f>
        <v/>
      </c>
      <c r="R558" s="7">
        <f>'1 datos preparados'!Q551</f>
        <v/>
      </c>
      <c r="S558" s="7">
        <f>'1 datos preparados'!R551</f>
        <v/>
      </c>
      <c r="T558" s="7">
        <f>'1 datos preparados'!S551</f>
        <v/>
      </c>
      <c r="U558" s="7">
        <f>'1 datos preparados'!T551</f>
        <v/>
      </c>
      <c r="V558" s="8">
        <f>$AC$12+D558*$AC$13+E558*$AC$14+F558*$AC$15+G558*$AC$16+H558*$AC$17+I558*$AC$18+J558*$AC$19+K558*$AC$20+L558*$AC$21+M558*$AC$22+N558*$AC$23+O558*$AC$24+P558*$AC$25+Q558*$AC$26+R558*$AC$27+S558*$AC$28+T558*$AC$29+U558*$AC$30</f>
        <v/>
      </c>
      <c r="W558" s="8">
        <f>1/(1+EXP(-V558))</f>
        <v/>
      </c>
      <c r="X558" s="9">
        <f>-IF(C558=1,LN(W558),LN(1-W558))</f>
        <v/>
      </c>
      <c r="Y558" s="10">
        <f>IF(W558&gt;$AC$33,1,0)</f>
        <v/>
      </c>
      <c r="Z558">
        <f>IF(Y558=C558,1,0)</f>
        <v/>
      </c>
    </row>
    <row r="559">
      <c r="A559">
        <f>'1 datos preparados'!A552</f>
        <v/>
      </c>
      <c r="B559" s="5">
        <f>'1 datos preparados'!U552</f>
        <v/>
      </c>
      <c r="C559">
        <f>'1 datos preparados'!B552</f>
        <v/>
      </c>
      <c r="D559" s="7">
        <f>'1 datos preparados'!C552</f>
        <v/>
      </c>
      <c r="E559" s="7">
        <f>'1 datos preparados'!D552</f>
        <v/>
      </c>
      <c r="F559" s="7">
        <f>'1 datos preparados'!E552</f>
        <v/>
      </c>
      <c r="G559" s="7">
        <f>'1 datos preparados'!F552</f>
        <v/>
      </c>
      <c r="H559" s="7">
        <f>'1 datos preparados'!G552</f>
        <v/>
      </c>
      <c r="I559" s="7">
        <f>'1 datos preparados'!H552</f>
        <v/>
      </c>
      <c r="J559" s="7">
        <f>'1 datos preparados'!I552</f>
        <v/>
      </c>
      <c r="K559" s="7">
        <f>'1 datos preparados'!J552</f>
        <v/>
      </c>
      <c r="L559" s="7">
        <f>'1 datos preparados'!K552</f>
        <v/>
      </c>
      <c r="M559" s="7">
        <f>'1 datos preparados'!L552</f>
        <v/>
      </c>
      <c r="N559" s="7">
        <f>'1 datos preparados'!M552</f>
        <v/>
      </c>
      <c r="O559" s="7">
        <f>'1 datos preparados'!N552</f>
        <v/>
      </c>
      <c r="P559" s="7">
        <f>'1 datos preparados'!O552</f>
        <v/>
      </c>
      <c r="Q559" s="7">
        <f>'1 datos preparados'!P552</f>
        <v/>
      </c>
      <c r="R559" s="7">
        <f>'1 datos preparados'!Q552</f>
        <v/>
      </c>
      <c r="S559" s="7">
        <f>'1 datos preparados'!R552</f>
        <v/>
      </c>
      <c r="T559" s="7">
        <f>'1 datos preparados'!S552</f>
        <v/>
      </c>
      <c r="U559" s="7">
        <f>'1 datos preparados'!T552</f>
        <v/>
      </c>
      <c r="V559" s="8">
        <f>$AC$12+D559*$AC$13+E559*$AC$14+F559*$AC$15+G559*$AC$16+H559*$AC$17+I559*$AC$18+J559*$AC$19+K559*$AC$20+L559*$AC$21+M559*$AC$22+N559*$AC$23+O559*$AC$24+P559*$AC$25+Q559*$AC$26+R559*$AC$27+S559*$AC$28+T559*$AC$29+U559*$AC$30</f>
        <v/>
      </c>
      <c r="W559" s="8">
        <f>1/(1+EXP(-V559))</f>
        <v/>
      </c>
      <c r="X559" s="9">
        <f>-IF(C559=1,LN(W559),LN(1-W559))</f>
        <v/>
      </c>
      <c r="Y559" s="10">
        <f>IF(W559&gt;$AC$33,1,0)</f>
        <v/>
      </c>
      <c r="Z559">
        <f>IF(Y559=C559,1,0)</f>
        <v/>
      </c>
    </row>
    <row r="560">
      <c r="A560">
        <f>'1 datos preparados'!A553</f>
        <v/>
      </c>
      <c r="B560" s="5">
        <f>'1 datos preparados'!U553</f>
        <v/>
      </c>
      <c r="C560">
        <f>'1 datos preparados'!B553</f>
        <v/>
      </c>
      <c r="D560" s="7">
        <f>'1 datos preparados'!C553</f>
        <v/>
      </c>
      <c r="E560" s="7">
        <f>'1 datos preparados'!D553</f>
        <v/>
      </c>
      <c r="F560" s="7">
        <f>'1 datos preparados'!E553</f>
        <v/>
      </c>
      <c r="G560" s="7">
        <f>'1 datos preparados'!F553</f>
        <v/>
      </c>
      <c r="H560" s="7">
        <f>'1 datos preparados'!G553</f>
        <v/>
      </c>
      <c r="I560" s="7">
        <f>'1 datos preparados'!H553</f>
        <v/>
      </c>
      <c r="J560" s="7">
        <f>'1 datos preparados'!I553</f>
        <v/>
      </c>
      <c r="K560" s="7">
        <f>'1 datos preparados'!J553</f>
        <v/>
      </c>
      <c r="L560" s="7">
        <f>'1 datos preparados'!K553</f>
        <v/>
      </c>
      <c r="M560" s="7">
        <f>'1 datos preparados'!L553</f>
        <v/>
      </c>
      <c r="N560" s="7">
        <f>'1 datos preparados'!M553</f>
        <v/>
      </c>
      <c r="O560" s="7">
        <f>'1 datos preparados'!N553</f>
        <v/>
      </c>
      <c r="P560" s="7">
        <f>'1 datos preparados'!O553</f>
        <v/>
      </c>
      <c r="Q560" s="7">
        <f>'1 datos preparados'!P553</f>
        <v/>
      </c>
      <c r="R560" s="7">
        <f>'1 datos preparados'!Q553</f>
        <v/>
      </c>
      <c r="S560" s="7">
        <f>'1 datos preparados'!R553</f>
        <v/>
      </c>
      <c r="T560" s="7">
        <f>'1 datos preparados'!S553</f>
        <v/>
      </c>
      <c r="U560" s="7">
        <f>'1 datos preparados'!T553</f>
        <v/>
      </c>
      <c r="V560" s="8">
        <f>$AC$12+D560*$AC$13+E560*$AC$14+F560*$AC$15+G560*$AC$16+H560*$AC$17+I560*$AC$18+J560*$AC$19+K560*$AC$20+L560*$AC$21+M560*$AC$22+N560*$AC$23+O560*$AC$24+P560*$AC$25+Q560*$AC$26+R560*$AC$27+S560*$AC$28+T560*$AC$29+U560*$AC$30</f>
        <v/>
      </c>
      <c r="W560" s="8">
        <f>1/(1+EXP(-V560))</f>
        <v/>
      </c>
      <c r="X560" s="9">
        <f>-IF(C560=1,LN(W560),LN(1-W560))</f>
        <v/>
      </c>
      <c r="Y560" s="10">
        <f>IF(W560&gt;$AC$33,1,0)</f>
        <v/>
      </c>
      <c r="Z560">
        <f>IF(Y560=C560,1,0)</f>
        <v/>
      </c>
    </row>
    <row r="561">
      <c r="A561">
        <f>'1 datos preparados'!A554</f>
        <v/>
      </c>
      <c r="B561" s="5">
        <f>'1 datos preparados'!U554</f>
        <v/>
      </c>
      <c r="C561">
        <f>'1 datos preparados'!B554</f>
        <v/>
      </c>
      <c r="D561" s="7">
        <f>'1 datos preparados'!C554</f>
        <v/>
      </c>
      <c r="E561" s="7">
        <f>'1 datos preparados'!D554</f>
        <v/>
      </c>
      <c r="F561" s="7">
        <f>'1 datos preparados'!E554</f>
        <v/>
      </c>
      <c r="G561" s="7">
        <f>'1 datos preparados'!F554</f>
        <v/>
      </c>
      <c r="H561" s="7">
        <f>'1 datos preparados'!G554</f>
        <v/>
      </c>
      <c r="I561" s="7">
        <f>'1 datos preparados'!H554</f>
        <v/>
      </c>
      <c r="J561" s="7">
        <f>'1 datos preparados'!I554</f>
        <v/>
      </c>
      <c r="K561" s="7">
        <f>'1 datos preparados'!J554</f>
        <v/>
      </c>
      <c r="L561" s="7">
        <f>'1 datos preparados'!K554</f>
        <v/>
      </c>
      <c r="M561" s="7">
        <f>'1 datos preparados'!L554</f>
        <v/>
      </c>
      <c r="N561" s="7">
        <f>'1 datos preparados'!M554</f>
        <v/>
      </c>
      <c r="O561" s="7">
        <f>'1 datos preparados'!N554</f>
        <v/>
      </c>
      <c r="P561" s="7">
        <f>'1 datos preparados'!O554</f>
        <v/>
      </c>
      <c r="Q561" s="7">
        <f>'1 datos preparados'!P554</f>
        <v/>
      </c>
      <c r="R561" s="7">
        <f>'1 datos preparados'!Q554</f>
        <v/>
      </c>
      <c r="S561" s="7">
        <f>'1 datos preparados'!R554</f>
        <v/>
      </c>
      <c r="T561" s="7">
        <f>'1 datos preparados'!S554</f>
        <v/>
      </c>
      <c r="U561" s="7">
        <f>'1 datos preparados'!T554</f>
        <v/>
      </c>
      <c r="V561" s="8">
        <f>$AC$12+D561*$AC$13+E561*$AC$14+F561*$AC$15+G561*$AC$16+H561*$AC$17+I561*$AC$18+J561*$AC$19+K561*$AC$20+L561*$AC$21+M561*$AC$22+N561*$AC$23+O561*$AC$24+P561*$AC$25+Q561*$AC$26+R561*$AC$27+S561*$AC$28+T561*$AC$29+U561*$AC$30</f>
        <v/>
      </c>
      <c r="W561" s="8">
        <f>1/(1+EXP(-V561))</f>
        <v/>
      </c>
      <c r="X561" s="9">
        <f>-IF(C561=1,LN(W561),LN(1-W561))</f>
        <v/>
      </c>
      <c r="Y561" s="10">
        <f>IF(W561&gt;$AC$33,1,0)</f>
        <v/>
      </c>
      <c r="Z561">
        <f>IF(Y561=C561,1,0)</f>
        <v/>
      </c>
    </row>
    <row r="562">
      <c r="A562">
        <f>'1 datos preparados'!A555</f>
        <v/>
      </c>
      <c r="B562" s="5">
        <f>'1 datos preparados'!U555</f>
        <v/>
      </c>
      <c r="C562">
        <f>'1 datos preparados'!B555</f>
        <v/>
      </c>
      <c r="D562" s="7">
        <f>'1 datos preparados'!C555</f>
        <v/>
      </c>
      <c r="E562" s="7">
        <f>'1 datos preparados'!D555</f>
        <v/>
      </c>
      <c r="F562" s="7">
        <f>'1 datos preparados'!E555</f>
        <v/>
      </c>
      <c r="G562" s="7">
        <f>'1 datos preparados'!F555</f>
        <v/>
      </c>
      <c r="H562" s="7">
        <f>'1 datos preparados'!G555</f>
        <v/>
      </c>
      <c r="I562" s="7">
        <f>'1 datos preparados'!H555</f>
        <v/>
      </c>
      <c r="J562" s="7">
        <f>'1 datos preparados'!I555</f>
        <v/>
      </c>
      <c r="K562" s="7">
        <f>'1 datos preparados'!J555</f>
        <v/>
      </c>
      <c r="L562" s="7">
        <f>'1 datos preparados'!K555</f>
        <v/>
      </c>
      <c r="M562" s="7">
        <f>'1 datos preparados'!L555</f>
        <v/>
      </c>
      <c r="N562" s="7">
        <f>'1 datos preparados'!M555</f>
        <v/>
      </c>
      <c r="O562" s="7">
        <f>'1 datos preparados'!N555</f>
        <v/>
      </c>
      <c r="P562" s="7">
        <f>'1 datos preparados'!O555</f>
        <v/>
      </c>
      <c r="Q562" s="7">
        <f>'1 datos preparados'!P555</f>
        <v/>
      </c>
      <c r="R562" s="7">
        <f>'1 datos preparados'!Q555</f>
        <v/>
      </c>
      <c r="S562" s="7">
        <f>'1 datos preparados'!R555</f>
        <v/>
      </c>
      <c r="T562" s="7">
        <f>'1 datos preparados'!S555</f>
        <v/>
      </c>
      <c r="U562" s="7">
        <f>'1 datos preparados'!T555</f>
        <v/>
      </c>
      <c r="V562" s="8">
        <f>$AC$12+D562*$AC$13+E562*$AC$14+F562*$AC$15+G562*$AC$16+H562*$AC$17+I562*$AC$18+J562*$AC$19+K562*$AC$20+L562*$AC$21+M562*$AC$22+N562*$AC$23+O562*$AC$24+P562*$AC$25+Q562*$AC$26+R562*$AC$27+S562*$AC$28+T562*$AC$29+U562*$AC$30</f>
        <v/>
      </c>
      <c r="W562" s="8">
        <f>1/(1+EXP(-V562))</f>
        <v/>
      </c>
      <c r="X562" s="9">
        <f>-IF(C562=1,LN(W562),LN(1-W562))</f>
        <v/>
      </c>
      <c r="Y562" s="10">
        <f>IF(W562&gt;$AC$33,1,0)</f>
        <v/>
      </c>
      <c r="Z562">
        <f>IF(Y562=C562,1,0)</f>
        <v/>
      </c>
    </row>
    <row r="563">
      <c r="A563">
        <f>'1 datos preparados'!A556</f>
        <v/>
      </c>
      <c r="B563" s="5">
        <f>'1 datos preparados'!U556</f>
        <v/>
      </c>
      <c r="C563">
        <f>'1 datos preparados'!B556</f>
        <v/>
      </c>
      <c r="D563" s="7">
        <f>'1 datos preparados'!C556</f>
        <v/>
      </c>
      <c r="E563" s="7">
        <f>'1 datos preparados'!D556</f>
        <v/>
      </c>
      <c r="F563" s="7">
        <f>'1 datos preparados'!E556</f>
        <v/>
      </c>
      <c r="G563" s="7">
        <f>'1 datos preparados'!F556</f>
        <v/>
      </c>
      <c r="H563" s="7">
        <f>'1 datos preparados'!G556</f>
        <v/>
      </c>
      <c r="I563" s="7">
        <f>'1 datos preparados'!H556</f>
        <v/>
      </c>
      <c r="J563" s="7">
        <f>'1 datos preparados'!I556</f>
        <v/>
      </c>
      <c r="K563" s="7">
        <f>'1 datos preparados'!J556</f>
        <v/>
      </c>
      <c r="L563" s="7">
        <f>'1 datos preparados'!K556</f>
        <v/>
      </c>
      <c r="M563" s="7">
        <f>'1 datos preparados'!L556</f>
        <v/>
      </c>
      <c r="N563" s="7">
        <f>'1 datos preparados'!M556</f>
        <v/>
      </c>
      <c r="O563" s="7">
        <f>'1 datos preparados'!N556</f>
        <v/>
      </c>
      <c r="P563" s="7">
        <f>'1 datos preparados'!O556</f>
        <v/>
      </c>
      <c r="Q563" s="7">
        <f>'1 datos preparados'!P556</f>
        <v/>
      </c>
      <c r="R563" s="7">
        <f>'1 datos preparados'!Q556</f>
        <v/>
      </c>
      <c r="S563" s="7">
        <f>'1 datos preparados'!R556</f>
        <v/>
      </c>
      <c r="T563" s="7">
        <f>'1 datos preparados'!S556</f>
        <v/>
      </c>
      <c r="U563" s="7">
        <f>'1 datos preparados'!T556</f>
        <v/>
      </c>
      <c r="V563" s="8">
        <f>$AC$12+D563*$AC$13+E563*$AC$14+F563*$AC$15+G563*$AC$16+H563*$AC$17+I563*$AC$18+J563*$AC$19+K563*$AC$20+L563*$AC$21+M563*$AC$22+N563*$AC$23+O563*$AC$24+P563*$AC$25+Q563*$AC$26+R563*$AC$27+S563*$AC$28+T563*$AC$29+U563*$AC$30</f>
        <v/>
      </c>
      <c r="W563" s="8">
        <f>1/(1+EXP(-V563))</f>
        <v/>
      </c>
      <c r="X563" s="9">
        <f>-IF(C563=1,LN(W563),LN(1-W563))</f>
        <v/>
      </c>
      <c r="Y563" s="10">
        <f>IF(W563&gt;$AC$33,1,0)</f>
        <v/>
      </c>
      <c r="Z563">
        <f>IF(Y563=C563,1,0)</f>
        <v/>
      </c>
    </row>
    <row r="564">
      <c r="A564">
        <f>'1 datos preparados'!A557</f>
        <v/>
      </c>
      <c r="B564" s="5">
        <f>'1 datos preparados'!U557</f>
        <v/>
      </c>
      <c r="C564">
        <f>'1 datos preparados'!B557</f>
        <v/>
      </c>
      <c r="D564" s="7">
        <f>'1 datos preparados'!C557</f>
        <v/>
      </c>
      <c r="E564" s="7">
        <f>'1 datos preparados'!D557</f>
        <v/>
      </c>
      <c r="F564" s="7">
        <f>'1 datos preparados'!E557</f>
        <v/>
      </c>
      <c r="G564" s="7">
        <f>'1 datos preparados'!F557</f>
        <v/>
      </c>
      <c r="H564" s="7">
        <f>'1 datos preparados'!G557</f>
        <v/>
      </c>
      <c r="I564" s="7">
        <f>'1 datos preparados'!H557</f>
        <v/>
      </c>
      <c r="J564" s="7">
        <f>'1 datos preparados'!I557</f>
        <v/>
      </c>
      <c r="K564" s="7">
        <f>'1 datos preparados'!J557</f>
        <v/>
      </c>
      <c r="L564" s="7">
        <f>'1 datos preparados'!K557</f>
        <v/>
      </c>
      <c r="M564" s="7">
        <f>'1 datos preparados'!L557</f>
        <v/>
      </c>
      <c r="N564" s="7">
        <f>'1 datos preparados'!M557</f>
        <v/>
      </c>
      <c r="O564" s="7">
        <f>'1 datos preparados'!N557</f>
        <v/>
      </c>
      <c r="P564" s="7">
        <f>'1 datos preparados'!O557</f>
        <v/>
      </c>
      <c r="Q564" s="7">
        <f>'1 datos preparados'!P557</f>
        <v/>
      </c>
      <c r="R564" s="7">
        <f>'1 datos preparados'!Q557</f>
        <v/>
      </c>
      <c r="S564" s="7">
        <f>'1 datos preparados'!R557</f>
        <v/>
      </c>
      <c r="T564" s="7">
        <f>'1 datos preparados'!S557</f>
        <v/>
      </c>
      <c r="U564" s="7">
        <f>'1 datos preparados'!T557</f>
        <v/>
      </c>
      <c r="V564" s="8">
        <f>$AC$12+D564*$AC$13+E564*$AC$14+F564*$AC$15+G564*$AC$16+H564*$AC$17+I564*$AC$18+J564*$AC$19+K564*$AC$20+L564*$AC$21+M564*$AC$22+N564*$AC$23+O564*$AC$24+P564*$AC$25+Q564*$AC$26+R564*$AC$27+S564*$AC$28+T564*$AC$29+U564*$AC$30</f>
        <v/>
      </c>
      <c r="W564" s="8">
        <f>1/(1+EXP(-V564))</f>
        <v/>
      </c>
      <c r="X564" s="9">
        <f>-IF(C564=1,LN(W564),LN(1-W564))</f>
        <v/>
      </c>
      <c r="Y564" s="10">
        <f>IF(W564&gt;$AC$33,1,0)</f>
        <v/>
      </c>
      <c r="Z564">
        <f>IF(Y564=C564,1,0)</f>
        <v/>
      </c>
    </row>
    <row r="565">
      <c r="A565">
        <f>'1 datos preparados'!A558</f>
        <v/>
      </c>
      <c r="B565" s="5">
        <f>'1 datos preparados'!U558</f>
        <v/>
      </c>
      <c r="C565">
        <f>'1 datos preparados'!B558</f>
        <v/>
      </c>
      <c r="D565" s="7">
        <f>'1 datos preparados'!C558</f>
        <v/>
      </c>
      <c r="E565" s="7">
        <f>'1 datos preparados'!D558</f>
        <v/>
      </c>
      <c r="F565" s="7">
        <f>'1 datos preparados'!E558</f>
        <v/>
      </c>
      <c r="G565" s="7">
        <f>'1 datos preparados'!F558</f>
        <v/>
      </c>
      <c r="H565" s="7">
        <f>'1 datos preparados'!G558</f>
        <v/>
      </c>
      <c r="I565" s="7">
        <f>'1 datos preparados'!H558</f>
        <v/>
      </c>
      <c r="J565" s="7">
        <f>'1 datos preparados'!I558</f>
        <v/>
      </c>
      <c r="K565" s="7">
        <f>'1 datos preparados'!J558</f>
        <v/>
      </c>
      <c r="L565" s="7">
        <f>'1 datos preparados'!K558</f>
        <v/>
      </c>
      <c r="M565" s="7">
        <f>'1 datos preparados'!L558</f>
        <v/>
      </c>
      <c r="N565" s="7">
        <f>'1 datos preparados'!M558</f>
        <v/>
      </c>
      <c r="O565" s="7">
        <f>'1 datos preparados'!N558</f>
        <v/>
      </c>
      <c r="P565" s="7">
        <f>'1 datos preparados'!O558</f>
        <v/>
      </c>
      <c r="Q565" s="7">
        <f>'1 datos preparados'!P558</f>
        <v/>
      </c>
      <c r="R565" s="7">
        <f>'1 datos preparados'!Q558</f>
        <v/>
      </c>
      <c r="S565" s="7">
        <f>'1 datos preparados'!R558</f>
        <v/>
      </c>
      <c r="T565" s="7">
        <f>'1 datos preparados'!S558</f>
        <v/>
      </c>
      <c r="U565" s="7">
        <f>'1 datos preparados'!T558</f>
        <v/>
      </c>
      <c r="V565" s="8">
        <f>$AC$12+D565*$AC$13+E565*$AC$14+F565*$AC$15+G565*$AC$16+H565*$AC$17+I565*$AC$18+J565*$AC$19+K565*$AC$20+L565*$AC$21+M565*$AC$22+N565*$AC$23+O565*$AC$24+P565*$AC$25+Q565*$AC$26+R565*$AC$27+S565*$AC$28+T565*$AC$29+U565*$AC$30</f>
        <v/>
      </c>
      <c r="W565" s="8">
        <f>1/(1+EXP(-V565))</f>
        <v/>
      </c>
      <c r="X565" s="9">
        <f>-IF(C565=1,LN(W565),LN(1-W565))</f>
        <v/>
      </c>
      <c r="Y565" s="10">
        <f>IF(W565&gt;$AC$33,1,0)</f>
        <v/>
      </c>
      <c r="Z565">
        <f>IF(Y565=C565,1,0)</f>
        <v/>
      </c>
    </row>
    <row r="566">
      <c r="A566">
        <f>'1 datos preparados'!A559</f>
        <v/>
      </c>
      <c r="B566" s="5">
        <f>'1 datos preparados'!U559</f>
        <v/>
      </c>
      <c r="C566">
        <f>'1 datos preparados'!B559</f>
        <v/>
      </c>
      <c r="D566" s="7">
        <f>'1 datos preparados'!C559</f>
        <v/>
      </c>
      <c r="E566" s="7">
        <f>'1 datos preparados'!D559</f>
        <v/>
      </c>
      <c r="F566" s="7">
        <f>'1 datos preparados'!E559</f>
        <v/>
      </c>
      <c r="G566" s="7">
        <f>'1 datos preparados'!F559</f>
        <v/>
      </c>
      <c r="H566" s="7">
        <f>'1 datos preparados'!G559</f>
        <v/>
      </c>
      <c r="I566" s="7">
        <f>'1 datos preparados'!H559</f>
        <v/>
      </c>
      <c r="J566" s="7">
        <f>'1 datos preparados'!I559</f>
        <v/>
      </c>
      <c r="K566" s="7">
        <f>'1 datos preparados'!J559</f>
        <v/>
      </c>
      <c r="L566" s="7">
        <f>'1 datos preparados'!K559</f>
        <v/>
      </c>
      <c r="M566" s="7">
        <f>'1 datos preparados'!L559</f>
        <v/>
      </c>
      <c r="N566" s="7">
        <f>'1 datos preparados'!M559</f>
        <v/>
      </c>
      <c r="O566" s="7">
        <f>'1 datos preparados'!N559</f>
        <v/>
      </c>
      <c r="P566" s="7">
        <f>'1 datos preparados'!O559</f>
        <v/>
      </c>
      <c r="Q566" s="7">
        <f>'1 datos preparados'!P559</f>
        <v/>
      </c>
      <c r="R566" s="7">
        <f>'1 datos preparados'!Q559</f>
        <v/>
      </c>
      <c r="S566" s="7">
        <f>'1 datos preparados'!R559</f>
        <v/>
      </c>
      <c r="T566" s="7">
        <f>'1 datos preparados'!S559</f>
        <v/>
      </c>
      <c r="U566" s="7">
        <f>'1 datos preparados'!T559</f>
        <v/>
      </c>
      <c r="V566" s="8">
        <f>$AC$12+D566*$AC$13+E566*$AC$14+F566*$AC$15+G566*$AC$16+H566*$AC$17+I566*$AC$18+J566*$AC$19+K566*$AC$20+L566*$AC$21+M566*$AC$22+N566*$AC$23+O566*$AC$24+P566*$AC$25+Q566*$AC$26+R566*$AC$27+S566*$AC$28+T566*$AC$29+U566*$AC$30</f>
        <v/>
      </c>
      <c r="W566" s="8">
        <f>1/(1+EXP(-V566))</f>
        <v/>
      </c>
      <c r="X566" s="9">
        <f>-IF(C566=1,LN(W566),LN(1-W566))</f>
        <v/>
      </c>
      <c r="Y566" s="10">
        <f>IF(W566&gt;$AC$33,1,0)</f>
        <v/>
      </c>
      <c r="Z566">
        <f>IF(Y566=C566,1,0)</f>
        <v/>
      </c>
    </row>
    <row r="567">
      <c r="A567">
        <f>'1 datos preparados'!A560</f>
        <v/>
      </c>
      <c r="B567" s="5">
        <f>'1 datos preparados'!U560</f>
        <v/>
      </c>
      <c r="C567">
        <f>'1 datos preparados'!B560</f>
        <v/>
      </c>
      <c r="D567" s="7">
        <f>'1 datos preparados'!C560</f>
        <v/>
      </c>
      <c r="E567" s="7">
        <f>'1 datos preparados'!D560</f>
        <v/>
      </c>
      <c r="F567" s="7">
        <f>'1 datos preparados'!E560</f>
        <v/>
      </c>
      <c r="G567" s="7">
        <f>'1 datos preparados'!F560</f>
        <v/>
      </c>
      <c r="H567" s="7">
        <f>'1 datos preparados'!G560</f>
        <v/>
      </c>
      <c r="I567" s="7">
        <f>'1 datos preparados'!H560</f>
        <v/>
      </c>
      <c r="J567" s="7">
        <f>'1 datos preparados'!I560</f>
        <v/>
      </c>
      <c r="K567" s="7">
        <f>'1 datos preparados'!J560</f>
        <v/>
      </c>
      <c r="L567" s="7">
        <f>'1 datos preparados'!K560</f>
        <v/>
      </c>
      <c r="M567" s="7">
        <f>'1 datos preparados'!L560</f>
        <v/>
      </c>
      <c r="N567" s="7">
        <f>'1 datos preparados'!M560</f>
        <v/>
      </c>
      <c r="O567" s="7">
        <f>'1 datos preparados'!N560</f>
        <v/>
      </c>
      <c r="P567" s="7">
        <f>'1 datos preparados'!O560</f>
        <v/>
      </c>
      <c r="Q567" s="7">
        <f>'1 datos preparados'!P560</f>
        <v/>
      </c>
      <c r="R567" s="7">
        <f>'1 datos preparados'!Q560</f>
        <v/>
      </c>
      <c r="S567" s="7">
        <f>'1 datos preparados'!R560</f>
        <v/>
      </c>
      <c r="T567" s="7">
        <f>'1 datos preparados'!S560</f>
        <v/>
      </c>
      <c r="U567" s="7">
        <f>'1 datos preparados'!T560</f>
        <v/>
      </c>
      <c r="V567" s="8">
        <f>$AC$12+D567*$AC$13+E567*$AC$14+F567*$AC$15+G567*$AC$16+H567*$AC$17+I567*$AC$18+J567*$AC$19+K567*$AC$20+L567*$AC$21+M567*$AC$22+N567*$AC$23+O567*$AC$24+P567*$AC$25+Q567*$AC$26+R567*$AC$27+S567*$AC$28+T567*$AC$29+U567*$AC$30</f>
        <v/>
      </c>
      <c r="W567" s="8">
        <f>1/(1+EXP(-V567))</f>
        <v/>
      </c>
      <c r="X567" s="9">
        <f>-IF(C567=1,LN(W567),LN(1-W567))</f>
        <v/>
      </c>
      <c r="Y567" s="10">
        <f>IF(W567&gt;$AC$33,1,0)</f>
        <v/>
      </c>
      <c r="Z567">
        <f>IF(Y567=C567,1,0)</f>
        <v/>
      </c>
    </row>
    <row r="568">
      <c r="A568">
        <f>'1 datos preparados'!A561</f>
        <v/>
      </c>
      <c r="B568" s="5">
        <f>'1 datos preparados'!U561</f>
        <v/>
      </c>
      <c r="C568">
        <f>'1 datos preparados'!B561</f>
        <v/>
      </c>
      <c r="D568" s="7">
        <f>'1 datos preparados'!C561</f>
        <v/>
      </c>
      <c r="E568" s="7">
        <f>'1 datos preparados'!D561</f>
        <v/>
      </c>
      <c r="F568" s="7">
        <f>'1 datos preparados'!E561</f>
        <v/>
      </c>
      <c r="G568" s="7">
        <f>'1 datos preparados'!F561</f>
        <v/>
      </c>
      <c r="H568" s="7">
        <f>'1 datos preparados'!G561</f>
        <v/>
      </c>
      <c r="I568" s="7">
        <f>'1 datos preparados'!H561</f>
        <v/>
      </c>
      <c r="J568" s="7">
        <f>'1 datos preparados'!I561</f>
        <v/>
      </c>
      <c r="K568" s="7">
        <f>'1 datos preparados'!J561</f>
        <v/>
      </c>
      <c r="L568" s="7">
        <f>'1 datos preparados'!K561</f>
        <v/>
      </c>
      <c r="M568" s="7">
        <f>'1 datos preparados'!L561</f>
        <v/>
      </c>
      <c r="N568" s="7">
        <f>'1 datos preparados'!M561</f>
        <v/>
      </c>
      <c r="O568" s="7">
        <f>'1 datos preparados'!N561</f>
        <v/>
      </c>
      <c r="P568" s="7">
        <f>'1 datos preparados'!O561</f>
        <v/>
      </c>
      <c r="Q568" s="7">
        <f>'1 datos preparados'!P561</f>
        <v/>
      </c>
      <c r="R568" s="7">
        <f>'1 datos preparados'!Q561</f>
        <v/>
      </c>
      <c r="S568" s="7">
        <f>'1 datos preparados'!R561</f>
        <v/>
      </c>
      <c r="T568" s="7">
        <f>'1 datos preparados'!S561</f>
        <v/>
      </c>
      <c r="U568" s="7">
        <f>'1 datos preparados'!T561</f>
        <v/>
      </c>
      <c r="V568" s="8">
        <f>$AC$12+D568*$AC$13+E568*$AC$14+F568*$AC$15+G568*$AC$16+H568*$AC$17+I568*$AC$18+J568*$AC$19+K568*$AC$20+L568*$AC$21+M568*$AC$22+N568*$AC$23+O568*$AC$24+P568*$AC$25+Q568*$AC$26+R568*$AC$27+S568*$AC$28+T568*$AC$29+U568*$AC$30</f>
        <v/>
      </c>
      <c r="W568" s="8">
        <f>1/(1+EXP(-V568))</f>
        <v/>
      </c>
      <c r="X568" s="9">
        <f>-IF(C568=1,LN(W568),LN(1-W568))</f>
        <v/>
      </c>
      <c r="Y568" s="10">
        <f>IF(W568&gt;$AC$33,1,0)</f>
        <v/>
      </c>
      <c r="Z568">
        <f>IF(Y568=C568,1,0)</f>
        <v/>
      </c>
    </row>
    <row r="569">
      <c r="A569">
        <f>'1 datos preparados'!A562</f>
        <v/>
      </c>
      <c r="B569" s="5">
        <f>'1 datos preparados'!U562</f>
        <v/>
      </c>
      <c r="C569">
        <f>'1 datos preparados'!B562</f>
        <v/>
      </c>
      <c r="D569" s="7">
        <f>'1 datos preparados'!C562</f>
        <v/>
      </c>
      <c r="E569" s="7">
        <f>'1 datos preparados'!D562</f>
        <v/>
      </c>
      <c r="F569" s="7">
        <f>'1 datos preparados'!E562</f>
        <v/>
      </c>
      <c r="G569" s="7">
        <f>'1 datos preparados'!F562</f>
        <v/>
      </c>
      <c r="H569" s="7">
        <f>'1 datos preparados'!G562</f>
        <v/>
      </c>
      <c r="I569" s="7">
        <f>'1 datos preparados'!H562</f>
        <v/>
      </c>
      <c r="J569" s="7">
        <f>'1 datos preparados'!I562</f>
        <v/>
      </c>
      <c r="K569" s="7">
        <f>'1 datos preparados'!J562</f>
        <v/>
      </c>
      <c r="L569" s="7">
        <f>'1 datos preparados'!K562</f>
        <v/>
      </c>
      <c r="M569" s="7">
        <f>'1 datos preparados'!L562</f>
        <v/>
      </c>
      <c r="N569" s="7">
        <f>'1 datos preparados'!M562</f>
        <v/>
      </c>
      <c r="O569" s="7">
        <f>'1 datos preparados'!N562</f>
        <v/>
      </c>
      <c r="P569" s="7">
        <f>'1 datos preparados'!O562</f>
        <v/>
      </c>
      <c r="Q569" s="7">
        <f>'1 datos preparados'!P562</f>
        <v/>
      </c>
      <c r="R569" s="7">
        <f>'1 datos preparados'!Q562</f>
        <v/>
      </c>
      <c r="S569" s="7">
        <f>'1 datos preparados'!R562</f>
        <v/>
      </c>
      <c r="T569" s="7">
        <f>'1 datos preparados'!S562</f>
        <v/>
      </c>
      <c r="U569" s="7">
        <f>'1 datos preparados'!T562</f>
        <v/>
      </c>
      <c r="V569" s="8">
        <f>$AC$12+D569*$AC$13+E569*$AC$14+F569*$AC$15+G569*$AC$16+H569*$AC$17+I569*$AC$18+J569*$AC$19+K569*$AC$20+L569*$AC$21+M569*$AC$22+N569*$AC$23+O569*$AC$24+P569*$AC$25+Q569*$AC$26+R569*$AC$27+S569*$AC$28+T569*$AC$29+U569*$AC$30</f>
        <v/>
      </c>
      <c r="W569" s="8">
        <f>1/(1+EXP(-V569))</f>
        <v/>
      </c>
      <c r="X569" s="9">
        <f>-IF(C569=1,LN(W569),LN(1-W569))</f>
        <v/>
      </c>
      <c r="Y569" s="10">
        <f>IF(W569&gt;$AC$33,1,0)</f>
        <v/>
      </c>
      <c r="Z569">
        <f>IF(Y569=C569,1,0)</f>
        <v/>
      </c>
    </row>
    <row r="570">
      <c r="A570">
        <f>'1 datos preparados'!A563</f>
        <v/>
      </c>
      <c r="B570" s="5">
        <f>'1 datos preparados'!U563</f>
        <v/>
      </c>
      <c r="C570">
        <f>'1 datos preparados'!B563</f>
        <v/>
      </c>
      <c r="D570" s="7">
        <f>'1 datos preparados'!C563</f>
        <v/>
      </c>
      <c r="E570" s="7">
        <f>'1 datos preparados'!D563</f>
        <v/>
      </c>
      <c r="F570" s="7">
        <f>'1 datos preparados'!E563</f>
        <v/>
      </c>
      <c r="G570" s="7">
        <f>'1 datos preparados'!F563</f>
        <v/>
      </c>
      <c r="H570" s="7">
        <f>'1 datos preparados'!G563</f>
        <v/>
      </c>
      <c r="I570" s="7">
        <f>'1 datos preparados'!H563</f>
        <v/>
      </c>
      <c r="J570" s="7">
        <f>'1 datos preparados'!I563</f>
        <v/>
      </c>
      <c r="K570" s="7">
        <f>'1 datos preparados'!J563</f>
        <v/>
      </c>
      <c r="L570" s="7">
        <f>'1 datos preparados'!K563</f>
        <v/>
      </c>
      <c r="M570" s="7">
        <f>'1 datos preparados'!L563</f>
        <v/>
      </c>
      <c r="N570" s="7">
        <f>'1 datos preparados'!M563</f>
        <v/>
      </c>
      <c r="O570" s="7">
        <f>'1 datos preparados'!N563</f>
        <v/>
      </c>
      <c r="P570" s="7">
        <f>'1 datos preparados'!O563</f>
        <v/>
      </c>
      <c r="Q570" s="7">
        <f>'1 datos preparados'!P563</f>
        <v/>
      </c>
      <c r="R570" s="7">
        <f>'1 datos preparados'!Q563</f>
        <v/>
      </c>
      <c r="S570" s="7">
        <f>'1 datos preparados'!R563</f>
        <v/>
      </c>
      <c r="T570" s="7">
        <f>'1 datos preparados'!S563</f>
        <v/>
      </c>
      <c r="U570" s="7">
        <f>'1 datos preparados'!T563</f>
        <v/>
      </c>
      <c r="V570" s="8">
        <f>$AC$12+D570*$AC$13+E570*$AC$14+F570*$AC$15+G570*$AC$16+H570*$AC$17+I570*$AC$18+J570*$AC$19+K570*$AC$20+L570*$AC$21+M570*$AC$22+N570*$AC$23+O570*$AC$24+P570*$AC$25+Q570*$AC$26+R570*$AC$27+S570*$AC$28+T570*$AC$29+U570*$AC$30</f>
        <v/>
      </c>
      <c r="W570" s="8">
        <f>1/(1+EXP(-V570))</f>
        <v/>
      </c>
      <c r="X570" s="9">
        <f>-IF(C570=1,LN(W570),LN(1-W570))</f>
        <v/>
      </c>
      <c r="Y570" s="10">
        <f>IF(W570&gt;$AC$33,1,0)</f>
        <v/>
      </c>
      <c r="Z570">
        <f>IF(Y570=C570,1,0)</f>
        <v/>
      </c>
    </row>
    <row r="571">
      <c r="A571">
        <f>'1 datos preparados'!A564</f>
        <v/>
      </c>
      <c r="B571" s="5">
        <f>'1 datos preparados'!U564</f>
        <v/>
      </c>
      <c r="C571">
        <f>'1 datos preparados'!B564</f>
        <v/>
      </c>
      <c r="D571" s="7">
        <f>'1 datos preparados'!C564</f>
        <v/>
      </c>
      <c r="E571" s="7">
        <f>'1 datos preparados'!D564</f>
        <v/>
      </c>
      <c r="F571" s="7">
        <f>'1 datos preparados'!E564</f>
        <v/>
      </c>
      <c r="G571" s="7">
        <f>'1 datos preparados'!F564</f>
        <v/>
      </c>
      <c r="H571" s="7">
        <f>'1 datos preparados'!G564</f>
        <v/>
      </c>
      <c r="I571" s="7">
        <f>'1 datos preparados'!H564</f>
        <v/>
      </c>
      <c r="J571" s="7">
        <f>'1 datos preparados'!I564</f>
        <v/>
      </c>
      <c r="K571" s="7">
        <f>'1 datos preparados'!J564</f>
        <v/>
      </c>
      <c r="L571" s="7">
        <f>'1 datos preparados'!K564</f>
        <v/>
      </c>
      <c r="M571" s="7">
        <f>'1 datos preparados'!L564</f>
        <v/>
      </c>
      <c r="N571" s="7">
        <f>'1 datos preparados'!M564</f>
        <v/>
      </c>
      <c r="O571" s="7">
        <f>'1 datos preparados'!N564</f>
        <v/>
      </c>
      <c r="P571" s="7">
        <f>'1 datos preparados'!O564</f>
        <v/>
      </c>
      <c r="Q571" s="7">
        <f>'1 datos preparados'!P564</f>
        <v/>
      </c>
      <c r="R571" s="7">
        <f>'1 datos preparados'!Q564</f>
        <v/>
      </c>
      <c r="S571" s="7">
        <f>'1 datos preparados'!R564</f>
        <v/>
      </c>
      <c r="T571" s="7">
        <f>'1 datos preparados'!S564</f>
        <v/>
      </c>
      <c r="U571" s="7">
        <f>'1 datos preparados'!T564</f>
        <v/>
      </c>
      <c r="V571" s="8">
        <f>$AC$12+D571*$AC$13+E571*$AC$14+F571*$AC$15+G571*$AC$16+H571*$AC$17+I571*$AC$18+J571*$AC$19+K571*$AC$20+L571*$AC$21+M571*$AC$22+N571*$AC$23+O571*$AC$24+P571*$AC$25+Q571*$AC$26+R571*$AC$27+S571*$AC$28+T571*$AC$29+U571*$AC$30</f>
        <v/>
      </c>
      <c r="W571" s="8">
        <f>1/(1+EXP(-V571))</f>
        <v/>
      </c>
      <c r="X571" s="9">
        <f>-IF(C571=1,LN(W571),LN(1-W571))</f>
        <v/>
      </c>
      <c r="Y571" s="10">
        <f>IF(W571&gt;$AC$33,1,0)</f>
        <v/>
      </c>
      <c r="Z571">
        <f>IF(Y571=C571,1,0)</f>
        <v/>
      </c>
    </row>
    <row r="572">
      <c r="A572">
        <f>'1 datos preparados'!A565</f>
        <v/>
      </c>
      <c r="B572" s="5">
        <f>'1 datos preparados'!U565</f>
        <v/>
      </c>
      <c r="C572">
        <f>'1 datos preparados'!B565</f>
        <v/>
      </c>
      <c r="D572" s="7">
        <f>'1 datos preparados'!C565</f>
        <v/>
      </c>
      <c r="E572" s="7">
        <f>'1 datos preparados'!D565</f>
        <v/>
      </c>
      <c r="F572" s="7">
        <f>'1 datos preparados'!E565</f>
        <v/>
      </c>
      <c r="G572" s="7">
        <f>'1 datos preparados'!F565</f>
        <v/>
      </c>
      <c r="H572" s="7">
        <f>'1 datos preparados'!G565</f>
        <v/>
      </c>
      <c r="I572" s="7">
        <f>'1 datos preparados'!H565</f>
        <v/>
      </c>
      <c r="J572" s="7">
        <f>'1 datos preparados'!I565</f>
        <v/>
      </c>
      <c r="K572" s="7">
        <f>'1 datos preparados'!J565</f>
        <v/>
      </c>
      <c r="L572" s="7">
        <f>'1 datos preparados'!K565</f>
        <v/>
      </c>
      <c r="M572" s="7">
        <f>'1 datos preparados'!L565</f>
        <v/>
      </c>
      <c r="N572" s="7">
        <f>'1 datos preparados'!M565</f>
        <v/>
      </c>
      <c r="O572" s="7">
        <f>'1 datos preparados'!N565</f>
        <v/>
      </c>
      <c r="P572" s="7">
        <f>'1 datos preparados'!O565</f>
        <v/>
      </c>
      <c r="Q572" s="7">
        <f>'1 datos preparados'!P565</f>
        <v/>
      </c>
      <c r="R572" s="7">
        <f>'1 datos preparados'!Q565</f>
        <v/>
      </c>
      <c r="S572" s="7">
        <f>'1 datos preparados'!R565</f>
        <v/>
      </c>
      <c r="T572" s="7">
        <f>'1 datos preparados'!S565</f>
        <v/>
      </c>
      <c r="U572" s="7">
        <f>'1 datos preparados'!T565</f>
        <v/>
      </c>
      <c r="V572" s="8">
        <f>$AC$12+D572*$AC$13+E572*$AC$14+F572*$AC$15+G572*$AC$16+H572*$AC$17+I572*$AC$18+J572*$AC$19+K572*$AC$20+L572*$AC$21+M572*$AC$22+N572*$AC$23+O572*$AC$24+P572*$AC$25+Q572*$AC$26+R572*$AC$27+S572*$AC$28+T572*$AC$29+U572*$AC$30</f>
        <v/>
      </c>
      <c r="W572" s="8">
        <f>1/(1+EXP(-V572))</f>
        <v/>
      </c>
      <c r="X572" s="9">
        <f>-IF(C572=1,LN(W572),LN(1-W572))</f>
        <v/>
      </c>
      <c r="Y572" s="10">
        <f>IF(W572&gt;$AC$33,1,0)</f>
        <v/>
      </c>
      <c r="Z572">
        <f>IF(Y572=C572,1,0)</f>
        <v/>
      </c>
    </row>
    <row r="573">
      <c r="A573">
        <f>'1 datos preparados'!A566</f>
        <v/>
      </c>
      <c r="B573" s="5">
        <f>'1 datos preparados'!U566</f>
        <v/>
      </c>
      <c r="C573">
        <f>'1 datos preparados'!B566</f>
        <v/>
      </c>
      <c r="D573" s="7">
        <f>'1 datos preparados'!C566</f>
        <v/>
      </c>
      <c r="E573" s="7">
        <f>'1 datos preparados'!D566</f>
        <v/>
      </c>
      <c r="F573" s="7">
        <f>'1 datos preparados'!E566</f>
        <v/>
      </c>
      <c r="G573" s="7">
        <f>'1 datos preparados'!F566</f>
        <v/>
      </c>
      <c r="H573" s="7">
        <f>'1 datos preparados'!G566</f>
        <v/>
      </c>
      <c r="I573" s="7">
        <f>'1 datos preparados'!H566</f>
        <v/>
      </c>
      <c r="J573" s="7">
        <f>'1 datos preparados'!I566</f>
        <v/>
      </c>
      <c r="K573" s="7">
        <f>'1 datos preparados'!J566</f>
        <v/>
      </c>
      <c r="L573" s="7">
        <f>'1 datos preparados'!K566</f>
        <v/>
      </c>
      <c r="M573" s="7">
        <f>'1 datos preparados'!L566</f>
        <v/>
      </c>
      <c r="N573" s="7">
        <f>'1 datos preparados'!M566</f>
        <v/>
      </c>
      <c r="O573" s="7">
        <f>'1 datos preparados'!N566</f>
        <v/>
      </c>
      <c r="P573" s="7">
        <f>'1 datos preparados'!O566</f>
        <v/>
      </c>
      <c r="Q573" s="7">
        <f>'1 datos preparados'!P566</f>
        <v/>
      </c>
      <c r="R573" s="7">
        <f>'1 datos preparados'!Q566</f>
        <v/>
      </c>
      <c r="S573" s="7">
        <f>'1 datos preparados'!R566</f>
        <v/>
      </c>
      <c r="T573" s="7">
        <f>'1 datos preparados'!S566</f>
        <v/>
      </c>
      <c r="U573" s="7">
        <f>'1 datos preparados'!T566</f>
        <v/>
      </c>
      <c r="V573" s="8">
        <f>$AC$12+D573*$AC$13+E573*$AC$14+F573*$AC$15+G573*$AC$16+H573*$AC$17+I573*$AC$18+J573*$AC$19+K573*$AC$20+L573*$AC$21+M573*$AC$22+N573*$AC$23+O573*$AC$24+P573*$AC$25+Q573*$AC$26+R573*$AC$27+S573*$AC$28+T573*$AC$29+U573*$AC$30</f>
        <v/>
      </c>
      <c r="W573" s="8">
        <f>1/(1+EXP(-V573))</f>
        <v/>
      </c>
      <c r="X573" s="9">
        <f>-IF(C573=1,LN(W573),LN(1-W573))</f>
        <v/>
      </c>
      <c r="Y573" s="10">
        <f>IF(W573&gt;$AC$33,1,0)</f>
        <v/>
      </c>
      <c r="Z573">
        <f>IF(Y573=C573,1,0)</f>
        <v/>
      </c>
    </row>
    <row r="574">
      <c r="A574">
        <f>'1 datos preparados'!A567</f>
        <v/>
      </c>
      <c r="B574" s="5">
        <f>'1 datos preparados'!U567</f>
        <v/>
      </c>
      <c r="C574">
        <f>'1 datos preparados'!B567</f>
        <v/>
      </c>
      <c r="D574" s="7">
        <f>'1 datos preparados'!C567</f>
        <v/>
      </c>
      <c r="E574" s="7">
        <f>'1 datos preparados'!D567</f>
        <v/>
      </c>
      <c r="F574" s="7">
        <f>'1 datos preparados'!E567</f>
        <v/>
      </c>
      <c r="G574" s="7">
        <f>'1 datos preparados'!F567</f>
        <v/>
      </c>
      <c r="H574" s="7">
        <f>'1 datos preparados'!G567</f>
        <v/>
      </c>
      <c r="I574" s="7">
        <f>'1 datos preparados'!H567</f>
        <v/>
      </c>
      <c r="J574" s="7">
        <f>'1 datos preparados'!I567</f>
        <v/>
      </c>
      <c r="K574" s="7">
        <f>'1 datos preparados'!J567</f>
        <v/>
      </c>
      <c r="L574" s="7">
        <f>'1 datos preparados'!K567</f>
        <v/>
      </c>
      <c r="M574" s="7">
        <f>'1 datos preparados'!L567</f>
        <v/>
      </c>
      <c r="N574" s="7">
        <f>'1 datos preparados'!M567</f>
        <v/>
      </c>
      <c r="O574" s="7">
        <f>'1 datos preparados'!N567</f>
        <v/>
      </c>
      <c r="P574" s="7">
        <f>'1 datos preparados'!O567</f>
        <v/>
      </c>
      <c r="Q574" s="7">
        <f>'1 datos preparados'!P567</f>
        <v/>
      </c>
      <c r="R574" s="7">
        <f>'1 datos preparados'!Q567</f>
        <v/>
      </c>
      <c r="S574" s="7">
        <f>'1 datos preparados'!R567</f>
        <v/>
      </c>
      <c r="T574" s="7">
        <f>'1 datos preparados'!S567</f>
        <v/>
      </c>
      <c r="U574" s="7">
        <f>'1 datos preparados'!T567</f>
        <v/>
      </c>
      <c r="V574" s="8">
        <f>$AC$12+D574*$AC$13+E574*$AC$14+F574*$AC$15+G574*$AC$16+H574*$AC$17+I574*$AC$18+J574*$AC$19+K574*$AC$20+L574*$AC$21+M574*$AC$22+N574*$AC$23+O574*$AC$24+P574*$AC$25+Q574*$AC$26+R574*$AC$27+S574*$AC$28+T574*$AC$29+U574*$AC$30</f>
        <v/>
      </c>
      <c r="W574" s="8">
        <f>1/(1+EXP(-V574))</f>
        <v/>
      </c>
      <c r="X574" s="9">
        <f>-IF(C574=1,LN(W574),LN(1-W574))</f>
        <v/>
      </c>
      <c r="Y574" s="10">
        <f>IF(W574&gt;$AC$33,1,0)</f>
        <v/>
      </c>
      <c r="Z574">
        <f>IF(Y574=C574,1,0)</f>
        <v/>
      </c>
    </row>
    <row r="575">
      <c r="A575">
        <f>'1 datos preparados'!A568</f>
        <v/>
      </c>
      <c r="B575" s="5">
        <f>'1 datos preparados'!U568</f>
        <v/>
      </c>
      <c r="C575">
        <f>'1 datos preparados'!B568</f>
        <v/>
      </c>
      <c r="D575" s="7">
        <f>'1 datos preparados'!C568</f>
        <v/>
      </c>
      <c r="E575" s="7">
        <f>'1 datos preparados'!D568</f>
        <v/>
      </c>
      <c r="F575" s="7">
        <f>'1 datos preparados'!E568</f>
        <v/>
      </c>
      <c r="G575" s="7">
        <f>'1 datos preparados'!F568</f>
        <v/>
      </c>
      <c r="H575" s="7">
        <f>'1 datos preparados'!G568</f>
        <v/>
      </c>
      <c r="I575" s="7">
        <f>'1 datos preparados'!H568</f>
        <v/>
      </c>
      <c r="J575" s="7">
        <f>'1 datos preparados'!I568</f>
        <v/>
      </c>
      <c r="K575" s="7">
        <f>'1 datos preparados'!J568</f>
        <v/>
      </c>
      <c r="L575" s="7">
        <f>'1 datos preparados'!K568</f>
        <v/>
      </c>
      <c r="M575" s="7">
        <f>'1 datos preparados'!L568</f>
        <v/>
      </c>
      <c r="N575" s="7">
        <f>'1 datos preparados'!M568</f>
        <v/>
      </c>
      <c r="O575" s="7">
        <f>'1 datos preparados'!N568</f>
        <v/>
      </c>
      <c r="P575" s="7">
        <f>'1 datos preparados'!O568</f>
        <v/>
      </c>
      <c r="Q575" s="7">
        <f>'1 datos preparados'!P568</f>
        <v/>
      </c>
      <c r="R575" s="7">
        <f>'1 datos preparados'!Q568</f>
        <v/>
      </c>
      <c r="S575" s="7">
        <f>'1 datos preparados'!R568</f>
        <v/>
      </c>
      <c r="T575" s="7">
        <f>'1 datos preparados'!S568</f>
        <v/>
      </c>
      <c r="U575" s="7">
        <f>'1 datos preparados'!T568</f>
        <v/>
      </c>
      <c r="V575" s="8">
        <f>$AC$12+D575*$AC$13+E575*$AC$14+F575*$AC$15+G575*$AC$16+H575*$AC$17+I575*$AC$18+J575*$AC$19+K575*$AC$20+L575*$AC$21+M575*$AC$22+N575*$AC$23+O575*$AC$24+P575*$AC$25+Q575*$AC$26+R575*$AC$27+S575*$AC$28+T575*$AC$29+U575*$AC$30</f>
        <v/>
      </c>
      <c r="W575" s="8">
        <f>1/(1+EXP(-V575))</f>
        <v/>
      </c>
      <c r="X575" s="9">
        <f>-IF(C575=1,LN(W575),LN(1-W575))</f>
        <v/>
      </c>
      <c r="Y575" s="10">
        <f>IF(W575&gt;$AC$33,1,0)</f>
        <v/>
      </c>
      <c r="Z575">
        <f>IF(Y575=C575,1,0)</f>
        <v/>
      </c>
    </row>
    <row r="576">
      <c r="A576">
        <f>'1 datos preparados'!A569</f>
        <v/>
      </c>
      <c r="B576" s="5">
        <f>'1 datos preparados'!U569</f>
        <v/>
      </c>
      <c r="C576">
        <f>'1 datos preparados'!B569</f>
        <v/>
      </c>
      <c r="D576" s="7">
        <f>'1 datos preparados'!C569</f>
        <v/>
      </c>
      <c r="E576" s="7">
        <f>'1 datos preparados'!D569</f>
        <v/>
      </c>
      <c r="F576" s="7">
        <f>'1 datos preparados'!E569</f>
        <v/>
      </c>
      <c r="G576" s="7">
        <f>'1 datos preparados'!F569</f>
        <v/>
      </c>
      <c r="H576" s="7">
        <f>'1 datos preparados'!G569</f>
        <v/>
      </c>
      <c r="I576" s="7">
        <f>'1 datos preparados'!H569</f>
        <v/>
      </c>
      <c r="J576" s="7">
        <f>'1 datos preparados'!I569</f>
        <v/>
      </c>
      <c r="K576" s="7">
        <f>'1 datos preparados'!J569</f>
        <v/>
      </c>
      <c r="L576" s="7">
        <f>'1 datos preparados'!K569</f>
        <v/>
      </c>
      <c r="M576" s="7">
        <f>'1 datos preparados'!L569</f>
        <v/>
      </c>
      <c r="N576" s="7">
        <f>'1 datos preparados'!M569</f>
        <v/>
      </c>
      <c r="O576" s="7">
        <f>'1 datos preparados'!N569</f>
        <v/>
      </c>
      <c r="P576" s="7">
        <f>'1 datos preparados'!O569</f>
        <v/>
      </c>
      <c r="Q576" s="7">
        <f>'1 datos preparados'!P569</f>
        <v/>
      </c>
      <c r="R576" s="7">
        <f>'1 datos preparados'!Q569</f>
        <v/>
      </c>
      <c r="S576" s="7">
        <f>'1 datos preparados'!R569</f>
        <v/>
      </c>
      <c r="T576" s="7">
        <f>'1 datos preparados'!S569</f>
        <v/>
      </c>
      <c r="U576" s="7">
        <f>'1 datos preparados'!T569</f>
        <v/>
      </c>
      <c r="V576" s="8">
        <f>$AC$12+D576*$AC$13+E576*$AC$14+F576*$AC$15+G576*$AC$16+H576*$AC$17+I576*$AC$18+J576*$AC$19+K576*$AC$20+L576*$AC$21+M576*$AC$22+N576*$AC$23+O576*$AC$24+P576*$AC$25+Q576*$AC$26+R576*$AC$27+S576*$AC$28+T576*$AC$29+U576*$AC$30</f>
        <v/>
      </c>
      <c r="W576" s="8">
        <f>1/(1+EXP(-V576))</f>
        <v/>
      </c>
      <c r="X576" s="9">
        <f>-IF(C576=1,LN(W576),LN(1-W576))</f>
        <v/>
      </c>
      <c r="Y576" s="10">
        <f>IF(W576&gt;$AC$33,1,0)</f>
        <v/>
      </c>
      <c r="Z576">
        <f>IF(Y576=C576,1,0)</f>
        <v/>
      </c>
    </row>
    <row r="577">
      <c r="A577">
        <f>'1 datos preparados'!A570</f>
        <v/>
      </c>
      <c r="B577" s="5">
        <f>'1 datos preparados'!U570</f>
        <v/>
      </c>
      <c r="C577">
        <f>'1 datos preparados'!B570</f>
        <v/>
      </c>
      <c r="D577" s="7">
        <f>'1 datos preparados'!C570</f>
        <v/>
      </c>
      <c r="E577" s="7">
        <f>'1 datos preparados'!D570</f>
        <v/>
      </c>
      <c r="F577" s="7">
        <f>'1 datos preparados'!E570</f>
        <v/>
      </c>
      <c r="G577" s="7">
        <f>'1 datos preparados'!F570</f>
        <v/>
      </c>
      <c r="H577" s="7">
        <f>'1 datos preparados'!G570</f>
        <v/>
      </c>
      <c r="I577" s="7">
        <f>'1 datos preparados'!H570</f>
        <v/>
      </c>
      <c r="J577" s="7">
        <f>'1 datos preparados'!I570</f>
        <v/>
      </c>
      <c r="K577" s="7">
        <f>'1 datos preparados'!J570</f>
        <v/>
      </c>
      <c r="L577" s="7">
        <f>'1 datos preparados'!K570</f>
        <v/>
      </c>
      <c r="M577" s="7">
        <f>'1 datos preparados'!L570</f>
        <v/>
      </c>
      <c r="N577" s="7">
        <f>'1 datos preparados'!M570</f>
        <v/>
      </c>
      <c r="O577" s="7">
        <f>'1 datos preparados'!N570</f>
        <v/>
      </c>
      <c r="P577" s="7">
        <f>'1 datos preparados'!O570</f>
        <v/>
      </c>
      <c r="Q577" s="7">
        <f>'1 datos preparados'!P570</f>
        <v/>
      </c>
      <c r="R577" s="7">
        <f>'1 datos preparados'!Q570</f>
        <v/>
      </c>
      <c r="S577" s="7">
        <f>'1 datos preparados'!R570</f>
        <v/>
      </c>
      <c r="T577" s="7">
        <f>'1 datos preparados'!S570</f>
        <v/>
      </c>
      <c r="U577" s="7">
        <f>'1 datos preparados'!T570</f>
        <v/>
      </c>
      <c r="V577" s="8">
        <f>$AC$12+D577*$AC$13+E577*$AC$14+F577*$AC$15+G577*$AC$16+H577*$AC$17+I577*$AC$18+J577*$AC$19+K577*$AC$20+L577*$AC$21+M577*$AC$22+N577*$AC$23+O577*$AC$24+P577*$AC$25+Q577*$AC$26+R577*$AC$27+S577*$AC$28+T577*$AC$29+U577*$AC$30</f>
        <v/>
      </c>
      <c r="W577" s="8">
        <f>1/(1+EXP(-V577))</f>
        <v/>
      </c>
      <c r="X577" s="9">
        <f>-IF(C577=1,LN(W577),LN(1-W577))</f>
        <v/>
      </c>
      <c r="Y577" s="10">
        <f>IF(W577&gt;$AC$33,1,0)</f>
        <v/>
      </c>
      <c r="Z577">
        <f>IF(Y577=C577,1,0)</f>
        <v/>
      </c>
    </row>
    <row r="578">
      <c r="A578">
        <f>'1 datos preparados'!A571</f>
        <v/>
      </c>
      <c r="B578" s="5">
        <f>'1 datos preparados'!U571</f>
        <v/>
      </c>
      <c r="C578">
        <f>'1 datos preparados'!B571</f>
        <v/>
      </c>
      <c r="D578" s="7">
        <f>'1 datos preparados'!C571</f>
        <v/>
      </c>
      <c r="E578" s="7">
        <f>'1 datos preparados'!D571</f>
        <v/>
      </c>
      <c r="F578" s="7">
        <f>'1 datos preparados'!E571</f>
        <v/>
      </c>
      <c r="G578" s="7">
        <f>'1 datos preparados'!F571</f>
        <v/>
      </c>
      <c r="H578" s="7">
        <f>'1 datos preparados'!G571</f>
        <v/>
      </c>
      <c r="I578" s="7">
        <f>'1 datos preparados'!H571</f>
        <v/>
      </c>
      <c r="J578" s="7">
        <f>'1 datos preparados'!I571</f>
        <v/>
      </c>
      <c r="K578" s="7">
        <f>'1 datos preparados'!J571</f>
        <v/>
      </c>
      <c r="L578" s="7">
        <f>'1 datos preparados'!K571</f>
        <v/>
      </c>
      <c r="M578" s="7">
        <f>'1 datos preparados'!L571</f>
        <v/>
      </c>
      <c r="N578" s="7">
        <f>'1 datos preparados'!M571</f>
        <v/>
      </c>
      <c r="O578" s="7">
        <f>'1 datos preparados'!N571</f>
        <v/>
      </c>
      <c r="P578" s="7">
        <f>'1 datos preparados'!O571</f>
        <v/>
      </c>
      <c r="Q578" s="7">
        <f>'1 datos preparados'!P571</f>
        <v/>
      </c>
      <c r="R578" s="7">
        <f>'1 datos preparados'!Q571</f>
        <v/>
      </c>
      <c r="S578" s="7">
        <f>'1 datos preparados'!R571</f>
        <v/>
      </c>
      <c r="T578" s="7">
        <f>'1 datos preparados'!S571</f>
        <v/>
      </c>
      <c r="U578" s="7">
        <f>'1 datos preparados'!T571</f>
        <v/>
      </c>
      <c r="V578" s="8">
        <f>$AC$12+D578*$AC$13+E578*$AC$14+F578*$AC$15+G578*$AC$16+H578*$AC$17+I578*$AC$18+J578*$AC$19+K578*$AC$20+L578*$AC$21+M578*$AC$22+N578*$AC$23+O578*$AC$24+P578*$AC$25+Q578*$AC$26+R578*$AC$27+S578*$AC$28+T578*$AC$29+U578*$AC$30</f>
        <v/>
      </c>
      <c r="W578" s="8">
        <f>1/(1+EXP(-V578))</f>
        <v/>
      </c>
      <c r="X578" s="9">
        <f>-IF(C578=1,LN(W578),LN(1-W578))</f>
        <v/>
      </c>
      <c r="Y578" s="10">
        <f>IF(W578&gt;$AC$33,1,0)</f>
        <v/>
      </c>
      <c r="Z578">
        <f>IF(Y578=C578,1,0)</f>
        <v/>
      </c>
    </row>
    <row r="579">
      <c r="A579">
        <f>'1 datos preparados'!A572</f>
        <v/>
      </c>
      <c r="B579" s="5">
        <f>'1 datos preparados'!U572</f>
        <v/>
      </c>
      <c r="C579">
        <f>'1 datos preparados'!B572</f>
        <v/>
      </c>
      <c r="D579" s="7">
        <f>'1 datos preparados'!C572</f>
        <v/>
      </c>
      <c r="E579" s="7">
        <f>'1 datos preparados'!D572</f>
        <v/>
      </c>
      <c r="F579" s="7">
        <f>'1 datos preparados'!E572</f>
        <v/>
      </c>
      <c r="G579" s="7">
        <f>'1 datos preparados'!F572</f>
        <v/>
      </c>
      <c r="H579" s="7">
        <f>'1 datos preparados'!G572</f>
        <v/>
      </c>
      <c r="I579" s="7">
        <f>'1 datos preparados'!H572</f>
        <v/>
      </c>
      <c r="J579" s="7">
        <f>'1 datos preparados'!I572</f>
        <v/>
      </c>
      <c r="K579" s="7">
        <f>'1 datos preparados'!J572</f>
        <v/>
      </c>
      <c r="L579" s="7">
        <f>'1 datos preparados'!K572</f>
        <v/>
      </c>
      <c r="M579" s="7">
        <f>'1 datos preparados'!L572</f>
        <v/>
      </c>
      <c r="N579" s="7">
        <f>'1 datos preparados'!M572</f>
        <v/>
      </c>
      <c r="O579" s="7">
        <f>'1 datos preparados'!N572</f>
        <v/>
      </c>
      <c r="P579" s="7">
        <f>'1 datos preparados'!O572</f>
        <v/>
      </c>
      <c r="Q579" s="7">
        <f>'1 datos preparados'!P572</f>
        <v/>
      </c>
      <c r="R579" s="7">
        <f>'1 datos preparados'!Q572</f>
        <v/>
      </c>
      <c r="S579" s="7">
        <f>'1 datos preparados'!R572</f>
        <v/>
      </c>
      <c r="T579" s="7">
        <f>'1 datos preparados'!S572</f>
        <v/>
      </c>
      <c r="U579" s="7">
        <f>'1 datos preparados'!T572</f>
        <v/>
      </c>
      <c r="V579" s="8">
        <f>$AC$12+D579*$AC$13+E579*$AC$14+F579*$AC$15+G579*$AC$16+H579*$AC$17+I579*$AC$18+J579*$AC$19+K579*$AC$20+L579*$AC$21+M579*$AC$22+N579*$AC$23+O579*$AC$24+P579*$AC$25+Q579*$AC$26+R579*$AC$27+S579*$AC$28+T579*$AC$29+U579*$AC$30</f>
        <v/>
      </c>
      <c r="W579" s="8">
        <f>1/(1+EXP(-V579))</f>
        <v/>
      </c>
      <c r="X579" s="9">
        <f>-IF(C579=1,LN(W579),LN(1-W579))</f>
        <v/>
      </c>
      <c r="Y579" s="10">
        <f>IF(W579&gt;$AC$33,1,0)</f>
        <v/>
      </c>
      <c r="Z579">
        <f>IF(Y579=C579,1,0)</f>
        <v/>
      </c>
    </row>
    <row r="580">
      <c r="A580">
        <f>'1 datos preparados'!A573</f>
        <v/>
      </c>
      <c r="B580" s="5">
        <f>'1 datos preparados'!U573</f>
        <v/>
      </c>
      <c r="C580">
        <f>'1 datos preparados'!B573</f>
        <v/>
      </c>
      <c r="D580" s="7">
        <f>'1 datos preparados'!C573</f>
        <v/>
      </c>
      <c r="E580" s="7">
        <f>'1 datos preparados'!D573</f>
        <v/>
      </c>
      <c r="F580" s="7">
        <f>'1 datos preparados'!E573</f>
        <v/>
      </c>
      <c r="G580" s="7">
        <f>'1 datos preparados'!F573</f>
        <v/>
      </c>
      <c r="H580" s="7">
        <f>'1 datos preparados'!G573</f>
        <v/>
      </c>
      <c r="I580" s="7">
        <f>'1 datos preparados'!H573</f>
        <v/>
      </c>
      <c r="J580" s="7">
        <f>'1 datos preparados'!I573</f>
        <v/>
      </c>
      <c r="K580" s="7">
        <f>'1 datos preparados'!J573</f>
        <v/>
      </c>
      <c r="L580" s="7">
        <f>'1 datos preparados'!K573</f>
        <v/>
      </c>
      <c r="M580" s="7">
        <f>'1 datos preparados'!L573</f>
        <v/>
      </c>
      <c r="N580" s="7">
        <f>'1 datos preparados'!M573</f>
        <v/>
      </c>
      <c r="O580" s="7">
        <f>'1 datos preparados'!N573</f>
        <v/>
      </c>
      <c r="P580" s="7">
        <f>'1 datos preparados'!O573</f>
        <v/>
      </c>
      <c r="Q580" s="7">
        <f>'1 datos preparados'!P573</f>
        <v/>
      </c>
      <c r="R580" s="7">
        <f>'1 datos preparados'!Q573</f>
        <v/>
      </c>
      <c r="S580" s="7">
        <f>'1 datos preparados'!R573</f>
        <v/>
      </c>
      <c r="T580" s="7">
        <f>'1 datos preparados'!S573</f>
        <v/>
      </c>
      <c r="U580" s="7">
        <f>'1 datos preparados'!T573</f>
        <v/>
      </c>
      <c r="V580" s="8">
        <f>$AC$12+D580*$AC$13+E580*$AC$14+F580*$AC$15+G580*$AC$16+H580*$AC$17+I580*$AC$18+J580*$AC$19+K580*$AC$20+L580*$AC$21+M580*$AC$22+N580*$AC$23+O580*$AC$24+P580*$AC$25+Q580*$AC$26+R580*$AC$27+S580*$AC$28+T580*$AC$29+U580*$AC$30</f>
        <v/>
      </c>
      <c r="W580" s="8">
        <f>1/(1+EXP(-V580))</f>
        <v/>
      </c>
      <c r="X580" s="9">
        <f>-IF(C580=1,LN(W580),LN(1-W580))</f>
        <v/>
      </c>
      <c r="Y580" s="10">
        <f>IF(W580&gt;$AC$33,1,0)</f>
        <v/>
      </c>
      <c r="Z580">
        <f>IF(Y580=C580,1,0)</f>
        <v/>
      </c>
    </row>
    <row r="581">
      <c r="A581">
        <f>'1 datos preparados'!A574</f>
        <v/>
      </c>
      <c r="B581" s="5">
        <f>'1 datos preparados'!U574</f>
        <v/>
      </c>
      <c r="C581">
        <f>'1 datos preparados'!B574</f>
        <v/>
      </c>
      <c r="D581" s="7">
        <f>'1 datos preparados'!C574</f>
        <v/>
      </c>
      <c r="E581" s="7">
        <f>'1 datos preparados'!D574</f>
        <v/>
      </c>
      <c r="F581" s="7">
        <f>'1 datos preparados'!E574</f>
        <v/>
      </c>
      <c r="G581" s="7">
        <f>'1 datos preparados'!F574</f>
        <v/>
      </c>
      <c r="H581" s="7">
        <f>'1 datos preparados'!G574</f>
        <v/>
      </c>
      <c r="I581" s="7">
        <f>'1 datos preparados'!H574</f>
        <v/>
      </c>
      <c r="J581" s="7">
        <f>'1 datos preparados'!I574</f>
        <v/>
      </c>
      <c r="K581" s="7">
        <f>'1 datos preparados'!J574</f>
        <v/>
      </c>
      <c r="L581" s="7">
        <f>'1 datos preparados'!K574</f>
        <v/>
      </c>
      <c r="M581" s="7">
        <f>'1 datos preparados'!L574</f>
        <v/>
      </c>
      <c r="N581" s="7">
        <f>'1 datos preparados'!M574</f>
        <v/>
      </c>
      <c r="O581" s="7">
        <f>'1 datos preparados'!N574</f>
        <v/>
      </c>
      <c r="P581" s="7">
        <f>'1 datos preparados'!O574</f>
        <v/>
      </c>
      <c r="Q581" s="7">
        <f>'1 datos preparados'!P574</f>
        <v/>
      </c>
      <c r="R581" s="7">
        <f>'1 datos preparados'!Q574</f>
        <v/>
      </c>
      <c r="S581" s="7">
        <f>'1 datos preparados'!R574</f>
        <v/>
      </c>
      <c r="T581" s="7">
        <f>'1 datos preparados'!S574</f>
        <v/>
      </c>
      <c r="U581" s="7">
        <f>'1 datos preparados'!T574</f>
        <v/>
      </c>
      <c r="V581" s="8">
        <f>$AC$12+D581*$AC$13+E581*$AC$14+F581*$AC$15+G581*$AC$16+H581*$AC$17+I581*$AC$18+J581*$AC$19+K581*$AC$20+L581*$AC$21+M581*$AC$22+N581*$AC$23+O581*$AC$24+P581*$AC$25+Q581*$AC$26+R581*$AC$27+S581*$AC$28+T581*$AC$29+U581*$AC$30</f>
        <v/>
      </c>
      <c r="W581" s="8">
        <f>1/(1+EXP(-V581))</f>
        <v/>
      </c>
      <c r="X581" s="9">
        <f>-IF(C581=1,LN(W581),LN(1-W581))</f>
        <v/>
      </c>
      <c r="Y581" s="10">
        <f>IF(W581&gt;$AC$33,1,0)</f>
        <v/>
      </c>
      <c r="Z581">
        <f>IF(Y581=C581,1,0)</f>
        <v/>
      </c>
    </row>
    <row r="582">
      <c r="A582">
        <f>'1 datos preparados'!A575</f>
        <v/>
      </c>
      <c r="B582" s="5">
        <f>'1 datos preparados'!U575</f>
        <v/>
      </c>
      <c r="C582">
        <f>'1 datos preparados'!B575</f>
        <v/>
      </c>
      <c r="D582" s="7">
        <f>'1 datos preparados'!C575</f>
        <v/>
      </c>
      <c r="E582" s="7">
        <f>'1 datos preparados'!D575</f>
        <v/>
      </c>
      <c r="F582" s="7">
        <f>'1 datos preparados'!E575</f>
        <v/>
      </c>
      <c r="G582" s="7">
        <f>'1 datos preparados'!F575</f>
        <v/>
      </c>
      <c r="H582" s="7">
        <f>'1 datos preparados'!G575</f>
        <v/>
      </c>
      <c r="I582" s="7">
        <f>'1 datos preparados'!H575</f>
        <v/>
      </c>
      <c r="J582" s="7">
        <f>'1 datos preparados'!I575</f>
        <v/>
      </c>
      <c r="K582" s="7">
        <f>'1 datos preparados'!J575</f>
        <v/>
      </c>
      <c r="L582" s="7">
        <f>'1 datos preparados'!K575</f>
        <v/>
      </c>
      <c r="M582" s="7">
        <f>'1 datos preparados'!L575</f>
        <v/>
      </c>
      <c r="N582" s="7">
        <f>'1 datos preparados'!M575</f>
        <v/>
      </c>
      <c r="O582" s="7">
        <f>'1 datos preparados'!N575</f>
        <v/>
      </c>
      <c r="P582" s="7">
        <f>'1 datos preparados'!O575</f>
        <v/>
      </c>
      <c r="Q582" s="7">
        <f>'1 datos preparados'!P575</f>
        <v/>
      </c>
      <c r="R582" s="7">
        <f>'1 datos preparados'!Q575</f>
        <v/>
      </c>
      <c r="S582" s="7">
        <f>'1 datos preparados'!R575</f>
        <v/>
      </c>
      <c r="T582" s="7">
        <f>'1 datos preparados'!S575</f>
        <v/>
      </c>
      <c r="U582" s="7">
        <f>'1 datos preparados'!T575</f>
        <v/>
      </c>
      <c r="V582" s="8">
        <f>$AC$12+D582*$AC$13+E582*$AC$14+F582*$AC$15+G582*$AC$16+H582*$AC$17+I582*$AC$18+J582*$AC$19+K582*$AC$20+L582*$AC$21+M582*$AC$22+N582*$AC$23+O582*$AC$24+P582*$AC$25+Q582*$AC$26+R582*$AC$27+S582*$AC$28+T582*$AC$29+U582*$AC$30</f>
        <v/>
      </c>
      <c r="W582" s="8">
        <f>1/(1+EXP(-V582))</f>
        <v/>
      </c>
      <c r="X582" s="9">
        <f>-IF(C582=1,LN(W582),LN(1-W582))</f>
        <v/>
      </c>
      <c r="Y582" s="10">
        <f>IF(W582&gt;$AC$33,1,0)</f>
        <v/>
      </c>
      <c r="Z582">
        <f>IF(Y582=C582,1,0)</f>
        <v/>
      </c>
    </row>
    <row r="583">
      <c r="A583">
        <f>'1 datos preparados'!A576</f>
        <v/>
      </c>
      <c r="B583" s="5">
        <f>'1 datos preparados'!U576</f>
        <v/>
      </c>
      <c r="C583">
        <f>'1 datos preparados'!B576</f>
        <v/>
      </c>
      <c r="D583" s="7">
        <f>'1 datos preparados'!C576</f>
        <v/>
      </c>
      <c r="E583" s="7">
        <f>'1 datos preparados'!D576</f>
        <v/>
      </c>
      <c r="F583" s="7">
        <f>'1 datos preparados'!E576</f>
        <v/>
      </c>
      <c r="G583" s="7">
        <f>'1 datos preparados'!F576</f>
        <v/>
      </c>
      <c r="H583" s="7">
        <f>'1 datos preparados'!G576</f>
        <v/>
      </c>
      <c r="I583" s="7">
        <f>'1 datos preparados'!H576</f>
        <v/>
      </c>
      <c r="J583" s="7">
        <f>'1 datos preparados'!I576</f>
        <v/>
      </c>
      <c r="K583" s="7">
        <f>'1 datos preparados'!J576</f>
        <v/>
      </c>
      <c r="L583" s="7">
        <f>'1 datos preparados'!K576</f>
        <v/>
      </c>
      <c r="M583" s="7">
        <f>'1 datos preparados'!L576</f>
        <v/>
      </c>
      <c r="N583" s="7">
        <f>'1 datos preparados'!M576</f>
        <v/>
      </c>
      <c r="O583" s="7">
        <f>'1 datos preparados'!N576</f>
        <v/>
      </c>
      <c r="P583" s="7">
        <f>'1 datos preparados'!O576</f>
        <v/>
      </c>
      <c r="Q583" s="7">
        <f>'1 datos preparados'!P576</f>
        <v/>
      </c>
      <c r="R583" s="7">
        <f>'1 datos preparados'!Q576</f>
        <v/>
      </c>
      <c r="S583" s="7">
        <f>'1 datos preparados'!R576</f>
        <v/>
      </c>
      <c r="T583" s="7">
        <f>'1 datos preparados'!S576</f>
        <v/>
      </c>
      <c r="U583" s="7">
        <f>'1 datos preparados'!T576</f>
        <v/>
      </c>
      <c r="V583" s="8">
        <f>$AC$12+D583*$AC$13+E583*$AC$14+F583*$AC$15+G583*$AC$16+H583*$AC$17+I583*$AC$18+J583*$AC$19+K583*$AC$20+L583*$AC$21+M583*$AC$22+N583*$AC$23+O583*$AC$24+P583*$AC$25+Q583*$AC$26+R583*$AC$27+S583*$AC$28+T583*$AC$29+U583*$AC$30</f>
        <v/>
      </c>
      <c r="W583" s="8">
        <f>1/(1+EXP(-V583))</f>
        <v/>
      </c>
      <c r="X583" s="9">
        <f>-IF(C583=1,LN(W583),LN(1-W583))</f>
        <v/>
      </c>
      <c r="Y583" s="10">
        <f>IF(W583&gt;$AC$33,1,0)</f>
        <v/>
      </c>
      <c r="Z583">
        <f>IF(Y583=C583,1,0)</f>
        <v/>
      </c>
    </row>
    <row r="584">
      <c r="A584">
        <f>'1 datos preparados'!A577</f>
        <v/>
      </c>
      <c r="B584" s="5">
        <f>'1 datos preparados'!U577</f>
        <v/>
      </c>
      <c r="C584">
        <f>'1 datos preparados'!B577</f>
        <v/>
      </c>
      <c r="D584" s="7">
        <f>'1 datos preparados'!C577</f>
        <v/>
      </c>
      <c r="E584" s="7">
        <f>'1 datos preparados'!D577</f>
        <v/>
      </c>
      <c r="F584" s="7">
        <f>'1 datos preparados'!E577</f>
        <v/>
      </c>
      <c r="G584" s="7">
        <f>'1 datos preparados'!F577</f>
        <v/>
      </c>
      <c r="H584" s="7">
        <f>'1 datos preparados'!G577</f>
        <v/>
      </c>
      <c r="I584" s="7">
        <f>'1 datos preparados'!H577</f>
        <v/>
      </c>
      <c r="J584" s="7">
        <f>'1 datos preparados'!I577</f>
        <v/>
      </c>
      <c r="K584" s="7">
        <f>'1 datos preparados'!J577</f>
        <v/>
      </c>
      <c r="L584" s="7">
        <f>'1 datos preparados'!K577</f>
        <v/>
      </c>
      <c r="M584" s="7">
        <f>'1 datos preparados'!L577</f>
        <v/>
      </c>
      <c r="N584" s="7">
        <f>'1 datos preparados'!M577</f>
        <v/>
      </c>
      <c r="O584" s="7">
        <f>'1 datos preparados'!N577</f>
        <v/>
      </c>
      <c r="P584" s="7">
        <f>'1 datos preparados'!O577</f>
        <v/>
      </c>
      <c r="Q584" s="7">
        <f>'1 datos preparados'!P577</f>
        <v/>
      </c>
      <c r="R584" s="7">
        <f>'1 datos preparados'!Q577</f>
        <v/>
      </c>
      <c r="S584" s="7">
        <f>'1 datos preparados'!R577</f>
        <v/>
      </c>
      <c r="T584" s="7">
        <f>'1 datos preparados'!S577</f>
        <v/>
      </c>
      <c r="U584" s="7">
        <f>'1 datos preparados'!T577</f>
        <v/>
      </c>
      <c r="V584" s="8">
        <f>$AC$12+D584*$AC$13+E584*$AC$14+F584*$AC$15+G584*$AC$16+H584*$AC$17+I584*$AC$18+J584*$AC$19+K584*$AC$20+L584*$AC$21+M584*$AC$22+N584*$AC$23+O584*$AC$24+P584*$AC$25+Q584*$AC$26+R584*$AC$27+S584*$AC$28+T584*$AC$29+U584*$AC$30</f>
        <v/>
      </c>
      <c r="W584" s="8">
        <f>1/(1+EXP(-V584))</f>
        <v/>
      </c>
      <c r="X584" s="9">
        <f>-IF(C584=1,LN(W584),LN(1-W584))</f>
        <v/>
      </c>
      <c r="Y584" s="10">
        <f>IF(W584&gt;$AC$33,1,0)</f>
        <v/>
      </c>
      <c r="Z584">
        <f>IF(Y584=C584,1,0)</f>
        <v/>
      </c>
    </row>
    <row r="585">
      <c r="A585">
        <f>'1 datos preparados'!A578</f>
        <v/>
      </c>
      <c r="B585" s="5">
        <f>'1 datos preparados'!U578</f>
        <v/>
      </c>
      <c r="C585">
        <f>'1 datos preparados'!B578</f>
        <v/>
      </c>
      <c r="D585" s="7">
        <f>'1 datos preparados'!C578</f>
        <v/>
      </c>
      <c r="E585" s="7">
        <f>'1 datos preparados'!D578</f>
        <v/>
      </c>
      <c r="F585" s="7">
        <f>'1 datos preparados'!E578</f>
        <v/>
      </c>
      <c r="G585" s="7">
        <f>'1 datos preparados'!F578</f>
        <v/>
      </c>
      <c r="H585" s="7">
        <f>'1 datos preparados'!G578</f>
        <v/>
      </c>
      <c r="I585" s="7">
        <f>'1 datos preparados'!H578</f>
        <v/>
      </c>
      <c r="J585" s="7">
        <f>'1 datos preparados'!I578</f>
        <v/>
      </c>
      <c r="K585" s="7">
        <f>'1 datos preparados'!J578</f>
        <v/>
      </c>
      <c r="L585" s="7">
        <f>'1 datos preparados'!K578</f>
        <v/>
      </c>
      <c r="M585" s="7">
        <f>'1 datos preparados'!L578</f>
        <v/>
      </c>
      <c r="N585" s="7">
        <f>'1 datos preparados'!M578</f>
        <v/>
      </c>
      <c r="O585" s="7">
        <f>'1 datos preparados'!N578</f>
        <v/>
      </c>
      <c r="P585" s="7">
        <f>'1 datos preparados'!O578</f>
        <v/>
      </c>
      <c r="Q585" s="7">
        <f>'1 datos preparados'!P578</f>
        <v/>
      </c>
      <c r="R585" s="7">
        <f>'1 datos preparados'!Q578</f>
        <v/>
      </c>
      <c r="S585" s="7">
        <f>'1 datos preparados'!R578</f>
        <v/>
      </c>
      <c r="T585" s="7">
        <f>'1 datos preparados'!S578</f>
        <v/>
      </c>
      <c r="U585" s="7">
        <f>'1 datos preparados'!T578</f>
        <v/>
      </c>
      <c r="V585" s="8">
        <f>$AC$12+D585*$AC$13+E585*$AC$14+F585*$AC$15+G585*$AC$16+H585*$AC$17+I585*$AC$18+J585*$AC$19+K585*$AC$20+L585*$AC$21+M585*$AC$22+N585*$AC$23+O585*$AC$24+P585*$AC$25+Q585*$AC$26+R585*$AC$27+S585*$AC$28+T585*$AC$29+U585*$AC$30</f>
        <v/>
      </c>
      <c r="W585" s="8">
        <f>1/(1+EXP(-V585))</f>
        <v/>
      </c>
      <c r="X585" s="9">
        <f>-IF(C585=1,LN(W585),LN(1-W585))</f>
        <v/>
      </c>
      <c r="Y585" s="10">
        <f>IF(W585&gt;$AC$33,1,0)</f>
        <v/>
      </c>
      <c r="Z585">
        <f>IF(Y585=C585,1,0)</f>
        <v/>
      </c>
    </row>
    <row r="586">
      <c r="A586">
        <f>'1 datos preparados'!A579</f>
        <v/>
      </c>
      <c r="B586" s="5">
        <f>'1 datos preparados'!U579</f>
        <v/>
      </c>
      <c r="C586">
        <f>'1 datos preparados'!B579</f>
        <v/>
      </c>
      <c r="D586" s="7">
        <f>'1 datos preparados'!C579</f>
        <v/>
      </c>
      <c r="E586" s="7">
        <f>'1 datos preparados'!D579</f>
        <v/>
      </c>
      <c r="F586" s="7">
        <f>'1 datos preparados'!E579</f>
        <v/>
      </c>
      <c r="G586" s="7">
        <f>'1 datos preparados'!F579</f>
        <v/>
      </c>
      <c r="H586" s="7">
        <f>'1 datos preparados'!G579</f>
        <v/>
      </c>
      <c r="I586" s="7">
        <f>'1 datos preparados'!H579</f>
        <v/>
      </c>
      <c r="J586" s="7">
        <f>'1 datos preparados'!I579</f>
        <v/>
      </c>
      <c r="K586" s="7">
        <f>'1 datos preparados'!J579</f>
        <v/>
      </c>
      <c r="L586" s="7">
        <f>'1 datos preparados'!K579</f>
        <v/>
      </c>
      <c r="M586" s="7">
        <f>'1 datos preparados'!L579</f>
        <v/>
      </c>
      <c r="N586" s="7">
        <f>'1 datos preparados'!M579</f>
        <v/>
      </c>
      <c r="O586" s="7">
        <f>'1 datos preparados'!N579</f>
        <v/>
      </c>
      <c r="P586" s="7">
        <f>'1 datos preparados'!O579</f>
        <v/>
      </c>
      <c r="Q586" s="7">
        <f>'1 datos preparados'!P579</f>
        <v/>
      </c>
      <c r="R586" s="7">
        <f>'1 datos preparados'!Q579</f>
        <v/>
      </c>
      <c r="S586" s="7">
        <f>'1 datos preparados'!R579</f>
        <v/>
      </c>
      <c r="T586" s="7">
        <f>'1 datos preparados'!S579</f>
        <v/>
      </c>
      <c r="U586" s="7">
        <f>'1 datos preparados'!T579</f>
        <v/>
      </c>
      <c r="V586" s="8">
        <f>$AC$12+D586*$AC$13+E586*$AC$14+F586*$AC$15+G586*$AC$16+H586*$AC$17+I586*$AC$18+J586*$AC$19+K586*$AC$20+L586*$AC$21+M586*$AC$22+N586*$AC$23+O586*$AC$24+P586*$AC$25+Q586*$AC$26+R586*$AC$27+S586*$AC$28+T586*$AC$29+U586*$AC$30</f>
        <v/>
      </c>
      <c r="W586" s="8">
        <f>1/(1+EXP(-V586))</f>
        <v/>
      </c>
      <c r="X586" s="9">
        <f>-IF(C586=1,LN(W586),LN(1-W586))</f>
        <v/>
      </c>
      <c r="Y586" s="10">
        <f>IF(W586&gt;$AC$33,1,0)</f>
        <v/>
      </c>
      <c r="Z586">
        <f>IF(Y586=C586,1,0)</f>
        <v/>
      </c>
    </row>
    <row r="587">
      <c r="A587">
        <f>'1 datos preparados'!A580</f>
        <v/>
      </c>
      <c r="B587" s="5">
        <f>'1 datos preparados'!U580</f>
        <v/>
      </c>
      <c r="C587">
        <f>'1 datos preparados'!B580</f>
        <v/>
      </c>
      <c r="D587" s="7">
        <f>'1 datos preparados'!C580</f>
        <v/>
      </c>
      <c r="E587" s="7">
        <f>'1 datos preparados'!D580</f>
        <v/>
      </c>
      <c r="F587" s="7">
        <f>'1 datos preparados'!E580</f>
        <v/>
      </c>
      <c r="G587" s="7">
        <f>'1 datos preparados'!F580</f>
        <v/>
      </c>
      <c r="H587" s="7">
        <f>'1 datos preparados'!G580</f>
        <v/>
      </c>
      <c r="I587" s="7">
        <f>'1 datos preparados'!H580</f>
        <v/>
      </c>
      <c r="J587" s="7">
        <f>'1 datos preparados'!I580</f>
        <v/>
      </c>
      <c r="K587" s="7">
        <f>'1 datos preparados'!J580</f>
        <v/>
      </c>
      <c r="L587" s="7">
        <f>'1 datos preparados'!K580</f>
        <v/>
      </c>
      <c r="M587" s="7">
        <f>'1 datos preparados'!L580</f>
        <v/>
      </c>
      <c r="N587" s="7">
        <f>'1 datos preparados'!M580</f>
        <v/>
      </c>
      <c r="O587" s="7">
        <f>'1 datos preparados'!N580</f>
        <v/>
      </c>
      <c r="P587" s="7">
        <f>'1 datos preparados'!O580</f>
        <v/>
      </c>
      <c r="Q587" s="7">
        <f>'1 datos preparados'!P580</f>
        <v/>
      </c>
      <c r="R587" s="7">
        <f>'1 datos preparados'!Q580</f>
        <v/>
      </c>
      <c r="S587" s="7">
        <f>'1 datos preparados'!R580</f>
        <v/>
      </c>
      <c r="T587" s="7">
        <f>'1 datos preparados'!S580</f>
        <v/>
      </c>
      <c r="U587" s="7">
        <f>'1 datos preparados'!T580</f>
        <v/>
      </c>
      <c r="V587" s="8">
        <f>$AC$12+D587*$AC$13+E587*$AC$14+F587*$AC$15+G587*$AC$16+H587*$AC$17+I587*$AC$18+J587*$AC$19+K587*$AC$20+L587*$AC$21+M587*$AC$22+N587*$AC$23+O587*$AC$24+P587*$AC$25+Q587*$AC$26+R587*$AC$27+S587*$AC$28+T587*$AC$29+U587*$AC$30</f>
        <v/>
      </c>
      <c r="W587" s="8">
        <f>1/(1+EXP(-V587))</f>
        <v/>
      </c>
      <c r="X587" s="9">
        <f>-IF(C587=1,LN(W587),LN(1-W587))</f>
        <v/>
      </c>
      <c r="Y587" s="10">
        <f>IF(W587&gt;$AC$33,1,0)</f>
        <v/>
      </c>
      <c r="Z587">
        <f>IF(Y587=C587,1,0)</f>
        <v/>
      </c>
    </row>
    <row r="588">
      <c r="A588">
        <f>'1 datos preparados'!A581</f>
        <v/>
      </c>
      <c r="B588" s="5">
        <f>'1 datos preparados'!U581</f>
        <v/>
      </c>
      <c r="C588">
        <f>'1 datos preparados'!B581</f>
        <v/>
      </c>
      <c r="D588" s="7">
        <f>'1 datos preparados'!C581</f>
        <v/>
      </c>
      <c r="E588" s="7">
        <f>'1 datos preparados'!D581</f>
        <v/>
      </c>
      <c r="F588" s="7">
        <f>'1 datos preparados'!E581</f>
        <v/>
      </c>
      <c r="G588" s="7">
        <f>'1 datos preparados'!F581</f>
        <v/>
      </c>
      <c r="H588" s="7">
        <f>'1 datos preparados'!G581</f>
        <v/>
      </c>
      <c r="I588" s="7">
        <f>'1 datos preparados'!H581</f>
        <v/>
      </c>
      <c r="J588" s="7">
        <f>'1 datos preparados'!I581</f>
        <v/>
      </c>
      <c r="K588" s="7">
        <f>'1 datos preparados'!J581</f>
        <v/>
      </c>
      <c r="L588" s="7">
        <f>'1 datos preparados'!K581</f>
        <v/>
      </c>
      <c r="M588" s="7">
        <f>'1 datos preparados'!L581</f>
        <v/>
      </c>
      <c r="N588" s="7">
        <f>'1 datos preparados'!M581</f>
        <v/>
      </c>
      <c r="O588" s="7">
        <f>'1 datos preparados'!N581</f>
        <v/>
      </c>
      <c r="P588" s="7">
        <f>'1 datos preparados'!O581</f>
        <v/>
      </c>
      <c r="Q588" s="7">
        <f>'1 datos preparados'!P581</f>
        <v/>
      </c>
      <c r="R588" s="7">
        <f>'1 datos preparados'!Q581</f>
        <v/>
      </c>
      <c r="S588" s="7">
        <f>'1 datos preparados'!R581</f>
        <v/>
      </c>
      <c r="T588" s="7">
        <f>'1 datos preparados'!S581</f>
        <v/>
      </c>
      <c r="U588" s="7">
        <f>'1 datos preparados'!T581</f>
        <v/>
      </c>
      <c r="V588" s="8">
        <f>$AC$12+D588*$AC$13+E588*$AC$14+F588*$AC$15+G588*$AC$16+H588*$AC$17+I588*$AC$18+J588*$AC$19+K588*$AC$20+L588*$AC$21+M588*$AC$22+N588*$AC$23+O588*$AC$24+P588*$AC$25+Q588*$AC$26+R588*$AC$27+S588*$AC$28+T588*$AC$29+U588*$AC$30</f>
        <v/>
      </c>
      <c r="W588" s="8">
        <f>1/(1+EXP(-V588))</f>
        <v/>
      </c>
      <c r="X588" s="9">
        <f>-IF(C588=1,LN(W588),LN(1-W588))</f>
        <v/>
      </c>
      <c r="Y588" s="10">
        <f>IF(W588&gt;$AC$33,1,0)</f>
        <v/>
      </c>
      <c r="Z588">
        <f>IF(Y588=C588,1,0)</f>
        <v/>
      </c>
    </row>
    <row r="589">
      <c r="A589">
        <f>'1 datos preparados'!A582</f>
        <v/>
      </c>
      <c r="B589" s="5">
        <f>'1 datos preparados'!U582</f>
        <v/>
      </c>
      <c r="C589">
        <f>'1 datos preparados'!B582</f>
        <v/>
      </c>
      <c r="D589" s="7">
        <f>'1 datos preparados'!C582</f>
        <v/>
      </c>
      <c r="E589" s="7">
        <f>'1 datos preparados'!D582</f>
        <v/>
      </c>
      <c r="F589" s="7">
        <f>'1 datos preparados'!E582</f>
        <v/>
      </c>
      <c r="G589" s="7">
        <f>'1 datos preparados'!F582</f>
        <v/>
      </c>
      <c r="H589" s="7">
        <f>'1 datos preparados'!G582</f>
        <v/>
      </c>
      <c r="I589" s="7">
        <f>'1 datos preparados'!H582</f>
        <v/>
      </c>
      <c r="J589" s="7">
        <f>'1 datos preparados'!I582</f>
        <v/>
      </c>
      <c r="K589" s="7">
        <f>'1 datos preparados'!J582</f>
        <v/>
      </c>
      <c r="L589" s="7">
        <f>'1 datos preparados'!K582</f>
        <v/>
      </c>
      <c r="M589" s="7">
        <f>'1 datos preparados'!L582</f>
        <v/>
      </c>
      <c r="N589" s="7">
        <f>'1 datos preparados'!M582</f>
        <v/>
      </c>
      <c r="O589" s="7">
        <f>'1 datos preparados'!N582</f>
        <v/>
      </c>
      <c r="P589" s="7">
        <f>'1 datos preparados'!O582</f>
        <v/>
      </c>
      <c r="Q589" s="7">
        <f>'1 datos preparados'!P582</f>
        <v/>
      </c>
      <c r="R589" s="7">
        <f>'1 datos preparados'!Q582</f>
        <v/>
      </c>
      <c r="S589" s="7">
        <f>'1 datos preparados'!R582</f>
        <v/>
      </c>
      <c r="T589" s="7">
        <f>'1 datos preparados'!S582</f>
        <v/>
      </c>
      <c r="U589" s="7">
        <f>'1 datos preparados'!T582</f>
        <v/>
      </c>
      <c r="V589" s="8">
        <f>$AC$12+D589*$AC$13+E589*$AC$14+F589*$AC$15+G589*$AC$16+H589*$AC$17+I589*$AC$18+J589*$AC$19+K589*$AC$20+L589*$AC$21+M589*$AC$22+N589*$AC$23+O589*$AC$24+P589*$AC$25+Q589*$AC$26+R589*$AC$27+S589*$AC$28+T589*$AC$29+U589*$AC$30</f>
        <v/>
      </c>
      <c r="W589" s="8">
        <f>1/(1+EXP(-V589))</f>
        <v/>
      </c>
      <c r="X589" s="9">
        <f>-IF(C589=1,LN(W589),LN(1-W589))</f>
        <v/>
      </c>
      <c r="Y589" s="10">
        <f>IF(W589&gt;$AC$33,1,0)</f>
        <v/>
      </c>
      <c r="Z589">
        <f>IF(Y589=C589,1,0)</f>
        <v/>
      </c>
    </row>
    <row r="590">
      <c r="A590">
        <f>'1 datos preparados'!A583</f>
        <v/>
      </c>
      <c r="B590" s="5">
        <f>'1 datos preparados'!U583</f>
        <v/>
      </c>
      <c r="C590">
        <f>'1 datos preparados'!B583</f>
        <v/>
      </c>
      <c r="D590" s="7">
        <f>'1 datos preparados'!C583</f>
        <v/>
      </c>
      <c r="E590" s="7">
        <f>'1 datos preparados'!D583</f>
        <v/>
      </c>
      <c r="F590" s="7">
        <f>'1 datos preparados'!E583</f>
        <v/>
      </c>
      <c r="G590" s="7">
        <f>'1 datos preparados'!F583</f>
        <v/>
      </c>
      <c r="H590" s="7">
        <f>'1 datos preparados'!G583</f>
        <v/>
      </c>
      <c r="I590" s="7">
        <f>'1 datos preparados'!H583</f>
        <v/>
      </c>
      <c r="J590" s="7">
        <f>'1 datos preparados'!I583</f>
        <v/>
      </c>
      <c r="K590" s="7">
        <f>'1 datos preparados'!J583</f>
        <v/>
      </c>
      <c r="L590" s="7">
        <f>'1 datos preparados'!K583</f>
        <v/>
      </c>
      <c r="M590" s="7">
        <f>'1 datos preparados'!L583</f>
        <v/>
      </c>
      <c r="N590" s="7">
        <f>'1 datos preparados'!M583</f>
        <v/>
      </c>
      <c r="O590" s="7">
        <f>'1 datos preparados'!N583</f>
        <v/>
      </c>
      <c r="P590" s="7">
        <f>'1 datos preparados'!O583</f>
        <v/>
      </c>
      <c r="Q590" s="7">
        <f>'1 datos preparados'!P583</f>
        <v/>
      </c>
      <c r="R590" s="7">
        <f>'1 datos preparados'!Q583</f>
        <v/>
      </c>
      <c r="S590" s="7">
        <f>'1 datos preparados'!R583</f>
        <v/>
      </c>
      <c r="T590" s="7">
        <f>'1 datos preparados'!S583</f>
        <v/>
      </c>
      <c r="U590" s="7">
        <f>'1 datos preparados'!T583</f>
        <v/>
      </c>
      <c r="V590" s="8">
        <f>$AC$12+D590*$AC$13+E590*$AC$14+F590*$AC$15+G590*$AC$16+H590*$AC$17+I590*$AC$18+J590*$AC$19+K590*$AC$20+L590*$AC$21+M590*$AC$22+N590*$AC$23+O590*$AC$24+P590*$AC$25+Q590*$AC$26+R590*$AC$27+S590*$AC$28+T590*$AC$29+U590*$AC$30</f>
        <v/>
      </c>
      <c r="W590" s="8">
        <f>1/(1+EXP(-V590))</f>
        <v/>
      </c>
      <c r="X590" s="9">
        <f>-IF(C590=1,LN(W590),LN(1-W590))</f>
        <v/>
      </c>
      <c r="Y590" s="10">
        <f>IF(W590&gt;$AC$33,1,0)</f>
        <v/>
      </c>
      <c r="Z590">
        <f>IF(Y590=C590,1,0)</f>
        <v/>
      </c>
    </row>
    <row r="591">
      <c r="A591">
        <f>'1 datos preparados'!A584</f>
        <v/>
      </c>
      <c r="B591" s="5">
        <f>'1 datos preparados'!U584</f>
        <v/>
      </c>
      <c r="C591">
        <f>'1 datos preparados'!B584</f>
        <v/>
      </c>
      <c r="D591" s="7">
        <f>'1 datos preparados'!C584</f>
        <v/>
      </c>
      <c r="E591" s="7">
        <f>'1 datos preparados'!D584</f>
        <v/>
      </c>
      <c r="F591" s="7">
        <f>'1 datos preparados'!E584</f>
        <v/>
      </c>
      <c r="G591" s="7">
        <f>'1 datos preparados'!F584</f>
        <v/>
      </c>
      <c r="H591" s="7">
        <f>'1 datos preparados'!G584</f>
        <v/>
      </c>
      <c r="I591" s="7">
        <f>'1 datos preparados'!H584</f>
        <v/>
      </c>
      <c r="J591" s="7">
        <f>'1 datos preparados'!I584</f>
        <v/>
      </c>
      <c r="K591" s="7">
        <f>'1 datos preparados'!J584</f>
        <v/>
      </c>
      <c r="L591" s="7">
        <f>'1 datos preparados'!K584</f>
        <v/>
      </c>
      <c r="M591" s="7">
        <f>'1 datos preparados'!L584</f>
        <v/>
      </c>
      <c r="N591" s="7">
        <f>'1 datos preparados'!M584</f>
        <v/>
      </c>
      <c r="O591" s="7">
        <f>'1 datos preparados'!N584</f>
        <v/>
      </c>
      <c r="P591" s="7">
        <f>'1 datos preparados'!O584</f>
        <v/>
      </c>
      <c r="Q591" s="7">
        <f>'1 datos preparados'!P584</f>
        <v/>
      </c>
      <c r="R591" s="7">
        <f>'1 datos preparados'!Q584</f>
        <v/>
      </c>
      <c r="S591" s="7">
        <f>'1 datos preparados'!R584</f>
        <v/>
      </c>
      <c r="T591" s="7">
        <f>'1 datos preparados'!S584</f>
        <v/>
      </c>
      <c r="U591" s="7">
        <f>'1 datos preparados'!T584</f>
        <v/>
      </c>
      <c r="V591" s="8">
        <f>$AC$12+D591*$AC$13+E591*$AC$14+F591*$AC$15+G591*$AC$16+H591*$AC$17+I591*$AC$18+J591*$AC$19+K591*$AC$20+L591*$AC$21+M591*$AC$22+N591*$AC$23+O591*$AC$24+P591*$AC$25+Q591*$AC$26+R591*$AC$27+S591*$AC$28+T591*$AC$29+U591*$AC$30</f>
        <v/>
      </c>
      <c r="W591" s="8">
        <f>1/(1+EXP(-V591))</f>
        <v/>
      </c>
      <c r="X591" s="9">
        <f>-IF(C591=1,LN(W591),LN(1-W591))</f>
        <v/>
      </c>
      <c r="Y591" s="10">
        <f>IF(W591&gt;$AC$33,1,0)</f>
        <v/>
      </c>
      <c r="Z591">
        <f>IF(Y591=C591,1,0)</f>
        <v/>
      </c>
    </row>
    <row r="592">
      <c r="A592">
        <f>'1 datos preparados'!A585</f>
        <v/>
      </c>
      <c r="B592" s="5">
        <f>'1 datos preparados'!U585</f>
        <v/>
      </c>
      <c r="C592">
        <f>'1 datos preparados'!B585</f>
        <v/>
      </c>
      <c r="D592" s="7">
        <f>'1 datos preparados'!C585</f>
        <v/>
      </c>
      <c r="E592" s="7">
        <f>'1 datos preparados'!D585</f>
        <v/>
      </c>
      <c r="F592" s="7">
        <f>'1 datos preparados'!E585</f>
        <v/>
      </c>
      <c r="G592" s="7">
        <f>'1 datos preparados'!F585</f>
        <v/>
      </c>
      <c r="H592" s="7">
        <f>'1 datos preparados'!G585</f>
        <v/>
      </c>
      <c r="I592" s="7">
        <f>'1 datos preparados'!H585</f>
        <v/>
      </c>
      <c r="J592" s="7">
        <f>'1 datos preparados'!I585</f>
        <v/>
      </c>
      <c r="K592" s="7">
        <f>'1 datos preparados'!J585</f>
        <v/>
      </c>
      <c r="L592" s="7">
        <f>'1 datos preparados'!K585</f>
        <v/>
      </c>
      <c r="M592" s="7">
        <f>'1 datos preparados'!L585</f>
        <v/>
      </c>
      <c r="N592" s="7">
        <f>'1 datos preparados'!M585</f>
        <v/>
      </c>
      <c r="O592" s="7">
        <f>'1 datos preparados'!N585</f>
        <v/>
      </c>
      <c r="P592" s="7">
        <f>'1 datos preparados'!O585</f>
        <v/>
      </c>
      <c r="Q592" s="7">
        <f>'1 datos preparados'!P585</f>
        <v/>
      </c>
      <c r="R592" s="7">
        <f>'1 datos preparados'!Q585</f>
        <v/>
      </c>
      <c r="S592" s="7">
        <f>'1 datos preparados'!R585</f>
        <v/>
      </c>
      <c r="T592" s="7">
        <f>'1 datos preparados'!S585</f>
        <v/>
      </c>
      <c r="U592" s="7">
        <f>'1 datos preparados'!T585</f>
        <v/>
      </c>
      <c r="V592" s="8">
        <f>$AC$12+D592*$AC$13+E592*$AC$14+F592*$AC$15+G592*$AC$16+H592*$AC$17+I592*$AC$18+J592*$AC$19+K592*$AC$20+L592*$AC$21+M592*$AC$22+N592*$AC$23+O592*$AC$24+P592*$AC$25+Q592*$AC$26+R592*$AC$27+S592*$AC$28+T592*$AC$29+U592*$AC$30</f>
        <v/>
      </c>
      <c r="W592" s="8">
        <f>1/(1+EXP(-V592))</f>
        <v/>
      </c>
      <c r="X592" s="9">
        <f>-IF(C592=1,LN(W592),LN(1-W592))</f>
        <v/>
      </c>
      <c r="Y592" s="10">
        <f>IF(W592&gt;$AC$33,1,0)</f>
        <v/>
      </c>
      <c r="Z592">
        <f>IF(Y592=C592,1,0)</f>
        <v/>
      </c>
    </row>
    <row r="593">
      <c r="A593">
        <f>'1 datos preparados'!A586</f>
        <v/>
      </c>
      <c r="B593" s="5">
        <f>'1 datos preparados'!U586</f>
        <v/>
      </c>
      <c r="C593">
        <f>'1 datos preparados'!B586</f>
        <v/>
      </c>
      <c r="D593" s="7">
        <f>'1 datos preparados'!C586</f>
        <v/>
      </c>
      <c r="E593" s="7">
        <f>'1 datos preparados'!D586</f>
        <v/>
      </c>
      <c r="F593" s="7">
        <f>'1 datos preparados'!E586</f>
        <v/>
      </c>
      <c r="G593" s="7">
        <f>'1 datos preparados'!F586</f>
        <v/>
      </c>
      <c r="H593" s="7">
        <f>'1 datos preparados'!G586</f>
        <v/>
      </c>
      <c r="I593" s="7">
        <f>'1 datos preparados'!H586</f>
        <v/>
      </c>
      <c r="J593" s="7">
        <f>'1 datos preparados'!I586</f>
        <v/>
      </c>
      <c r="K593" s="7">
        <f>'1 datos preparados'!J586</f>
        <v/>
      </c>
      <c r="L593" s="7">
        <f>'1 datos preparados'!K586</f>
        <v/>
      </c>
      <c r="M593" s="7">
        <f>'1 datos preparados'!L586</f>
        <v/>
      </c>
      <c r="N593" s="7">
        <f>'1 datos preparados'!M586</f>
        <v/>
      </c>
      <c r="O593" s="7">
        <f>'1 datos preparados'!N586</f>
        <v/>
      </c>
      <c r="P593" s="7">
        <f>'1 datos preparados'!O586</f>
        <v/>
      </c>
      <c r="Q593" s="7">
        <f>'1 datos preparados'!P586</f>
        <v/>
      </c>
      <c r="R593" s="7">
        <f>'1 datos preparados'!Q586</f>
        <v/>
      </c>
      <c r="S593" s="7">
        <f>'1 datos preparados'!R586</f>
        <v/>
      </c>
      <c r="T593" s="7">
        <f>'1 datos preparados'!S586</f>
        <v/>
      </c>
      <c r="U593" s="7">
        <f>'1 datos preparados'!T586</f>
        <v/>
      </c>
      <c r="V593" s="8">
        <f>$AC$12+D593*$AC$13+E593*$AC$14+F593*$AC$15+G593*$AC$16+H593*$AC$17+I593*$AC$18+J593*$AC$19+K593*$AC$20+L593*$AC$21+M593*$AC$22+N593*$AC$23+O593*$AC$24+P593*$AC$25+Q593*$AC$26+R593*$AC$27+S593*$AC$28+T593*$AC$29+U593*$AC$30</f>
        <v/>
      </c>
      <c r="W593" s="8">
        <f>1/(1+EXP(-V593))</f>
        <v/>
      </c>
      <c r="X593" s="9">
        <f>-IF(C593=1,LN(W593),LN(1-W593))</f>
        <v/>
      </c>
      <c r="Y593" s="10">
        <f>IF(W593&gt;$AC$33,1,0)</f>
        <v/>
      </c>
      <c r="Z593">
        <f>IF(Y593=C593,1,0)</f>
        <v/>
      </c>
    </row>
    <row r="594">
      <c r="A594">
        <f>'1 datos preparados'!A587</f>
        <v/>
      </c>
      <c r="B594" s="5">
        <f>'1 datos preparados'!U587</f>
        <v/>
      </c>
      <c r="C594">
        <f>'1 datos preparados'!B587</f>
        <v/>
      </c>
      <c r="D594" s="7">
        <f>'1 datos preparados'!C587</f>
        <v/>
      </c>
      <c r="E594" s="7">
        <f>'1 datos preparados'!D587</f>
        <v/>
      </c>
      <c r="F594" s="7">
        <f>'1 datos preparados'!E587</f>
        <v/>
      </c>
      <c r="G594" s="7">
        <f>'1 datos preparados'!F587</f>
        <v/>
      </c>
      <c r="H594" s="7">
        <f>'1 datos preparados'!G587</f>
        <v/>
      </c>
      <c r="I594" s="7">
        <f>'1 datos preparados'!H587</f>
        <v/>
      </c>
      <c r="J594" s="7">
        <f>'1 datos preparados'!I587</f>
        <v/>
      </c>
      <c r="K594" s="7">
        <f>'1 datos preparados'!J587</f>
        <v/>
      </c>
      <c r="L594" s="7">
        <f>'1 datos preparados'!K587</f>
        <v/>
      </c>
      <c r="M594" s="7">
        <f>'1 datos preparados'!L587</f>
        <v/>
      </c>
      <c r="N594" s="7">
        <f>'1 datos preparados'!M587</f>
        <v/>
      </c>
      <c r="O594" s="7">
        <f>'1 datos preparados'!N587</f>
        <v/>
      </c>
      <c r="P594" s="7">
        <f>'1 datos preparados'!O587</f>
        <v/>
      </c>
      <c r="Q594" s="7">
        <f>'1 datos preparados'!P587</f>
        <v/>
      </c>
      <c r="R594" s="7">
        <f>'1 datos preparados'!Q587</f>
        <v/>
      </c>
      <c r="S594" s="7">
        <f>'1 datos preparados'!R587</f>
        <v/>
      </c>
      <c r="T594" s="7">
        <f>'1 datos preparados'!S587</f>
        <v/>
      </c>
      <c r="U594" s="7">
        <f>'1 datos preparados'!T587</f>
        <v/>
      </c>
      <c r="V594" s="8">
        <f>$AC$12+D594*$AC$13+E594*$AC$14+F594*$AC$15+G594*$AC$16+H594*$AC$17+I594*$AC$18+J594*$AC$19+K594*$AC$20+L594*$AC$21+M594*$AC$22+N594*$AC$23+O594*$AC$24+P594*$AC$25+Q594*$AC$26+R594*$AC$27+S594*$AC$28+T594*$AC$29+U594*$AC$30</f>
        <v/>
      </c>
      <c r="W594" s="8">
        <f>1/(1+EXP(-V594))</f>
        <v/>
      </c>
      <c r="X594" s="9">
        <f>-IF(C594=1,LN(W594),LN(1-W594))</f>
        <v/>
      </c>
      <c r="Y594" s="10">
        <f>IF(W594&gt;$AC$33,1,0)</f>
        <v/>
      </c>
      <c r="Z594">
        <f>IF(Y594=C594,1,0)</f>
        <v/>
      </c>
    </row>
    <row r="595">
      <c r="A595">
        <f>'1 datos preparados'!A588</f>
        <v/>
      </c>
      <c r="B595" s="5">
        <f>'1 datos preparados'!U588</f>
        <v/>
      </c>
      <c r="C595">
        <f>'1 datos preparados'!B588</f>
        <v/>
      </c>
      <c r="D595" s="7">
        <f>'1 datos preparados'!C588</f>
        <v/>
      </c>
      <c r="E595" s="7">
        <f>'1 datos preparados'!D588</f>
        <v/>
      </c>
      <c r="F595" s="7">
        <f>'1 datos preparados'!E588</f>
        <v/>
      </c>
      <c r="G595" s="7">
        <f>'1 datos preparados'!F588</f>
        <v/>
      </c>
      <c r="H595" s="7">
        <f>'1 datos preparados'!G588</f>
        <v/>
      </c>
      <c r="I595" s="7">
        <f>'1 datos preparados'!H588</f>
        <v/>
      </c>
      <c r="J595" s="7">
        <f>'1 datos preparados'!I588</f>
        <v/>
      </c>
      <c r="K595" s="7">
        <f>'1 datos preparados'!J588</f>
        <v/>
      </c>
      <c r="L595" s="7">
        <f>'1 datos preparados'!K588</f>
        <v/>
      </c>
      <c r="M595" s="7">
        <f>'1 datos preparados'!L588</f>
        <v/>
      </c>
      <c r="N595" s="7">
        <f>'1 datos preparados'!M588</f>
        <v/>
      </c>
      <c r="O595" s="7">
        <f>'1 datos preparados'!N588</f>
        <v/>
      </c>
      <c r="P595" s="7">
        <f>'1 datos preparados'!O588</f>
        <v/>
      </c>
      <c r="Q595" s="7">
        <f>'1 datos preparados'!P588</f>
        <v/>
      </c>
      <c r="R595" s="7">
        <f>'1 datos preparados'!Q588</f>
        <v/>
      </c>
      <c r="S595" s="7">
        <f>'1 datos preparados'!R588</f>
        <v/>
      </c>
      <c r="T595" s="7">
        <f>'1 datos preparados'!S588</f>
        <v/>
      </c>
      <c r="U595" s="7">
        <f>'1 datos preparados'!T588</f>
        <v/>
      </c>
      <c r="V595" s="8">
        <f>$AC$12+D595*$AC$13+E595*$AC$14+F595*$AC$15+G595*$AC$16+H595*$AC$17+I595*$AC$18+J595*$AC$19+K595*$AC$20+L595*$AC$21+M595*$AC$22+N595*$AC$23+O595*$AC$24+P595*$AC$25+Q595*$AC$26+R595*$AC$27+S595*$AC$28+T595*$AC$29+U595*$AC$30</f>
        <v/>
      </c>
      <c r="W595" s="8">
        <f>1/(1+EXP(-V595))</f>
        <v/>
      </c>
      <c r="X595" s="9">
        <f>-IF(C595=1,LN(W595),LN(1-W595))</f>
        <v/>
      </c>
      <c r="Y595" s="10">
        <f>IF(W595&gt;$AC$33,1,0)</f>
        <v/>
      </c>
      <c r="Z595">
        <f>IF(Y595=C595,1,0)</f>
        <v/>
      </c>
    </row>
    <row r="596">
      <c r="A596">
        <f>'1 datos preparados'!A589</f>
        <v/>
      </c>
      <c r="B596" s="5">
        <f>'1 datos preparados'!U589</f>
        <v/>
      </c>
      <c r="C596">
        <f>'1 datos preparados'!B589</f>
        <v/>
      </c>
      <c r="D596" s="7">
        <f>'1 datos preparados'!C589</f>
        <v/>
      </c>
      <c r="E596" s="7">
        <f>'1 datos preparados'!D589</f>
        <v/>
      </c>
      <c r="F596" s="7">
        <f>'1 datos preparados'!E589</f>
        <v/>
      </c>
      <c r="G596" s="7">
        <f>'1 datos preparados'!F589</f>
        <v/>
      </c>
      <c r="H596" s="7">
        <f>'1 datos preparados'!G589</f>
        <v/>
      </c>
      <c r="I596" s="7">
        <f>'1 datos preparados'!H589</f>
        <v/>
      </c>
      <c r="J596" s="7">
        <f>'1 datos preparados'!I589</f>
        <v/>
      </c>
      <c r="K596" s="7">
        <f>'1 datos preparados'!J589</f>
        <v/>
      </c>
      <c r="L596" s="7">
        <f>'1 datos preparados'!K589</f>
        <v/>
      </c>
      <c r="M596" s="7">
        <f>'1 datos preparados'!L589</f>
        <v/>
      </c>
      <c r="N596" s="7">
        <f>'1 datos preparados'!M589</f>
        <v/>
      </c>
      <c r="O596" s="7">
        <f>'1 datos preparados'!N589</f>
        <v/>
      </c>
      <c r="P596" s="7">
        <f>'1 datos preparados'!O589</f>
        <v/>
      </c>
      <c r="Q596" s="7">
        <f>'1 datos preparados'!P589</f>
        <v/>
      </c>
      <c r="R596" s="7">
        <f>'1 datos preparados'!Q589</f>
        <v/>
      </c>
      <c r="S596" s="7">
        <f>'1 datos preparados'!R589</f>
        <v/>
      </c>
      <c r="T596" s="7">
        <f>'1 datos preparados'!S589</f>
        <v/>
      </c>
      <c r="U596" s="7">
        <f>'1 datos preparados'!T589</f>
        <v/>
      </c>
      <c r="V596" s="8">
        <f>$AC$12+D596*$AC$13+E596*$AC$14+F596*$AC$15+G596*$AC$16+H596*$AC$17+I596*$AC$18+J596*$AC$19+K596*$AC$20+L596*$AC$21+M596*$AC$22+N596*$AC$23+O596*$AC$24+P596*$AC$25+Q596*$AC$26+R596*$AC$27+S596*$AC$28+T596*$AC$29+U596*$AC$30</f>
        <v/>
      </c>
      <c r="W596" s="8">
        <f>1/(1+EXP(-V596))</f>
        <v/>
      </c>
      <c r="X596" s="9">
        <f>-IF(C596=1,LN(W596),LN(1-W596))</f>
        <v/>
      </c>
      <c r="Y596" s="10">
        <f>IF(W596&gt;$AC$33,1,0)</f>
        <v/>
      </c>
      <c r="Z596">
        <f>IF(Y596=C596,1,0)</f>
        <v/>
      </c>
    </row>
    <row r="597">
      <c r="A597">
        <f>'1 datos preparados'!A590</f>
        <v/>
      </c>
      <c r="B597" s="5">
        <f>'1 datos preparados'!U590</f>
        <v/>
      </c>
      <c r="C597">
        <f>'1 datos preparados'!B590</f>
        <v/>
      </c>
      <c r="D597" s="7">
        <f>'1 datos preparados'!C590</f>
        <v/>
      </c>
      <c r="E597" s="7">
        <f>'1 datos preparados'!D590</f>
        <v/>
      </c>
      <c r="F597" s="7">
        <f>'1 datos preparados'!E590</f>
        <v/>
      </c>
      <c r="G597" s="7">
        <f>'1 datos preparados'!F590</f>
        <v/>
      </c>
      <c r="H597" s="7">
        <f>'1 datos preparados'!G590</f>
        <v/>
      </c>
      <c r="I597" s="7">
        <f>'1 datos preparados'!H590</f>
        <v/>
      </c>
      <c r="J597" s="7">
        <f>'1 datos preparados'!I590</f>
        <v/>
      </c>
      <c r="K597" s="7">
        <f>'1 datos preparados'!J590</f>
        <v/>
      </c>
      <c r="L597" s="7">
        <f>'1 datos preparados'!K590</f>
        <v/>
      </c>
      <c r="M597" s="7">
        <f>'1 datos preparados'!L590</f>
        <v/>
      </c>
      <c r="N597" s="7">
        <f>'1 datos preparados'!M590</f>
        <v/>
      </c>
      <c r="O597" s="7">
        <f>'1 datos preparados'!N590</f>
        <v/>
      </c>
      <c r="P597" s="7">
        <f>'1 datos preparados'!O590</f>
        <v/>
      </c>
      <c r="Q597" s="7">
        <f>'1 datos preparados'!P590</f>
        <v/>
      </c>
      <c r="R597" s="7">
        <f>'1 datos preparados'!Q590</f>
        <v/>
      </c>
      <c r="S597" s="7">
        <f>'1 datos preparados'!R590</f>
        <v/>
      </c>
      <c r="T597" s="7">
        <f>'1 datos preparados'!S590</f>
        <v/>
      </c>
      <c r="U597" s="7">
        <f>'1 datos preparados'!T590</f>
        <v/>
      </c>
      <c r="V597" s="8">
        <f>$AC$12+D597*$AC$13+E597*$AC$14+F597*$AC$15+G597*$AC$16+H597*$AC$17+I597*$AC$18+J597*$AC$19+K597*$AC$20+L597*$AC$21+M597*$AC$22+N597*$AC$23+O597*$AC$24+P597*$AC$25+Q597*$AC$26+R597*$AC$27+S597*$AC$28+T597*$AC$29+U597*$AC$30</f>
        <v/>
      </c>
      <c r="W597" s="8">
        <f>1/(1+EXP(-V597))</f>
        <v/>
      </c>
      <c r="X597" s="9">
        <f>-IF(C597=1,LN(W597),LN(1-W597))</f>
        <v/>
      </c>
      <c r="Y597" s="10">
        <f>IF(W597&gt;$AC$33,1,0)</f>
        <v/>
      </c>
      <c r="Z597">
        <f>IF(Y597=C597,1,0)</f>
        <v/>
      </c>
    </row>
    <row r="598">
      <c r="A598">
        <f>'1 datos preparados'!A591</f>
        <v/>
      </c>
      <c r="B598" s="5">
        <f>'1 datos preparados'!U591</f>
        <v/>
      </c>
      <c r="C598">
        <f>'1 datos preparados'!B591</f>
        <v/>
      </c>
      <c r="D598" s="7">
        <f>'1 datos preparados'!C591</f>
        <v/>
      </c>
      <c r="E598" s="7">
        <f>'1 datos preparados'!D591</f>
        <v/>
      </c>
      <c r="F598" s="7">
        <f>'1 datos preparados'!E591</f>
        <v/>
      </c>
      <c r="G598" s="7">
        <f>'1 datos preparados'!F591</f>
        <v/>
      </c>
      <c r="H598" s="7">
        <f>'1 datos preparados'!G591</f>
        <v/>
      </c>
      <c r="I598" s="7">
        <f>'1 datos preparados'!H591</f>
        <v/>
      </c>
      <c r="J598" s="7">
        <f>'1 datos preparados'!I591</f>
        <v/>
      </c>
      <c r="K598" s="7">
        <f>'1 datos preparados'!J591</f>
        <v/>
      </c>
      <c r="L598" s="7">
        <f>'1 datos preparados'!K591</f>
        <v/>
      </c>
      <c r="M598" s="7">
        <f>'1 datos preparados'!L591</f>
        <v/>
      </c>
      <c r="N598" s="7">
        <f>'1 datos preparados'!M591</f>
        <v/>
      </c>
      <c r="O598" s="7">
        <f>'1 datos preparados'!N591</f>
        <v/>
      </c>
      <c r="P598" s="7">
        <f>'1 datos preparados'!O591</f>
        <v/>
      </c>
      <c r="Q598" s="7">
        <f>'1 datos preparados'!P591</f>
        <v/>
      </c>
      <c r="R598" s="7">
        <f>'1 datos preparados'!Q591</f>
        <v/>
      </c>
      <c r="S598" s="7">
        <f>'1 datos preparados'!R591</f>
        <v/>
      </c>
      <c r="T598" s="7">
        <f>'1 datos preparados'!S591</f>
        <v/>
      </c>
      <c r="U598" s="7">
        <f>'1 datos preparados'!T591</f>
        <v/>
      </c>
      <c r="V598" s="8">
        <f>$AC$12+D598*$AC$13+E598*$AC$14+F598*$AC$15+G598*$AC$16+H598*$AC$17+I598*$AC$18+J598*$AC$19+K598*$AC$20+L598*$AC$21+M598*$AC$22+N598*$AC$23+O598*$AC$24+P598*$AC$25+Q598*$AC$26+R598*$AC$27+S598*$AC$28+T598*$AC$29+U598*$AC$30</f>
        <v/>
      </c>
      <c r="W598" s="8">
        <f>1/(1+EXP(-V598))</f>
        <v/>
      </c>
      <c r="X598" s="9">
        <f>-IF(C598=1,LN(W598),LN(1-W598))</f>
        <v/>
      </c>
      <c r="Y598" s="10">
        <f>IF(W598&gt;$AC$33,1,0)</f>
        <v/>
      </c>
      <c r="Z598">
        <f>IF(Y598=C598,1,0)</f>
        <v/>
      </c>
    </row>
    <row r="599">
      <c r="A599">
        <f>'1 datos preparados'!A592</f>
        <v/>
      </c>
      <c r="B599" s="5">
        <f>'1 datos preparados'!U592</f>
        <v/>
      </c>
      <c r="C599">
        <f>'1 datos preparados'!B592</f>
        <v/>
      </c>
      <c r="D599" s="7">
        <f>'1 datos preparados'!C592</f>
        <v/>
      </c>
      <c r="E599" s="7">
        <f>'1 datos preparados'!D592</f>
        <v/>
      </c>
      <c r="F599" s="7">
        <f>'1 datos preparados'!E592</f>
        <v/>
      </c>
      <c r="G599" s="7">
        <f>'1 datos preparados'!F592</f>
        <v/>
      </c>
      <c r="H599" s="7">
        <f>'1 datos preparados'!G592</f>
        <v/>
      </c>
      <c r="I599" s="7">
        <f>'1 datos preparados'!H592</f>
        <v/>
      </c>
      <c r="J599" s="7">
        <f>'1 datos preparados'!I592</f>
        <v/>
      </c>
      <c r="K599" s="7">
        <f>'1 datos preparados'!J592</f>
        <v/>
      </c>
      <c r="L599" s="7">
        <f>'1 datos preparados'!K592</f>
        <v/>
      </c>
      <c r="M599" s="7">
        <f>'1 datos preparados'!L592</f>
        <v/>
      </c>
      <c r="N599" s="7">
        <f>'1 datos preparados'!M592</f>
        <v/>
      </c>
      <c r="O599" s="7">
        <f>'1 datos preparados'!N592</f>
        <v/>
      </c>
      <c r="P599" s="7">
        <f>'1 datos preparados'!O592</f>
        <v/>
      </c>
      <c r="Q599" s="7">
        <f>'1 datos preparados'!P592</f>
        <v/>
      </c>
      <c r="R599" s="7">
        <f>'1 datos preparados'!Q592</f>
        <v/>
      </c>
      <c r="S599" s="7">
        <f>'1 datos preparados'!R592</f>
        <v/>
      </c>
      <c r="T599" s="7">
        <f>'1 datos preparados'!S592</f>
        <v/>
      </c>
      <c r="U599" s="7">
        <f>'1 datos preparados'!T592</f>
        <v/>
      </c>
      <c r="V599" s="8">
        <f>$AC$12+D599*$AC$13+E599*$AC$14+F599*$AC$15+G599*$AC$16+H599*$AC$17+I599*$AC$18+J599*$AC$19+K599*$AC$20+L599*$AC$21+M599*$AC$22+N599*$AC$23+O599*$AC$24+P599*$AC$25+Q599*$AC$26+R599*$AC$27+S599*$AC$28+T599*$AC$29+U599*$AC$30</f>
        <v/>
      </c>
      <c r="W599" s="8">
        <f>1/(1+EXP(-V599))</f>
        <v/>
      </c>
      <c r="X599" s="9">
        <f>-IF(C599=1,LN(W599),LN(1-W599))</f>
        <v/>
      </c>
      <c r="Y599" s="10">
        <f>IF(W599&gt;$AC$33,1,0)</f>
        <v/>
      </c>
      <c r="Z599">
        <f>IF(Y599=C599,1,0)</f>
        <v/>
      </c>
    </row>
    <row r="600">
      <c r="A600">
        <f>'1 datos preparados'!A593</f>
        <v/>
      </c>
      <c r="B600" s="5">
        <f>'1 datos preparados'!U593</f>
        <v/>
      </c>
      <c r="C600">
        <f>'1 datos preparados'!B593</f>
        <v/>
      </c>
      <c r="D600" s="7">
        <f>'1 datos preparados'!C593</f>
        <v/>
      </c>
      <c r="E600" s="7">
        <f>'1 datos preparados'!D593</f>
        <v/>
      </c>
      <c r="F600" s="7">
        <f>'1 datos preparados'!E593</f>
        <v/>
      </c>
      <c r="G600" s="7">
        <f>'1 datos preparados'!F593</f>
        <v/>
      </c>
      <c r="H600" s="7">
        <f>'1 datos preparados'!G593</f>
        <v/>
      </c>
      <c r="I600" s="7">
        <f>'1 datos preparados'!H593</f>
        <v/>
      </c>
      <c r="J600" s="7">
        <f>'1 datos preparados'!I593</f>
        <v/>
      </c>
      <c r="K600" s="7">
        <f>'1 datos preparados'!J593</f>
        <v/>
      </c>
      <c r="L600" s="7">
        <f>'1 datos preparados'!K593</f>
        <v/>
      </c>
      <c r="M600" s="7">
        <f>'1 datos preparados'!L593</f>
        <v/>
      </c>
      <c r="N600" s="7">
        <f>'1 datos preparados'!M593</f>
        <v/>
      </c>
      <c r="O600" s="7">
        <f>'1 datos preparados'!N593</f>
        <v/>
      </c>
      <c r="P600" s="7">
        <f>'1 datos preparados'!O593</f>
        <v/>
      </c>
      <c r="Q600" s="7">
        <f>'1 datos preparados'!P593</f>
        <v/>
      </c>
      <c r="R600" s="7">
        <f>'1 datos preparados'!Q593</f>
        <v/>
      </c>
      <c r="S600" s="7">
        <f>'1 datos preparados'!R593</f>
        <v/>
      </c>
      <c r="T600" s="7">
        <f>'1 datos preparados'!S593</f>
        <v/>
      </c>
      <c r="U600" s="7">
        <f>'1 datos preparados'!T593</f>
        <v/>
      </c>
      <c r="V600" s="8">
        <f>$AC$12+D600*$AC$13+E600*$AC$14+F600*$AC$15+G600*$AC$16+H600*$AC$17+I600*$AC$18+J600*$AC$19+K600*$AC$20+L600*$AC$21+M600*$AC$22+N600*$AC$23+O600*$AC$24+P600*$AC$25+Q600*$AC$26+R600*$AC$27+S600*$AC$28+T600*$AC$29+U600*$AC$30</f>
        <v/>
      </c>
      <c r="W600" s="8">
        <f>1/(1+EXP(-V600))</f>
        <v/>
      </c>
      <c r="X600" s="9">
        <f>-IF(C600=1,LN(W600),LN(1-W600))</f>
        <v/>
      </c>
      <c r="Y600" s="10">
        <f>IF(W600&gt;$AC$33,1,0)</f>
        <v/>
      </c>
      <c r="Z600">
        <f>IF(Y600=C600,1,0)</f>
        <v/>
      </c>
    </row>
    <row r="601">
      <c r="A601">
        <f>'1 datos preparados'!A594</f>
        <v/>
      </c>
      <c r="B601" s="5">
        <f>'1 datos preparados'!U594</f>
        <v/>
      </c>
      <c r="C601">
        <f>'1 datos preparados'!B594</f>
        <v/>
      </c>
      <c r="D601" s="7">
        <f>'1 datos preparados'!C594</f>
        <v/>
      </c>
      <c r="E601" s="7">
        <f>'1 datos preparados'!D594</f>
        <v/>
      </c>
      <c r="F601" s="7">
        <f>'1 datos preparados'!E594</f>
        <v/>
      </c>
      <c r="G601" s="7">
        <f>'1 datos preparados'!F594</f>
        <v/>
      </c>
      <c r="H601" s="7">
        <f>'1 datos preparados'!G594</f>
        <v/>
      </c>
      <c r="I601" s="7">
        <f>'1 datos preparados'!H594</f>
        <v/>
      </c>
      <c r="J601" s="7">
        <f>'1 datos preparados'!I594</f>
        <v/>
      </c>
      <c r="K601" s="7">
        <f>'1 datos preparados'!J594</f>
        <v/>
      </c>
      <c r="L601" s="7">
        <f>'1 datos preparados'!K594</f>
        <v/>
      </c>
      <c r="M601" s="7">
        <f>'1 datos preparados'!L594</f>
        <v/>
      </c>
      <c r="N601" s="7">
        <f>'1 datos preparados'!M594</f>
        <v/>
      </c>
      <c r="O601" s="7">
        <f>'1 datos preparados'!N594</f>
        <v/>
      </c>
      <c r="P601" s="7">
        <f>'1 datos preparados'!O594</f>
        <v/>
      </c>
      <c r="Q601" s="7">
        <f>'1 datos preparados'!P594</f>
        <v/>
      </c>
      <c r="R601" s="7">
        <f>'1 datos preparados'!Q594</f>
        <v/>
      </c>
      <c r="S601" s="7">
        <f>'1 datos preparados'!R594</f>
        <v/>
      </c>
      <c r="T601" s="7">
        <f>'1 datos preparados'!S594</f>
        <v/>
      </c>
      <c r="U601" s="7">
        <f>'1 datos preparados'!T594</f>
        <v/>
      </c>
      <c r="V601" s="8">
        <f>$AC$12+D601*$AC$13+E601*$AC$14+F601*$AC$15+G601*$AC$16+H601*$AC$17+I601*$AC$18+J601*$AC$19+K601*$AC$20+L601*$AC$21+M601*$AC$22+N601*$AC$23+O601*$AC$24+P601*$AC$25+Q601*$AC$26+R601*$AC$27+S601*$AC$28+T601*$AC$29+U601*$AC$30</f>
        <v/>
      </c>
      <c r="W601" s="8">
        <f>1/(1+EXP(-V601))</f>
        <v/>
      </c>
      <c r="X601" s="9">
        <f>-IF(C601=1,LN(W601),LN(1-W601))</f>
        <v/>
      </c>
      <c r="Y601" s="10">
        <f>IF(W601&gt;$AC$33,1,0)</f>
        <v/>
      </c>
      <c r="Z601">
        <f>IF(Y601=C601,1,0)</f>
        <v/>
      </c>
    </row>
    <row r="602">
      <c r="A602">
        <f>'1 datos preparados'!A595</f>
        <v/>
      </c>
      <c r="B602" s="5">
        <f>'1 datos preparados'!U595</f>
        <v/>
      </c>
      <c r="C602">
        <f>'1 datos preparados'!B595</f>
        <v/>
      </c>
      <c r="D602" s="7">
        <f>'1 datos preparados'!C595</f>
        <v/>
      </c>
      <c r="E602" s="7">
        <f>'1 datos preparados'!D595</f>
        <v/>
      </c>
      <c r="F602" s="7">
        <f>'1 datos preparados'!E595</f>
        <v/>
      </c>
      <c r="G602" s="7">
        <f>'1 datos preparados'!F595</f>
        <v/>
      </c>
      <c r="H602" s="7">
        <f>'1 datos preparados'!G595</f>
        <v/>
      </c>
      <c r="I602" s="7">
        <f>'1 datos preparados'!H595</f>
        <v/>
      </c>
      <c r="J602" s="7">
        <f>'1 datos preparados'!I595</f>
        <v/>
      </c>
      <c r="K602" s="7">
        <f>'1 datos preparados'!J595</f>
        <v/>
      </c>
      <c r="L602" s="7">
        <f>'1 datos preparados'!K595</f>
        <v/>
      </c>
      <c r="M602" s="7">
        <f>'1 datos preparados'!L595</f>
        <v/>
      </c>
      <c r="N602" s="7">
        <f>'1 datos preparados'!M595</f>
        <v/>
      </c>
      <c r="O602" s="7">
        <f>'1 datos preparados'!N595</f>
        <v/>
      </c>
      <c r="P602" s="7">
        <f>'1 datos preparados'!O595</f>
        <v/>
      </c>
      <c r="Q602" s="7">
        <f>'1 datos preparados'!P595</f>
        <v/>
      </c>
      <c r="R602" s="7">
        <f>'1 datos preparados'!Q595</f>
        <v/>
      </c>
      <c r="S602" s="7">
        <f>'1 datos preparados'!R595</f>
        <v/>
      </c>
      <c r="T602" s="7">
        <f>'1 datos preparados'!S595</f>
        <v/>
      </c>
      <c r="U602" s="7">
        <f>'1 datos preparados'!T595</f>
        <v/>
      </c>
      <c r="V602" s="8">
        <f>$AC$12+D602*$AC$13+E602*$AC$14+F602*$AC$15+G602*$AC$16+H602*$AC$17+I602*$AC$18+J602*$AC$19+K602*$AC$20+L602*$AC$21+M602*$AC$22+N602*$AC$23+O602*$AC$24+P602*$AC$25+Q602*$AC$26+R602*$AC$27+S602*$AC$28+T602*$AC$29+U602*$AC$30</f>
        <v/>
      </c>
      <c r="W602" s="8">
        <f>1/(1+EXP(-V602))</f>
        <v/>
      </c>
      <c r="X602" s="9">
        <f>-IF(C602=1,LN(W602),LN(1-W602))</f>
        <v/>
      </c>
      <c r="Y602" s="10">
        <f>IF(W602&gt;$AC$33,1,0)</f>
        <v/>
      </c>
      <c r="Z602">
        <f>IF(Y602=C602,1,0)</f>
        <v/>
      </c>
    </row>
    <row r="603">
      <c r="A603">
        <f>'1 datos preparados'!A596</f>
        <v/>
      </c>
      <c r="B603" s="5">
        <f>'1 datos preparados'!U596</f>
        <v/>
      </c>
      <c r="C603">
        <f>'1 datos preparados'!B596</f>
        <v/>
      </c>
      <c r="D603" s="7">
        <f>'1 datos preparados'!C596</f>
        <v/>
      </c>
      <c r="E603" s="7">
        <f>'1 datos preparados'!D596</f>
        <v/>
      </c>
      <c r="F603" s="7">
        <f>'1 datos preparados'!E596</f>
        <v/>
      </c>
      <c r="G603" s="7">
        <f>'1 datos preparados'!F596</f>
        <v/>
      </c>
      <c r="H603" s="7">
        <f>'1 datos preparados'!G596</f>
        <v/>
      </c>
      <c r="I603" s="7">
        <f>'1 datos preparados'!H596</f>
        <v/>
      </c>
      <c r="J603" s="7">
        <f>'1 datos preparados'!I596</f>
        <v/>
      </c>
      <c r="K603" s="7">
        <f>'1 datos preparados'!J596</f>
        <v/>
      </c>
      <c r="L603" s="7">
        <f>'1 datos preparados'!K596</f>
        <v/>
      </c>
      <c r="M603" s="7">
        <f>'1 datos preparados'!L596</f>
        <v/>
      </c>
      <c r="N603" s="7">
        <f>'1 datos preparados'!M596</f>
        <v/>
      </c>
      <c r="O603" s="7">
        <f>'1 datos preparados'!N596</f>
        <v/>
      </c>
      <c r="P603" s="7">
        <f>'1 datos preparados'!O596</f>
        <v/>
      </c>
      <c r="Q603" s="7">
        <f>'1 datos preparados'!P596</f>
        <v/>
      </c>
      <c r="R603" s="7">
        <f>'1 datos preparados'!Q596</f>
        <v/>
      </c>
      <c r="S603" s="7">
        <f>'1 datos preparados'!R596</f>
        <v/>
      </c>
      <c r="T603" s="7">
        <f>'1 datos preparados'!S596</f>
        <v/>
      </c>
      <c r="U603" s="7">
        <f>'1 datos preparados'!T596</f>
        <v/>
      </c>
      <c r="V603" s="8">
        <f>$AC$12+D603*$AC$13+E603*$AC$14+F603*$AC$15+G603*$AC$16+H603*$AC$17+I603*$AC$18+J603*$AC$19+K603*$AC$20+L603*$AC$21+M603*$AC$22+N603*$AC$23+O603*$AC$24+P603*$AC$25+Q603*$AC$26+R603*$AC$27+S603*$AC$28+T603*$AC$29+U603*$AC$30</f>
        <v/>
      </c>
      <c r="W603" s="8">
        <f>1/(1+EXP(-V603))</f>
        <v/>
      </c>
      <c r="X603" s="9">
        <f>-IF(C603=1,LN(W603),LN(1-W603))</f>
        <v/>
      </c>
      <c r="Y603" s="10">
        <f>IF(W603&gt;$AC$33,1,0)</f>
        <v/>
      </c>
      <c r="Z603">
        <f>IF(Y603=C603,1,0)</f>
        <v/>
      </c>
    </row>
    <row r="604">
      <c r="A604">
        <f>'1 datos preparados'!A597</f>
        <v/>
      </c>
      <c r="B604" s="5">
        <f>'1 datos preparados'!U597</f>
        <v/>
      </c>
      <c r="C604">
        <f>'1 datos preparados'!B597</f>
        <v/>
      </c>
      <c r="D604" s="7">
        <f>'1 datos preparados'!C597</f>
        <v/>
      </c>
      <c r="E604" s="7">
        <f>'1 datos preparados'!D597</f>
        <v/>
      </c>
      <c r="F604" s="7">
        <f>'1 datos preparados'!E597</f>
        <v/>
      </c>
      <c r="G604" s="7">
        <f>'1 datos preparados'!F597</f>
        <v/>
      </c>
      <c r="H604" s="7">
        <f>'1 datos preparados'!G597</f>
        <v/>
      </c>
      <c r="I604" s="7">
        <f>'1 datos preparados'!H597</f>
        <v/>
      </c>
      <c r="J604" s="7">
        <f>'1 datos preparados'!I597</f>
        <v/>
      </c>
      <c r="K604" s="7">
        <f>'1 datos preparados'!J597</f>
        <v/>
      </c>
      <c r="L604" s="7">
        <f>'1 datos preparados'!K597</f>
        <v/>
      </c>
      <c r="M604" s="7">
        <f>'1 datos preparados'!L597</f>
        <v/>
      </c>
      <c r="N604" s="7">
        <f>'1 datos preparados'!M597</f>
        <v/>
      </c>
      <c r="O604" s="7">
        <f>'1 datos preparados'!N597</f>
        <v/>
      </c>
      <c r="P604" s="7">
        <f>'1 datos preparados'!O597</f>
        <v/>
      </c>
      <c r="Q604" s="7">
        <f>'1 datos preparados'!P597</f>
        <v/>
      </c>
      <c r="R604" s="7">
        <f>'1 datos preparados'!Q597</f>
        <v/>
      </c>
      <c r="S604" s="7">
        <f>'1 datos preparados'!R597</f>
        <v/>
      </c>
      <c r="T604" s="7">
        <f>'1 datos preparados'!S597</f>
        <v/>
      </c>
      <c r="U604" s="7">
        <f>'1 datos preparados'!T597</f>
        <v/>
      </c>
      <c r="V604" s="8">
        <f>$AC$12+D604*$AC$13+E604*$AC$14+F604*$AC$15+G604*$AC$16+H604*$AC$17+I604*$AC$18+J604*$AC$19+K604*$AC$20+L604*$AC$21+M604*$AC$22+N604*$AC$23+O604*$AC$24+P604*$AC$25+Q604*$AC$26+R604*$AC$27+S604*$AC$28+T604*$AC$29+U604*$AC$30</f>
        <v/>
      </c>
      <c r="W604" s="8">
        <f>1/(1+EXP(-V604))</f>
        <v/>
      </c>
      <c r="X604" s="9">
        <f>-IF(C604=1,LN(W604),LN(1-W604))</f>
        <v/>
      </c>
      <c r="Y604" s="10">
        <f>IF(W604&gt;$AC$33,1,0)</f>
        <v/>
      </c>
      <c r="Z604">
        <f>IF(Y604=C604,1,0)</f>
        <v/>
      </c>
    </row>
    <row r="605">
      <c r="A605">
        <f>'1 datos preparados'!A598</f>
        <v/>
      </c>
      <c r="B605" s="5">
        <f>'1 datos preparados'!U598</f>
        <v/>
      </c>
      <c r="C605">
        <f>'1 datos preparados'!B598</f>
        <v/>
      </c>
      <c r="D605" s="7">
        <f>'1 datos preparados'!C598</f>
        <v/>
      </c>
      <c r="E605" s="7">
        <f>'1 datos preparados'!D598</f>
        <v/>
      </c>
      <c r="F605" s="7">
        <f>'1 datos preparados'!E598</f>
        <v/>
      </c>
      <c r="G605" s="7">
        <f>'1 datos preparados'!F598</f>
        <v/>
      </c>
      <c r="H605" s="7">
        <f>'1 datos preparados'!G598</f>
        <v/>
      </c>
      <c r="I605" s="7">
        <f>'1 datos preparados'!H598</f>
        <v/>
      </c>
      <c r="J605" s="7">
        <f>'1 datos preparados'!I598</f>
        <v/>
      </c>
      <c r="K605" s="7">
        <f>'1 datos preparados'!J598</f>
        <v/>
      </c>
      <c r="L605" s="7">
        <f>'1 datos preparados'!K598</f>
        <v/>
      </c>
      <c r="M605" s="7">
        <f>'1 datos preparados'!L598</f>
        <v/>
      </c>
      <c r="N605" s="7">
        <f>'1 datos preparados'!M598</f>
        <v/>
      </c>
      <c r="O605" s="7">
        <f>'1 datos preparados'!N598</f>
        <v/>
      </c>
      <c r="P605" s="7">
        <f>'1 datos preparados'!O598</f>
        <v/>
      </c>
      <c r="Q605" s="7">
        <f>'1 datos preparados'!P598</f>
        <v/>
      </c>
      <c r="R605" s="7">
        <f>'1 datos preparados'!Q598</f>
        <v/>
      </c>
      <c r="S605" s="7">
        <f>'1 datos preparados'!R598</f>
        <v/>
      </c>
      <c r="T605" s="7">
        <f>'1 datos preparados'!S598</f>
        <v/>
      </c>
      <c r="U605" s="7">
        <f>'1 datos preparados'!T598</f>
        <v/>
      </c>
      <c r="V605" s="8">
        <f>$AC$12+D605*$AC$13+E605*$AC$14+F605*$AC$15+G605*$AC$16+H605*$AC$17+I605*$AC$18+J605*$AC$19+K605*$AC$20+L605*$AC$21+M605*$AC$22+N605*$AC$23+O605*$AC$24+P605*$AC$25+Q605*$AC$26+R605*$AC$27+S605*$AC$28+T605*$AC$29+U605*$AC$30</f>
        <v/>
      </c>
      <c r="W605" s="8">
        <f>1/(1+EXP(-V605))</f>
        <v/>
      </c>
      <c r="X605" s="9">
        <f>-IF(C605=1,LN(W605),LN(1-W605))</f>
        <v/>
      </c>
      <c r="Y605" s="10">
        <f>IF(W605&gt;$AC$33,1,0)</f>
        <v/>
      </c>
      <c r="Z605">
        <f>IF(Y605=C605,1,0)</f>
        <v/>
      </c>
    </row>
    <row r="606">
      <c r="A606">
        <f>'1 datos preparados'!A599</f>
        <v/>
      </c>
      <c r="B606" s="5">
        <f>'1 datos preparados'!U599</f>
        <v/>
      </c>
      <c r="C606">
        <f>'1 datos preparados'!B599</f>
        <v/>
      </c>
      <c r="D606" s="7">
        <f>'1 datos preparados'!C599</f>
        <v/>
      </c>
      <c r="E606" s="7">
        <f>'1 datos preparados'!D599</f>
        <v/>
      </c>
      <c r="F606" s="7">
        <f>'1 datos preparados'!E599</f>
        <v/>
      </c>
      <c r="G606" s="7">
        <f>'1 datos preparados'!F599</f>
        <v/>
      </c>
      <c r="H606" s="7">
        <f>'1 datos preparados'!G599</f>
        <v/>
      </c>
      <c r="I606" s="7">
        <f>'1 datos preparados'!H599</f>
        <v/>
      </c>
      <c r="J606" s="7">
        <f>'1 datos preparados'!I599</f>
        <v/>
      </c>
      <c r="K606" s="7">
        <f>'1 datos preparados'!J599</f>
        <v/>
      </c>
      <c r="L606" s="7">
        <f>'1 datos preparados'!K599</f>
        <v/>
      </c>
      <c r="M606" s="7">
        <f>'1 datos preparados'!L599</f>
        <v/>
      </c>
      <c r="N606" s="7">
        <f>'1 datos preparados'!M599</f>
        <v/>
      </c>
      <c r="O606" s="7">
        <f>'1 datos preparados'!N599</f>
        <v/>
      </c>
      <c r="P606" s="7">
        <f>'1 datos preparados'!O599</f>
        <v/>
      </c>
      <c r="Q606" s="7">
        <f>'1 datos preparados'!P599</f>
        <v/>
      </c>
      <c r="R606" s="7">
        <f>'1 datos preparados'!Q599</f>
        <v/>
      </c>
      <c r="S606" s="7">
        <f>'1 datos preparados'!R599</f>
        <v/>
      </c>
      <c r="T606" s="7">
        <f>'1 datos preparados'!S599</f>
        <v/>
      </c>
      <c r="U606" s="7">
        <f>'1 datos preparados'!T599</f>
        <v/>
      </c>
      <c r="V606" s="8">
        <f>$AC$12+D606*$AC$13+E606*$AC$14+F606*$AC$15+G606*$AC$16+H606*$AC$17+I606*$AC$18+J606*$AC$19+K606*$AC$20+L606*$AC$21+M606*$AC$22+N606*$AC$23+O606*$AC$24+P606*$AC$25+Q606*$AC$26+R606*$AC$27+S606*$AC$28+T606*$AC$29+U606*$AC$30</f>
        <v/>
      </c>
      <c r="W606" s="8">
        <f>1/(1+EXP(-V606))</f>
        <v/>
      </c>
      <c r="X606" s="9">
        <f>-IF(C606=1,LN(W606),LN(1-W606))</f>
        <v/>
      </c>
      <c r="Y606" s="10">
        <f>IF(W606&gt;$AC$33,1,0)</f>
        <v/>
      </c>
      <c r="Z606">
        <f>IF(Y606=C606,1,0)</f>
        <v/>
      </c>
    </row>
    <row r="607">
      <c r="A607">
        <f>'1 datos preparados'!A600</f>
        <v/>
      </c>
      <c r="B607" s="5">
        <f>'1 datos preparados'!U600</f>
        <v/>
      </c>
      <c r="C607">
        <f>'1 datos preparados'!B600</f>
        <v/>
      </c>
      <c r="D607" s="7">
        <f>'1 datos preparados'!C600</f>
        <v/>
      </c>
      <c r="E607" s="7">
        <f>'1 datos preparados'!D600</f>
        <v/>
      </c>
      <c r="F607" s="7">
        <f>'1 datos preparados'!E600</f>
        <v/>
      </c>
      <c r="G607" s="7">
        <f>'1 datos preparados'!F600</f>
        <v/>
      </c>
      <c r="H607" s="7">
        <f>'1 datos preparados'!G600</f>
        <v/>
      </c>
      <c r="I607" s="7">
        <f>'1 datos preparados'!H600</f>
        <v/>
      </c>
      <c r="J607" s="7">
        <f>'1 datos preparados'!I600</f>
        <v/>
      </c>
      <c r="K607" s="7">
        <f>'1 datos preparados'!J600</f>
        <v/>
      </c>
      <c r="L607" s="7">
        <f>'1 datos preparados'!K600</f>
        <v/>
      </c>
      <c r="M607" s="7">
        <f>'1 datos preparados'!L600</f>
        <v/>
      </c>
      <c r="N607" s="7">
        <f>'1 datos preparados'!M600</f>
        <v/>
      </c>
      <c r="O607" s="7">
        <f>'1 datos preparados'!N600</f>
        <v/>
      </c>
      <c r="P607" s="7">
        <f>'1 datos preparados'!O600</f>
        <v/>
      </c>
      <c r="Q607" s="7">
        <f>'1 datos preparados'!P600</f>
        <v/>
      </c>
      <c r="R607" s="7">
        <f>'1 datos preparados'!Q600</f>
        <v/>
      </c>
      <c r="S607" s="7">
        <f>'1 datos preparados'!R600</f>
        <v/>
      </c>
      <c r="T607" s="7">
        <f>'1 datos preparados'!S600</f>
        <v/>
      </c>
      <c r="U607" s="7">
        <f>'1 datos preparados'!T600</f>
        <v/>
      </c>
      <c r="V607" s="8">
        <f>$AC$12+D607*$AC$13+E607*$AC$14+F607*$AC$15+G607*$AC$16+H607*$AC$17+I607*$AC$18+J607*$AC$19+K607*$AC$20+L607*$AC$21+M607*$AC$22+N607*$AC$23+O607*$AC$24+P607*$AC$25+Q607*$AC$26+R607*$AC$27+S607*$AC$28+T607*$AC$29+U607*$AC$30</f>
        <v/>
      </c>
      <c r="W607" s="8">
        <f>1/(1+EXP(-V607))</f>
        <v/>
      </c>
      <c r="X607" s="9">
        <f>-IF(C607=1,LN(W607),LN(1-W607))</f>
        <v/>
      </c>
      <c r="Y607" s="10">
        <f>IF(W607&gt;$AC$33,1,0)</f>
        <v/>
      </c>
      <c r="Z607">
        <f>IF(Y607=C607,1,0)</f>
        <v/>
      </c>
    </row>
    <row r="608">
      <c r="A608">
        <f>'1 datos preparados'!A601</f>
        <v/>
      </c>
      <c r="B608" s="5">
        <f>'1 datos preparados'!U601</f>
        <v/>
      </c>
      <c r="C608">
        <f>'1 datos preparados'!B601</f>
        <v/>
      </c>
      <c r="D608" s="7">
        <f>'1 datos preparados'!C601</f>
        <v/>
      </c>
      <c r="E608" s="7">
        <f>'1 datos preparados'!D601</f>
        <v/>
      </c>
      <c r="F608" s="7">
        <f>'1 datos preparados'!E601</f>
        <v/>
      </c>
      <c r="G608" s="7">
        <f>'1 datos preparados'!F601</f>
        <v/>
      </c>
      <c r="H608" s="7">
        <f>'1 datos preparados'!G601</f>
        <v/>
      </c>
      <c r="I608" s="7">
        <f>'1 datos preparados'!H601</f>
        <v/>
      </c>
      <c r="J608" s="7">
        <f>'1 datos preparados'!I601</f>
        <v/>
      </c>
      <c r="K608" s="7">
        <f>'1 datos preparados'!J601</f>
        <v/>
      </c>
      <c r="L608" s="7">
        <f>'1 datos preparados'!K601</f>
        <v/>
      </c>
      <c r="M608" s="7">
        <f>'1 datos preparados'!L601</f>
        <v/>
      </c>
      <c r="N608" s="7">
        <f>'1 datos preparados'!M601</f>
        <v/>
      </c>
      <c r="O608" s="7">
        <f>'1 datos preparados'!N601</f>
        <v/>
      </c>
      <c r="P608" s="7">
        <f>'1 datos preparados'!O601</f>
        <v/>
      </c>
      <c r="Q608" s="7">
        <f>'1 datos preparados'!P601</f>
        <v/>
      </c>
      <c r="R608" s="7">
        <f>'1 datos preparados'!Q601</f>
        <v/>
      </c>
      <c r="S608" s="7">
        <f>'1 datos preparados'!R601</f>
        <v/>
      </c>
      <c r="T608" s="7">
        <f>'1 datos preparados'!S601</f>
        <v/>
      </c>
      <c r="U608" s="7">
        <f>'1 datos preparados'!T601</f>
        <v/>
      </c>
      <c r="V608" s="8">
        <f>$AC$12+D608*$AC$13+E608*$AC$14+F608*$AC$15+G608*$AC$16+H608*$AC$17+I608*$AC$18+J608*$AC$19+K608*$AC$20+L608*$AC$21+M608*$AC$22+N608*$AC$23+O608*$AC$24+P608*$AC$25+Q608*$AC$26+R608*$AC$27+S608*$AC$28+T608*$AC$29+U608*$AC$30</f>
        <v/>
      </c>
      <c r="W608" s="8">
        <f>1/(1+EXP(-V608))</f>
        <v/>
      </c>
      <c r="X608" s="9">
        <f>-IF(C608=1,LN(W608),LN(1-W608))</f>
        <v/>
      </c>
      <c r="Y608" s="10">
        <f>IF(W608&gt;$AC$33,1,0)</f>
        <v/>
      </c>
      <c r="Z608">
        <f>IF(Y608=C608,1,0)</f>
        <v/>
      </c>
    </row>
    <row r="609">
      <c r="A609">
        <f>'1 datos preparados'!A602</f>
        <v/>
      </c>
      <c r="B609" s="5">
        <f>'1 datos preparados'!U602</f>
        <v/>
      </c>
      <c r="C609">
        <f>'1 datos preparados'!B602</f>
        <v/>
      </c>
      <c r="D609" s="7">
        <f>'1 datos preparados'!C602</f>
        <v/>
      </c>
      <c r="E609" s="7">
        <f>'1 datos preparados'!D602</f>
        <v/>
      </c>
      <c r="F609" s="7">
        <f>'1 datos preparados'!E602</f>
        <v/>
      </c>
      <c r="G609" s="7">
        <f>'1 datos preparados'!F602</f>
        <v/>
      </c>
      <c r="H609" s="7">
        <f>'1 datos preparados'!G602</f>
        <v/>
      </c>
      <c r="I609" s="7">
        <f>'1 datos preparados'!H602</f>
        <v/>
      </c>
      <c r="J609" s="7">
        <f>'1 datos preparados'!I602</f>
        <v/>
      </c>
      <c r="K609" s="7">
        <f>'1 datos preparados'!J602</f>
        <v/>
      </c>
      <c r="L609" s="7">
        <f>'1 datos preparados'!K602</f>
        <v/>
      </c>
      <c r="M609" s="7">
        <f>'1 datos preparados'!L602</f>
        <v/>
      </c>
      <c r="N609" s="7">
        <f>'1 datos preparados'!M602</f>
        <v/>
      </c>
      <c r="O609" s="7">
        <f>'1 datos preparados'!N602</f>
        <v/>
      </c>
      <c r="P609" s="7">
        <f>'1 datos preparados'!O602</f>
        <v/>
      </c>
      <c r="Q609" s="7">
        <f>'1 datos preparados'!P602</f>
        <v/>
      </c>
      <c r="R609" s="7">
        <f>'1 datos preparados'!Q602</f>
        <v/>
      </c>
      <c r="S609" s="7">
        <f>'1 datos preparados'!R602</f>
        <v/>
      </c>
      <c r="T609" s="7">
        <f>'1 datos preparados'!S602</f>
        <v/>
      </c>
      <c r="U609" s="7">
        <f>'1 datos preparados'!T602</f>
        <v/>
      </c>
      <c r="V609" s="8">
        <f>$AC$12+D609*$AC$13+E609*$AC$14+F609*$AC$15+G609*$AC$16+H609*$AC$17+I609*$AC$18+J609*$AC$19+K609*$AC$20+L609*$AC$21+M609*$AC$22+N609*$AC$23+O609*$AC$24+P609*$AC$25+Q609*$AC$26+R609*$AC$27+S609*$AC$28+T609*$AC$29+U609*$AC$30</f>
        <v/>
      </c>
      <c r="W609" s="8">
        <f>1/(1+EXP(-V609))</f>
        <v/>
      </c>
      <c r="X609" s="9">
        <f>-IF(C609=1,LN(W609),LN(1-W609))</f>
        <v/>
      </c>
      <c r="Y609" s="10">
        <f>IF(W609&gt;$AC$33,1,0)</f>
        <v/>
      </c>
      <c r="Z609">
        <f>IF(Y609=C609,1,0)</f>
        <v/>
      </c>
    </row>
    <row r="610">
      <c r="A610">
        <f>'1 datos preparados'!A603</f>
        <v/>
      </c>
      <c r="B610" s="5">
        <f>'1 datos preparados'!U603</f>
        <v/>
      </c>
      <c r="C610">
        <f>'1 datos preparados'!B603</f>
        <v/>
      </c>
      <c r="D610" s="7">
        <f>'1 datos preparados'!C603</f>
        <v/>
      </c>
      <c r="E610" s="7">
        <f>'1 datos preparados'!D603</f>
        <v/>
      </c>
      <c r="F610" s="7">
        <f>'1 datos preparados'!E603</f>
        <v/>
      </c>
      <c r="G610" s="7">
        <f>'1 datos preparados'!F603</f>
        <v/>
      </c>
      <c r="H610" s="7">
        <f>'1 datos preparados'!G603</f>
        <v/>
      </c>
      <c r="I610" s="7">
        <f>'1 datos preparados'!H603</f>
        <v/>
      </c>
      <c r="J610" s="7">
        <f>'1 datos preparados'!I603</f>
        <v/>
      </c>
      <c r="K610" s="7">
        <f>'1 datos preparados'!J603</f>
        <v/>
      </c>
      <c r="L610" s="7">
        <f>'1 datos preparados'!K603</f>
        <v/>
      </c>
      <c r="M610" s="7">
        <f>'1 datos preparados'!L603</f>
        <v/>
      </c>
      <c r="N610" s="7">
        <f>'1 datos preparados'!M603</f>
        <v/>
      </c>
      <c r="O610" s="7">
        <f>'1 datos preparados'!N603</f>
        <v/>
      </c>
      <c r="P610" s="7">
        <f>'1 datos preparados'!O603</f>
        <v/>
      </c>
      <c r="Q610" s="7">
        <f>'1 datos preparados'!P603</f>
        <v/>
      </c>
      <c r="R610" s="7">
        <f>'1 datos preparados'!Q603</f>
        <v/>
      </c>
      <c r="S610" s="7">
        <f>'1 datos preparados'!R603</f>
        <v/>
      </c>
      <c r="T610" s="7">
        <f>'1 datos preparados'!S603</f>
        <v/>
      </c>
      <c r="U610" s="7">
        <f>'1 datos preparados'!T603</f>
        <v/>
      </c>
      <c r="V610" s="8">
        <f>$AC$12+D610*$AC$13+E610*$AC$14+F610*$AC$15+G610*$AC$16+H610*$AC$17+I610*$AC$18+J610*$AC$19+K610*$AC$20+L610*$AC$21+M610*$AC$22+N610*$AC$23+O610*$AC$24+P610*$AC$25+Q610*$AC$26+R610*$AC$27+S610*$AC$28+T610*$AC$29+U610*$AC$30</f>
        <v/>
      </c>
      <c r="W610" s="8">
        <f>1/(1+EXP(-V610))</f>
        <v/>
      </c>
      <c r="X610" s="9">
        <f>-IF(C610=1,LN(W610),LN(1-W610))</f>
        <v/>
      </c>
      <c r="Y610" s="10">
        <f>IF(W610&gt;$AC$33,1,0)</f>
        <v/>
      </c>
      <c r="Z610">
        <f>IF(Y610=C610,1,0)</f>
        <v/>
      </c>
    </row>
    <row r="611">
      <c r="A611">
        <f>'1 datos preparados'!A604</f>
        <v/>
      </c>
      <c r="B611" s="5">
        <f>'1 datos preparados'!U604</f>
        <v/>
      </c>
      <c r="C611">
        <f>'1 datos preparados'!B604</f>
        <v/>
      </c>
      <c r="D611" s="7">
        <f>'1 datos preparados'!C604</f>
        <v/>
      </c>
      <c r="E611" s="7">
        <f>'1 datos preparados'!D604</f>
        <v/>
      </c>
      <c r="F611" s="7">
        <f>'1 datos preparados'!E604</f>
        <v/>
      </c>
      <c r="G611" s="7">
        <f>'1 datos preparados'!F604</f>
        <v/>
      </c>
      <c r="H611" s="7">
        <f>'1 datos preparados'!G604</f>
        <v/>
      </c>
      <c r="I611" s="7">
        <f>'1 datos preparados'!H604</f>
        <v/>
      </c>
      <c r="J611" s="7">
        <f>'1 datos preparados'!I604</f>
        <v/>
      </c>
      <c r="K611" s="7">
        <f>'1 datos preparados'!J604</f>
        <v/>
      </c>
      <c r="L611" s="7">
        <f>'1 datos preparados'!K604</f>
        <v/>
      </c>
      <c r="M611" s="7">
        <f>'1 datos preparados'!L604</f>
        <v/>
      </c>
      <c r="N611" s="7">
        <f>'1 datos preparados'!M604</f>
        <v/>
      </c>
      <c r="O611" s="7">
        <f>'1 datos preparados'!N604</f>
        <v/>
      </c>
      <c r="P611" s="7">
        <f>'1 datos preparados'!O604</f>
        <v/>
      </c>
      <c r="Q611" s="7">
        <f>'1 datos preparados'!P604</f>
        <v/>
      </c>
      <c r="R611" s="7">
        <f>'1 datos preparados'!Q604</f>
        <v/>
      </c>
      <c r="S611" s="7">
        <f>'1 datos preparados'!R604</f>
        <v/>
      </c>
      <c r="T611" s="7">
        <f>'1 datos preparados'!S604</f>
        <v/>
      </c>
      <c r="U611" s="7">
        <f>'1 datos preparados'!T604</f>
        <v/>
      </c>
      <c r="V611" s="8">
        <f>$AC$12+D611*$AC$13+E611*$AC$14+F611*$AC$15+G611*$AC$16+H611*$AC$17+I611*$AC$18+J611*$AC$19+K611*$AC$20+L611*$AC$21+M611*$AC$22+N611*$AC$23+O611*$AC$24+P611*$AC$25+Q611*$AC$26+R611*$AC$27+S611*$AC$28+T611*$AC$29+U611*$AC$30</f>
        <v/>
      </c>
      <c r="W611" s="8">
        <f>1/(1+EXP(-V611))</f>
        <v/>
      </c>
      <c r="X611" s="9">
        <f>-IF(C611=1,LN(W611),LN(1-W611))</f>
        <v/>
      </c>
      <c r="Y611" s="10">
        <f>IF(W611&gt;$AC$33,1,0)</f>
        <v/>
      </c>
      <c r="Z611">
        <f>IF(Y611=C611,1,0)</f>
        <v/>
      </c>
    </row>
    <row r="612">
      <c r="A612">
        <f>'1 datos preparados'!A605</f>
        <v/>
      </c>
      <c r="B612" s="5">
        <f>'1 datos preparados'!U605</f>
        <v/>
      </c>
      <c r="C612">
        <f>'1 datos preparados'!B605</f>
        <v/>
      </c>
      <c r="D612" s="7">
        <f>'1 datos preparados'!C605</f>
        <v/>
      </c>
      <c r="E612" s="7">
        <f>'1 datos preparados'!D605</f>
        <v/>
      </c>
      <c r="F612" s="7">
        <f>'1 datos preparados'!E605</f>
        <v/>
      </c>
      <c r="G612" s="7">
        <f>'1 datos preparados'!F605</f>
        <v/>
      </c>
      <c r="H612" s="7">
        <f>'1 datos preparados'!G605</f>
        <v/>
      </c>
      <c r="I612" s="7">
        <f>'1 datos preparados'!H605</f>
        <v/>
      </c>
      <c r="J612" s="7">
        <f>'1 datos preparados'!I605</f>
        <v/>
      </c>
      <c r="K612" s="7">
        <f>'1 datos preparados'!J605</f>
        <v/>
      </c>
      <c r="L612" s="7">
        <f>'1 datos preparados'!K605</f>
        <v/>
      </c>
      <c r="M612" s="7">
        <f>'1 datos preparados'!L605</f>
        <v/>
      </c>
      <c r="N612" s="7">
        <f>'1 datos preparados'!M605</f>
        <v/>
      </c>
      <c r="O612" s="7">
        <f>'1 datos preparados'!N605</f>
        <v/>
      </c>
      <c r="P612" s="7">
        <f>'1 datos preparados'!O605</f>
        <v/>
      </c>
      <c r="Q612" s="7">
        <f>'1 datos preparados'!P605</f>
        <v/>
      </c>
      <c r="R612" s="7">
        <f>'1 datos preparados'!Q605</f>
        <v/>
      </c>
      <c r="S612" s="7">
        <f>'1 datos preparados'!R605</f>
        <v/>
      </c>
      <c r="T612" s="7">
        <f>'1 datos preparados'!S605</f>
        <v/>
      </c>
      <c r="U612" s="7">
        <f>'1 datos preparados'!T605</f>
        <v/>
      </c>
      <c r="V612" s="8">
        <f>$AC$12+D612*$AC$13+E612*$AC$14+F612*$AC$15+G612*$AC$16+H612*$AC$17+I612*$AC$18+J612*$AC$19+K612*$AC$20+L612*$AC$21+M612*$AC$22+N612*$AC$23+O612*$AC$24+P612*$AC$25+Q612*$AC$26+R612*$AC$27+S612*$AC$28+T612*$AC$29+U612*$AC$30</f>
        <v/>
      </c>
      <c r="W612" s="8">
        <f>1/(1+EXP(-V612))</f>
        <v/>
      </c>
      <c r="X612" s="9">
        <f>-IF(C612=1,LN(W612),LN(1-W612))</f>
        <v/>
      </c>
      <c r="Y612" s="10">
        <f>IF(W612&gt;$AC$33,1,0)</f>
        <v/>
      </c>
      <c r="Z612">
        <f>IF(Y612=C612,1,0)</f>
        <v/>
      </c>
    </row>
    <row r="613">
      <c r="A613">
        <f>'1 datos preparados'!A606</f>
        <v/>
      </c>
      <c r="B613" s="5">
        <f>'1 datos preparados'!U606</f>
        <v/>
      </c>
      <c r="C613">
        <f>'1 datos preparados'!B606</f>
        <v/>
      </c>
      <c r="D613" s="7">
        <f>'1 datos preparados'!C606</f>
        <v/>
      </c>
      <c r="E613" s="7">
        <f>'1 datos preparados'!D606</f>
        <v/>
      </c>
      <c r="F613" s="7">
        <f>'1 datos preparados'!E606</f>
        <v/>
      </c>
      <c r="G613" s="7">
        <f>'1 datos preparados'!F606</f>
        <v/>
      </c>
      <c r="H613" s="7">
        <f>'1 datos preparados'!G606</f>
        <v/>
      </c>
      <c r="I613" s="7">
        <f>'1 datos preparados'!H606</f>
        <v/>
      </c>
      <c r="J613" s="7">
        <f>'1 datos preparados'!I606</f>
        <v/>
      </c>
      <c r="K613" s="7">
        <f>'1 datos preparados'!J606</f>
        <v/>
      </c>
      <c r="L613" s="7">
        <f>'1 datos preparados'!K606</f>
        <v/>
      </c>
      <c r="M613" s="7">
        <f>'1 datos preparados'!L606</f>
        <v/>
      </c>
      <c r="N613" s="7">
        <f>'1 datos preparados'!M606</f>
        <v/>
      </c>
      <c r="O613" s="7">
        <f>'1 datos preparados'!N606</f>
        <v/>
      </c>
      <c r="P613" s="7">
        <f>'1 datos preparados'!O606</f>
        <v/>
      </c>
      <c r="Q613" s="7">
        <f>'1 datos preparados'!P606</f>
        <v/>
      </c>
      <c r="R613" s="7">
        <f>'1 datos preparados'!Q606</f>
        <v/>
      </c>
      <c r="S613" s="7">
        <f>'1 datos preparados'!R606</f>
        <v/>
      </c>
      <c r="T613" s="7">
        <f>'1 datos preparados'!S606</f>
        <v/>
      </c>
      <c r="U613" s="7">
        <f>'1 datos preparados'!T606</f>
        <v/>
      </c>
      <c r="V613" s="8">
        <f>$AC$12+D613*$AC$13+E613*$AC$14+F613*$AC$15+G613*$AC$16+H613*$AC$17+I613*$AC$18+J613*$AC$19+K613*$AC$20+L613*$AC$21+M613*$AC$22+N613*$AC$23+O613*$AC$24+P613*$AC$25+Q613*$AC$26+R613*$AC$27+S613*$AC$28+T613*$AC$29+U613*$AC$30</f>
        <v/>
      </c>
      <c r="W613" s="8">
        <f>1/(1+EXP(-V613))</f>
        <v/>
      </c>
      <c r="X613" s="9">
        <f>-IF(C613=1,LN(W613),LN(1-W613))</f>
        <v/>
      </c>
      <c r="Y613" s="10">
        <f>IF(W613&gt;$AC$33,1,0)</f>
        <v/>
      </c>
      <c r="Z613">
        <f>IF(Y613=C613,1,0)</f>
        <v/>
      </c>
    </row>
    <row r="614">
      <c r="A614">
        <f>'1 datos preparados'!A607</f>
        <v/>
      </c>
      <c r="B614" s="5">
        <f>'1 datos preparados'!U607</f>
        <v/>
      </c>
      <c r="C614">
        <f>'1 datos preparados'!B607</f>
        <v/>
      </c>
      <c r="D614" s="7">
        <f>'1 datos preparados'!C607</f>
        <v/>
      </c>
      <c r="E614" s="7">
        <f>'1 datos preparados'!D607</f>
        <v/>
      </c>
      <c r="F614" s="7">
        <f>'1 datos preparados'!E607</f>
        <v/>
      </c>
      <c r="G614" s="7">
        <f>'1 datos preparados'!F607</f>
        <v/>
      </c>
      <c r="H614" s="7">
        <f>'1 datos preparados'!G607</f>
        <v/>
      </c>
      <c r="I614" s="7">
        <f>'1 datos preparados'!H607</f>
        <v/>
      </c>
      <c r="J614" s="7">
        <f>'1 datos preparados'!I607</f>
        <v/>
      </c>
      <c r="K614" s="7">
        <f>'1 datos preparados'!J607</f>
        <v/>
      </c>
      <c r="L614" s="7">
        <f>'1 datos preparados'!K607</f>
        <v/>
      </c>
      <c r="M614" s="7">
        <f>'1 datos preparados'!L607</f>
        <v/>
      </c>
      <c r="N614" s="7">
        <f>'1 datos preparados'!M607</f>
        <v/>
      </c>
      <c r="O614" s="7">
        <f>'1 datos preparados'!N607</f>
        <v/>
      </c>
      <c r="P614" s="7">
        <f>'1 datos preparados'!O607</f>
        <v/>
      </c>
      <c r="Q614" s="7">
        <f>'1 datos preparados'!P607</f>
        <v/>
      </c>
      <c r="R614" s="7">
        <f>'1 datos preparados'!Q607</f>
        <v/>
      </c>
      <c r="S614" s="7">
        <f>'1 datos preparados'!R607</f>
        <v/>
      </c>
      <c r="T614" s="7">
        <f>'1 datos preparados'!S607</f>
        <v/>
      </c>
      <c r="U614" s="7">
        <f>'1 datos preparados'!T607</f>
        <v/>
      </c>
      <c r="V614" s="8">
        <f>$AC$12+D614*$AC$13+E614*$AC$14+F614*$AC$15+G614*$AC$16+H614*$AC$17+I614*$AC$18+J614*$AC$19+K614*$AC$20+L614*$AC$21+M614*$AC$22+N614*$AC$23+O614*$AC$24+P614*$AC$25+Q614*$AC$26+R614*$AC$27+S614*$AC$28+T614*$AC$29+U614*$AC$30</f>
        <v/>
      </c>
      <c r="W614" s="8">
        <f>1/(1+EXP(-V614))</f>
        <v/>
      </c>
      <c r="X614" s="9">
        <f>-IF(C614=1,LN(W614),LN(1-W614))</f>
        <v/>
      </c>
      <c r="Y614" s="10">
        <f>IF(W614&gt;$AC$33,1,0)</f>
        <v/>
      </c>
      <c r="Z614">
        <f>IF(Y614=C614,1,0)</f>
        <v/>
      </c>
    </row>
    <row r="615">
      <c r="A615">
        <f>'1 datos preparados'!A608</f>
        <v/>
      </c>
      <c r="B615" s="5">
        <f>'1 datos preparados'!U608</f>
        <v/>
      </c>
      <c r="C615">
        <f>'1 datos preparados'!B608</f>
        <v/>
      </c>
      <c r="D615" s="7">
        <f>'1 datos preparados'!C608</f>
        <v/>
      </c>
      <c r="E615" s="7">
        <f>'1 datos preparados'!D608</f>
        <v/>
      </c>
      <c r="F615" s="7">
        <f>'1 datos preparados'!E608</f>
        <v/>
      </c>
      <c r="G615" s="7">
        <f>'1 datos preparados'!F608</f>
        <v/>
      </c>
      <c r="H615" s="7">
        <f>'1 datos preparados'!G608</f>
        <v/>
      </c>
      <c r="I615" s="7">
        <f>'1 datos preparados'!H608</f>
        <v/>
      </c>
      <c r="J615" s="7">
        <f>'1 datos preparados'!I608</f>
        <v/>
      </c>
      <c r="K615" s="7">
        <f>'1 datos preparados'!J608</f>
        <v/>
      </c>
      <c r="L615" s="7">
        <f>'1 datos preparados'!K608</f>
        <v/>
      </c>
      <c r="M615" s="7">
        <f>'1 datos preparados'!L608</f>
        <v/>
      </c>
      <c r="N615" s="7">
        <f>'1 datos preparados'!M608</f>
        <v/>
      </c>
      <c r="O615" s="7">
        <f>'1 datos preparados'!N608</f>
        <v/>
      </c>
      <c r="P615" s="7">
        <f>'1 datos preparados'!O608</f>
        <v/>
      </c>
      <c r="Q615" s="7">
        <f>'1 datos preparados'!P608</f>
        <v/>
      </c>
      <c r="R615" s="7">
        <f>'1 datos preparados'!Q608</f>
        <v/>
      </c>
      <c r="S615" s="7">
        <f>'1 datos preparados'!R608</f>
        <v/>
      </c>
      <c r="T615" s="7">
        <f>'1 datos preparados'!S608</f>
        <v/>
      </c>
      <c r="U615" s="7">
        <f>'1 datos preparados'!T608</f>
        <v/>
      </c>
      <c r="V615" s="8">
        <f>$AC$12+D615*$AC$13+E615*$AC$14+F615*$AC$15+G615*$AC$16+H615*$AC$17+I615*$AC$18+J615*$AC$19+K615*$AC$20+L615*$AC$21+M615*$AC$22+N615*$AC$23+O615*$AC$24+P615*$AC$25+Q615*$AC$26+R615*$AC$27+S615*$AC$28+T615*$AC$29+U615*$AC$30</f>
        <v/>
      </c>
      <c r="W615" s="8">
        <f>1/(1+EXP(-V615))</f>
        <v/>
      </c>
      <c r="X615" s="9">
        <f>-IF(C615=1,LN(W615),LN(1-W615))</f>
        <v/>
      </c>
      <c r="Y615" s="10">
        <f>IF(W615&gt;$AC$33,1,0)</f>
        <v/>
      </c>
      <c r="Z615">
        <f>IF(Y615=C615,1,0)</f>
        <v/>
      </c>
    </row>
    <row r="616">
      <c r="A616">
        <f>'1 datos preparados'!A609</f>
        <v/>
      </c>
      <c r="B616" s="5">
        <f>'1 datos preparados'!U609</f>
        <v/>
      </c>
      <c r="C616">
        <f>'1 datos preparados'!B609</f>
        <v/>
      </c>
      <c r="D616" s="7">
        <f>'1 datos preparados'!C609</f>
        <v/>
      </c>
      <c r="E616" s="7">
        <f>'1 datos preparados'!D609</f>
        <v/>
      </c>
      <c r="F616" s="7">
        <f>'1 datos preparados'!E609</f>
        <v/>
      </c>
      <c r="G616" s="7">
        <f>'1 datos preparados'!F609</f>
        <v/>
      </c>
      <c r="H616" s="7">
        <f>'1 datos preparados'!G609</f>
        <v/>
      </c>
      <c r="I616" s="7">
        <f>'1 datos preparados'!H609</f>
        <v/>
      </c>
      <c r="J616" s="7">
        <f>'1 datos preparados'!I609</f>
        <v/>
      </c>
      <c r="K616" s="7">
        <f>'1 datos preparados'!J609</f>
        <v/>
      </c>
      <c r="L616" s="7">
        <f>'1 datos preparados'!K609</f>
        <v/>
      </c>
      <c r="M616" s="7">
        <f>'1 datos preparados'!L609</f>
        <v/>
      </c>
      <c r="N616" s="7">
        <f>'1 datos preparados'!M609</f>
        <v/>
      </c>
      <c r="O616" s="7">
        <f>'1 datos preparados'!N609</f>
        <v/>
      </c>
      <c r="P616" s="7">
        <f>'1 datos preparados'!O609</f>
        <v/>
      </c>
      <c r="Q616" s="7">
        <f>'1 datos preparados'!P609</f>
        <v/>
      </c>
      <c r="R616" s="7">
        <f>'1 datos preparados'!Q609</f>
        <v/>
      </c>
      <c r="S616" s="7">
        <f>'1 datos preparados'!R609</f>
        <v/>
      </c>
      <c r="T616" s="7">
        <f>'1 datos preparados'!S609</f>
        <v/>
      </c>
      <c r="U616" s="7">
        <f>'1 datos preparados'!T609</f>
        <v/>
      </c>
      <c r="V616" s="8">
        <f>$AC$12+D616*$AC$13+E616*$AC$14+F616*$AC$15+G616*$AC$16+H616*$AC$17+I616*$AC$18+J616*$AC$19+K616*$AC$20+L616*$AC$21+M616*$AC$22+N616*$AC$23+O616*$AC$24+P616*$AC$25+Q616*$AC$26+R616*$AC$27+S616*$AC$28+T616*$AC$29+U616*$AC$30</f>
        <v/>
      </c>
      <c r="W616" s="8">
        <f>1/(1+EXP(-V616))</f>
        <v/>
      </c>
      <c r="X616" s="9">
        <f>-IF(C616=1,LN(W616),LN(1-W616))</f>
        <v/>
      </c>
      <c r="Y616" s="10">
        <f>IF(W616&gt;$AC$33,1,0)</f>
        <v/>
      </c>
      <c r="Z616">
        <f>IF(Y616=C616,1,0)</f>
        <v/>
      </c>
    </row>
    <row r="617">
      <c r="A617">
        <f>'1 datos preparados'!A610</f>
        <v/>
      </c>
      <c r="B617" s="5">
        <f>'1 datos preparados'!U610</f>
        <v/>
      </c>
      <c r="C617">
        <f>'1 datos preparados'!B610</f>
        <v/>
      </c>
      <c r="D617" s="7">
        <f>'1 datos preparados'!C610</f>
        <v/>
      </c>
      <c r="E617" s="7">
        <f>'1 datos preparados'!D610</f>
        <v/>
      </c>
      <c r="F617" s="7">
        <f>'1 datos preparados'!E610</f>
        <v/>
      </c>
      <c r="G617" s="7">
        <f>'1 datos preparados'!F610</f>
        <v/>
      </c>
      <c r="H617" s="7">
        <f>'1 datos preparados'!G610</f>
        <v/>
      </c>
      <c r="I617" s="7">
        <f>'1 datos preparados'!H610</f>
        <v/>
      </c>
      <c r="J617" s="7">
        <f>'1 datos preparados'!I610</f>
        <v/>
      </c>
      <c r="K617" s="7">
        <f>'1 datos preparados'!J610</f>
        <v/>
      </c>
      <c r="L617" s="7">
        <f>'1 datos preparados'!K610</f>
        <v/>
      </c>
      <c r="M617" s="7">
        <f>'1 datos preparados'!L610</f>
        <v/>
      </c>
      <c r="N617" s="7">
        <f>'1 datos preparados'!M610</f>
        <v/>
      </c>
      <c r="O617" s="7">
        <f>'1 datos preparados'!N610</f>
        <v/>
      </c>
      <c r="P617" s="7">
        <f>'1 datos preparados'!O610</f>
        <v/>
      </c>
      <c r="Q617" s="7">
        <f>'1 datos preparados'!P610</f>
        <v/>
      </c>
      <c r="R617" s="7">
        <f>'1 datos preparados'!Q610</f>
        <v/>
      </c>
      <c r="S617" s="7">
        <f>'1 datos preparados'!R610</f>
        <v/>
      </c>
      <c r="T617" s="7">
        <f>'1 datos preparados'!S610</f>
        <v/>
      </c>
      <c r="U617" s="7">
        <f>'1 datos preparados'!T610</f>
        <v/>
      </c>
      <c r="V617" s="8">
        <f>$AC$12+D617*$AC$13+E617*$AC$14+F617*$AC$15+G617*$AC$16+H617*$AC$17+I617*$AC$18+J617*$AC$19+K617*$AC$20+L617*$AC$21+M617*$AC$22+N617*$AC$23+O617*$AC$24+P617*$AC$25+Q617*$AC$26+R617*$AC$27+S617*$AC$28+T617*$AC$29+U617*$AC$30</f>
        <v/>
      </c>
      <c r="W617" s="8">
        <f>1/(1+EXP(-V617))</f>
        <v/>
      </c>
      <c r="X617" s="9">
        <f>-IF(C617=1,LN(W617),LN(1-W617))</f>
        <v/>
      </c>
      <c r="Y617" s="10">
        <f>IF(W617&gt;$AC$33,1,0)</f>
        <v/>
      </c>
      <c r="Z617">
        <f>IF(Y617=C617,1,0)</f>
        <v/>
      </c>
    </row>
    <row r="618">
      <c r="A618">
        <f>'1 datos preparados'!A611</f>
        <v/>
      </c>
      <c r="B618" s="5">
        <f>'1 datos preparados'!U611</f>
        <v/>
      </c>
      <c r="C618">
        <f>'1 datos preparados'!B611</f>
        <v/>
      </c>
      <c r="D618" s="7">
        <f>'1 datos preparados'!C611</f>
        <v/>
      </c>
      <c r="E618" s="7">
        <f>'1 datos preparados'!D611</f>
        <v/>
      </c>
      <c r="F618" s="7">
        <f>'1 datos preparados'!E611</f>
        <v/>
      </c>
      <c r="G618" s="7">
        <f>'1 datos preparados'!F611</f>
        <v/>
      </c>
      <c r="H618" s="7">
        <f>'1 datos preparados'!G611</f>
        <v/>
      </c>
      <c r="I618" s="7">
        <f>'1 datos preparados'!H611</f>
        <v/>
      </c>
      <c r="J618" s="7">
        <f>'1 datos preparados'!I611</f>
        <v/>
      </c>
      <c r="K618" s="7">
        <f>'1 datos preparados'!J611</f>
        <v/>
      </c>
      <c r="L618" s="7">
        <f>'1 datos preparados'!K611</f>
        <v/>
      </c>
      <c r="M618" s="7">
        <f>'1 datos preparados'!L611</f>
        <v/>
      </c>
      <c r="N618" s="7">
        <f>'1 datos preparados'!M611</f>
        <v/>
      </c>
      <c r="O618" s="7">
        <f>'1 datos preparados'!N611</f>
        <v/>
      </c>
      <c r="P618" s="7">
        <f>'1 datos preparados'!O611</f>
        <v/>
      </c>
      <c r="Q618" s="7">
        <f>'1 datos preparados'!P611</f>
        <v/>
      </c>
      <c r="R618" s="7">
        <f>'1 datos preparados'!Q611</f>
        <v/>
      </c>
      <c r="S618" s="7">
        <f>'1 datos preparados'!R611</f>
        <v/>
      </c>
      <c r="T618" s="7">
        <f>'1 datos preparados'!S611</f>
        <v/>
      </c>
      <c r="U618" s="7">
        <f>'1 datos preparados'!T611</f>
        <v/>
      </c>
      <c r="V618" s="8">
        <f>$AC$12+D618*$AC$13+E618*$AC$14+F618*$AC$15+G618*$AC$16+H618*$AC$17+I618*$AC$18+J618*$AC$19+K618*$AC$20+L618*$AC$21+M618*$AC$22+N618*$AC$23+O618*$AC$24+P618*$AC$25+Q618*$AC$26+R618*$AC$27+S618*$AC$28+T618*$AC$29+U618*$AC$30</f>
        <v/>
      </c>
      <c r="W618" s="8">
        <f>1/(1+EXP(-V618))</f>
        <v/>
      </c>
      <c r="X618" s="9">
        <f>-IF(C618=1,LN(W618),LN(1-W618))</f>
        <v/>
      </c>
      <c r="Y618" s="10">
        <f>IF(W618&gt;$AC$33,1,0)</f>
        <v/>
      </c>
      <c r="Z618">
        <f>IF(Y618=C618,1,0)</f>
        <v/>
      </c>
    </row>
    <row r="619">
      <c r="A619">
        <f>'1 datos preparados'!A612</f>
        <v/>
      </c>
      <c r="B619" s="5">
        <f>'1 datos preparados'!U612</f>
        <v/>
      </c>
      <c r="C619">
        <f>'1 datos preparados'!B612</f>
        <v/>
      </c>
      <c r="D619" s="7">
        <f>'1 datos preparados'!C612</f>
        <v/>
      </c>
      <c r="E619" s="7">
        <f>'1 datos preparados'!D612</f>
        <v/>
      </c>
      <c r="F619" s="7">
        <f>'1 datos preparados'!E612</f>
        <v/>
      </c>
      <c r="G619" s="7">
        <f>'1 datos preparados'!F612</f>
        <v/>
      </c>
      <c r="H619" s="7">
        <f>'1 datos preparados'!G612</f>
        <v/>
      </c>
      <c r="I619" s="7">
        <f>'1 datos preparados'!H612</f>
        <v/>
      </c>
      <c r="J619" s="7">
        <f>'1 datos preparados'!I612</f>
        <v/>
      </c>
      <c r="K619" s="7">
        <f>'1 datos preparados'!J612</f>
        <v/>
      </c>
      <c r="L619" s="7">
        <f>'1 datos preparados'!K612</f>
        <v/>
      </c>
      <c r="M619" s="7">
        <f>'1 datos preparados'!L612</f>
        <v/>
      </c>
      <c r="N619" s="7">
        <f>'1 datos preparados'!M612</f>
        <v/>
      </c>
      <c r="O619" s="7">
        <f>'1 datos preparados'!N612</f>
        <v/>
      </c>
      <c r="P619" s="7">
        <f>'1 datos preparados'!O612</f>
        <v/>
      </c>
      <c r="Q619" s="7">
        <f>'1 datos preparados'!P612</f>
        <v/>
      </c>
      <c r="R619" s="7">
        <f>'1 datos preparados'!Q612</f>
        <v/>
      </c>
      <c r="S619" s="7">
        <f>'1 datos preparados'!R612</f>
        <v/>
      </c>
      <c r="T619" s="7">
        <f>'1 datos preparados'!S612</f>
        <v/>
      </c>
      <c r="U619" s="7">
        <f>'1 datos preparados'!T612</f>
        <v/>
      </c>
      <c r="V619" s="8">
        <f>$AC$12+D619*$AC$13+E619*$AC$14+F619*$AC$15+G619*$AC$16+H619*$AC$17+I619*$AC$18+J619*$AC$19+K619*$AC$20+L619*$AC$21+M619*$AC$22+N619*$AC$23+O619*$AC$24+P619*$AC$25+Q619*$AC$26+R619*$AC$27+S619*$AC$28+T619*$AC$29+U619*$AC$30</f>
        <v/>
      </c>
      <c r="W619" s="8">
        <f>1/(1+EXP(-V619))</f>
        <v/>
      </c>
      <c r="X619" s="9">
        <f>-IF(C619=1,LN(W619),LN(1-W619))</f>
        <v/>
      </c>
      <c r="Y619" s="10">
        <f>IF(W619&gt;$AC$33,1,0)</f>
        <v/>
      </c>
      <c r="Z619">
        <f>IF(Y619=C619,1,0)</f>
        <v/>
      </c>
    </row>
    <row r="620">
      <c r="A620">
        <f>'1 datos preparados'!A613</f>
        <v/>
      </c>
      <c r="B620" s="5">
        <f>'1 datos preparados'!U613</f>
        <v/>
      </c>
      <c r="C620">
        <f>'1 datos preparados'!B613</f>
        <v/>
      </c>
      <c r="D620" s="7">
        <f>'1 datos preparados'!C613</f>
        <v/>
      </c>
      <c r="E620" s="7">
        <f>'1 datos preparados'!D613</f>
        <v/>
      </c>
      <c r="F620" s="7">
        <f>'1 datos preparados'!E613</f>
        <v/>
      </c>
      <c r="G620" s="7">
        <f>'1 datos preparados'!F613</f>
        <v/>
      </c>
      <c r="H620" s="7">
        <f>'1 datos preparados'!G613</f>
        <v/>
      </c>
      <c r="I620" s="7">
        <f>'1 datos preparados'!H613</f>
        <v/>
      </c>
      <c r="J620" s="7">
        <f>'1 datos preparados'!I613</f>
        <v/>
      </c>
      <c r="K620" s="7">
        <f>'1 datos preparados'!J613</f>
        <v/>
      </c>
      <c r="L620" s="7">
        <f>'1 datos preparados'!K613</f>
        <v/>
      </c>
      <c r="M620" s="7">
        <f>'1 datos preparados'!L613</f>
        <v/>
      </c>
      <c r="N620" s="7">
        <f>'1 datos preparados'!M613</f>
        <v/>
      </c>
      <c r="O620" s="7">
        <f>'1 datos preparados'!N613</f>
        <v/>
      </c>
      <c r="P620" s="7">
        <f>'1 datos preparados'!O613</f>
        <v/>
      </c>
      <c r="Q620" s="7">
        <f>'1 datos preparados'!P613</f>
        <v/>
      </c>
      <c r="R620" s="7">
        <f>'1 datos preparados'!Q613</f>
        <v/>
      </c>
      <c r="S620" s="7">
        <f>'1 datos preparados'!R613</f>
        <v/>
      </c>
      <c r="T620" s="7">
        <f>'1 datos preparados'!S613</f>
        <v/>
      </c>
      <c r="U620" s="7">
        <f>'1 datos preparados'!T613</f>
        <v/>
      </c>
      <c r="V620" s="8">
        <f>$AC$12+D620*$AC$13+E620*$AC$14+F620*$AC$15+G620*$AC$16+H620*$AC$17+I620*$AC$18+J620*$AC$19+K620*$AC$20+L620*$AC$21+M620*$AC$22+N620*$AC$23+O620*$AC$24+P620*$AC$25+Q620*$AC$26+R620*$AC$27+S620*$AC$28+T620*$AC$29+U620*$AC$30</f>
        <v/>
      </c>
      <c r="W620" s="8">
        <f>1/(1+EXP(-V620))</f>
        <v/>
      </c>
      <c r="X620" s="9">
        <f>-IF(C620=1,LN(W620),LN(1-W620))</f>
        <v/>
      </c>
      <c r="Y620" s="10">
        <f>IF(W620&gt;$AC$33,1,0)</f>
        <v/>
      </c>
      <c r="Z620">
        <f>IF(Y620=C620,1,0)</f>
        <v/>
      </c>
    </row>
    <row r="621">
      <c r="A621">
        <f>'1 datos preparados'!A614</f>
        <v/>
      </c>
      <c r="B621" s="5">
        <f>'1 datos preparados'!U614</f>
        <v/>
      </c>
      <c r="C621">
        <f>'1 datos preparados'!B614</f>
        <v/>
      </c>
      <c r="D621" s="7">
        <f>'1 datos preparados'!C614</f>
        <v/>
      </c>
      <c r="E621" s="7">
        <f>'1 datos preparados'!D614</f>
        <v/>
      </c>
      <c r="F621" s="7">
        <f>'1 datos preparados'!E614</f>
        <v/>
      </c>
      <c r="G621" s="7">
        <f>'1 datos preparados'!F614</f>
        <v/>
      </c>
      <c r="H621" s="7">
        <f>'1 datos preparados'!G614</f>
        <v/>
      </c>
      <c r="I621" s="7">
        <f>'1 datos preparados'!H614</f>
        <v/>
      </c>
      <c r="J621" s="7">
        <f>'1 datos preparados'!I614</f>
        <v/>
      </c>
      <c r="K621" s="7">
        <f>'1 datos preparados'!J614</f>
        <v/>
      </c>
      <c r="L621" s="7">
        <f>'1 datos preparados'!K614</f>
        <v/>
      </c>
      <c r="M621" s="7">
        <f>'1 datos preparados'!L614</f>
        <v/>
      </c>
      <c r="N621" s="7">
        <f>'1 datos preparados'!M614</f>
        <v/>
      </c>
      <c r="O621" s="7">
        <f>'1 datos preparados'!N614</f>
        <v/>
      </c>
      <c r="P621" s="7">
        <f>'1 datos preparados'!O614</f>
        <v/>
      </c>
      <c r="Q621" s="7">
        <f>'1 datos preparados'!P614</f>
        <v/>
      </c>
      <c r="R621" s="7">
        <f>'1 datos preparados'!Q614</f>
        <v/>
      </c>
      <c r="S621" s="7">
        <f>'1 datos preparados'!R614</f>
        <v/>
      </c>
      <c r="T621" s="7">
        <f>'1 datos preparados'!S614</f>
        <v/>
      </c>
      <c r="U621" s="7">
        <f>'1 datos preparados'!T614</f>
        <v/>
      </c>
      <c r="V621" s="8">
        <f>$AC$12+D621*$AC$13+E621*$AC$14+F621*$AC$15+G621*$AC$16+H621*$AC$17+I621*$AC$18+J621*$AC$19+K621*$AC$20+L621*$AC$21+M621*$AC$22+N621*$AC$23+O621*$AC$24+P621*$AC$25+Q621*$AC$26+R621*$AC$27+S621*$AC$28+T621*$AC$29+U621*$AC$30</f>
        <v/>
      </c>
      <c r="W621" s="8">
        <f>1/(1+EXP(-V621))</f>
        <v/>
      </c>
      <c r="X621" s="9">
        <f>-IF(C621=1,LN(W621),LN(1-W621))</f>
        <v/>
      </c>
      <c r="Y621" s="10">
        <f>IF(W621&gt;$AC$33,1,0)</f>
        <v/>
      </c>
      <c r="Z621">
        <f>IF(Y621=C621,1,0)</f>
        <v/>
      </c>
    </row>
    <row r="622">
      <c r="A622">
        <f>'1 datos preparados'!A615</f>
        <v/>
      </c>
      <c r="B622" s="5">
        <f>'1 datos preparados'!U615</f>
        <v/>
      </c>
      <c r="C622">
        <f>'1 datos preparados'!B615</f>
        <v/>
      </c>
      <c r="D622" s="7">
        <f>'1 datos preparados'!C615</f>
        <v/>
      </c>
      <c r="E622" s="7">
        <f>'1 datos preparados'!D615</f>
        <v/>
      </c>
      <c r="F622" s="7">
        <f>'1 datos preparados'!E615</f>
        <v/>
      </c>
      <c r="G622" s="7">
        <f>'1 datos preparados'!F615</f>
        <v/>
      </c>
      <c r="H622" s="7">
        <f>'1 datos preparados'!G615</f>
        <v/>
      </c>
      <c r="I622" s="7">
        <f>'1 datos preparados'!H615</f>
        <v/>
      </c>
      <c r="J622" s="7">
        <f>'1 datos preparados'!I615</f>
        <v/>
      </c>
      <c r="K622" s="7">
        <f>'1 datos preparados'!J615</f>
        <v/>
      </c>
      <c r="L622" s="7">
        <f>'1 datos preparados'!K615</f>
        <v/>
      </c>
      <c r="M622" s="7">
        <f>'1 datos preparados'!L615</f>
        <v/>
      </c>
      <c r="N622" s="7">
        <f>'1 datos preparados'!M615</f>
        <v/>
      </c>
      <c r="O622" s="7">
        <f>'1 datos preparados'!N615</f>
        <v/>
      </c>
      <c r="P622" s="7">
        <f>'1 datos preparados'!O615</f>
        <v/>
      </c>
      <c r="Q622" s="7">
        <f>'1 datos preparados'!P615</f>
        <v/>
      </c>
      <c r="R622" s="7">
        <f>'1 datos preparados'!Q615</f>
        <v/>
      </c>
      <c r="S622" s="7">
        <f>'1 datos preparados'!R615</f>
        <v/>
      </c>
      <c r="T622" s="7">
        <f>'1 datos preparados'!S615</f>
        <v/>
      </c>
      <c r="U622" s="7">
        <f>'1 datos preparados'!T615</f>
        <v/>
      </c>
      <c r="V622" s="8">
        <f>$AC$12+D622*$AC$13+E622*$AC$14+F622*$AC$15+G622*$AC$16+H622*$AC$17+I622*$AC$18+J622*$AC$19+K622*$AC$20+L622*$AC$21+M622*$AC$22+N622*$AC$23+O622*$AC$24+P622*$AC$25+Q622*$AC$26+R622*$AC$27+S622*$AC$28+T622*$AC$29+U622*$AC$30</f>
        <v/>
      </c>
      <c r="W622" s="8">
        <f>1/(1+EXP(-V622))</f>
        <v/>
      </c>
      <c r="X622" s="9">
        <f>-IF(C622=1,LN(W622),LN(1-W622))</f>
        <v/>
      </c>
      <c r="Y622" s="10">
        <f>IF(W622&gt;$AC$33,1,0)</f>
        <v/>
      </c>
      <c r="Z622">
        <f>IF(Y622=C622,1,0)</f>
        <v/>
      </c>
    </row>
    <row r="623">
      <c r="A623">
        <f>'1 datos preparados'!A616</f>
        <v/>
      </c>
      <c r="B623" s="5">
        <f>'1 datos preparados'!U616</f>
        <v/>
      </c>
      <c r="C623">
        <f>'1 datos preparados'!B616</f>
        <v/>
      </c>
      <c r="D623" s="7">
        <f>'1 datos preparados'!C616</f>
        <v/>
      </c>
      <c r="E623" s="7">
        <f>'1 datos preparados'!D616</f>
        <v/>
      </c>
      <c r="F623" s="7">
        <f>'1 datos preparados'!E616</f>
        <v/>
      </c>
      <c r="G623" s="7">
        <f>'1 datos preparados'!F616</f>
        <v/>
      </c>
      <c r="H623" s="7">
        <f>'1 datos preparados'!G616</f>
        <v/>
      </c>
      <c r="I623" s="7">
        <f>'1 datos preparados'!H616</f>
        <v/>
      </c>
      <c r="J623" s="7">
        <f>'1 datos preparados'!I616</f>
        <v/>
      </c>
      <c r="K623" s="7">
        <f>'1 datos preparados'!J616</f>
        <v/>
      </c>
      <c r="L623" s="7">
        <f>'1 datos preparados'!K616</f>
        <v/>
      </c>
      <c r="M623" s="7">
        <f>'1 datos preparados'!L616</f>
        <v/>
      </c>
      <c r="N623" s="7">
        <f>'1 datos preparados'!M616</f>
        <v/>
      </c>
      <c r="O623" s="7">
        <f>'1 datos preparados'!N616</f>
        <v/>
      </c>
      <c r="P623" s="7">
        <f>'1 datos preparados'!O616</f>
        <v/>
      </c>
      <c r="Q623" s="7">
        <f>'1 datos preparados'!P616</f>
        <v/>
      </c>
      <c r="R623" s="7">
        <f>'1 datos preparados'!Q616</f>
        <v/>
      </c>
      <c r="S623" s="7">
        <f>'1 datos preparados'!R616</f>
        <v/>
      </c>
      <c r="T623" s="7">
        <f>'1 datos preparados'!S616</f>
        <v/>
      </c>
      <c r="U623" s="7">
        <f>'1 datos preparados'!T616</f>
        <v/>
      </c>
      <c r="V623" s="8">
        <f>$AC$12+D623*$AC$13+E623*$AC$14+F623*$AC$15+G623*$AC$16+H623*$AC$17+I623*$AC$18+J623*$AC$19+K623*$AC$20+L623*$AC$21+M623*$AC$22+N623*$AC$23+O623*$AC$24+P623*$AC$25+Q623*$AC$26+R623*$AC$27+S623*$AC$28+T623*$AC$29+U623*$AC$30</f>
        <v/>
      </c>
      <c r="W623" s="8">
        <f>1/(1+EXP(-V623))</f>
        <v/>
      </c>
      <c r="X623" s="9">
        <f>-IF(C623=1,LN(W623),LN(1-W623))</f>
        <v/>
      </c>
      <c r="Y623" s="10">
        <f>IF(W623&gt;$AC$33,1,0)</f>
        <v/>
      </c>
      <c r="Z623">
        <f>IF(Y623=C623,1,0)</f>
        <v/>
      </c>
    </row>
    <row r="624">
      <c r="A624">
        <f>'1 datos preparados'!A617</f>
        <v/>
      </c>
      <c r="B624" s="5">
        <f>'1 datos preparados'!U617</f>
        <v/>
      </c>
      <c r="C624">
        <f>'1 datos preparados'!B617</f>
        <v/>
      </c>
      <c r="D624" s="7">
        <f>'1 datos preparados'!C617</f>
        <v/>
      </c>
      <c r="E624" s="7">
        <f>'1 datos preparados'!D617</f>
        <v/>
      </c>
      <c r="F624" s="7">
        <f>'1 datos preparados'!E617</f>
        <v/>
      </c>
      <c r="G624" s="7">
        <f>'1 datos preparados'!F617</f>
        <v/>
      </c>
      <c r="H624" s="7">
        <f>'1 datos preparados'!G617</f>
        <v/>
      </c>
      <c r="I624" s="7">
        <f>'1 datos preparados'!H617</f>
        <v/>
      </c>
      <c r="J624" s="7">
        <f>'1 datos preparados'!I617</f>
        <v/>
      </c>
      <c r="K624" s="7">
        <f>'1 datos preparados'!J617</f>
        <v/>
      </c>
      <c r="L624" s="7">
        <f>'1 datos preparados'!K617</f>
        <v/>
      </c>
      <c r="M624" s="7">
        <f>'1 datos preparados'!L617</f>
        <v/>
      </c>
      <c r="N624" s="7">
        <f>'1 datos preparados'!M617</f>
        <v/>
      </c>
      <c r="O624" s="7">
        <f>'1 datos preparados'!N617</f>
        <v/>
      </c>
      <c r="P624" s="7">
        <f>'1 datos preparados'!O617</f>
        <v/>
      </c>
      <c r="Q624" s="7">
        <f>'1 datos preparados'!P617</f>
        <v/>
      </c>
      <c r="R624" s="7">
        <f>'1 datos preparados'!Q617</f>
        <v/>
      </c>
      <c r="S624" s="7">
        <f>'1 datos preparados'!R617</f>
        <v/>
      </c>
      <c r="T624" s="7">
        <f>'1 datos preparados'!S617</f>
        <v/>
      </c>
      <c r="U624" s="7">
        <f>'1 datos preparados'!T617</f>
        <v/>
      </c>
      <c r="V624" s="8">
        <f>$AC$12+D624*$AC$13+E624*$AC$14+F624*$AC$15+G624*$AC$16+H624*$AC$17+I624*$AC$18+J624*$AC$19+K624*$AC$20+L624*$AC$21+M624*$AC$22+N624*$AC$23+O624*$AC$24+P624*$AC$25+Q624*$AC$26+R624*$AC$27+S624*$AC$28+T624*$AC$29+U624*$AC$30</f>
        <v/>
      </c>
      <c r="W624" s="8">
        <f>1/(1+EXP(-V624))</f>
        <v/>
      </c>
      <c r="X624" s="9">
        <f>-IF(C624=1,LN(W624),LN(1-W624))</f>
        <v/>
      </c>
      <c r="Y624" s="10">
        <f>IF(W624&gt;$AC$33,1,0)</f>
        <v/>
      </c>
      <c r="Z624">
        <f>IF(Y624=C624,1,0)</f>
        <v/>
      </c>
    </row>
    <row r="625">
      <c r="A625">
        <f>'1 datos preparados'!A618</f>
        <v/>
      </c>
      <c r="B625" s="5">
        <f>'1 datos preparados'!U618</f>
        <v/>
      </c>
      <c r="C625">
        <f>'1 datos preparados'!B618</f>
        <v/>
      </c>
      <c r="D625" s="7">
        <f>'1 datos preparados'!C618</f>
        <v/>
      </c>
      <c r="E625" s="7">
        <f>'1 datos preparados'!D618</f>
        <v/>
      </c>
      <c r="F625" s="7">
        <f>'1 datos preparados'!E618</f>
        <v/>
      </c>
      <c r="G625" s="7">
        <f>'1 datos preparados'!F618</f>
        <v/>
      </c>
      <c r="H625" s="7">
        <f>'1 datos preparados'!G618</f>
        <v/>
      </c>
      <c r="I625" s="7">
        <f>'1 datos preparados'!H618</f>
        <v/>
      </c>
      <c r="J625" s="7">
        <f>'1 datos preparados'!I618</f>
        <v/>
      </c>
      <c r="K625" s="7">
        <f>'1 datos preparados'!J618</f>
        <v/>
      </c>
      <c r="L625" s="7">
        <f>'1 datos preparados'!K618</f>
        <v/>
      </c>
      <c r="M625" s="7">
        <f>'1 datos preparados'!L618</f>
        <v/>
      </c>
      <c r="N625" s="7">
        <f>'1 datos preparados'!M618</f>
        <v/>
      </c>
      <c r="O625" s="7">
        <f>'1 datos preparados'!N618</f>
        <v/>
      </c>
      <c r="P625" s="7">
        <f>'1 datos preparados'!O618</f>
        <v/>
      </c>
      <c r="Q625" s="7">
        <f>'1 datos preparados'!P618</f>
        <v/>
      </c>
      <c r="R625" s="7">
        <f>'1 datos preparados'!Q618</f>
        <v/>
      </c>
      <c r="S625" s="7">
        <f>'1 datos preparados'!R618</f>
        <v/>
      </c>
      <c r="T625" s="7">
        <f>'1 datos preparados'!S618</f>
        <v/>
      </c>
      <c r="U625" s="7">
        <f>'1 datos preparados'!T618</f>
        <v/>
      </c>
      <c r="V625" s="8">
        <f>$AC$12+D625*$AC$13+E625*$AC$14+F625*$AC$15+G625*$AC$16+H625*$AC$17+I625*$AC$18+J625*$AC$19+K625*$AC$20+L625*$AC$21+M625*$AC$22+N625*$AC$23+O625*$AC$24+P625*$AC$25+Q625*$AC$26+R625*$AC$27+S625*$AC$28+T625*$AC$29+U625*$AC$30</f>
        <v/>
      </c>
      <c r="W625" s="8">
        <f>1/(1+EXP(-V625))</f>
        <v/>
      </c>
      <c r="X625" s="9">
        <f>-IF(C625=1,LN(W625),LN(1-W625))</f>
        <v/>
      </c>
      <c r="Y625" s="10">
        <f>IF(W625&gt;$AC$33,1,0)</f>
        <v/>
      </c>
      <c r="Z625">
        <f>IF(Y625=C625,1,0)</f>
        <v/>
      </c>
    </row>
    <row r="626">
      <c r="A626">
        <f>'1 datos preparados'!A619</f>
        <v/>
      </c>
      <c r="B626" s="5">
        <f>'1 datos preparados'!U619</f>
        <v/>
      </c>
      <c r="C626">
        <f>'1 datos preparados'!B619</f>
        <v/>
      </c>
      <c r="D626" s="7">
        <f>'1 datos preparados'!C619</f>
        <v/>
      </c>
      <c r="E626" s="7">
        <f>'1 datos preparados'!D619</f>
        <v/>
      </c>
      <c r="F626" s="7">
        <f>'1 datos preparados'!E619</f>
        <v/>
      </c>
      <c r="G626" s="7">
        <f>'1 datos preparados'!F619</f>
        <v/>
      </c>
      <c r="H626" s="7">
        <f>'1 datos preparados'!G619</f>
        <v/>
      </c>
      <c r="I626" s="7">
        <f>'1 datos preparados'!H619</f>
        <v/>
      </c>
      <c r="J626" s="7">
        <f>'1 datos preparados'!I619</f>
        <v/>
      </c>
      <c r="K626" s="7">
        <f>'1 datos preparados'!J619</f>
        <v/>
      </c>
      <c r="L626" s="7">
        <f>'1 datos preparados'!K619</f>
        <v/>
      </c>
      <c r="M626" s="7">
        <f>'1 datos preparados'!L619</f>
        <v/>
      </c>
      <c r="N626" s="7">
        <f>'1 datos preparados'!M619</f>
        <v/>
      </c>
      <c r="O626" s="7">
        <f>'1 datos preparados'!N619</f>
        <v/>
      </c>
      <c r="P626" s="7">
        <f>'1 datos preparados'!O619</f>
        <v/>
      </c>
      <c r="Q626" s="7">
        <f>'1 datos preparados'!P619</f>
        <v/>
      </c>
      <c r="R626" s="7">
        <f>'1 datos preparados'!Q619</f>
        <v/>
      </c>
      <c r="S626" s="7">
        <f>'1 datos preparados'!R619</f>
        <v/>
      </c>
      <c r="T626" s="7">
        <f>'1 datos preparados'!S619</f>
        <v/>
      </c>
      <c r="U626" s="7">
        <f>'1 datos preparados'!T619</f>
        <v/>
      </c>
      <c r="V626" s="8">
        <f>$AC$12+D626*$AC$13+E626*$AC$14+F626*$AC$15+G626*$AC$16+H626*$AC$17+I626*$AC$18+J626*$AC$19+K626*$AC$20+L626*$AC$21+M626*$AC$22+N626*$AC$23+O626*$AC$24+P626*$AC$25+Q626*$AC$26+R626*$AC$27+S626*$AC$28+T626*$AC$29+U626*$AC$30</f>
        <v/>
      </c>
      <c r="W626" s="8">
        <f>1/(1+EXP(-V626))</f>
        <v/>
      </c>
      <c r="X626" s="9">
        <f>-IF(C626=1,LN(W626),LN(1-W626))</f>
        <v/>
      </c>
      <c r="Y626" s="10">
        <f>IF(W626&gt;$AC$33,1,0)</f>
        <v/>
      </c>
      <c r="Z626">
        <f>IF(Y626=C626,1,0)</f>
        <v/>
      </c>
    </row>
    <row r="627">
      <c r="A627">
        <f>'1 datos preparados'!A620</f>
        <v/>
      </c>
      <c r="B627" s="5">
        <f>'1 datos preparados'!U620</f>
        <v/>
      </c>
      <c r="C627">
        <f>'1 datos preparados'!B620</f>
        <v/>
      </c>
      <c r="D627" s="7">
        <f>'1 datos preparados'!C620</f>
        <v/>
      </c>
      <c r="E627" s="7">
        <f>'1 datos preparados'!D620</f>
        <v/>
      </c>
      <c r="F627" s="7">
        <f>'1 datos preparados'!E620</f>
        <v/>
      </c>
      <c r="G627" s="7">
        <f>'1 datos preparados'!F620</f>
        <v/>
      </c>
      <c r="H627" s="7">
        <f>'1 datos preparados'!G620</f>
        <v/>
      </c>
      <c r="I627" s="7">
        <f>'1 datos preparados'!H620</f>
        <v/>
      </c>
      <c r="J627" s="7">
        <f>'1 datos preparados'!I620</f>
        <v/>
      </c>
      <c r="K627" s="7">
        <f>'1 datos preparados'!J620</f>
        <v/>
      </c>
      <c r="L627" s="7">
        <f>'1 datos preparados'!K620</f>
        <v/>
      </c>
      <c r="M627" s="7">
        <f>'1 datos preparados'!L620</f>
        <v/>
      </c>
      <c r="N627" s="7">
        <f>'1 datos preparados'!M620</f>
        <v/>
      </c>
      <c r="O627" s="7">
        <f>'1 datos preparados'!N620</f>
        <v/>
      </c>
      <c r="P627" s="7">
        <f>'1 datos preparados'!O620</f>
        <v/>
      </c>
      <c r="Q627" s="7">
        <f>'1 datos preparados'!P620</f>
        <v/>
      </c>
      <c r="R627" s="7">
        <f>'1 datos preparados'!Q620</f>
        <v/>
      </c>
      <c r="S627" s="7">
        <f>'1 datos preparados'!R620</f>
        <v/>
      </c>
      <c r="T627" s="7">
        <f>'1 datos preparados'!S620</f>
        <v/>
      </c>
      <c r="U627" s="7">
        <f>'1 datos preparados'!T620</f>
        <v/>
      </c>
      <c r="V627" s="8">
        <f>$AC$12+D627*$AC$13+E627*$AC$14+F627*$AC$15+G627*$AC$16+H627*$AC$17+I627*$AC$18+J627*$AC$19+K627*$AC$20+L627*$AC$21+M627*$AC$22+N627*$AC$23+O627*$AC$24+P627*$AC$25+Q627*$AC$26+R627*$AC$27+S627*$AC$28+T627*$AC$29+U627*$AC$30</f>
        <v/>
      </c>
      <c r="W627" s="8">
        <f>1/(1+EXP(-V627))</f>
        <v/>
      </c>
      <c r="X627" s="9">
        <f>-IF(C627=1,LN(W627),LN(1-W627))</f>
        <v/>
      </c>
      <c r="Y627" s="10">
        <f>IF(W627&gt;$AC$33,1,0)</f>
        <v/>
      </c>
      <c r="Z627">
        <f>IF(Y627=C627,1,0)</f>
        <v/>
      </c>
    </row>
    <row r="628">
      <c r="A628">
        <f>'1 datos preparados'!A621</f>
        <v/>
      </c>
      <c r="B628" s="5">
        <f>'1 datos preparados'!U621</f>
        <v/>
      </c>
      <c r="C628">
        <f>'1 datos preparados'!B621</f>
        <v/>
      </c>
      <c r="D628" s="7">
        <f>'1 datos preparados'!C621</f>
        <v/>
      </c>
      <c r="E628" s="7">
        <f>'1 datos preparados'!D621</f>
        <v/>
      </c>
      <c r="F628" s="7">
        <f>'1 datos preparados'!E621</f>
        <v/>
      </c>
      <c r="G628" s="7">
        <f>'1 datos preparados'!F621</f>
        <v/>
      </c>
      <c r="H628" s="7">
        <f>'1 datos preparados'!G621</f>
        <v/>
      </c>
      <c r="I628" s="7">
        <f>'1 datos preparados'!H621</f>
        <v/>
      </c>
      <c r="J628" s="7">
        <f>'1 datos preparados'!I621</f>
        <v/>
      </c>
      <c r="K628" s="7">
        <f>'1 datos preparados'!J621</f>
        <v/>
      </c>
      <c r="L628" s="7">
        <f>'1 datos preparados'!K621</f>
        <v/>
      </c>
      <c r="M628" s="7">
        <f>'1 datos preparados'!L621</f>
        <v/>
      </c>
      <c r="N628" s="7">
        <f>'1 datos preparados'!M621</f>
        <v/>
      </c>
      <c r="O628" s="7">
        <f>'1 datos preparados'!N621</f>
        <v/>
      </c>
      <c r="P628" s="7">
        <f>'1 datos preparados'!O621</f>
        <v/>
      </c>
      <c r="Q628" s="7">
        <f>'1 datos preparados'!P621</f>
        <v/>
      </c>
      <c r="R628" s="7">
        <f>'1 datos preparados'!Q621</f>
        <v/>
      </c>
      <c r="S628" s="7">
        <f>'1 datos preparados'!R621</f>
        <v/>
      </c>
      <c r="T628" s="7">
        <f>'1 datos preparados'!S621</f>
        <v/>
      </c>
      <c r="U628" s="7">
        <f>'1 datos preparados'!T621</f>
        <v/>
      </c>
      <c r="V628" s="8">
        <f>$AC$12+D628*$AC$13+E628*$AC$14+F628*$AC$15+G628*$AC$16+H628*$AC$17+I628*$AC$18+J628*$AC$19+K628*$AC$20+L628*$AC$21+M628*$AC$22+N628*$AC$23+O628*$AC$24+P628*$AC$25+Q628*$AC$26+R628*$AC$27+S628*$AC$28+T628*$AC$29+U628*$AC$30</f>
        <v/>
      </c>
      <c r="W628" s="8">
        <f>1/(1+EXP(-V628))</f>
        <v/>
      </c>
      <c r="X628" s="9">
        <f>-IF(C628=1,LN(W628),LN(1-W628))</f>
        <v/>
      </c>
      <c r="Y628" s="10">
        <f>IF(W628&gt;$AC$33,1,0)</f>
        <v/>
      </c>
      <c r="Z628">
        <f>IF(Y628=C628,1,0)</f>
        <v/>
      </c>
    </row>
    <row r="629">
      <c r="A629">
        <f>'1 datos preparados'!A622</f>
        <v/>
      </c>
      <c r="B629" s="5">
        <f>'1 datos preparados'!U622</f>
        <v/>
      </c>
      <c r="C629">
        <f>'1 datos preparados'!B622</f>
        <v/>
      </c>
      <c r="D629" s="7">
        <f>'1 datos preparados'!C622</f>
        <v/>
      </c>
      <c r="E629" s="7">
        <f>'1 datos preparados'!D622</f>
        <v/>
      </c>
      <c r="F629" s="7">
        <f>'1 datos preparados'!E622</f>
        <v/>
      </c>
      <c r="G629" s="7">
        <f>'1 datos preparados'!F622</f>
        <v/>
      </c>
      <c r="H629" s="7">
        <f>'1 datos preparados'!G622</f>
        <v/>
      </c>
      <c r="I629" s="7">
        <f>'1 datos preparados'!H622</f>
        <v/>
      </c>
      <c r="J629" s="7">
        <f>'1 datos preparados'!I622</f>
        <v/>
      </c>
      <c r="K629" s="7">
        <f>'1 datos preparados'!J622</f>
        <v/>
      </c>
      <c r="L629" s="7">
        <f>'1 datos preparados'!K622</f>
        <v/>
      </c>
      <c r="M629" s="7">
        <f>'1 datos preparados'!L622</f>
        <v/>
      </c>
      <c r="N629" s="7">
        <f>'1 datos preparados'!M622</f>
        <v/>
      </c>
      <c r="O629" s="7">
        <f>'1 datos preparados'!N622</f>
        <v/>
      </c>
      <c r="P629" s="7">
        <f>'1 datos preparados'!O622</f>
        <v/>
      </c>
      <c r="Q629" s="7">
        <f>'1 datos preparados'!P622</f>
        <v/>
      </c>
      <c r="R629" s="7">
        <f>'1 datos preparados'!Q622</f>
        <v/>
      </c>
      <c r="S629" s="7">
        <f>'1 datos preparados'!R622</f>
        <v/>
      </c>
      <c r="T629" s="7">
        <f>'1 datos preparados'!S622</f>
        <v/>
      </c>
      <c r="U629" s="7">
        <f>'1 datos preparados'!T622</f>
        <v/>
      </c>
      <c r="V629" s="8">
        <f>$AC$12+D629*$AC$13+E629*$AC$14+F629*$AC$15+G629*$AC$16+H629*$AC$17+I629*$AC$18+J629*$AC$19+K629*$AC$20+L629*$AC$21+M629*$AC$22+N629*$AC$23+O629*$AC$24+P629*$AC$25+Q629*$AC$26+R629*$AC$27+S629*$AC$28+T629*$AC$29+U629*$AC$30</f>
        <v/>
      </c>
      <c r="W629" s="8">
        <f>1/(1+EXP(-V629))</f>
        <v/>
      </c>
      <c r="X629" s="9">
        <f>-IF(C629=1,LN(W629),LN(1-W629))</f>
        <v/>
      </c>
      <c r="Y629" s="10">
        <f>IF(W629&gt;$AC$33,1,0)</f>
        <v/>
      </c>
      <c r="Z629">
        <f>IF(Y629=C629,1,0)</f>
        <v/>
      </c>
    </row>
    <row r="630">
      <c r="A630">
        <f>'1 datos preparados'!A623</f>
        <v/>
      </c>
      <c r="B630" s="5">
        <f>'1 datos preparados'!U623</f>
        <v/>
      </c>
      <c r="C630">
        <f>'1 datos preparados'!B623</f>
        <v/>
      </c>
      <c r="D630" s="7">
        <f>'1 datos preparados'!C623</f>
        <v/>
      </c>
      <c r="E630" s="7">
        <f>'1 datos preparados'!D623</f>
        <v/>
      </c>
      <c r="F630" s="7">
        <f>'1 datos preparados'!E623</f>
        <v/>
      </c>
      <c r="G630" s="7">
        <f>'1 datos preparados'!F623</f>
        <v/>
      </c>
      <c r="H630" s="7">
        <f>'1 datos preparados'!G623</f>
        <v/>
      </c>
      <c r="I630" s="7">
        <f>'1 datos preparados'!H623</f>
        <v/>
      </c>
      <c r="J630" s="7">
        <f>'1 datos preparados'!I623</f>
        <v/>
      </c>
      <c r="K630" s="7">
        <f>'1 datos preparados'!J623</f>
        <v/>
      </c>
      <c r="L630" s="7">
        <f>'1 datos preparados'!K623</f>
        <v/>
      </c>
      <c r="M630" s="7">
        <f>'1 datos preparados'!L623</f>
        <v/>
      </c>
      <c r="N630" s="7">
        <f>'1 datos preparados'!M623</f>
        <v/>
      </c>
      <c r="O630" s="7">
        <f>'1 datos preparados'!N623</f>
        <v/>
      </c>
      <c r="P630" s="7">
        <f>'1 datos preparados'!O623</f>
        <v/>
      </c>
      <c r="Q630" s="7">
        <f>'1 datos preparados'!P623</f>
        <v/>
      </c>
      <c r="R630" s="7">
        <f>'1 datos preparados'!Q623</f>
        <v/>
      </c>
      <c r="S630" s="7">
        <f>'1 datos preparados'!R623</f>
        <v/>
      </c>
      <c r="T630" s="7">
        <f>'1 datos preparados'!S623</f>
        <v/>
      </c>
      <c r="U630" s="7">
        <f>'1 datos preparados'!T623</f>
        <v/>
      </c>
      <c r="V630" s="8">
        <f>$AC$12+D630*$AC$13+E630*$AC$14+F630*$AC$15+G630*$AC$16+H630*$AC$17+I630*$AC$18+J630*$AC$19+K630*$AC$20+L630*$AC$21+M630*$AC$22+N630*$AC$23+O630*$AC$24+P630*$AC$25+Q630*$AC$26+R630*$AC$27+S630*$AC$28+T630*$AC$29+U630*$AC$30</f>
        <v/>
      </c>
      <c r="W630" s="8">
        <f>1/(1+EXP(-V630))</f>
        <v/>
      </c>
      <c r="X630" s="9">
        <f>-IF(C630=1,LN(W630),LN(1-W630))</f>
        <v/>
      </c>
      <c r="Y630" s="10">
        <f>IF(W630&gt;$AC$33,1,0)</f>
        <v/>
      </c>
      <c r="Z630">
        <f>IF(Y630=C630,1,0)</f>
        <v/>
      </c>
    </row>
    <row r="631">
      <c r="A631">
        <f>'1 datos preparados'!A624</f>
        <v/>
      </c>
      <c r="B631" s="5">
        <f>'1 datos preparados'!U624</f>
        <v/>
      </c>
      <c r="C631">
        <f>'1 datos preparados'!B624</f>
        <v/>
      </c>
      <c r="D631" s="7">
        <f>'1 datos preparados'!C624</f>
        <v/>
      </c>
      <c r="E631" s="7">
        <f>'1 datos preparados'!D624</f>
        <v/>
      </c>
      <c r="F631" s="7">
        <f>'1 datos preparados'!E624</f>
        <v/>
      </c>
      <c r="G631" s="7">
        <f>'1 datos preparados'!F624</f>
        <v/>
      </c>
      <c r="H631" s="7">
        <f>'1 datos preparados'!G624</f>
        <v/>
      </c>
      <c r="I631" s="7">
        <f>'1 datos preparados'!H624</f>
        <v/>
      </c>
      <c r="J631" s="7">
        <f>'1 datos preparados'!I624</f>
        <v/>
      </c>
      <c r="K631" s="7">
        <f>'1 datos preparados'!J624</f>
        <v/>
      </c>
      <c r="L631" s="7">
        <f>'1 datos preparados'!K624</f>
        <v/>
      </c>
      <c r="M631" s="7">
        <f>'1 datos preparados'!L624</f>
        <v/>
      </c>
      <c r="N631" s="7">
        <f>'1 datos preparados'!M624</f>
        <v/>
      </c>
      <c r="O631" s="7">
        <f>'1 datos preparados'!N624</f>
        <v/>
      </c>
      <c r="P631" s="7">
        <f>'1 datos preparados'!O624</f>
        <v/>
      </c>
      <c r="Q631" s="7">
        <f>'1 datos preparados'!P624</f>
        <v/>
      </c>
      <c r="R631" s="7">
        <f>'1 datos preparados'!Q624</f>
        <v/>
      </c>
      <c r="S631" s="7">
        <f>'1 datos preparados'!R624</f>
        <v/>
      </c>
      <c r="T631" s="7">
        <f>'1 datos preparados'!S624</f>
        <v/>
      </c>
      <c r="U631" s="7">
        <f>'1 datos preparados'!T624</f>
        <v/>
      </c>
      <c r="V631" s="8">
        <f>$AC$12+D631*$AC$13+E631*$AC$14+F631*$AC$15+G631*$AC$16+H631*$AC$17+I631*$AC$18+J631*$AC$19+K631*$AC$20+L631*$AC$21+M631*$AC$22+N631*$AC$23+O631*$AC$24+P631*$AC$25+Q631*$AC$26+R631*$AC$27+S631*$AC$28+T631*$AC$29+U631*$AC$30</f>
        <v/>
      </c>
      <c r="W631" s="8">
        <f>1/(1+EXP(-V631))</f>
        <v/>
      </c>
      <c r="X631" s="9">
        <f>-IF(C631=1,LN(W631),LN(1-W631))</f>
        <v/>
      </c>
      <c r="Y631" s="10">
        <f>IF(W631&gt;$AC$33,1,0)</f>
        <v/>
      </c>
      <c r="Z631">
        <f>IF(Y631=C631,1,0)</f>
        <v/>
      </c>
    </row>
    <row r="632">
      <c r="A632">
        <f>'1 datos preparados'!A625</f>
        <v/>
      </c>
      <c r="B632" s="5">
        <f>'1 datos preparados'!U625</f>
        <v/>
      </c>
      <c r="C632">
        <f>'1 datos preparados'!B625</f>
        <v/>
      </c>
      <c r="D632" s="7">
        <f>'1 datos preparados'!C625</f>
        <v/>
      </c>
      <c r="E632" s="7">
        <f>'1 datos preparados'!D625</f>
        <v/>
      </c>
      <c r="F632" s="7">
        <f>'1 datos preparados'!E625</f>
        <v/>
      </c>
      <c r="G632" s="7">
        <f>'1 datos preparados'!F625</f>
        <v/>
      </c>
      <c r="H632" s="7">
        <f>'1 datos preparados'!G625</f>
        <v/>
      </c>
      <c r="I632" s="7">
        <f>'1 datos preparados'!H625</f>
        <v/>
      </c>
      <c r="J632" s="7">
        <f>'1 datos preparados'!I625</f>
        <v/>
      </c>
      <c r="K632" s="7">
        <f>'1 datos preparados'!J625</f>
        <v/>
      </c>
      <c r="L632" s="7">
        <f>'1 datos preparados'!K625</f>
        <v/>
      </c>
      <c r="M632" s="7">
        <f>'1 datos preparados'!L625</f>
        <v/>
      </c>
      <c r="N632" s="7">
        <f>'1 datos preparados'!M625</f>
        <v/>
      </c>
      <c r="O632" s="7">
        <f>'1 datos preparados'!N625</f>
        <v/>
      </c>
      <c r="P632" s="7">
        <f>'1 datos preparados'!O625</f>
        <v/>
      </c>
      <c r="Q632" s="7">
        <f>'1 datos preparados'!P625</f>
        <v/>
      </c>
      <c r="R632" s="7">
        <f>'1 datos preparados'!Q625</f>
        <v/>
      </c>
      <c r="S632" s="7">
        <f>'1 datos preparados'!R625</f>
        <v/>
      </c>
      <c r="T632" s="7">
        <f>'1 datos preparados'!S625</f>
        <v/>
      </c>
      <c r="U632" s="7">
        <f>'1 datos preparados'!T625</f>
        <v/>
      </c>
      <c r="V632" s="8">
        <f>$AC$12+D632*$AC$13+E632*$AC$14+F632*$AC$15+G632*$AC$16+H632*$AC$17+I632*$AC$18+J632*$AC$19+K632*$AC$20+L632*$AC$21+M632*$AC$22+N632*$AC$23+O632*$AC$24+P632*$AC$25+Q632*$AC$26+R632*$AC$27+S632*$AC$28+T632*$AC$29+U632*$AC$30</f>
        <v/>
      </c>
      <c r="W632" s="8">
        <f>1/(1+EXP(-V632))</f>
        <v/>
      </c>
      <c r="X632" s="9">
        <f>-IF(C632=1,LN(W632),LN(1-W632))</f>
        <v/>
      </c>
      <c r="Y632" s="10">
        <f>IF(W632&gt;$AC$33,1,0)</f>
        <v/>
      </c>
      <c r="Z632">
        <f>IF(Y632=C632,1,0)</f>
        <v/>
      </c>
    </row>
    <row r="633">
      <c r="A633">
        <f>'1 datos preparados'!A626</f>
        <v/>
      </c>
      <c r="B633" s="5">
        <f>'1 datos preparados'!U626</f>
        <v/>
      </c>
      <c r="C633">
        <f>'1 datos preparados'!B626</f>
        <v/>
      </c>
      <c r="D633" s="7">
        <f>'1 datos preparados'!C626</f>
        <v/>
      </c>
      <c r="E633" s="7">
        <f>'1 datos preparados'!D626</f>
        <v/>
      </c>
      <c r="F633" s="7">
        <f>'1 datos preparados'!E626</f>
        <v/>
      </c>
      <c r="G633" s="7">
        <f>'1 datos preparados'!F626</f>
        <v/>
      </c>
      <c r="H633" s="7">
        <f>'1 datos preparados'!G626</f>
        <v/>
      </c>
      <c r="I633" s="7">
        <f>'1 datos preparados'!H626</f>
        <v/>
      </c>
      <c r="J633" s="7">
        <f>'1 datos preparados'!I626</f>
        <v/>
      </c>
      <c r="K633" s="7">
        <f>'1 datos preparados'!J626</f>
        <v/>
      </c>
      <c r="L633" s="7">
        <f>'1 datos preparados'!K626</f>
        <v/>
      </c>
      <c r="M633" s="7">
        <f>'1 datos preparados'!L626</f>
        <v/>
      </c>
      <c r="N633" s="7">
        <f>'1 datos preparados'!M626</f>
        <v/>
      </c>
      <c r="O633" s="7">
        <f>'1 datos preparados'!N626</f>
        <v/>
      </c>
      <c r="P633" s="7">
        <f>'1 datos preparados'!O626</f>
        <v/>
      </c>
      <c r="Q633" s="7">
        <f>'1 datos preparados'!P626</f>
        <v/>
      </c>
      <c r="R633" s="7">
        <f>'1 datos preparados'!Q626</f>
        <v/>
      </c>
      <c r="S633" s="7">
        <f>'1 datos preparados'!R626</f>
        <v/>
      </c>
      <c r="T633" s="7">
        <f>'1 datos preparados'!S626</f>
        <v/>
      </c>
      <c r="U633" s="7">
        <f>'1 datos preparados'!T626</f>
        <v/>
      </c>
      <c r="V633" s="8">
        <f>$AC$12+D633*$AC$13+E633*$AC$14+F633*$AC$15+G633*$AC$16+H633*$AC$17+I633*$AC$18+J633*$AC$19+K633*$AC$20+L633*$AC$21+M633*$AC$22+N633*$AC$23+O633*$AC$24+P633*$AC$25+Q633*$AC$26+R633*$AC$27+S633*$AC$28+T633*$AC$29+U633*$AC$30</f>
        <v/>
      </c>
      <c r="W633" s="8">
        <f>1/(1+EXP(-V633))</f>
        <v/>
      </c>
      <c r="X633" s="9">
        <f>-IF(C633=1,LN(W633),LN(1-W633))</f>
        <v/>
      </c>
      <c r="Y633" s="10">
        <f>IF(W633&gt;$AC$33,1,0)</f>
        <v/>
      </c>
      <c r="Z633">
        <f>IF(Y633=C633,1,0)</f>
        <v/>
      </c>
    </row>
    <row r="634">
      <c r="A634">
        <f>'1 datos preparados'!A627</f>
        <v/>
      </c>
      <c r="B634" s="5">
        <f>'1 datos preparados'!U627</f>
        <v/>
      </c>
      <c r="C634">
        <f>'1 datos preparados'!B627</f>
        <v/>
      </c>
      <c r="D634" s="7">
        <f>'1 datos preparados'!C627</f>
        <v/>
      </c>
      <c r="E634" s="7">
        <f>'1 datos preparados'!D627</f>
        <v/>
      </c>
      <c r="F634" s="7">
        <f>'1 datos preparados'!E627</f>
        <v/>
      </c>
      <c r="G634" s="7">
        <f>'1 datos preparados'!F627</f>
        <v/>
      </c>
      <c r="H634" s="7">
        <f>'1 datos preparados'!G627</f>
        <v/>
      </c>
      <c r="I634" s="7">
        <f>'1 datos preparados'!H627</f>
        <v/>
      </c>
      <c r="J634" s="7">
        <f>'1 datos preparados'!I627</f>
        <v/>
      </c>
      <c r="K634" s="7">
        <f>'1 datos preparados'!J627</f>
        <v/>
      </c>
      <c r="L634" s="7">
        <f>'1 datos preparados'!K627</f>
        <v/>
      </c>
      <c r="M634" s="7">
        <f>'1 datos preparados'!L627</f>
        <v/>
      </c>
      <c r="N634" s="7">
        <f>'1 datos preparados'!M627</f>
        <v/>
      </c>
      <c r="O634" s="7">
        <f>'1 datos preparados'!N627</f>
        <v/>
      </c>
      <c r="P634" s="7">
        <f>'1 datos preparados'!O627</f>
        <v/>
      </c>
      <c r="Q634" s="7">
        <f>'1 datos preparados'!P627</f>
        <v/>
      </c>
      <c r="R634" s="7">
        <f>'1 datos preparados'!Q627</f>
        <v/>
      </c>
      <c r="S634" s="7">
        <f>'1 datos preparados'!R627</f>
        <v/>
      </c>
      <c r="T634" s="7">
        <f>'1 datos preparados'!S627</f>
        <v/>
      </c>
      <c r="U634" s="7">
        <f>'1 datos preparados'!T627</f>
        <v/>
      </c>
      <c r="V634" s="8">
        <f>$AC$12+D634*$AC$13+E634*$AC$14+F634*$AC$15+G634*$AC$16+H634*$AC$17+I634*$AC$18+J634*$AC$19+K634*$AC$20+L634*$AC$21+M634*$AC$22+N634*$AC$23+O634*$AC$24+P634*$AC$25+Q634*$AC$26+R634*$AC$27+S634*$AC$28+T634*$AC$29+U634*$AC$30</f>
        <v/>
      </c>
      <c r="W634" s="8">
        <f>1/(1+EXP(-V634))</f>
        <v/>
      </c>
      <c r="X634" s="9">
        <f>-IF(C634=1,LN(W634),LN(1-W634))</f>
        <v/>
      </c>
      <c r="Y634" s="10">
        <f>IF(W634&gt;$AC$33,1,0)</f>
        <v/>
      </c>
      <c r="Z634">
        <f>IF(Y634=C634,1,0)</f>
        <v/>
      </c>
    </row>
    <row r="635">
      <c r="A635">
        <f>'1 datos preparados'!A628</f>
        <v/>
      </c>
      <c r="B635" s="5">
        <f>'1 datos preparados'!U628</f>
        <v/>
      </c>
      <c r="C635">
        <f>'1 datos preparados'!B628</f>
        <v/>
      </c>
      <c r="D635" s="7">
        <f>'1 datos preparados'!C628</f>
        <v/>
      </c>
      <c r="E635" s="7">
        <f>'1 datos preparados'!D628</f>
        <v/>
      </c>
      <c r="F635" s="7">
        <f>'1 datos preparados'!E628</f>
        <v/>
      </c>
      <c r="G635" s="7">
        <f>'1 datos preparados'!F628</f>
        <v/>
      </c>
      <c r="H635" s="7">
        <f>'1 datos preparados'!G628</f>
        <v/>
      </c>
      <c r="I635" s="7">
        <f>'1 datos preparados'!H628</f>
        <v/>
      </c>
      <c r="J635" s="7">
        <f>'1 datos preparados'!I628</f>
        <v/>
      </c>
      <c r="K635" s="7">
        <f>'1 datos preparados'!J628</f>
        <v/>
      </c>
      <c r="L635" s="7">
        <f>'1 datos preparados'!K628</f>
        <v/>
      </c>
      <c r="M635" s="7">
        <f>'1 datos preparados'!L628</f>
        <v/>
      </c>
      <c r="N635" s="7">
        <f>'1 datos preparados'!M628</f>
        <v/>
      </c>
      <c r="O635" s="7">
        <f>'1 datos preparados'!N628</f>
        <v/>
      </c>
      <c r="P635" s="7">
        <f>'1 datos preparados'!O628</f>
        <v/>
      </c>
      <c r="Q635" s="7">
        <f>'1 datos preparados'!P628</f>
        <v/>
      </c>
      <c r="R635" s="7">
        <f>'1 datos preparados'!Q628</f>
        <v/>
      </c>
      <c r="S635" s="7">
        <f>'1 datos preparados'!R628</f>
        <v/>
      </c>
      <c r="T635" s="7">
        <f>'1 datos preparados'!S628</f>
        <v/>
      </c>
      <c r="U635" s="7">
        <f>'1 datos preparados'!T628</f>
        <v/>
      </c>
      <c r="V635" s="8">
        <f>$AC$12+D635*$AC$13+E635*$AC$14+F635*$AC$15+G635*$AC$16+H635*$AC$17+I635*$AC$18+J635*$AC$19+K635*$AC$20+L635*$AC$21+M635*$AC$22+N635*$AC$23+O635*$AC$24+P635*$AC$25+Q635*$AC$26+R635*$AC$27+S635*$AC$28+T635*$AC$29+U635*$AC$30</f>
        <v/>
      </c>
      <c r="W635" s="8">
        <f>1/(1+EXP(-V635))</f>
        <v/>
      </c>
      <c r="X635" s="9">
        <f>-IF(C635=1,LN(W635),LN(1-W635))</f>
        <v/>
      </c>
      <c r="Y635" s="10">
        <f>IF(W635&gt;$AC$33,1,0)</f>
        <v/>
      </c>
      <c r="Z635">
        <f>IF(Y635=C635,1,0)</f>
        <v/>
      </c>
    </row>
    <row r="636">
      <c r="A636">
        <f>'1 datos preparados'!A629</f>
        <v/>
      </c>
      <c r="B636" s="5">
        <f>'1 datos preparados'!U629</f>
        <v/>
      </c>
      <c r="C636">
        <f>'1 datos preparados'!B629</f>
        <v/>
      </c>
      <c r="D636" s="7">
        <f>'1 datos preparados'!C629</f>
        <v/>
      </c>
      <c r="E636" s="7">
        <f>'1 datos preparados'!D629</f>
        <v/>
      </c>
      <c r="F636" s="7">
        <f>'1 datos preparados'!E629</f>
        <v/>
      </c>
      <c r="G636" s="7">
        <f>'1 datos preparados'!F629</f>
        <v/>
      </c>
      <c r="H636" s="7">
        <f>'1 datos preparados'!G629</f>
        <v/>
      </c>
      <c r="I636" s="7">
        <f>'1 datos preparados'!H629</f>
        <v/>
      </c>
      <c r="J636" s="7">
        <f>'1 datos preparados'!I629</f>
        <v/>
      </c>
      <c r="K636" s="7">
        <f>'1 datos preparados'!J629</f>
        <v/>
      </c>
      <c r="L636" s="7">
        <f>'1 datos preparados'!K629</f>
        <v/>
      </c>
      <c r="M636" s="7">
        <f>'1 datos preparados'!L629</f>
        <v/>
      </c>
      <c r="N636" s="7">
        <f>'1 datos preparados'!M629</f>
        <v/>
      </c>
      <c r="O636" s="7">
        <f>'1 datos preparados'!N629</f>
        <v/>
      </c>
      <c r="P636" s="7">
        <f>'1 datos preparados'!O629</f>
        <v/>
      </c>
      <c r="Q636" s="7">
        <f>'1 datos preparados'!P629</f>
        <v/>
      </c>
      <c r="R636" s="7">
        <f>'1 datos preparados'!Q629</f>
        <v/>
      </c>
      <c r="S636" s="7">
        <f>'1 datos preparados'!R629</f>
        <v/>
      </c>
      <c r="T636" s="7">
        <f>'1 datos preparados'!S629</f>
        <v/>
      </c>
      <c r="U636" s="7">
        <f>'1 datos preparados'!T629</f>
        <v/>
      </c>
      <c r="V636" s="8">
        <f>$AC$12+D636*$AC$13+E636*$AC$14+F636*$AC$15+G636*$AC$16+H636*$AC$17+I636*$AC$18+J636*$AC$19+K636*$AC$20+L636*$AC$21+M636*$AC$22+N636*$AC$23+O636*$AC$24+P636*$AC$25+Q636*$AC$26+R636*$AC$27+S636*$AC$28+T636*$AC$29+U636*$AC$30</f>
        <v/>
      </c>
      <c r="W636" s="8">
        <f>1/(1+EXP(-V636))</f>
        <v/>
      </c>
      <c r="X636" s="9">
        <f>-IF(C636=1,LN(W636),LN(1-W636))</f>
        <v/>
      </c>
      <c r="Y636" s="10">
        <f>IF(W636&gt;$AC$33,1,0)</f>
        <v/>
      </c>
      <c r="Z636">
        <f>IF(Y636=C636,1,0)</f>
        <v/>
      </c>
    </row>
    <row r="637">
      <c r="A637">
        <f>'1 datos preparados'!A630</f>
        <v/>
      </c>
      <c r="B637" s="5">
        <f>'1 datos preparados'!U630</f>
        <v/>
      </c>
      <c r="C637">
        <f>'1 datos preparados'!B630</f>
        <v/>
      </c>
      <c r="D637" s="7">
        <f>'1 datos preparados'!C630</f>
        <v/>
      </c>
      <c r="E637" s="7">
        <f>'1 datos preparados'!D630</f>
        <v/>
      </c>
      <c r="F637" s="7">
        <f>'1 datos preparados'!E630</f>
        <v/>
      </c>
      <c r="G637" s="7">
        <f>'1 datos preparados'!F630</f>
        <v/>
      </c>
      <c r="H637" s="7">
        <f>'1 datos preparados'!G630</f>
        <v/>
      </c>
      <c r="I637" s="7">
        <f>'1 datos preparados'!H630</f>
        <v/>
      </c>
      <c r="J637" s="7">
        <f>'1 datos preparados'!I630</f>
        <v/>
      </c>
      <c r="K637" s="7">
        <f>'1 datos preparados'!J630</f>
        <v/>
      </c>
      <c r="L637" s="7">
        <f>'1 datos preparados'!K630</f>
        <v/>
      </c>
      <c r="M637" s="7">
        <f>'1 datos preparados'!L630</f>
        <v/>
      </c>
      <c r="N637" s="7">
        <f>'1 datos preparados'!M630</f>
        <v/>
      </c>
      <c r="O637" s="7">
        <f>'1 datos preparados'!N630</f>
        <v/>
      </c>
      <c r="P637" s="7">
        <f>'1 datos preparados'!O630</f>
        <v/>
      </c>
      <c r="Q637" s="7">
        <f>'1 datos preparados'!P630</f>
        <v/>
      </c>
      <c r="R637" s="7">
        <f>'1 datos preparados'!Q630</f>
        <v/>
      </c>
      <c r="S637" s="7">
        <f>'1 datos preparados'!R630</f>
        <v/>
      </c>
      <c r="T637" s="7">
        <f>'1 datos preparados'!S630</f>
        <v/>
      </c>
      <c r="U637" s="7">
        <f>'1 datos preparados'!T630</f>
        <v/>
      </c>
      <c r="V637" s="8">
        <f>$AC$12+D637*$AC$13+E637*$AC$14+F637*$AC$15+G637*$AC$16+H637*$AC$17+I637*$AC$18+J637*$AC$19+K637*$AC$20+L637*$AC$21+M637*$AC$22+N637*$AC$23+O637*$AC$24+P637*$AC$25+Q637*$AC$26+R637*$AC$27+S637*$AC$28+T637*$AC$29+U637*$AC$30</f>
        <v/>
      </c>
      <c r="W637" s="8">
        <f>1/(1+EXP(-V637))</f>
        <v/>
      </c>
      <c r="X637" s="9">
        <f>-IF(C637=1,LN(W637),LN(1-W637))</f>
        <v/>
      </c>
      <c r="Y637" s="10">
        <f>IF(W637&gt;$AC$33,1,0)</f>
        <v/>
      </c>
      <c r="Z637">
        <f>IF(Y637=C637,1,0)</f>
        <v/>
      </c>
    </row>
    <row r="638">
      <c r="A638">
        <f>'1 datos preparados'!A631</f>
        <v/>
      </c>
      <c r="B638" s="5">
        <f>'1 datos preparados'!U631</f>
        <v/>
      </c>
      <c r="C638">
        <f>'1 datos preparados'!B631</f>
        <v/>
      </c>
      <c r="D638" s="7">
        <f>'1 datos preparados'!C631</f>
        <v/>
      </c>
      <c r="E638" s="7">
        <f>'1 datos preparados'!D631</f>
        <v/>
      </c>
      <c r="F638" s="7">
        <f>'1 datos preparados'!E631</f>
        <v/>
      </c>
      <c r="G638" s="7">
        <f>'1 datos preparados'!F631</f>
        <v/>
      </c>
      <c r="H638" s="7">
        <f>'1 datos preparados'!G631</f>
        <v/>
      </c>
      <c r="I638" s="7">
        <f>'1 datos preparados'!H631</f>
        <v/>
      </c>
      <c r="J638" s="7">
        <f>'1 datos preparados'!I631</f>
        <v/>
      </c>
      <c r="K638" s="7">
        <f>'1 datos preparados'!J631</f>
        <v/>
      </c>
      <c r="L638" s="7">
        <f>'1 datos preparados'!K631</f>
        <v/>
      </c>
      <c r="M638" s="7">
        <f>'1 datos preparados'!L631</f>
        <v/>
      </c>
      <c r="N638" s="7">
        <f>'1 datos preparados'!M631</f>
        <v/>
      </c>
      <c r="O638" s="7">
        <f>'1 datos preparados'!N631</f>
        <v/>
      </c>
      <c r="P638" s="7">
        <f>'1 datos preparados'!O631</f>
        <v/>
      </c>
      <c r="Q638" s="7">
        <f>'1 datos preparados'!P631</f>
        <v/>
      </c>
      <c r="R638" s="7">
        <f>'1 datos preparados'!Q631</f>
        <v/>
      </c>
      <c r="S638" s="7">
        <f>'1 datos preparados'!R631</f>
        <v/>
      </c>
      <c r="T638" s="7">
        <f>'1 datos preparados'!S631</f>
        <v/>
      </c>
      <c r="U638" s="7">
        <f>'1 datos preparados'!T631</f>
        <v/>
      </c>
      <c r="V638" s="8">
        <f>$AC$12+D638*$AC$13+E638*$AC$14+F638*$AC$15+G638*$AC$16+H638*$AC$17+I638*$AC$18+J638*$AC$19+K638*$AC$20+L638*$AC$21+M638*$AC$22+N638*$AC$23+O638*$AC$24+P638*$AC$25+Q638*$AC$26+R638*$AC$27+S638*$AC$28+T638*$AC$29+U638*$AC$30</f>
        <v/>
      </c>
      <c r="W638" s="8">
        <f>1/(1+EXP(-V638))</f>
        <v/>
      </c>
      <c r="X638" s="9">
        <f>-IF(C638=1,LN(W638),LN(1-W638))</f>
        <v/>
      </c>
      <c r="Y638" s="10">
        <f>IF(W638&gt;$AC$33,1,0)</f>
        <v/>
      </c>
      <c r="Z638">
        <f>IF(Y638=C638,1,0)</f>
        <v/>
      </c>
    </row>
    <row r="639">
      <c r="A639">
        <f>'1 datos preparados'!A632</f>
        <v/>
      </c>
      <c r="B639" s="5">
        <f>'1 datos preparados'!U632</f>
        <v/>
      </c>
      <c r="C639">
        <f>'1 datos preparados'!B632</f>
        <v/>
      </c>
      <c r="D639" s="7">
        <f>'1 datos preparados'!C632</f>
        <v/>
      </c>
      <c r="E639" s="7">
        <f>'1 datos preparados'!D632</f>
        <v/>
      </c>
      <c r="F639" s="7">
        <f>'1 datos preparados'!E632</f>
        <v/>
      </c>
      <c r="G639" s="7">
        <f>'1 datos preparados'!F632</f>
        <v/>
      </c>
      <c r="H639" s="7">
        <f>'1 datos preparados'!G632</f>
        <v/>
      </c>
      <c r="I639" s="7">
        <f>'1 datos preparados'!H632</f>
        <v/>
      </c>
      <c r="J639" s="7">
        <f>'1 datos preparados'!I632</f>
        <v/>
      </c>
      <c r="K639" s="7">
        <f>'1 datos preparados'!J632</f>
        <v/>
      </c>
      <c r="L639" s="7">
        <f>'1 datos preparados'!K632</f>
        <v/>
      </c>
      <c r="M639" s="7">
        <f>'1 datos preparados'!L632</f>
        <v/>
      </c>
      <c r="N639" s="7">
        <f>'1 datos preparados'!M632</f>
        <v/>
      </c>
      <c r="O639" s="7">
        <f>'1 datos preparados'!N632</f>
        <v/>
      </c>
      <c r="P639" s="7">
        <f>'1 datos preparados'!O632</f>
        <v/>
      </c>
      <c r="Q639" s="7">
        <f>'1 datos preparados'!P632</f>
        <v/>
      </c>
      <c r="R639" s="7">
        <f>'1 datos preparados'!Q632</f>
        <v/>
      </c>
      <c r="S639" s="7">
        <f>'1 datos preparados'!R632</f>
        <v/>
      </c>
      <c r="T639" s="7">
        <f>'1 datos preparados'!S632</f>
        <v/>
      </c>
      <c r="U639" s="7">
        <f>'1 datos preparados'!T632</f>
        <v/>
      </c>
      <c r="V639" s="8">
        <f>$AC$12+D639*$AC$13+E639*$AC$14+F639*$AC$15+G639*$AC$16+H639*$AC$17+I639*$AC$18+J639*$AC$19+K639*$AC$20+L639*$AC$21+M639*$AC$22+N639*$AC$23+O639*$AC$24+P639*$AC$25+Q639*$AC$26+R639*$AC$27+S639*$AC$28+T639*$AC$29+U639*$AC$30</f>
        <v/>
      </c>
      <c r="W639" s="8">
        <f>1/(1+EXP(-V639))</f>
        <v/>
      </c>
      <c r="X639" s="9">
        <f>-IF(C639=1,LN(W639),LN(1-W639))</f>
        <v/>
      </c>
      <c r="Y639" s="10">
        <f>IF(W639&gt;$AC$33,1,0)</f>
        <v/>
      </c>
      <c r="Z639">
        <f>IF(Y639=C639,1,0)</f>
        <v/>
      </c>
    </row>
    <row r="640">
      <c r="A640">
        <f>'1 datos preparados'!A633</f>
        <v/>
      </c>
      <c r="B640" s="5">
        <f>'1 datos preparados'!U633</f>
        <v/>
      </c>
      <c r="C640">
        <f>'1 datos preparados'!B633</f>
        <v/>
      </c>
      <c r="D640" s="7">
        <f>'1 datos preparados'!C633</f>
        <v/>
      </c>
      <c r="E640" s="7">
        <f>'1 datos preparados'!D633</f>
        <v/>
      </c>
      <c r="F640" s="7">
        <f>'1 datos preparados'!E633</f>
        <v/>
      </c>
      <c r="G640" s="7">
        <f>'1 datos preparados'!F633</f>
        <v/>
      </c>
      <c r="H640" s="7">
        <f>'1 datos preparados'!G633</f>
        <v/>
      </c>
      <c r="I640" s="7">
        <f>'1 datos preparados'!H633</f>
        <v/>
      </c>
      <c r="J640" s="7">
        <f>'1 datos preparados'!I633</f>
        <v/>
      </c>
      <c r="K640" s="7">
        <f>'1 datos preparados'!J633</f>
        <v/>
      </c>
      <c r="L640" s="7">
        <f>'1 datos preparados'!K633</f>
        <v/>
      </c>
      <c r="M640" s="7">
        <f>'1 datos preparados'!L633</f>
        <v/>
      </c>
      <c r="N640" s="7">
        <f>'1 datos preparados'!M633</f>
        <v/>
      </c>
      <c r="O640" s="7">
        <f>'1 datos preparados'!N633</f>
        <v/>
      </c>
      <c r="P640" s="7">
        <f>'1 datos preparados'!O633</f>
        <v/>
      </c>
      <c r="Q640" s="7">
        <f>'1 datos preparados'!P633</f>
        <v/>
      </c>
      <c r="R640" s="7">
        <f>'1 datos preparados'!Q633</f>
        <v/>
      </c>
      <c r="S640" s="7">
        <f>'1 datos preparados'!R633</f>
        <v/>
      </c>
      <c r="T640" s="7">
        <f>'1 datos preparados'!S633</f>
        <v/>
      </c>
      <c r="U640" s="7">
        <f>'1 datos preparados'!T633</f>
        <v/>
      </c>
      <c r="V640" s="8">
        <f>$AC$12+D640*$AC$13+E640*$AC$14+F640*$AC$15+G640*$AC$16+H640*$AC$17+I640*$AC$18+J640*$AC$19+K640*$AC$20+L640*$AC$21+M640*$AC$22+N640*$AC$23+O640*$AC$24+P640*$AC$25+Q640*$AC$26+R640*$AC$27+S640*$AC$28+T640*$AC$29+U640*$AC$30</f>
        <v/>
      </c>
      <c r="W640" s="8">
        <f>1/(1+EXP(-V640))</f>
        <v/>
      </c>
      <c r="X640" s="9">
        <f>-IF(C640=1,LN(W640),LN(1-W640))</f>
        <v/>
      </c>
      <c r="Y640" s="10">
        <f>IF(W640&gt;$AC$33,1,0)</f>
        <v/>
      </c>
      <c r="Z640">
        <f>IF(Y640=C640,1,0)</f>
        <v/>
      </c>
    </row>
    <row r="641">
      <c r="A641">
        <f>'1 datos preparados'!A634</f>
        <v/>
      </c>
      <c r="B641" s="5">
        <f>'1 datos preparados'!U634</f>
        <v/>
      </c>
      <c r="C641">
        <f>'1 datos preparados'!B634</f>
        <v/>
      </c>
      <c r="D641" s="7">
        <f>'1 datos preparados'!C634</f>
        <v/>
      </c>
      <c r="E641" s="7">
        <f>'1 datos preparados'!D634</f>
        <v/>
      </c>
      <c r="F641" s="7">
        <f>'1 datos preparados'!E634</f>
        <v/>
      </c>
      <c r="G641" s="7">
        <f>'1 datos preparados'!F634</f>
        <v/>
      </c>
      <c r="H641" s="7">
        <f>'1 datos preparados'!G634</f>
        <v/>
      </c>
      <c r="I641" s="7">
        <f>'1 datos preparados'!H634</f>
        <v/>
      </c>
      <c r="J641" s="7">
        <f>'1 datos preparados'!I634</f>
        <v/>
      </c>
      <c r="K641" s="7">
        <f>'1 datos preparados'!J634</f>
        <v/>
      </c>
      <c r="L641" s="7">
        <f>'1 datos preparados'!K634</f>
        <v/>
      </c>
      <c r="M641" s="7">
        <f>'1 datos preparados'!L634</f>
        <v/>
      </c>
      <c r="N641" s="7">
        <f>'1 datos preparados'!M634</f>
        <v/>
      </c>
      <c r="O641" s="7">
        <f>'1 datos preparados'!N634</f>
        <v/>
      </c>
      <c r="P641" s="7">
        <f>'1 datos preparados'!O634</f>
        <v/>
      </c>
      <c r="Q641" s="7">
        <f>'1 datos preparados'!P634</f>
        <v/>
      </c>
      <c r="R641" s="7">
        <f>'1 datos preparados'!Q634</f>
        <v/>
      </c>
      <c r="S641" s="7">
        <f>'1 datos preparados'!R634</f>
        <v/>
      </c>
      <c r="T641" s="7">
        <f>'1 datos preparados'!S634</f>
        <v/>
      </c>
      <c r="U641" s="7">
        <f>'1 datos preparados'!T634</f>
        <v/>
      </c>
      <c r="V641" s="8">
        <f>$AC$12+D641*$AC$13+E641*$AC$14+F641*$AC$15+G641*$AC$16+H641*$AC$17+I641*$AC$18+J641*$AC$19+K641*$AC$20+L641*$AC$21+M641*$AC$22+N641*$AC$23+O641*$AC$24+P641*$AC$25+Q641*$AC$26+R641*$AC$27+S641*$AC$28+T641*$AC$29+U641*$AC$30</f>
        <v/>
      </c>
      <c r="W641" s="8">
        <f>1/(1+EXP(-V641))</f>
        <v/>
      </c>
      <c r="X641" s="9">
        <f>-IF(C641=1,LN(W641),LN(1-W641))</f>
        <v/>
      </c>
      <c r="Y641" s="10">
        <f>IF(W641&gt;$AC$33,1,0)</f>
        <v/>
      </c>
      <c r="Z641">
        <f>IF(Y641=C641,1,0)</f>
        <v/>
      </c>
    </row>
    <row r="642">
      <c r="A642">
        <f>'1 datos preparados'!A635</f>
        <v/>
      </c>
      <c r="B642" s="5">
        <f>'1 datos preparados'!U635</f>
        <v/>
      </c>
      <c r="C642">
        <f>'1 datos preparados'!B635</f>
        <v/>
      </c>
      <c r="D642" s="7">
        <f>'1 datos preparados'!C635</f>
        <v/>
      </c>
      <c r="E642" s="7">
        <f>'1 datos preparados'!D635</f>
        <v/>
      </c>
      <c r="F642" s="7">
        <f>'1 datos preparados'!E635</f>
        <v/>
      </c>
      <c r="G642" s="7">
        <f>'1 datos preparados'!F635</f>
        <v/>
      </c>
      <c r="H642" s="7">
        <f>'1 datos preparados'!G635</f>
        <v/>
      </c>
      <c r="I642" s="7">
        <f>'1 datos preparados'!H635</f>
        <v/>
      </c>
      <c r="J642" s="7">
        <f>'1 datos preparados'!I635</f>
        <v/>
      </c>
      <c r="K642" s="7">
        <f>'1 datos preparados'!J635</f>
        <v/>
      </c>
      <c r="L642" s="7">
        <f>'1 datos preparados'!K635</f>
        <v/>
      </c>
      <c r="M642" s="7">
        <f>'1 datos preparados'!L635</f>
        <v/>
      </c>
      <c r="N642" s="7">
        <f>'1 datos preparados'!M635</f>
        <v/>
      </c>
      <c r="O642" s="7">
        <f>'1 datos preparados'!N635</f>
        <v/>
      </c>
      <c r="P642" s="7">
        <f>'1 datos preparados'!O635</f>
        <v/>
      </c>
      <c r="Q642" s="7">
        <f>'1 datos preparados'!P635</f>
        <v/>
      </c>
      <c r="R642" s="7">
        <f>'1 datos preparados'!Q635</f>
        <v/>
      </c>
      <c r="S642" s="7">
        <f>'1 datos preparados'!R635</f>
        <v/>
      </c>
      <c r="T642" s="7">
        <f>'1 datos preparados'!S635</f>
        <v/>
      </c>
      <c r="U642" s="7">
        <f>'1 datos preparados'!T635</f>
        <v/>
      </c>
      <c r="V642" s="8">
        <f>$AC$12+D642*$AC$13+E642*$AC$14+F642*$AC$15+G642*$AC$16+H642*$AC$17+I642*$AC$18+J642*$AC$19+K642*$AC$20+L642*$AC$21+M642*$AC$22+N642*$AC$23+O642*$AC$24+P642*$AC$25+Q642*$AC$26+R642*$AC$27+S642*$AC$28+T642*$AC$29+U642*$AC$30</f>
        <v/>
      </c>
      <c r="W642" s="8">
        <f>1/(1+EXP(-V642))</f>
        <v/>
      </c>
      <c r="X642" s="9">
        <f>-IF(C642=1,LN(W642),LN(1-W642))</f>
        <v/>
      </c>
      <c r="Y642" s="10">
        <f>IF(W642&gt;$AC$33,1,0)</f>
        <v/>
      </c>
      <c r="Z642">
        <f>IF(Y642=C642,1,0)</f>
        <v/>
      </c>
    </row>
    <row r="643">
      <c r="A643">
        <f>'1 datos preparados'!A636</f>
        <v/>
      </c>
      <c r="B643" s="5">
        <f>'1 datos preparados'!U636</f>
        <v/>
      </c>
      <c r="C643">
        <f>'1 datos preparados'!B636</f>
        <v/>
      </c>
      <c r="D643" s="7">
        <f>'1 datos preparados'!C636</f>
        <v/>
      </c>
      <c r="E643" s="7">
        <f>'1 datos preparados'!D636</f>
        <v/>
      </c>
      <c r="F643" s="7">
        <f>'1 datos preparados'!E636</f>
        <v/>
      </c>
      <c r="G643" s="7">
        <f>'1 datos preparados'!F636</f>
        <v/>
      </c>
      <c r="H643" s="7">
        <f>'1 datos preparados'!G636</f>
        <v/>
      </c>
      <c r="I643" s="7">
        <f>'1 datos preparados'!H636</f>
        <v/>
      </c>
      <c r="J643" s="7">
        <f>'1 datos preparados'!I636</f>
        <v/>
      </c>
      <c r="K643" s="7">
        <f>'1 datos preparados'!J636</f>
        <v/>
      </c>
      <c r="L643" s="7">
        <f>'1 datos preparados'!K636</f>
        <v/>
      </c>
      <c r="M643" s="7">
        <f>'1 datos preparados'!L636</f>
        <v/>
      </c>
      <c r="N643" s="7">
        <f>'1 datos preparados'!M636</f>
        <v/>
      </c>
      <c r="O643" s="7">
        <f>'1 datos preparados'!N636</f>
        <v/>
      </c>
      <c r="P643" s="7">
        <f>'1 datos preparados'!O636</f>
        <v/>
      </c>
      <c r="Q643" s="7">
        <f>'1 datos preparados'!P636</f>
        <v/>
      </c>
      <c r="R643" s="7">
        <f>'1 datos preparados'!Q636</f>
        <v/>
      </c>
      <c r="S643" s="7">
        <f>'1 datos preparados'!R636</f>
        <v/>
      </c>
      <c r="T643" s="7">
        <f>'1 datos preparados'!S636</f>
        <v/>
      </c>
      <c r="U643" s="7">
        <f>'1 datos preparados'!T636</f>
        <v/>
      </c>
      <c r="V643" s="8">
        <f>$AC$12+D643*$AC$13+E643*$AC$14+F643*$AC$15+G643*$AC$16+H643*$AC$17+I643*$AC$18+J643*$AC$19+K643*$AC$20+L643*$AC$21+M643*$AC$22+N643*$AC$23+O643*$AC$24+P643*$AC$25+Q643*$AC$26+R643*$AC$27+S643*$AC$28+T643*$AC$29+U643*$AC$30</f>
        <v/>
      </c>
      <c r="W643" s="8">
        <f>1/(1+EXP(-V643))</f>
        <v/>
      </c>
      <c r="X643" s="9">
        <f>-IF(C643=1,LN(W643),LN(1-W643))</f>
        <v/>
      </c>
      <c r="Y643" s="10">
        <f>IF(W643&gt;$AC$33,1,0)</f>
        <v/>
      </c>
      <c r="Z643">
        <f>IF(Y643=C643,1,0)</f>
        <v/>
      </c>
    </row>
    <row r="644">
      <c r="A644">
        <f>'1 datos preparados'!A637</f>
        <v/>
      </c>
      <c r="B644" s="5">
        <f>'1 datos preparados'!U637</f>
        <v/>
      </c>
      <c r="C644">
        <f>'1 datos preparados'!B637</f>
        <v/>
      </c>
      <c r="D644" s="7">
        <f>'1 datos preparados'!C637</f>
        <v/>
      </c>
      <c r="E644" s="7">
        <f>'1 datos preparados'!D637</f>
        <v/>
      </c>
      <c r="F644" s="7">
        <f>'1 datos preparados'!E637</f>
        <v/>
      </c>
      <c r="G644" s="7">
        <f>'1 datos preparados'!F637</f>
        <v/>
      </c>
      <c r="H644" s="7">
        <f>'1 datos preparados'!G637</f>
        <v/>
      </c>
      <c r="I644" s="7">
        <f>'1 datos preparados'!H637</f>
        <v/>
      </c>
      <c r="J644" s="7">
        <f>'1 datos preparados'!I637</f>
        <v/>
      </c>
      <c r="K644" s="7">
        <f>'1 datos preparados'!J637</f>
        <v/>
      </c>
      <c r="L644" s="7">
        <f>'1 datos preparados'!K637</f>
        <v/>
      </c>
      <c r="M644" s="7">
        <f>'1 datos preparados'!L637</f>
        <v/>
      </c>
      <c r="N644" s="7">
        <f>'1 datos preparados'!M637</f>
        <v/>
      </c>
      <c r="O644" s="7">
        <f>'1 datos preparados'!N637</f>
        <v/>
      </c>
      <c r="P644" s="7">
        <f>'1 datos preparados'!O637</f>
        <v/>
      </c>
      <c r="Q644" s="7">
        <f>'1 datos preparados'!P637</f>
        <v/>
      </c>
      <c r="R644" s="7">
        <f>'1 datos preparados'!Q637</f>
        <v/>
      </c>
      <c r="S644" s="7">
        <f>'1 datos preparados'!R637</f>
        <v/>
      </c>
      <c r="T644" s="7">
        <f>'1 datos preparados'!S637</f>
        <v/>
      </c>
      <c r="U644" s="7">
        <f>'1 datos preparados'!T637</f>
        <v/>
      </c>
      <c r="V644" s="8">
        <f>$AC$12+D644*$AC$13+E644*$AC$14+F644*$AC$15+G644*$AC$16+H644*$AC$17+I644*$AC$18+J644*$AC$19+K644*$AC$20+L644*$AC$21+M644*$AC$22+N644*$AC$23+O644*$AC$24+P644*$AC$25+Q644*$AC$26+R644*$AC$27+S644*$AC$28+T644*$AC$29+U644*$AC$30</f>
        <v/>
      </c>
      <c r="W644" s="8">
        <f>1/(1+EXP(-V644))</f>
        <v/>
      </c>
      <c r="X644" s="9">
        <f>-IF(C644=1,LN(W644),LN(1-W644))</f>
        <v/>
      </c>
      <c r="Y644" s="10">
        <f>IF(W644&gt;$AC$33,1,0)</f>
        <v/>
      </c>
      <c r="Z644">
        <f>IF(Y644=C644,1,0)</f>
        <v/>
      </c>
    </row>
    <row r="645">
      <c r="A645">
        <f>'1 datos preparados'!A638</f>
        <v/>
      </c>
      <c r="B645" s="5">
        <f>'1 datos preparados'!U638</f>
        <v/>
      </c>
      <c r="C645">
        <f>'1 datos preparados'!B638</f>
        <v/>
      </c>
      <c r="D645" s="7">
        <f>'1 datos preparados'!C638</f>
        <v/>
      </c>
      <c r="E645" s="7">
        <f>'1 datos preparados'!D638</f>
        <v/>
      </c>
      <c r="F645" s="7">
        <f>'1 datos preparados'!E638</f>
        <v/>
      </c>
      <c r="G645" s="7">
        <f>'1 datos preparados'!F638</f>
        <v/>
      </c>
      <c r="H645" s="7">
        <f>'1 datos preparados'!G638</f>
        <v/>
      </c>
      <c r="I645" s="7">
        <f>'1 datos preparados'!H638</f>
        <v/>
      </c>
      <c r="J645" s="7">
        <f>'1 datos preparados'!I638</f>
        <v/>
      </c>
      <c r="K645" s="7">
        <f>'1 datos preparados'!J638</f>
        <v/>
      </c>
      <c r="L645" s="7">
        <f>'1 datos preparados'!K638</f>
        <v/>
      </c>
      <c r="M645" s="7">
        <f>'1 datos preparados'!L638</f>
        <v/>
      </c>
      <c r="N645" s="7">
        <f>'1 datos preparados'!M638</f>
        <v/>
      </c>
      <c r="O645" s="7">
        <f>'1 datos preparados'!N638</f>
        <v/>
      </c>
      <c r="P645" s="7">
        <f>'1 datos preparados'!O638</f>
        <v/>
      </c>
      <c r="Q645" s="7">
        <f>'1 datos preparados'!P638</f>
        <v/>
      </c>
      <c r="R645" s="7">
        <f>'1 datos preparados'!Q638</f>
        <v/>
      </c>
      <c r="S645" s="7">
        <f>'1 datos preparados'!R638</f>
        <v/>
      </c>
      <c r="T645" s="7">
        <f>'1 datos preparados'!S638</f>
        <v/>
      </c>
      <c r="U645" s="7">
        <f>'1 datos preparados'!T638</f>
        <v/>
      </c>
      <c r="V645" s="8">
        <f>$AC$12+D645*$AC$13+E645*$AC$14+F645*$AC$15+G645*$AC$16+H645*$AC$17+I645*$AC$18+J645*$AC$19+K645*$AC$20+L645*$AC$21+M645*$AC$22+N645*$AC$23+O645*$AC$24+P645*$AC$25+Q645*$AC$26+R645*$AC$27+S645*$AC$28+T645*$AC$29+U645*$AC$30</f>
        <v/>
      </c>
      <c r="W645" s="8">
        <f>1/(1+EXP(-V645))</f>
        <v/>
      </c>
      <c r="X645" s="9">
        <f>-IF(C645=1,LN(W645),LN(1-W645))</f>
        <v/>
      </c>
      <c r="Y645" s="10">
        <f>IF(W645&gt;$AC$33,1,0)</f>
        <v/>
      </c>
      <c r="Z645">
        <f>IF(Y645=C645,1,0)</f>
        <v/>
      </c>
    </row>
    <row r="646">
      <c r="A646">
        <f>'1 datos preparados'!A639</f>
        <v/>
      </c>
      <c r="B646" s="5">
        <f>'1 datos preparados'!U639</f>
        <v/>
      </c>
      <c r="C646">
        <f>'1 datos preparados'!B639</f>
        <v/>
      </c>
      <c r="D646" s="7">
        <f>'1 datos preparados'!C639</f>
        <v/>
      </c>
      <c r="E646" s="7">
        <f>'1 datos preparados'!D639</f>
        <v/>
      </c>
      <c r="F646" s="7">
        <f>'1 datos preparados'!E639</f>
        <v/>
      </c>
      <c r="G646" s="7">
        <f>'1 datos preparados'!F639</f>
        <v/>
      </c>
      <c r="H646" s="7">
        <f>'1 datos preparados'!G639</f>
        <v/>
      </c>
      <c r="I646" s="7">
        <f>'1 datos preparados'!H639</f>
        <v/>
      </c>
      <c r="J646" s="7">
        <f>'1 datos preparados'!I639</f>
        <v/>
      </c>
      <c r="K646" s="7">
        <f>'1 datos preparados'!J639</f>
        <v/>
      </c>
      <c r="L646" s="7">
        <f>'1 datos preparados'!K639</f>
        <v/>
      </c>
      <c r="M646" s="7">
        <f>'1 datos preparados'!L639</f>
        <v/>
      </c>
      <c r="N646" s="7">
        <f>'1 datos preparados'!M639</f>
        <v/>
      </c>
      <c r="O646" s="7">
        <f>'1 datos preparados'!N639</f>
        <v/>
      </c>
      <c r="P646" s="7">
        <f>'1 datos preparados'!O639</f>
        <v/>
      </c>
      <c r="Q646" s="7">
        <f>'1 datos preparados'!P639</f>
        <v/>
      </c>
      <c r="R646" s="7">
        <f>'1 datos preparados'!Q639</f>
        <v/>
      </c>
      <c r="S646" s="7">
        <f>'1 datos preparados'!R639</f>
        <v/>
      </c>
      <c r="T646" s="7">
        <f>'1 datos preparados'!S639</f>
        <v/>
      </c>
      <c r="U646" s="7">
        <f>'1 datos preparados'!T639</f>
        <v/>
      </c>
      <c r="V646" s="8">
        <f>$AC$12+D646*$AC$13+E646*$AC$14+F646*$AC$15+G646*$AC$16+H646*$AC$17+I646*$AC$18+J646*$AC$19+K646*$AC$20+L646*$AC$21+M646*$AC$22+N646*$AC$23+O646*$AC$24+P646*$AC$25+Q646*$AC$26+R646*$AC$27+S646*$AC$28+T646*$AC$29+U646*$AC$30</f>
        <v/>
      </c>
      <c r="W646" s="8">
        <f>1/(1+EXP(-V646))</f>
        <v/>
      </c>
      <c r="X646" s="9">
        <f>-IF(C646=1,LN(W646),LN(1-W646))</f>
        <v/>
      </c>
      <c r="Y646" s="10">
        <f>IF(W646&gt;$AC$33,1,0)</f>
        <v/>
      </c>
      <c r="Z646">
        <f>IF(Y646=C646,1,0)</f>
        <v/>
      </c>
    </row>
    <row r="647">
      <c r="A647">
        <f>'1 datos preparados'!A640</f>
        <v/>
      </c>
      <c r="B647" s="5">
        <f>'1 datos preparados'!U640</f>
        <v/>
      </c>
      <c r="C647">
        <f>'1 datos preparados'!B640</f>
        <v/>
      </c>
      <c r="D647" s="7">
        <f>'1 datos preparados'!C640</f>
        <v/>
      </c>
      <c r="E647" s="7">
        <f>'1 datos preparados'!D640</f>
        <v/>
      </c>
      <c r="F647" s="7">
        <f>'1 datos preparados'!E640</f>
        <v/>
      </c>
      <c r="G647" s="7">
        <f>'1 datos preparados'!F640</f>
        <v/>
      </c>
      <c r="H647" s="7">
        <f>'1 datos preparados'!G640</f>
        <v/>
      </c>
      <c r="I647" s="7">
        <f>'1 datos preparados'!H640</f>
        <v/>
      </c>
      <c r="J647" s="7">
        <f>'1 datos preparados'!I640</f>
        <v/>
      </c>
      <c r="K647" s="7">
        <f>'1 datos preparados'!J640</f>
        <v/>
      </c>
      <c r="L647" s="7">
        <f>'1 datos preparados'!K640</f>
        <v/>
      </c>
      <c r="M647" s="7">
        <f>'1 datos preparados'!L640</f>
        <v/>
      </c>
      <c r="N647" s="7">
        <f>'1 datos preparados'!M640</f>
        <v/>
      </c>
      <c r="O647" s="7">
        <f>'1 datos preparados'!N640</f>
        <v/>
      </c>
      <c r="P647" s="7">
        <f>'1 datos preparados'!O640</f>
        <v/>
      </c>
      <c r="Q647" s="7">
        <f>'1 datos preparados'!P640</f>
        <v/>
      </c>
      <c r="R647" s="7">
        <f>'1 datos preparados'!Q640</f>
        <v/>
      </c>
      <c r="S647" s="7">
        <f>'1 datos preparados'!R640</f>
        <v/>
      </c>
      <c r="T647" s="7">
        <f>'1 datos preparados'!S640</f>
        <v/>
      </c>
      <c r="U647" s="7">
        <f>'1 datos preparados'!T640</f>
        <v/>
      </c>
      <c r="V647" s="8">
        <f>$AC$12+D647*$AC$13+E647*$AC$14+F647*$AC$15+G647*$AC$16+H647*$AC$17+I647*$AC$18+J647*$AC$19+K647*$AC$20+L647*$AC$21+M647*$AC$22+N647*$AC$23+O647*$AC$24+P647*$AC$25+Q647*$AC$26+R647*$AC$27+S647*$AC$28+T647*$AC$29+U647*$AC$30</f>
        <v/>
      </c>
      <c r="W647" s="8">
        <f>1/(1+EXP(-V647))</f>
        <v/>
      </c>
      <c r="X647" s="9">
        <f>-IF(C647=1,LN(W647),LN(1-W647))</f>
        <v/>
      </c>
      <c r="Y647" s="10">
        <f>IF(W647&gt;$AC$33,1,0)</f>
        <v/>
      </c>
      <c r="Z647">
        <f>IF(Y647=C647,1,0)</f>
        <v/>
      </c>
    </row>
    <row r="648">
      <c r="A648">
        <f>'1 datos preparados'!A641</f>
        <v/>
      </c>
      <c r="B648" s="5">
        <f>'1 datos preparados'!U641</f>
        <v/>
      </c>
      <c r="C648">
        <f>'1 datos preparados'!B641</f>
        <v/>
      </c>
      <c r="D648" s="7">
        <f>'1 datos preparados'!C641</f>
        <v/>
      </c>
      <c r="E648" s="7">
        <f>'1 datos preparados'!D641</f>
        <v/>
      </c>
      <c r="F648" s="7">
        <f>'1 datos preparados'!E641</f>
        <v/>
      </c>
      <c r="G648" s="7">
        <f>'1 datos preparados'!F641</f>
        <v/>
      </c>
      <c r="H648" s="7">
        <f>'1 datos preparados'!G641</f>
        <v/>
      </c>
      <c r="I648" s="7">
        <f>'1 datos preparados'!H641</f>
        <v/>
      </c>
      <c r="J648" s="7">
        <f>'1 datos preparados'!I641</f>
        <v/>
      </c>
      <c r="K648" s="7">
        <f>'1 datos preparados'!J641</f>
        <v/>
      </c>
      <c r="L648" s="7">
        <f>'1 datos preparados'!K641</f>
        <v/>
      </c>
      <c r="M648" s="7">
        <f>'1 datos preparados'!L641</f>
        <v/>
      </c>
      <c r="N648" s="7">
        <f>'1 datos preparados'!M641</f>
        <v/>
      </c>
      <c r="O648" s="7">
        <f>'1 datos preparados'!N641</f>
        <v/>
      </c>
      <c r="P648" s="7">
        <f>'1 datos preparados'!O641</f>
        <v/>
      </c>
      <c r="Q648" s="7">
        <f>'1 datos preparados'!P641</f>
        <v/>
      </c>
      <c r="R648" s="7">
        <f>'1 datos preparados'!Q641</f>
        <v/>
      </c>
      <c r="S648" s="7">
        <f>'1 datos preparados'!R641</f>
        <v/>
      </c>
      <c r="T648" s="7">
        <f>'1 datos preparados'!S641</f>
        <v/>
      </c>
      <c r="U648" s="7">
        <f>'1 datos preparados'!T641</f>
        <v/>
      </c>
      <c r="V648" s="8">
        <f>$AC$12+D648*$AC$13+E648*$AC$14+F648*$AC$15+G648*$AC$16+H648*$AC$17+I648*$AC$18+J648*$AC$19+K648*$AC$20+L648*$AC$21+M648*$AC$22+N648*$AC$23+O648*$AC$24+P648*$AC$25+Q648*$AC$26+R648*$AC$27+S648*$AC$28+T648*$AC$29+U648*$AC$30</f>
        <v/>
      </c>
      <c r="W648" s="8">
        <f>1/(1+EXP(-V648))</f>
        <v/>
      </c>
      <c r="X648" s="9">
        <f>-IF(C648=1,LN(W648),LN(1-W648))</f>
        <v/>
      </c>
      <c r="Y648" s="10">
        <f>IF(W648&gt;$AC$33,1,0)</f>
        <v/>
      </c>
      <c r="Z648">
        <f>IF(Y648=C648,1,0)</f>
        <v/>
      </c>
    </row>
    <row r="649">
      <c r="A649">
        <f>'1 datos preparados'!A642</f>
        <v/>
      </c>
      <c r="B649" s="5">
        <f>'1 datos preparados'!U642</f>
        <v/>
      </c>
      <c r="C649">
        <f>'1 datos preparados'!B642</f>
        <v/>
      </c>
      <c r="D649" s="7">
        <f>'1 datos preparados'!C642</f>
        <v/>
      </c>
      <c r="E649" s="7">
        <f>'1 datos preparados'!D642</f>
        <v/>
      </c>
      <c r="F649" s="7">
        <f>'1 datos preparados'!E642</f>
        <v/>
      </c>
      <c r="G649" s="7">
        <f>'1 datos preparados'!F642</f>
        <v/>
      </c>
      <c r="H649" s="7">
        <f>'1 datos preparados'!G642</f>
        <v/>
      </c>
      <c r="I649" s="7">
        <f>'1 datos preparados'!H642</f>
        <v/>
      </c>
      <c r="J649" s="7">
        <f>'1 datos preparados'!I642</f>
        <v/>
      </c>
      <c r="K649" s="7">
        <f>'1 datos preparados'!J642</f>
        <v/>
      </c>
      <c r="L649" s="7">
        <f>'1 datos preparados'!K642</f>
        <v/>
      </c>
      <c r="M649" s="7">
        <f>'1 datos preparados'!L642</f>
        <v/>
      </c>
      <c r="N649" s="7">
        <f>'1 datos preparados'!M642</f>
        <v/>
      </c>
      <c r="O649" s="7">
        <f>'1 datos preparados'!N642</f>
        <v/>
      </c>
      <c r="P649" s="7">
        <f>'1 datos preparados'!O642</f>
        <v/>
      </c>
      <c r="Q649" s="7">
        <f>'1 datos preparados'!P642</f>
        <v/>
      </c>
      <c r="R649" s="7">
        <f>'1 datos preparados'!Q642</f>
        <v/>
      </c>
      <c r="S649" s="7">
        <f>'1 datos preparados'!R642</f>
        <v/>
      </c>
      <c r="T649" s="7">
        <f>'1 datos preparados'!S642</f>
        <v/>
      </c>
      <c r="U649" s="7">
        <f>'1 datos preparados'!T642</f>
        <v/>
      </c>
      <c r="V649" s="8">
        <f>$AC$12+D649*$AC$13+E649*$AC$14+F649*$AC$15+G649*$AC$16+H649*$AC$17+I649*$AC$18+J649*$AC$19+K649*$AC$20+L649*$AC$21+M649*$AC$22+N649*$AC$23+O649*$AC$24+P649*$AC$25+Q649*$AC$26+R649*$AC$27+S649*$AC$28+T649*$AC$29+U649*$AC$30</f>
        <v/>
      </c>
      <c r="W649" s="8">
        <f>1/(1+EXP(-V649))</f>
        <v/>
      </c>
      <c r="X649" s="9">
        <f>-IF(C649=1,LN(W649),LN(1-W649))</f>
        <v/>
      </c>
      <c r="Y649" s="10">
        <f>IF(W649&gt;$AC$33,1,0)</f>
        <v/>
      </c>
      <c r="Z649">
        <f>IF(Y649=C649,1,0)</f>
        <v/>
      </c>
    </row>
    <row r="650">
      <c r="A650">
        <f>'1 datos preparados'!A643</f>
        <v/>
      </c>
      <c r="B650" s="5">
        <f>'1 datos preparados'!U643</f>
        <v/>
      </c>
      <c r="C650">
        <f>'1 datos preparados'!B643</f>
        <v/>
      </c>
      <c r="D650" s="7">
        <f>'1 datos preparados'!C643</f>
        <v/>
      </c>
      <c r="E650" s="7">
        <f>'1 datos preparados'!D643</f>
        <v/>
      </c>
      <c r="F650" s="7">
        <f>'1 datos preparados'!E643</f>
        <v/>
      </c>
      <c r="G650" s="7">
        <f>'1 datos preparados'!F643</f>
        <v/>
      </c>
      <c r="H650" s="7">
        <f>'1 datos preparados'!G643</f>
        <v/>
      </c>
      <c r="I650" s="7">
        <f>'1 datos preparados'!H643</f>
        <v/>
      </c>
      <c r="J650" s="7">
        <f>'1 datos preparados'!I643</f>
        <v/>
      </c>
      <c r="K650" s="7">
        <f>'1 datos preparados'!J643</f>
        <v/>
      </c>
      <c r="L650" s="7">
        <f>'1 datos preparados'!K643</f>
        <v/>
      </c>
      <c r="M650" s="7">
        <f>'1 datos preparados'!L643</f>
        <v/>
      </c>
      <c r="N650" s="7">
        <f>'1 datos preparados'!M643</f>
        <v/>
      </c>
      <c r="O650" s="7">
        <f>'1 datos preparados'!N643</f>
        <v/>
      </c>
      <c r="P650" s="7">
        <f>'1 datos preparados'!O643</f>
        <v/>
      </c>
      <c r="Q650" s="7">
        <f>'1 datos preparados'!P643</f>
        <v/>
      </c>
      <c r="R650" s="7">
        <f>'1 datos preparados'!Q643</f>
        <v/>
      </c>
      <c r="S650" s="7">
        <f>'1 datos preparados'!R643</f>
        <v/>
      </c>
      <c r="T650" s="7">
        <f>'1 datos preparados'!S643</f>
        <v/>
      </c>
      <c r="U650" s="7">
        <f>'1 datos preparados'!T643</f>
        <v/>
      </c>
      <c r="V650" s="8">
        <f>$AC$12+D650*$AC$13+E650*$AC$14+F650*$AC$15+G650*$AC$16+H650*$AC$17+I650*$AC$18+J650*$AC$19+K650*$AC$20+L650*$AC$21+M650*$AC$22+N650*$AC$23+O650*$AC$24+P650*$AC$25+Q650*$AC$26+R650*$AC$27+S650*$AC$28+T650*$AC$29+U650*$AC$30</f>
        <v/>
      </c>
      <c r="W650" s="8">
        <f>1/(1+EXP(-V650))</f>
        <v/>
      </c>
      <c r="X650" s="9">
        <f>-IF(C650=1,LN(W650),LN(1-W650))</f>
        <v/>
      </c>
      <c r="Y650" s="10">
        <f>IF(W650&gt;$AC$33,1,0)</f>
        <v/>
      </c>
      <c r="Z650">
        <f>IF(Y650=C650,1,0)</f>
        <v/>
      </c>
    </row>
    <row r="651">
      <c r="A651">
        <f>'1 datos preparados'!A644</f>
        <v/>
      </c>
      <c r="B651" s="5">
        <f>'1 datos preparados'!U644</f>
        <v/>
      </c>
      <c r="C651">
        <f>'1 datos preparados'!B644</f>
        <v/>
      </c>
      <c r="D651" s="7">
        <f>'1 datos preparados'!C644</f>
        <v/>
      </c>
      <c r="E651" s="7">
        <f>'1 datos preparados'!D644</f>
        <v/>
      </c>
      <c r="F651" s="7">
        <f>'1 datos preparados'!E644</f>
        <v/>
      </c>
      <c r="G651" s="7">
        <f>'1 datos preparados'!F644</f>
        <v/>
      </c>
      <c r="H651" s="7">
        <f>'1 datos preparados'!G644</f>
        <v/>
      </c>
      <c r="I651" s="7">
        <f>'1 datos preparados'!H644</f>
        <v/>
      </c>
      <c r="J651" s="7">
        <f>'1 datos preparados'!I644</f>
        <v/>
      </c>
      <c r="K651" s="7">
        <f>'1 datos preparados'!J644</f>
        <v/>
      </c>
      <c r="L651" s="7">
        <f>'1 datos preparados'!K644</f>
        <v/>
      </c>
      <c r="M651" s="7">
        <f>'1 datos preparados'!L644</f>
        <v/>
      </c>
      <c r="N651" s="7">
        <f>'1 datos preparados'!M644</f>
        <v/>
      </c>
      <c r="O651" s="7">
        <f>'1 datos preparados'!N644</f>
        <v/>
      </c>
      <c r="P651" s="7">
        <f>'1 datos preparados'!O644</f>
        <v/>
      </c>
      <c r="Q651" s="7">
        <f>'1 datos preparados'!P644</f>
        <v/>
      </c>
      <c r="R651" s="7">
        <f>'1 datos preparados'!Q644</f>
        <v/>
      </c>
      <c r="S651" s="7">
        <f>'1 datos preparados'!R644</f>
        <v/>
      </c>
      <c r="T651" s="7">
        <f>'1 datos preparados'!S644</f>
        <v/>
      </c>
      <c r="U651" s="7">
        <f>'1 datos preparados'!T644</f>
        <v/>
      </c>
      <c r="V651" s="8">
        <f>$AC$12+D651*$AC$13+E651*$AC$14+F651*$AC$15+G651*$AC$16+H651*$AC$17+I651*$AC$18+J651*$AC$19+K651*$AC$20+L651*$AC$21+M651*$AC$22+N651*$AC$23+O651*$AC$24+P651*$AC$25+Q651*$AC$26+R651*$AC$27+S651*$AC$28+T651*$AC$29+U651*$AC$30</f>
        <v/>
      </c>
      <c r="W651" s="8">
        <f>1/(1+EXP(-V651))</f>
        <v/>
      </c>
      <c r="X651" s="9">
        <f>-IF(C651=1,LN(W651),LN(1-W651))</f>
        <v/>
      </c>
      <c r="Y651" s="10">
        <f>IF(W651&gt;$AC$33,1,0)</f>
        <v/>
      </c>
      <c r="Z651">
        <f>IF(Y651=C651,1,0)</f>
        <v/>
      </c>
    </row>
    <row r="652">
      <c r="A652">
        <f>'1 datos preparados'!A645</f>
        <v/>
      </c>
      <c r="B652" s="5">
        <f>'1 datos preparados'!U645</f>
        <v/>
      </c>
      <c r="C652">
        <f>'1 datos preparados'!B645</f>
        <v/>
      </c>
      <c r="D652" s="7">
        <f>'1 datos preparados'!C645</f>
        <v/>
      </c>
      <c r="E652" s="7">
        <f>'1 datos preparados'!D645</f>
        <v/>
      </c>
      <c r="F652" s="7">
        <f>'1 datos preparados'!E645</f>
        <v/>
      </c>
      <c r="G652" s="7">
        <f>'1 datos preparados'!F645</f>
        <v/>
      </c>
      <c r="H652" s="7">
        <f>'1 datos preparados'!G645</f>
        <v/>
      </c>
      <c r="I652" s="7">
        <f>'1 datos preparados'!H645</f>
        <v/>
      </c>
      <c r="J652" s="7">
        <f>'1 datos preparados'!I645</f>
        <v/>
      </c>
      <c r="K652" s="7">
        <f>'1 datos preparados'!J645</f>
        <v/>
      </c>
      <c r="L652" s="7">
        <f>'1 datos preparados'!K645</f>
        <v/>
      </c>
      <c r="M652" s="7">
        <f>'1 datos preparados'!L645</f>
        <v/>
      </c>
      <c r="N652" s="7">
        <f>'1 datos preparados'!M645</f>
        <v/>
      </c>
      <c r="O652" s="7">
        <f>'1 datos preparados'!N645</f>
        <v/>
      </c>
      <c r="P652" s="7">
        <f>'1 datos preparados'!O645</f>
        <v/>
      </c>
      <c r="Q652" s="7">
        <f>'1 datos preparados'!P645</f>
        <v/>
      </c>
      <c r="R652" s="7">
        <f>'1 datos preparados'!Q645</f>
        <v/>
      </c>
      <c r="S652" s="7">
        <f>'1 datos preparados'!R645</f>
        <v/>
      </c>
      <c r="T652" s="7">
        <f>'1 datos preparados'!S645</f>
        <v/>
      </c>
      <c r="U652" s="7">
        <f>'1 datos preparados'!T645</f>
        <v/>
      </c>
      <c r="V652" s="8">
        <f>$AC$12+D652*$AC$13+E652*$AC$14+F652*$AC$15+G652*$AC$16+H652*$AC$17+I652*$AC$18+J652*$AC$19+K652*$AC$20+L652*$AC$21+M652*$AC$22+N652*$AC$23+O652*$AC$24+P652*$AC$25+Q652*$AC$26+R652*$AC$27+S652*$AC$28+T652*$AC$29+U652*$AC$30</f>
        <v/>
      </c>
      <c r="W652" s="8">
        <f>1/(1+EXP(-V652))</f>
        <v/>
      </c>
      <c r="X652" s="9">
        <f>-IF(C652=1,LN(W652),LN(1-W652))</f>
        <v/>
      </c>
      <c r="Y652" s="10">
        <f>IF(W652&gt;$AC$33,1,0)</f>
        <v/>
      </c>
      <c r="Z652">
        <f>IF(Y652=C652,1,0)</f>
        <v/>
      </c>
    </row>
    <row r="653">
      <c r="A653">
        <f>'1 datos preparados'!A646</f>
        <v/>
      </c>
      <c r="B653" s="5">
        <f>'1 datos preparados'!U646</f>
        <v/>
      </c>
      <c r="C653">
        <f>'1 datos preparados'!B646</f>
        <v/>
      </c>
      <c r="D653" s="7">
        <f>'1 datos preparados'!C646</f>
        <v/>
      </c>
      <c r="E653" s="7">
        <f>'1 datos preparados'!D646</f>
        <v/>
      </c>
      <c r="F653" s="7">
        <f>'1 datos preparados'!E646</f>
        <v/>
      </c>
      <c r="G653" s="7">
        <f>'1 datos preparados'!F646</f>
        <v/>
      </c>
      <c r="H653" s="7">
        <f>'1 datos preparados'!G646</f>
        <v/>
      </c>
      <c r="I653" s="7">
        <f>'1 datos preparados'!H646</f>
        <v/>
      </c>
      <c r="J653" s="7">
        <f>'1 datos preparados'!I646</f>
        <v/>
      </c>
      <c r="K653" s="7">
        <f>'1 datos preparados'!J646</f>
        <v/>
      </c>
      <c r="L653" s="7">
        <f>'1 datos preparados'!K646</f>
        <v/>
      </c>
      <c r="M653" s="7">
        <f>'1 datos preparados'!L646</f>
        <v/>
      </c>
      <c r="N653" s="7">
        <f>'1 datos preparados'!M646</f>
        <v/>
      </c>
      <c r="O653" s="7">
        <f>'1 datos preparados'!N646</f>
        <v/>
      </c>
      <c r="P653" s="7">
        <f>'1 datos preparados'!O646</f>
        <v/>
      </c>
      <c r="Q653" s="7">
        <f>'1 datos preparados'!P646</f>
        <v/>
      </c>
      <c r="R653" s="7">
        <f>'1 datos preparados'!Q646</f>
        <v/>
      </c>
      <c r="S653" s="7">
        <f>'1 datos preparados'!R646</f>
        <v/>
      </c>
      <c r="T653" s="7">
        <f>'1 datos preparados'!S646</f>
        <v/>
      </c>
      <c r="U653" s="7">
        <f>'1 datos preparados'!T646</f>
        <v/>
      </c>
      <c r="V653" s="8">
        <f>$AC$12+D653*$AC$13+E653*$AC$14+F653*$AC$15+G653*$AC$16+H653*$AC$17+I653*$AC$18+J653*$AC$19+K653*$AC$20+L653*$AC$21+M653*$AC$22+N653*$AC$23+O653*$AC$24+P653*$AC$25+Q653*$AC$26+R653*$AC$27+S653*$AC$28+T653*$AC$29+U653*$AC$30</f>
        <v/>
      </c>
      <c r="W653" s="8">
        <f>1/(1+EXP(-V653))</f>
        <v/>
      </c>
      <c r="X653" s="9">
        <f>-IF(C653=1,LN(W653),LN(1-W653))</f>
        <v/>
      </c>
      <c r="Y653" s="10">
        <f>IF(W653&gt;$AC$33,1,0)</f>
        <v/>
      </c>
      <c r="Z653">
        <f>IF(Y653=C653,1,0)</f>
        <v/>
      </c>
    </row>
    <row r="654">
      <c r="A654">
        <f>'1 datos preparados'!A647</f>
        <v/>
      </c>
      <c r="B654" s="5">
        <f>'1 datos preparados'!U647</f>
        <v/>
      </c>
      <c r="C654">
        <f>'1 datos preparados'!B647</f>
        <v/>
      </c>
      <c r="D654" s="7">
        <f>'1 datos preparados'!C647</f>
        <v/>
      </c>
      <c r="E654" s="7">
        <f>'1 datos preparados'!D647</f>
        <v/>
      </c>
      <c r="F654" s="7">
        <f>'1 datos preparados'!E647</f>
        <v/>
      </c>
      <c r="G654" s="7">
        <f>'1 datos preparados'!F647</f>
        <v/>
      </c>
      <c r="H654" s="7">
        <f>'1 datos preparados'!G647</f>
        <v/>
      </c>
      <c r="I654" s="7">
        <f>'1 datos preparados'!H647</f>
        <v/>
      </c>
      <c r="J654" s="7">
        <f>'1 datos preparados'!I647</f>
        <v/>
      </c>
      <c r="K654" s="7">
        <f>'1 datos preparados'!J647</f>
        <v/>
      </c>
      <c r="L654" s="7">
        <f>'1 datos preparados'!K647</f>
        <v/>
      </c>
      <c r="M654" s="7">
        <f>'1 datos preparados'!L647</f>
        <v/>
      </c>
      <c r="N654" s="7">
        <f>'1 datos preparados'!M647</f>
        <v/>
      </c>
      <c r="O654" s="7">
        <f>'1 datos preparados'!N647</f>
        <v/>
      </c>
      <c r="P654" s="7">
        <f>'1 datos preparados'!O647</f>
        <v/>
      </c>
      <c r="Q654" s="7">
        <f>'1 datos preparados'!P647</f>
        <v/>
      </c>
      <c r="R654" s="7">
        <f>'1 datos preparados'!Q647</f>
        <v/>
      </c>
      <c r="S654" s="7">
        <f>'1 datos preparados'!R647</f>
        <v/>
      </c>
      <c r="T654" s="7">
        <f>'1 datos preparados'!S647</f>
        <v/>
      </c>
      <c r="U654" s="7">
        <f>'1 datos preparados'!T647</f>
        <v/>
      </c>
      <c r="V654" s="8">
        <f>$AC$12+D654*$AC$13+E654*$AC$14+F654*$AC$15+G654*$AC$16+H654*$AC$17+I654*$AC$18+J654*$AC$19+K654*$AC$20+L654*$AC$21+M654*$AC$22+N654*$AC$23+O654*$AC$24+P654*$AC$25+Q654*$AC$26+R654*$AC$27+S654*$AC$28+T654*$AC$29+U654*$AC$30</f>
        <v/>
      </c>
      <c r="W654" s="8">
        <f>1/(1+EXP(-V654))</f>
        <v/>
      </c>
      <c r="X654" s="9">
        <f>-IF(C654=1,LN(W654),LN(1-W654))</f>
        <v/>
      </c>
      <c r="Y654" s="10">
        <f>IF(W654&gt;$AC$33,1,0)</f>
        <v/>
      </c>
      <c r="Z654">
        <f>IF(Y654=C654,1,0)</f>
        <v/>
      </c>
    </row>
    <row r="655">
      <c r="A655">
        <f>'1 datos preparados'!A648</f>
        <v/>
      </c>
      <c r="B655" s="5">
        <f>'1 datos preparados'!U648</f>
        <v/>
      </c>
      <c r="C655">
        <f>'1 datos preparados'!B648</f>
        <v/>
      </c>
      <c r="D655" s="7">
        <f>'1 datos preparados'!C648</f>
        <v/>
      </c>
      <c r="E655" s="7">
        <f>'1 datos preparados'!D648</f>
        <v/>
      </c>
      <c r="F655" s="7">
        <f>'1 datos preparados'!E648</f>
        <v/>
      </c>
      <c r="G655" s="7">
        <f>'1 datos preparados'!F648</f>
        <v/>
      </c>
      <c r="H655" s="7">
        <f>'1 datos preparados'!G648</f>
        <v/>
      </c>
      <c r="I655" s="7">
        <f>'1 datos preparados'!H648</f>
        <v/>
      </c>
      <c r="J655" s="7">
        <f>'1 datos preparados'!I648</f>
        <v/>
      </c>
      <c r="K655" s="7">
        <f>'1 datos preparados'!J648</f>
        <v/>
      </c>
      <c r="L655" s="7">
        <f>'1 datos preparados'!K648</f>
        <v/>
      </c>
      <c r="M655" s="7">
        <f>'1 datos preparados'!L648</f>
        <v/>
      </c>
      <c r="N655" s="7">
        <f>'1 datos preparados'!M648</f>
        <v/>
      </c>
      <c r="O655" s="7">
        <f>'1 datos preparados'!N648</f>
        <v/>
      </c>
      <c r="P655" s="7">
        <f>'1 datos preparados'!O648</f>
        <v/>
      </c>
      <c r="Q655" s="7">
        <f>'1 datos preparados'!P648</f>
        <v/>
      </c>
      <c r="R655" s="7">
        <f>'1 datos preparados'!Q648</f>
        <v/>
      </c>
      <c r="S655" s="7">
        <f>'1 datos preparados'!R648</f>
        <v/>
      </c>
      <c r="T655" s="7">
        <f>'1 datos preparados'!S648</f>
        <v/>
      </c>
      <c r="U655" s="7">
        <f>'1 datos preparados'!T648</f>
        <v/>
      </c>
      <c r="V655" s="8">
        <f>$AC$12+D655*$AC$13+E655*$AC$14+F655*$AC$15+G655*$AC$16+H655*$AC$17+I655*$AC$18+J655*$AC$19+K655*$AC$20+L655*$AC$21+M655*$AC$22+N655*$AC$23+O655*$AC$24+P655*$AC$25+Q655*$AC$26+R655*$AC$27+S655*$AC$28+T655*$AC$29+U655*$AC$30</f>
        <v/>
      </c>
      <c r="W655" s="8">
        <f>1/(1+EXP(-V655))</f>
        <v/>
      </c>
      <c r="X655" s="9">
        <f>-IF(C655=1,LN(W655),LN(1-W655))</f>
        <v/>
      </c>
      <c r="Y655" s="10">
        <f>IF(W655&gt;$AC$33,1,0)</f>
        <v/>
      </c>
      <c r="Z655">
        <f>IF(Y655=C655,1,0)</f>
        <v/>
      </c>
    </row>
    <row r="656">
      <c r="A656">
        <f>'1 datos preparados'!A649</f>
        <v/>
      </c>
      <c r="B656" s="5">
        <f>'1 datos preparados'!U649</f>
        <v/>
      </c>
      <c r="C656">
        <f>'1 datos preparados'!B649</f>
        <v/>
      </c>
      <c r="D656" s="7">
        <f>'1 datos preparados'!C649</f>
        <v/>
      </c>
      <c r="E656" s="7">
        <f>'1 datos preparados'!D649</f>
        <v/>
      </c>
      <c r="F656" s="7">
        <f>'1 datos preparados'!E649</f>
        <v/>
      </c>
      <c r="G656" s="7">
        <f>'1 datos preparados'!F649</f>
        <v/>
      </c>
      <c r="H656" s="7">
        <f>'1 datos preparados'!G649</f>
        <v/>
      </c>
      <c r="I656" s="7">
        <f>'1 datos preparados'!H649</f>
        <v/>
      </c>
      <c r="J656" s="7">
        <f>'1 datos preparados'!I649</f>
        <v/>
      </c>
      <c r="K656" s="7">
        <f>'1 datos preparados'!J649</f>
        <v/>
      </c>
      <c r="L656" s="7">
        <f>'1 datos preparados'!K649</f>
        <v/>
      </c>
      <c r="M656" s="7">
        <f>'1 datos preparados'!L649</f>
        <v/>
      </c>
      <c r="N656" s="7">
        <f>'1 datos preparados'!M649</f>
        <v/>
      </c>
      <c r="O656" s="7">
        <f>'1 datos preparados'!N649</f>
        <v/>
      </c>
      <c r="P656" s="7">
        <f>'1 datos preparados'!O649</f>
        <v/>
      </c>
      <c r="Q656" s="7">
        <f>'1 datos preparados'!P649</f>
        <v/>
      </c>
      <c r="R656" s="7">
        <f>'1 datos preparados'!Q649</f>
        <v/>
      </c>
      <c r="S656" s="7">
        <f>'1 datos preparados'!R649</f>
        <v/>
      </c>
      <c r="T656" s="7">
        <f>'1 datos preparados'!S649</f>
        <v/>
      </c>
      <c r="U656" s="7">
        <f>'1 datos preparados'!T649</f>
        <v/>
      </c>
      <c r="V656" s="8">
        <f>$AC$12+D656*$AC$13+E656*$AC$14+F656*$AC$15+G656*$AC$16+H656*$AC$17+I656*$AC$18+J656*$AC$19+K656*$AC$20+L656*$AC$21+M656*$AC$22+N656*$AC$23+O656*$AC$24+P656*$AC$25+Q656*$AC$26+R656*$AC$27+S656*$AC$28+T656*$AC$29+U656*$AC$30</f>
        <v/>
      </c>
      <c r="W656" s="8">
        <f>1/(1+EXP(-V656))</f>
        <v/>
      </c>
      <c r="X656" s="9">
        <f>-IF(C656=1,LN(W656),LN(1-W656))</f>
        <v/>
      </c>
      <c r="Y656" s="10">
        <f>IF(W656&gt;$AC$33,1,0)</f>
        <v/>
      </c>
      <c r="Z656">
        <f>IF(Y656=C656,1,0)</f>
        <v/>
      </c>
    </row>
    <row r="657">
      <c r="A657">
        <f>'1 datos preparados'!A650</f>
        <v/>
      </c>
      <c r="B657" s="5">
        <f>'1 datos preparados'!U650</f>
        <v/>
      </c>
      <c r="C657">
        <f>'1 datos preparados'!B650</f>
        <v/>
      </c>
      <c r="D657" s="7">
        <f>'1 datos preparados'!C650</f>
        <v/>
      </c>
      <c r="E657" s="7">
        <f>'1 datos preparados'!D650</f>
        <v/>
      </c>
      <c r="F657" s="7">
        <f>'1 datos preparados'!E650</f>
        <v/>
      </c>
      <c r="G657" s="7">
        <f>'1 datos preparados'!F650</f>
        <v/>
      </c>
      <c r="H657" s="7">
        <f>'1 datos preparados'!G650</f>
        <v/>
      </c>
      <c r="I657" s="7">
        <f>'1 datos preparados'!H650</f>
        <v/>
      </c>
      <c r="J657" s="7">
        <f>'1 datos preparados'!I650</f>
        <v/>
      </c>
      <c r="K657" s="7">
        <f>'1 datos preparados'!J650</f>
        <v/>
      </c>
      <c r="L657" s="7">
        <f>'1 datos preparados'!K650</f>
        <v/>
      </c>
      <c r="M657" s="7">
        <f>'1 datos preparados'!L650</f>
        <v/>
      </c>
      <c r="N657" s="7">
        <f>'1 datos preparados'!M650</f>
        <v/>
      </c>
      <c r="O657" s="7">
        <f>'1 datos preparados'!N650</f>
        <v/>
      </c>
      <c r="P657" s="7">
        <f>'1 datos preparados'!O650</f>
        <v/>
      </c>
      <c r="Q657" s="7">
        <f>'1 datos preparados'!P650</f>
        <v/>
      </c>
      <c r="R657" s="7">
        <f>'1 datos preparados'!Q650</f>
        <v/>
      </c>
      <c r="S657" s="7">
        <f>'1 datos preparados'!R650</f>
        <v/>
      </c>
      <c r="T657" s="7">
        <f>'1 datos preparados'!S650</f>
        <v/>
      </c>
      <c r="U657" s="7">
        <f>'1 datos preparados'!T650</f>
        <v/>
      </c>
      <c r="V657" s="8">
        <f>$AC$12+D657*$AC$13+E657*$AC$14+F657*$AC$15+G657*$AC$16+H657*$AC$17+I657*$AC$18+J657*$AC$19+K657*$AC$20+L657*$AC$21+M657*$AC$22+N657*$AC$23+O657*$AC$24+P657*$AC$25+Q657*$AC$26+R657*$AC$27+S657*$AC$28+T657*$AC$29+U657*$AC$30</f>
        <v/>
      </c>
      <c r="W657" s="8">
        <f>1/(1+EXP(-V657))</f>
        <v/>
      </c>
      <c r="X657" s="9">
        <f>-IF(C657=1,LN(W657),LN(1-W657))</f>
        <v/>
      </c>
      <c r="Y657" s="10">
        <f>IF(W657&gt;$AC$33,1,0)</f>
        <v/>
      </c>
      <c r="Z657">
        <f>IF(Y657=C657,1,0)</f>
        <v/>
      </c>
    </row>
    <row r="658">
      <c r="A658">
        <f>'1 datos preparados'!A651</f>
        <v/>
      </c>
      <c r="B658" s="5">
        <f>'1 datos preparados'!U651</f>
        <v/>
      </c>
      <c r="C658">
        <f>'1 datos preparados'!B651</f>
        <v/>
      </c>
      <c r="D658" s="7">
        <f>'1 datos preparados'!C651</f>
        <v/>
      </c>
      <c r="E658" s="7">
        <f>'1 datos preparados'!D651</f>
        <v/>
      </c>
      <c r="F658" s="7">
        <f>'1 datos preparados'!E651</f>
        <v/>
      </c>
      <c r="G658" s="7">
        <f>'1 datos preparados'!F651</f>
        <v/>
      </c>
      <c r="H658" s="7">
        <f>'1 datos preparados'!G651</f>
        <v/>
      </c>
      <c r="I658" s="7">
        <f>'1 datos preparados'!H651</f>
        <v/>
      </c>
      <c r="J658" s="7">
        <f>'1 datos preparados'!I651</f>
        <v/>
      </c>
      <c r="K658" s="7">
        <f>'1 datos preparados'!J651</f>
        <v/>
      </c>
      <c r="L658" s="7">
        <f>'1 datos preparados'!K651</f>
        <v/>
      </c>
      <c r="M658" s="7">
        <f>'1 datos preparados'!L651</f>
        <v/>
      </c>
      <c r="N658" s="7">
        <f>'1 datos preparados'!M651</f>
        <v/>
      </c>
      <c r="O658" s="7">
        <f>'1 datos preparados'!N651</f>
        <v/>
      </c>
      <c r="P658" s="7">
        <f>'1 datos preparados'!O651</f>
        <v/>
      </c>
      <c r="Q658" s="7">
        <f>'1 datos preparados'!P651</f>
        <v/>
      </c>
      <c r="R658" s="7">
        <f>'1 datos preparados'!Q651</f>
        <v/>
      </c>
      <c r="S658" s="7">
        <f>'1 datos preparados'!R651</f>
        <v/>
      </c>
      <c r="T658" s="7">
        <f>'1 datos preparados'!S651</f>
        <v/>
      </c>
      <c r="U658" s="7">
        <f>'1 datos preparados'!T651</f>
        <v/>
      </c>
      <c r="V658" s="8">
        <f>$AC$12+D658*$AC$13+E658*$AC$14+F658*$AC$15+G658*$AC$16+H658*$AC$17+I658*$AC$18+J658*$AC$19+K658*$AC$20+L658*$AC$21+M658*$AC$22+N658*$AC$23+O658*$AC$24+P658*$AC$25+Q658*$AC$26+R658*$AC$27+S658*$AC$28+T658*$AC$29+U658*$AC$30</f>
        <v/>
      </c>
      <c r="W658" s="8">
        <f>1/(1+EXP(-V658))</f>
        <v/>
      </c>
      <c r="X658" s="9">
        <f>-IF(C658=1,LN(W658),LN(1-W658))</f>
        <v/>
      </c>
      <c r="Y658" s="10">
        <f>IF(W658&gt;$AC$33,1,0)</f>
        <v/>
      </c>
      <c r="Z658">
        <f>IF(Y658=C658,1,0)</f>
        <v/>
      </c>
    </row>
    <row r="659">
      <c r="A659">
        <f>'1 datos preparados'!A652</f>
        <v/>
      </c>
      <c r="B659" s="5">
        <f>'1 datos preparados'!U652</f>
        <v/>
      </c>
      <c r="C659">
        <f>'1 datos preparados'!B652</f>
        <v/>
      </c>
      <c r="D659" s="7">
        <f>'1 datos preparados'!C652</f>
        <v/>
      </c>
      <c r="E659" s="7">
        <f>'1 datos preparados'!D652</f>
        <v/>
      </c>
      <c r="F659" s="7">
        <f>'1 datos preparados'!E652</f>
        <v/>
      </c>
      <c r="G659" s="7">
        <f>'1 datos preparados'!F652</f>
        <v/>
      </c>
      <c r="H659" s="7">
        <f>'1 datos preparados'!G652</f>
        <v/>
      </c>
      <c r="I659" s="7">
        <f>'1 datos preparados'!H652</f>
        <v/>
      </c>
      <c r="J659" s="7">
        <f>'1 datos preparados'!I652</f>
        <v/>
      </c>
      <c r="K659" s="7">
        <f>'1 datos preparados'!J652</f>
        <v/>
      </c>
      <c r="L659" s="7">
        <f>'1 datos preparados'!K652</f>
        <v/>
      </c>
      <c r="M659" s="7">
        <f>'1 datos preparados'!L652</f>
        <v/>
      </c>
      <c r="N659" s="7">
        <f>'1 datos preparados'!M652</f>
        <v/>
      </c>
      <c r="O659" s="7">
        <f>'1 datos preparados'!N652</f>
        <v/>
      </c>
      <c r="P659" s="7">
        <f>'1 datos preparados'!O652</f>
        <v/>
      </c>
      <c r="Q659" s="7">
        <f>'1 datos preparados'!P652</f>
        <v/>
      </c>
      <c r="R659" s="7">
        <f>'1 datos preparados'!Q652</f>
        <v/>
      </c>
      <c r="S659" s="7">
        <f>'1 datos preparados'!R652</f>
        <v/>
      </c>
      <c r="T659" s="7">
        <f>'1 datos preparados'!S652</f>
        <v/>
      </c>
      <c r="U659" s="7">
        <f>'1 datos preparados'!T652</f>
        <v/>
      </c>
      <c r="V659" s="8">
        <f>$AC$12+D659*$AC$13+E659*$AC$14+F659*$AC$15+G659*$AC$16+H659*$AC$17+I659*$AC$18+J659*$AC$19+K659*$AC$20+L659*$AC$21+M659*$AC$22+N659*$AC$23+O659*$AC$24+P659*$AC$25+Q659*$AC$26+R659*$AC$27+S659*$AC$28+T659*$AC$29+U659*$AC$30</f>
        <v/>
      </c>
      <c r="W659" s="8">
        <f>1/(1+EXP(-V659))</f>
        <v/>
      </c>
      <c r="X659" s="9">
        <f>-IF(C659=1,LN(W659),LN(1-W659))</f>
        <v/>
      </c>
      <c r="Y659" s="10">
        <f>IF(W659&gt;$AC$33,1,0)</f>
        <v/>
      </c>
      <c r="Z659">
        <f>IF(Y659=C659,1,0)</f>
        <v/>
      </c>
    </row>
    <row r="660">
      <c r="A660">
        <f>'1 datos preparados'!A653</f>
        <v/>
      </c>
      <c r="B660" s="5">
        <f>'1 datos preparados'!U653</f>
        <v/>
      </c>
      <c r="C660">
        <f>'1 datos preparados'!B653</f>
        <v/>
      </c>
      <c r="D660" s="7">
        <f>'1 datos preparados'!C653</f>
        <v/>
      </c>
      <c r="E660" s="7">
        <f>'1 datos preparados'!D653</f>
        <v/>
      </c>
      <c r="F660" s="7">
        <f>'1 datos preparados'!E653</f>
        <v/>
      </c>
      <c r="G660" s="7">
        <f>'1 datos preparados'!F653</f>
        <v/>
      </c>
      <c r="H660" s="7">
        <f>'1 datos preparados'!G653</f>
        <v/>
      </c>
      <c r="I660" s="7">
        <f>'1 datos preparados'!H653</f>
        <v/>
      </c>
      <c r="J660" s="7">
        <f>'1 datos preparados'!I653</f>
        <v/>
      </c>
      <c r="K660" s="7">
        <f>'1 datos preparados'!J653</f>
        <v/>
      </c>
      <c r="L660" s="7">
        <f>'1 datos preparados'!K653</f>
        <v/>
      </c>
      <c r="M660" s="7">
        <f>'1 datos preparados'!L653</f>
        <v/>
      </c>
      <c r="N660" s="7">
        <f>'1 datos preparados'!M653</f>
        <v/>
      </c>
      <c r="O660" s="7">
        <f>'1 datos preparados'!N653</f>
        <v/>
      </c>
      <c r="P660" s="7">
        <f>'1 datos preparados'!O653</f>
        <v/>
      </c>
      <c r="Q660" s="7">
        <f>'1 datos preparados'!P653</f>
        <v/>
      </c>
      <c r="R660" s="7">
        <f>'1 datos preparados'!Q653</f>
        <v/>
      </c>
      <c r="S660" s="7">
        <f>'1 datos preparados'!R653</f>
        <v/>
      </c>
      <c r="T660" s="7">
        <f>'1 datos preparados'!S653</f>
        <v/>
      </c>
      <c r="U660" s="7">
        <f>'1 datos preparados'!T653</f>
        <v/>
      </c>
      <c r="V660" s="8">
        <f>$AC$12+D660*$AC$13+E660*$AC$14+F660*$AC$15+G660*$AC$16+H660*$AC$17+I660*$AC$18+J660*$AC$19+K660*$AC$20+L660*$AC$21+M660*$AC$22+N660*$AC$23+O660*$AC$24+P660*$AC$25+Q660*$AC$26+R660*$AC$27+S660*$AC$28+T660*$AC$29+U660*$AC$30</f>
        <v/>
      </c>
      <c r="W660" s="8">
        <f>1/(1+EXP(-V660))</f>
        <v/>
      </c>
      <c r="X660" s="9">
        <f>-IF(C660=1,LN(W660),LN(1-W660))</f>
        <v/>
      </c>
      <c r="Y660" s="10">
        <f>IF(W660&gt;$AC$33,1,0)</f>
        <v/>
      </c>
      <c r="Z660">
        <f>IF(Y660=C660,1,0)</f>
        <v/>
      </c>
    </row>
    <row r="661">
      <c r="A661">
        <f>'1 datos preparados'!A654</f>
        <v/>
      </c>
      <c r="B661" s="5">
        <f>'1 datos preparados'!U654</f>
        <v/>
      </c>
      <c r="C661">
        <f>'1 datos preparados'!B654</f>
        <v/>
      </c>
      <c r="D661" s="7">
        <f>'1 datos preparados'!C654</f>
        <v/>
      </c>
      <c r="E661" s="7">
        <f>'1 datos preparados'!D654</f>
        <v/>
      </c>
      <c r="F661" s="7">
        <f>'1 datos preparados'!E654</f>
        <v/>
      </c>
      <c r="G661" s="7">
        <f>'1 datos preparados'!F654</f>
        <v/>
      </c>
      <c r="H661" s="7">
        <f>'1 datos preparados'!G654</f>
        <v/>
      </c>
      <c r="I661" s="7">
        <f>'1 datos preparados'!H654</f>
        <v/>
      </c>
      <c r="J661" s="7">
        <f>'1 datos preparados'!I654</f>
        <v/>
      </c>
      <c r="K661" s="7">
        <f>'1 datos preparados'!J654</f>
        <v/>
      </c>
      <c r="L661" s="7">
        <f>'1 datos preparados'!K654</f>
        <v/>
      </c>
      <c r="M661" s="7">
        <f>'1 datos preparados'!L654</f>
        <v/>
      </c>
      <c r="N661" s="7">
        <f>'1 datos preparados'!M654</f>
        <v/>
      </c>
      <c r="O661" s="7">
        <f>'1 datos preparados'!N654</f>
        <v/>
      </c>
      <c r="P661" s="7">
        <f>'1 datos preparados'!O654</f>
        <v/>
      </c>
      <c r="Q661" s="7">
        <f>'1 datos preparados'!P654</f>
        <v/>
      </c>
      <c r="R661" s="7">
        <f>'1 datos preparados'!Q654</f>
        <v/>
      </c>
      <c r="S661" s="7">
        <f>'1 datos preparados'!R654</f>
        <v/>
      </c>
      <c r="T661" s="7">
        <f>'1 datos preparados'!S654</f>
        <v/>
      </c>
      <c r="U661" s="7">
        <f>'1 datos preparados'!T654</f>
        <v/>
      </c>
      <c r="V661" s="8">
        <f>$AC$12+D661*$AC$13+E661*$AC$14+F661*$AC$15+G661*$AC$16+H661*$AC$17+I661*$AC$18+J661*$AC$19+K661*$AC$20+L661*$AC$21+M661*$AC$22+N661*$AC$23+O661*$AC$24+P661*$AC$25+Q661*$AC$26+R661*$AC$27+S661*$AC$28+T661*$AC$29+U661*$AC$30</f>
        <v/>
      </c>
      <c r="W661" s="8">
        <f>1/(1+EXP(-V661))</f>
        <v/>
      </c>
      <c r="X661" s="9">
        <f>-IF(C661=1,LN(W661),LN(1-W661))</f>
        <v/>
      </c>
      <c r="Y661" s="10">
        <f>IF(W661&gt;$AC$33,1,0)</f>
        <v/>
      </c>
      <c r="Z661">
        <f>IF(Y661=C661,1,0)</f>
        <v/>
      </c>
    </row>
    <row r="662">
      <c r="A662">
        <f>'1 datos preparados'!A655</f>
        <v/>
      </c>
      <c r="B662" s="5">
        <f>'1 datos preparados'!U655</f>
        <v/>
      </c>
      <c r="C662">
        <f>'1 datos preparados'!B655</f>
        <v/>
      </c>
      <c r="D662" s="7">
        <f>'1 datos preparados'!C655</f>
        <v/>
      </c>
      <c r="E662" s="7">
        <f>'1 datos preparados'!D655</f>
        <v/>
      </c>
      <c r="F662" s="7">
        <f>'1 datos preparados'!E655</f>
        <v/>
      </c>
      <c r="G662" s="7">
        <f>'1 datos preparados'!F655</f>
        <v/>
      </c>
      <c r="H662" s="7">
        <f>'1 datos preparados'!G655</f>
        <v/>
      </c>
      <c r="I662" s="7">
        <f>'1 datos preparados'!H655</f>
        <v/>
      </c>
      <c r="J662" s="7">
        <f>'1 datos preparados'!I655</f>
        <v/>
      </c>
      <c r="K662" s="7">
        <f>'1 datos preparados'!J655</f>
        <v/>
      </c>
      <c r="L662" s="7">
        <f>'1 datos preparados'!K655</f>
        <v/>
      </c>
      <c r="M662" s="7">
        <f>'1 datos preparados'!L655</f>
        <v/>
      </c>
      <c r="N662" s="7">
        <f>'1 datos preparados'!M655</f>
        <v/>
      </c>
      <c r="O662" s="7">
        <f>'1 datos preparados'!N655</f>
        <v/>
      </c>
      <c r="P662" s="7">
        <f>'1 datos preparados'!O655</f>
        <v/>
      </c>
      <c r="Q662" s="7">
        <f>'1 datos preparados'!P655</f>
        <v/>
      </c>
      <c r="R662" s="7">
        <f>'1 datos preparados'!Q655</f>
        <v/>
      </c>
      <c r="S662" s="7">
        <f>'1 datos preparados'!R655</f>
        <v/>
      </c>
      <c r="T662" s="7">
        <f>'1 datos preparados'!S655</f>
        <v/>
      </c>
      <c r="U662" s="7">
        <f>'1 datos preparados'!T655</f>
        <v/>
      </c>
      <c r="V662" s="8">
        <f>$AC$12+D662*$AC$13+E662*$AC$14+F662*$AC$15+G662*$AC$16+H662*$AC$17+I662*$AC$18+J662*$AC$19+K662*$AC$20+L662*$AC$21+M662*$AC$22+N662*$AC$23+O662*$AC$24+P662*$AC$25+Q662*$AC$26+R662*$AC$27+S662*$AC$28+T662*$AC$29+U662*$AC$30</f>
        <v/>
      </c>
      <c r="W662" s="8">
        <f>1/(1+EXP(-V662))</f>
        <v/>
      </c>
      <c r="X662" s="9">
        <f>-IF(C662=1,LN(W662),LN(1-W662))</f>
        <v/>
      </c>
      <c r="Y662" s="10">
        <f>IF(W662&gt;$AC$33,1,0)</f>
        <v/>
      </c>
      <c r="Z662">
        <f>IF(Y662=C662,1,0)</f>
        <v/>
      </c>
    </row>
    <row r="663">
      <c r="A663">
        <f>'1 datos preparados'!A656</f>
        <v/>
      </c>
      <c r="B663" s="5">
        <f>'1 datos preparados'!U656</f>
        <v/>
      </c>
      <c r="C663">
        <f>'1 datos preparados'!B656</f>
        <v/>
      </c>
      <c r="D663" s="7">
        <f>'1 datos preparados'!C656</f>
        <v/>
      </c>
      <c r="E663" s="7">
        <f>'1 datos preparados'!D656</f>
        <v/>
      </c>
      <c r="F663" s="7">
        <f>'1 datos preparados'!E656</f>
        <v/>
      </c>
      <c r="G663" s="7">
        <f>'1 datos preparados'!F656</f>
        <v/>
      </c>
      <c r="H663" s="7">
        <f>'1 datos preparados'!G656</f>
        <v/>
      </c>
      <c r="I663" s="7">
        <f>'1 datos preparados'!H656</f>
        <v/>
      </c>
      <c r="J663" s="7">
        <f>'1 datos preparados'!I656</f>
        <v/>
      </c>
      <c r="K663" s="7">
        <f>'1 datos preparados'!J656</f>
        <v/>
      </c>
      <c r="L663" s="7">
        <f>'1 datos preparados'!K656</f>
        <v/>
      </c>
      <c r="M663" s="7">
        <f>'1 datos preparados'!L656</f>
        <v/>
      </c>
      <c r="N663" s="7">
        <f>'1 datos preparados'!M656</f>
        <v/>
      </c>
      <c r="O663" s="7">
        <f>'1 datos preparados'!N656</f>
        <v/>
      </c>
      <c r="P663" s="7">
        <f>'1 datos preparados'!O656</f>
        <v/>
      </c>
      <c r="Q663" s="7">
        <f>'1 datos preparados'!P656</f>
        <v/>
      </c>
      <c r="R663" s="7">
        <f>'1 datos preparados'!Q656</f>
        <v/>
      </c>
      <c r="S663" s="7">
        <f>'1 datos preparados'!R656</f>
        <v/>
      </c>
      <c r="T663" s="7">
        <f>'1 datos preparados'!S656</f>
        <v/>
      </c>
      <c r="U663" s="7">
        <f>'1 datos preparados'!T656</f>
        <v/>
      </c>
      <c r="V663" s="8">
        <f>$AC$12+D663*$AC$13+E663*$AC$14+F663*$AC$15+G663*$AC$16+H663*$AC$17+I663*$AC$18+J663*$AC$19+K663*$AC$20+L663*$AC$21+M663*$AC$22+N663*$AC$23+O663*$AC$24+P663*$AC$25+Q663*$AC$26+R663*$AC$27+S663*$AC$28+T663*$AC$29+U663*$AC$30</f>
        <v/>
      </c>
      <c r="W663" s="8">
        <f>1/(1+EXP(-V663))</f>
        <v/>
      </c>
      <c r="X663" s="9">
        <f>-IF(C663=1,LN(W663),LN(1-W663))</f>
        <v/>
      </c>
      <c r="Y663" s="10">
        <f>IF(W663&gt;$AC$33,1,0)</f>
        <v/>
      </c>
      <c r="Z663">
        <f>IF(Y663=C663,1,0)</f>
        <v/>
      </c>
    </row>
    <row r="664">
      <c r="A664">
        <f>'1 datos preparados'!A657</f>
        <v/>
      </c>
      <c r="B664" s="5">
        <f>'1 datos preparados'!U657</f>
        <v/>
      </c>
      <c r="C664">
        <f>'1 datos preparados'!B657</f>
        <v/>
      </c>
      <c r="D664" s="7">
        <f>'1 datos preparados'!C657</f>
        <v/>
      </c>
      <c r="E664" s="7">
        <f>'1 datos preparados'!D657</f>
        <v/>
      </c>
      <c r="F664" s="7">
        <f>'1 datos preparados'!E657</f>
        <v/>
      </c>
      <c r="G664" s="7">
        <f>'1 datos preparados'!F657</f>
        <v/>
      </c>
      <c r="H664" s="7">
        <f>'1 datos preparados'!G657</f>
        <v/>
      </c>
      <c r="I664" s="7">
        <f>'1 datos preparados'!H657</f>
        <v/>
      </c>
      <c r="J664" s="7">
        <f>'1 datos preparados'!I657</f>
        <v/>
      </c>
      <c r="K664" s="7">
        <f>'1 datos preparados'!J657</f>
        <v/>
      </c>
      <c r="L664" s="7">
        <f>'1 datos preparados'!K657</f>
        <v/>
      </c>
      <c r="M664" s="7">
        <f>'1 datos preparados'!L657</f>
        <v/>
      </c>
      <c r="N664" s="7">
        <f>'1 datos preparados'!M657</f>
        <v/>
      </c>
      <c r="O664" s="7">
        <f>'1 datos preparados'!N657</f>
        <v/>
      </c>
      <c r="P664" s="7">
        <f>'1 datos preparados'!O657</f>
        <v/>
      </c>
      <c r="Q664" s="7">
        <f>'1 datos preparados'!P657</f>
        <v/>
      </c>
      <c r="R664" s="7">
        <f>'1 datos preparados'!Q657</f>
        <v/>
      </c>
      <c r="S664" s="7">
        <f>'1 datos preparados'!R657</f>
        <v/>
      </c>
      <c r="T664" s="7">
        <f>'1 datos preparados'!S657</f>
        <v/>
      </c>
      <c r="U664" s="7">
        <f>'1 datos preparados'!T657</f>
        <v/>
      </c>
      <c r="V664" s="8">
        <f>$AC$12+D664*$AC$13+E664*$AC$14+F664*$AC$15+G664*$AC$16+H664*$AC$17+I664*$AC$18+J664*$AC$19+K664*$AC$20+L664*$AC$21+M664*$AC$22+N664*$AC$23+O664*$AC$24+P664*$AC$25+Q664*$AC$26+R664*$AC$27+S664*$AC$28+T664*$AC$29+U664*$AC$30</f>
        <v/>
      </c>
      <c r="W664" s="8">
        <f>1/(1+EXP(-V664))</f>
        <v/>
      </c>
      <c r="X664" s="9">
        <f>-IF(C664=1,LN(W664),LN(1-W664))</f>
        <v/>
      </c>
      <c r="Y664" s="10">
        <f>IF(W664&gt;$AC$33,1,0)</f>
        <v/>
      </c>
      <c r="Z664">
        <f>IF(Y664=C664,1,0)</f>
        <v/>
      </c>
    </row>
    <row r="665">
      <c r="A665">
        <f>'1 datos preparados'!A658</f>
        <v/>
      </c>
      <c r="B665" s="5">
        <f>'1 datos preparados'!U658</f>
        <v/>
      </c>
      <c r="C665">
        <f>'1 datos preparados'!B658</f>
        <v/>
      </c>
      <c r="D665" s="7">
        <f>'1 datos preparados'!C658</f>
        <v/>
      </c>
      <c r="E665" s="7">
        <f>'1 datos preparados'!D658</f>
        <v/>
      </c>
      <c r="F665" s="7">
        <f>'1 datos preparados'!E658</f>
        <v/>
      </c>
      <c r="G665" s="7">
        <f>'1 datos preparados'!F658</f>
        <v/>
      </c>
      <c r="H665" s="7">
        <f>'1 datos preparados'!G658</f>
        <v/>
      </c>
      <c r="I665" s="7">
        <f>'1 datos preparados'!H658</f>
        <v/>
      </c>
      <c r="J665" s="7">
        <f>'1 datos preparados'!I658</f>
        <v/>
      </c>
      <c r="K665" s="7">
        <f>'1 datos preparados'!J658</f>
        <v/>
      </c>
      <c r="L665" s="7">
        <f>'1 datos preparados'!K658</f>
        <v/>
      </c>
      <c r="M665" s="7">
        <f>'1 datos preparados'!L658</f>
        <v/>
      </c>
      <c r="N665" s="7">
        <f>'1 datos preparados'!M658</f>
        <v/>
      </c>
      <c r="O665" s="7">
        <f>'1 datos preparados'!N658</f>
        <v/>
      </c>
      <c r="P665" s="7">
        <f>'1 datos preparados'!O658</f>
        <v/>
      </c>
      <c r="Q665" s="7">
        <f>'1 datos preparados'!P658</f>
        <v/>
      </c>
      <c r="R665" s="7">
        <f>'1 datos preparados'!Q658</f>
        <v/>
      </c>
      <c r="S665" s="7">
        <f>'1 datos preparados'!R658</f>
        <v/>
      </c>
      <c r="T665" s="7">
        <f>'1 datos preparados'!S658</f>
        <v/>
      </c>
      <c r="U665" s="7">
        <f>'1 datos preparados'!T658</f>
        <v/>
      </c>
      <c r="V665" s="8">
        <f>$AC$12+D665*$AC$13+E665*$AC$14+F665*$AC$15+G665*$AC$16+H665*$AC$17+I665*$AC$18+J665*$AC$19+K665*$AC$20+L665*$AC$21+M665*$AC$22+N665*$AC$23+O665*$AC$24+P665*$AC$25+Q665*$AC$26+R665*$AC$27+S665*$AC$28+T665*$AC$29+U665*$AC$30</f>
        <v/>
      </c>
      <c r="W665" s="8">
        <f>1/(1+EXP(-V665))</f>
        <v/>
      </c>
      <c r="X665" s="9">
        <f>-IF(C665=1,LN(W665),LN(1-W665))</f>
        <v/>
      </c>
      <c r="Y665" s="10">
        <f>IF(W665&gt;$AC$33,1,0)</f>
        <v/>
      </c>
      <c r="Z665">
        <f>IF(Y665=C665,1,0)</f>
        <v/>
      </c>
    </row>
    <row r="666">
      <c r="A666">
        <f>'1 datos preparados'!A659</f>
        <v/>
      </c>
      <c r="B666" s="5">
        <f>'1 datos preparados'!U659</f>
        <v/>
      </c>
      <c r="C666">
        <f>'1 datos preparados'!B659</f>
        <v/>
      </c>
      <c r="D666" s="7">
        <f>'1 datos preparados'!C659</f>
        <v/>
      </c>
      <c r="E666" s="7">
        <f>'1 datos preparados'!D659</f>
        <v/>
      </c>
      <c r="F666" s="7">
        <f>'1 datos preparados'!E659</f>
        <v/>
      </c>
      <c r="G666" s="7">
        <f>'1 datos preparados'!F659</f>
        <v/>
      </c>
      <c r="H666" s="7">
        <f>'1 datos preparados'!G659</f>
        <v/>
      </c>
      <c r="I666" s="7">
        <f>'1 datos preparados'!H659</f>
        <v/>
      </c>
      <c r="J666" s="7">
        <f>'1 datos preparados'!I659</f>
        <v/>
      </c>
      <c r="K666" s="7">
        <f>'1 datos preparados'!J659</f>
        <v/>
      </c>
      <c r="L666" s="7">
        <f>'1 datos preparados'!K659</f>
        <v/>
      </c>
      <c r="M666" s="7">
        <f>'1 datos preparados'!L659</f>
        <v/>
      </c>
      <c r="N666" s="7">
        <f>'1 datos preparados'!M659</f>
        <v/>
      </c>
      <c r="O666" s="7">
        <f>'1 datos preparados'!N659</f>
        <v/>
      </c>
      <c r="P666" s="7">
        <f>'1 datos preparados'!O659</f>
        <v/>
      </c>
      <c r="Q666" s="7">
        <f>'1 datos preparados'!P659</f>
        <v/>
      </c>
      <c r="R666" s="7">
        <f>'1 datos preparados'!Q659</f>
        <v/>
      </c>
      <c r="S666" s="7">
        <f>'1 datos preparados'!R659</f>
        <v/>
      </c>
      <c r="T666" s="7">
        <f>'1 datos preparados'!S659</f>
        <v/>
      </c>
      <c r="U666" s="7">
        <f>'1 datos preparados'!T659</f>
        <v/>
      </c>
      <c r="V666" s="8">
        <f>$AC$12+D666*$AC$13+E666*$AC$14+F666*$AC$15+G666*$AC$16+H666*$AC$17+I666*$AC$18+J666*$AC$19+K666*$AC$20+L666*$AC$21+M666*$AC$22+N666*$AC$23+O666*$AC$24+P666*$AC$25+Q666*$AC$26+R666*$AC$27+S666*$AC$28+T666*$AC$29+U666*$AC$30</f>
        <v/>
      </c>
      <c r="W666" s="8">
        <f>1/(1+EXP(-V666))</f>
        <v/>
      </c>
      <c r="X666" s="9">
        <f>-IF(C666=1,LN(W666),LN(1-W666))</f>
        <v/>
      </c>
      <c r="Y666" s="10">
        <f>IF(W666&gt;$AC$33,1,0)</f>
        <v/>
      </c>
      <c r="Z666">
        <f>IF(Y666=C666,1,0)</f>
        <v/>
      </c>
    </row>
    <row r="667">
      <c r="A667">
        <f>'1 datos preparados'!A660</f>
        <v/>
      </c>
      <c r="B667" s="5">
        <f>'1 datos preparados'!U660</f>
        <v/>
      </c>
      <c r="C667">
        <f>'1 datos preparados'!B660</f>
        <v/>
      </c>
      <c r="D667" s="7">
        <f>'1 datos preparados'!C660</f>
        <v/>
      </c>
      <c r="E667" s="7">
        <f>'1 datos preparados'!D660</f>
        <v/>
      </c>
      <c r="F667" s="7">
        <f>'1 datos preparados'!E660</f>
        <v/>
      </c>
      <c r="G667" s="7">
        <f>'1 datos preparados'!F660</f>
        <v/>
      </c>
      <c r="H667" s="7">
        <f>'1 datos preparados'!G660</f>
        <v/>
      </c>
      <c r="I667" s="7">
        <f>'1 datos preparados'!H660</f>
        <v/>
      </c>
      <c r="J667" s="7">
        <f>'1 datos preparados'!I660</f>
        <v/>
      </c>
      <c r="K667" s="7">
        <f>'1 datos preparados'!J660</f>
        <v/>
      </c>
      <c r="L667" s="7">
        <f>'1 datos preparados'!K660</f>
        <v/>
      </c>
      <c r="M667" s="7">
        <f>'1 datos preparados'!L660</f>
        <v/>
      </c>
      <c r="N667" s="7">
        <f>'1 datos preparados'!M660</f>
        <v/>
      </c>
      <c r="O667" s="7">
        <f>'1 datos preparados'!N660</f>
        <v/>
      </c>
      <c r="P667" s="7">
        <f>'1 datos preparados'!O660</f>
        <v/>
      </c>
      <c r="Q667" s="7">
        <f>'1 datos preparados'!P660</f>
        <v/>
      </c>
      <c r="R667" s="7">
        <f>'1 datos preparados'!Q660</f>
        <v/>
      </c>
      <c r="S667" s="7">
        <f>'1 datos preparados'!R660</f>
        <v/>
      </c>
      <c r="T667" s="7">
        <f>'1 datos preparados'!S660</f>
        <v/>
      </c>
      <c r="U667" s="7">
        <f>'1 datos preparados'!T660</f>
        <v/>
      </c>
      <c r="V667" s="8">
        <f>$AC$12+D667*$AC$13+E667*$AC$14+F667*$AC$15+G667*$AC$16+H667*$AC$17+I667*$AC$18+J667*$AC$19+K667*$AC$20+L667*$AC$21+M667*$AC$22+N667*$AC$23+O667*$AC$24+P667*$AC$25+Q667*$AC$26+R667*$AC$27+S667*$AC$28+T667*$AC$29+U667*$AC$30</f>
        <v/>
      </c>
      <c r="W667" s="8">
        <f>1/(1+EXP(-V667))</f>
        <v/>
      </c>
      <c r="X667" s="9">
        <f>-IF(C667=1,LN(W667),LN(1-W667))</f>
        <v/>
      </c>
      <c r="Y667" s="10">
        <f>IF(W667&gt;$AC$33,1,0)</f>
        <v/>
      </c>
      <c r="Z667">
        <f>IF(Y667=C667,1,0)</f>
        <v/>
      </c>
    </row>
    <row r="668">
      <c r="A668">
        <f>'1 datos preparados'!A661</f>
        <v/>
      </c>
      <c r="B668" s="5">
        <f>'1 datos preparados'!U661</f>
        <v/>
      </c>
      <c r="C668">
        <f>'1 datos preparados'!B661</f>
        <v/>
      </c>
      <c r="D668" s="7">
        <f>'1 datos preparados'!C661</f>
        <v/>
      </c>
      <c r="E668" s="7">
        <f>'1 datos preparados'!D661</f>
        <v/>
      </c>
      <c r="F668" s="7">
        <f>'1 datos preparados'!E661</f>
        <v/>
      </c>
      <c r="G668" s="7">
        <f>'1 datos preparados'!F661</f>
        <v/>
      </c>
      <c r="H668" s="7">
        <f>'1 datos preparados'!G661</f>
        <v/>
      </c>
      <c r="I668" s="7">
        <f>'1 datos preparados'!H661</f>
        <v/>
      </c>
      <c r="J668" s="7">
        <f>'1 datos preparados'!I661</f>
        <v/>
      </c>
      <c r="K668" s="7">
        <f>'1 datos preparados'!J661</f>
        <v/>
      </c>
      <c r="L668" s="7">
        <f>'1 datos preparados'!K661</f>
        <v/>
      </c>
      <c r="M668" s="7">
        <f>'1 datos preparados'!L661</f>
        <v/>
      </c>
      <c r="N668" s="7">
        <f>'1 datos preparados'!M661</f>
        <v/>
      </c>
      <c r="O668" s="7">
        <f>'1 datos preparados'!N661</f>
        <v/>
      </c>
      <c r="P668" s="7">
        <f>'1 datos preparados'!O661</f>
        <v/>
      </c>
      <c r="Q668" s="7">
        <f>'1 datos preparados'!P661</f>
        <v/>
      </c>
      <c r="R668" s="7">
        <f>'1 datos preparados'!Q661</f>
        <v/>
      </c>
      <c r="S668" s="7">
        <f>'1 datos preparados'!R661</f>
        <v/>
      </c>
      <c r="T668" s="7">
        <f>'1 datos preparados'!S661</f>
        <v/>
      </c>
      <c r="U668" s="7">
        <f>'1 datos preparados'!T661</f>
        <v/>
      </c>
      <c r="V668" s="8">
        <f>$AC$12+D668*$AC$13+E668*$AC$14+F668*$AC$15+G668*$AC$16+H668*$AC$17+I668*$AC$18+J668*$AC$19+K668*$AC$20+L668*$AC$21+M668*$AC$22+N668*$AC$23+O668*$AC$24+P668*$AC$25+Q668*$AC$26+R668*$AC$27+S668*$AC$28+T668*$AC$29+U668*$AC$30</f>
        <v/>
      </c>
      <c r="W668" s="8">
        <f>1/(1+EXP(-V668))</f>
        <v/>
      </c>
      <c r="X668" s="9">
        <f>-IF(C668=1,LN(W668),LN(1-W668))</f>
        <v/>
      </c>
      <c r="Y668" s="10">
        <f>IF(W668&gt;$AC$33,1,0)</f>
        <v/>
      </c>
      <c r="Z668">
        <f>IF(Y668=C668,1,0)</f>
        <v/>
      </c>
    </row>
    <row r="669">
      <c r="A669">
        <f>'1 datos preparados'!A662</f>
        <v/>
      </c>
      <c r="B669" s="5">
        <f>'1 datos preparados'!U662</f>
        <v/>
      </c>
      <c r="C669">
        <f>'1 datos preparados'!B662</f>
        <v/>
      </c>
      <c r="D669" s="7">
        <f>'1 datos preparados'!C662</f>
        <v/>
      </c>
      <c r="E669" s="7">
        <f>'1 datos preparados'!D662</f>
        <v/>
      </c>
      <c r="F669" s="7">
        <f>'1 datos preparados'!E662</f>
        <v/>
      </c>
      <c r="G669" s="7">
        <f>'1 datos preparados'!F662</f>
        <v/>
      </c>
      <c r="H669" s="7">
        <f>'1 datos preparados'!G662</f>
        <v/>
      </c>
      <c r="I669" s="7">
        <f>'1 datos preparados'!H662</f>
        <v/>
      </c>
      <c r="J669" s="7">
        <f>'1 datos preparados'!I662</f>
        <v/>
      </c>
      <c r="K669" s="7">
        <f>'1 datos preparados'!J662</f>
        <v/>
      </c>
      <c r="L669" s="7">
        <f>'1 datos preparados'!K662</f>
        <v/>
      </c>
      <c r="M669" s="7">
        <f>'1 datos preparados'!L662</f>
        <v/>
      </c>
      <c r="N669" s="7">
        <f>'1 datos preparados'!M662</f>
        <v/>
      </c>
      <c r="O669" s="7">
        <f>'1 datos preparados'!N662</f>
        <v/>
      </c>
      <c r="P669" s="7">
        <f>'1 datos preparados'!O662</f>
        <v/>
      </c>
      <c r="Q669" s="7">
        <f>'1 datos preparados'!P662</f>
        <v/>
      </c>
      <c r="R669" s="7">
        <f>'1 datos preparados'!Q662</f>
        <v/>
      </c>
      <c r="S669" s="7">
        <f>'1 datos preparados'!R662</f>
        <v/>
      </c>
      <c r="T669" s="7">
        <f>'1 datos preparados'!S662</f>
        <v/>
      </c>
      <c r="U669" s="7">
        <f>'1 datos preparados'!T662</f>
        <v/>
      </c>
      <c r="V669" s="8">
        <f>$AC$12+D669*$AC$13+E669*$AC$14+F669*$AC$15+G669*$AC$16+H669*$AC$17+I669*$AC$18+J669*$AC$19+K669*$AC$20+L669*$AC$21+M669*$AC$22+N669*$AC$23+O669*$AC$24+P669*$AC$25+Q669*$AC$26+R669*$AC$27+S669*$AC$28+T669*$AC$29+U669*$AC$30</f>
        <v/>
      </c>
      <c r="W669" s="8">
        <f>1/(1+EXP(-V669))</f>
        <v/>
      </c>
      <c r="X669" s="9">
        <f>-IF(C669=1,LN(W669),LN(1-W669))</f>
        <v/>
      </c>
      <c r="Y669" s="10">
        <f>IF(W669&gt;$AC$33,1,0)</f>
        <v/>
      </c>
      <c r="Z669">
        <f>IF(Y669=C669,1,0)</f>
        <v/>
      </c>
    </row>
    <row r="670">
      <c r="A670">
        <f>'1 datos preparados'!A663</f>
        <v/>
      </c>
      <c r="B670" s="5">
        <f>'1 datos preparados'!U663</f>
        <v/>
      </c>
      <c r="C670">
        <f>'1 datos preparados'!B663</f>
        <v/>
      </c>
      <c r="D670" s="7">
        <f>'1 datos preparados'!C663</f>
        <v/>
      </c>
      <c r="E670" s="7">
        <f>'1 datos preparados'!D663</f>
        <v/>
      </c>
      <c r="F670" s="7">
        <f>'1 datos preparados'!E663</f>
        <v/>
      </c>
      <c r="G670" s="7">
        <f>'1 datos preparados'!F663</f>
        <v/>
      </c>
      <c r="H670" s="7">
        <f>'1 datos preparados'!G663</f>
        <v/>
      </c>
      <c r="I670" s="7">
        <f>'1 datos preparados'!H663</f>
        <v/>
      </c>
      <c r="J670" s="7">
        <f>'1 datos preparados'!I663</f>
        <v/>
      </c>
      <c r="K670" s="7">
        <f>'1 datos preparados'!J663</f>
        <v/>
      </c>
      <c r="L670" s="7">
        <f>'1 datos preparados'!K663</f>
        <v/>
      </c>
      <c r="M670" s="7">
        <f>'1 datos preparados'!L663</f>
        <v/>
      </c>
      <c r="N670" s="7">
        <f>'1 datos preparados'!M663</f>
        <v/>
      </c>
      <c r="O670" s="7">
        <f>'1 datos preparados'!N663</f>
        <v/>
      </c>
      <c r="P670" s="7">
        <f>'1 datos preparados'!O663</f>
        <v/>
      </c>
      <c r="Q670" s="7">
        <f>'1 datos preparados'!P663</f>
        <v/>
      </c>
      <c r="R670" s="7">
        <f>'1 datos preparados'!Q663</f>
        <v/>
      </c>
      <c r="S670" s="7">
        <f>'1 datos preparados'!R663</f>
        <v/>
      </c>
      <c r="T670" s="7">
        <f>'1 datos preparados'!S663</f>
        <v/>
      </c>
      <c r="U670" s="7">
        <f>'1 datos preparados'!T663</f>
        <v/>
      </c>
      <c r="V670" s="8">
        <f>$AC$12+D670*$AC$13+E670*$AC$14+F670*$AC$15+G670*$AC$16+H670*$AC$17+I670*$AC$18+J670*$AC$19+K670*$AC$20+L670*$AC$21+M670*$AC$22+N670*$AC$23+O670*$AC$24+P670*$AC$25+Q670*$AC$26+R670*$AC$27+S670*$AC$28+T670*$AC$29+U670*$AC$30</f>
        <v/>
      </c>
      <c r="W670" s="8">
        <f>1/(1+EXP(-V670))</f>
        <v/>
      </c>
      <c r="X670" s="9">
        <f>-IF(C670=1,LN(W670),LN(1-W670))</f>
        <v/>
      </c>
      <c r="Y670" s="10">
        <f>IF(W670&gt;$AC$33,1,0)</f>
        <v/>
      </c>
      <c r="Z670">
        <f>IF(Y670=C670,1,0)</f>
        <v/>
      </c>
    </row>
    <row r="671">
      <c r="A671">
        <f>'1 datos preparados'!A664</f>
        <v/>
      </c>
      <c r="B671" s="5">
        <f>'1 datos preparados'!U664</f>
        <v/>
      </c>
      <c r="C671">
        <f>'1 datos preparados'!B664</f>
        <v/>
      </c>
      <c r="D671" s="7">
        <f>'1 datos preparados'!C664</f>
        <v/>
      </c>
      <c r="E671" s="7">
        <f>'1 datos preparados'!D664</f>
        <v/>
      </c>
      <c r="F671" s="7">
        <f>'1 datos preparados'!E664</f>
        <v/>
      </c>
      <c r="G671" s="7">
        <f>'1 datos preparados'!F664</f>
        <v/>
      </c>
      <c r="H671" s="7">
        <f>'1 datos preparados'!G664</f>
        <v/>
      </c>
      <c r="I671" s="7">
        <f>'1 datos preparados'!H664</f>
        <v/>
      </c>
      <c r="J671" s="7">
        <f>'1 datos preparados'!I664</f>
        <v/>
      </c>
      <c r="K671" s="7">
        <f>'1 datos preparados'!J664</f>
        <v/>
      </c>
      <c r="L671" s="7">
        <f>'1 datos preparados'!K664</f>
        <v/>
      </c>
      <c r="M671" s="7">
        <f>'1 datos preparados'!L664</f>
        <v/>
      </c>
      <c r="N671" s="7">
        <f>'1 datos preparados'!M664</f>
        <v/>
      </c>
      <c r="O671" s="7">
        <f>'1 datos preparados'!N664</f>
        <v/>
      </c>
      <c r="P671" s="7">
        <f>'1 datos preparados'!O664</f>
        <v/>
      </c>
      <c r="Q671" s="7">
        <f>'1 datos preparados'!P664</f>
        <v/>
      </c>
      <c r="R671" s="7">
        <f>'1 datos preparados'!Q664</f>
        <v/>
      </c>
      <c r="S671" s="7">
        <f>'1 datos preparados'!R664</f>
        <v/>
      </c>
      <c r="T671" s="7">
        <f>'1 datos preparados'!S664</f>
        <v/>
      </c>
      <c r="U671" s="7">
        <f>'1 datos preparados'!T664</f>
        <v/>
      </c>
      <c r="V671" s="8">
        <f>$AC$12+D671*$AC$13+E671*$AC$14+F671*$AC$15+G671*$AC$16+H671*$AC$17+I671*$AC$18+J671*$AC$19+K671*$AC$20+L671*$AC$21+M671*$AC$22+N671*$AC$23+O671*$AC$24+P671*$AC$25+Q671*$AC$26+R671*$AC$27+S671*$AC$28+T671*$AC$29+U671*$AC$30</f>
        <v/>
      </c>
      <c r="W671" s="8">
        <f>1/(1+EXP(-V671))</f>
        <v/>
      </c>
      <c r="X671" s="9">
        <f>-IF(C671=1,LN(W671),LN(1-W671))</f>
        <v/>
      </c>
      <c r="Y671" s="10">
        <f>IF(W671&gt;$AC$33,1,0)</f>
        <v/>
      </c>
      <c r="Z671">
        <f>IF(Y671=C671,1,0)</f>
        <v/>
      </c>
    </row>
    <row r="672">
      <c r="A672">
        <f>'1 datos preparados'!A665</f>
        <v/>
      </c>
      <c r="B672" s="5">
        <f>'1 datos preparados'!U665</f>
        <v/>
      </c>
      <c r="C672">
        <f>'1 datos preparados'!B665</f>
        <v/>
      </c>
      <c r="D672" s="7">
        <f>'1 datos preparados'!C665</f>
        <v/>
      </c>
      <c r="E672" s="7">
        <f>'1 datos preparados'!D665</f>
        <v/>
      </c>
      <c r="F672" s="7">
        <f>'1 datos preparados'!E665</f>
        <v/>
      </c>
      <c r="G672" s="7">
        <f>'1 datos preparados'!F665</f>
        <v/>
      </c>
      <c r="H672" s="7">
        <f>'1 datos preparados'!G665</f>
        <v/>
      </c>
      <c r="I672" s="7">
        <f>'1 datos preparados'!H665</f>
        <v/>
      </c>
      <c r="J672" s="7">
        <f>'1 datos preparados'!I665</f>
        <v/>
      </c>
      <c r="K672" s="7">
        <f>'1 datos preparados'!J665</f>
        <v/>
      </c>
      <c r="L672" s="7">
        <f>'1 datos preparados'!K665</f>
        <v/>
      </c>
      <c r="M672" s="7">
        <f>'1 datos preparados'!L665</f>
        <v/>
      </c>
      <c r="N672" s="7">
        <f>'1 datos preparados'!M665</f>
        <v/>
      </c>
      <c r="O672" s="7">
        <f>'1 datos preparados'!N665</f>
        <v/>
      </c>
      <c r="P672" s="7">
        <f>'1 datos preparados'!O665</f>
        <v/>
      </c>
      <c r="Q672" s="7">
        <f>'1 datos preparados'!P665</f>
        <v/>
      </c>
      <c r="R672" s="7">
        <f>'1 datos preparados'!Q665</f>
        <v/>
      </c>
      <c r="S672" s="7">
        <f>'1 datos preparados'!R665</f>
        <v/>
      </c>
      <c r="T672" s="7">
        <f>'1 datos preparados'!S665</f>
        <v/>
      </c>
      <c r="U672" s="7">
        <f>'1 datos preparados'!T665</f>
        <v/>
      </c>
      <c r="V672" s="8">
        <f>$AC$12+D672*$AC$13+E672*$AC$14+F672*$AC$15+G672*$AC$16+H672*$AC$17+I672*$AC$18+J672*$AC$19+K672*$AC$20+L672*$AC$21+M672*$AC$22+N672*$AC$23+O672*$AC$24+P672*$AC$25+Q672*$AC$26+R672*$AC$27+S672*$AC$28+T672*$AC$29+U672*$AC$30</f>
        <v/>
      </c>
      <c r="W672" s="8">
        <f>1/(1+EXP(-V672))</f>
        <v/>
      </c>
      <c r="X672" s="9">
        <f>-IF(C672=1,LN(W672),LN(1-W672))</f>
        <v/>
      </c>
      <c r="Y672" s="10">
        <f>IF(W672&gt;$AC$33,1,0)</f>
        <v/>
      </c>
      <c r="Z672">
        <f>IF(Y672=C672,1,0)</f>
        <v/>
      </c>
    </row>
    <row r="673">
      <c r="A673">
        <f>'1 datos preparados'!A666</f>
        <v/>
      </c>
      <c r="B673" s="5">
        <f>'1 datos preparados'!U666</f>
        <v/>
      </c>
      <c r="C673">
        <f>'1 datos preparados'!B666</f>
        <v/>
      </c>
      <c r="D673" s="7">
        <f>'1 datos preparados'!C666</f>
        <v/>
      </c>
      <c r="E673" s="7">
        <f>'1 datos preparados'!D666</f>
        <v/>
      </c>
      <c r="F673" s="7">
        <f>'1 datos preparados'!E666</f>
        <v/>
      </c>
      <c r="G673" s="7">
        <f>'1 datos preparados'!F666</f>
        <v/>
      </c>
      <c r="H673" s="7">
        <f>'1 datos preparados'!G666</f>
        <v/>
      </c>
      <c r="I673" s="7">
        <f>'1 datos preparados'!H666</f>
        <v/>
      </c>
      <c r="J673" s="7">
        <f>'1 datos preparados'!I666</f>
        <v/>
      </c>
      <c r="K673" s="7">
        <f>'1 datos preparados'!J666</f>
        <v/>
      </c>
      <c r="L673" s="7">
        <f>'1 datos preparados'!K666</f>
        <v/>
      </c>
      <c r="M673" s="7">
        <f>'1 datos preparados'!L666</f>
        <v/>
      </c>
      <c r="N673" s="7">
        <f>'1 datos preparados'!M666</f>
        <v/>
      </c>
      <c r="O673" s="7">
        <f>'1 datos preparados'!N666</f>
        <v/>
      </c>
      <c r="P673" s="7">
        <f>'1 datos preparados'!O666</f>
        <v/>
      </c>
      <c r="Q673" s="7">
        <f>'1 datos preparados'!P666</f>
        <v/>
      </c>
      <c r="R673" s="7">
        <f>'1 datos preparados'!Q666</f>
        <v/>
      </c>
      <c r="S673" s="7">
        <f>'1 datos preparados'!R666</f>
        <v/>
      </c>
      <c r="T673" s="7">
        <f>'1 datos preparados'!S666</f>
        <v/>
      </c>
      <c r="U673" s="7">
        <f>'1 datos preparados'!T666</f>
        <v/>
      </c>
      <c r="V673" s="8">
        <f>$AC$12+D673*$AC$13+E673*$AC$14+F673*$AC$15+G673*$AC$16+H673*$AC$17+I673*$AC$18+J673*$AC$19+K673*$AC$20+L673*$AC$21+M673*$AC$22+N673*$AC$23+O673*$AC$24+P673*$AC$25+Q673*$AC$26+R673*$AC$27+S673*$AC$28+T673*$AC$29+U673*$AC$30</f>
        <v/>
      </c>
      <c r="W673" s="8">
        <f>1/(1+EXP(-V673))</f>
        <v/>
      </c>
      <c r="X673" s="9">
        <f>-IF(C673=1,LN(W673),LN(1-W673))</f>
        <v/>
      </c>
      <c r="Y673" s="10">
        <f>IF(W673&gt;$AC$33,1,0)</f>
        <v/>
      </c>
      <c r="Z673">
        <f>IF(Y673=C673,1,0)</f>
        <v/>
      </c>
    </row>
    <row r="674">
      <c r="A674">
        <f>'1 datos preparados'!A667</f>
        <v/>
      </c>
      <c r="B674" s="5">
        <f>'1 datos preparados'!U667</f>
        <v/>
      </c>
      <c r="C674">
        <f>'1 datos preparados'!B667</f>
        <v/>
      </c>
      <c r="D674" s="7">
        <f>'1 datos preparados'!C667</f>
        <v/>
      </c>
      <c r="E674" s="7">
        <f>'1 datos preparados'!D667</f>
        <v/>
      </c>
      <c r="F674" s="7">
        <f>'1 datos preparados'!E667</f>
        <v/>
      </c>
      <c r="G674" s="7">
        <f>'1 datos preparados'!F667</f>
        <v/>
      </c>
      <c r="H674" s="7">
        <f>'1 datos preparados'!G667</f>
        <v/>
      </c>
      <c r="I674" s="7">
        <f>'1 datos preparados'!H667</f>
        <v/>
      </c>
      <c r="J674" s="7">
        <f>'1 datos preparados'!I667</f>
        <v/>
      </c>
      <c r="K674" s="7">
        <f>'1 datos preparados'!J667</f>
        <v/>
      </c>
      <c r="L674" s="7">
        <f>'1 datos preparados'!K667</f>
        <v/>
      </c>
      <c r="M674" s="7">
        <f>'1 datos preparados'!L667</f>
        <v/>
      </c>
      <c r="N674" s="7">
        <f>'1 datos preparados'!M667</f>
        <v/>
      </c>
      <c r="O674" s="7">
        <f>'1 datos preparados'!N667</f>
        <v/>
      </c>
      <c r="P674" s="7">
        <f>'1 datos preparados'!O667</f>
        <v/>
      </c>
      <c r="Q674" s="7">
        <f>'1 datos preparados'!P667</f>
        <v/>
      </c>
      <c r="R674" s="7">
        <f>'1 datos preparados'!Q667</f>
        <v/>
      </c>
      <c r="S674" s="7">
        <f>'1 datos preparados'!R667</f>
        <v/>
      </c>
      <c r="T674" s="7">
        <f>'1 datos preparados'!S667</f>
        <v/>
      </c>
      <c r="U674" s="7">
        <f>'1 datos preparados'!T667</f>
        <v/>
      </c>
      <c r="V674" s="8">
        <f>$AC$12+D674*$AC$13+E674*$AC$14+F674*$AC$15+G674*$AC$16+H674*$AC$17+I674*$AC$18+J674*$AC$19+K674*$AC$20+L674*$AC$21+M674*$AC$22+N674*$AC$23+O674*$AC$24+P674*$AC$25+Q674*$AC$26+R674*$AC$27+S674*$AC$28+T674*$AC$29+U674*$AC$30</f>
        <v/>
      </c>
      <c r="W674" s="8">
        <f>1/(1+EXP(-V674))</f>
        <v/>
      </c>
      <c r="X674" s="9">
        <f>-IF(C674=1,LN(W674),LN(1-W674))</f>
        <v/>
      </c>
      <c r="Y674" s="10">
        <f>IF(W674&gt;$AC$33,1,0)</f>
        <v/>
      </c>
      <c r="Z674">
        <f>IF(Y674=C674,1,0)</f>
        <v/>
      </c>
    </row>
    <row r="675">
      <c r="A675">
        <f>'1 datos preparados'!A668</f>
        <v/>
      </c>
      <c r="B675" s="5">
        <f>'1 datos preparados'!U668</f>
        <v/>
      </c>
      <c r="C675">
        <f>'1 datos preparados'!B668</f>
        <v/>
      </c>
      <c r="D675" s="7">
        <f>'1 datos preparados'!C668</f>
        <v/>
      </c>
      <c r="E675" s="7">
        <f>'1 datos preparados'!D668</f>
        <v/>
      </c>
      <c r="F675" s="7">
        <f>'1 datos preparados'!E668</f>
        <v/>
      </c>
      <c r="G675" s="7">
        <f>'1 datos preparados'!F668</f>
        <v/>
      </c>
      <c r="H675" s="7">
        <f>'1 datos preparados'!G668</f>
        <v/>
      </c>
      <c r="I675" s="7">
        <f>'1 datos preparados'!H668</f>
        <v/>
      </c>
      <c r="J675" s="7">
        <f>'1 datos preparados'!I668</f>
        <v/>
      </c>
      <c r="K675" s="7">
        <f>'1 datos preparados'!J668</f>
        <v/>
      </c>
      <c r="L675" s="7">
        <f>'1 datos preparados'!K668</f>
        <v/>
      </c>
      <c r="M675" s="7">
        <f>'1 datos preparados'!L668</f>
        <v/>
      </c>
      <c r="N675" s="7">
        <f>'1 datos preparados'!M668</f>
        <v/>
      </c>
      <c r="O675" s="7">
        <f>'1 datos preparados'!N668</f>
        <v/>
      </c>
      <c r="P675" s="7">
        <f>'1 datos preparados'!O668</f>
        <v/>
      </c>
      <c r="Q675" s="7">
        <f>'1 datos preparados'!P668</f>
        <v/>
      </c>
      <c r="R675" s="7">
        <f>'1 datos preparados'!Q668</f>
        <v/>
      </c>
      <c r="S675" s="7">
        <f>'1 datos preparados'!R668</f>
        <v/>
      </c>
      <c r="T675" s="7">
        <f>'1 datos preparados'!S668</f>
        <v/>
      </c>
      <c r="U675" s="7">
        <f>'1 datos preparados'!T668</f>
        <v/>
      </c>
      <c r="V675" s="8">
        <f>$AC$12+D675*$AC$13+E675*$AC$14+F675*$AC$15+G675*$AC$16+H675*$AC$17+I675*$AC$18+J675*$AC$19+K675*$AC$20+L675*$AC$21+M675*$AC$22+N675*$AC$23+O675*$AC$24+P675*$AC$25+Q675*$AC$26+R675*$AC$27+S675*$AC$28+T675*$AC$29+U675*$AC$30</f>
        <v/>
      </c>
      <c r="W675" s="8">
        <f>1/(1+EXP(-V675))</f>
        <v/>
      </c>
      <c r="X675" s="9">
        <f>-IF(C675=1,LN(W675),LN(1-W675))</f>
        <v/>
      </c>
      <c r="Y675" s="10">
        <f>IF(W675&gt;$AC$33,1,0)</f>
        <v/>
      </c>
      <c r="Z675">
        <f>IF(Y675=C675,1,0)</f>
        <v/>
      </c>
    </row>
    <row r="676">
      <c r="A676">
        <f>'1 datos preparados'!A669</f>
        <v/>
      </c>
      <c r="B676" s="5">
        <f>'1 datos preparados'!U669</f>
        <v/>
      </c>
      <c r="C676">
        <f>'1 datos preparados'!B669</f>
        <v/>
      </c>
      <c r="D676" s="7">
        <f>'1 datos preparados'!C669</f>
        <v/>
      </c>
      <c r="E676" s="7">
        <f>'1 datos preparados'!D669</f>
        <v/>
      </c>
      <c r="F676" s="7">
        <f>'1 datos preparados'!E669</f>
        <v/>
      </c>
      <c r="G676" s="7">
        <f>'1 datos preparados'!F669</f>
        <v/>
      </c>
      <c r="H676" s="7">
        <f>'1 datos preparados'!G669</f>
        <v/>
      </c>
      <c r="I676" s="7">
        <f>'1 datos preparados'!H669</f>
        <v/>
      </c>
      <c r="J676" s="7">
        <f>'1 datos preparados'!I669</f>
        <v/>
      </c>
      <c r="K676" s="7">
        <f>'1 datos preparados'!J669</f>
        <v/>
      </c>
      <c r="L676" s="7">
        <f>'1 datos preparados'!K669</f>
        <v/>
      </c>
      <c r="M676" s="7">
        <f>'1 datos preparados'!L669</f>
        <v/>
      </c>
      <c r="N676" s="7">
        <f>'1 datos preparados'!M669</f>
        <v/>
      </c>
      <c r="O676" s="7">
        <f>'1 datos preparados'!N669</f>
        <v/>
      </c>
      <c r="P676" s="7">
        <f>'1 datos preparados'!O669</f>
        <v/>
      </c>
      <c r="Q676" s="7">
        <f>'1 datos preparados'!P669</f>
        <v/>
      </c>
      <c r="R676" s="7">
        <f>'1 datos preparados'!Q669</f>
        <v/>
      </c>
      <c r="S676" s="7">
        <f>'1 datos preparados'!R669</f>
        <v/>
      </c>
      <c r="T676" s="7">
        <f>'1 datos preparados'!S669</f>
        <v/>
      </c>
      <c r="U676" s="7">
        <f>'1 datos preparados'!T669</f>
        <v/>
      </c>
      <c r="V676" s="8">
        <f>$AC$12+D676*$AC$13+E676*$AC$14+F676*$AC$15+G676*$AC$16+H676*$AC$17+I676*$AC$18+J676*$AC$19+K676*$AC$20+L676*$AC$21+M676*$AC$22+N676*$AC$23+O676*$AC$24+P676*$AC$25+Q676*$AC$26+R676*$AC$27+S676*$AC$28+T676*$AC$29+U676*$AC$30</f>
        <v/>
      </c>
      <c r="W676" s="8">
        <f>1/(1+EXP(-V676))</f>
        <v/>
      </c>
      <c r="X676" s="9">
        <f>-IF(C676=1,LN(W676),LN(1-W676))</f>
        <v/>
      </c>
      <c r="Y676" s="10">
        <f>IF(W676&gt;$AC$33,1,0)</f>
        <v/>
      </c>
      <c r="Z676">
        <f>IF(Y676=C676,1,0)</f>
        <v/>
      </c>
    </row>
    <row r="677">
      <c r="A677">
        <f>'1 datos preparados'!A670</f>
        <v/>
      </c>
      <c r="B677" s="5">
        <f>'1 datos preparados'!U670</f>
        <v/>
      </c>
      <c r="C677">
        <f>'1 datos preparados'!B670</f>
        <v/>
      </c>
      <c r="D677" s="7">
        <f>'1 datos preparados'!C670</f>
        <v/>
      </c>
      <c r="E677" s="7">
        <f>'1 datos preparados'!D670</f>
        <v/>
      </c>
      <c r="F677" s="7">
        <f>'1 datos preparados'!E670</f>
        <v/>
      </c>
      <c r="G677" s="7">
        <f>'1 datos preparados'!F670</f>
        <v/>
      </c>
      <c r="H677" s="7">
        <f>'1 datos preparados'!G670</f>
        <v/>
      </c>
      <c r="I677" s="7">
        <f>'1 datos preparados'!H670</f>
        <v/>
      </c>
      <c r="J677" s="7">
        <f>'1 datos preparados'!I670</f>
        <v/>
      </c>
      <c r="K677" s="7">
        <f>'1 datos preparados'!J670</f>
        <v/>
      </c>
      <c r="L677" s="7">
        <f>'1 datos preparados'!K670</f>
        <v/>
      </c>
      <c r="M677" s="7">
        <f>'1 datos preparados'!L670</f>
        <v/>
      </c>
      <c r="N677" s="7">
        <f>'1 datos preparados'!M670</f>
        <v/>
      </c>
      <c r="O677" s="7">
        <f>'1 datos preparados'!N670</f>
        <v/>
      </c>
      <c r="P677" s="7">
        <f>'1 datos preparados'!O670</f>
        <v/>
      </c>
      <c r="Q677" s="7">
        <f>'1 datos preparados'!P670</f>
        <v/>
      </c>
      <c r="R677" s="7">
        <f>'1 datos preparados'!Q670</f>
        <v/>
      </c>
      <c r="S677" s="7">
        <f>'1 datos preparados'!R670</f>
        <v/>
      </c>
      <c r="T677" s="7">
        <f>'1 datos preparados'!S670</f>
        <v/>
      </c>
      <c r="U677" s="7">
        <f>'1 datos preparados'!T670</f>
        <v/>
      </c>
      <c r="V677" s="8">
        <f>$AC$12+D677*$AC$13+E677*$AC$14+F677*$AC$15+G677*$AC$16+H677*$AC$17+I677*$AC$18+J677*$AC$19+K677*$AC$20+L677*$AC$21+M677*$AC$22+N677*$AC$23+O677*$AC$24+P677*$AC$25+Q677*$AC$26+R677*$AC$27+S677*$AC$28+T677*$AC$29+U677*$AC$30</f>
        <v/>
      </c>
      <c r="W677" s="8">
        <f>1/(1+EXP(-V677))</f>
        <v/>
      </c>
      <c r="X677" s="9">
        <f>-IF(C677=1,LN(W677),LN(1-W677))</f>
        <v/>
      </c>
      <c r="Y677" s="10">
        <f>IF(W677&gt;$AC$33,1,0)</f>
        <v/>
      </c>
      <c r="Z677">
        <f>IF(Y677=C677,1,0)</f>
        <v/>
      </c>
    </row>
    <row r="678">
      <c r="A678">
        <f>'1 datos preparados'!A671</f>
        <v/>
      </c>
      <c r="B678" s="5">
        <f>'1 datos preparados'!U671</f>
        <v/>
      </c>
      <c r="C678">
        <f>'1 datos preparados'!B671</f>
        <v/>
      </c>
      <c r="D678" s="7">
        <f>'1 datos preparados'!C671</f>
        <v/>
      </c>
      <c r="E678" s="7">
        <f>'1 datos preparados'!D671</f>
        <v/>
      </c>
      <c r="F678" s="7">
        <f>'1 datos preparados'!E671</f>
        <v/>
      </c>
      <c r="G678" s="7">
        <f>'1 datos preparados'!F671</f>
        <v/>
      </c>
      <c r="H678" s="7">
        <f>'1 datos preparados'!G671</f>
        <v/>
      </c>
      <c r="I678" s="7">
        <f>'1 datos preparados'!H671</f>
        <v/>
      </c>
      <c r="J678" s="7">
        <f>'1 datos preparados'!I671</f>
        <v/>
      </c>
      <c r="K678" s="7">
        <f>'1 datos preparados'!J671</f>
        <v/>
      </c>
      <c r="L678" s="7">
        <f>'1 datos preparados'!K671</f>
        <v/>
      </c>
      <c r="M678" s="7">
        <f>'1 datos preparados'!L671</f>
        <v/>
      </c>
      <c r="N678" s="7">
        <f>'1 datos preparados'!M671</f>
        <v/>
      </c>
      <c r="O678" s="7">
        <f>'1 datos preparados'!N671</f>
        <v/>
      </c>
      <c r="P678" s="7">
        <f>'1 datos preparados'!O671</f>
        <v/>
      </c>
      <c r="Q678" s="7">
        <f>'1 datos preparados'!P671</f>
        <v/>
      </c>
      <c r="R678" s="7">
        <f>'1 datos preparados'!Q671</f>
        <v/>
      </c>
      <c r="S678" s="7">
        <f>'1 datos preparados'!R671</f>
        <v/>
      </c>
      <c r="T678" s="7">
        <f>'1 datos preparados'!S671</f>
        <v/>
      </c>
      <c r="U678" s="7">
        <f>'1 datos preparados'!T671</f>
        <v/>
      </c>
      <c r="V678" s="8">
        <f>$AC$12+D678*$AC$13+E678*$AC$14+F678*$AC$15+G678*$AC$16+H678*$AC$17+I678*$AC$18+J678*$AC$19+K678*$AC$20+L678*$AC$21+M678*$AC$22+N678*$AC$23+O678*$AC$24+P678*$AC$25+Q678*$AC$26+R678*$AC$27+S678*$AC$28+T678*$AC$29+U678*$AC$30</f>
        <v/>
      </c>
      <c r="W678" s="8">
        <f>1/(1+EXP(-V678))</f>
        <v/>
      </c>
      <c r="X678" s="9">
        <f>-IF(C678=1,LN(W678),LN(1-W678))</f>
        <v/>
      </c>
      <c r="Y678" s="10">
        <f>IF(W678&gt;$AC$33,1,0)</f>
        <v/>
      </c>
      <c r="Z678">
        <f>IF(Y678=C678,1,0)</f>
        <v/>
      </c>
    </row>
    <row r="679">
      <c r="A679">
        <f>'1 datos preparados'!A672</f>
        <v/>
      </c>
      <c r="B679" s="5">
        <f>'1 datos preparados'!U672</f>
        <v/>
      </c>
      <c r="C679">
        <f>'1 datos preparados'!B672</f>
        <v/>
      </c>
      <c r="D679" s="7">
        <f>'1 datos preparados'!C672</f>
        <v/>
      </c>
      <c r="E679" s="7">
        <f>'1 datos preparados'!D672</f>
        <v/>
      </c>
      <c r="F679" s="7">
        <f>'1 datos preparados'!E672</f>
        <v/>
      </c>
      <c r="G679" s="7">
        <f>'1 datos preparados'!F672</f>
        <v/>
      </c>
      <c r="H679" s="7">
        <f>'1 datos preparados'!G672</f>
        <v/>
      </c>
      <c r="I679" s="7">
        <f>'1 datos preparados'!H672</f>
        <v/>
      </c>
      <c r="J679" s="7">
        <f>'1 datos preparados'!I672</f>
        <v/>
      </c>
      <c r="K679" s="7">
        <f>'1 datos preparados'!J672</f>
        <v/>
      </c>
      <c r="L679" s="7">
        <f>'1 datos preparados'!K672</f>
        <v/>
      </c>
      <c r="M679" s="7">
        <f>'1 datos preparados'!L672</f>
        <v/>
      </c>
      <c r="N679" s="7">
        <f>'1 datos preparados'!M672</f>
        <v/>
      </c>
      <c r="O679" s="7">
        <f>'1 datos preparados'!N672</f>
        <v/>
      </c>
      <c r="P679" s="7">
        <f>'1 datos preparados'!O672</f>
        <v/>
      </c>
      <c r="Q679" s="7">
        <f>'1 datos preparados'!P672</f>
        <v/>
      </c>
      <c r="R679" s="7">
        <f>'1 datos preparados'!Q672</f>
        <v/>
      </c>
      <c r="S679" s="7">
        <f>'1 datos preparados'!R672</f>
        <v/>
      </c>
      <c r="T679" s="7">
        <f>'1 datos preparados'!S672</f>
        <v/>
      </c>
      <c r="U679" s="7">
        <f>'1 datos preparados'!T672</f>
        <v/>
      </c>
      <c r="V679" s="8">
        <f>$AC$12+D679*$AC$13+E679*$AC$14+F679*$AC$15+G679*$AC$16+H679*$AC$17+I679*$AC$18+J679*$AC$19+K679*$AC$20+L679*$AC$21+M679*$AC$22+N679*$AC$23+O679*$AC$24+P679*$AC$25+Q679*$AC$26+R679*$AC$27+S679*$AC$28+T679*$AC$29+U679*$AC$30</f>
        <v/>
      </c>
      <c r="W679" s="8">
        <f>1/(1+EXP(-V679))</f>
        <v/>
      </c>
      <c r="X679" s="9">
        <f>-IF(C679=1,LN(W679),LN(1-W679))</f>
        <v/>
      </c>
      <c r="Y679" s="10">
        <f>IF(W679&gt;$AC$33,1,0)</f>
        <v/>
      </c>
      <c r="Z679">
        <f>IF(Y679=C679,1,0)</f>
        <v/>
      </c>
    </row>
    <row r="680">
      <c r="A680">
        <f>'1 datos preparados'!A673</f>
        <v/>
      </c>
      <c r="B680" s="5">
        <f>'1 datos preparados'!U673</f>
        <v/>
      </c>
      <c r="C680">
        <f>'1 datos preparados'!B673</f>
        <v/>
      </c>
      <c r="D680" s="7">
        <f>'1 datos preparados'!C673</f>
        <v/>
      </c>
      <c r="E680" s="7">
        <f>'1 datos preparados'!D673</f>
        <v/>
      </c>
      <c r="F680" s="7">
        <f>'1 datos preparados'!E673</f>
        <v/>
      </c>
      <c r="G680" s="7">
        <f>'1 datos preparados'!F673</f>
        <v/>
      </c>
      <c r="H680" s="7">
        <f>'1 datos preparados'!G673</f>
        <v/>
      </c>
      <c r="I680" s="7">
        <f>'1 datos preparados'!H673</f>
        <v/>
      </c>
      <c r="J680" s="7">
        <f>'1 datos preparados'!I673</f>
        <v/>
      </c>
      <c r="K680" s="7">
        <f>'1 datos preparados'!J673</f>
        <v/>
      </c>
      <c r="L680" s="7">
        <f>'1 datos preparados'!K673</f>
        <v/>
      </c>
      <c r="M680" s="7">
        <f>'1 datos preparados'!L673</f>
        <v/>
      </c>
      <c r="N680" s="7">
        <f>'1 datos preparados'!M673</f>
        <v/>
      </c>
      <c r="O680" s="7">
        <f>'1 datos preparados'!N673</f>
        <v/>
      </c>
      <c r="P680" s="7">
        <f>'1 datos preparados'!O673</f>
        <v/>
      </c>
      <c r="Q680" s="7">
        <f>'1 datos preparados'!P673</f>
        <v/>
      </c>
      <c r="R680" s="7">
        <f>'1 datos preparados'!Q673</f>
        <v/>
      </c>
      <c r="S680" s="7">
        <f>'1 datos preparados'!R673</f>
        <v/>
      </c>
      <c r="T680" s="7">
        <f>'1 datos preparados'!S673</f>
        <v/>
      </c>
      <c r="U680" s="7">
        <f>'1 datos preparados'!T673</f>
        <v/>
      </c>
      <c r="V680" s="8">
        <f>$AC$12+D680*$AC$13+E680*$AC$14+F680*$AC$15+G680*$AC$16+H680*$AC$17+I680*$AC$18+J680*$AC$19+K680*$AC$20+L680*$AC$21+M680*$AC$22+N680*$AC$23+O680*$AC$24+P680*$AC$25+Q680*$AC$26+R680*$AC$27+S680*$AC$28+T680*$AC$29+U680*$AC$30</f>
        <v/>
      </c>
      <c r="W680" s="8">
        <f>1/(1+EXP(-V680))</f>
        <v/>
      </c>
      <c r="X680" s="9">
        <f>-IF(C680=1,LN(W680),LN(1-W680))</f>
        <v/>
      </c>
      <c r="Y680" s="10">
        <f>IF(W680&gt;$AC$33,1,0)</f>
        <v/>
      </c>
      <c r="Z680">
        <f>IF(Y680=C680,1,0)</f>
        <v/>
      </c>
    </row>
    <row r="681">
      <c r="A681">
        <f>'1 datos preparados'!A674</f>
        <v/>
      </c>
      <c r="B681" s="5">
        <f>'1 datos preparados'!U674</f>
        <v/>
      </c>
      <c r="C681">
        <f>'1 datos preparados'!B674</f>
        <v/>
      </c>
      <c r="D681" s="7">
        <f>'1 datos preparados'!C674</f>
        <v/>
      </c>
      <c r="E681" s="7">
        <f>'1 datos preparados'!D674</f>
        <v/>
      </c>
      <c r="F681" s="7">
        <f>'1 datos preparados'!E674</f>
        <v/>
      </c>
      <c r="G681" s="7">
        <f>'1 datos preparados'!F674</f>
        <v/>
      </c>
      <c r="H681" s="7">
        <f>'1 datos preparados'!G674</f>
        <v/>
      </c>
      <c r="I681" s="7">
        <f>'1 datos preparados'!H674</f>
        <v/>
      </c>
      <c r="J681" s="7">
        <f>'1 datos preparados'!I674</f>
        <v/>
      </c>
      <c r="K681" s="7">
        <f>'1 datos preparados'!J674</f>
        <v/>
      </c>
      <c r="L681" s="7">
        <f>'1 datos preparados'!K674</f>
        <v/>
      </c>
      <c r="M681" s="7">
        <f>'1 datos preparados'!L674</f>
        <v/>
      </c>
      <c r="N681" s="7">
        <f>'1 datos preparados'!M674</f>
        <v/>
      </c>
      <c r="O681" s="7">
        <f>'1 datos preparados'!N674</f>
        <v/>
      </c>
      <c r="P681" s="7">
        <f>'1 datos preparados'!O674</f>
        <v/>
      </c>
      <c r="Q681" s="7">
        <f>'1 datos preparados'!P674</f>
        <v/>
      </c>
      <c r="R681" s="7">
        <f>'1 datos preparados'!Q674</f>
        <v/>
      </c>
      <c r="S681" s="7">
        <f>'1 datos preparados'!R674</f>
        <v/>
      </c>
      <c r="T681" s="7">
        <f>'1 datos preparados'!S674</f>
        <v/>
      </c>
      <c r="U681" s="7">
        <f>'1 datos preparados'!T674</f>
        <v/>
      </c>
      <c r="V681" s="8">
        <f>$AC$12+D681*$AC$13+E681*$AC$14+F681*$AC$15+G681*$AC$16+H681*$AC$17+I681*$AC$18+J681*$AC$19+K681*$AC$20+L681*$AC$21+M681*$AC$22+N681*$AC$23+O681*$AC$24+P681*$AC$25+Q681*$AC$26+R681*$AC$27+S681*$AC$28+T681*$AC$29+U681*$AC$30</f>
        <v/>
      </c>
      <c r="W681" s="8">
        <f>1/(1+EXP(-V681))</f>
        <v/>
      </c>
      <c r="X681" s="9">
        <f>-IF(C681=1,LN(W681),LN(1-W681))</f>
        <v/>
      </c>
      <c r="Y681" s="10">
        <f>IF(W681&gt;$AC$33,1,0)</f>
        <v/>
      </c>
      <c r="Z681">
        <f>IF(Y681=C681,1,0)</f>
        <v/>
      </c>
    </row>
    <row r="682">
      <c r="A682">
        <f>'1 datos preparados'!A675</f>
        <v/>
      </c>
      <c r="B682" s="5">
        <f>'1 datos preparados'!U675</f>
        <v/>
      </c>
      <c r="C682">
        <f>'1 datos preparados'!B675</f>
        <v/>
      </c>
      <c r="D682" s="7">
        <f>'1 datos preparados'!C675</f>
        <v/>
      </c>
      <c r="E682" s="7">
        <f>'1 datos preparados'!D675</f>
        <v/>
      </c>
      <c r="F682" s="7">
        <f>'1 datos preparados'!E675</f>
        <v/>
      </c>
      <c r="G682" s="7">
        <f>'1 datos preparados'!F675</f>
        <v/>
      </c>
      <c r="H682" s="7">
        <f>'1 datos preparados'!G675</f>
        <v/>
      </c>
      <c r="I682" s="7">
        <f>'1 datos preparados'!H675</f>
        <v/>
      </c>
      <c r="J682" s="7">
        <f>'1 datos preparados'!I675</f>
        <v/>
      </c>
      <c r="K682" s="7">
        <f>'1 datos preparados'!J675</f>
        <v/>
      </c>
      <c r="L682" s="7">
        <f>'1 datos preparados'!K675</f>
        <v/>
      </c>
      <c r="M682" s="7">
        <f>'1 datos preparados'!L675</f>
        <v/>
      </c>
      <c r="N682" s="7">
        <f>'1 datos preparados'!M675</f>
        <v/>
      </c>
      <c r="O682" s="7">
        <f>'1 datos preparados'!N675</f>
        <v/>
      </c>
      <c r="P682" s="7">
        <f>'1 datos preparados'!O675</f>
        <v/>
      </c>
      <c r="Q682" s="7">
        <f>'1 datos preparados'!P675</f>
        <v/>
      </c>
      <c r="R682" s="7">
        <f>'1 datos preparados'!Q675</f>
        <v/>
      </c>
      <c r="S682" s="7">
        <f>'1 datos preparados'!R675</f>
        <v/>
      </c>
      <c r="T682" s="7">
        <f>'1 datos preparados'!S675</f>
        <v/>
      </c>
      <c r="U682" s="7">
        <f>'1 datos preparados'!T675</f>
        <v/>
      </c>
      <c r="V682" s="8">
        <f>$AC$12+D682*$AC$13+E682*$AC$14+F682*$AC$15+G682*$AC$16+H682*$AC$17+I682*$AC$18+J682*$AC$19+K682*$AC$20+L682*$AC$21+M682*$AC$22+N682*$AC$23+O682*$AC$24+P682*$AC$25+Q682*$AC$26+R682*$AC$27+S682*$AC$28+T682*$AC$29+U682*$AC$30</f>
        <v/>
      </c>
      <c r="W682" s="8">
        <f>1/(1+EXP(-V682))</f>
        <v/>
      </c>
      <c r="X682" s="9">
        <f>-IF(C682=1,LN(W682),LN(1-W682))</f>
        <v/>
      </c>
      <c r="Y682" s="10">
        <f>IF(W682&gt;$AC$33,1,0)</f>
        <v/>
      </c>
      <c r="Z682">
        <f>IF(Y682=C682,1,0)</f>
        <v/>
      </c>
    </row>
    <row r="683">
      <c r="A683">
        <f>'1 datos preparados'!A676</f>
        <v/>
      </c>
      <c r="B683" s="5">
        <f>'1 datos preparados'!U676</f>
        <v/>
      </c>
      <c r="C683">
        <f>'1 datos preparados'!B676</f>
        <v/>
      </c>
      <c r="D683" s="7">
        <f>'1 datos preparados'!C676</f>
        <v/>
      </c>
      <c r="E683" s="7">
        <f>'1 datos preparados'!D676</f>
        <v/>
      </c>
      <c r="F683" s="7">
        <f>'1 datos preparados'!E676</f>
        <v/>
      </c>
      <c r="G683" s="7">
        <f>'1 datos preparados'!F676</f>
        <v/>
      </c>
      <c r="H683" s="7">
        <f>'1 datos preparados'!G676</f>
        <v/>
      </c>
      <c r="I683" s="7">
        <f>'1 datos preparados'!H676</f>
        <v/>
      </c>
      <c r="J683" s="7">
        <f>'1 datos preparados'!I676</f>
        <v/>
      </c>
      <c r="K683" s="7">
        <f>'1 datos preparados'!J676</f>
        <v/>
      </c>
      <c r="L683" s="7">
        <f>'1 datos preparados'!K676</f>
        <v/>
      </c>
      <c r="M683" s="7">
        <f>'1 datos preparados'!L676</f>
        <v/>
      </c>
      <c r="N683" s="7">
        <f>'1 datos preparados'!M676</f>
        <v/>
      </c>
      <c r="O683" s="7">
        <f>'1 datos preparados'!N676</f>
        <v/>
      </c>
      <c r="P683" s="7">
        <f>'1 datos preparados'!O676</f>
        <v/>
      </c>
      <c r="Q683" s="7">
        <f>'1 datos preparados'!P676</f>
        <v/>
      </c>
      <c r="R683" s="7">
        <f>'1 datos preparados'!Q676</f>
        <v/>
      </c>
      <c r="S683" s="7">
        <f>'1 datos preparados'!R676</f>
        <v/>
      </c>
      <c r="T683" s="7">
        <f>'1 datos preparados'!S676</f>
        <v/>
      </c>
      <c r="U683" s="7">
        <f>'1 datos preparados'!T676</f>
        <v/>
      </c>
      <c r="V683" s="8">
        <f>$AC$12+D683*$AC$13+E683*$AC$14+F683*$AC$15+G683*$AC$16+H683*$AC$17+I683*$AC$18+J683*$AC$19+K683*$AC$20+L683*$AC$21+M683*$AC$22+N683*$AC$23+O683*$AC$24+P683*$AC$25+Q683*$AC$26+R683*$AC$27+S683*$AC$28+T683*$AC$29+U683*$AC$30</f>
        <v/>
      </c>
      <c r="W683" s="8">
        <f>1/(1+EXP(-V683))</f>
        <v/>
      </c>
      <c r="X683" s="9">
        <f>-IF(C683=1,LN(W683),LN(1-W683))</f>
        <v/>
      </c>
      <c r="Y683" s="10">
        <f>IF(W683&gt;$AC$33,1,0)</f>
        <v/>
      </c>
      <c r="Z683">
        <f>IF(Y683=C683,1,0)</f>
        <v/>
      </c>
    </row>
    <row r="684">
      <c r="A684">
        <f>'1 datos preparados'!A677</f>
        <v/>
      </c>
      <c r="B684" s="5">
        <f>'1 datos preparados'!U677</f>
        <v/>
      </c>
      <c r="C684">
        <f>'1 datos preparados'!B677</f>
        <v/>
      </c>
      <c r="D684" s="7">
        <f>'1 datos preparados'!C677</f>
        <v/>
      </c>
      <c r="E684" s="7">
        <f>'1 datos preparados'!D677</f>
        <v/>
      </c>
      <c r="F684" s="7">
        <f>'1 datos preparados'!E677</f>
        <v/>
      </c>
      <c r="G684" s="7">
        <f>'1 datos preparados'!F677</f>
        <v/>
      </c>
      <c r="H684" s="7">
        <f>'1 datos preparados'!G677</f>
        <v/>
      </c>
      <c r="I684" s="7">
        <f>'1 datos preparados'!H677</f>
        <v/>
      </c>
      <c r="J684" s="7">
        <f>'1 datos preparados'!I677</f>
        <v/>
      </c>
      <c r="K684" s="7">
        <f>'1 datos preparados'!J677</f>
        <v/>
      </c>
      <c r="L684" s="7">
        <f>'1 datos preparados'!K677</f>
        <v/>
      </c>
      <c r="M684" s="7">
        <f>'1 datos preparados'!L677</f>
        <v/>
      </c>
      <c r="N684" s="7">
        <f>'1 datos preparados'!M677</f>
        <v/>
      </c>
      <c r="O684" s="7">
        <f>'1 datos preparados'!N677</f>
        <v/>
      </c>
      <c r="P684" s="7">
        <f>'1 datos preparados'!O677</f>
        <v/>
      </c>
      <c r="Q684" s="7">
        <f>'1 datos preparados'!P677</f>
        <v/>
      </c>
      <c r="R684" s="7">
        <f>'1 datos preparados'!Q677</f>
        <v/>
      </c>
      <c r="S684" s="7">
        <f>'1 datos preparados'!R677</f>
        <v/>
      </c>
      <c r="T684" s="7">
        <f>'1 datos preparados'!S677</f>
        <v/>
      </c>
      <c r="U684" s="7">
        <f>'1 datos preparados'!T677</f>
        <v/>
      </c>
      <c r="V684" s="8">
        <f>$AC$12+D684*$AC$13+E684*$AC$14+F684*$AC$15+G684*$AC$16+H684*$AC$17+I684*$AC$18+J684*$AC$19+K684*$AC$20+L684*$AC$21+M684*$AC$22+N684*$AC$23+O684*$AC$24+P684*$AC$25+Q684*$AC$26+R684*$AC$27+S684*$AC$28+T684*$AC$29+U684*$AC$30</f>
        <v/>
      </c>
      <c r="W684" s="8">
        <f>1/(1+EXP(-V684))</f>
        <v/>
      </c>
      <c r="X684" s="9">
        <f>-IF(C684=1,LN(W684),LN(1-W684))</f>
        <v/>
      </c>
      <c r="Y684" s="10">
        <f>IF(W684&gt;$AC$33,1,0)</f>
        <v/>
      </c>
      <c r="Z684">
        <f>IF(Y684=C684,1,0)</f>
        <v/>
      </c>
    </row>
    <row r="685">
      <c r="A685">
        <f>'1 datos preparados'!A678</f>
        <v/>
      </c>
      <c r="B685" s="5">
        <f>'1 datos preparados'!U678</f>
        <v/>
      </c>
      <c r="C685">
        <f>'1 datos preparados'!B678</f>
        <v/>
      </c>
      <c r="D685" s="7">
        <f>'1 datos preparados'!C678</f>
        <v/>
      </c>
      <c r="E685" s="7">
        <f>'1 datos preparados'!D678</f>
        <v/>
      </c>
      <c r="F685" s="7">
        <f>'1 datos preparados'!E678</f>
        <v/>
      </c>
      <c r="G685" s="7">
        <f>'1 datos preparados'!F678</f>
        <v/>
      </c>
      <c r="H685" s="7">
        <f>'1 datos preparados'!G678</f>
        <v/>
      </c>
      <c r="I685" s="7">
        <f>'1 datos preparados'!H678</f>
        <v/>
      </c>
      <c r="J685" s="7">
        <f>'1 datos preparados'!I678</f>
        <v/>
      </c>
      <c r="K685" s="7">
        <f>'1 datos preparados'!J678</f>
        <v/>
      </c>
      <c r="L685" s="7">
        <f>'1 datos preparados'!K678</f>
        <v/>
      </c>
      <c r="M685" s="7">
        <f>'1 datos preparados'!L678</f>
        <v/>
      </c>
      <c r="N685" s="7">
        <f>'1 datos preparados'!M678</f>
        <v/>
      </c>
      <c r="O685" s="7">
        <f>'1 datos preparados'!N678</f>
        <v/>
      </c>
      <c r="P685" s="7">
        <f>'1 datos preparados'!O678</f>
        <v/>
      </c>
      <c r="Q685" s="7">
        <f>'1 datos preparados'!P678</f>
        <v/>
      </c>
      <c r="R685" s="7">
        <f>'1 datos preparados'!Q678</f>
        <v/>
      </c>
      <c r="S685" s="7">
        <f>'1 datos preparados'!R678</f>
        <v/>
      </c>
      <c r="T685" s="7">
        <f>'1 datos preparados'!S678</f>
        <v/>
      </c>
      <c r="U685" s="7">
        <f>'1 datos preparados'!T678</f>
        <v/>
      </c>
      <c r="V685" s="8">
        <f>$AC$12+D685*$AC$13+E685*$AC$14+F685*$AC$15+G685*$AC$16+H685*$AC$17+I685*$AC$18+J685*$AC$19+K685*$AC$20+L685*$AC$21+M685*$AC$22+N685*$AC$23+O685*$AC$24+P685*$AC$25+Q685*$AC$26+R685*$AC$27+S685*$AC$28+T685*$AC$29+U685*$AC$30</f>
        <v/>
      </c>
      <c r="W685" s="8">
        <f>1/(1+EXP(-V685))</f>
        <v/>
      </c>
      <c r="X685" s="9">
        <f>-IF(C685=1,LN(W685),LN(1-W685))</f>
        <v/>
      </c>
      <c r="Y685" s="10">
        <f>IF(W685&gt;$AC$33,1,0)</f>
        <v/>
      </c>
      <c r="Z685">
        <f>IF(Y685=C685,1,0)</f>
        <v/>
      </c>
    </row>
    <row r="686">
      <c r="A686">
        <f>'1 datos preparados'!A679</f>
        <v/>
      </c>
      <c r="B686" s="5">
        <f>'1 datos preparados'!U679</f>
        <v/>
      </c>
      <c r="C686">
        <f>'1 datos preparados'!B679</f>
        <v/>
      </c>
      <c r="D686" s="7">
        <f>'1 datos preparados'!C679</f>
        <v/>
      </c>
      <c r="E686" s="7">
        <f>'1 datos preparados'!D679</f>
        <v/>
      </c>
      <c r="F686" s="7">
        <f>'1 datos preparados'!E679</f>
        <v/>
      </c>
      <c r="G686" s="7">
        <f>'1 datos preparados'!F679</f>
        <v/>
      </c>
      <c r="H686" s="7">
        <f>'1 datos preparados'!G679</f>
        <v/>
      </c>
      <c r="I686" s="7">
        <f>'1 datos preparados'!H679</f>
        <v/>
      </c>
      <c r="J686" s="7">
        <f>'1 datos preparados'!I679</f>
        <v/>
      </c>
      <c r="K686" s="7">
        <f>'1 datos preparados'!J679</f>
        <v/>
      </c>
      <c r="L686" s="7">
        <f>'1 datos preparados'!K679</f>
        <v/>
      </c>
      <c r="M686" s="7">
        <f>'1 datos preparados'!L679</f>
        <v/>
      </c>
      <c r="N686" s="7">
        <f>'1 datos preparados'!M679</f>
        <v/>
      </c>
      <c r="O686" s="7">
        <f>'1 datos preparados'!N679</f>
        <v/>
      </c>
      <c r="P686" s="7">
        <f>'1 datos preparados'!O679</f>
        <v/>
      </c>
      <c r="Q686" s="7">
        <f>'1 datos preparados'!P679</f>
        <v/>
      </c>
      <c r="R686" s="7">
        <f>'1 datos preparados'!Q679</f>
        <v/>
      </c>
      <c r="S686" s="7">
        <f>'1 datos preparados'!R679</f>
        <v/>
      </c>
      <c r="T686" s="7">
        <f>'1 datos preparados'!S679</f>
        <v/>
      </c>
      <c r="U686" s="7">
        <f>'1 datos preparados'!T679</f>
        <v/>
      </c>
      <c r="V686" s="8">
        <f>$AC$12+D686*$AC$13+E686*$AC$14+F686*$AC$15+G686*$AC$16+H686*$AC$17+I686*$AC$18+J686*$AC$19+K686*$AC$20+L686*$AC$21+M686*$AC$22+N686*$AC$23+O686*$AC$24+P686*$AC$25+Q686*$AC$26+R686*$AC$27+S686*$AC$28+T686*$AC$29+U686*$AC$30</f>
        <v/>
      </c>
      <c r="W686" s="8">
        <f>1/(1+EXP(-V686))</f>
        <v/>
      </c>
      <c r="X686" s="9">
        <f>-IF(C686=1,LN(W686),LN(1-W686))</f>
        <v/>
      </c>
      <c r="Y686" s="10">
        <f>IF(W686&gt;$AC$33,1,0)</f>
        <v/>
      </c>
      <c r="Z686">
        <f>IF(Y686=C686,1,0)</f>
        <v/>
      </c>
    </row>
    <row r="687">
      <c r="A687">
        <f>'1 datos preparados'!A680</f>
        <v/>
      </c>
      <c r="B687" s="5">
        <f>'1 datos preparados'!U680</f>
        <v/>
      </c>
      <c r="C687">
        <f>'1 datos preparados'!B680</f>
        <v/>
      </c>
      <c r="D687" s="7">
        <f>'1 datos preparados'!C680</f>
        <v/>
      </c>
      <c r="E687" s="7">
        <f>'1 datos preparados'!D680</f>
        <v/>
      </c>
      <c r="F687" s="7">
        <f>'1 datos preparados'!E680</f>
        <v/>
      </c>
      <c r="G687" s="7">
        <f>'1 datos preparados'!F680</f>
        <v/>
      </c>
      <c r="H687" s="7">
        <f>'1 datos preparados'!G680</f>
        <v/>
      </c>
      <c r="I687" s="7">
        <f>'1 datos preparados'!H680</f>
        <v/>
      </c>
      <c r="J687" s="7">
        <f>'1 datos preparados'!I680</f>
        <v/>
      </c>
      <c r="K687" s="7">
        <f>'1 datos preparados'!J680</f>
        <v/>
      </c>
      <c r="L687" s="7">
        <f>'1 datos preparados'!K680</f>
        <v/>
      </c>
      <c r="M687" s="7">
        <f>'1 datos preparados'!L680</f>
        <v/>
      </c>
      <c r="N687" s="7">
        <f>'1 datos preparados'!M680</f>
        <v/>
      </c>
      <c r="O687" s="7">
        <f>'1 datos preparados'!N680</f>
        <v/>
      </c>
      <c r="P687" s="7">
        <f>'1 datos preparados'!O680</f>
        <v/>
      </c>
      <c r="Q687" s="7">
        <f>'1 datos preparados'!P680</f>
        <v/>
      </c>
      <c r="R687" s="7">
        <f>'1 datos preparados'!Q680</f>
        <v/>
      </c>
      <c r="S687" s="7">
        <f>'1 datos preparados'!R680</f>
        <v/>
      </c>
      <c r="T687" s="7">
        <f>'1 datos preparados'!S680</f>
        <v/>
      </c>
      <c r="U687" s="7">
        <f>'1 datos preparados'!T680</f>
        <v/>
      </c>
      <c r="V687" s="8">
        <f>$AC$12+D687*$AC$13+E687*$AC$14+F687*$AC$15+G687*$AC$16+H687*$AC$17+I687*$AC$18+J687*$AC$19+K687*$AC$20+L687*$AC$21+M687*$AC$22+N687*$AC$23+O687*$AC$24+P687*$AC$25+Q687*$AC$26+R687*$AC$27+S687*$AC$28+T687*$AC$29+U687*$AC$30</f>
        <v/>
      </c>
      <c r="W687" s="8">
        <f>1/(1+EXP(-V687))</f>
        <v/>
      </c>
      <c r="X687" s="9">
        <f>-IF(C687=1,LN(W687),LN(1-W687))</f>
        <v/>
      </c>
      <c r="Y687" s="10">
        <f>IF(W687&gt;$AC$33,1,0)</f>
        <v/>
      </c>
      <c r="Z687">
        <f>IF(Y687=C687,1,0)</f>
        <v/>
      </c>
    </row>
    <row r="688">
      <c r="A688">
        <f>'1 datos preparados'!A681</f>
        <v/>
      </c>
      <c r="B688" s="5">
        <f>'1 datos preparados'!U681</f>
        <v/>
      </c>
      <c r="C688">
        <f>'1 datos preparados'!B681</f>
        <v/>
      </c>
      <c r="D688" s="7">
        <f>'1 datos preparados'!C681</f>
        <v/>
      </c>
      <c r="E688" s="7">
        <f>'1 datos preparados'!D681</f>
        <v/>
      </c>
      <c r="F688" s="7">
        <f>'1 datos preparados'!E681</f>
        <v/>
      </c>
      <c r="G688" s="7">
        <f>'1 datos preparados'!F681</f>
        <v/>
      </c>
      <c r="H688" s="7">
        <f>'1 datos preparados'!G681</f>
        <v/>
      </c>
      <c r="I688" s="7">
        <f>'1 datos preparados'!H681</f>
        <v/>
      </c>
      <c r="J688" s="7">
        <f>'1 datos preparados'!I681</f>
        <v/>
      </c>
      <c r="K688" s="7">
        <f>'1 datos preparados'!J681</f>
        <v/>
      </c>
      <c r="L688" s="7">
        <f>'1 datos preparados'!K681</f>
        <v/>
      </c>
      <c r="M688" s="7">
        <f>'1 datos preparados'!L681</f>
        <v/>
      </c>
      <c r="N688" s="7">
        <f>'1 datos preparados'!M681</f>
        <v/>
      </c>
      <c r="O688" s="7">
        <f>'1 datos preparados'!N681</f>
        <v/>
      </c>
      <c r="P688" s="7">
        <f>'1 datos preparados'!O681</f>
        <v/>
      </c>
      <c r="Q688" s="7">
        <f>'1 datos preparados'!P681</f>
        <v/>
      </c>
      <c r="R688" s="7">
        <f>'1 datos preparados'!Q681</f>
        <v/>
      </c>
      <c r="S688" s="7">
        <f>'1 datos preparados'!R681</f>
        <v/>
      </c>
      <c r="T688" s="7">
        <f>'1 datos preparados'!S681</f>
        <v/>
      </c>
      <c r="U688" s="7">
        <f>'1 datos preparados'!T681</f>
        <v/>
      </c>
      <c r="V688" s="8">
        <f>$AC$12+D688*$AC$13+E688*$AC$14+F688*$AC$15+G688*$AC$16+H688*$AC$17+I688*$AC$18+J688*$AC$19+K688*$AC$20+L688*$AC$21+M688*$AC$22+N688*$AC$23+O688*$AC$24+P688*$AC$25+Q688*$AC$26+R688*$AC$27+S688*$AC$28+T688*$AC$29+U688*$AC$30</f>
        <v/>
      </c>
      <c r="W688" s="8">
        <f>1/(1+EXP(-V688))</f>
        <v/>
      </c>
      <c r="X688" s="9">
        <f>-IF(C688=1,LN(W688),LN(1-W688))</f>
        <v/>
      </c>
      <c r="Y688" s="10">
        <f>IF(W688&gt;$AC$33,1,0)</f>
        <v/>
      </c>
      <c r="Z688">
        <f>IF(Y688=C688,1,0)</f>
        <v/>
      </c>
    </row>
    <row r="689">
      <c r="A689">
        <f>'1 datos preparados'!A682</f>
        <v/>
      </c>
      <c r="B689" s="5">
        <f>'1 datos preparados'!U682</f>
        <v/>
      </c>
      <c r="C689">
        <f>'1 datos preparados'!B682</f>
        <v/>
      </c>
      <c r="D689" s="7">
        <f>'1 datos preparados'!C682</f>
        <v/>
      </c>
      <c r="E689" s="7">
        <f>'1 datos preparados'!D682</f>
        <v/>
      </c>
      <c r="F689" s="7">
        <f>'1 datos preparados'!E682</f>
        <v/>
      </c>
      <c r="G689" s="7">
        <f>'1 datos preparados'!F682</f>
        <v/>
      </c>
      <c r="H689" s="7">
        <f>'1 datos preparados'!G682</f>
        <v/>
      </c>
      <c r="I689" s="7">
        <f>'1 datos preparados'!H682</f>
        <v/>
      </c>
      <c r="J689" s="7">
        <f>'1 datos preparados'!I682</f>
        <v/>
      </c>
      <c r="K689" s="7">
        <f>'1 datos preparados'!J682</f>
        <v/>
      </c>
      <c r="L689" s="7">
        <f>'1 datos preparados'!K682</f>
        <v/>
      </c>
      <c r="M689" s="7">
        <f>'1 datos preparados'!L682</f>
        <v/>
      </c>
      <c r="N689" s="7">
        <f>'1 datos preparados'!M682</f>
        <v/>
      </c>
      <c r="O689" s="7">
        <f>'1 datos preparados'!N682</f>
        <v/>
      </c>
      <c r="P689" s="7">
        <f>'1 datos preparados'!O682</f>
        <v/>
      </c>
      <c r="Q689" s="7">
        <f>'1 datos preparados'!P682</f>
        <v/>
      </c>
      <c r="R689" s="7">
        <f>'1 datos preparados'!Q682</f>
        <v/>
      </c>
      <c r="S689" s="7">
        <f>'1 datos preparados'!R682</f>
        <v/>
      </c>
      <c r="T689" s="7">
        <f>'1 datos preparados'!S682</f>
        <v/>
      </c>
      <c r="U689" s="7">
        <f>'1 datos preparados'!T682</f>
        <v/>
      </c>
      <c r="V689" s="8">
        <f>$AC$12+D689*$AC$13+E689*$AC$14+F689*$AC$15+G689*$AC$16+H689*$AC$17+I689*$AC$18+J689*$AC$19+K689*$AC$20+L689*$AC$21+M689*$AC$22+N689*$AC$23+O689*$AC$24+P689*$AC$25+Q689*$AC$26+R689*$AC$27+S689*$AC$28+T689*$AC$29+U689*$AC$30</f>
        <v/>
      </c>
      <c r="W689" s="8">
        <f>1/(1+EXP(-V689))</f>
        <v/>
      </c>
      <c r="X689" s="9">
        <f>-IF(C689=1,LN(W689),LN(1-W689))</f>
        <v/>
      </c>
      <c r="Y689" s="10">
        <f>IF(W689&gt;$AC$33,1,0)</f>
        <v/>
      </c>
      <c r="Z689">
        <f>IF(Y689=C689,1,0)</f>
        <v/>
      </c>
    </row>
    <row r="690">
      <c r="A690">
        <f>'1 datos preparados'!A683</f>
        <v/>
      </c>
      <c r="B690" s="5">
        <f>'1 datos preparados'!U683</f>
        <v/>
      </c>
      <c r="C690">
        <f>'1 datos preparados'!B683</f>
        <v/>
      </c>
      <c r="D690" s="7">
        <f>'1 datos preparados'!C683</f>
        <v/>
      </c>
      <c r="E690" s="7">
        <f>'1 datos preparados'!D683</f>
        <v/>
      </c>
      <c r="F690" s="7">
        <f>'1 datos preparados'!E683</f>
        <v/>
      </c>
      <c r="G690" s="7">
        <f>'1 datos preparados'!F683</f>
        <v/>
      </c>
      <c r="H690" s="7">
        <f>'1 datos preparados'!G683</f>
        <v/>
      </c>
      <c r="I690" s="7">
        <f>'1 datos preparados'!H683</f>
        <v/>
      </c>
      <c r="J690" s="7">
        <f>'1 datos preparados'!I683</f>
        <v/>
      </c>
      <c r="K690" s="7">
        <f>'1 datos preparados'!J683</f>
        <v/>
      </c>
      <c r="L690" s="7">
        <f>'1 datos preparados'!K683</f>
        <v/>
      </c>
      <c r="M690" s="7">
        <f>'1 datos preparados'!L683</f>
        <v/>
      </c>
      <c r="N690" s="7">
        <f>'1 datos preparados'!M683</f>
        <v/>
      </c>
      <c r="O690" s="7">
        <f>'1 datos preparados'!N683</f>
        <v/>
      </c>
      <c r="P690" s="7">
        <f>'1 datos preparados'!O683</f>
        <v/>
      </c>
      <c r="Q690" s="7">
        <f>'1 datos preparados'!P683</f>
        <v/>
      </c>
      <c r="R690" s="7">
        <f>'1 datos preparados'!Q683</f>
        <v/>
      </c>
      <c r="S690" s="7">
        <f>'1 datos preparados'!R683</f>
        <v/>
      </c>
      <c r="T690" s="7">
        <f>'1 datos preparados'!S683</f>
        <v/>
      </c>
      <c r="U690" s="7">
        <f>'1 datos preparados'!T683</f>
        <v/>
      </c>
      <c r="V690" s="8">
        <f>$AC$12+D690*$AC$13+E690*$AC$14+F690*$AC$15+G690*$AC$16+H690*$AC$17+I690*$AC$18+J690*$AC$19+K690*$AC$20+L690*$AC$21+M690*$AC$22+N690*$AC$23+O690*$AC$24+P690*$AC$25+Q690*$AC$26+R690*$AC$27+S690*$AC$28+T690*$AC$29+U690*$AC$30</f>
        <v/>
      </c>
      <c r="W690" s="8">
        <f>1/(1+EXP(-V690))</f>
        <v/>
      </c>
      <c r="X690" s="9">
        <f>-IF(C690=1,LN(W690),LN(1-W690))</f>
        <v/>
      </c>
      <c r="Y690" s="10">
        <f>IF(W690&gt;$AC$33,1,0)</f>
        <v/>
      </c>
      <c r="Z690">
        <f>IF(Y690=C690,1,0)</f>
        <v/>
      </c>
    </row>
    <row r="691">
      <c r="A691">
        <f>'1 datos preparados'!A684</f>
        <v/>
      </c>
      <c r="B691" s="5">
        <f>'1 datos preparados'!U684</f>
        <v/>
      </c>
      <c r="C691">
        <f>'1 datos preparados'!B684</f>
        <v/>
      </c>
      <c r="D691" s="7">
        <f>'1 datos preparados'!C684</f>
        <v/>
      </c>
      <c r="E691" s="7">
        <f>'1 datos preparados'!D684</f>
        <v/>
      </c>
      <c r="F691" s="7">
        <f>'1 datos preparados'!E684</f>
        <v/>
      </c>
      <c r="G691" s="7">
        <f>'1 datos preparados'!F684</f>
        <v/>
      </c>
      <c r="H691" s="7">
        <f>'1 datos preparados'!G684</f>
        <v/>
      </c>
      <c r="I691" s="7">
        <f>'1 datos preparados'!H684</f>
        <v/>
      </c>
      <c r="J691" s="7">
        <f>'1 datos preparados'!I684</f>
        <v/>
      </c>
      <c r="K691" s="7">
        <f>'1 datos preparados'!J684</f>
        <v/>
      </c>
      <c r="L691" s="7">
        <f>'1 datos preparados'!K684</f>
        <v/>
      </c>
      <c r="M691" s="7">
        <f>'1 datos preparados'!L684</f>
        <v/>
      </c>
      <c r="N691" s="7">
        <f>'1 datos preparados'!M684</f>
        <v/>
      </c>
      <c r="O691" s="7">
        <f>'1 datos preparados'!N684</f>
        <v/>
      </c>
      <c r="P691" s="7">
        <f>'1 datos preparados'!O684</f>
        <v/>
      </c>
      <c r="Q691" s="7">
        <f>'1 datos preparados'!P684</f>
        <v/>
      </c>
      <c r="R691" s="7">
        <f>'1 datos preparados'!Q684</f>
        <v/>
      </c>
      <c r="S691" s="7">
        <f>'1 datos preparados'!R684</f>
        <v/>
      </c>
      <c r="T691" s="7">
        <f>'1 datos preparados'!S684</f>
        <v/>
      </c>
      <c r="U691" s="7">
        <f>'1 datos preparados'!T684</f>
        <v/>
      </c>
      <c r="V691" s="8">
        <f>$AC$12+D691*$AC$13+E691*$AC$14+F691*$AC$15+G691*$AC$16+H691*$AC$17+I691*$AC$18+J691*$AC$19+K691*$AC$20+L691*$AC$21+M691*$AC$22+N691*$AC$23+O691*$AC$24+P691*$AC$25+Q691*$AC$26+R691*$AC$27+S691*$AC$28+T691*$AC$29+U691*$AC$30</f>
        <v/>
      </c>
      <c r="W691" s="8">
        <f>1/(1+EXP(-V691))</f>
        <v/>
      </c>
      <c r="X691" s="9">
        <f>-IF(C691=1,LN(W691),LN(1-W691))</f>
        <v/>
      </c>
      <c r="Y691" s="10">
        <f>IF(W691&gt;$AC$33,1,0)</f>
        <v/>
      </c>
      <c r="Z691">
        <f>IF(Y691=C691,1,0)</f>
        <v/>
      </c>
    </row>
    <row r="692">
      <c r="A692">
        <f>'1 datos preparados'!A685</f>
        <v/>
      </c>
      <c r="B692" s="5">
        <f>'1 datos preparados'!U685</f>
        <v/>
      </c>
      <c r="C692">
        <f>'1 datos preparados'!B685</f>
        <v/>
      </c>
      <c r="D692" s="7">
        <f>'1 datos preparados'!C685</f>
        <v/>
      </c>
      <c r="E692" s="7">
        <f>'1 datos preparados'!D685</f>
        <v/>
      </c>
      <c r="F692" s="7">
        <f>'1 datos preparados'!E685</f>
        <v/>
      </c>
      <c r="G692" s="7">
        <f>'1 datos preparados'!F685</f>
        <v/>
      </c>
      <c r="H692" s="7">
        <f>'1 datos preparados'!G685</f>
        <v/>
      </c>
      <c r="I692" s="7">
        <f>'1 datos preparados'!H685</f>
        <v/>
      </c>
      <c r="J692" s="7">
        <f>'1 datos preparados'!I685</f>
        <v/>
      </c>
      <c r="K692" s="7">
        <f>'1 datos preparados'!J685</f>
        <v/>
      </c>
      <c r="L692" s="7">
        <f>'1 datos preparados'!K685</f>
        <v/>
      </c>
      <c r="M692" s="7">
        <f>'1 datos preparados'!L685</f>
        <v/>
      </c>
      <c r="N692" s="7">
        <f>'1 datos preparados'!M685</f>
        <v/>
      </c>
      <c r="O692" s="7">
        <f>'1 datos preparados'!N685</f>
        <v/>
      </c>
      <c r="P692" s="7">
        <f>'1 datos preparados'!O685</f>
        <v/>
      </c>
      <c r="Q692" s="7">
        <f>'1 datos preparados'!P685</f>
        <v/>
      </c>
      <c r="R692" s="7">
        <f>'1 datos preparados'!Q685</f>
        <v/>
      </c>
      <c r="S692" s="7">
        <f>'1 datos preparados'!R685</f>
        <v/>
      </c>
      <c r="T692" s="7">
        <f>'1 datos preparados'!S685</f>
        <v/>
      </c>
      <c r="U692" s="7">
        <f>'1 datos preparados'!T685</f>
        <v/>
      </c>
      <c r="V692" s="8">
        <f>$AC$12+D692*$AC$13+E692*$AC$14+F692*$AC$15+G692*$AC$16+H692*$AC$17+I692*$AC$18+J692*$AC$19+K692*$AC$20+L692*$AC$21+M692*$AC$22+N692*$AC$23+O692*$AC$24+P692*$AC$25+Q692*$AC$26+R692*$AC$27+S692*$AC$28+T692*$AC$29+U692*$AC$30</f>
        <v/>
      </c>
      <c r="W692" s="8">
        <f>1/(1+EXP(-V692))</f>
        <v/>
      </c>
      <c r="X692" s="9">
        <f>-IF(C692=1,LN(W692),LN(1-W692))</f>
        <v/>
      </c>
      <c r="Y692" s="10">
        <f>IF(W692&gt;$AC$33,1,0)</f>
        <v/>
      </c>
      <c r="Z692">
        <f>IF(Y692=C692,1,0)</f>
        <v/>
      </c>
    </row>
    <row r="693">
      <c r="A693">
        <f>'1 datos preparados'!A686</f>
        <v/>
      </c>
      <c r="B693" s="5">
        <f>'1 datos preparados'!U686</f>
        <v/>
      </c>
      <c r="C693">
        <f>'1 datos preparados'!B686</f>
        <v/>
      </c>
      <c r="D693" s="7">
        <f>'1 datos preparados'!C686</f>
        <v/>
      </c>
      <c r="E693" s="7">
        <f>'1 datos preparados'!D686</f>
        <v/>
      </c>
      <c r="F693" s="7">
        <f>'1 datos preparados'!E686</f>
        <v/>
      </c>
      <c r="G693" s="7">
        <f>'1 datos preparados'!F686</f>
        <v/>
      </c>
      <c r="H693" s="7">
        <f>'1 datos preparados'!G686</f>
        <v/>
      </c>
      <c r="I693" s="7">
        <f>'1 datos preparados'!H686</f>
        <v/>
      </c>
      <c r="J693" s="7">
        <f>'1 datos preparados'!I686</f>
        <v/>
      </c>
      <c r="K693" s="7">
        <f>'1 datos preparados'!J686</f>
        <v/>
      </c>
      <c r="L693" s="7">
        <f>'1 datos preparados'!K686</f>
        <v/>
      </c>
      <c r="M693" s="7">
        <f>'1 datos preparados'!L686</f>
        <v/>
      </c>
      <c r="N693" s="7">
        <f>'1 datos preparados'!M686</f>
        <v/>
      </c>
      <c r="O693" s="7">
        <f>'1 datos preparados'!N686</f>
        <v/>
      </c>
      <c r="P693" s="7">
        <f>'1 datos preparados'!O686</f>
        <v/>
      </c>
      <c r="Q693" s="7">
        <f>'1 datos preparados'!P686</f>
        <v/>
      </c>
      <c r="R693" s="7">
        <f>'1 datos preparados'!Q686</f>
        <v/>
      </c>
      <c r="S693" s="7">
        <f>'1 datos preparados'!R686</f>
        <v/>
      </c>
      <c r="T693" s="7">
        <f>'1 datos preparados'!S686</f>
        <v/>
      </c>
      <c r="U693" s="7">
        <f>'1 datos preparados'!T686</f>
        <v/>
      </c>
      <c r="V693" s="8">
        <f>$AC$12+D693*$AC$13+E693*$AC$14+F693*$AC$15+G693*$AC$16+H693*$AC$17+I693*$AC$18+J693*$AC$19+K693*$AC$20+L693*$AC$21+M693*$AC$22+N693*$AC$23+O693*$AC$24+P693*$AC$25+Q693*$AC$26+R693*$AC$27+S693*$AC$28+T693*$AC$29+U693*$AC$30</f>
        <v/>
      </c>
      <c r="W693" s="8">
        <f>1/(1+EXP(-V693))</f>
        <v/>
      </c>
      <c r="X693" s="9">
        <f>-IF(C693=1,LN(W693),LN(1-W693))</f>
        <v/>
      </c>
      <c r="Y693" s="10">
        <f>IF(W693&gt;$AC$33,1,0)</f>
        <v/>
      </c>
      <c r="Z693">
        <f>IF(Y693=C693,1,0)</f>
        <v/>
      </c>
    </row>
    <row r="694">
      <c r="A694">
        <f>'1 datos preparados'!A687</f>
        <v/>
      </c>
      <c r="B694" s="5">
        <f>'1 datos preparados'!U687</f>
        <v/>
      </c>
      <c r="C694">
        <f>'1 datos preparados'!B687</f>
        <v/>
      </c>
      <c r="D694" s="7">
        <f>'1 datos preparados'!C687</f>
        <v/>
      </c>
      <c r="E694" s="7">
        <f>'1 datos preparados'!D687</f>
        <v/>
      </c>
      <c r="F694" s="7">
        <f>'1 datos preparados'!E687</f>
        <v/>
      </c>
      <c r="G694" s="7">
        <f>'1 datos preparados'!F687</f>
        <v/>
      </c>
      <c r="H694" s="7">
        <f>'1 datos preparados'!G687</f>
        <v/>
      </c>
      <c r="I694" s="7">
        <f>'1 datos preparados'!H687</f>
        <v/>
      </c>
      <c r="J694" s="7">
        <f>'1 datos preparados'!I687</f>
        <v/>
      </c>
      <c r="K694" s="7">
        <f>'1 datos preparados'!J687</f>
        <v/>
      </c>
      <c r="L694" s="7">
        <f>'1 datos preparados'!K687</f>
        <v/>
      </c>
      <c r="M694" s="7">
        <f>'1 datos preparados'!L687</f>
        <v/>
      </c>
      <c r="N694" s="7">
        <f>'1 datos preparados'!M687</f>
        <v/>
      </c>
      <c r="O694" s="7">
        <f>'1 datos preparados'!N687</f>
        <v/>
      </c>
      <c r="P694" s="7">
        <f>'1 datos preparados'!O687</f>
        <v/>
      </c>
      <c r="Q694" s="7">
        <f>'1 datos preparados'!P687</f>
        <v/>
      </c>
      <c r="R694" s="7">
        <f>'1 datos preparados'!Q687</f>
        <v/>
      </c>
      <c r="S694" s="7">
        <f>'1 datos preparados'!R687</f>
        <v/>
      </c>
      <c r="T694" s="7">
        <f>'1 datos preparados'!S687</f>
        <v/>
      </c>
      <c r="U694" s="7">
        <f>'1 datos preparados'!T687</f>
        <v/>
      </c>
      <c r="V694" s="8">
        <f>$AC$12+D694*$AC$13+E694*$AC$14+F694*$AC$15+G694*$AC$16+H694*$AC$17+I694*$AC$18+J694*$AC$19+K694*$AC$20+L694*$AC$21+M694*$AC$22+N694*$AC$23+O694*$AC$24+P694*$AC$25+Q694*$AC$26+R694*$AC$27+S694*$AC$28+T694*$AC$29+U694*$AC$30</f>
        <v/>
      </c>
      <c r="W694" s="8">
        <f>1/(1+EXP(-V694))</f>
        <v/>
      </c>
      <c r="X694" s="9">
        <f>-IF(C694=1,LN(W694),LN(1-W694))</f>
        <v/>
      </c>
      <c r="Y694" s="10">
        <f>IF(W694&gt;$AC$33,1,0)</f>
        <v/>
      </c>
      <c r="Z694">
        <f>IF(Y694=C694,1,0)</f>
        <v/>
      </c>
    </row>
    <row r="695">
      <c r="A695">
        <f>'1 datos preparados'!A688</f>
        <v/>
      </c>
      <c r="B695" s="5">
        <f>'1 datos preparados'!U688</f>
        <v/>
      </c>
      <c r="C695">
        <f>'1 datos preparados'!B688</f>
        <v/>
      </c>
      <c r="D695" s="7">
        <f>'1 datos preparados'!C688</f>
        <v/>
      </c>
      <c r="E695" s="7">
        <f>'1 datos preparados'!D688</f>
        <v/>
      </c>
      <c r="F695" s="7">
        <f>'1 datos preparados'!E688</f>
        <v/>
      </c>
      <c r="G695" s="7">
        <f>'1 datos preparados'!F688</f>
        <v/>
      </c>
      <c r="H695" s="7">
        <f>'1 datos preparados'!G688</f>
        <v/>
      </c>
      <c r="I695" s="7">
        <f>'1 datos preparados'!H688</f>
        <v/>
      </c>
      <c r="J695" s="7">
        <f>'1 datos preparados'!I688</f>
        <v/>
      </c>
      <c r="K695" s="7">
        <f>'1 datos preparados'!J688</f>
        <v/>
      </c>
      <c r="L695" s="7">
        <f>'1 datos preparados'!K688</f>
        <v/>
      </c>
      <c r="M695" s="7">
        <f>'1 datos preparados'!L688</f>
        <v/>
      </c>
      <c r="N695" s="7">
        <f>'1 datos preparados'!M688</f>
        <v/>
      </c>
      <c r="O695" s="7">
        <f>'1 datos preparados'!N688</f>
        <v/>
      </c>
      <c r="P695" s="7">
        <f>'1 datos preparados'!O688</f>
        <v/>
      </c>
      <c r="Q695" s="7">
        <f>'1 datos preparados'!P688</f>
        <v/>
      </c>
      <c r="R695" s="7">
        <f>'1 datos preparados'!Q688</f>
        <v/>
      </c>
      <c r="S695" s="7">
        <f>'1 datos preparados'!R688</f>
        <v/>
      </c>
      <c r="T695" s="7">
        <f>'1 datos preparados'!S688</f>
        <v/>
      </c>
      <c r="U695" s="7">
        <f>'1 datos preparados'!T688</f>
        <v/>
      </c>
      <c r="V695" s="8">
        <f>$AC$12+D695*$AC$13+E695*$AC$14+F695*$AC$15+G695*$AC$16+H695*$AC$17+I695*$AC$18+J695*$AC$19+K695*$AC$20+L695*$AC$21+M695*$AC$22+N695*$AC$23+O695*$AC$24+P695*$AC$25+Q695*$AC$26+R695*$AC$27+S695*$AC$28+T695*$AC$29+U695*$AC$30</f>
        <v/>
      </c>
      <c r="W695" s="8">
        <f>1/(1+EXP(-V695))</f>
        <v/>
      </c>
      <c r="X695" s="9">
        <f>-IF(C695=1,LN(W695),LN(1-W695))</f>
        <v/>
      </c>
      <c r="Y695" s="10">
        <f>IF(W695&gt;$AC$33,1,0)</f>
        <v/>
      </c>
      <c r="Z695">
        <f>IF(Y695=C695,1,0)</f>
        <v/>
      </c>
    </row>
    <row r="696">
      <c r="A696">
        <f>'1 datos preparados'!A689</f>
        <v/>
      </c>
      <c r="B696" s="5">
        <f>'1 datos preparados'!U689</f>
        <v/>
      </c>
      <c r="C696">
        <f>'1 datos preparados'!B689</f>
        <v/>
      </c>
      <c r="D696" s="7">
        <f>'1 datos preparados'!C689</f>
        <v/>
      </c>
      <c r="E696" s="7">
        <f>'1 datos preparados'!D689</f>
        <v/>
      </c>
      <c r="F696" s="7">
        <f>'1 datos preparados'!E689</f>
        <v/>
      </c>
      <c r="G696" s="7">
        <f>'1 datos preparados'!F689</f>
        <v/>
      </c>
      <c r="H696" s="7">
        <f>'1 datos preparados'!G689</f>
        <v/>
      </c>
      <c r="I696" s="7">
        <f>'1 datos preparados'!H689</f>
        <v/>
      </c>
      <c r="J696" s="7">
        <f>'1 datos preparados'!I689</f>
        <v/>
      </c>
      <c r="K696" s="7">
        <f>'1 datos preparados'!J689</f>
        <v/>
      </c>
      <c r="L696" s="7">
        <f>'1 datos preparados'!K689</f>
        <v/>
      </c>
      <c r="M696" s="7">
        <f>'1 datos preparados'!L689</f>
        <v/>
      </c>
      <c r="N696" s="7">
        <f>'1 datos preparados'!M689</f>
        <v/>
      </c>
      <c r="O696" s="7">
        <f>'1 datos preparados'!N689</f>
        <v/>
      </c>
      <c r="P696" s="7">
        <f>'1 datos preparados'!O689</f>
        <v/>
      </c>
      <c r="Q696" s="7">
        <f>'1 datos preparados'!P689</f>
        <v/>
      </c>
      <c r="R696" s="7">
        <f>'1 datos preparados'!Q689</f>
        <v/>
      </c>
      <c r="S696" s="7">
        <f>'1 datos preparados'!R689</f>
        <v/>
      </c>
      <c r="T696" s="7">
        <f>'1 datos preparados'!S689</f>
        <v/>
      </c>
      <c r="U696" s="7">
        <f>'1 datos preparados'!T689</f>
        <v/>
      </c>
      <c r="V696" s="8">
        <f>$AC$12+D696*$AC$13+E696*$AC$14+F696*$AC$15+G696*$AC$16+H696*$AC$17+I696*$AC$18+J696*$AC$19+K696*$AC$20+L696*$AC$21+M696*$AC$22+N696*$AC$23+O696*$AC$24+P696*$AC$25+Q696*$AC$26+R696*$AC$27+S696*$AC$28+T696*$AC$29+U696*$AC$30</f>
        <v/>
      </c>
      <c r="W696" s="8">
        <f>1/(1+EXP(-V696))</f>
        <v/>
      </c>
      <c r="X696" s="9">
        <f>-IF(C696=1,LN(W696),LN(1-W696))</f>
        <v/>
      </c>
      <c r="Y696" s="10">
        <f>IF(W696&gt;$AC$33,1,0)</f>
        <v/>
      </c>
      <c r="Z696">
        <f>IF(Y696=C696,1,0)</f>
        <v/>
      </c>
    </row>
    <row r="697">
      <c r="A697">
        <f>'1 datos preparados'!A690</f>
        <v/>
      </c>
      <c r="B697" s="5">
        <f>'1 datos preparados'!U690</f>
        <v/>
      </c>
      <c r="C697">
        <f>'1 datos preparados'!B690</f>
        <v/>
      </c>
      <c r="D697" s="7">
        <f>'1 datos preparados'!C690</f>
        <v/>
      </c>
      <c r="E697" s="7">
        <f>'1 datos preparados'!D690</f>
        <v/>
      </c>
      <c r="F697" s="7">
        <f>'1 datos preparados'!E690</f>
        <v/>
      </c>
      <c r="G697" s="7">
        <f>'1 datos preparados'!F690</f>
        <v/>
      </c>
      <c r="H697" s="7">
        <f>'1 datos preparados'!G690</f>
        <v/>
      </c>
      <c r="I697" s="7">
        <f>'1 datos preparados'!H690</f>
        <v/>
      </c>
      <c r="J697" s="7">
        <f>'1 datos preparados'!I690</f>
        <v/>
      </c>
      <c r="K697" s="7">
        <f>'1 datos preparados'!J690</f>
        <v/>
      </c>
      <c r="L697" s="7">
        <f>'1 datos preparados'!K690</f>
        <v/>
      </c>
      <c r="M697" s="7">
        <f>'1 datos preparados'!L690</f>
        <v/>
      </c>
      <c r="N697" s="7">
        <f>'1 datos preparados'!M690</f>
        <v/>
      </c>
      <c r="O697" s="7">
        <f>'1 datos preparados'!N690</f>
        <v/>
      </c>
      <c r="P697" s="7">
        <f>'1 datos preparados'!O690</f>
        <v/>
      </c>
      <c r="Q697" s="7">
        <f>'1 datos preparados'!P690</f>
        <v/>
      </c>
      <c r="R697" s="7">
        <f>'1 datos preparados'!Q690</f>
        <v/>
      </c>
      <c r="S697" s="7">
        <f>'1 datos preparados'!R690</f>
        <v/>
      </c>
      <c r="T697" s="7">
        <f>'1 datos preparados'!S690</f>
        <v/>
      </c>
      <c r="U697" s="7">
        <f>'1 datos preparados'!T690</f>
        <v/>
      </c>
      <c r="V697" s="8">
        <f>$AC$12+D697*$AC$13+E697*$AC$14+F697*$AC$15+G697*$AC$16+H697*$AC$17+I697*$AC$18+J697*$AC$19+K697*$AC$20+L697*$AC$21+M697*$AC$22+N697*$AC$23+O697*$AC$24+P697*$AC$25+Q697*$AC$26+R697*$AC$27+S697*$AC$28+T697*$AC$29+U697*$AC$30</f>
        <v/>
      </c>
      <c r="W697" s="8">
        <f>1/(1+EXP(-V697))</f>
        <v/>
      </c>
      <c r="X697" s="9">
        <f>-IF(C697=1,LN(W697),LN(1-W697))</f>
        <v/>
      </c>
      <c r="Y697" s="10">
        <f>IF(W697&gt;$AC$33,1,0)</f>
        <v/>
      </c>
      <c r="Z697">
        <f>IF(Y697=C697,1,0)</f>
        <v/>
      </c>
    </row>
    <row r="698">
      <c r="A698">
        <f>'1 datos preparados'!A691</f>
        <v/>
      </c>
      <c r="B698" s="5">
        <f>'1 datos preparados'!U691</f>
        <v/>
      </c>
      <c r="C698">
        <f>'1 datos preparados'!B691</f>
        <v/>
      </c>
      <c r="D698" s="7">
        <f>'1 datos preparados'!C691</f>
        <v/>
      </c>
      <c r="E698" s="7">
        <f>'1 datos preparados'!D691</f>
        <v/>
      </c>
      <c r="F698" s="7">
        <f>'1 datos preparados'!E691</f>
        <v/>
      </c>
      <c r="G698" s="7">
        <f>'1 datos preparados'!F691</f>
        <v/>
      </c>
      <c r="H698" s="7">
        <f>'1 datos preparados'!G691</f>
        <v/>
      </c>
      <c r="I698" s="7">
        <f>'1 datos preparados'!H691</f>
        <v/>
      </c>
      <c r="J698" s="7">
        <f>'1 datos preparados'!I691</f>
        <v/>
      </c>
      <c r="K698" s="7">
        <f>'1 datos preparados'!J691</f>
        <v/>
      </c>
      <c r="L698" s="7">
        <f>'1 datos preparados'!K691</f>
        <v/>
      </c>
      <c r="M698" s="7">
        <f>'1 datos preparados'!L691</f>
        <v/>
      </c>
      <c r="N698" s="7">
        <f>'1 datos preparados'!M691</f>
        <v/>
      </c>
      <c r="O698" s="7">
        <f>'1 datos preparados'!N691</f>
        <v/>
      </c>
      <c r="P698" s="7">
        <f>'1 datos preparados'!O691</f>
        <v/>
      </c>
      <c r="Q698" s="7">
        <f>'1 datos preparados'!P691</f>
        <v/>
      </c>
      <c r="R698" s="7">
        <f>'1 datos preparados'!Q691</f>
        <v/>
      </c>
      <c r="S698" s="7">
        <f>'1 datos preparados'!R691</f>
        <v/>
      </c>
      <c r="T698" s="7">
        <f>'1 datos preparados'!S691</f>
        <v/>
      </c>
      <c r="U698" s="7">
        <f>'1 datos preparados'!T691</f>
        <v/>
      </c>
      <c r="V698" s="8">
        <f>$AC$12+D698*$AC$13+E698*$AC$14+F698*$AC$15+G698*$AC$16+H698*$AC$17+I698*$AC$18+J698*$AC$19+K698*$AC$20+L698*$AC$21+M698*$AC$22+N698*$AC$23+O698*$AC$24+P698*$AC$25+Q698*$AC$26+R698*$AC$27+S698*$AC$28+T698*$AC$29+U698*$AC$30</f>
        <v/>
      </c>
      <c r="W698" s="8">
        <f>1/(1+EXP(-V698))</f>
        <v/>
      </c>
      <c r="X698" s="9">
        <f>-IF(C698=1,LN(W698),LN(1-W698))</f>
        <v/>
      </c>
      <c r="Y698" s="10">
        <f>IF(W698&gt;$AC$33,1,0)</f>
        <v/>
      </c>
      <c r="Z698">
        <f>IF(Y698=C698,1,0)</f>
        <v/>
      </c>
    </row>
    <row r="699">
      <c r="A699">
        <f>'1 datos preparados'!A692</f>
        <v/>
      </c>
      <c r="B699" s="5">
        <f>'1 datos preparados'!U692</f>
        <v/>
      </c>
      <c r="C699">
        <f>'1 datos preparados'!B692</f>
        <v/>
      </c>
      <c r="D699" s="7">
        <f>'1 datos preparados'!C692</f>
        <v/>
      </c>
      <c r="E699" s="7">
        <f>'1 datos preparados'!D692</f>
        <v/>
      </c>
      <c r="F699" s="7">
        <f>'1 datos preparados'!E692</f>
        <v/>
      </c>
      <c r="G699" s="7">
        <f>'1 datos preparados'!F692</f>
        <v/>
      </c>
      <c r="H699" s="7">
        <f>'1 datos preparados'!G692</f>
        <v/>
      </c>
      <c r="I699" s="7">
        <f>'1 datos preparados'!H692</f>
        <v/>
      </c>
      <c r="J699" s="7">
        <f>'1 datos preparados'!I692</f>
        <v/>
      </c>
      <c r="K699" s="7">
        <f>'1 datos preparados'!J692</f>
        <v/>
      </c>
      <c r="L699" s="7">
        <f>'1 datos preparados'!K692</f>
        <v/>
      </c>
      <c r="M699" s="7">
        <f>'1 datos preparados'!L692</f>
        <v/>
      </c>
      <c r="N699" s="7">
        <f>'1 datos preparados'!M692</f>
        <v/>
      </c>
      <c r="O699" s="7">
        <f>'1 datos preparados'!N692</f>
        <v/>
      </c>
      <c r="P699" s="7">
        <f>'1 datos preparados'!O692</f>
        <v/>
      </c>
      <c r="Q699" s="7">
        <f>'1 datos preparados'!P692</f>
        <v/>
      </c>
      <c r="R699" s="7">
        <f>'1 datos preparados'!Q692</f>
        <v/>
      </c>
      <c r="S699" s="7">
        <f>'1 datos preparados'!R692</f>
        <v/>
      </c>
      <c r="T699" s="7">
        <f>'1 datos preparados'!S692</f>
        <v/>
      </c>
      <c r="U699" s="7">
        <f>'1 datos preparados'!T692</f>
        <v/>
      </c>
      <c r="V699" s="8">
        <f>$AC$12+D699*$AC$13+E699*$AC$14+F699*$AC$15+G699*$AC$16+H699*$AC$17+I699*$AC$18+J699*$AC$19+K699*$AC$20+L699*$AC$21+M699*$AC$22+N699*$AC$23+O699*$AC$24+P699*$AC$25+Q699*$AC$26+R699*$AC$27+S699*$AC$28+T699*$AC$29+U699*$AC$30</f>
        <v/>
      </c>
      <c r="W699" s="8">
        <f>1/(1+EXP(-V699))</f>
        <v/>
      </c>
      <c r="X699" s="9">
        <f>-IF(C699=1,LN(W699),LN(1-W699))</f>
        <v/>
      </c>
      <c r="Y699" s="10">
        <f>IF(W699&gt;$AC$33,1,0)</f>
        <v/>
      </c>
      <c r="Z699">
        <f>IF(Y699=C699,1,0)</f>
        <v/>
      </c>
    </row>
    <row r="700">
      <c r="A700">
        <f>'1 datos preparados'!A693</f>
        <v/>
      </c>
      <c r="B700" s="5">
        <f>'1 datos preparados'!U693</f>
        <v/>
      </c>
      <c r="C700">
        <f>'1 datos preparados'!B693</f>
        <v/>
      </c>
      <c r="D700" s="7">
        <f>'1 datos preparados'!C693</f>
        <v/>
      </c>
      <c r="E700" s="7">
        <f>'1 datos preparados'!D693</f>
        <v/>
      </c>
      <c r="F700" s="7">
        <f>'1 datos preparados'!E693</f>
        <v/>
      </c>
      <c r="G700" s="7">
        <f>'1 datos preparados'!F693</f>
        <v/>
      </c>
      <c r="H700" s="7">
        <f>'1 datos preparados'!G693</f>
        <v/>
      </c>
      <c r="I700" s="7">
        <f>'1 datos preparados'!H693</f>
        <v/>
      </c>
      <c r="J700" s="7">
        <f>'1 datos preparados'!I693</f>
        <v/>
      </c>
      <c r="K700" s="7">
        <f>'1 datos preparados'!J693</f>
        <v/>
      </c>
      <c r="L700" s="7">
        <f>'1 datos preparados'!K693</f>
        <v/>
      </c>
      <c r="M700" s="7">
        <f>'1 datos preparados'!L693</f>
        <v/>
      </c>
      <c r="N700" s="7">
        <f>'1 datos preparados'!M693</f>
        <v/>
      </c>
      <c r="O700" s="7">
        <f>'1 datos preparados'!N693</f>
        <v/>
      </c>
      <c r="P700" s="7">
        <f>'1 datos preparados'!O693</f>
        <v/>
      </c>
      <c r="Q700" s="7">
        <f>'1 datos preparados'!P693</f>
        <v/>
      </c>
      <c r="R700" s="7">
        <f>'1 datos preparados'!Q693</f>
        <v/>
      </c>
      <c r="S700" s="7">
        <f>'1 datos preparados'!R693</f>
        <v/>
      </c>
      <c r="T700" s="7">
        <f>'1 datos preparados'!S693</f>
        <v/>
      </c>
      <c r="U700" s="7">
        <f>'1 datos preparados'!T693</f>
        <v/>
      </c>
      <c r="V700" s="8">
        <f>$AC$12+D700*$AC$13+E700*$AC$14+F700*$AC$15+G700*$AC$16+H700*$AC$17+I700*$AC$18+J700*$AC$19+K700*$AC$20+L700*$AC$21+M700*$AC$22+N700*$AC$23+O700*$AC$24+P700*$AC$25+Q700*$AC$26+R700*$AC$27+S700*$AC$28+T700*$AC$29+U700*$AC$30</f>
        <v/>
      </c>
      <c r="W700" s="8">
        <f>1/(1+EXP(-V700))</f>
        <v/>
      </c>
      <c r="X700" s="9">
        <f>-IF(C700=1,LN(W700),LN(1-W700))</f>
        <v/>
      </c>
      <c r="Y700" s="10">
        <f>IF(W700&gt;$AC$33,1,0)</f>
        <v/>
      </c>
      <c r="Z700">
        <f>IF(Y700=C700,1,0)</f>
        <v/>
      </c>
    </row>
    <row r="701">
      <c r="A701">
        <f>'1 datos preparados'!A694</f>
        <v/>
      </c>
      <c r="B701" s="5">
        <f>'1 datos preparados'!U694</f>
        <v/>
      </c>
      <c r="C701">
        <f>'1 datos preparados'!B694</f>
        <v/>
      </c>
      <c r="D701" s="7">
        <f>'1 datos preparados'!C694</f>
        <v/>
      </c>
      <c r="E701" s="7">
        <f>'1 datos preparados'!D694</f>
        <v/>
      </c>
      <c r="F701" s="7">
        <f>'1 datos preparados'!E694</f>
        <v/>
      </c>
      <c r="G701" s="7">
        <f>'1 datos preparados'!F694</f>
        <v/>
      </c>
      <c r="H701" s="7">
        <f>'1 datos preparados'!G694</f>
        <v/>
      </c>
      <c r="I701" s="7">
        <f>'1 datos preparados'!H694</f>
        <v/>
      </c>
      <c r="J701" s="7">
        <f>'1 datos preparados'!I694</f>
        <v/>
      </c>
      <c r="K701" s="7">
        <f>'1 datos preparados'!J694</f>
        <v/>
      </c>
      <c r="L701" s="7">
        <f>'1 datos preparados'!K694</f>
        <v/>
      </c>
      <c r="M701" s="7">
        <f>'1 datos preparados'!L694</f>
        <v/>
      </c>
      <c r="N701" s="7">
        <f>'1 datos preparados'!M694</f>
        <v/>
      </c>
      <c r="O701" s="7">
        <f>'1 datos preparados'!N694</f>
        <v/>
      </c>
      <c r="P701" s="7">
        <f>'1 datos preparados'!O694</f>
        <v/>
      </c>
      <c r="Q701" s="7">
        <f>'1 datos preparados'!P694</f>
        <v/>
      </c>
      <c r="R701" s="7">
        <f>'1 datos preparados'!Q694</f>
        <v/>
      </c>
      <c r="S701" s="7">
        <f>'1 datos preparados'!R694</f>
        <v/>
      </c>
      <c r="T701" s="7">
        <f>'1 datos preparados'!S694</f>
        <v/>
      </c>
      <c r="U701" s="7">
        <f>'1 datos preparados'!T694</f>
        <v/>
      </c>
      <c r="V701" s="8">
        <f>$AC$12+D701*$AC$13+E701*$AC$14+F701*$AC$15+G701*$AC$16+H701*$AC$17+I701*$AC$18+J701*$AC$19+K701*$AC$20+L701*$AC$21+M701*$AC$22+N701*$AC$23+O701*$AC$24+P701*$AC$25+Q701*$AC$26+R701*$AC$27+S701*$AC$28+T701*$AC$29+U701*$AC$30</f>
        <v/>
      </c>
      <c r="W701" s="8">
        <f>1/(1+EXP(-V701))</f>
        <v/>
      </c>
      <c r="X701" s="9">
        <f>-IF(C701=1,LN(W701),LN(1-W701))</f>
        <v/>
      </c>
      <c r="Y701" s="10">
        <f>IF(W701&gt;$AC$33,1,0)</f>
        <v/>
      </c>
      <c r="Z701">
        <f>IF(Y701=C701,1,0)</f>
        <v/>
      </c>
    </row>
    <row r="702">
      <c r="A702">
        <f>'1 datos preparados'!A695</f>
        <v/>
      </c>
      <c r="B702" s="5">
        <f>'1 datos preparados'!U695</f>
        <v/>
      </c>
      <c r="C702">
        <f>'1 datos preparados'!B695</f>
        <v/>
      </c>
      <c r="D702" s="7">
        <f>'1 datos preparados'!C695</f>
        <v/>
      </c>
      <c r="E702" s="7">
        <f>'1 datos preparados'!D695</f>
        <v/>
      </c>
      <c r="F702" s="7">
        <f>'1 datos preparados'!E695</f>
        <v/>
      </c>
      <c r="G702" s="7">
        <f>'1 datos preparados'!F695</f>
        <v/>
      </c>
      <c r="H702" s="7">
        <f>'1 datos preparados'!G695</f>
        <v/>
      </c>
      <c r="I702" s="7">
        <f>'1 datos preparados'!H695</f>
        <v/>
      </c>
      <c r="J702" s="7">
        <f>'1 datos preparados'!I695</f>
        <v/>
      </c>
      <c r="K702" s="7">
        <f>'1 datos preparados'!J695</f>
        <v/>
      </c>
      <c r="L702" s="7">
        <f>'1 datos preparados'!K695</f>
        <v/>
      </c>
      <c r="M702" s="7">
        <f>'1 datos preparados'!L695</f>
        <v/>
      </c>
      <c r="N702" s="7">
        <f>'1 datos preparados'!M695</f>
        <v/>
      </c>
      <c r="O702" s="7">
        <f>'1 datos preparados'!N695</f>
        <v/>
      </c>
      <c r="P702" s="7">
        <f>'1 datos preparados'!O695</f>
        <v/>
      </c>
      <c r="Q702" s="7">
        <f>'1 datos preparados'!P695</f>
        <v/>
      </c>
      <c r="R702" s="7">
        <f>'1 datos preparados'!Q695</f>
        <v/>
      </c>
      <c r="S702" s="7">
        <f>'1 datos preparados'!R695</f>
        <v/>
      </c>
      <c r="T702" s="7">
        <f>'1 datos preparados'!S695</f>
        <v/>
      </c>
      <c r="U702" s="7">
        <f>'1 datos preparados'!T695</f>
        <v/>
      </c>
      <c r="V702" s="8">
        <f>$AC$12+D702*$AC$13+E702*$AC$14+F702*$AC$15+G702*$AC$16+H702*$AC$17+I702*$AC$18+J702*$AC$19+K702*$AC$20+L702*$AC$21+M702*$AC$22+N702*$AC$23+O702*$AC$24+P702*$AC$25+Q702*$AC$26+R702*$AC$27+S702*$AC$28+T702*$AC$29+U702*$AC$30</f>
        <v/>
      </c>
      <c r="W702" s="8">
        <f>1/(1+EXP(-V702))</f>
        <v/>
      </c>
      <c r="X702" s="9">
        <f>-IF(C702=1,LN(W702),LN(1-W702))</f>
        <v/>
      </c>
      <c r="Y702" s="10">
        <f>IF(W702&gt;$AC$33,1,0)</f>
        <v/>
      </c>
      <c r="Z702">
        <f>IF(Y702=C702,1,0)</f>
        <v/>
      </c>
    </row>
    <row r="703">
      <c r="A703">
        <f>'1 datos preparados'!A696</f>
        <v/>
      </c>
      <c r="B703" s="5">
        <f>'1 datos preparados'!U696</f>
        <v/>
      </c>
      <c r="C703">
        <f>'1 datos preparados'!B696</f>
        <v/>
      </c>
      <c r="D703" s="7">
        <f>'1 datos preparados'!C696</f>
        <v/>
      </c>
      <c r="E703" s="7">
        <f>'1 datos preparados'!D696</f>
        <v/>
      </c>
      <c r="F703" s="7">
        <f>'1 datos preparados'!E696</f>
        <v/>
      </c>
      <c r="G703" s="7">
        <f>'1 datos preparados'!F696</f>
        <v/>
      </c>
      <c r="H703" s="7">
        <f>'1 datos preparados'!G696</f>
        <v/>
      </c>
      <c r="I703" s="7">
        <f>'1 datos preparados'!H696</f>
        <v/>
      </c>
      <c r="J703" s="7">
        <f>'1 datos preparados'!I696</f>
        <v/>
      </c>
      <c r="K703" s="7">
        <f>'1 datos preparados'!J696</f>
        <v/>
      </c>
      <c r="L703" s="7">
        <f>'1 datos preparados'!K696</f>
        <v/>
      </c>
      <c r="M703" s="7">
        <f>'1 datos preparados'!L696</f>
        <v/>
      </c>
      <c r="N703" s="7">
        <f>'1 datos preparados'!M696</f>
        <v/>
      </c>
      <c r="O703" s="7">
        <f>'1 datos preparados'!N696</f>
        <v/>
      </c>
      <c r="P703" s="7">
        <f>'1 datos preparados'!O696</f>
        <v/>
      </c>
      <c r="Q703" s="7">
        <f>'1 datos preparados'!P696</f>
        <v/>
      </c>
      <c r="R703" s="7">
        <f>'1 datos preparados'!Q696</f>
        <v/>
      </c>
      <c r="S703" s="7">
        <f>'1 datos preparados'!R696</f>
        <v/>
      </c>
      <c r="T703" s="7">
        <f>'1 datos preparados'!S696</f>
        <v/>
      </c>
      <c r="U703" s="7">
        <f>'1 datos preparados'!T696</f>
        <v/>
      </c>
      <c r="V703" s="8">
        <f>$AC$12+D703*$AC$13+E703*$AC$14+F703*$AC$15+G703*$AC$16+H703*$AC$17+I703*$AC$18+J703*$AC$19+K703*$AC$20+L703*$AC$21+M703*$AC$22+N703*$AC$23+O703*$AC$24+P703*$AC$25+Q703*$AC$26+R703*$AC$27+S703*$AC$28+T703*$AC$29+U703*$AC$30</f>
        <v/>
      </c>
      <c r="W703" s="8">
        <f>1/(1+EXP(-V703))</f>
        <v/>
      </c>
      <c r="X703" s="9">
        <f>-IF(C703=1,LN(W703),LN(1-W703))</f>
        <v/>
      </c>
      <c r="Y703" s="10">
        <f>IF(W703&gt;$AC$33,1,0)</f>
        <v/>
      </c>
      <c r="Z703">
        <f>IF(Y703=C703,1,0)</f>
        <v/>
      </c>
    </row>
    <row r="704">
      <c r="A704">
        <f>'1 datos preparados'!A697</f>
        <v/>
      </c>
      <c r="B704" s="5">
        <f>'1 datos preparados'!U697</f>
        <v/>
      </c>
      <c r="C704">
        <f>'1 datos preparados'!B697</f>
        <v/>
      </c>
      <c r="D704" s="7">
        <f>'1 datos preparados'!C697</f>
        <v/>
      </c>
      <c r="E704" s="7">
        <f>'1 datos preparados'!D697</f>
        <v/>
      </c>
      <c r="F704" s="7">
        <f>'1 datos preparados'!E697</f>
        <v/>
      </c>
      <c r="G704" s="7">
        <f>'1 datos preparados'!F697</f>
        <v/>
      </c>
      <c r="H704" s="7">
        <f>'1 datos preparados'!G697</f>
        <v/>
      </c>
      <c r="I704" s="7">
        <f>'1 datos preparados'!H697</f>
        <v/>
      </c>
      <c r="J704" s="7">
        <f>'1 datos preparados'!I697</f>
        <v/>
      </c>
      <c r="K704" s="7">
        <f>'1 datos preparados'!J697</f>
        <v/>
      </c>
      <c r="L704" s="7">
        <f>'1 datos preparados'!K697</f>
        <v/>
      </c>
      <c r="M704" s="7">
        <f>'1 datos preparados'!L697</f>
        <v/>
      </c>
      <c r="N704" s="7">
        <f>'1 datos preparados'!M697</f>
        <v/>
      </c>
      <c r="O704" s="7">
        <f>'1 datos preparados'!N697</f>
        <v/>
      </c>
      <c r="P704" s="7">
        <f>'1 datos preparados'!O697</f>
        <v/>
      </c>
      <c r="Q704" s="7">
        <f>'1 datos preparados'!P697</f>
        <v/>
      </c>
      <c r="R704" s="7">
        <f>'1 datos preparados'!Q697</f>
        <v/>
      </c>
      <c r="S704" s="7">
        <f>'1 datos preparados'!R697</f>
        <v/>
      </c>
      <c r="T704" s="7">
        <f>'1 datos preparados'!S697</f>
        <v/>
      </c>
      <c r="U704" s="7">
        <f>'1 datos preparados'!T697</f>
        <v/>
      </c>
      <c r="V704" s="8">
        <f>$AC$12+D704*$AC$13+E704*$AC$14+F704*$AC$15+G704*$AC$16+H704*$AC$17+I704*$AC$18+J704*$AC$19+K704*$AC$20+L704*$AC$21+M704*$AC$22+N704*$AC$23+O704*$AC$24+P704*$AC$25+Q704*$AC$26+R704*$AC$27+S704*$AC$28+T704*$AC$29+U704*$AC$30</f>
        <v/>
      </c>
      <c r="W704" s="8">
        <f>1/(1+EXP(-V704))</f>
        <v/>
      </c>
      <c r="X704" s="9">
        <f>-IF(C704=1,LN(W704),LN(1-W704))</f>
        <v/>
      </c>
      <c r="Y704" s="10">
        <f>IF(W704&gt;$AC$33,1,0)</f>
        <v/>
      </c>
      <c r="Z704">
        <f>IF(Y704=C704,1,0)</f>
        <v/>
      </c>
    </row>
    <row r="705">
      <c r="A705">
        <f>'1 datos preparados'!A698</f>
        <v/>
      </c>
      <c r="B705" s="5">
        <f>'1 datos preparados'!U698</f>
        <v/>
      </c>
      <c r="C705">
        <f>'1 datos preparados'!B698</f>
        <v/>
      </c>
      <c r="D705" s="7">
        <f>'1 datos preparados'!C698</f>
        <v/>
      </c>
      <c r="E705" s="7">
        <f>'1 datos preparados'!D698</f>
        <v/>
      </c>
      <c r="F705" s="7">
        <f>'1 datos preparados'!E698</f>
        <v/>
      </c>
      <c r="G705" s="7">
        <f>'1 datos preparados'!F698</f>
        <v/>
      </c>
      <c r="H705" s="7">
        <f>'1 datos preparados'!G698</f>
        <v/>
      </c>
      <c r="I705" s="7">
        <f>'1 datos preparados'!H698</f>
        <v/>
      </c>
      <c r="J705" s="7">
        <f>'1 datos preparados'!I698</f>
        <v/>
      </c>
      <c r="K705" s="7">
        <f>'1 datos preparados'!J698</f>
        <v/>
      </c>
      <c r="L705" s="7">
        <f>'1 datos preparados'!K698</f>
        <v/>
      </c>
      <c r="M705" s="7">
        <f>'1 datos preparados'!L698</f>
        <v/>
      </c>
      <c r="N705" s="7">
        <f>'1 datos preparados'!M698</f>
        <v/>
      </c>
      <c r="O705" s="7">
        <f>'1 datos preparados'!N698</f>
        <v/>
      </c>
      <c r="P705" s="7">
        <f>'1 datos preparados'!O698</f>
        <v/>
      </c>
      <c r="Q705" s="7">
        <f>'1 datos preparados'!P698</f>
        <v/>
      </c>
      <c r="R705" s="7">
        <f>'1 datos preparados'!Q698</f>
        <v/>
      </c>
      <c r="S705" s="7">
        <f>'1 datos preparados'!R698</f>
        <v/>
      </c>
      <c r="T705" s="7">
        <f>'1 datos preparados'!S698</f>
        <v/>
      </c>
      <c r="U705" s="7">
        <f>'1 datos preparados'!T698</f>
        <v/>
      </c>
      <c r="V705" s="8">
        <f>$AC$12+D705*$AC$13+E705*$AC$14+F705*$AC$15+G705*$AC$16+H705*$AC$17+I705*$AC$18+J705*$AC$19+K705*$AC$20+L705*$AC$21+M705*$AC$22+N705*$AC$23+O705*$AC$24+P705*$AC$25+Q705*$AC$26+R705*$AC$27+S705*$AC$28+T705*$AC$29+U705*$AC$30</f>
        <v/>
      </c>
      <c r="W705" s="8">
        <f>1/(1+EXP(-V705))</f>
        <v/>
      </c>
      <c r="X705" s="9">
        <f>-IF(C705=1,LN(W705),LN(1-W705))</f>
        <v/>
      </c>
      <c r="Y705" s="10">
        <f>IF(W705&gt;$AC$33,1,0)</f>
        <v/>
      </c>
      <c r="Z705">
        <f>IF(Y705=C705,1,0)</f>
        <v/>
      </c>
    </row>
    <row r="706">
      <c r="A706">
        <f>'1 datos preparados'!A699</f>
        <v/>
      </c>
      <c r="B706" s="5">
        <f>'1 datos preparados'!U699</f>
        <v/>
      </c>
      <c r="C706">
        <f>'1 datos preparados'!B699</f>
        <v/>
      </c>
      <c r="D706" s="7">
        <f>'1 datos preparados'!C699</f>
        <v/>
      </c>
      <c r="E706" s="7">
        <f>'1 datos preparados'!D699</f>
        <v/>
      </c>
      <c r="F706" s="7">
        <f>'1 datos preparados'!E699</f>
        <v/>
      </c>
      <c r="G706" s="7">
        <f>'1 datos preparados'!F699</f>
        <v/>
      </c>
      <c r="H706" s="7">
        <f>'1 datos preparados'!G699</f>
        <v/>
      </c>
      <c r="I706" s="7">
        <f>'1 datos preparados'!H699</f>
        <v/>
      </c>
      <c r="J706" s="7">
        <f>'1 datos preparados'!I699</f>
        <v/>
      </c>
      <c r="K706" s="7">
        <f>'1 datos preparados'!J699</f>
        <v/>
      </c>
      <c r="L706" s="7">
        <f>'1 datos preparados'!K699</f>
        <v/>
      </c>
      <c r="M706" s="7">
        <f>'1 datos preparados'!L699</f>
        <v/>
      </c>
      <c r="N706" s="7">
        <f>'1 datos preparados'!M699</f>
        <v/>
      </c>
      <c r="O706" s="7">
        <f>'1 datos preparados'!N699</f>
        <v/>
      </c>
      <c r="P706" s="7">
        <f>'1 datos preparados'!O699</f>
        <v/>
      </c>
      <c r="Q706" s="7">
        <f>'1 datos preparados'!P699</f>
        <v/>
      </c>
      <c r="R706" s="7">
        <f>'1 datos preparados'!Q699</f>
        <v/>
      </c>
      <c r="S706" s="7">
        <f>'1 datos preparados'!R699</f>
        <v/>
      </c>
      <c r="T706" s="7">
        <f>'1 datos preparados'!S699</f>
        <v/>
      </c>
      <c r="U706" s="7">
        <f>'1 datos preparados'!T699</f>
        <v/>
      </c>
      <c r="V706" s="8">
        <f>$AC$12+D706*$AC$13+E706*$AC$14+F706*$AC$15+G706*$AC$16+H706*$AC$17+I706*$AC$18+J706*$AC$19+K706*$AC$20+L706*$AC$21+M706*$AC$22+N706*$AC$23+O706*$AC$24+P706*$AC$25+Q706*$AC$26+R706*$AC$27+S706*$AC$28+T706*$AC$29+U706*$AC$30</f>
        <v/>
      </c>
      <c r="W706" s="8">
        <f>1/(1+EXP(-V706))</f>
        <v/>
      </c>
      <c r="X706" s="9">
        <f>-IF(C706=1,LN(W706),LN(1-W706))</f>
        <v/>
      </c>
      <c r="Y706" s="10">
        <f>IF(W706&gt;$AC$33,1,0)</f>
        <v/>
      </c>
      <c r="Z706">
        <f>IF(Y706=C706,1,0)</f>
        <v/>
      </c>
    </row>
    <row r="707">
      <c r="A707">
        <f>'1 datos preparados'!A700</f>
        <v/>
      </c>
      <c r="B707" s="5">
        <f>'1 datos preparados'!U700</f>
        <v/>
      </c>
      <c r="C707">
        <f>'1 datos preparados'!B700</f>
        <v/>
      </c>
      <c r="D707" s="7">
        <f>'1 datos preparados'!C700</f>
        <v/>
      </c>
      <c r="E707" s="7">
        <f>'1 datos preparados'!D700</f>
        <v/>
      </c>
      <c r="F707" s="7">
        <f>'1 datos preparados'!E700</f>
        <v/>
      </c>
      <c r="G707" s="7">
        <f>'1 datos preparados'!F700</f>
        <v/>
      </c>
      <c r="H707" s="7">
        <f>'1 datos preparados'!G700</f>
        <v/>
      </c>
      <c r="I707" s="7">
        <f>'1 datos preparados'!H700</f>
        <v/>
      </c>
      <c r="J707" s="7">
        <f>'1 datos preparados'!I700</f>
        <v/>
      </c>
      <c r="K707" s="7">
        <f>'1 datos preparados'!J700</f>
        <v/>
      </c>
      <c r="L707" s="7">
        <f>'1 datos preparados'!K700</f>
        <v/>
      </c>
      <c r="M707" s="7">
        <f>'1 datos preparados'!L700</f>
        <v/>
      </c>
      <c r="N707" s="7">
        <f>'1 datos preparados'!M700</f>
        <v/>
      </c>
      <c r="O707" s="7">
        <f>'1 datos preparados'!N700</f>
        <v/>
      </c>
      <c r="P707" s="7">
        <f>'1 datos preparados'!O700</f>
        <v/>
      </c>
      <c r="Q707" s="7">
        <f>'1 datos preparados'!P700</f>
        <v/>
      </c>
      <c r="R707" s="7">
        <f>'1 datos preparados'!Q700</f>
        <v/>
      </c>
      <c r="S707" s="7">
        <f>'1 datos preparados'!R700</f>
        <v/>
      </c>
      <c r="T707" s="7">
        <f>'1 datos preparados'!S700</f>
        <v/>
      </c>
      <c r="U707" s="7">
        <f>'1 datos preparados'!T700</f>
        <v/>
      </c>
      <c r="V707" s="8">
        <f>$AC$12+D707*$AC$13+E707*$AC$14+F707*$AC$15+G707*$AC$16+H707*$AC$17+I707*$AC$18+J707*$AC$19+K707*$AC$20+L707*$AC$21+M707*$AC$22+N707*$AC$23+O707*$AC$24+P707*$AC$25+Q707*$AC$26+R707*$AC$27+S707*$AC$28+T707*$AC$29+U707*$AC$30</f>
        <v/>
      </c>
      <c r="W707" s="8">
        <f>1/(1+EXP(-V707))</f>
        <v/>
      </c>
      <c r="X707" s="9">
        <f>-IF(C707=1,LN(W707),LN(1-W707))</f>
        <v/>
      </c>
      <c r="Y707" s="10">
        <f>IF(W707&gt;$AC$33,1,0)</f>
        <v/>
      </c>
      <c r="Z707">
        <f>IF(Y707=C707,1,0)</f>
        <v/>
      </c>
    </row>
    <row r="708">
      <c r="A708">
        <f>'1 datos preparados'!A701</f>
        <v/>
      </c>
      <c r="B708" s="5">
        <f>'1 datos preparados'!U701</f>
        <v/>
      </c>
      <c r="C708">
        <f>'1 datos preparados'!B701</f>
        <v/>
      </c>
      <c r="D708" s="7">
        <f>'1 datos preparados'!C701</f>
        <v/>
      </c>
      <c r="E708" s="7">
        <f>'1 datos preparados'!D701</f>
        <v/>
      </c>
      <c r="F708" s="7">
        <f>'1 datos preparados'!E701</f>
        <v/>
      </c>
      <c r="G708" s="7">
        <f>'1 datos preparados'!F701</f>
        <v/>
      </c>
      <c r="H708" s="7">
        <f>'1 datos preparados'!G701</f>
        <v/>
      </c>
      <c r="I708" s="7">
        <f>'1 datos preparados'!H701</f>
        <v/>
      </c>
      <c r="J708" s="7">
        <f>'1 datos preparados'!I701</f>
        <v/>
      </c>
      <c r="K708" s="7">
        <f>'1 datos preparados'!J701</f>
        <v/>
      </c>
      <c r="L708" s="7">
        <f>'1 datos preparados'!K701</f>
        <v/>
      </c>
      <c r="M708" s="7">
        <f>'1 datos preparados'!L701</f>
        <v/>
      </c>
      <c r="N708" s="7">
        <f>'1 datos preparados'!M701</f>
        <v/>
      </c>
      <c r="O708" s="7">
        <f>'1 datos preparados'!N701</f>
        <v/>
      </c>
      <c r="P708" s="7">
        <f>'1 datos preparados'!O701</f>
        <v/>
      </c>
      <c r="Q708" s="7">
        <f>'1 datos preparados'!P701</f>
        <v/>
      </c>
      <c r="R708" s="7">
        <f>'1 datos preparados'!Q701</f>
        <v/>
      </c>
      <c r="S708" s="7">
        <f>'1 datos preparados'!R701</f>
        <v/>
      </c>
      <c r="T708" s="7">
        <f>'1 datos preparados'!S701</f>
        <v/>
      </c>
      <c r="U708" s="7">
        <f>'1 datos preparados'!T701</f>
        <v/>
      </c>
      <c r="V708" s="8">
        <f>$AC$12+D708*$AC$13+E708*$AC$14+F708*$AC$15+G708*$AC$16+H708*$AC$17+I708*$AC$18+J708*$AC$19+K708*$AC$20+L708*$AC$21+M708*$AC$22+N708*$AC$23+O708*$AC$24+P708*$AC$25+Q708*$AC$26+R708*$AC$27+S708*$AC$28+T708*$AC$29+U708*$AC$30</f>
        <v/>
      </c>
      <c r="W708" s="8">
        <f>1/(1+EXP(-V708))</f>
        <v/>
      </c>
      <c r="X708" s="9">
        <f>-IF(C708=1,LN(W708),LN(1-W708))</f>
        <v/>
      </c>
      <c r="Y708" s="10">
        <f>IF(W708&gt;$AC$33,1,0)</f>
        <v/>
      </c>
      <c r="Z708">
        <f>IF(Y708=C708,1,0)</f>
        <v/>
      </c>
    </row>
    <row r="709">
      <c r="A709">
        <f>'1 datos preparados'!A702</f>
        <v/>
      </c>
      <c r="B709" s="5">
        <f>'1 datos preparados'!U702</f>
        <v/>
      </c>
      <c r="C709">
        <f>'1 datos preparados'!B702</f>
        <v/>
      </c>
      <c r="D709" s="7">
        <f>'1 datos preparados'!C702</f>
        <v/>
      </c>
      <c r="E709" s="7">
        <f>'1 datos preparados'!D702</f>
        <v/>
      </c>
      <c r="F709" s="7">
        <f>'1 datos preparados'!E702</f>
        <v/>
      </c>
      <c r="G709" s="7">
        <f>'1 datos preparados'!F702</f>
        <v/>
      </c>
      <c r="H709" s="7">
        <f>'1 datos preparados'!G702</f>
        <v/>
      </c>
      <c r="I709" s="7">
        <f>'1 datos preparados'!H702</f>
        <v/>
      </c>
      <c r="J709" s="7">
        <f>'1 datos preparados'!I702</f>
        <v/>
      </c>
      <c r="K709" s="7">
        <f>'1 datos preparados'!J702</f>
        <v/>
      </c>
      <c r="L709" s="7">
        <f>'1 datos preparados'!K702</f>
        <v/>
      </c>
      <c r="M709" s="7">
        <f>'1 datos preparados'!L702</f>
        <v/>
      </c>
      <c r="N709" s="7">
        <f>'1 datos preparados'!M702</f>
        <v/>
      </c>
      <c r="O709" s="7">
        <f>'1 datos preparados'!N702</f>
        <v/>
      </c>
      <c r="P709" s="7">
        <f>'1 datos preparados'!O702</f>
        <v/>
      </c>
      <c r="Q709" s="7">
        <f>'1 datos preparados'!P702</f>
        <v/>
      </c>
      <c r="R709" s="7">
        <f>'1 datos preparados'!Q702</f>
        <v/>
      </c>
      <c r="S709" s="7">
        <f>'1 datos preparados'!R702</f>
        <v/>
      </c>
      <c r="T709" s="7">
        <f>'1 datos preparados'!S702</f>
        <v/>
      </c>
      <c r="U709" s="7">
        <f>'1 datos preparados'!T702</f>
        <v/>
      </c>
      <c r="V709" s="8">
        <f>$AC$12+D709*$AC$13+E709*$AC$14+F709*$AC$15+G709*$AC$16+H709*$AC$17+I709*$AC$18+J709*$AC$19+K709*$AC$20+L709*$AC$21+M709*$AC$22+N709*$AC$23+O709*$AC$24+P709*$AC$25+Q709*$AC$26+R709*$AC$27+S709*$AC$28+T709*$AC$29+U709*$AC$30</f>
        <v/>
      </c>
      <c r="W709" s="8">
        <f>1/(1+EXP(-V709))</f>
        <v/>
      </c>
      <c r="X709" s="9">
        <f>-IF(C709=1,LN(W709),LN(1-W709))</f>
        <v/>
      </c>
      <c r="Y709" s="10">
        <f>IF(W709&gt;$AC$33,1,0)</f>
        <v/>
      </c>
      <c r="Z709">
        <f>IF(Y709=C709,1,0)</f>
        <v/>
      </c>
    </row>
    <row r="710">
      <c r="A710">
        <f>'1 datos preparados'!A703</f>
        <v/>
      </c>
      <c r="B710" s="5">
        <f>'1 datos preparados'!U703</f>
        <v/>
      </c>
      <c r="C710">
        <f>'1 datos preparados'!B703</f>
        <v/>
      </c>
      <c r="D710" s="7">
        <f>'1 datos preparados'!C703</f>
        <v/>
      </c>
      <c r="E710" s="7">
        <f>'1 datos preparados'!D703</f>
        <v/>
      </c>
      <c r="F710" s="7">
        <f>'1 datos preparados'!E703</f>
        <v/>
      </c>
      <c r="G710" s="7">
        <f>'1 datos preparados'!F703</f>
        <v/>
      </c>
      <c r="H710" s="7">
        <f>'1 datos preparados'!G703</f>
        <v/>
      </c>
      <c r="I710" s="7">
        <f>'1 datos preparados'!H703</f>
        <v/>
      </c>
      <c r="J710" s="7">
        <f>'1 datos preparados'!I703</f>
        <v/>
      </c>
      <c r="K710" s="7">
        <f>'1 datos preparados'!J703</f>
        <v/>
      </c>
      <c r="L710" s="7">
        <f>'1 datos preparados'!K703</f>
        <v/>
      </c>
      <c r="M710" s="7">
        <f>'1 datos preparados'!L703</f>
        <v/>
      </c>
      <c r="N710" s="7">
        <f>'1 datos preparados'!M703</f>
        <v/>
      </c>
      <c r="O710" s="7">
        <f>'1 datos preparados'!N703</f>
        <v/>
      </c>
      <c r="P710" s="7">
        <f>'1 datos preparados'!O703</f>
        <v/>
      </c>
      <c r="Q710" s="7">
        <f>'1 datos preparados'!P703</f>
        <v/>
      </c>
      <c r="R710" s="7">
        <f>'1 datos preparados'!Q703</f>
        <v/>
      </c>
      <c r="S710" s="7">
        <f>'1 datos preparados'!R703</f>
        <v/>
      </c>
      <c r="T710" s="7">
        <f>'1 datos preparados'!S703</f>
        <v/>
      </c>
      <c r="U710" s="7">
        <f>'1 datos preparados'!T703</f>
        <v/>
      </c>
      <c r="V710" s="8">
        <f>$AC$12+D710*$AC$13+E710*$AC$14+F710*$AC$15+G710*$AC$16+H710*$AC$17+I710*$AC$18+J710*$AC$19+K710*$AC$20+L710*$AC$21+M710*$AC$22+N710*$AC$23+O710*$AC$24+P710*$AC$25+Q710*$AC$26+R710*$AC$27+S710*$AC$28+T710*$AC$29+U710*$AC$30</f>
        <v/>
      </c>
      <c r="W710" s="8">
        <f>1/(1+EXP(-V710))</f>
        <v/>
      </c>
      <c r="X710" s="9">
        <f>-IF(C710=1,LN(W710),LN(1-W710))</f>
        <v/>
      </c>
      <c r="Y710" s="10">
        <f>IF(W710&gt;$AC$33,1,0)</f>
        <v/>
      </c>
      <c r="Z710">
        <f>IF(Y710=C710,1,0)</f>
        <v/>
      </c>
    </row>
    <row r="711">
      <c r="A711">
        <f>'1 datos preparados'!A704</f>
        <v/>
      </c>
      <c r="B711" s="5">
        <f>'1 datos preparados'!U704</f>
        <v/>
      </c>
      <c r="C711">
        <f>'1 datos preparados'!B704</f>
        <v/>
      </c>
      <c r="D711" s="7">
        <f>'1 datos preparados'!C704</f>
        <v/>
      </c>
      <c r="E711" s="7">
        <f>'1 datos preparados'!D704</f>
        <v/>
      </c>
      <c r="F711" s="7">
        <f>'1 datos preparados'!E704</f>
        <v/>
      </c>
      <c r="G711" s="7">
        <f>'1 datos preparados'!F704</f>
        <v/>
      </c>
      <c r="H711" s="7">
        <f>'1 datos preparados'!G704</f>
        <v/>
      </c>
      <c r="I711" s="7">
        <f>'1 datos preparados'!H704</f>
        <v/>
      </c>
      <c r="J711" s="7">
        <f>'1 datos preparados'!I704</f>
        <v/>
      </c>
      <c r="K711" s="7">
        <f>'1 datos preparados'!J704</f>
        <v/>
      </c>
      <c r="L711" s="7">
        <f>'1 datos preparados'!K704</f>
        <v/>
      </c>
      <c r="M711" s="7">
        <f>'1 datos preparados'!L704</f>
        <v/>
      </c>
      <c r="N711" s="7">
        <f>'1 datos preparados'!M704</f>
        <v/>
      </c>
      <c r="O711" s="7">
        <f>'1 datos preparados'!N704</f>
        <v/>
      </c>
      <c r="P711" s="7">
        <f>'1 datos preparados'!O704</f>
        <v/>
      </c>
      <c r="Q711" s="7">
        <f>'1 datos preparados'!P704</f>
        <v/>
      </c>
      <c r="R711" s="7">
        <f>'1 datos preparados'!Q704</f>
        <v/>
      </c>
      <c r="S711" s="7">
        <f>'1 datos preparados'!R704</f>
        <v/>
      </c>
      <c r="T711" s="7">
        <f>'1 datos preparados'!S704</f>
        <v/>
      </c>
      <c r="U711" s="7">
        <f>'1 datos preparados'!T704</f>
        <v/>
      </c>
      <c r="V711" s="8">
        <f>$AC$12+D711*$AC$13+E711*$AC$14+F711*$AC$15+G711*$AC$16+H711*$AC$17+I711*$AC$18+J711*$AC$19+K711*$AC$20+L711*$AC$21+M711*$AC$22+N711*$AC$23+O711*$AC$24+P711*$AC$25+Q711*$AC$26+R711*$AC$27+S711*$AC$28+T711*$AC$29+U711*$AC$30</f>
        <v/>
      </c>
      <c r="W711" s="8">
        <f>1/(1+EXP(-V711))</f>
        <v/>
      </c>
      <c r="X711" s="9">
        <f>-IF(C711=1,LN(W711),LN(1-W711))</f>
        <v/>
      </c>
      <c r="Y711" s="10">
        <f>IF(W711&gt;$AC$33,1,0)</f>
        <v/>
      </c>
      <c r="Z711">
        <f>IF(Y711=C711,1,0)</f>
        <v/>
      </c>
    </row>
    <row r="712">
      <c r="A712">
        <f>'1 datos preparados'!A705</f>
        <v/>
      </c>
      <c r="B712" s="5">
        <f>'1 datos preparados'!U705</f>
        <v/>
      </c>
      <c r="C712">
        <f>'1 datos preparados'!B705</f>
        <v/>
      </c>
      <c r="D712" s="7">
        <f>'1 datos preparados'!C705</f>
        <v/>
      </c>
      <c r="E712" s="7">
        <f>'1 datos preparados'!D705</f>
        <v/>
      </c>
      <c r="F712" s="7">
        <f>'1 datos preparados'!E705</f>
        <v/>
      </c>
      <c r="G712" s="7">
        <f>'1 datos preparados'!F705</f>
        <v/>
      </c>
      <c r="H712" s="7">
        <f>'1 datos preparados'!G705</f>
        <v/>
      </c>
      <c r="I712" s="7">
        <f>'1 datos preparados'!H705</f>
        <v/>
      </c>
      <c r="J712" s="7">
        <f>'1 datos preparados'!I705</f>
        <v/>
      </c>
      <c r="K712" s="7">
        <f>'1 datos preparados'!J705</f>
        <v/>
      </c>
      <c r="L712" s="7">
        <f>'1 datos preparados'!K705</f>
        <v/>
      </c>
      <c r="M712" s="7">
        <f>'1 datos preparados'!L705</f>
        <v/>
      </c>
      <c r="N712" s="7">
        <f>'1 datos preparados'!M705</f>
        <v/>
      </c>
      <c r="O712" s="7">
        <f>'1 datos preparados'!N705</f>
        <v/>
      </c>
      <c r="P712" s="7">
        <f>'1 datos preparados'!O705</f>
        <v/>
      </c>
      <c r="Q712" s="7">
        <f>'1 datos preparados'!P705</f>
        <v/>
      </c>
      <c r="R712" s="7">
        <f>'1 datos preparados'!Q705</f>
        <v/>
      </c>
      <c r="S712" s="7">
        <f>'1 datos preparados'!R705</f>
        <v/>
      </c>
      <c r="T712" s="7">
        <f>'1 datos preparados'!S705</f>
        <v/>
      </c>
      <c r="U712" s="7">
        <f>'1 datos preparados'!T705</f>
        <v/>
      </c>
      <c r="V712" s="8">
        <f>$AC$12+D712*$AC$13+E712*$AC$14+F712*$AC$15+G712*$AC$16+H712*$AC$17+I712*$AC$18+J712*$AC$19+K712*$AC$20+L712*$AC$21+M712*$AC$22+N712*$AC$23+O712*$AC$24+P712*$AC$25+Q712*$AC$26+R712*$AC$27+S712*$AC$28+T712*$AC$29+U712*$AC$30</f>
        <v/>
      </c>
      <c r="W712" s="8">
        <f>1/(1+EXP(-V712))</f>
        <v/>
      </c>
      <c r="X712" s="9">
        <f>-IF(C712=1,LN(W712),LN(1-W712))</f>
        <v/>
      </c>
      <c r="Y712" s="10">
        <f>IF(W712&gt;$AC$33,1,0)</f>
        <v/>
      </c>
      <c r="Z712">
        <f>IF(Y712=C712,1,0)</f>
        <v/>
      </c>
    </row>
    <row r="713">
      <c r="A713">
        <f>'1 datos preparados'!A706</f>
        <v/>
      </c>
      <c r="B713" s="5">
        <f>'1 datos preparados'!U706</f>
        <v/>
      </c>
      <c r="C713">
        <f>'1 datos preparados'!B706</f>
        <v/>
      </c>
      <c r="D713" s="7">
        <f>'1 datos preparados'!C706</f>
        <v/>
      </c>
      <c r="E713" s="7">
        <f>'1 datos preparados'!D706</f>
        <v/>
      </c>
      <c r="F713" s="7">
        <f>'1 datos preparados'!E706</f>
        <v/>
      </c>
      <c r="G713" s="7">
        <f>'1 datos preparados'!F706</f>
        <v/>
      </c>
      <c r="H713" s="7">
        <f>'1 datos preparados'!G706</f>
        <v/>
      </c>
      <c r="I713" s="7">
        <f>'1 datos preparados'!H706</f>
        <v/>
      </c>
      <c r="J713" s="7">
        <f>'1 datos preparados'!I706</f>
        <v/>
      </c>
      <c r="K713" s="7">
        <f>'1 datos preparados'!J706</f>
        <v/>
      </c>
      <c r="L713" s="7">
        <f>'1 datos preparados'!K706</f>
        <v/>
      </c>
      <c r="M713" s="7">
        <f>'1 datos preparados'!L706</f>
        <v/>
      </c>
      <c r="N713" s="7">
        <f>'1 datos preparados'!M706</f>
        <v/>
      </c>
      <c r="O713" s="7">
        <f>'1 datos preparados'!N706</f>
        <v/>
      </c>
      <c r="P713" s="7">
        <f>'1 datos preparados'!O706</f>
        <v/>
      </c>
      <c r="Q713" s="7">
        <f>'1 datos preparados'!P706</f>
        <v/>
      </c>
      <c r="R713" s="7">
        <f>'1 datos preparados'!Q706</f>
        <v/>
      </c>
      <c r="S713" s="7">
        <f>'1 datos preparados'!R706</f>
        <v/>
      </c>
      <c r="T713" s="7">
        <f>'1 datos preparados'!S706</f>
        <v/>
      </c>
      <c r="U713" s="7">
        <f>'1 datos preparados'!T706</f>
        <v/>
      </c>
      <c r="V713" s="8">
        <f>$AC$12+D713*$AC$13+E713*$AC$14+F713*$AC$15+G713*$AC$16+H713*$AC$17+I713*$AC$18+J713*$AC$19+K713*$AC$20+L713*$AC$21+M713*$AC$22+N713*$AC$23+O713*$AC$24+P713*$AC$25+Q713*$AC$26+R713*$AC$27+S713*$AC$28+T713*$AC$29+U713*$AC$30</f>
        <v/>
      </c>
      <c r="W713" s="8">
        <f>1/(1+EXP(-V713))</f>
        <v/>
      </c>
      <c r="X713" s="9">
        <f>-IF(C713=1,LN(W713),LN(1-W713))</f>
        <v/>
      </c>
      <c r="Y713" s="10">
        <f>IF(W713&gt;$AC$33,1,0)</f>
        <v/>
      </c>
      <c r="Z713">
        <f>IF(Y713=C713,1,0)</f>
        <v/>
      </c>
    </row>
    <row r="714">
      <c r="A714">
        <f>'1 datos preparados'!A707</f>
        <v/>
      </c>
      <c r="B714" s="5">
        <f>'1 datos preparados'!U707</f>
        <v/>
      </c>
      <c r="C714">
        <f>'1 datos preparados'!B707</f>
        <v/>
      </c>
      <c r="D714" s="7">
        <f>'1 datos preparados'!C707</f>
        <v/>
      </c>
      <c r="E714" s="7">
        <f>'1 datos preparados'!D707</f>
        <v/>
      </c>
      <c r="F714" s="7">
        <f>'1 datos preparados'!E707</f>
        <v/>
      </c>
      <c r="G714" s="7">
        <f>'1 datos preparados'!F707</f>
        <v/>
      </c>
      <c r="H714" s="7">
        <f>'1 datos preparados'!G707</f>
        <v/>
      </c>
      <c r="I714" s="7">
        <f>'1 datos preparados'!H707</f>
        <v/>
      </c>
      <c r="J714" s="7">
        <f>'1 datos preparados'!I707</f>
        <v/>
      </c>
      <c r="K714" s="7">
        <f>'1 datos preparados'!J707</f>
        <v/>
      </c>
      <c r="L714" s="7">
        <f>'1 datos preparados'!K707</f>
        <v/>
      </c>
      <c r="M714" s="7">
        <f>'1 datos preparados'!L707</f>
        <v/>
      </c>
      <c r="N714" s="7">
        <f>'1 datos preparados'!M707</f>
        <v/>
      </c>
      <c r="O714" s="7">
        <f>'1 datos preparados'!N707</f>
        <v/>
      </c>
      <c r="P714" s="7">
        <f>'1 datos preparados'!O707</f>
        <v/>
      </c>
      <c r="Q714" s="7">
        <f>'1 datos preparados'!P707</f>
        <v/>
      </c>
      <c r="R714" s="7">
        <f>'1 datos preparados'!Q707</f>
        <v/>
      </c>
      <c r="S714" s="7">
        <f>'1 datos preparados'!R707</f>
        <v/>
      </c>
      <c r="T714" s="7">
        <f>'1 datos preparados'!S707</f>
        <v/>
      </c>
      <c r="U714" s="7">
        <f>'1 datos preparados'!T707</f>
        <v/>
      </c>
      <c r="V714" s="8">
        <f>$AC$12+D714*$AC$13+E714*$AC$14+F714*$AC$15+G714*$AC$16+H714*$AC$17+I714*$AC$18+J714*$AC$19+K714*$AC$20+L714*$AC$21+M714*$AC$22+N714*$AC$23+O714*$AC$24+P714*$AC$25+Q714*$AC$26+R714*$AC$27+S714*$AC$28+T714*$AC$29+U714*$AC$30</f>
        <v/>
      </c>
      <c r="W714" s="8">
        <f>1/(1+EXP(-V714))</f>
        <v/>
      </c>
      <c r="X714" s="9">
        <f>-IF(C714=1,LN(W714),LN(1-W714))</f>
        <v/>
      </c>
      <c r="Y714" s="10">
        <f>IF(W714&gt;$AC$33,1,0)</f>
        <v/>
      </c>
      <c r="Z714">
        <f>IF(Y714=C714,1,0)</f>
        <v/>
      </c>
    </row>
    <row r="715">
      <c r="A715">
        <f>'1 datos preparados'!A708</f>
        <v/>
      </c>
      <c r="B715" s="5">
        <f>'1 datos preparados'!U708</f>
        <v/>
      </c>
      <c r="C715">
        <f>'1 datos preparados'!B708</f>
        <v/>
      </c>
      <c r="D715" s="7">
        <f>'1 datos preparados'!C708</f>
        <v/>
      </c>
      <c r="E715" s="7">
        <f>'1 datos preparados'!D708</f>
        <v/>
      </c>
      <c r="F715" s="7">
        <f>'1 datos preparados'!E708</f>
        <v/>
      </c>
      <c r="G715" s="7">
        <f>'1 datos preparados'!F708</f>
        <v/>
      </c>
      <c r="H715" s="7">
        <f>'1 datos preparados'!G708</f>
        <v/>
      </c>
      <c r="I715" s="7">
        <f>'1 datos preparados'!H708</f>
        <v/>
      </c>
      <c r="J715" s="7">
        <f>'1 datos preparados'!I708</f>
        <v/>
      </c>
      <c r="K715" s="7">
        <f>'1 datos preparados'!J708</f>
        <v/>
      </c>
      <c r="L715" s="7">
        <f>'1 datos preparados'!K708</f>
        <v/>
      </c>
      <c r="M715" s="7">
        <f>'1 datos preparados'!L708</f>
        <v/>
      </c>
      <c r="N715" s="7">
        <f>'1 datos preparados'!M708</f>
        <v/>
      </c>
      <c r="O715" s="7">
        <f>'1 datos preparados'!N708</f>
        <v/>
      </c>
      <c r="P715" s="7">
        <f>'1 datos preparados'!O708</f>
        <v/>
      </c>
      <c r="Q715" s="7">
        <f>'1 datos preparados'!P708</f>
        <v/>
      </c>
      <c r="R715" s="7">
        <f>'1 datos preparados'!Q708</f>
        <v/>
      </c>
      <c r="S715" s="7">
        <f>'1 datos preparados'!R708</f>
        <v/>
      </c>
      <c r="T715" s="7">
        <f>'1 datos preparados'!S708</f>
        <v/>
      </c>
      <c r="U715" s="7">
        <f>'1 datos preparados'!T708</f>
        <v/>
      </c>
      <c r="V715" s="8">
        <f>$AC$12+D715*$AC$13+E715*$AC$14+F715*$AC$15+G715*$AC$16+H715*$AC$17+I715*$AC$18+J715*$AC$19+K715*$AC$20+L715*$AC$21+M715*$AC$22+N715*$AC$23+O715*$AC$24+P715*$AC$25+Q715*$AC$26+R715*$AC$27+S715*$AC$28+T715*$AC$29+U715*$AC$30</f>
        <v/>
      </c>
      <c r="W715" s="8">
        <f>1/(1+EXP(-V715))</f>
        <v/>
      </c>
      <c r="X715" s="9">
        <f>-IF(C715=1,LN(W715),LN(1-W715))</f>
        <v/>
      </c>
      <c r="Y715" s="10">
        <f>IF(W715&gt;$AC$33,1,0)</f>
        <v/>
      </c>
      <c r="Z715">
        <f>IF(Y715=C715,1,0)</f>
        <v/>
      </c>
    </row>
    <row r="716">
      <c r="A716">
        <f>'1 datos preparados'!A709</f>
        <v/>
      </c>
      <c r="B716" s="5">
        <f>'1 datos preparados'!U709</f>
        <v/>
      </c>
      <c r="C716">
        <f>'1 datos preparados'!B709</f>
        <v/>
      </c>
      <c r="D716" s="7">
        <f>'1 datos preparados'!C709</f>
        <v/>
      </c>
      <c r="E716" s="7">
        <f>'1 datos preparados'!D709</f>
        <v/>
      </c>
      <c r="F716" s="7">
        <f>'1 datos preparados'!E709</f>
        <v/>
      </c>
      <c r="G716" s="7">
        <f>'1 datos preparados'!F709</f>
        <v/>
      </c>
      <c r="H716" s="7">
        <f>'1 datos preparados'!G709</f>
        <v/>
      </c>
      <c r="I716" s="7">
        <f>'1 datos preparados'!H709</f>
        <v/>
      </c>
      <c r="J716" s="7">
        <f>'1 datos preparados'!I709</f>
        <v/>
      </c>
      <c r="K716" s="7">
        <f>'1 datos preparados'!J709</f>
        <v/>
      </c>
      <c r="L716" s="7">
        <f>'1 datos preparados'!K709</f>
        <v/>
      </c>
      <c r="M716" s="7">
        <f>'1 datos preparados'!L709</f>
        <v/>
      </c>
      <c r="N716" s="7">
        <f>'1 datos preparados'!M709</f>
        <v/>
      </c>
      <c r="O716" s="7">
        <f>'1 datos preparados'!N709</f>
        <v/>
      </c>
      <c r="P716" s="7">
        <f>'1 datos preparados'!O709</f>
        <v/>
      </c>
      <c r="Q716" s="7">
        <f>'1 datos preparados'!P709</f>
        <v/>
      </c>
      <c r="R716" s="7">
        <f>'1 datos preparados'!Q709</f>
        <v/>
      </c>
      <c r="S716" s="7">
        <f>'1 datos preparados'!R709</f>
        <v/>
      </c>
      <c r="T716" s="7">
        <f>'1 datos preparados'!S709</f>
        <v/>
      </c>
      <c r="U716" s="7">
        <f>'1 datos preparados'!T709</f>
        <v/>
      </c>
      <c r="V716" s="8">
        <f>$AC$12+D716*$AC$13+E716*$AC$14+F716*$AC$15+G716*$AC$16+H716*$AC$17+I716*$AC$18+J716*$AC$19+K716*$AC$20+L716*$AC$21+M716*$AC$22+N716*$AC$23+O716*$AC$24+P716*$AC$25+Q716*$AC$26+R716*$AC$27+S716*$AC$28+T716*$AC$29+U716*$AC$30</f>
        <v/>
      </c>
      <c r="W716" s="8">
        <f>1/(1+EXP(-V716))</f>
        <v/>
      </c>
      <c r="X716" s="9">
        <f>-IF(C716=1,LN(W716),LN(1-W716))</f>
        <v/>
      </c>
      <c r="Y716" s="10">
        <f>IF(W716&gt;$AC$33,1,0)</f>
        <v/>
      </c>
      <c r="Z716">
        <f>IF(Y716=C716,1,0)</f>
        <v/>
      </c>
    </row>
    <row r="717">
      <c r="A717">
        <f>'1 datos preparados'!A710</f>
        <v/>
      </c>
      <c r="B717" s="5">
        <f>'1 datos preparados'!U710</f>
        <v/>
      </c>
      <c r="C717">
        <f>'1 datos preparados'!B710</f>
        <v/>
      </c>
      <c r="D717" s="7">
        <f>'1 datos preparados'!C710</f>
        <v/>
      </c>
      <c r="E717" s="7">
        <f>'1 datos preparados'!D710</f>
        <v/>
      </c>
      <c r="F717" s="7">
        <f>'1 datos preparados'!E710</f>
        <v/>
      </c>
      <c r="G717" s="7">
        <f>'1 datos preparados'!F710</f>
        <v/>
      </c>
      <c r="H717" s="7">
        <f>'1 datos preparados'!G710</f>
        <v/>
      </c>
      <c r="I717" s="7">
        <f>'1 datos preparados'!H710</f>
        <v/>
      </c>
      <c r="J717" s="7">
        <f>'1 datos preparados'!I710</f>
        <v/>
      </c>
      <c r="K717" s="7">
        <f>'1 datos preparados'!J710</f>
        <v/>
      </c>
      <c r="L717" s="7">
        <f>'1 datos preparados'!K710</f>
        <v/>
      </c>
      <c r="M717" s="7">
        <f>'1 datos preparados'!L710</f>
        <v/>
      </c>
      <c r="N717" s="7">
        <f>'1 datos preparados'!M710</f>
        <v/>
      </c>
      <c r="O717" s="7">
        <f>'1 datos preparados'!N710</f>
        <v/>
      </c>
      <c r="P717" s="7">
        <f>'1 datos preparados'!O710</f>
        <v/>
      </c>
      <c r="Q717" s="7">
        <f>'1 datos preparados'!P710</f>
        <v/>
      </c>
      <c r="R717" s="7">
        <f>'1 datos preparados'!Q710</f>
        <v/>
      </c>
      <c r="S717" s="7">
        <f>'1 datos preparados'!R710</f>
        <v/>
      </c>
      <c r="T717" s="7">
        <f>'1 datos preparados'!S710</f>
        <v/>
      </c>
      <c r="U717" s="7">
        <f>'1 datos preparados'!T710</f>
        <v/>
      </c>
      <c r="V717" s="8">
        <f>$AC$12+D717*$AC$13+E717*$AC$14+F717*$AC$15+G717*$AC$16+H717*$AC$17+I717*$AC$18+J717*$AC$19+K717*$AC$20+L717*$AC$21+M717*$AC$22+N717*$AC$23+O717*$AC$24+P717*$AC$25+Q717*$AC$26+R717*$AC$27+S717*$AC$28+T717*$AC$29+U717*$AC$30</f>
        <v/>
      </c>
      <c r="W717" s="8">
        <f>1/(1+EXP(-V717))</f>
        <v/>
      </c>
      <c r="X717" s="9">
        <f>-IF(C717=1,LN(W717),LN(1-W717))</f>
        <v/>
      </c>
      <c r="Y717" s="10">
        <f>IF(W717&gt;$AC$33,1,0)</f>
        <v/>
      </c>
      <c r="Z717">
        <f>IF(Y717=C717,1,0)</f>
        <v/>
      </c>
    </row>
    <row r="718">
      <c r="A718">
        <f>'1 datos preparados'!A711</f>
        <v/>
      </c>
      <c r="B718" s="5">
        <f>'1 datos preparados'!U711</f>
        <v/>
      </c>
      <c r="C718">
        <f>'1 datos preparados'!B711</f>
        <v/>
      </c>
      <c r="D718" s="7">
        <f>'1 datos preparados'!C711</f>
        <v/>
      </c>
      <c r="E718" s="7">
        <f>'1 datos preparados'!D711</f>
        <v/>
      </c>
      <c r="F718" s="7">
        <f>'1 datos preparados'!E711</f>
        <v/>
      </c>
      <c r="G718" s="7">
        <f>'1 datos preparados'!F711</f>
        <v/>
      </c>
      <c r="H718" s="7">
        <f>'1 datos preparados'!G711</f>
        <v/>
      </c>
      <c r="I718" s="7">
        <f>'1 datos preparados'!H711</f>
        <v/>
      </c>
      <c r="J718" s="7">
        <f>'1 datos preparados'!I711</f>
        <v/>
      </c>
      <c r="K718" s="7">
        <f>'1 datos preparados'!J711</f>
        <v/>
      </c>
      <c r="L718" s="7">
        <f>'1 datos preparados'!K711</f>
        <v/>
      </c>
      <c r="M718" s="7">
        <f>'1 datos preparados'!L711</f>
        <v/>
      </c>
      <c r="N718" s="7">
        <f>'1 datos preparados'!M711</f>
        <v/>
      </c>
      <c r="O718" s="7">
        <f>'1 datos preparados'!N711</f>
        <v/>
      </c>
      <c r="P718" s="7">
        <f>'1 datos preparados'!O711</f>
        <v/>
      </c>
      <c r="Q718" s="7">
        <f>'1 datos preparados'!P711</f>
        <v/>
      </c>
      <c r="R718" s="7">
        <f>'1 datos preparados'!Q711</f>
        <v/>
      </c>
      <c r="S718" s="7">
        <f>'1 datos preparados'!R711</f>
        <v/>
      </c>
      <c r="T718" s="7">
        <f>'1 datos preparados'!S711</f>
        <v/>
      </c>
      <c r="U718" s="7">
        <f>'1 datos preparados'!T711</f>
        <v/>
      </c>
      <c r="V718" s="8">
        <f>$AC$12+D718*$AC$13+E718*$AC$14+F718*$AC$15+G718*$AC$16+H718*$AC$17+I718*$AC$18+J718*$AC$19+K718*$AC$20+L718*$AC$21+M718*$AC$22+N718*$AC$23+O718*$AC$24+P718*$AC$25+Q718*$AC$26+R718*$AC$27+S718*$AC$28+T718*$AC$29+U718*$AC$30</f>
        <v/>
      </c>
      <c r="W718" s="8">
        <f>1/(1+EXP(-V718))</f>
        <v/>
      </c>
      <c r="X718" s="9">
        <f>-IF(C718=1,LN(W718),LN(1-W718))</f>
        <v/>
      </c>
      <c r="Y718" s="10">
        <f>IF(W718&gt;$AC$33,1,0)</f>
        <v/>
      </c>
      <c r="Z718">
        <f>IF(Y718=C718,1,0)</f>
        <v/>
      </c>
    </row>
    <row r="719">
      <c r="A719">
        <f>'1 datos preparados'!A712</f>
        <v/>
      </c>
      <c r="B719" s="5">
        <f>'1 datos preparados'!U712</f>
        <v/>
      </c>
      <c r="C719">
        <f>'1 datos preparados'!B712</f>
        <v/>
      </c>
      <c r="D719" s="7">
        <f>'1 datos preparados'!C712</f>
        <v/>
      </c>
      <c r="E719" s="7">
        <f>'1 datos preparados'!D712</f>
        <v/>
      </c>
      <c r="F719" s="7">
        <f>'1 datos preparados'!E712</f>
        <v/>
      </c>
      <c r="G719" s="7">
        <f>'1 datos preparados'!F712</f>
        <v/>
      </c>
      <c r="H719" s="7">
        <f>'1 datos preparados'!G712</f>
        <v/>
      </c>
      <c r="I719" s="7">
        <f>'1 datos preparados'!H712</f>
        <v/>
      </c>
      <c r="J719" s="7">
        <f>'1 datos preparados'!I712</f>
        <v/>
      </c>
      <c r="K719" s="7">
        <f>'1 datos preparados'!J712</f>
        <v/>
      </c>
      <c r="L719" s="7">
        <f>'1 datos preparados'!K712</f>
        <v/>
      </c>
      <c r="M719" s="7">
        <f>'1 datos preparados'!L712</f>
        <v/>
      </c>
      <c r="N719" s="7">
        <f>'1 datos preparados'!M712</f>
        <v/>
      </c>
      <c r="O719" s="7">
        <f>'1 datos preparados'!N712</f>
        <v/>
      </c>
      <c r="P719" s="7">
        <f>'1 datos preparados'!O712</f>
        <v/>
      </c>
      <c r="Q719" s="7">
        <f>'1 datos preparados'!P712</f>
        <v/>
      </c>
      <c r="R719" s="7">
        <f>'1 datos preparados'!Q712</f>
        <v/>
      </c>
      <c r="S719" s="7">
        <f>'1 datos preparados'!R712</f>
        <v/>
      </c>
      <c r="T719" s="7">
        <f>'1 datos preparados'!S712</f>
        <v/>
      </c>
      <c r="U719" s="7">
        <f>'1 datos preparados'!T712</f>
        <v/>
      </c>
      <c r="V719" s="8">
        <f>$AC$12+D719*$AC$13+E719*$AC$14+F719*$AC$15+G719*$AC$16+H719*$AC$17+I719*$AC$18+J719*$AC$19+K719*$AC$20+L719*$AC$21+M719*$AC$22+N719*$AC$23+O719*$AC$24+P719*$AC$25+Q719*$AC$26+R719*$AC$27+S719*$AC$28+T719*$AC$29+U719*$AC$30</f>
        <v/>
      </c>
      <c r="W719" s="8">
        <f>1/(1+EXP(-V719))</f>
        <v/>
      </c>
      <c r="X719" s="9">
        <f>-IF(C719=1,LN(W719),LN(1-W719))</f>
        <v/>
      </c>
      <c r="Y719" s="10">
        <f>IF(W719&gt;$AC$33,1,0)</f>
        <v/>
      </c>
      <c r="Z719">
        <f>IF(Y719=C719,1,0)</f>
        <v/>
      </c>
    </row>
    <row r="720">
      <c r="A720">
        <f>'1 datos preparados'!A713</f>
        <v/>
      </c>
      <c r="B720" s="5">
        <f>'1 datos preparados'!U713</f>
        <v/>
      </c>
      <c r="C720">
        <f>'1 datos preparados'!B713</f>
        <v/>
      </c>
      <c r="D720" s="7">
        <f>'1 datos preparados'!C713</f>
        <v/>
      </c>
      <c r="E720" s="7">
        <f>'1 datos preparados'!D713</f>
        <v/>
      </c>
      <c r="F720" s="7">
        <f>'1 datos preparados'!E713</f>
        <v/>
      </c>
      <c r="G720" s="7">
        <f>'1 datos preparados'!F713</f>
        <v/>
      </c>
      <c r="H720" s="7">
        <f>'1 datos preparados'!G713</f>
        <v/>
      </c>
      <c r="I720" s="7">
        <f>'1 datos preparados'!H713</f>
        <v/>
      </c>
      <c r="J720" s="7">
        <f>'1 datos preparados'!I713</f>
        <v/>
      </c>
      <c r="K720" s="7">
        <f>'1 datos preparados'!J713</f>
        <v/>
      </c>
      <c r="L720" s="7">
        <f>'1 datos preparados'!K713</f>
        <v/>
      </c>
      <c r="M720" s="7">
        <f>'1 datos preparados'!L713</f>
        <v/>
      </c>
      <c r="N720" s="7">
        <f>'1 datos preparados'!M713</f>
        <v/>
      </c>
      <c r="O720" s="7">
        <f>'1 datos preparados'!N713</f>
        <v/>
      </c>
      <c r="P720" s="7">
        <f>'1 datos preparados'!O713</f>
        <v/>
      </c>
      <c r="Q720" s="7">
        <f>'1 datos preparados'!P713</f>
        <v/>
      </c>
      <c r="R720" s="7">
        <f>'1 datos preparados'!Q713</f>
        <v/>
      </c>
      <c r="S720" s="7">
        <f>'1 datos preparados'!R713</f>
        <v/>
      </c>
      <c r="T720" s="7">
        <f>'1 datos preparados'!S713</f>
        <v/>
      </c>
      <c r="U720" s="7">
        <f>'1 datos preparados'!T713</f>
        <v/>
      </c>
      <c r="V720" s="8">
        <f>$AC$12+D720*$AC$13+E720*$AC$14+F720*$AC$15+G720*$AC$16+H720*$AC$17+I720*$AC$18+J720*$AC$19+K720*$AC$20+L720*$AC$21+M720*$AC$22+N720*$AC$23+O720*$AC$24+P720*$AC$25+Q720*$AC$26+R720*$AC$27+S720*$AC$28+T720*$AC$29+U720*$AC$30</f>
        <v/>
      </c>
      <c r="W720" s="8">
        <f>1/(1+EXP(-V720))</f>
        <v/>
      </c>
      <c r="X720" s="9">
        <f>-IF(C720=1,LN(W720),LN(1-W720))</f>
        <v/>
      </c>
      <c r="Y720" s="10">
        <f>IF(W720&gt;$AC$33,1,0)</f>
        <v/>
      </c>
      <c r="Z720">
        <f>IF(Y720=C720,1,0)</f>
        <v/>
      </c>
    </row>
    <row r="721">
      <c r="A721">
        <f>'1 datos preparados'!A714</f>
        <v/>
      </c>
      <c r="B721" s="5">
        <f>'1 datos preparados'!U714</f>
        <v/>
      </c>
      <c r="C721">
        <f>'1 datos preparados'!B714</f>
        <v/>
      </c>
      <c r="D721" s="7">
        <f>'1 datos preparados'!C714</f>
        <v/>
      </c>
      <c r="E721" s="7">
        <f>'1 datos preparados'!D714</f>
        <v/>
      </c>
      <c r="F721" s="7">
        <f>'1 datos preparados'!E714</f>
        <v/>
      </c>
      <c r="G721" s="7">
        <f>'1 datos preparados'!F714</f>
        <v/>
      </c>
      <c r="H721" s="7">
        <f>'1 datos preparados'!G714</f>
        <v/>
      </c>
      <c r="I721" s="7">
        <f>'1 datos preparados'!H714</f>
        <v/>
      </c>
      <c r="J721" s="7">
        <f>'1 datos preparados'!I714</f>
        <v/>
      </c>
      <c r="K721" s="7">
        <f>'1 datos preparados'!J714</f>
        <v/>
      </c>
      <c r="L721" s="7">
        <f>'1 datos preparados'!K714</f>
        <v/>
      </c>
      <c r="M721" s="7">
        <f>'1 datos preparados'!L714</f>
        <v/>
      </c>
      <c r="N721" s="7">
        <f>'1 datos preparados'!M714</f>
        <v/>
      </c>
      <c r="O721" s="7">
        <f>'1 datos preparados'!N714</f>
        <v/>
      </c>
      <c r="P721" s="7">
        <f>'1 datos preparados'!O714</f>
        <v/>
      </c>
      <c r="Q721" s="7">
        <f>'1 datos preparados'!P714</f>
        <v/>
      </c>
      <c r="R721" s="7">
        <f>'1 datos preparados'!Q714</f>
        <v/>
      </c>
      <c r="S721" s="7">
        <f>'1 datos preparados'!R714</f>
        <v/>
      </c>
      <c r="T721" s="7">
        <f>'1 datos preparados'!S714</f>
        <v/>
      </c>
      <c r="U721" s="7">
        <f>'1 datos preparados'!T714</f>
        <v/>
      </c>
      <c r="V721" s="8">
        <f>$AC$12+D721*$AC$13+E721*$AC$14+F721*$AC$15+G721*$AC$16+H721*$AC$17+I721*$AC$18+J721*$AC$19+K721*$AC$20+L721*$AC$21+M721*$AC$22+N721*$AC$23+O721*$AC$24+P721*$AC$25+Q721*$AC$26+R721*$AC$27+S721*$AC$28+T721*$AC$29+U721*$AC$30</f>
        <v/>
      </c>
      <c r="W721" s="8">
        <f>1/(1+EXP(-V721))</f>
        <v/>
      </c>
      <c r="X721" s="9">
        <f>-IF(C721=1,LN(W721),LN(1-W721))</f>
        <v/>
      </c>
      <c r="Y721" s="10">
        <f>IF(W721&gt;$AC$33,1,0)</f>
        <v/>
      </c>
      <c r="Z721">
        <f>IF(Y721=C721,1,0)</f>
        <v/>
      </c>
    </row>
    <row r="722">
      <c r="A722">
        <f>'1 datos preparados'!A715</f>
        <v/>
      </c>
      <c r="B722" s="5">
        <f>'1 datos preparados'!U715</f>
        <v/>
      </c>
      <c r="C722">
        <f>'1 datos preparados'!B715</f>
        <v/>
      </c>
      <c r="D722" s="7">
        <f>'1 datos preparados'!C715</f>
        <v/>
      </c>
      <c r="E722" s="7">
        <f>'1 datos preparados'!D715</f>
        <v/>
      </c>
      <c r="F722" s="7">
        <f>'1 datos preparados'!E715</f>
        <v/>
      </c>
      <c r="G722" s="7">
        <f>'1 datos preparados'!F715</f>
        <v/>
      </c>
      <c r="H722" s="7">
        <f>'1 datos preparados'!G715</f>
        <v/>
      </c>
      <c r="I722" s="7">
        <f>'1 datos preparados'!H715</f>
        <v/>
      </c>
      <c r="J722" s="7">
        <f>'1 datos preparados'!I715</f>
        <v/>
      </c>
      <c r="K722" s="7">
        <f>'1 datos preparados'!J715</f>
        <v/>
      </c>
      <c r="L722" s="7">
        <f>'1 datos preparados'!K715</f>
        <v/>
      </c>
      <c r="M722" s="7">
        <f>'1 datos preparados'!L715</f>
        <v/>
      </c>
      <c r="N722" s="7">
        <f>'1 datos preparados'!M715</f>
        <v/>
      </c>
      <c r="O722" s="7">
        <f>'1 datos preparados'!N715</f>
        <v/>
      </c>
      <c r="P722" s="7">
        <f>'1 datos preparados'!O715</f>
        <v/>
      </c>
      <c r="Q722" s="7">
        <f>'1 datos preparados'!P715</f>
        <v/>
      </c>
      <c r="R722" s="7">
        <f>'1 datos preparados'!Q715</f>
        <v/>
      </c>
      <c r="S722" s="7">
        <f>'1 datos preparados'!R715</f>
        <v/>
      </c>
      <c r="T722" s="7">
        <f>'1 datos preparados'!S715</f>
        <v/>
      </c>
      <c r="U722" s="7">
        <f>'1 datos preparados'!T715</f>
        <v/>
      </c>
      <c r="V722" s="8">
        <f>$AC$12+D722*$AC$13+E722*$AC$14+F722*$AC$15+G722*$AC$16+H722*$AC$17+I722*$AC$18+J722*$AC$19+K722*$AC$20+L722*$AC$21+M722*$AC$22+N722*$AC$23+O722*$AC$24+P722*$AC$25+Q722*$AC$26+R722*$AC$27+S722*$AC$28+T722*$AC$29+U722*$AC$30</f>
        <v/>
      </c>
      <c r="W722" s="8">
        <f>1/(1+EXP(-V722))</f>
        <v/>
      </c>
      <c r="X722" s="9">
        <f>-IF(C722=1,LN(W722),LN(1-W722))</f>
        <v/>
      </c>
      <c r="Y722" s="10">
        <f>IF(W722&gt;$AC$33,1,0)</f>
        <v/>
      </c>
      <c r="Z722">
        <f>IF(Y722=C722,1,0)</f>
        <v/>
      </c>
    </row>
    <row r="723">
      <c r="A723">
        <f>'1 datos preparados'!A716</f>
        <v/>
      </c>
      <c r="B723" s="5">
        <f>'1 datos preparados'!U716</f>
        <v/>
      </c>
      <c r="C723">
        <f>'1 datos preparados'!B716</f>
        <v/>
      </c>
      <c r="D723" s="7">
        <f>'1 datos preparados'!C716</f>
        <v/>
      </c>
      <c r="E723" s="7">
        <f>'1 datos preparados'!D716</f>
        <v/>
      </c>
      <c r="F723" s="7">
        <f>'1 datos preparados'!E716</f>
        <v/>
      </c>
      <c r="G723" s="7">
        <f>'1 datos preparados'!F716</f>
        <v/>
      </c>
      <c r="H723" s="7">
        <f>'1 datos preparados'!G716</f>
        <v/>
      </c>
      <c r="I723" s="7">
        <f>'1 datos preparados'!H716</f>
        <v/>
      </c>
      <c r="J723" s="7">
        <f>'1 datos preparados'!I716</f>
        <v/>
      </c>
      <c r="K723" s="7">
        <f>'1 datos preparados'!J716</f>
        <v/>
      </c>
      <c r="L723" s="7">
        <f>'1 datos preparados'!K716</f>
        <v/>
      </c>
      <c r="M723" s="7">
        <f>'1 datos preparados'!L716</f>
        <v/>
      </c>
      <c r="N723" s="7">
        <f>'1 datos preparados'!M716</f>
        <v/>
      </c>
      <c r="O723" s="7">
        <f>'1 datos preparados'!N716</f>
        <v/>
      </c>
      <c r="P723" s="7">
        <f>'1 datos preparados'!O716</f>
        <v/>
      </c>
      <c r="Q723" s="7">
        <f>'1 datos preparados'!P716</f>
        <v/>
      </c>
      <c r="R723" s="7">
        <f>'1 datos preparados'!Q716</f>
        <v/>
      </c>
      <c r="S723" s="7">
        <f>'1 datos preparados'!R716</f>
        <v/>
      </c>
      <c r="T723" s="7">
        <f>'1 datos preparados'!S716</f>
        <v/>
      </c>
      <c r="U723" s="7">
        <f>'1 datos preparados'!T716</f>
        <v/>
      </c>
      <c r="V723" s="8">
        <f>$AC$12+D723*$AC$13+E723*$AC$14+F723*$AC$15+G723*$AC$16+H723*$AC$17+I723*$AC$18+J723*$AC$19+K723*$AC$20+L723*$AC$21+M723*$AC$22+N723*$AC$23+O723*$AC$24+P723*$AC$25+Q723*$AC$26+R723*$AC$27+S723*$AC$28+T723*$AC$29+U723*$AC$30</f>
        <v/>
      </c>
      <c r="W723" s="8">
        <f>1/(1+EXP(-V723))</f>
        <v/>
      </c>
      <c r="X723" s="9">
        <f>-IF(C723=1,LN(W723),LN(1-W723))</f>
        <v/>
      </c>
      <c r="Y723" s="10">
        <f>IF(W723&gt;$AC$33,1,0)</f>
        <v/>
      </c>
      <c r="Z723">
        <f>IF(Y723=C723,1,0)</f>
        <v/>
      </c>
    </row>
    <row r="724">
      <c r="A724">
        <f>'1 datos preparados'!A717</f>
        <v/>
      </c>
      <c r="B724" s="5">
        <f>'1 datos preparados'!U717</f>
        <v/>
      </c>
      <c r="C724">
        <f>'1 datos preparados'!B717</f>
        <v/>
      </c>
      <c r="D724" s="7">
        <f>'1 datos preparados'!C717</f>
        <v/>
      </c>
      <c r="E724" s="7">
        <f>'1 datos preparados'!D717</f>
        <v/>
      </c>
      <c r="F724" s="7">
        <f>'1 datos preparados'!E717</f>
        <v/>
      </c>
      <c r="G724" s="7">
        <f>'1 datos preparados'!F717</f>
        <v/>
      </c>
      <c r="H724" s="7">
        <f>'1 datos preparados'!G717</f>
        <v/>
      </c>
      <c r="I724" s="7">
        <f>'1 datos preparados'!H717</f>
        <v/>
      </c>
      <c r="J724" s="7">
        <f>'1 datos preparados'!I717</f>
        <v/>
      </c>
      <c r="K724" s="7">
        <f>'1 datos preparados'!J717</f>
        <v/>
      </c>
      <c r="L724" s="7">
        <f>'1 datos preparados'!K717</f>
        <v/>
      </c>
      <c r="M724" s="7">
        <f>'1 datos preparados'!L717</f>
        <v/>
      </c>
      <c r="N724" s="7">
        <f>'1 datos preparados'!M717</f>
        <v/>
      </c>
      <c r="O724" s="7">
        <f>'1 datos preparados'!N717</f>
        <v/>
      </c>
      <c r="P724" s="7">
        <f>'1 datos preparados'!O717</f>
        <v/>
      </c>
      <c r="Q724" s="7">
        <f>'1 datos preparados'!P717</f>
        <v/>
      </c>
      <c r="R724" s="7">
        <f>'1 datos preparados'!Q717</f>
        <v/>
      </c>
      <c r="S724" s="7">
        <f>'1 datos preparados'!R717</f>
        <v/>
      </c>
      <c r="T724" s="7">
        <f>'1 datos preparados'!S717</f>
        <v/>
      </c>
      <c r="U724" s="7">
        <f>'1 datos preparados'!T717</f>
        <v/>
      </c>
      <c r="V724" s="8">
        <f>$AC$12+D724*$AC$13+E724*$AC$14+F724*$AC$15+G724*$AC$16+H724*$AC$17+I724*$AC$18+J724*$AC$19+K724*$AC$20+L724*$AC$21+M724*$AC$22+N724*$AC$23+O724*$AC$24+P724*$AC$25+Q724*$AC$26+R724*$AC$27+S724*$AC$28+T724*$AC$29+U724*$AC$30</f>
        <v/>
      </c>
      <c r="W724" s="8">
        <f>1/(1+EXP(-V724))</f>
        <v/>
      </c>
      <c r="X724" s="9">
        <f>-IF(C724=1,LN(W724),LN(1-W724))</f>
        <v/>
      </c>
      <c r="Y724" s="10">
        <f>IF(W724&gt;$AC$33,1,0)</f>
        <v/>
      </c>
      <c r="Z724">
        <f>IF(Y724=C724,1,0)</f>
        <v/>
      </c>
    </row>
    <row r="725">
      <c r="A725">
        <f>'1 datos preparados'!A718</f>
        <v/>
      </c>
      <c r="B725" s="5">
        <f>'1 datos preparados'!U718</f>
        <v/>
      </c>
      <c r="C725">
        <f>'1 datos preparados'!B718</f>
        <v/>
      </c>
      <c r="D725" s="7">
        <f>'1 datos preparados'!C718</f>
        <v/>
      </c>
      <c r="E725" s="7">
        <f>'1 datos preparados'!D718</f>
        <v/>
      </c>
      <c r="F725" s="7">
        <f>'1 datos preparados'!E718</f>
        <v/>
      </c>
      <c r="G725" s="7">
        <f>'1 datos preparados'!F718</f>
        <v/>
      </c>
      <c r="H725" s="7">
        <f>'1 datos preparados'!G718</f>
        <v/>
      </c>
      <c r="I725" s="7">
        <f>'1 datos preparados'!H718</f>
        <v/>
      </c>
      <c r="J725" s="7">
        <f>'1 datos preparados'!I718</f>
        <v/>
      </c>
      <c r="K725" s="7">
        <f>'1 datos preparados'!J718</f>
        <v/>
      </c>
      <c r="L725" s="7">
        <f>'1 datos preparados'!K718</f>
        <v/>
      </c>
      <c r="M725" s="7">
        <f>'1 datos preparados'!L718</f>
        <v/>
      </c>
      <c r="N725" s="7">
        <f>'1 datos preparados'!M718</f>
        <v/>
      </c>
      <c r="O725" s="7">
        <f>'1 datos preparados'!N718</f>
        <v/>
      </c>
      <c r="P725" s="7">
        <f>'1 datos preparados'!O718</f>
        <v/>
      </c>
      <c r="Q725" s="7">
        <f>'1 datos preparados'!P718</f>
        <v/>
      </c>
      <c r="R725" s="7">
        <f>'1 datos preparados'!Q718</f>
        <v/>
      </c>
      <c r="S725" s="7">
        <f>'1 datos preparados'!R718</f>
        <v/>
      </c>
      <c r="T725" s="7">
        <f>'1 datos preparados'!S718</f>
        <v/>
      </c>
      <c r="U725" s="7">
        <f>'1 datos preparados'!T718</f>
        <v/>
      </c>
      <c r="V725" s="8">
        <f>$AC$12+D725*$AC$13+E725*$AC$14+F725*$AC$15+G725*$AC$16+H725*$AC$17+I725*$AC$18+J725*$AC$19+K725*$AC$20+L725*$AC$21+M725*$AC$22+N725*$AC$23+O725*$AC$24+P725*$AC$25+Q725*$AC$26+R725*$AC$27+S725*$AC$28+T725*$AC$29+U725*$AC$30</f>
        <v/>
      </c>
      <c r="W725" s="8">
        <f>1/(1+EXP(-V725))</f>
        <v/>
      </c>
      <c r="X725" s="9">
        <f>-IF(C725=1,LN(W725),LN(1-W725))</f>
        <v/>
      </c>
      <c r="Y725" s="10">
        <f>IF(W725&gt;$AC$33,1,0)</f>
        <v/>
      </c>
      <c r="Z725">
        <f>IF(Y725=C725,1,0)</f>
        <v/>
      </c>
    </row>
    <row r="726">
      <c r="A726">
        <f>'1 datos preparados'!A719</f>
        <v/>
      </c>
      <c r="B726" s="5">
        <f>'1 datos preparados'!U719</f>
        <v/>
      </c>
      <c r="C726">
        <f>'1 datos preparados'!B719</f>
        <v/>
      </c>
      <c r="D726" s="7">
        <f>'1 datos preparados'!C719</f>
        <v/>
      </c>
      <c r="E726" s="7">
        <f>'1 datos preparados'!D719</f>
        <v/>
      </c>
      <c r="F726" s="7">
        <f>'1 datos preparados'!E719</f>
        <v/>
      </c>
      <c r="G726" s="7">
        <f>'1 datos preparados'!F719</f>
        <v/>
      </c>
      <c r="H726" s="7">
        <f>'1 datos preparados'!G719</f>
        <v/>
      </c>
      <c r="I726" s="7">
        <f>'1 datos preparados'!H719</f>
        <v/>
      </c>
      <c r="J726" s="7">
        <f>'1 datos preparados'!I719</f>
        <v/>
      </c>
      <c r="K726" s="7">
        <f>'1 datos preparados'!J719</f>
        <v/>
      </c>
      <c r="L726" s="7">
        <f>'1 datos preparados'!K719</f>
        <v/>
      </c>
      <c r="M726" s="7">
        <f>'1 datos preparados'!L719</f>
        <v/>
      </c>
      <c r="N726" s="7">
        <f>'1 datos preparados'!M719</f>
        <v/>
      </c>
      <c r="O726" s="7">
        <f>'1 datos preparados'!N719</f>
        <v/>
      </c>
      <c r="P726" s="7">
        <f>'1 datos preparados'!O719</f>
        <v/>
      </c>
      <c r="Q726" s="7">
        <f>'1 datos preparados'!P719</f>
        <v/>
      </c>
      <c r="R726" s="7">
        <f>'1 datos preparados'!Q719</f>
        <v/>
      </c>
      <c r="S726" s="7">
        <f>'1 datos preparados'!R719</f>
        <v/>
      </c>
      <c r="T726" s="7">
        <f>'1 datos preparados'!S719</f>
        <v/>
      </c>
      <c r="U726" s="7">
        <f>'1 datos preparados'!T719</f>
        <v/>
      </c>
      <c r="V726" s="8">
        <f>$AC$12+D726*$AC$13+E726*$AC$14+F726*$AC$15+G726*$AC$16+H726*$AC$17+I726*$AC$18+J726*$AC$19+K726*$AC$20+L726*$AC$21+M726*$AC$22+N726*$AC$23+O726*$AC$24+P726*$AC$25+Q726*$AC$26+R726*$AC$27+S726*$AC$28+T726*$AC$29+U726*$AC$30</f>
        <v/>
      </c>
      <c r="W726" s="8">
        <f>1/(1+EXP(-V726))</f>
        <v/>
      </c>
      <c r="X726" s="9">
        <f>-IF(C726=1,LN(W726),LN(1-W726))</f>
        <v/>
      </c>
      <c r="Y726" s="10">
        <f>IF(W726&gt;$AC$33,1,0)</f>
        <v/>
      </c>
      <c r="Z726">
        <f>IF(Y726=C726,1,0)</f>
        <v/>
      </c>
    </row>
    <row r="727">
      <c r="A727">
        <f>'1 datos preparados'!A720</f>
        <v/>
      </c>
      <c r="B727" s="5">
        <f>'1 datos preparados'!U720</f>
        <v/>
      </c>
      <c r="C727">
        <f>'1 datos preparados'!B720</f>
        <v/>
      </c>
      <c r="D727" s="7">
        <f>'1 datos preparados'!C720</f>
        <v/>
      </c>
      <c r="E727" s="7">
        <f>'1 datos preparados'!D720</f>
        <v/>
      </c>
      <c r="F727" s="7">
        <f>'1 datos preparados'!E720</f>
        <v/>
      </c>
      <c r="G727" s="7">
        <f>'1 datos preparados'!F720</f>
        <v/>
      </c>
      <c r="H727" s="7">
        <f>'1 datos preparados'!G720</f>
        <v/>
      </c>
      <c r="I727" s="7">
        <f>'1 datos preparados'!H720</f>
        <v/>
      </c>
      <c r="J727" s="7">
        <f>'1 datos preparados'!I720</f>
        <v/>
      </c>
      <c r="K727" s="7">
        <f>'1 datos preparados'!J720</f>
        <v/>
      </c>
      <c r="L727" s="7">
        <f>'1 datos preparados'!K720</f>
        <v/>
      </c>
      <c r="M727" s="7">
        <f>'1 datos preparados'!L720</f>
        <v/>
      </c>
      <c r="N727" s="7">
        <f>'1 datos preparados'!M720</f>
        <v/>
      </c>
      <c r="O727" s="7">
        <f>'1 datos preparados'!N720</f>
        <v/>
      </c>
      <c r="P727" s="7">
        <f>'1 datos preparados'!O720</f>
        <v/>
      </c>
      <c r="Q727" s="7">
        <f>'1 datos preparados'!P720</f>
        <v/>
      </c>
      <c r="R727" s="7">
        <f>'1 datos preparados'!Q720</f>
        <v/>
      </c>
      <c r="S727" s="7">
        <f>'1 datos preparados'!R720</f>
        <v/>
      </c>
      <c r="T727" s="7">
        <f>'1 datos preparados'!S720</f>
        <v/>
      </c>
      <c r="U727" s="7">
        <f>'1 datos preparados'!T720</f>
        <v/>
      </c>
      <c r="V727" s="8">
        <f>$AC$12+D727*$AC$13+E727*$AC$14+F727*$AC$15+G727*$AC$16+H727*$AC$17+I727*$AC$18+J727*$AC$19+K727*$AC$20+L727*$AC$21+M727*$AC$22+N727*$AC$23+O727*$AC$24+P727*$AC$25+Q727*$AC$26+R727*$AC$27+S727*$AC$28+T727*$AC$29+U727*$AC$30</f>
        <v/>
      </c>
      <c r="W727" s="8">
        <f>1/(1+EXP(-V727))</f>
        <v/>
      </c>
      <c r="X727" s="9">
        <f>-IF(C727=1,LN(W727),LN(1-W727))</f>
        <v/>
      </c>
      <c r="Y727" s="10">
        <f>IF(W727&gt;$AC$33,1,0)</f>
        <v/>
      </c>
      <c r="Z727">
        <f>IF(Y727=C727,1,0)</f>
        <v/>
      </c>
    </row>
    <row r="728">
      <c r="A728">
        <f>'1 datos preparados'!A721</f>
        <v/>
      </c>
      <c r="B728" s="5">
        <f>'1 datos preparados'!U721</f>
        <v/>
      </c>
      <c r="C728">
        <f>'1 datos preparados'!B721</f>
        <v/>
      </c>
      <c r="D728" s="7">
        <f>'1 datos preparados'!C721</f>
        <v/>
      </c>
      <c r="E728" s="7">
        <f>'1 datos preparados'!D721</f>
        <v/>
      </c>
      <c r="F728" s="7">
        <f>'1 datos preparados'!E721</f>
        <v/>
      </c>
      <c r="G728" s="7">
        <f>'1 datos preparados'!F721</f>
        <v/>
      </c>
      <c r="H728" s="7">
        <f>'1 datos preparados'!G721</f>
        <v/>
      </c>
      <c r="I728" s="7">
        <f>'1 datos preparados'!H721</f>
        <v/>
      </c>
      <c r="J728" s="7">
        <f>'1 datos preparados'!I721</f>
        <v/>
      </c>
      <c r="K728" s="7">
        <f>'1 datos preparados'!J721</f>
        <v/>
      </c>
      <c r="L728" s="7">
        <f>'1 datos preparados'!K721</f>
        <v/>
      </c>
      <c r="M728" s="7">
        <f>'1 datos preparados'!L721</f>
        <v/>
      </c>
      <c r="N728" s="7">
        <f>'1 datos preparados'!M721</f>
        <v/>
      </c>
      <c r="O728" s="7">
        <f>'1 datos preparados'!N721</f>
        <v/>
      </c>
      <c r="P728" s="7">
        <f>'1 datos preparados'!O721</f>
        <v/>
      </c>
      <c r="Q728" s="7">
        <f>'1 datos preparados'!P721</f>
        <v/>
      </c>
      <c r="R728" s="7">
        <f>'1 datos preparados'!Q721</f>
        <v/>
      </c>
      <c r="S728" s="7">
        <f>'1 datos preparados'!R721</f>
        <v/>
      </c>
      <c r="T728" s="7">
        <f>'1 datos preparados'!S721</f>
        <v/>
      </c>
      <c r="U728" s="7">
        <f>'1 datos preparados'!T721</f>
        <v/>
      </c>
      <c r="V728" s="8">
        <f>$AC$12+D728*$AC$13+E728*$AC$14+F728*$AC$15+G728*$AC$16+H728*$AC$17+I728*$AC$18+J728*$AC$19+K728*$AC$20+L728*$AC$21+M728*$AC$22+N728*$AC$23+O728*$AC$24+P728*$AC$25+Q728*$AC$26+R728*$AC$27+S728*$AC$28+T728*$AC$29+U728*$AC$30</f>
        <v/>
      </c>
      <c r="W728" s="8">
        <f>1/(1+EXP(-V728))</f>
        <v/>
      </c>
      <c r="X728" s="9">
        <f>-IF(C728=1,LN(W728),LN(1-W728))</f>
        <v/>
      </c>
      <c r="Y728" s="10">
        <f>IF(W728&gt;$AC$33,1,0)</f>
        <v/>
      </c>
      <c r="Z728">
        <f>IF(Y728=C728,1,0)</f>
        <v/>
      </c>
    </row>
    <row r="729">
      <c r="A729">
        <f>'1 datos preparados'!A722</f>
        <v/>
      </c>
      <c r="B729" s="5">
        <f>'1 datos preparados'!U722</f>
        <v/>
      </c>
      <c r="C729">
        <f>'1 datos preparados'!B722</f>
        <v/>
      </c>
      <c r="D729" s="7">
        <f>'1 datos preparados'!C722</f>
        <v/>
      </c>
      <c r="E729" s="7">
        <f>'1 datos preparados'!D722</f>
        <v/>
      </c>
      <c r="F729" s="7">
        <f>'1 datos preparados'!E722</f>
        <v/>
      </c>
      <c r="G729" s="7">
        <f>'1 datos preparados'!F722</f>
        <v/>
      </c>
      <c r="H729" s="7">
        <f>'1 datos preparados'!G722</f>
        <v/>
      </c>
      <c r="I729" s="7">
        <f>'1 datos preparados'!H722</f>
        <v/>
      </c>
      <c r="J729" s="7">
        <f>'1 datos preparados'!I722</f>
        <v/>
      </c>
      <c r="K729" s="7">
        <f>'1 datos preparados'!J722</f>
        <v/>
      </c>
      <c r="L729" s="7">
        <f>'1 datos preparados'!K722</f>
        <v/>
      </c>
      <c r="M729" s="7">
        <f>'1 datos preparados'!L722</f>
        <v/>
      </c>
      <c r="N729" s="7">
        <f>'1 datos preparados'!M722</f>
        <v/>
      </c>
      <c r="O729" s="7">
        <f>'1 datos preparados'!N722</f>
        <v/>
      </c>
      <c r="P729" s="7">
        <f>'1 datos preparados'!O722</f>
        <v/>
      </c>
      <c r="Q729" s="7">
        <f>'1 datos preparados'!P722</f>
        <v/>
      </c>
      <c r="R729" s="7">
        <f>'1 datos preparados'!Q722</f>
        <v/>
      </c>
      <c r="S729" s="7">
        <f>'1 datos preparados'!R722</f>
        <v/>
      </c>
      <c r="T729" s="7">
        <f>'1 datos preparados'!S722</f>
        <v/>
      </c>
      <c r="U729" s="7">
        <f>'1 datos preparados'!T722</f>
        <v/>
      </c>
      <c r="V729" s="8">
        <f>$AC$12+D729*$AC$13+E729*$AC$14+F729*$AC$15+G729*$AC$16+H729*$AC$17+I729*$AC$18+J729*$AC$19+K729*$AC$20+L729*$AC$21+M729*$AC$22+N729*$AC$23+O729*$AC$24+P729*$AC$25+Q729*$AC$26+R729*$AC$27+S729*$AC$28+T729*$AC$29+U729*$AC$30</f>
        <v/>
      </c>
      <c r="W729" s="8">
        <f>1/(1+EXP(-V729))</f>
        <v/>
      </c>
      <c r="X729" s="9">
        <f>-IF(C729=1,LN(W729),LN(1-W729))</f>
        <v/>
      </c>
      <c r="Y729" s="10">
        <f>IF(W729&gt;$AC$33,1,0)</f>
        <v/>
      </c>
      <c r="Z729">
        <f>IF(Y729=C729,1,0)</f>
        <v/>
      </c>
    </row>
    <row r="730">
      <c r="A730">
        <f>'1 datos preparados'!A723</f>
        <v/>
      </c>
      <c r="B730" s="5">
        <f>'1 datos preparados'!U723</f>
        <v/>
      </c>
      <c r="C730">
        <f>'1 datos preparados'!B723</f>
        <v/>
      </c>
      <c r="D730" s="7">
        <f>'1 datos preparados'!C723</f>
        <v/>
      </c>
      <c r="E730" s="7">
        <f>'1 datos preparados'!D723</f>
        <v/>
      </c>
      <c r="F730" s="7">
        <f>'1 datos preparados'!E723</f>
        <v/>
      </c>
      <c r="G730" s="7">
        <f>'1 datos preparados'!F723</f>
        <v/>
      </c>
      <c r="H730" s="7">
        <f>'1 datos preparados'!G723</f>
        <v/>
      </c>
      <c r="I730" s="7">
        <f>'1 datos preparados'!H723</f>
        <v/>
      </c>
      <c r="J730" s="7">
        <f>'1 datos preparados'!I723</f>
        <v/>
      </c>
      <c r="K730" s="7">
        <f>'1 datos preparados'!J723</f>
        <v/>
      </c>
      <c r="L730" s="7">
        <f>'1 datos preparados'!K723</f>
        <v/>
      </c>
      <c r="M730" s="7">
        <f>'1 datos preparados'!L723</f>
        <v/>
      </c>
      <c r="N730" s="7">
        <f>'1 datos preparados'!M723</f>
        <v/>
      </c>
      <c r="O730" s="7">
        <f>'1 datos preparados'!N723</f>
        <v/>
      </c>
      <c r="P730" s="7">
        <f>'1 datos preparados'!O723</f>
        <v/>
      </c>
      <c r="Q730" s="7">
        <f>'1 datos preparados'!P723</f>
        <v/>
      </c>
      <c r="R730" s="7">
        <f>'1 datos preparados'!Q723</f>
        <v/>
      </c>
      <c r="S730" s="7">
        <f>'1 datos preparados'!R723</f>
        <v/>
      </c>
      <c r="T730" s="7">
        <f>'1 datos preparados'!S723</f>
        <v/>
      </c>
      <c r="U730" s="7">
        <f>'1 datos preparados'!T723</f>
        <v/>
      </c>
      <c r="V730" s="8">
        <f>$AC$12+D730*$AC$13+E730*$AC$14+F730*$AC$15+G730*$AC$16+H730*$AC$17+I730*$AC$18+J730*$AC$19+K730*$AC$20+L730*$AC$21+M730*$AC$22+N730*$AC$23+O730*$AC$24+P730*$AC$25+Q730*$AC$26+R730*$AC$27+S730*$AC$28+T730*$AC$29+U730*$AC$30</f>
        <v/>
      </c>
      <c r="W730" s="8">
        <f>1/(1+EXP(-V730))</f>
        <v/>
      </c>
      <c r="X730" s="9">
        <f>-IF(C730=1,LN(W730),LN(1-W730))</f>
        <v/>
      </c>
      <c r="Y730" s="10">
        <f>IF(W730&gt;$AC$33,1,0)</f>
        <v/>
      </c>
      <c r="Z730">
        <f>IF(Y730=C730,1,0)</f>
        <v/>
      </c>
    </row>
    <row r="731">
      <c r="A731">
        <f>'1 datos preparados'!A724</f>
        <v/>
      </c>
      <c r="B731" s="5">
        <f>'1 datos preparados'!U724</f>
        <v/>
      </c>
      <c r="C731">
        <f>'1 datos preparados'!B724</f>
        <v/>
      </c>
      <c r="D731" s="7">
        <f>'1 datos preparados'!C724</f>
        <v/>
      </c>
      <c r="E731" s="7">
        <f>'1 datos preparados'!D724</f>
        <v/>
      </c>
      <c r="F731" s="7">
        <f>'1 datos preparados'!E724</f>
        <v/>
      </c>
      <c r="G731" s="7">
        <f>'1 datos preparados'!F724</f>
        <v/>
      </c>
      <c r="H731" s="7">
        <f>'1 datos preparados'!G724</f>
        <v/>
      </c>
      <c r="I731" s="7">
        <f>'1 datos preparados'!H724</f>
        <v/>
      </c>
      <c r="J731" s="7">
        <f>'1 datos preparados'!I724</f>
        <v/>
      </c>
      <c r="K731" s="7">
        <f>'1 datos preparados'!J724</f>
        <v/>
      </c>
      <c r="L731" s="7">
        <f>'1 datos preparados'!K724</f>
        <v/>
      </c>
      <c r="M731" s="7">
        <f>'1 datos preparados'!L724</f>
        <v/>
      </c>
      <c r="N731" s="7">
        <f>'1 datos preparados'!M724</f>
        <v/>
      </c>
      <c r="O731" s="7">
        <f>'1 datos preparados'!N724</f>
        <v/>
      </c>
      <c r="P731" s="7">
        <f>'1 datos preparados'!O724</f>
        <v/>
      </c>
      <c r="Q731" s="7">
        <f>'1 datos preparados'!P724</f>
        <v/>
      </c>
      <c r="R731" s="7">
        <f>'1 datos preparados'!Q724</f>
        <v/>
      </c>
      <c r="S731" s="7">
        <f>'1 datos preparados'!R724</f>
        <v/>
      </c>
      <c r="T731" s="7">
        <f>'1 datos preparados'!S724</f>
        <v/>
      </c>
      <c r="U731" s="7">
        <f>'1 datos preparados'!T724</f>
        <v/>
      </c>
      <c r="V731" s="8">
        <f>$AC$12+D731*$AC$13+E731*$AC$14+F731*$AC$15+G731*$AC$16+H731*$AC$17+I731*$AC$18+J731*$AC$19+K731*$AC$20+L731*$AC$21+M731*$AC$22+N731*$AC$23+O731*$AC$24+P731*$AC$25+Q731*$AC$26+R731*$AC$27+S731*$AC$28+T731*$AC$29+U731*$AC$30</f>
        <v/>
      </c>
      <c r="W731" s="8">
        <f>1/(1+EXP(-V731))</f>
        <v/>
      </c>
      <c r="X731" s="9">
        <f>-IF(C731=1,LN(W731),LN(1-W731))</f>
        <v/>
      </c>
      <c r="Y731" s="10">
        <f>IF(W731&gt;$AC$33,1,0)</f>
        <v/>
      </c>
      <c r="Z731">
        <f>IF(Y731=C731,1,0)</f>
        <v/>
      </c>
    </row>
    <row r="732">
      <c r="A732">
        <f>'1 datos preparados'!A725</f>
        <v/>
      </c>
      <c r="B732" s="5">
        <f>'1 datos preparados'!U725</f>
        <v/>
      </c>
      <c r="C732">
        <f>'1 datos preparados'!B725</f>
        <v/>
      </c>
      <c r="D732" s="7">
        <f>'1 datos preparados'!C725</f>
        <v/>
      </c>
      <c r="E732" s="7">
        <f>'1 datos preparados'!D725</f>
        <v/>
      </c>
      <c r="F732" s="7">
        <f>'1 datos preparados'!E725</f>
        <v/>
      </c>
      <c r="G732" s="7">
        <f>'1 datos preparados'!F725</f>
        <v/>
      </c>
      <c r="H732" s="7">
        <f>'1 datos preparados'!G725</f>
        <v/>
      </c>
      <c r="I732" s="7">
        <f>'1 datos preparados'!H725</f>
        <v/>
      </c>
      <c r="J732" s="7">
        <f>'1 datos preparados'!I725</f>
        <v/>
      </c>
      <c r="K732" s="7">
        <f>'1 datos preparados'!J725</f>
        <v/>
      </c>
      <c r="L732" s="7">
        <f>'1 datos preparados'!K725</f>
        <v/>
      </c>
      <c r="M732" s="7">
        <f>'1 datos preparados'!L725</f>
        <v/>
      </c>
      <c r="N732" s="7">
        <f>'1 datos preparados'!M725</f>
        <v/>
      </c>
      <c r="O732" s="7">
        <f>'1 datos preparados'!N725</f>
        <v/>
      </c>
      <c r="P732" s="7">
        <f>'1 datos preparados'!O725</f>
        <v/>
      </c>
      <c r="Q732" s="7">
        <f>'1 datos preparados'!P725</f>
        <v/>
      </c>
      <c r="R732" s="7">
        <f>'1 datos preparados'!Q725</f>
        <v/>
      </c>
      <c r="S732" s="7">
        <f>'1 datos preparados'!R725</f>
        <v/>
      </c>
      <c r="T732" s="7">
        <f>'1 datos preparados'!S725</f>
        <v/>
      </c>
      <c r="U732" s="7">
        <f>'1 datos preparados'!T725</f>
        <v/>
      </c>
      <c r="V732" s="8">
        <f>$AC$12+D732*$AC$13+E732*$AC$14+F732*$AC$15+G732*$AC$16+H732*$AC$17+I732*$AC$18+J732*$AC$19+K732*$AC$20+L732*$AC$21+M732*$AC$22+N732*$AC$23+O732*$AC$24+P732*$AC$25+Q732*$AC$26+R732*$AC$27+S732*$AC$28+T732*$AC$29+U732*$AC$30</f>
        <v/>
      </c>
      <c r="W732" s="8">
        <f>1/(1+EXP(-V732))</f>
        <v/>
      </c>
      <c r="X732" s="9">
        <f>-IF(C732=1,LN(W732),LN(1-W732))</f>
        <v/>
      </c>
      <c r="Y732" s="10">
        <f>IF(W732&gt;$AC$33,1,0)</f>
        <v/>
      </c>
      <c r="Z732">
        <f>IF(Y732=C732,1,0)</f>
        <v/>
      </c>
    </row>
    <row r="733">
      <c r="A733">
        <f>'1 datos preparados'!A726</f>
        <v/>
      </c>
      <c r="B733" s="5">
        <f>'1 datos preparados'!U726</f>
        <v/>
      </c>
      <c r="C733">
        <f>'1 datos preparados'!B726</f>
        <v/>
      </c>
      <c r="D733" s="7">
        <f>'1 datos preparados'!C726</f>
        <v/>
      </c>
      <c r="E733" s="7">
        <f>'1 datos preparados'!D726</f>
        <v/>
      </c>
      <c r="F733" s="7">
        <f>'1 datos preparados'!E726</f>
        <v/>
      </c>
      <c r="G733" s="7">
        <f>'1 datos preparados'!F726</f>
        <v/>
      </c>
      <c r="H733" s="7">
        <f>'1 datos preparados'!G726</f>
        <v/>
      </c>
      <c r="I733" s="7">
        <f>'1 datos preparados'!H726</f>
        <v/>
      </c>
      <c r="J733" s="7">
        <f>'1 datos preparados'!I726</f>
        <v/>
      </c>
      <c r="K733" s="7">
        <f>'1 datos preparados'!J726</f>
        <v/>
      </c>
      <c r="L733" s="7">
        <f>'1 datos preparados'!K726</f>
        <v/>
      </c>
      <c r="M733" s="7">
        <f>'1 datos preparados'!L726</f>
        <v/>
      </c>
      <c r="N733" s="7">
        <f>'1 datos preparados'!M726</f>
        <v/>
      </c>
      <c r="O733" s="7">
        <f>'1 datos preparados'!N726</f>
        <v/>
      </c>
      <c r="P733" s="7">
        <f>'1 datos preparados'!O726</f>
        <v/>
      </c>
      <c r="Q733" s="7">
        <f>'1 datos preparados'!P726</f>
        <v/>
      </c>
      <c r="R733" s="7">
        <f>'1 datos preparados'!Q726</f>
        <v/>
      </c>
      <c r="S733" s="7">
        <f>'1 datos preparados'!R726</f>
        <v/>
      </c>
      <c r="T733" s="7">
        <f>'1 datos preparados'!S726</f>
        <v/>
      </c>
      <c r="U733" s="7">
        <f>'1 datos preparados'!T726</f>
        <v/>
      </c>
      <c r="V733" s="8">
        <f>$AC$12+D733*$AC$13+E733*$AC$14+F733*$AC$15+G733*$AC$16+H733*$AC$17+I733*$AC$18+J733*$AC$19+K733*$AC$20+L733*$AC$21+M733*$AC$22+N733*$AC$23+O733*$AC$24+P733*$AC$25+Q733*$AC$26+R733*$AC$27+S733*$AC$28+T733*$AC$29+U733*$AC$30</f>
        <v/>
      </c>
      <c r="W733" s="8">
        <f>1/(1+EXP(-V733))</f>
        <v/>
      </c>
      <c r="X733" s="9">
        <f>-IF(C733=1,LN(W733),LN(1-W733))</f>
        <v/>
      </c>
      <c r="Y733" s="10">
        <f>IF(W733&gt;$AC$33,1,0)</f>
        <v/>
      </c>
      <c r="Z733">
        <f>IF(Y733=C733,1,0)</f>
        <v/>
      </c>
    </row>
    <row r="734">
      <c r="A734">
        <f>'1 datos preparados'!A727</f>
        <v/>
      </c>
      <c r="B734" s="5">
        <f>'1 datos preparados'!U727</f>
        <v/>
      </c>
      <c r="C734">
        <f>'1 datos preparados'!B727</f>
        <v/>
      </c>
      <c r="D734" s="7">
        <f>'1 datos preparados'!C727</f>
        <v/>
      </c>
      <c r="E734" s="7">
        <f>'1 datos preparados'!D727</f>
        <v/>
      </c>
      <c r="F734" s="7">
        <f>'1 datos preparados'!E727</f>
        <v/>
      </c>
      <c r="G734" s="7">
        <f>'1 datos preparados'!F727</f>
        <v/>
      </c>
      <c r="H734" s="7">
        <f>'1 datos preparados'!G727</f>
        <v/>
      </c>
      <c r="I734" s="7">
        <f>'1 datos preparados'!H727</f>
        <v/>
      </c>
      <c r="J734" s="7">
        <f>'1 datos preparados'!I727</f>
        <v/>
      </c>
      <c r="K734" s="7">
        <f>'1 datos preparados'!J727</f>
        <v/>
      </c>
      <c r="L734" s="7">
        <f>'1 datos preparados'!K727</f>
        <v/>
      </c>
      <c r="M734" s="7">
        <f>'1 datos preparados'!L727</f>
        <v/>
      </c>
      <c r="N734" s="7">
        <f>'1 datos preparados'!M727</f>
        <v/>
      </c>
      <c r="O734" s="7">
        <f>'1 datos preparados'!N727</f>
        <v/>
      </c>
      <c r="P734" s="7">
        <f>'1 datos preparados'!O727</f>
        <v/>
      </c>
      <c r="Q734" s="7">
        <f>'1 datos preparados'!P727</f>
        <v/>
      </c>
      <c r="R734" s="7">
        <f>'1 datos preparados'!Q727</f>
        <v/>
      </c>
      <c r="S734" s="7">
        <f>'1 datos preparados'!R727</f>
        <v/>
      </c>
      <c r="T734" s="7">
        <f>'1 datos preparados'!S727</f>
        <v/>
      </c>
      <c r="U734" s="7">
        <f>'1 datos preparados'!T727</f>
        <v/>
      </c>
      <c r="V734" s="8">
        <f>$AC$12+D734*$AC$13+E734*$AC$14+F734*$AC$15+G734*$AC$16+H734*$AC$17+I734*$AC$18+J734*$AC$19+K734*$AC$20+L734*$AC$21+M734*$AC$22+N734*$AC$23+O734*$AC$24+P734*$AC$25+Q734*$AC$26+R734*$AC$27+S734*$AC$28+T734*$AC$29+U734*$AC$30</f>
        <v/>
      </c>
      <c r="W734" s="8">
        <f>1/(1+EXP(-V734))</f>
        <v/>
      </c>
      <c r="X734" s="9">
        <f>-IF(C734=1,LN(W734),LN(1-W734))</f>
        <v/>
      </c>
      <c r="Y734" s="10">
        <f>IF(W734&gt;$AC$33,1,0)</f>
        <v/>
      </c>
      <c r="Z734">
        <f>IF(Y734=C734,1,0)</f>
        <v/>
      </c>
    </row>
    <row r="735">
      <c r="A735">
        <f>'1 datos preparados'!A728</f>
        <v/>
      </c>
      <c r="B735" s="5">
        <f>'1 datos preparados'!U728</f>
        <v/>
      </c>
      <c r="C735">
        <f>'1 datos preparados'!B728</f>
        <v/>
      </c>
      <c r="D735" s="7">
        <f>'1 datos preparados'!C728</f>
        <v/>
      </c>
      <c r="E735" s="7">
        <f>'1 datos preparados'!D728</f>
        <v/>
      </c>
      <c r="F735" s="7">
        <f>'1 datos preparados'!E728</f>
        <v/>
      </c>
      <c r="G735" s="7">
        <f>'1 datos preparados'!F728</f>
        <v/>
      </c>
      <c r="H735" s="7">
        <f>'1 datos preparados'!G728</f>
        <v/>
      </c>
      <c r="I735" s="7">
        <f>'1 datos preparados'!H728</f>
        <v/>
      </c>
      <c r="J735" s="7">
        <f>'1 datos preparados'!I728</f>
        <v/>
      </c>
      <c r="K735" s="7">
        <f>'1 datos preparados'!J728</f>
        <v/>
      </c>
      <c r="L735" s="7">
        <f>'1 datos preparados'!K728</f>
        <v/>
      </c>
      <c r="M735" s="7">
        <f>'1 datos preparados'!L728</f>
        <v/>
      </c>
      <c r="N735" s="7">
        <f>'1 datos preparados'!M728</f>
        <v/>
      </c>
      <c r="O735" s="7">
        <f>'1 datos preparados'!N728</f>
        <v/>
      </c>
      <c r="P735" s="7">
        <f>'1 datos preparados'!O728</f>
        <v/>
      </c>
      <c r="Q735" s="7">
        <f>'1 datos preparados'!P728</f>
        <v/>
      </c>
      <c r="R735" s="7">
        <f>'1 datos preparados'!Q728</f>
        <v/>
      </c>
      <c r="S735" s="7">
        <f>'1 datos preparados'!R728</f>
        <v/>
      </c>
      <c r="T735" s="7">
        <f>'1 datos preparados'!S728</f>
        <v/>
      </c>
      <c r="U735" s="7">
        <f>'1 datos preparados'!T728</f>
        <v/>
      </c>
      <c r="V735" s="8">
        <f>$AC$12+D735*$AC$13+E735*$AC$14+F735*$AC$15+G735*$AC$16+H735*$AC$17+I735*$AC$18+J735*$AC$19+K735*$AC$20+L735*$AC$21+M735*$AC$22+N735*$AC$23+O735*$AC$24+P735*$AC$25+Q735*$AC$26+R735*$AC$27+S735*$AC$28+T735*$AC$29+U735*$AC$30</f>
        <v/>
      </c>
      <c r="W735" s="8">
        <f>1/(1+EXP(-V735))</f>
        <v/>
      </c>
      <c r="X735" s="9">
        <f>-IF(C735=1,LN(W735),LN(1-W735))</f>
        <v/>
      </c>
      <c r="Y735" s="10">
        <f>IF(W735&gt;$AC$33,1,0)</f>
        <v/>
      </c>
      <c r="Z735">
        <f>IF(Y735=C735,1,0)</f>
        <v/>
      </c>
    </row>
    <row r="736">
      <c r="A736">
        <f>'1 datos preparados'!A729</f>
        <v/>
      </c>
      <c r="B736" s="5">
        <f>'1 datos preparados'!U729</f>
        <v/>
      </c>
      <c r="C736">
        <f>'1 datos preparados'!B729</f>
        <v/>
      </c>
      <c r="D736" s="7">
        <f>'1 datos preparados'!C729</f>
        <v/>
      </c>
      <c r="E736" s="7">
        <f>'1 datos preparados'!D729</f>
        <v/>
      </c>
      <c r="F736" s="7">
        <f>'1 datos preparados'!E729</f>
        <v/>
      </c>
      <c r="G736" s="7">
        <f>'1 datos preparados'!F729</f>
        <v/>
      </c>
      <c r="H736" s="7">
        <f>'1 datos preparados'!G729</f>
        <v/>
      </c>
      <c r="I736" s="7">
        <f>'1 datos preparados'!H729</f>
        <v/>
      </c>
      <c r="J736" s="7">
        <f>'1 datos preparados'!I729</f>
        <v/>
      </c>
      <c r="K736" s="7">
        <f>'1 datos preparados'!J729</f>
        <v/>
      </c>
      <c r="L736" s="7">
        <f>'1 datos preparados'!K729</f>
        <v/>
      </c>
      <c r="M736" s="7">
        <f>'1 datos preparados'!L729</f>
        <v/>
      </c>
      <c r="N736" s="7">
        <f>'1 datos preparados'!M729</f>
        <v/>
      </c>
      <c r="O736" s="7">
        <f>'1 datos preparados'!N729</f>
        <v/>
      </c>
      <c r="P736" s="7">
        <f>'1 datos preparados'!O729</f>
        <v/>
      </c>
      <c r="Q736" s="7">
        <f>'1 datos preparados'!P729</f>
        <v/>
      </c>
      <c r="R736" s="7">
        <f>'1 datos preparados'!Q729</f>
        <v/>
      </c>
      <c r="S736" s="7">
        <f>'1 datos preparados'!R729</f>
        <v/>
      </c>
      <c r="T736" s="7">
        <f>'1 datos preparados'!S729</f>
        <v/>
      </c>
      <c r="U736" s="7">
        <f>'1 datos preparados'!T729</f>
        <v/>
      </c>
      <c r="V736" s="8">
        <f>$AC$12+D736*$AC$13+E736*$AC$14+F736*$AC$15+G736*$AC$16+H736*$AC$17+I736*$AC$18+J736*$AC$19+K736*$AC$20+L736*$AC$21+M736*$AC$22+N736*$AC$23+O736*$AC$24+P736*$AC$25+Q736*$AC$26+R736*$AC$27+S736*$AC$28+T736*$AC$29+U736*$AC$30</f>
        <v/>
      </c>
      <c r="W736" s="8">
        <f>1/(1+EXP(-V736))</f>
        <v/>
      </c>
      <c r="X736" s="9">
        <f>-IF(C736=1,LN(W736),LN(1-W736))</f>
        <v/>
      </c>
      <c r="Y736" s="10">
        <f>IF(W736&gt;$AC$33,1,0)</f>
        <v/>
      </c>
      <c r="Z736">
        <f>IF(Y736=C736,1,0)</f>
        <v/>
      </c>
    </row>
    <row r="737">
      <c r="A737">
        <f>'1 datos preparados'!A730</f>
        <v/>
      </c>
      <c r="B737" s="5">
        <f>'1 datos preparados'!U730</f>
        <v/>
      </c>
      <c r="C737">
        <f>'1 datos preparados'!B730</f>
        <v/>
      </c>
      <c r="D737" s="7">
        <f>'1 datos preparados'!C730</f>
        <v/>
      </c>
      <c r="E737" s="7">
        <f>'1 datos preparados'!D730</f>
        <v/>
      </c>
      <c r="F737" s="7">
        <f>'1 datos preparados'!E730</f>
        <v/>
      </c>
      <c r="G737" s="7">
        <f>'1 datos preparados'!F730</f>
        <v/>
      </c>
      <c r="H737" s="7">
        <f>'1 datos preparados'!G730</f>
        <v/>
      </c>
      <c r="I737" s="7">
        <f>'1 datos preparados'!H730</f>
        <v/>
      </c>
      <c r="J737" s="7">
        <f>'1 datos preparados'!I730</f>
        <v/>
      </c>
      <c r="K737" s="7">
        <f>'1 datos preparados'!J730</f>
        <v/>
      </c>
      <c r="L737" s="7">
        <f>'1 datos preparados'!K730</f>
        <v/>
      </c>
      <c r="M737" s="7">
        <f>'1 datos preparados'!L730</f>
        <v/>
      </c>
      <c r="N737" s="7">
        <f>'1 datos preparados'!M730</f>
        <v/>
      </c>
      <c r="O737" s="7">
        <f>'1 datos preparados'!N730</f>
        <v/>
      </c>
      <c r="P737" s="7">
        <f>'1 datos preparados'!O730</f>
        <v/>
      </c>
      <c r="Q737" s="7">
        <f>'1 datos preparados'!P730</f>
        <v/>
      </c>
      <c r="R737" s="7">
        <f>'1 datos preparados'!Q730</f>
        <v/>
      </c>
      <c r="S737" s="7">
        <f>'1 datos preparados'!R730</f>
        <v/>
      </c>
      <c r="T737" s="7">
        <f>'1 datos preparados'!S730</f>
        <v/>
      </c>
      <c r="U737" s="7">
        <f>'1 datos preparados'!T730</f>
        <v/>
      </c>
      <c r="V737" s="8">
        <f>$AC$12+D737*$AC$13+E737*$AC$14+F737*$AC$15+G737*$AC$16+H737*$AC$17+I737*$AC$18+J737*$AC$19+K737*$AC$20+L737*$AC$21+M737*$AC$22+N737*$AC$23+O737*$AC$24+P737*$AC$25+Q737*$AC$26+R737*$AC$27+S737*$AC$28+T737*$AC$29+U737*$AC$30</f>
        <v/>
      </c>
      <c r="W737" s="8">
        <f>1/(1+EXP(-V737))</f>
        <v/>
      </c>
      <c r="X737" s="9">
        <f>-IF(C737=1,LN(W737),LN(1-W737))</f>
        <v/>
      </c>
      <c r="Y737" s="10">
        <f>IF(W737&gt;$AC$33,1,0)</f>
        <v/>
      </c>
      <c r="Z737">
        <f>IF(Y737=C737,1,0)</f>
        <v/>
      </c>
    </row>
    <row r="738">
      <c r="A738">
        <f>'1 datos preparados'!A731</f>
        <v/>
      </c>
      <c r="B738" s="5">
        <f>'1 datos preparados'!U731</f>
        <v/>
      </c>
      <c r="C738">
        <f>'1 datos preparados'!B731</f>
        <v/>
      </c>
      <c r="D738" s="7">
        <f>'1 datos preparados'!C731</f>
        <v/>
      </c>
      <c r="E738" s="7">
        <f>'1 datos preparados'!D731</f>
        <v/>
      </c>
      <c r="F738" s="7">
        <f>'1 datos preparados'!E731</f>
        <v/>
      </c>
      <c r="G738" s="7">
        <f>'1 datos preparados'!F731</f>
        <v/>
      </c>
      <c r="H738" s="7">
        <f>'1 datos preparados'!G731</f>
        <v/>
      </c>
      <c r="I738" s="7">
        <f>'1 datos preparados'!H731</f>
        <v/>
      </c>
      <c r="J738" s="7">
        <f>'1 datos preparados'!I731</f>
        <v/>
      </c>
      <c r="K738" s="7">
        <f>'1 datos preparados'!J731</f>
        <v/>
      </c>
      <c r="L738" s="7">
        <f>'1 datos preparados'!K731</f>
        <v/>
      </c>
      <c r="M738" s="7">
        <f>'1 datos preparados'!L731</f>
        <v/>
      </c>
      <c r="N738" s="7">
        <f>'1 datos preparados'!M731</f>
        <v/>
      </c>
      <c r="O738" s="7">
        <f>'1 datos preparados'!N731</f>
        <v/>
      </c>
      <c r="P738" s="7">
        <f>'1 datos preparados'!O731</f>
        <v/>
      </c>
      <c r="Q738" s="7">
        <f>'1 datos preparados'!P731</f>
        <v/>
      </c>
      <c r="R738" s="7">
        <f>'1 datos preparados'!Q731</f>
        <v/>
      </c>
      <c r="S738" s="7">
        <f>'1 datos preparados'!R731</f>
        <v/>
      </c>
      <c r="T738" s="7">
        <f>'1 datos preparados'!S731</f>
        <v/>
      </c>
      <c r="U738" s="7">
        <f>'1 datos preparados'!T731</f>
        <v/>
      </c>
      <c r="V738" s="8">
        <f>$AC$12+D738*$AC$13+E738*$AC$14+F738*$AC$15+G738*$AC$16+H738*$AC$17+I738*$AC$18+J738*$AC$19+K738*$AC$20+L738*$AC$21+M738*$AC$22+N738*$AC$23+O738*$AC$24+P738*$AC$25+Q738*$AC$26+R738*$AC$27+S738*$AC$28+T738*$AC$29+U738*$AC$30</f>
        <v/>
      </c>
      <c r="W738" s="8">
        <f>1/(1+EXP(-V738))</f>
        <v/>
      </c>
      <c r="X738" s="9">
        <f>-IF(C738=1,LN(W738),LN(1-W738))</f>
        <v/>
      </c>
      <c r="Y738" s="10">
        <f>IF(W738&gt;$AC$33,1,0)</f>
        <v/>
      </c>
      <c r="Z738">
        <f>IF(Y738=C738,1,0)</f>
        <v/>
      </c>
    </row>
    <row r="739">
      <c r="A739">
        <f>'1 datos preparados'!A732</f>
        <v/>
      </c>
      <c r="B739" s="5">
        <f>'1 datos preparados'!U732</f>
        <v/>
      </c>
      <c r="C739">
        <f>'1 datos preparados'!B732</f>
        <v/>
      </c>
      <c r="D739" s="7">
        <f>'1 datos preparados'!C732</f>
        <v/>
      </c>
      <c r="E739" s="7">
        <f>'1 datos preparados'!D732</f>
        <v/>
      </c>
      <c r="F739" s="7">
        <f>'1 datos preparados'!E732</f>
        <v/>
      </c>
      <c r="G739" s="7">
        <f>'1 datos preparados'!F732</f>
        <v/>
      </c>
      <c r="H739" s="7">
        <f>'1 datos preparados'!G732</f>
        <v/>
      </c>
      <c r="I739" s="7">
        <f>'1 datos preparados'!H732</f>
        <v/>
      </c>
      <c r="J739" s="7">
        <f>'1 datos preparados'!I732</f>
        <v/>
      </c>
      <c r="K739" s="7">
        <f>'1 datos preparados'!J732</f>
        <v/>
      </c>
      <c r="L739" s="7">
        <f>'1 datos preparados'!K732</f>
        <v/>
      </c>
      <c r="M739" s="7">
        <f>'1 datos preparados'!L732</f>
        <v/>
      </c>
      <c r="N739" s="7">
        <f>'1 datos preparados'!M732</f>
        <v/>
      </c>
      <c r="O739" s="7">
        <f>'1 datos preparados'!N732</f>
        <v/>
      </c>
      <c r="P739" s="7">
        <f>'1 datos preparados'!O732</f>
        <v/>
      </c>
      <c r="Q739" s="7">
        <f>'1 datos preparados'!P732</f>
        <v/>
      </c>
      <c r="R739" s="7">
        <f>'1 datos preparados'!Q732</f>
        <v/>
      </c>
      <c r="S739" s="7">
        <f>'1 datos preparados'!R732</f>
        <v/>
      </c>
      <c r="T739" s="7">
        <f>'1 datos preparados'!S732</f>
        <v/>
      </c>
      <c r="U739" s="7">
        <f>'1 datos preparados'!T732</f>
        <v/>
      </c>
      <c r="V739" s="8">
        <f>$AC$12+D739*$AC$13+E739*$AC$14+F739*$AC$15+G739*$AC$16+H739*$AC$17+I739*$AC$18+J739*$AC$19+K739*$AC$20+L739*$AC$21+M739*$AC$22+N739*$AC$23+O739*$AC$24+P739*$AC$25+Q739*$AC$26+R739*$AC$27+S739*$AC$28+T739*$AC$29+U739*$AC$30</f>
        <v/>
      </c>
      <c r="W739" s="8">
        <f>1/(1+EXP(-V739))</f>
        <v/>
      </c>
      <c r="X739" s="9">
        <f>-IF(C739=1,LN(W739),LN(1-W739))</f>
        <v/>
      </c>
      <c r="Y739" s="10">
        <f>IF(W739&gt;$AC$33,1,0)</f>
        <v/>
      </c>
      <c r="Z739">
        <f>IF(Y739=C739,1,0)</f>
        <v/>
      </c>
    </row>
    <row r="740">
      <c r="A740">
        <f>'1 datos preparados'!A733</f>
        <v/>
      </c>
      <c r="B740" s="5">
        <f>'1 datos preparados'!U733</f>
        <v/>
      </c>
      <c r="C740">
        <f>'1 datos preparados'!B733</f>
        <v/>
      </c>
      <c r="D740" s="7">
        <f>'1 datos preparados'!C733</f>
        <v/>
      </c>
      <c r="E740" s="7">
        <f>'1 datos preparados'!D733</f>
        <v/>
      </c>
      <c r="F740" s="7">
        <f>'1 datos preparados'!E733</f>
        <v/>
      </c>
      <c r="G740" s="7">
        <f>'1 datos preparados'!F733</f>
        <v/>
      </c>
      <c r="H740" s="7">
        <f>'1 datos preparados'!G733</f>
        <v/>
      </c>
      <c r="I740" s="7">
        <f>'1 datos preparados'!H733</f>
        <v/>
      </c>
      <c r="J740" s="7">
        <f>'1 datos preparados'!I733</f>
        <v/>
      </c>
      <c r="K740" s="7">
        <f>'1 datos preparados'!J733</f>
        <v/>
      </c>
      <c r="L740" s="7">
        <f>'1 datos preparados'!K733</f>
        <v/>
      </c>
      <c r="M740" s="7">
        <f>'1 datos preparados'!L733</f>
        <v/>
      </c>
      <c r="N740" s="7">
        <f>'1 datos preparados'!M733</f>
        <v/>
      </c>
      <c r="O740" s="7">
        <f>'1 datos preparados'!N733</f>
        <v/>
      </c>
      <c r="P740" s="7">
        <f>'1 datos preparados'!O733</f>
        <v/>
      </c>
      <c r="Q740" s="7">
        <f>'1 datos preparados'!P733</f>
        <v/>
      </c>
      <c r="R740" s="7">
        <f>'1 datos preparados'!Q733</f>
        <v/>
      </c>
      <c r="S740" s="7">
        <f>'1 datos preparados'!R733</f>
        <v/>
      </c>
      <c r="T740" s="7">
        <f>'1 datos preparados'!S733</f>
        <v/>
      </c>
      <c r="U740" s="7">
        <f>'1 datos preparados'!T733</f>
        <v/>
      </c>
      <c r="V740" s="8">
        <f>$AC$12+D740*$AC$13+E740*$AC$14+F740*$AC$15+G740*$AC$16+H740*$AC$17+I740*$AC$18+J740*$AC$19+K740*$AC$20+L740*$AC$21+M740*$AC$22+N740*$AC$23+O740*$AC$24+P740*$AC$25+Q740*$AC$26+R740*$AC$27+S740*$AC$28+T740*$AC$29+U740*$AC$30</f>
        <v/>
      </c>
      <c r="W740" s="8">
        <f>1/(1+EXP(-V740))</f>
        <v/>
      </c>
      <c r="X740" s="9">
        <f>-IF(C740=1,LN(W740),LN(1-W740))</f>
        <v/>
      </c>
      <c r="Y740" s="10">
        <f>IF(W740&gt;$AC$33,1,0)</f>
        <v/>
      </c>
      <c r="Z740">
        <f>IF(Y740=C740,1,0)</f>
        <v/>
      </c>
    </row>
    <row r="741">
      <c r="A741">
        <f>'1 datos preparados'!A734</f>
        <v/>
      </c>
      <c r="B741" s="5">
        <f>'1 datos preparados'!U734</f>
        <v/>
      </c>
      <c r="C741">
        <f>'1 datos preparados'!B734</f>
        <v/>
      </c>
      <c r="D741" s="7">
        <f>'1 datos preparados'!C734</f>
        <v/>
      </c>
      <c r="E741" s="7">
        <f>'1 datos preparados'!D734</f>
        <v/>
      </c>
      <c r="F741" s="7">
        <f>'1 datos preparados'!E734</f>
        <v/>
      </c>
      <c r="G741" s="7">
        <f>'1 datos preparados'!F734</f>
        <v/>
      </c>
      <c r="H741" s="7">
        <f>'1 datos preparados'!G734</f>
        <v/>
      </c>
      <c r="I741" s="7">
        <f>'1 datos preparados'!H734</f>
        <v/>
      </c>
      <c r="J741" s="7">
        <f>'1 datos preparados'!I734</f>
        <v/>
      </c>
      <c r="K741" s="7">
        <f>'1 datos preparados'!J734</f>
        <v/>
      </c>
      <c r="L741" s="7">
        <f>'1 datos preparados'!K734</f>
        <v/>
      </c>
      <c r="M741" s="7">
        <f>'1 datos preparados'!L734</f>
        <v/>
      </c>
      <c r="N741" s="7">
        <f>'1 datos preparados'!M734</f>
        <v/>
      </c>
      <c r="O741" s="7">
        <f>'1 datos preparados'!N734</f>
        <v/>
      </c>
      <c r="P741" s="7">
        <f>'1 datos preparados'!O734</f>
        <v/>
      </c>
      <c r="Q741" s="7">
        <f>'1 datos preparados'!P734</f>
        <v/>
      </c>
      <c r="R741" s="7">
        <f>'1 datos preparados'!Q734</f>
        <v/>
      </c>
      <c r="S741" s="7">
        <f>'1 datos preparados'!R734</f>
        <v/>
      </c>
      <c r="T741" s="7">
        <f>'1 datos preparados'!S734</f>
        <v/>
      </c>
      <c r="U741" s="7">
        <f>'1 datos preparados'!T734</f>
        <v/>
      </c>
      <c r="V741" s="8">
        <f>$AC$12+D741*$AC$13+E741*$AC$14+F741*$AC$15+G741*$AC$16+H741*$AC$17+I741*$AC$18+J741*$AC$19+K741*$AC$20+L741*$AC$21+M741*$AC$22+N741*$AC$23+O741*$AC$24+P741*$AC$25+Q741*$AC$26+R741*$AC$27+S741*$AC$28+T741*$AC$29+U741*$AC$30</f>
        <v/>
      </c>
      <c r="W741" s="8">
        <f>1/(1+EXP(-V741))</f>
        <v/>
      </c>
      <c r="X741" s="9">
        <f>-IF(C741=1,LN(W741),LN(1-W741))</f>
        <v/>
      </c>
      <c r="Y741" s="10">
        <f>IF(W741&gt;$AC$33,1,0)</f>
        <v/>
      </c>
      <c r="Z741">
        <f>IF(Y741=C741,1,0)</f>
        <v/>
      </c>
    </row>
    <row r="742">
      <c r="A742">
        <f>'1 datos preparados'!A735</f>
        <v/>
      </c>
      <c r="B742" s="5">
        <f>'1 datos preparados'!U735</f>
        <v/>
      </c>
      <c r="C742">
        <f>'1 datos preparados'!B735</f>
        <v/>
      </c>
      <c r="D742" s="7">
        <f>'1 datos preparados'!C735</f>
        <v/>
      </c>
      <c r="E742" s="7">
        <f>'1 datos preparados'!D735</f>
        <v/>
      </c>
      <c r="F742" s="7">
        <f>'1 datos preparados'!E735</f>
        <v/>
      </c>
      <c r="G742" s="7">
        <f>'1 datos preparados'!F735</f>
        <v/>
      </c>
      <c r="H742" s="7">
        <f>'1 datos preparados'!G735</f>
        <v/>
      </c>
      <c r="I742" s="7">
        <f>'1 datos preparados'!H735</f>
        <v/>
      </c>
      <c r="J742" s="7">
        <f>'1 datos preparados'!I735</f>
        <v/>
      </c>
      <c r="K742" s="7">
        <f>'1 datos preparados'!J735</f>
        <v/>
      </c>
      <c r="L742" s="7">
        <f>'1 datos preparados'!K735</f>
        <v/>
      </c>
      <c r="M742" s="7">
        <f>'1 datos preparados'!L735</f>
        <v/>
      </c>
      <c r="N742" s="7">
        <f>'1 datos preparados'!M735</f>
        <v/>
      </c>
      <c r="O742" s="7">
        <f>'1 datos preparados'!N735</f>
        <v/>
      </c>
      <c r="P742" s="7">
        <f>'1 datos preparados'!O735</f>
        <v/>
      </c>
      <c r="Q742" s="7">
        <f>'1 datos preparados'!P735</f>
        <v/>
      </c>
      <c r="R742" s="7">
        <f>'1 datos preparados'!Q735</f>
        <v/>
      </c>
      <c r="S742" s="7">
        <f>'1 datos preparados'!R735</f>
        <v/>
      </c>
      <c r="T742" s="7">
        <f>'1 datos preparados'!S735</f>
        <v/>
      </c>
      <c r="U742" s="7">
        <f>'1 datos preparados'!T735</f>
        <v/>
      </c>
      <c r="V742" s="8">
        <f>$AC$12+D742*$AC$13+E742*$AC$14+F742*$AC$15+G742*$AC$16+H742*$AC$17+I742*$AC$18+J742*$AC$19+K742*$AC$20+L742*$AC$21+M742*$AC$22+N742*$AC$23+O742*$AC$24+P742*$AC$25+Q742*$AC$26+R742*$AC$27+S742*$AC$28+T742*$AC$29+U742*$AC$30</f>
        <v/>
      </c>
      <c r="W742" s="8">
        <f>1/(1+EXP(-V742))</f>
        <v/>
      </c>
      <c r="X742" s="9">
        <f>-IF(C742=1,LN(W742),LN(1-W742))</f>
        <v/>
      </c>
      <c r="Y742" s="10">
        <f>IF(W742&gt;$AC$33,1,0)</f>
        <v/>
      </c>
      <c r="Z742">
        <f>IF(Y742=C742,1,0)</f>
        <v/>
      </c>
    </row>
    <row r="743">
      <c r="A743">
        <f>'1 datos preparados'!A736</f>
        <v/>
      </c>
      <c r="B743" s="5">
        <f>'1 datos preparados'!U736</f>
        <v/>
      </c>
      <c r="C743">
        <f>'1 datos preparados'!B736</f>
        <v/>
      </c>
      <c r="D743" s="7">
        <f>'1 datos preparados'!C736</f>
        <v/>
      </c>
      <c r="E743" s="7">
        <f>'1 datos preparados'!D736</f>
        <v/>
      </c>
      <c r="F743" s="7">
        <f>'1 datos preparados'!E736</f>
        <v/>
      </c>
      <c r="G743" s="7">
        <f>'1 datos preparados'!F736</f>
        <v/>
      </c>
      <c r="H743" s="7">
        <f>'1 datos preparados'!G736</f>
        <v/>
      </c>
      <c r="I743" s="7">
        <f>'1 datos preparados'!H736</f>
        <v/>
      </c>
      <c r="J743" s="7">
        <f>'1 datos preparados'!I736</f>
        <v/>
      </c>
      <c r="K743" s="7">
        <f>'1 datos preparados'!J736</f>
        <v/>
      </c>
      <c r="L743" s="7">
        <f>'1 datos preparados'!K736</f>
        <v/>
      </c>
      <c r="M743" s="7">
        <f>'1 datos preparados'!L736</f>
        <v/>
      </c>
      <c r="N743" s="7">
        <f>'1 datos preparados'!M736</f>
        <v/>
      </c>
      <c r="O743" s="7">
        <f>'1 datos preparados'!N736</f>
        <v/>
      </c>
      <c r="P743" s="7">
        <f>'1 datos preparados'!O736</f>
        <v/>
      </c>
      <c r="Q743" s="7">
        <f>'1 datos preparados'!P736</f>
        <v/>
      </c>
      <c r="R743" s="7">
        <f>'1 datos preparados'!Q736</f>
        <v/>
      </c>
      <c r="S743" s="7">
        <f>'1 datos preparados'!R736</f>
        <v/>
      </c>
      <c r="T743" s="7">
        <f>'1 datos preparados'!S736</f>
        <v/>
      </c>
      <c r="U743" s="7">
        <f>'1 datos preparados'!T736</f>
        <v/>
      </c>
      <c r="V743" s="8">
        <f>$AC$12+D743*$AC$13+E743*$AC$14+F743*$AC$15+G743*$AC$16+H743*$AC$17+I743*$AC$18+J743*$AC$19+K743*$AC$20+L743*$AC$21+M743*$AC$22+N743*$AC$23+O743*$AC$24+P743*$AC$25+Q743*$AC$26+R743*$AC$27+S743*$AC$28+T743*$AC$29+U743*$AC$30</f>
        <v/>
      </c>
      <c r="W743" s="8">
        <f>1/(1+EXP(-V743))</f>
        <v/>
      </c>
      <c r="X743" s="9">
        <f>-IF(C743=1,LN(W743),LN(1-W743))</f>
        <v/>
      </c>
      <c r="Y743" s="10">
        <f>IF(W743&gt;$AC$33,1,0)</f>
        <v/>
      </c>
      <c r="Z743">
        <f>IF(Y743=C743,1,0)</f>
        <v/>
      </c>
    </row>
    <row r="744">
      <c r="A744">
        <f>'1 datos preparados'!A737</f>
        <v/>
      </c>
      <c r="B744" s="5">
        <f>'1 datos preparados'!U737</f>
        <v/>
      </c>
      <c r="C744">
        <f>'1 datos preparados'!B737</f>
        <v/>
      </c>
      <c r="D744" s="7">
        <f>'1 datos preparados'!C737</f>
        <v/>
      </c>
      <c r="E744" s="7">
        <f>'1 datos preparados'!D737</f>
        <v/>
      </c>
      <c r="F744" s="7">
        <f>'1 datos preparados'!E737</f>
        <v/>
      </c>
      <c r="G744" s="7">
        <f>'1 datos preparados'!F737</f>
        <v/>
      </c>
      <c r="H744" s="7">
        <f>'1 datos preparados'!G737</f>
        <v/>
      </c>
      <c r="I744" s="7">
        <f>'1 datos preparados'!H737</f>
        <v/>
      </c>
      <c r="J744" s="7">
        <f>'1 datos preparados'!I737</f>
        <v/>
      </c>
      <c r="K744" s="7">
        <f>'1 datos preparados'!J737</f>
        <v/>
      </c>
      <c r="L744" s="7">
        <f>'1 datos preparados'!K737</f>
        <v/>
      </c>
      <c r="M744" s="7">
        <f>'1 datos preparados'!L737</f>
        <v/>
      </c>
      <c r="N744" s="7">
        <f>'1 datos preparados'!M737</f>
        <v/>
      </c>
      <c r="O744" s="7">
        <f>'1 datos preparados'!N737</f>
        <v/>
      </c>
      <c r="P744" s="7">
        <f>'1 datos preparados'!O737</f>
        <v/>
      </c>
      <c r="Q744" s="7">
        <f>'1 datos preparados'!P737</f>
        <v/>
      </c>
      <c r="R744" s="7">
        <f>'1 datos preparados'!Q737</f>
        <v/>
      </c>
      <c r="S744" s="7">
        <f>'1 datos preparados'!R737</f>
        <v/>
      </c>
      <c r="T744" s="7">
        <f>'1 datos preparados'!S737</f>
        <v/>
      </c>
      <c r="U744" s="7">
        <f>'1 datos preparados'!T737</f>
        <v/>
      </c>
      <c r="V744" s="8">
        <f>$AC$12+D744*$AC$13+E744*$AC$14+F744*$AC$15+G744*$AC$16+H744*$AC$17+I744*$AC$18+J744*$AC$19+K744*$AC$20+L744*$AC$21+M744*$AC$22+N744*$AC$23+O744*$AC$24+P744*$AC$25+Q744*$AC$26+R744*$AC$27+S744*$AC$28+T744*$AC$29+U744*$AC$30</f>
        <v/>
      </c>
      <c r="W744" s="8">
        <f>1/(1+EXP(-V744))</f>
        <v/>
      </c>
      <c r="X744" s="9">
        <f>-IF(C744=1,LN(W744),LN(1-W744))</f>
        <v/>
      </c>
      <c r="Y744" s="10">
        <f>IF(W744&gt;$AC$33,1,0)</f>
        <v/>
      </c>
      <c r="Z744">
        <f>IF(Y744=C744,1,0)</f>
        <v/>
      </c>
    </row>
    <row r="745">
      <c r="A745">
        <f>'1 datos preparados'!A738</f>
        <v/>
      </c>
      <c r="B745" s="5">
        <f>'1 datos preparados'!U738</f>
        <v/>
      </c>
      <c r="C745">
        <f>'1 datos preparados'!B738</f>
        <v/>
      </c>
      <c r="D745" s="7">
        <f>'1 datos preparados'!C738</f>
        <v/>
      </c>
      <c r="E745" s="7">
        <f>'1 datos preparados'!D738</f>
        <v/>
      </c>
      <c r="F745" s="7">
        <f>'1 datos preparados'!E738</f>
        <v/>
      </c>
      <c r="G745" s="7">
        <f>'1 datos preparados'!F738</f>
        <v/>
      </c>
      <c r="H745" s="7">
        <f>'1 datos preparados'!G738</f>
        <v/>
      </c>
      <c r="I745" s="7">
        <f>'1 datos preparados'!H738</f>
        <v/>
      </c>
      <c r="J745" s="7">
        <f>'1 datos preparados'!I738</f>
        <v/>
      </c>
      <c r="K745" s="7">
        <f>'1 datos preparados'!J738</f>
        <v/>
      </c>
      <c r="L745" s="7">
        <f>'1 datos preparados'!K738</f>
        <v/>
      </c>
      <c r="M745" s="7">
        <f>'1 datos preparados'!L738</f>
        <v/>
      </c>
      <c r="N745" s="7">
        <f>'1 datos preparados'!M738</f>
        <v/>
      </c>
      <c r="O745" s="7">
        <f>'1 datos preparados'!N738</f>
        <v/>
      </c>
      <c r="P745" s="7">
        <f>'1 datos preparados'!O738</f>
        <v/>
      </c>
      <c r="Q745" s="7">
        <f>'1 datos preparados'!P738</f>
        <v/>
      </c>
      <c r="R745" s="7">
        <f>'1 datos preparados'!Q738</f>
        <v/>
      </c>
      <c r="S745" s="7">
        <f>'1 datos preparados'!R738</f>
        <v/>
      </c>
      <c r="T745" s="7">
        <f>'1 datos preparados'!S738</f>
        <v/>
      </c>
      <c r="U745" s="7">
        <f>'1 datos preparados'!T738</f>
        <v/>
      </c>
      <c r="V745" s="8">
        <f>$AC$12+D745*$AC$13+E745*$AC$14+F745*$AC$15+G745*$AC$16+H745*$AC$17+I745*$AC$18+J745*$AC$19+K745*$AC$20+L745*$AC$21+M745*$AC$22+N745*$AC$23+O745*$AC$24+P745*$AC$25+Q745*$AC$26+R745*$AC$27+S745*$AC$28+T745*$AC$29+U745*$AC$30</f>
        <v/>
      </c>
      <c r="W745" s="8">
        <f>1/(1+EXP(-V745))</f>
        <v/>
      </c>
      <c r="X745" s="9">
        <f>-IF(C745=1,LN(W745),LN(1-W745))</f>
        <v/>
      </c>
      <c r="Y745" s="10">
        <f>IF(W745&gt;$AC$33,1,0)</f>
        <v/>
      </c>
      <c r="Z745">
        <f>IF(Y745=C745,1,0)</f>
        <v/>
      </c>
    </row>
    <row r="746">
      <c r="A746">
        <f>'1 datos preparados'!A739</f>
        <v/>
      </c>
      <c r="B746" s="5">
        <f>'1 datos preparados'!U739</f>
        <v/>
      </c>
      <c r="C746">
        <f>'1 datos preparados'!B739</f>
        <v/>
      </c>
      <c r="D746" s="7">
        <f>'1 datos preparados'!C739</f>
        <v/>
      </c>
      <c r="E746" s="7">
        <f>'1 datos preparados'!D739</f>
        <v/>
      </c>
      <c r="F746" s="7">
        <f>'1 datos preparados'!E739</f>
        <v/>
      </c>
      <c r="G746" s="7">
        <f>'1 datos preparados'!F739</f>
        <v/>
      </c>
      <c r="H746" s="7">
        <f>'1 datos preparados'!G739</f>
        <v/>
      </c>
      <c r="I746" s="7">
        <f>'1 datos preparados'!H739</f>
        <v/>
      </c>
      <c r="J746" s="7">
        <f>'1 datos preparados'!I739</f>
        <v/>
      </c>
      <c r="K746" s="7">
        <f>'1 datos preparados'!J739</f>
        <v/>
      </c>
      <c r="L746" s="7">
        <f>'1 datos preparados'!K739</f>
        <v/>
      </c>
      <c r="M746" s="7">
        <f>'1 datos preparados'!L739</f>
        <v/>
      </c>
      <c r="N746" s="7">
        <f>'1 datos preparados'!M739</f>
        <v/>
      </c>
      <c r="O746" s="7">
        <f>'1 datos preparados'!N739</f>
        <v/>
      </c>
      <c r="P746" s="7">
        <f>'1 datos preparados'!O739</f>
        <v/>
      </c>
      <c r="Q746" s="7">
        <f>'1 datos preparados'!P739</f>
        <v/>
      </c>
      <c r="R746" s="7">
        <f>'1 datos preparados'!Q739</f>
        <v/>
      </c>
      <c r="S746" s="7">
        <f>'1 datos preparados'!R739</f>
        <v/>
      </c>
      <c r="T746" s="7">
        <f>'1 datos preparados'!S739</f>
        <v/>
      </c>
      <c r="U746" s="7">
        <f>'1 datos preparados'!T739</f>
        <v/>
      </c>
      <c r="V746" s="8">
        <f>$AC$12+D746*$AC$13+E746*$AC$14+F746*$AC$15+G746*$AC$16+H746*$AC$17+I746*$AC$18+J746*$AC$19+K746*$AC$20+L746*$AC$21+M746*$AC$22+N746*$AC$23+O746*$AC$24+P746*$AC$25+Q746*$AC$26+R746*$AC$27+S746*$AC$28+T746*$AC$29+U746*$AC$30</f>
        <v/>
      </c>
      <c r="W746" s="8">
        <f>1/(1+EXP(-V746))</f>
        <v/>
      </c>
      <c r="X746" s="9">
        <f>-IF(C746=1,LN(W746),LN(1-W746))</f>
        <v/>
      </c>
      <c r="Y746" s="10">
        <f>IF(W746&gt;$AC$33,1,0)</f>
        <v/>
      </c>
      <c r="Z746">
        <f>IF(Y746=C746,1,0)</f>
        <v/>
      </c>
    </row>
    <row r="747">
      <c r="A747">
        <f>'1 datos preparados'!A740</f>
        <v/>
      </c>
      <c r="B747" s="5">
        <f>'1 datos preparados'!U740</f>
        <v/>
      </c>
      <c r="C747">
        <f>'1 datos preparados'!B740</f>
        <v/>
      </c>
      <c r="D747" s="7">
        <f>'1 datos preparados'!C740</f>
        <v/>
      </c>
      <c r="E747" s="7">
        <f>'1 datos preparados'!D740</f>
        <v/>
      </c>
      <c r="F747" s="7">
        <f>'1 datos preparados'!E740</f>
        <v/>
      </c>
      <c r="G747" s="7">
        <f>'1 datos preparados'!F740</f>
        <v/>
      </c>
      <c r="H747" s="7">
        <f>'1 datos preparados'!G740</f>
        <v/>
      </c>
      <c r="I747" s="7">
        <f>'1 datos preparados'!H740</f>
        <v/>
      </c>
      <c r="J747" s="7">
        <f>'1 datos preparados'!I740</f>
        <v/>
      </c>
      <c r="K747" s="7">
        <f>'1 datos preparados'!J740</f>
        <v/>
      </c>
      <c r="L747" s="7">
        <f>'1 datos preparados'!K740</f>
        <v/>
      </c>
      <c r="M747" s="7">
        <f>'1 datos preparados'!L740</f>
        <v/>
      </c>
      <c r="N747" s="7">
        <f>'1 datos preparados'!M740</f>
        <v/>
      </c>
      <c r="O747" s="7">
        <f>'1 datos preparados'!N740</f>
        <v/>
      </c>
      <c r="P747" s="7">
        <f>'1 datos preparados'!O740</f>
        <v/>
      </c>
      <c r="Q747" s="7">
        <f>'1 datos preparados'!P740</f>
        <v/>
      </c>
      <c r="R747" s="7">
        <f>'1 datos preparados'!Q740</f>
        <v/>
      </c>
      <c r="S747" s="7">
        <f>'1 datos preparados'!R740</f>
        <v/>
      </c>
      <c r="T747" s="7">
        <f>'1 datos preparados'!S740</f>
        <v/>
      </c>
      <c r="U747" s="7">
        <f>'1 datos preparados'!T740</f>
        <v/>
      </c>
      <c r="V747" s="8">
        <f>$AC$12+D747*$AC$13+E747*$AC$14+F747*$AC$15+G747*$AC$16+H747*$AC$17+I747*$AC$18+J747*$AC$19+K747*$AC$20+L747*$AC$21+M747*$AC$22+N747*$AC$23+O747*$AC$24+P747*$AC$25+Q747*$AC$26+R747*$AC$27+S747*$AC$28+T747*$AC$29+U747*$AC$30</f>
        <v/>
      </c>
      <c r="W747" s="8">
        <f>1/(1+EXP(-V747))</f>
        <v/>
      </c>
      <c r="X747" s="9">
        <f>-IF(C747=1,LN(W747),LN(1-W747))</f>
        <v/>
      </c>
      <c r="Y747" s="10">
        <f>IF(W747&gt;$AC$33,1,0)</f>
        <v/>
      </c>
      <c r="Z747">
        <f>IF(Y747=C747,1,0)</f>
        <v/>
      </c>
    </row>
    <row r="748">
      <c r="A748">
        <f>'1 datos preparados'!A741</f>
        <v/>
      </c>
      <c r="B748" s="5">
        <f>'1 datos preparados'!U741</f>
        <v/>
      </c>
      <c r="C748">
        <f>'1 datos preparados'!B741</f>
        <v/>
      </c>
      <c r="D748" s="7">
        <f>'1 datos preparados'!C741</f>
        <v/>
      </c>
      <c r="E748" s="7">
        <f>'1 datos preparados'!D741</f>
        <v/>
      </c>
      <c r="F748" s="7">
        <f>'1 datos preparados'!E741</f>
        <v/>
      </c>
      <c r="G748" s="7">
        <f>'1 datos preparados'!F741</f>
        <v/>
      </c>
      <c r="H748" s="7">
        <f>'1 datos preparados'!G741</f>
        <v/>
      </c>
      <c r="I748" s="7">
        <f>'1 datos preparados'!H741</f>
        <v/>
      </c>
      <c r="J748" s="7">
        <f>'1 datos preparados'!I741</f>
        <v/>
      </c>
      <c r="K748" s="7">
        <f>'1 datos preparados'!J741</f>
        <v/>
      </c>
      <c r="L748" s="7">
        <f>'1 datos preparados'!K741</f>
        <v/>
      </c>
      <c r="M748" s="7">
        <f>'1 datos preparados'!L741</f>
        <v/>
      </c>
      <c r="N748" s="7">
        <f>'1 datos preparados'!M741</f>
        <v/>
      </c>
      <c r="O748" s="7">
        <f>'1 datos preparados'!N741</f>
        <v/>
      </c>
      <c r="P748" s="7">
        <f>'1 datos preparados'!O741</f>
        <v/>
      </c>
      <c r="Q748" s="7">
        <f>'1 datos preparados'!P741</f>
        <v/>
      </c>
      <c r="R748" s="7">
        <f>'1 datos preparados'!Q741</f>
        <v/>
      </c>
      <c r="S748" s="7">
        <f>'1 datos preparados'!R741</f>
        <v/>
      </c>
      <c r="T748" s="7">
        <f>'1 datos preparados'!S741</f>
        <v/>
      </c>
      <c r="U748" s="7">
        <f>'1 datos preparados'!T741</f>
        <v/>
      </c>
      <c r="V748" s="8">
        <f>$AC$12+D748*$AC$13+E748*$AC$14+F748*$AC$15+G748*$AC$16+H748*$AC$17+I748*$AC$18+J748*$AC$19+K748*$AC$20+L748*$AC$21+M748*$AC$22+N748*$AC$23+O748*$AC$24+P748*$AC$25+Q748*$AC$26+R748*$AC$27+S748*$AC$28+T748*$AC$29+U748*$AC$30</f>
        <v/>
      </c>
      <c r="W748" s="8">
        <f>1/(1+EXP(-V748))</f>
        <v/>
      </c>
      <c r="X748" s="9">
        <f>-IF(C748=1,LN(W748),LN(1-W748))</f>
        <v/>
      </c>
      <c r="Y748" s="10">
        <f>IF(W748&gt;$AC$33,1,0)</f>
        <v/>
      </c>
      <c r="Z748">
        <f>IF(Y748=C748,1,0)</f>
        <v/>
      </c>
    </row>
    <row r="749">
      <c r="A749">
        <f>'1 datos preparados'!A742</f>
        <v/>
      </c>
      <c r="B749" s="5">
        <f>'1 datos preparados'!U742</f>
        <v/>
      </c>
      <c r="C749">
        <f>'1 datos preparados'!B742</f>
        <v/>
      </c>
      <c r="D749" s="7">
        <f>'1 datos preparados'!C742</f>
        <v/>
      </c>
      <c r="E749" s="7">
        <f>'1 datos preparados'!D742</f>
        <v/>
      </c>
      <c r="F749" s="7">
        <f>'1 datos preparados'!E742</f>
        <v/>
      </c>
      <c r="G749" s="7">
        <f>'1 datos preparados'!F742</f>
        <v/>
      </c>
      <c r="H749" s="7">
        <f>'1 datos preparados'!G742</f>
        <v/>
      </c>
      <c r="I749" s="7">
        <f>'1 datos preparados'!H742</f>
        <v/>
      </c>
      <c r="J749" s="7">
        <f>'1 datos preparados'!I742</f>
        <v/>
      </c>
      <c r="K749" s="7">
        <f>'1 datos preparados'!J742</f>
        <v/>
      </c>
      <c r="L749" s="7">
        <f>'1 datos preparados'!K742</f>
        <v/>
      </c>
      <c r="M749" s="7">
        <f>'1 datos preparados'!L742</f>
        <v/>
      </c>
      <c r="N749" s="7">
        <f>'1 datos preparados'!M742</f>
        <v/>
      </c>
      <c r="O749" s="7">
        <f>'1 datos preparados'!N742</f>
        <v/>
      </c>
      <c r="P749" s="7">
        <f>'1 datos preparados'!O742</f>
        <v/>
      </c>
      <c r="Q749" s="7">
        <f>'1 datos preparados'!P742</f>
        <v/>
      </c>
      <c r="R749" s="7">
        <f>'1 datos preparados'!Q742</f>
        <v/>
      </c>
      <c r="S749" s="7">
        <f>'1 datos preparados'!R742</f>
        <v/>
      </c>
      <c r="T749" s="7">
        <f>'1 datos preparados'!S742</f>
        <v/>
      </c>
      <c r="U749" s="7">
        <f>'1 datos preparados'!T742</f>
        <v/>
      </c>
      <c r="V749" s="8">
        <f>$AC$12+D749*$AC$13+E749*$AC$14+F749*$AC$15+G749*$AC$16+H749*$AC$17+I749*$AC$18+J749*$AC$19+K749*$AC$20+L749*$AC$21+M749*$AC$22+N749*$AC$23+O749*$AC$24+P749*$AC$25+Q749*$AC$26+R749*$AC$27+S749*$AC$28+T749*$AC$29+U749*$AC$30</f>
        <v/>
      </c>
      <c r="W749" s="8">
        <f>1/(1+EXP(-V749))</f>
        <v/>
      </c>
      <c r="X749" s="9">
        <f>-IF(C749=1,LN(W749),LN(1-W749))</f>
        <v/>
      </c>
      <c r="Y749" s="10">
        <f>IF(W749&gt;$AC$33,1,0)</f>
        <v/>
      </c>
      <c r="Z749">
        <f>IF(Y749=C749,1,0)</f>
        <v/>
      </c>
    </row>
    <row r="750">
      <c r="A750">
        <f>'1 datos preparados'!A743</f>
        <v/>
      </c>
      <c r="B750" s="5">
        <f>'1 datos preparados'!U743</f>
        <v/>
      </c>
      <c r="C750">
        <f>'1 datos preparados'!B743</f>
        <v/>
      </c>
      <c r="D750" s="7">
        <f>'1 datos preparados'!C743</f>
        <v/>
      </c>
      <c r="E750" s="7">
        <f>'1 datos preparados'!D743</f>
        <v/>
      </c>
      <c r="F750" s="7">
        <f>'1 datos preparados'!E743</f>
        <v/>
      </c>
      <c r="G750" s="7">
        <f>'1 datos preparados'!F743</f>
        <v/>
      </c>
      <c r="H750" s="7">
        <f>'1 datos preparados'!G743</f>
        <v/>
      </c>
      <c r="I750" s="7">
        <f>'1 datos preparados'!H743</f>
        <v/>
      </c>
      <c r="J750" s="7">
        <f>'1 datos preparados'!I743</f>
        <v/>
      </c>
      <c r="K750" s="7">
        <f>'1 datos preparados'!J743</f>
        <v/>
      </c>
      <c r="L750" s="7">
        <f>'1 datos preparados'!K743</f>
        <v/>
      </c>
      <c r="M750" s="7">
        <f>'1 datos preparados'!L743</f>
        <v/>
      </c>
      <c r="N750" s="7">
        <f>'1 datos preparados'!M743</f>
        <v/>
      </c>
      <c r="O750" s="7">
        <f>'1 datos preparados'!N743</f>
        <v/>
      </c>
      <c r="P750" s="7">
        <f>'1 datos preparados'!O743</f>
        <v/>
      </c>
      <c r="Q750" s="7">
        <f>'1 datos preparados'!P743</f>
        <v/>
      </c>
      <c r="R750" s="7">
        <f>'1 datos preparados'!Q743</f>
        <v/>
      </c>
      <c r="S750" s="7">
        <f>'1 datos preparados'!R743</f>
        <v/>
      </c>
      <c r="T750" s="7">
        <f>'1 datos preparados'!S743</f>
        <v/>
      </c>
      <c r="U750" s="7">
        <f>'1 datos preparados'!T743</f>
        <v/>
      </c>
      <c r="V750" s="8">
        <f>$AC$12+D750*$AC$13+E750*$AC$14+F750*$AC$15+G750*$AC$16+H750*$AC$17+I750*$AC$18+J750*$AC$19+K750*$AC$20+L750*$AC$21+M750*$AC$22+N750*$AC$23+O750*$AC$24+P750*$AC$25+Q750*$AC$26+R750*$AC$27+S750*$AC$28+T750*$AC$29+U750*$AC$30</f>
        <v/>
      </c>
      <c r="W750" s="8">
        <f>1/(1+EXP(-V750))</f>
        <v/>
      </c>
      <c r="X750" s="9">
        <f>-IF(C750=1,LN(W750),LN(1-W750))</f>
        <v/>
      </c>
      <c r="Y750" s="10">
        <f>IF(W750&gt;$AC$33,1,0)</f>
        <v/>
      </c>
      <c r="Z750">
        <f>IF(Y750=C750,1,0)</f>
        <v/>
      </c>
    </row>
    <row r="751">
      <c r="A751">
        <f>'1 datos preparados'!A744</f>
        <v/>
      </c>
      <c r="B751" s="5">
        <f>'1 datos preparados'!U744</f>
        <v/>
      </c>
      <c r="C751">
        <f>'1 datos preparados'!B744</f>
        <v/>
      </c>
      <c r="D751" s="7">
        <f>'1 datos preparados'!C744</f>
        <v/>
      </c>
      <c r="E751" s="7">
        <f>'1 datos preparados'!D744</f>
        <v/>
      </c>
      <c r="F751" s="7">
        <f>'1 datos preparados'!E744</f>
        <v/>
      </c>
      <c r="G751" s="7">
        <f>'1 datos preparados'!F744</f>
        <v/>
      </c>
      <c r="H751" s="7">
        <f>'1 datos preparados'!G744</f>
        <v/>
      </c>
      <c r="I751" s="7">
        <f>'1 datos preparados'!H744</f>
        <v/>
      </c>
      <c r="J751" s="7">
        <f>'1 datos preparados'!I744</f>
        <v/>
      </c>
      <c r="K751" s="7">
        <f>'1 datos preparados'!J744</f>
        <v/>
      </c>
      <c r="L751" s="7">
        <f>'1 datos preparados'!K744</f>
        <v/>
      </c>
      <c r="M751" s="7">
        <f>'1 datos preparados'!L744</f>
        <v/>
      </c>
      <c r="N751" s="7">
        <f>'1 datos preparados'!M744</f>
        <v/>
      </c>
      <c r="O751" s="7">
        <f>'1 datos preparados'!N744</f>
        <v/>
      </c>
      <c r="P751" s="7">
        <f>'1 datos preparados'!O744</f>
        <v/>
      </c>
      <c r="Q751" s="7">
        <f>'1 datos preparados'!P744</f>
        <v/>
      </c>
      <c r="R751" s="7">
        <f>'1 datos preparados'!Q744</f>
        <v/>
      </c>
      <c r="S751" s="7">
        <f>'1 datos preparados'!R744</f>
        <v/>
      </c>
      <c r="T751" s="7">
        <f>'1 datos preparados'!S744</f>
        <v/>
      </c>
      <c r="U751" s="7">
        <f>'1 datos preparados'!T744</f>
        <v/>
      </c>
      <c r="V751" s="8">
        <f>$AC$12+D751*$AC$13+E751*$AC$14+F751*$AC$15+G751*$AC$16+H751*$AC$17+I751*$AC$18+J751*$AC$19+K751*$AC$20+L751*$AC$21+M751*$AC$22+N751*$AC$23+O751*$AC$24+P751*$AC$25+Q751*$AC$26+R751*$AC$27+S751*$AC$28+T751*$AC$29+U751*$AC$30</f>
        <v/>
      </c>
      <c r="W751" s="8">
        <f>1/(1+EXP(-V751))</f>
        <v/>
      </c>
      <c r="X751" s="9">
        <f>-IF(C751=1,LN(W751),LN(1-W751))</f>
        <v/>
      </c>
      <c r="Y751" s="10">
        <f>IF(W751&gt;$AC$33,1,0)</f>
        <v/>
      </c>
      <c r="Z751">
        <f>IF(Y751=C751,1,0)</f>
        <v/>
      </c>
    </row>
    <row r="752">
      <c r="A752">
        <f>'1 datos preparados'!A745</f>
        <v/>
      </c>
      <c r="B752" s="5">
        <f>'1 datos preparados'!U745</f>
        <v/>
      </c>
      <c r="C752">
        <f>'1 datos preparados'!B745</f>
        <v/>
      </c>
      <c r="D752" s="7">
        <f>'1 datos preparados'!C745</f>
        <v/>
      </c>
      <c r="E752" s="7">
        <f>'1 datos preparados'!D745</f>
        <v/>
      </c>
      <c r="F752" s="7">
        <f>'1 datos preparados'!E745</f>
        <v/>
      </c>
      <c r="G752" s="7">
        <f>'1 datos preparados'!F745</f>
        <v/>
      </c>
      <c r="H752" s="7">
        <f>'1 datos preparados'!G745</f>
        <v/>
      </c>
      <c r="I752" s="7">
        <f>'1 datos preparados'!H745</f>
        <v/>
      </c>
      <c r="J752" s="7">
        <f>'1 datos preparados'!I745</f>
        <v/>
      </c>
      <c r="K752" s="7">
        <f>'1 datos preparados'!J745</f>
        <v/>
      </c>
      <c r="L752" s="7">
        <f>'1 datos preparados'!K745</f>
        <v/>
      </c>
      <c r="M752" s="7">
        <f>'1 datos preparados'!L745</f>
        <v/>
      </c>
      <c r="N752" s="7">
        <f>'1 datos preparados'!M745</f>
        <v/>
      </c>
      <c r="O752" s="7">
        <f>'1 datos preparados'!N745</f>
        <v/>
      </c>
      <c r="P752" s="7">
        <f>'1 datos preparados'!O745</f>
        <v/>
      </c>
      <c r="Q752" s="7">
        <f>'1 datos preparados'!P745</f>
        <v/>
      </c>
      <c r="R752" s="7">
        <f>'1 datos preparados'!Q745</f>
        <v/>
      </c>
      <c r="S752" s="7">
        <f>'1 datos preparados'!R745</f>
        <v/>
      </c>
      <c r="T752" s="7">
        <f>'1 datos preparados'!S745</f>
        <v/>
      </c>
      <c r="U752" s="7">
        <f>'1 datos preparados'!T745</f>
        <v/>
      </c>
      <c r="V752" s="8">
        <f>$AC$12+D752*$AC$13+E752*$AC$14+F752*$AC$15+G752*$AC$16+H752*$AC$17+I752*$AC$18+J752*$AC$19+K752*$AC$20+L752*$AC$21+M752*$AC$22+N752*$AC$23+O752*$AC$24+P752*$AC$25+Q752*$AC$26+R752*$AC$27+S752*$AC$28+T752*$AC$29+U752*$AC$30</f>
        <v/>
      </c>
      <c r="W752" s="8">
        <f>1/(1+EXP(-V752))</f>
        <v/>
      </c>
      <c r="X752" s="9">
        <f>-IF(C752=1,LN(W752),LN(1-W752))</f>
        <v/>
      </c>
      <c r="Y752" s="10">
        <f>IF(W752&gt;$AC$33,1,0)</f>
        <v/>
      </c>
      <c r="Z752">
        <f>IF(Y752=C752,1,0)</f>
        <v/>
      </c>
    </row>
    <row r="753">
      <c r="A753">
        <f>'1 datos preparados'!A746</f>
        <v/>
      </c>
      <c r="B753" s="5">
        <f>'1 datos preparados'!U746</f>
        <v/>
      </c>
      <c r="C753">
        <f>'1 datos preparados'!B746</f>
        <v/>
      </c>
      <c r="D753" s="7">
        <f>'1 datos preparados'!C746</f>
        <v/>
      </c>
      <c r="E753" s="7">
        <f>'1 datos preparados'!D746</f>
        <v/>
      </c>
      <c r="F753" s="7">
        <f>'1 datos preparados'!E746</f>
        <v/>
      </c>
      <c r="G753" s="7">
        <f>'1 datos preparados'!F746</f>
        <v/>
      </c>
      <c r="H753" s="7">
        <f>'1 datos preparados'!G746</f>
        <v/>
      </c>
      <c r="I753" s="7">
        <f>'1 datos preparados'!H746</f>
        <v/>
      </c>
      <c r="J753" s="7">
        <f>'1 datos preparados'!I746</f>
        <v/>
      </c>
      <c r="K753" s="7">
        <f>'1 datos preparados'!J746</f>
        <v/>
      </c>
      <c r="L753" s="7">
        <f>'1 datos preparados'!K746</f>
        <v/>
      </c>
      <c r="M753" s="7">
        <f>'1 datos preparados'!L746</f>
        <v/>
      </c>
      <c r="N753" s="7">
        <f>'1 datos preparados'!M746</f>
        <v/>
      </c>
      <c r="O753" s="7">
        <f>'1 datos preparados'!N746</f>
        <v/>
      </c>
      <c r="P753" s="7">
        <f>'1 datos preparados'!O746</f>
        <v/>
      </c>
      <c r="Q753" s="7">
        <f>'1 datos preparados'!P746</f>
        <v/>
      </c>
      <c r="R753" s="7">
        <f>'1 datos preparados'!Q746</f>
        <v/>
      </c>
      <c r="S753" s="7">
        <f>'1 datos preparados'!R746</f>
        <v/>
      </c>
      <c r="T753" s="7">
        <f>'1 datos preparados'!S746</f>
        <v/>
      </c>
      <c r="U753" s="7">
        <f>'1 datos preparados'!T746</f>
        <v/>
      </c>
      <c r="V753" s="8">
        <f>$AC$12+D753*$AC$13+E753*$AC$14+F753*$AC$15+G753*$AC$16+H753*$AC$17+I753*$AC$18+J753*$AC$19+K753*$AC$20+L753*$AC$21+M753*$AC$22+N753*$AC$23+O753*$AC$24+P753*$AC$25+Q753*$AC$26+R753*$AC$27+S753*$AC$28+T753*$AC$29+U753*$AC$30</f>
        <v/>
      </c>
      <c r="W753" s="8">
        <f>1/(1+EXP(-V753))</f>
        <v/>
      </c>
      <c r="X753" s="9">
        <f>-IF(C753=1,LN(W753),LN(1-W753))</f>
        <v/>
      </c>
      <c r="Y753" s="10">
        <f>IF(W753&gt;$AC$33,1,0)</f>
        <v/>
      </c>
      <c r="Z753">
        <f>IF(Y753=C753,1,0)</f>
        <v/>
      </c>
    </row>
    <row r="754">
      <c r="A754">
        <f>'1 datos preparados'!A747</f>
        <v/>
      </c>
      <c r="B754" s="5">
        <f>'1 datos preparados'!U747</f>
        <v/>
      </c>
      <c r="C754">
        <f>'1 datos preparados'!B747</f>
        <v/>
      </c>
      <c r="D754" s="7">
        <f>'1 datos preparados'!C747</f>
        <v/>
      </c>
      <c r="E754" s="7">
        <f>'1 datos preparados'!D747</f>
        <v/>
      </c>
      <c r="F754" s="7">
        <f>'1 datos preparados'!E747</f>
        <v/>
      </c>
      <c r="G754" s="7">
        <f>'1 datos preparados'!F747</f>
        <v/>
      </c>
      <c r="H754" s="7">
        <f>'1 datos preparados'!G747</f>
        <v/>
      </c>
      <c r="I754" s="7">
        <f>'1 datos preparados'!H747</f>
        <v/>
      </c>
      <c r="J754" s="7">
        <f>'1 datos preparados'!I747</f>
        <v/>
      </c>
      <c r="K754" s="7">
        <f>'1 datos preparados'!J747</f>
        <v/>
      </c>
      <c r="L754" s="7">
        <f>'1 datos preparados'!K747</f>
        <v/>
      </c>
      <c r="M754" s="7">
        <f>'1 datos preparados'!L747</f>
        <v/>
      </c>
      <c r="N754" s="7">
        <f>'1 datos preparados'!M747</f>
        <v/>
      </c>
      <c r="O754" s="7">
        <f>'1 datos preparados'!N747</f>
        <v/>
      </c>
      <c r="P754" s="7">
        <f>'1 datos preparados'!O747</f>
        <v/>
      </c>
      <c r="Q754" s="7">
        <f>'1 datos preparados'!P747</f>
        <v/>
      </c>
      <c r="R754" s="7">
        <f>'1 datos preparados'!Q747</f>
        <v/>
      </c>
      <c r="S754" s="7">
        <f>'1 datos preparados'!R747</f>
        <v/>
      </c>
      <c r="T754" s="7">
        <f>'1 datos preparados'!S747</f>
        <v/>
      </c>
      <c r="U754" s="7">
        <f>'1 datos preparados'!T747</f>
        <v/>
      </c>
      <c r="V754" s="8">
        <f>$AC$12+D754*$AC$13+E754*$AC$14+F754*$AC$15+G754*$AC$16+H754*$AC$17+I754*$AC$18+J754*$AC$19+K754*$AC$20+L754*$AC$21+M754*$AC$22+N754*$AC$23+O754*$AC$24+P754*$AC$25+Q754*$AC$26+R754*$AC$27+S754*$AC$28+T754*$AC$29+U754*$AC$30</f>
        <v/>
      </c>
      <c r="W754" s="8">
        <f>1/(1+EXP(-V754))</f>
        <v/>
      </c>
      <c r="X754" s="9">
        <f>-IF(C754=1,LN(W754),LN(1-W754))</f>
        <v/>
      </c>
      <c r="Y754" s="10">
        <f>IF(W754&gt;$AC$33,1,0)</f>
        <v/>
      </c>
      <c r="Z754">
        <f>IF(Y754=C754,1,0)</f>
        <v/>
      </c>
    </row>
    <row r="755">
      <c r="A755">
        <f>'1 datos preparados'!A748</f>
        <v/>
      </c>
      <c r="B755" s="5">
        <f>'1 datos preparados'!U748</f>
        <v/>
      </c>
      <c r="C755">
        <f>'1 datos preparados'!B748</f>
        <v/>
      </c>
      <c r="D755" s="7">
        <f>'1 datos preparados'!C748</f>
        <v/>
      </c>
      <c r="E755" s="7">
        <f>'1 datos preparados'!D748</f>
        <v/>
      </c>
      <c r="F755" s="7">
        <f>'1 datos preparados'!E748</f>
        <v/>
      </c>
      <c r="G755" s="7">
        <f>'1 datos preparados'!F748</f>
        <v/>
      </c>
      <c r="H755" s="7">
        <f>'1 datos preparados'!G748</f>
        <v/>
      </c>
      <c r="I755" s="7">
        <f>'1 datos preparados'!H748</f>
        <v/>
      </c>
      <c r="J755" s="7">
        <f>'1 datos preparados'!I748</f>
        <v/>
      </c>
      <c r="K755" s="7">
        <f>'1 datos preparados'!J748</f>
        <v/>
      </c>
      <c r="L755" s="7">
        <f>'1 datos preparados'!K748</f>
        <v/>
      </c>
      <c r="M755" s="7">
        <f>'1 datos preparados'!L748</f>
        <v/>
      </c>
      <c r="N755" s="7">
        <f>'1 datos preparados'!M748</f>
        <v/>
      </c>
      <c r="O755" s="7">
        <f>'1 datos preparados'!N748</f>
        <v/>
      </c>
      <c r="P755" s="7">
        <f>'1 datos preparados'!O748</f>
        <v/>
      </c>
      <c r="Q755" s="7">
        <f>'1 datos preparados'!P748</f>
        <v/>
      </c>
      <c r="R755" s="7">
        <f>'1 datos preparados'!Q748</f>
        <v/>
      </c>
      <c r="S755" s="7">
        <f>'1 datos preparados'!R748</f>
        <v/>
      </c>
      <c r="T755" s="7">
        <f>'1 datos preparados'!S748</f>
        <v/>
      </c>
      <c r="U755" s="7">
        <f>'1 datos preparados'!T748</f>
        <v/>
      </c>
      <c r="V755" s="8">
        <f>$AC$12+D755*$AC$13+E755*$AC$14+F755*$AC$15+G755*$AC$16+H755*$AC$17+I755*$AC$18+J755*$AC$19+K755*$AC$20+L755*$AC$21+M755*$AC$22+N755*$AC$23+O755*$AC$24+P755*$AC$25+Q755*$AC$26+R755*$AC$27+S755*$AC$28+T755*$AC$29+U755*$AC$30</f>
        <v/>
      </c>
      <c r="W755" s="8">
        <f>1/(1+EXP(-V755))</f>
        <v/>
      </c>
      <c r="X755" s="9">
        <f>-IF(C755=1,LN(W755),LN(1-W755))</f>
        <v/>
      </c>
      <c r="Y755" s="10">
        <f>IF(W755&gt;$AC$33,1,0)</f>
        <v/>
      </c>
      <c r="Z755">
        <f>IF(Y755=C755,1,0)</f>
        <v/>
      </c>
    </row>
    <row r="756">
      <c r="A756">
        <f>'1 datos preparados'!A749</f>
        <v/>
      </c>
      <c r="B756" s="5">
        <f>'1 datos preparados'!U749</f>
        <v/>
      </c>
      <c r="C756">
        <f>'1 datos preparados'!B749</f>
        <v/>
      </c>
      <c r="D756" s="7">
        <f>'1 datos preparados'!C749</f>
        <v/>
      </c>
      <c r="E756" s="7">
        <f>'1 datos preparados'!D749</f>
        <v/>
      </c>
      <c r="F756" s="7">
        <f>'1 datos preparados'!E749</f>
        <v/>
      </c>
      <c r="G756" s="7">
        <f>'1 datos preparados'!F749</f>
        <v/>
      </c>
      <c r="H756" s="7">
        <f>'1 datos preparados'!G749</f>
        <v/>
      </c>
      <c r="I756" s="7">
        <f>'1 datos preparados'!H749</f>
        <v/>
      </c>
      <c r="J756" s="7">
        <f>'1 datos preparados'!I749</f>
        <v/>
      </c>
      <c r="K756" s="7">
        <f>'1 datos preparados'!J749</f>
        <v/>
      </c>
      <c r="L756" s="7">
        <f>'1 datos preparados'!K749</f>
        <v/>
      </c>
      <c r="M756" s="7">
        <f>'1 datos preparados'!L749</f>
        <v/>
      </c>
      <c r="N756" s="7">
        <f>'1 datos preparados'!M749</f>
        <v/>
      </c>
      <c r="O756" s="7">
        <f>'1 datos preparados'!N749</f>
        <v/>
      </c>
      <c r="P756" s="7">
        <f>'1 datos preparados'!O749</f>
        <v/>
      </c>
      <c r="Q756" s="7">
        <f>'1 datos preparados'!P749</f>
        <v/>
      </c>
      <c r="R756" s="7">
        <f>'1 datos preparados'!Q749</f>
        <v/>
      </c>
      <c r="S756" s="7">
        <f>'1 datos preparados'!R749</f>
        <v/>
      </c>
      <c r="T756" s="7">
        <f>'1 datos preparados'!S749</f>
        <v/>
      </c>
      <c r="U756" s="7">
        <f>'1 datos preparados'!T749</f>
        <v/>
      </c>
      <c r="V756" s="8">
        <f>$AC$12+D756*$AC$13+E756*$AC$14+F756*$AC$15+G756*$AC$16+H756*$AC$17+I756*$AC$18+J756*$AC$19+K756*$AC$20+L756*$AC$21+M756*$AC$22+N756*$AC$23+O756*$AC$24+P756*$AC$25+Q756*$AC$26+R756*$AC$27+S756*$AC$28+T756*$AC$29+U756*$AC$30</f>
        <v/>
      </c>
      <c r="W756" s="8">
        <f>1/(1+EXP(-V756))</f>
        <v/>
      </c>
      <c r="X756" s="9">
        <f>-IF(C756=1,LN(W756),LN(1-W756))</f>
        <v/>
      </c>
      <c r="Y756" s="10">
        <f>IF(W756&gt;$AC$33,1,0)</f>
        <v/>
      </c>
      <c r="Z756">
        <f>IF(Y756=C756,1,0)</f>
        <v/>
      </c>
    </row>
    <row r="757">
      <c r="A757">
        <f>'1 datos preparados'!A750</f>
        <v/>
      </c>
      <c r="B757" s="5">
        <f>'1 datos preparados'!U750</f>
        <v/>
      </c>
      <c r="C757">
        <f>'1 datos preparados'!B750</f>
        <v/>
      </c>
      <c r="D757" s="7">
        <f>'1 datos preparados'!C750</f>
        <v/>
      </c>
      <c r="E757" s="7">
        <f>'1 datos preparados'!D750</f>
        <v/>
      </c>
      <c r="F757" s="7">
        <f>'1 datos preparados'!E750</f>
        <v/>
      </c>
      <c r="G757" s="7">
        <f>'1 datos preparados'!F750</f>
        <v/>
      </c>
      <c r="H757" s="7">
        <f>'1 datos preparados'!G750</f>
        <v/>
      </c>
      <c r="I757" s="7">
        <f>'1 datos preparados'!H750</f>
        <v/>
      </c>
      <c r="J757" s="7">
        <f>'1 datos preparados'!I750</f>
        <v/>
      </c>
      <c r="K757" s="7">
        <f>'1 datos preparados'!J750</f>
        <v/>
      </c>
      <c r="L757" s="7">
        <f>'1 datos preparados'!K750</f>
        <v/>
      </c>
      <c r="M757" s="7">
        <f>'1 datos preparados'!L750</f>
        <v/>
      </c>
      <c r="N757" s="7">
        <f>'1 datos preparados'!M750</f>
        <v/>
      </c>
      <c r="O757" s="7">
        <f>'1 datos preparados'!N750</f>
        <v/>
      </c>
      <c r="P757" s="7">
        <f>'1 datos preparados'!O750</f>
        <v/>
      </c>
      <c r="Q757" s="7">
        <f>'1 datos preparados'!P750</f>
        <v/>
      </c>
      <c r="R757" s="7">
        <f>'1 datos preparados'!Q750</f>
        <v/>
      </c>
      <c r="S757" s="7">
        <f>'1 datos preparados'!R750</f>
        <v/>
      </c>
      <c r="T757" s="7">
        <f>'1 datos preparados'!S750</f>
        <v/>
      </c>
      <c r="U757" s="7">
        <f>'1 datos preparados'!T750</f>
        <v/>
      </c>
      <c r="V757" s="8">
        <f>$AC$12+D757*$AC$13+E757*$AC$14+F757*$AC$15+G757*$AC$16+H757*$AC$17+I757*$AC$18+J757*$AC$19+K757*$AC$20+L757*$AC$21+M757*$AC$22+N757*$AC$23+O757*$AC$24+P757*$AC$25+Q757*$AC$26+R757*$AC$27+S757*$AC$28+T757*$AC$29+U757*$AC$30</f>
        <v/>
      </c>
      <c r="W757" s="8">
        <f>1/(1+EXP(-V757))</f>
        <v/>
      </c>
      <c r="X757" s="9">
        <f>-IF(C757=1,LN(W757),LN(1-W757))</f>
        <v/>
      </c>
      <c r="Y757" s="10">
        <f>IF(W757&gt;$AC$33,1,0)</f>
        <v/>
      </c>
      <c r="Z757">
        <f>IF(Y757=C757,1,0)</f>
        <v/>
      </c>
    </row>
    <row r="758">
      <c r="A758">
        <f>'1 datos preparados'!A751</f>
        <v/>
      </c>
      <c r="B758" s="5">
        <f>'1 datos preparados'!U751</f>
        <v/>
      </c>
      <c r="C758">
        <f>'1 datos preparados'!B751</f>
        <v/>
      </c>
      <c r="D758" s="7">
        <f>'1 datos preparados'!C751</f>
        <v/>
      </c>
      <c r="E758" s="7">
        <f>'1 datos preparados'!D751</f>
        <v/>
      </c>
      <c r="F758" s="7">
        <f>'1 datos preparados'!E751</f>
        <v/>
      </c>
      <c r="G758" s="7">
        <f>'1 datos preparados'!F751</f>
        <v/>
      </c>
      <c r="H758" s="7">
        <f>'1 datos preparados'!G751</f>
        <v/>
      </c>
      <c r="I758" s="7">
        <f>'1 datos preparados'!H751</f>
        <v/>
      </c>
      <c r="J758" s="7">
        <f>'1 datos preparados'!I751</f>
        <v/>
      </c>
      <c r="K758" s="7">
        <f>'1 datos preparados'!J751</f>
        <v/>
      </c>
      <c r="L758" s="7">
        <f>'1 datos preparados'!K751</f>
        <v/>
      </c>
      <c r="M758" s="7">
        <f>'1 datos preparados'!L751</f>
        <v/>
      </c>
      <c r="N758" s="7">
        <f>'1 datos preparados'!M751</f>
        <v/>
      </c>
      <c r="O758" s="7">
        <f>'1 datos preparados'!N751</f>
        <v/>
      </c>
      <c r="P758" s="7">
        <f>'1 datos preparados'!O751</f>
        <v/>
      </c>
      <c r="Q758" s="7">
        <f>'1 datos preparados'!P751</f>
        <v/>
      </c>
      <c r="R758" s="7">
        <f>'1 datos preparados'!Q751</f>
        <v/>
      </c>
      <c r="S758" s="7">
        <f>'1 datos preparados'!R751</f>
        <v/>
      </c>
      <c r="T758" s="7">
        <f>'1 datos preparados'!S751</f>
        <v/>
      </c>
      <c r="U758" s="7">
        <f>'1 datos preparados'!T751</f>
        <v/>
      </c>
      <c r="V758" s="8">
        <f>$AC$12+D758*$AC$13+E758*$AC$14+F758*$AC$15+G758*$AC$16+H758*$AC$17+I758*$AC$18+J758*$AC$19+K758*$AC$20+L758*$AC$21+M758*$AC$22+N758*$AC$23+O758*$AC$24+P758*$AC$25+Q758*$AC$26+R758*$AC$27+S758*$AC$28+T758*$AC$29+U758*$AC$30</f>
        <v/>
      </c>
      <c r="W758" s="8">
        <f>1/(1+EXP(-V758))</f>
        <v/>
      </c>
      <c r="X758" s="9">
        <f>-IF(C758=1,LN(W758),LN(1-W758))</f>
        <v/>
      </c>
      <c r="Y758" s="10">
        <f>IF(W758&gt;$AC$33,1,0)</f>
        <v/>
      </c>
      <c r="Z758">
        <f>IF(Y758=C758,1,0)</f>
        <v/>
      </c>
    </row>
    <row r="759">
      <c r="A759">
        <f>'1 datos preparados'!A752</f>
        <v/>
      </c>
      <c r="B759" s="5">
        <f>'1 datos preparados'!U752</f>
        <v/>
      </c>
      <c r="C759">
        <f>'1 datos preparados'!B752</f>
        <v/>
      </c>
      <c r="D759" s="7">
        <f>'1 datos preparados'!C752</f>
        <v/>
      </c>
      <c r="E759" s="7">
        <f>'1 datos preparados'!D752</f>
        <v/>
      </c>
      <c r="F759" s="7">
        <f>'1 datos preparados'!E752</f>
        <v/>
      </c>
      <c r="G759" s="7">
        <f>'1 datos preparados'!F752</f>
        <v/>
      </c>
      <c r="H759" s="7">
        <f>'1 datos preparados'!G752</f>
        <v/>
      </c>
      <c r="I759" s="7">
        <f>'1 datos preparados'!H752</f>
        <v/>
      </c>
      <c r="J759" s="7">
        <f>'1 datos preparados'!I752</f>
        <v/>
      </c>
      <c r="K759" s="7">
        <f>'1 datos preparados'!J752</f>
        <v/>
      </c>
      <c r="L759" s="7">
        <f>'1 datos preparados'!K752</f>
        <v/>
      </c>
      <c r="M759" s="7">
        <f>'1 datos preparados'!L752</f>
        <v/>
      </c>
      <c r="N759" s="7">
        <f>'1 datos preparados'!M752</f>
        <v/>
      </c>
      <c r="O759" s="7">
        <f>'1 datos preparados'!N752</f>
        <v/>
      </c>
      <c r="P759" s="7">
        <f>'1 datos preparados'!O752</f>
        <v/>
      </c>
      <c r="Q759" s="7">
        <f>'1 datos preparados'!P752</f>
        <v/>
      </c>
      <c r="R759" s="7">
        <f>'1 datos preparados'!Q752</f>
        <v/>
      </c>
      <c r="S759" s="7">
        <f>'1 datos preparados'!R752</f>
        <v/>
      </c>
      <c r="T759" s="7">
        <f>'1 datos preparados'!S752</f>
        <v/>
      </c>
      <c r="U759" s="7">
        <f>'1 datos preparados'!T752</f>
        <v/>
      </c>
      <c r="V759" s="8">
        <f>$AC$12+D759*$AC$13+E759*$AC$14+F759*$AC$15+G759*$AC$16+H759*$AC$17+I759*$AC$18+J759*$AC$19+K759*$AC$20+L759*$AC$21+M759*$AC$22+N759*$AC$23+O759*$AC$24+P759*$AC$25+Q759*$AC$26+R759*$AC$27+S759*$AC$28+T759*$AC$29+U759*$AC$30</f>
        <v/>
      </c>
      <c r="W759" s="8">
        <f>1/(1+EXP(-V759))</f>
        <v/>
      </c>
      <c r="X759" s="9">
        <f>-IF(C759=1,LN(W759),LN(1-W759))</f>
        <v/>
      </c>
      <c r="Y759" s="10">
        <f>IF(W759&gt;$AC$33,1,0)</f>
        <v/>
      </c>
      <c r="Z759">
        <f>IF(Y759=C759,1,0)</f>
        <v/>
      </c>
    </row>
    <row r="760">
      <c r="A760">
        <f>'1 datos preparados'!A753</f>
        <v/>
      </c>
      <c r="B760" s="5">
        <f>'1 datos preparados'!U753</f>
        <v/>
      </c>
      <c r="C760">
        <f>'1 datos preparados'!B753</f>
        <v/>
      </c>
      <c r="D760" s="7">
        <f>'1 datos preparados'!C753</f>
        <v/>
      </c>
      <c r="E760" s="7">
        <f>'1 datos preparados'!D753</f>
        <v/>
      </c>
      <c r="F760" s="7">
        <f>'1 datos preparados'!E753</f>
        <v/>
      </c>
      <c r="G760" s="7">
        <f>'1 datos preparados'!F753</f>
        <v/>
      </c>
      <c r="H760" s="7">
        <f>'1 datos preparados'!G753</f>
        <v/>
      </c>
      <c r="I760" s="7">
        <f>'1 datos preparados'!H753</f>
        <v/>
      </c>
      <c r="J760" s="7">
        <f>'1 datos preparados'!I753</f>
        <v/>
      </c>
      <c r="K760" s="7">
        <f>'1 datos preparados'!J753</f>
        <v/>
      </c>
      <c r="L760" s="7">
        <f>'1 datos preparados'!K753</f>
        <v/>
      </c>
      <c r="M760" s="7">
        <f>'1 datos preparados'!L753</f>
        <v/>
      </c>
      <c r="N760" s="7">
        <f>'1 datos preparados'!M753</f>
        <v/>
      </c>
      <c r="O760" s="7">
        <f>'1 datos preparados'!N753</f>
        <v/>
      </c>
      <c r="P760" s="7">
        <f>'1 datos preparados'!O753</f>
        <v/>
      </c>
      <c r="Q760" s="7">
        <f>'1 datos preparados'!P753</f>
        <v/>
      </c>
      <c r="R760" s="7">
        <f>'1 datos preparados'!Q753</f>
        <v/>
      </c>
      <c r="S760" s="7">
        <f>'1 datos preparados'!R753</f>
        <v/>
      </c>
      <c r="T760" s="7">
        <f>'1 datos preparados'!S753</f>
        <v/>
      </c>
      <c r="U760" s="7">
        <f>'1 datos preparados'!T753</f>
        <v/>
      </c>
      <c r="V760" s="8">
        <f>$AC$12+D760*$AC$13+E760*$AC$14+F760*$AC$15+G760*$AC$16+H760*$AC$17+I760*$AC$18+J760*$AC$19+K760*$AC$20+L760*$AC$21+M760*$AC$22+N760*$AC$23+O760*$AC$24+P760*$AC$25+Q760*$AC$26+R760*$AC$27+S760*$AC$28+T760*$AC$29+U760*$AC$30</f>
        <v/>
      </c>
      <c r="W760" s="8">
        <f>1/(1+EXP(-V760))</f>
        <v/>
      </c>
      <c r="X760" s="9">
        <f>-IF(C760=1,LN(W760),LN(1-W760))</f>
        <v/>
      </c>
      <c r="Y760" s="10">
        <f>IF(W760&gt;$AC$33,1,0)</f>
        <v/>
      </c>
      <c r="Z760">
        <f>IF(Y760=C760,1,0)</f>
        <v/>
      </c>
    </row>
    <row r="761">
      <c r="A761">
        <f>'1 datos preparados'!A754</f>
        <v/>
      </c>
      <c r="B761" s="5">
        <f>'1 datos preparados'!U754</f>
        <v/>
      </c>
      <c r="C761">
        <f>'1 datos preparados'!B754</f>
        <v/>
      </c>
      <c r="D761" s="7">
        <f>'1 datos preparados'!C754</f>
        <v/>
      </c>
      <c r="E761" s="7">
        <f>'1 datos preparados'!D754</f>
        <v/>
      </c>
      <c r="F761" s="7">
        <f>'1 datos preparados'!E754</f>
        <v/>
      </c>
      <c r="G761" s="7">
        <f>'1 datos preparados'!F754</f>
        <v/>
      </c>
      <c r="H761" s="7">
        <f>'1 datos preparados'!G754</f>
        <v/>
      </c>
      <c r="I761" s="7">
        <f>'1 datos preparados'!H754</f>
        <v/>
      </c>
      <c r="J761" s="7">
        <f>'1 datos preparados'!I754</f>
        <v/>
      </c>
      <c r="K761" s="7">
        <f>'1 datos preparados'!J754</f>
        <v/>
      </c>
      <c r="L761" s="7">
        <f>'1 datos preparados'!K754</f>
        <v/>
      </c>
      <c r="M761" s="7">
        <f>'1 datos preparados'!L754</f>
        <v/>
      </c>
      <c r="N761" s="7">
        <f>'1 datos preparados'!M754</f>
        <v/>
      </c>
      <c r="O761" s="7">
        <f>'1 datos preparados'!N754</f>
        <v/>
      </c>
      <c r="P761" s="7">
        <f>'1 datos preparados'!O754</f>
        <v/>
      </c>
      <c r="Q761" s="7">
        <f>'1 datos preparados'!P754</f>
        <v/>
      </c>
      <c r="R761" s="7">
        <f>'1 datos preparados'!Q754</f>
        <v/>
      </c>
      <c r="S761" s="7">
        <f>'1 datos preparados'!R754</f>
        <v/>
      </c>
      <c r="T761" s="7">
        <f>'1 datos preparados'!S754</f>
        <v/>
      </c>
      <c r="U761" s="7">
        <f>'1 datos preparados'!T754</f>
        <v/>
      </c>
      <c r="V761" s="8">
        <f>$AC$12+D761*$AC$13+E761*$AC$14+F761*$AC$15+G761*$AC$16+H761*$AC$17+I761*$AC$18+J761*$AC$19+K761*$AC$20+L761*$AC$21+M761*$AC$22+N761*$AC$23+O761*$AC$24+P761*$AC$25+Q761*$AC$26+R761*$AC$27+S761*$AC$28+T761*$AC$29+U761*$AC$30</f>
        <v/>
      </c>
      <c r="W761" s="8">
        <f>1/(1+EXP(-V761))</f>
        <v/>
      </c>
      <c r="X761" s="9">
        <f>-IF(C761=1,LN(W761),LN(1-W761))</f>
        <v/>
      </c>
      <c r="Y761" s="10">
        <f>IF(W761&gt;$AC$33,1,0)</f>
        <v/>
      </c>
      <c r="Z761">
        <f>IF(Y761=C761,1,0)</f>
        <v/>
      </c>
    </row>
    <row r="762">
      <c r="A762">
        <f>'1 datos preparados'!A755</f>
        <v/>
      </c>
      <c r="B762" s="5">
        <f>'1 datos preparados'!U755</f>
        <v/>
      </c>
      <c r="C762">
        <f>'1 datos preparados'!B755</f>
        <v/>
      </c>
      <c r="D762" s="7">
        <f>'1 datos preparados'!C755</f>
        <v/>
      </c>
      <c r="E762" s="7">
        <f>'1 datos preparados'!D755</f>
        <v/>
      </c>
      <c r="F762" s="7">
        <f>'1 datos preparados'!E755</f>
        <v/>
      </c>
      <c r="G762" s="7">
        <f>'1 datos preparados'!F755</f>
        <v/>
      </c>
      <c r="H762" s="7">
        <f>'1 datos preparados'!G755</f>
        <v/>
      </c>
      <c r="I762" s="7">
        <f>'1 datos preparados'!H755</f>
        <v/>
      </c>
      <c r="J762" s="7">
        <f>'1 datos preparados'!I755</f>
        <v/>
      </c>
      <c r="K762" s="7">
        <f>'1 datos preparados'!J755</f>
        <v/>
      </c>
      <c r="L762" s="7">
        <f>'1 datos preparados'!K755</f>
        <v/>
      </c>
      <c r="M762" s="7">
        <f>'1 datos preparados'!L755</f>
        <v/>
      </c>
      <c r="N762" s="7">
        <f>'1 datos preparados'!M755</f>
        <v/>
      </c>
      <c r="O762" s="7">
        <f>'1 datos preparados'!N755</f>
        <v/>
      </c>
      <c r="P762" s="7">
        <f>'1 datos preparados'!O755</f>
        <v/>
      </c>
      <c r="Q762" s="7">
        <f>'1 datos preparados'!P755</f>
        <v/>
      </c>
      <c r="R762" s="7">
        <f>'1 datos preparados'!Q755</f>
        <v/>
      </c>
      <c r="S762" s="7">
        <f>'1 datos preparados'!R755</f>
        <v/>
      </c>
      <c r="T762" s="7">
        <f>'1 datos preparados'!S755</f>
        <v/>
      </c>
      <c r="U762" s="7">
        <f>'1 datos preparados'!T755</f>
        <v/>
      </c>
      <c r="V762" s="8">
        <f>$AC$12+D762*$AC$13+E762*$AC$14+F762*$AC$15+G762*$AC$16+H762*$AC$17+I762*$AC$18+J762*$AC$19+K762*$AC$20+L762*$AC$21+M762*$AC$22+N762*$AC$23+O762*$AC$24+P762*$AC$25+Q762*$AC$26+R762*$AC$27+S762*$AC$28+T762*$AC$29+U762*$AC$30</f>
        <v/>
      </c>
      <c r="W762" s="8">
        <f>1/(1+EXP(-V762))</f>
        <v/>
      </c>
      <c r="X762" s="9">
        <f>-IF(C762=1,LN(W762),LN(1-W762))</f>
        <v/>
      </c>
      <c r="Y762" s="10">
        <f>IF(W762&gt;$AC$33,1,0)</f>
        <v/>
      </c>
      <c r="Z762">
        <f>IF(Y762=C762,1,0)</f>
        <v/>
      </c>
    </row>
    <row r="763">
      <c r="A763">
        <f>'1 datos preparados'!A756</f>
        <v/>
      </c>
      <c r="B763" s="5">
        <f>'1 datos preparados'!U756</f>
        <v/>
      </c>
      <c r="C763">
        <f>'1 datos preparados'!B756</f>
        <v/>
      </c>
      <c r="D763" s="7">
        <f>'1 datos preparados'!C756</f>
        <v/>
      </c>
      <c r="E763" s="7">
        <f>'1 datos preparados'!D756</f>
        <v/>
      </c>
      <c r="F763" s="7">
        <f>'1 datos preparados'!E756</f>
        <v/>
      </c>
      <c r="G763" s="7">
        <f>'1 datos preparados'!F756</f>
        <v/>
      </c>
      <c r="H763" s="7">
        <f>'1 datos preparados'!G756</f>
        <v/>
      </c>
      <c r="I763" s="7">
        <f>'1 datos preparados'!H756</f>
        <v/>
      </c>
      <c r="J763" s="7">
        <f>'1 datos preparados'!I756</f>
        <v/>
      </c>
      <c r="K763" s="7">
        <f>'1 datos preparados'!J756</f>
        <v/>
      </c>
      <c r="L763" s="7">
        <f>'1 datos preparados'!K756</f>
        <v/>
      </c>
      <c r="M763" s="7">
        <f>'1 datos preparados'!L756</f>
        <v/>
      </c>
      <c r="N763" s="7">
        <f>'1 datos preparados'!M756</f>
        <v/>
      </c>
      <c r="O763" s="7">
        <f>'1 datos preparados'!N756</f>
        <v/>
      </c>
      <c r="P763" s="7">
        <f>'1 datos preparados'!O756</f>
        <v/>
      </c>
      <c r="Q763" s="7">
        <f>'1 datos preparados'!P756</f>
        <v/>
      </c>
      <c r="R763" s="7">
        <f>'1 datos preparados'!Q756</f>
        <v/>
      </c>
      <c r="S763" s="7">
        <f>'1 datos preparados'!R756</f>
        <v/>
      </c>
      <c r="T763" s="7">
        <f>'1 datos preparados'!S756</f>
        <v/>
      </c>
      <c r="U763" s="7">
        <f>'1 datos preparados'!T756</f>
        <v/>
      </c>
      <c r="V763" s="8">
        <f>$AC$12+D763*$AC$13+E763*$AC$14+F763*$AC$15+G763*$AC$16+H763*$AC$17+I763*$AC$18+J763*$AC$19+K763*$AC$20+L763*$AC$21+M763*$AC$22+N763*$AC$23+O763*$AC$24+P763*$AC$25+Q763*$AC$26+R763*$AC$27+S763*$AC$28+T763*$AC$29+U763*$AC$30</f>
        <v/>
      </c>
      <c r="W763" s="8">
        <f>1/(1+EXP(-V763))</f>
        <v/>
      </c>
      <c r="X763" s="9">
        <f>-IF(C763=1,LN(W763),LN(1-W763))</f>
        <v/>
      </c>
      <c r="Y763" s="10">
        <f>IF(W763&gt;$AC$33,1,0)</f>
        <v/>
      </c>
      <c r="Z763">
        <f>IF(Y763=C763,1,0)</f>
        <v/>
      </c>
    </row>
    <row r="764">
      <c r="A764">
        <f>'1 datos preparados'!A757</f>
        <v/>
      </c>
      <c r="B764" s="5">
        <f>'1 datos preparados'!U757</f>
        <v/>
      </c>
      <c r="C764">
        <f>'1 datos preparados'!B757</f>
        <v/>
      </c>
      <c r="D764" s="7">
        <f>'1 datos preparados'!C757</f>
        <v/>
      </c>
      <c r="E764" s="7">
        <f>'1 datos preparados'!D757</f>
        <v/>
      </c>
      <c r="F764" s="7">
        <f>'1 datos preparados'!E757</f>
        <v/>
      </c>
      <c r="G764" s="7">
        <f>'1 datos preparados'!F757</f>
        <v/>
      </c>
      <c r="H764" s="7">
        <f>'1 datos preparados'!G757</f>
        <v/>
      </c>
      <c r="I764" s="7">
        <f>'1 datos preparados'!H757</f>
        <v/>
      </c>
      <c r="J764" s="7">
        <f>'1 datos preparados'!I757</f>
        <v/>
      </c>
      <c r="K764" s="7">
        <f>'1 datos preparados'!J757</f>
        <v/>
      </c>
      <c r="L764" s="7">
        <f>'1 datos preparados'!K757</f>
        <v/>
      </c>
      <c r="M764" s="7">
        <f>'1 datos preparados'!L757</f>
        <v/>
      </c>
      <c r="N764" s="7">
        <f>'1 datos preparados'!M757</f>
        <v/>
      </c>
      <c r="O764" s="7">
        <f>'1 datos preparados'!N757</f>
        <v/>
      </c>
      <c r="P764" s="7">
        <f>'1 datos preparados'!O757</f>
        <v/>
      </c>
      <c r="Q764" s="7">
        <f>'1 datos preparados'!P757</f>
        <v/>
      </c>
      <c r="R764" s="7">
        <f>'1 datos preparados'!Q757</f>
        <v/>
      </c>
      <c r="S764" s="7">
        <f>'1 datos preparados'!R757</f>
        <v/>
      </c>
      <c r="T764" s="7">
        <f>'1 datos preparados'!S757</f>
        <v/>
      </c>
      <c r="U764" s="7">
        <f>'1 datos preparados'!T757</f>
        <v/>
      </c>
      <c r="V764" s="8">
        <f>$AC$12+D764*$AC$13+E764*$AC$14+F764*$AC$15+G764*$AC$16+H764*$AC$17+I764*$AC$18+J764*$AC$19+K764*$AC$20+L764*$AC$21+M764*$AC$22+N764*$AC$23+O764*$AC$24+P764*$AC$25+Q764*$AC$26+R764*$AC$27+S764*$AC$28+T764*$AC$29+U764*$AC$30</f>
        <v/>
      </c>
      <c r="W764" s="8">
        <f>1/(1+EXP(-V764))</f>
        <v/>
      </c>
      <c r="X764" s="9">
        <f>-IF(C764=1,LN(W764),LN(1-W764))</f>
        <v/>
      </c>
      <c r="Y764" s="10">
        <f>IF(W764&gt;$AC$33,1,0)</f>
        <v/>
      </c>
      <c r="Z764">
        <f>IF(Y764=C764,1,0)</f>
        <v/>
      </c>
    </row>
    <row r="765">
      <c r="A765">
        <f>'1 datos preparados'!A758</f>
        <v/>
      </c>
      <c r="B765" s="5">
        <f>'1 datos preparados'!U758</f>
        <v/>
      </c>
      <c r="C765">
        <f>'1 datos preparados'!B758</f>
        <v/>
      </c>
      <c r="D765" s="7">
        <f>'1 datos preparados'!C758</f>
        <v/>
      </c>
      <c r="E765" s="7">
        <f>'1 datos preparados'!D758</f>
        <v/>
      </c>
      <c r="F765" s="7">
        <f>'1 datos preparados'!E758</f>
        <v/>
      </c>
      <c r="G765" s="7">
        <f>'1 datos preparados'!F758</f>
        <v/>
      </c>
      <c r="H765" s="7">
        <f>'1 datos preparados'!G758</f>
        <v/>
      </c>
      <c r="I765" s="7">
        <f>'1 datos preparados'!H758</f>
        <v/>
      </c>
      <c r="J765" s="7">
        <f>'1 datos preparados'!I758</f>
        <v/>
      </c>
      <c r="K765" s="7">
        <f>'1 datos preparados'!J758</f>
        <v/>
      </c>
      <c r="L765" s="7">
        <f>'1 datos preparados'!K758</f>
        <v/>
      </c>
      <c r="M765" s="7">
        <f>'1 datos preparados'!L758</f>
        <v/>
      </c>
      <c r="N765" s="7">
        <f>'1 datos preparados'!M758</f>
        <v/>
      </c>
      <c r="O765" s="7">
        <f>'1 datos preparados'!N758</f>
        <v/>
      </c>
      <c r="P765" s="7">
        <f>'1 datos preparados'!O758</f>
        <v/>
      </c>
      <c r="Q765" s="7">
        <f>'1 datos preparados'!P758</f>
        <v/>
      </c>
      <c r="R765" s="7">
        <f>'1 datos preparados'!Q758</f>
        <v/>
      </c>
      <c r="S765" s="7">
        <f>'1 datos preparados'!R758</f>
        <v/>
      </c>
      <c r="T765" s="7">
        <f>'1 datos preparados'!S758</f>
        <v/>
      </c>
      <c r="U765" s="7">
        <f>'1 datos preparados'!T758</f>
        <v/>
      </c>
      <c r="V765" s="8">
        <f>$AC$12+D765*$AC$13+E765*$AC$14+F765*$AC$15+G765*$AC$16+H765*$AC$17+I765*$AC$18+J765*$AC$19+K765*$AC$20+L765*$AC$21+M765*$AC$22+N765*$AC$23+O765*$AC$24+P765*$AC$25+Q765*$AC$26+R765*$AC$27+S765*$AC$28+T765*$AC$29+U765*$AC$30</f>
        <v/>
      </c>
      <c r="W765" s="8">
        <f>1/(1+EXP(-V765))</f>
        <v/>
      </c>
      <c r="X765" s="9">
        <f>-IF(C765=1,LN(W765),LN(1-W765))</f>
        <v/>
      </c>
      <c r="Y765" s="10">
        <f>IF(W765&gt;$AC$33,1,0)</f>
        <v/>
      </c>
      <c r="Z765">
        <f>IF(Y765=C765,1,0)</f>
        <v/>
      </c>
    </row>
    <row r="766">
      <c r="A766">
        <f>'1 datos preparados'!A759</f>
        <v/>
      </c>
      <c r="B766" s="5">
        <f>'1 datos preparados'!U759</f>
        <v/>
      </c>
      <c r="C766">
        <f>'1 datos preparados'!B759</f>
        <v/>
      </c>
      <c r="D766" s="7">
        <f>'1 datos preparados'!C759</f>
        <v/>
      </c>
      <c r="E766" s="7">
        <f>'1 datos preparados'!D759</f>
        <v/>
      </c>
      <c r="F766" s="7">
        <f>'1 datos preparados'!E759</f>
        <v/>
      </c>
      <c r="G766" s="7">
        <f>'1 datos preparados'!F759</f>
        <v/>
      </c>
      <c r="H766" s="7">
        <f>'1 datos preparados'!G759</f>
        <v/>
      </c>
      <c r="I766" s="7">
        <f>'1 datos preparados'!H759</f>
        <v/>
      </c>
      <c r="J766" s="7">
        <f>'1 datos preparados'!I759</f>
        <v/>
      </c>
      <c r="K766" s="7">
        <f>'1 datos preparados'!J759</f>
        <v/>
      </c>
      <c r="L766" s="7">
        <f>'1 datos preparados'!K759</f>
        <v/>
      </c>
      <c r="M766" s="7">
        <f>'1 datos preparados'!L759</f>
        <v/>
      </c>
      <c r="N766" s="7">
        <f>'1 datos preparados'!M759</f>
        <v/>
      </c>
      <c r="O766" s="7">
        <f>'1 datos preparados'!N759</f>
        <v/>
      </c>
      <c r="P766" s="7">
        <f>'1 datos preparados'!O759</f>
        <v/>
      </c>
      <c r="Q766" s="7">
        <f>'1 datos preparados'!P759</f>
        <v/>
      </c>
      <c r="R766" s="7">
        <f>'1 datos preparados'!Q759</f>
        <v/>
      </c>
      <c r="S766" s="7">
        <f>'1 datos preparados'!R759</f>
        <v/>
      </c>
      <c r="T766" s="7">
        <f>'1 datos preparados'!S759</f>
        <v/>
      </c>
      <c r="U766" s="7">
        <f>'1 datos preparados'!T759</f>
        <v/>
      </c>
      <c r="V766" s="8">
        <f>$AC$12+D766*$AC$13+E766*$AC$14+F766*$AC$15+G766*$AC$16+H766*$AC$17+I766*$AC$18+J766*$AC$19+K766*$AC$20+L766*$AC$21+M766*$AC$22+N766*$AC$23+O766*$AC$24+P766*$AC$25+Q766*$AC$26+R766*$AC$27+S766*$AC$28+T766*$AC$29+U766*$AC$30</f>
        <v/>
      </c>
      <c r="W766" s="8">
        <f>1/(1+EXP(-V766))</f>
        <v/>
      </c>
      <c r="X766" s="9">
        <f>-IF(C766=1,LN(W766),LN(1-W766))</f>
        <v/>
      </c>
      <c r="Y766" s="10">
        <f>IF(W766&gt;$AC$33,1,0)</f>
        <v/>
      </c>
      <c r="Z766">
        <f>IF(Y766=C766,1,0)</f>
        <v/>
      </c>
    </row>
    <row r="767">
      <c r="A767">
        <f>'1 datos preparados'!A760</f>
        <v/>
      </c>
      <c r="B767" s="5">
        <f>'1 datos preparados'!U760</f>
        <v/>
      </c>
      <c r="C767">
        <f>'1 datos preparados'!B760</f>
        <v/>
      </c>
      <c r="D767" s="7">
        <f>'1 datos preparados'!C760</f>
        <v/>
      </c>
      <c r="E767" s="7">
        <f>'1 datos preparados'!D760</f>
        <v/>
      </c>
      <c r="F767" s="7">
        <f>'1 datos preparados'!E760</f>
        <v/>
      </c>
      <c r="G767" s="7">
        <f>'1 datos preparados'!F760</f>
        <v/>
      </c>
      <c r="H767" s="7">
        <f>'1 datos preparados'!G760</f>
        <v/>
      </c>
      <c r="I767" s="7">
        <f>'1 datos preparados'!H760</f>
        <v/>
      </c>
      <c r="J767" s="7">
        <f>'1 datos preparados'!I760</f>
        <v/>
      </c>
      <c r="K767" s="7">
        <f>'1 datos preparados'!J760</f>
        <v/>
      </c>
      <c r="L767" s="7">
        <f>'1 datos preparados'!K760</f>
        <v/>
      </c>
      <c r="M767" s="7">
        <f>'1 datos preparados'!L760</f>
        <v/>
      </c>
      <c r="N767" s="7">
        <f>'1 datos preparados'!M760</f>
        <v/>
      </c>
      <c r="O767" s="7">
        <f>'1 datos preparados'!N760</f>
        <v/>
      </c>
      <c r="P767" s="7">
        <f>'1 datos preparados'!O760</f>
        <v/>
      </c>
      <c r="Q767" s="7">
        <f>'1 datos preparados'!P760</f>
        <v/>
      </c>
      <c r="R767" s="7">
        <f>'1 datos preparados'!Q760</f>
        <v/>
      </c>
      <c r="S767" s="7">
        <f>'1 datos preparados'!R760</f>
        <v/>
      </c>
      <c r="T767" s="7">
        <f>'1 datos preparados'!S760</f>
        <v/>
      </c>
      <c r="U767" s="7">
        <f>'1 datos preparados'!T760</f>
        <v/>
      </c>
      <c r="V767" s="8">
        <f>$AC$12+D767*$AC$13+E767*$AC$14+F767*$AC$15+G767*$AC$16+H767*$AC$17+I767*$AC$18+J767*$AC$19+K767*$AC$20+L767*$AC$21+M767*$AC$22+N767*$AC$23+O767*$AC$24+P767*$AC$25+Q767*$AC$26+R767*$AC$27+S767*$AC$28+T767*$AC$29+U767*$AC$30</f>
        <v/>
      </c>
      <c r="W767" s="8">
        <f>1/(1+EXP(-V767))</f>
        <v/>
      </c>
      <c r="X767" s="9">
        <f>-IF(C767=1,LN(W767),LN(1-W767))</f>
        <v/>
      </c>
      <c r="Y767" s="10">
        <f>IF(W767&gt;$AC$33,1,0)</f>
        <v/>
      </c>
      <c r="Z767">
        <f>IF(Y767=C767,1,0)</f>
        <v/>
      </c>
    </row>
    <row r="768">
      <c r="A768">
        <f>'1 datos preparados'!A761</f>
        <v/>
      </c>
      <c r="B768" s="5">
        <f>'1 datos preparados'!U761</f>
        <v/>
      </c>
      <c r="C768">
        <f>'1 datos preparados'!B761</f>
        <v/>
      </c>
      <c r="D768" s="7">
        <f>'1 datos preparados'!C761</f>
        <v/>
      </c>
      <c r="E768" s="7">
        <f>'1 datos preparados'!D761</f>
        <v/>
      </c>
      <c r="F768" s="7">
        <f>'1 datos preparados'!E761</f>
        <v/>
      </c>
      <c r="G768" s="7">
        <f>'1 datos preparados'!F761</f>
        <v/>
      </c>
      <c r="H768" s="7">
        <f>'1 datos preparados'!G761</f>
        <v/>
      </c>
      <c r="I768" s="7">
        <f>'1 datos preparados'!H761</f>
        <v/>
      </c>
      <c r="J768" s="7">
        <f>'1 datos preparados'!I761</f>
        <v/>
      </c>
      <c r="K768" s="7">
        <f>'1 datos preparados'!J761</f>
        <v/>
      </c>
      <c r="L768" s="7">
        <f>'1 datos preparados'!K761</f>
        <v/>
      </c>
      <c r="M768" s="7">
        <f>'1 datos preparados'!L761</f>
        <v/>
      </c>
      <c r="N768" s="7">
        <f>'1 datos preparados'!M761</f>
        <v/>
      </c>
      <c r="O768" s="7">
        <f>'1 datos preparados'!N761</f>
        <v/>
      </c>
      <c r="P768" s="7">
        <f>'1 datos preparados'!O761</f>
        <v/>
      </c>
      <c r="Q768" s="7">
        <f>'1 datos preparados'!P761</f>
        <v/>
      </c>
      <c r="R768" s="7">
        <f>'1 datos preparados'!Q761</f>
        <v/>
      </c>
      <c r="S768" s="7">
        <f>'1 datos preparados'!R761</f>
        <v/>
      </c>
      <c r="T768" s="7">
        <f>'1 datos preparados'!S761</f>
        <v/>
      </c>
      <c r="U768" s="7">
        <f>'1 datos preparados'!T761</f>
        <v/>
      </c>
      <c r="V768" s="8">
        <f>$AC$12+D768*$AC$13+E768*$AC$14+F768*$AC$15+G768*$AC$16+H768*$AC$17+I768*$AC$18+J768*$AC$19+K768*$AC$20+L768*$AC$21+M768*$AC$22+N768*$AC$23+O768*$AC$24+P768*$AC$25+Q768*$AC$26+R768*$AC$27+S768*$AC$28+T768*$AC$29+U768*$AC$30</f>
        <v/>
      </c>
      <c r="W768" s="8">
        <f>1/(1+EXP(-V768))</f>
        <v/>
      </c>
      <c r="X768" s="9">
        <f>-IF(C768=1,LN(W768),LN(1-W768))</f>
        <v/>
      </c>
      <c r="Y768" s="10">
        <f>IF(W768&gt;$AC$33,1,0)</f>
        <v/>
      </c>
      <c r="Z768">
        <f>IF(Y768=C768,1,0)</f>
        <v/>
      </c>
    </row>
    <row r="769">
      <c r="A769">
        <f>'1 datos preparados'!A762</f>
        <v/>
      </c>
      <c r="B769" s="5">
        <f>'1 datos preparados'!U762</f>
        <v/>
      </c>
      <c r="C769">
        <f>'1 datos preparados'!B762</f>
        <v/>
      </c>
      <c r="D769" s="7">
        <f>'1 datos preparados'!C762</f>
        <v/>
      </c>
      <c r="E769" s="7">
        <f>'1 datos preparados'!D762</f>
        <v/>
      </c>
      <c r="F769" s="7">
        <f>'1 datos preparados'!E762</f>
        <v/>
      </c>
      <c r="G769" s="7">
        <f>'1 datos preparados'!F762</f>
        <v/>
      </c>
      <c r="H769" s="7">
        <f>'1 datos preparados'!G762</f>
        <v/>
      </c>
      <c r="I769" s="7">
        <f>'1 datos preparados'!H762</f>
        <v/>
      </c>
      <c r="J769" s="7">
        <f>'1 datos preparados'!I762</f>
        <v/>
      </c>
      <c r="K769" s="7">
        <f>'1 datos preparados'!J762</f>
        <v/>
      </c>
      <c r="L769" s="7">
        <f>'1 datos preparados'!K762</f>
        <v/>
      </c>
      <c r="M769" s="7">
        <f>'1 datos preparados'!L762</f>
        <v/>
      </c>
      <c r="N769" s="7">
        <f>'1 datos preparados'!M762</f>
        <v/>
      </c>
      <c r="O769" s="7">
        <f>'1 datos preparados'!N762</f>
        <v/>
      </c>
      <c r="P769" s="7">
        <f>'1 datos preparados'!O762</f>
        <v/>
      </c>
      <c r="Q769" s="7">
        <f>'1 datos preparados'!P762</f>
        <v/>
      </c>
      <c r="R769" s="7">
        <f>'1 datos preparados'!Q762</f>
        <v/>
      </c>
      <c r="S769" s="7">
        <f>'1 datos preparados'!R762</f>
        <v/>
      </c>
      <c r="T769" s="7">
        <f>'1 datos preparados'!S762</f>
        <v/>
      </c>
      <c r="U769" s="7">
        <f>'1 datos preparados'!T762</f>
        <v/>
      </c>
      <c r="V769" s="8">
        <f>$AC$12+D769*$AC$13+E769*$AC$14+F769*$AC$15+G769*$AC$16+H769*$AC$17+I769*$AC$18+J769*$AC$19+K769*$AC$20+L769*$AC$21+M769*$AC$22+N769*$AC$23+O769*$AC$24+P769*$AC$25+Q769*$AC$26+R769*$AC$27+S769*$AC$28+T769*$AC$29+U769*$AC$30</f>
        <v/>
      </c>
      <c r="W769" s="8">
        <f>1/(1+EXP(-V769))</f>
        <v/>
      </c>
      <c r="X769" s="9">
        <f>-IF(C769=1,LN(W769),LN(1-W769))</f>
        <v/>
      </c>
      <c r="Y769" s="10">
        <f>IF(W769&gt;$AC$33,1,0)</f>
        <v/>
      </c>
      <c r="Z769">
        <f>IF(Y769=C769,1,0)</f>
        <v/>
      </c>
    </row>
    <row r="770">
      <c r="A770">
        <f>'1 datos preparados'!A763</f>
        <v/>
      </c>
      <c r="B770" s="5">
        <f>'1 datos preparados'!U763</f>
        <v/>
      </c>
      <c r="C770">
        <f>'1 datos preparados'!B763</f>
        <v/>
      </c>
      <c r="D770" s="7">
        <f>'1 datos preparados'!C763</f>
        <v/>
      </c>
      <c r="E770" s="7">
        <f>'1 datos preparados'!D763</f>
        <v/>
      </c>
      <c r="F770" s="7">
        <f>'1 datos preparados'!E763</f>
        <v/>
      </c>
      <c r="G770" s="7">
        <f>'1 datos preparados'!F763</f>
        <v/>
      </c>
      <c r="H770" s="7">
        <f>'1 datos preparados'!G763</f>
        <v/>
      </c>
      <c r="I770" s="7">
        <f>'1 datos preparados'!H763</f>
        <v/>
      </c>
      <c r="J770" s="7">
        <f>'1 datos preparados'!I763</f>
        <v/>
      </c>
      <c r="K770" s="7">
        <f>'1 datos preparados'!J763</f>
        <v/>
      </c>
      <c r="L770" s="7">
        <f>'1 datos preparados'!K763</f>
        <v/>
      </c>
      <c r="M770" s="7">
        <f>'1 datos preparados'!L763</f>
        <v/>
      </c>
      <c r="N770" s="7">
        <f>'1 datos preparados'!M763</f>
        <v/>
      </c>
      <c r="O770" s="7">
        <f>'1 datos preparados'!N763</f>
        <v/>
      </c>
      <c r="P770" s="7">
        <f>'1 datos preparados'!O763</f>
        <v/>
      </c>
      <c r="Q770" s="7">
        <f>'1 datos preparados'!P763</f>
        <v/>
      </c>
      <c r="R770" s="7">
        <f>'1 datos preparados'!Q763</f>
        <v/>
      </c>
      <c r="S770" s="7">
        <f>'1 datos preparados'!R763</f>
        <v/>
      </c>
      <c r="T770" s="7">
        <f>'1 datos preparados'!S763</f>
        <v/>
      </c>
      <c r="U770" s="7">
        <f>'1 datos preparados'!T763</f>
        <v/>
      </c>
      <c r="V770" s="8">
        <f>$AC$12+D770*$AC$13+E770*$AC$14+F770*$AC$15+G770*$AC$16+H770*$AC$17+I770*$AC$18+J770*$AC$19+K770*$AC$20+L770*$AC$21+M770*$AC$22+N770*$AC$23+O770*$AC$24+P770*$AC$25+Q770*$AC$26+R770*$AC$27+S770*$AC$28+T770*$AC$29+U770*$AC$30</f>
        <v/>
      </c>
      <c r="W770" s="8">
        <f>1/(1+EXP(-V770))</f>
        <v/>
      </c>
      <c r="X770" s="9">
        <f>-IF(C770=1,LN(W770),LN(1-W770))</f>
        <v/>
      </c>
      <c r="Y770" s="10">
        <f>IF(W770&gt;$AC$33,1,0)</f>
        <v/>
      </c>
      <c r="Z770">
        <f>IF(Y770=C770,1,0)</f>
        <v/>
      </c>
    </row>
    <row r="771">
      <c r="A771">
        <f>'1 datos preparados'!A764</f>
        <v/>
      </c>
      <c r="B771" s="5">
        <f>'1 datos preparados'!U764</f>
        <v/>
      </c>
      <c r="C771">
        <f>'1 datos preparados'!B764</f>
        <v/>
      </c>
      <c r="D771" s="7">
        <f>'1 datos preparados'!C764</f>
        <v/>
      </c>
      <c r="E771" s="7">
        <f>'1 datos preparados'!D764</f>
        <v/>
      </c>
      <c r="F771" s="7">
        <f>'1 datos preparados'!E764</f>
        <v/>
      </c>
      <c r="G771" s="7">
        <f>'1 datos preparados'!F764</f>
        <v/>
      </c>
      <c r="H771" s="7">
        <f>'1 datos preparados'!G764</f>
        <v/>
      </c>
      <c r="I771" s="7">
        <f>'1 datos preparados'!H764</f>
        <v/>
      </c>
      <c r="J771" s="7">
        <f>'1 datos preparados'!I764</f>
        <v/>
      </c>
      <c r="K771" s="7">
        <f>'1 datos preparados'!J764</f>
        <v/>
      </c>
      <c r="L771" s="7">
        <f>'1 datos preparados'!K764</f>
        <v/>
      </c>
      <c r="M771" s="7">
        <f>'1 datos preparados'!L764</f>
        <v/>
      </c>
      <c r="N771" s="7">
        <f>'1 datos preparados'!M764</f>
        <v/>
      </c>
      <c r="O771" s="7">
        <f>'1 datos preparados'!N764</f>
        <v/>
      </c>
      <c r="P771" s="7">
        <f>'1 datos preparados'!O764</f>
        <v/>
      </c>
      <c r="Q771" s="7">
        <f>'1 datos preparados'!P764</f>
        <v/>
      </c>
      <c r="R771" s="7">
        <f>'1 datos preparados'!Q764</f>
        <v/>
      </c>
      <c r="S771" s="7">
        <f>'1 datos preparados'!R764</f>
        <v/>
      </c>
      <c r="T771" s="7">
        <f>'1 datos preparados'!S764</f>
        <v/>
      </c>
      <c r="U771" s="7">
        <f>'1 datos preparados'!T764</f>
        <v/>
      </c>
      <c r="V771" s="8">
        <f>$AC$12+D771*$AC$13+E771*$AC$14+F771*$AC$15+G771*$AC$16+H771*$AC$17+I771*$AC$18+J771*$AC$19+K771*$AC$20+L771*$AC$21+M771*$AC$22+N771*$AC$23+O771*$AC$24+P771*$AC$25+Q771*$AC$26+R771*$AC$27+S771*$AC$28+T771*$AC$29+U771*$AC$30</f>
        <v/>
      </c>
      <c r="W771" s="8">
        <f>1/(1+EXP(-V771))</f>
        <v/>
      </c>
      <c r="X771" s="9">
        <f>-IF(C771=1,LN(W771),LN(1-W771))</f>
        <v/>
      </c>
      <c r="Y771" s="10">
        <f>IF(W771&gt;$AC$33,1,0)</f>
        <v/>
      </c>
      <c r="Z771">
        <f>IF(Y771=C771,1,0)</f>
        <v/>
      </c>
    </row>
    <row r="772">
      <c r="A772">
        <f>'1 datos preparados'!A765</f>
        <v/>
      </c>
      <c r="B772" s="5">
        <f>'1 datos preparados'!U765</f>
        <v/>
      </c>
      <c r="C772">
        <f>'1 datos preparados'!B765</f>
        <v/>
      </c>
      <c r="D772" s="7">
        <f>'1 datos preparados'!C765</f>
        <v/>
      </c>
      <c r="E772" s="7">
        <f>'1 datos preparados'!D765</f>
        <v/>
      </c>
      <c r="F772" s="7">
        <f>'1 datos preparados'!E765</f>
        <v/>
      </c>
      <c r="G772" s="7">
        <f>'1 datos preparados'!F765</f>
        <v/>
      </c>
      <c r="H772" s="7">
        <f>'1 datos preparados'!G765</f>
        <v/>
      </c>
      <c r="I772" s="7">
        <f>'1 datos preparados'!H765</f>
        <v/>
      </c>
      <c r="J772" s="7">
        <f>'1 datos preparados'!I765</f>
        <v/>
      </c>
      <c r="K772" s="7">
        <f>'1 datos preparados'!J765</f>
        <v/>
      </c>
      <c r="L772" s="7">
        <f>'1 datos preparados'!K765</f>
        <v/>
      </c>
      <c r="M772" s="7">
        <f>'1 datos preparados'!L765</f>
        <v/>
      </c>
      <c r="N772" s="7">
        <f>'1 datos preparados'!M765</f>
        <v/>
      </c>
      <c r="O772" s="7">
        <f>'1 datos preparados'!N765</f>
        <v/>
      </c>
      <c r="P772" s="7">
        <f>'1 datos preparados'!O765</f>
        <v/>
      </c>
      <c r="Q772" s="7">
        <f>'1 datos preparados'!P765</f>
        <v/>
      </c>
      <c r="R772" s="7">
        <f>'1 datos preparados'!Q765</f>
        <v/>
      </c>
      <c r="S772" s="7">
        <f>'1 datos preparados'!R765</f>
        <v/>
      </c>
      <c r="T772" s="7">
        <f>'1 datos preparados'!S765</f>
        <v/>
      </c>
      <c r="U772" s="7">
        <f>'1 datos preparados'!T765</f>
        <v/>
      </c>
      <c r="V772" s="8">
        <f>$AC$12+D772*$AC$13+E772*$AC$14+F772*$AC$15+G772*$AC$16+H772*$AC$17+I772*$AC$18+J772*$AC$19+K772*$AC$20+L772*$AC$21+M772*$AC$22+N772*$AC$23+O772*$AC$24+P772*$AC$25+Q772*$AC$26+R772*$AC$27+S772*$AC$28+T772*$AC$29+U772*$AC$30</f>
        <v/>
      </c>
      <c r="W772" s="8">
        <f>1/(1+EXP(-V772))</f>
        <v/>
      </c>
      <c r="X772" s="9">
        <f>-IF(C772=1,LN(W772),LN(1-W772))</f>
        <v/>
      </c>
      <c r="Y772" s="10">
        <f>IF(W772&gt;$AC$33,1,0)</f>
        <v/>
      </c>
      <c r="Z772">
        <f>IF(Y772=C772,1,0)</f>
        <v/>
      </c>
    </row>
    <row r="773">
      <c r="A773">
        <f>'1 datos preparados'!A766</f>
        <v/>
      </c>
      <c r="B773" s="5">
        <f>'1 datos preparados'!U766</f>
        <v/>
      </c>
      <c r="C773">
        <f>'1 datos preparados'!B766</f>
        <v/>
      </c>
      <c r="D773" s="7">
        <f>'1 datos preparados'!C766</f>
        <v/>
      </c>
      <c r="E773" s="7">
        <f>'1 datos preparados'!D766</f>
        <v/>
      </c>
      <c r="F773" s="7">
        <f>'1 datos preparados'!E766</f>
        <v/>
      </c>
      <c r="G773" s="7">
        <f>'1 datos preparados'!F766</f>
        <v/>
      </c>
      <c r="H773" s="7">
        <f>'1 datos preparados'!G766</f>
        <v/>
      </c>
      <c r="I773" s="7">
        <f>'1 datos preparados'!H766</f>
        <v/>
      </c>
      <c r="J773" s="7">
        <f>'1 datos preparados'!I766</f>
        <v/>
      </c>
      <c r="K773" s="7">
        <f>'1 datos preparados'!J766</f>
        <v/>
      </c>
      <c r="L773" s="7">
        <f>'1 datos preparados'!K766</f>
        <v/>
      </c>
      <c r="M773" s="7">
        <f>'1 datos preparados'!L766</f>
        <v/>
      </c>
      <c r="N773" s="7">
        <f>'1 datos preparados'!M766</f>
        <v/>
      </c>
      <c r="O773" s="7">
        <f>'1 datos preparados'!N766</f>
        <v/>
      </c>
      <c r="P773" s="7">
        <f>'1 datos preparados'!O766</f>
        <v/>
      </c>
      <c r="Q773" s="7">
        <f>'1 datos preparados'!P766</f>
        <v/>
      </c>
      <c r="R773" s="7">
        <f>'1 datos preparados'!Q766</f>
        <v/>
      </c>
      <c r="S773" s="7">
        <f>'1 datos preparados'!R766</f>
        <v/>
      </c>
      <c r="T773" s="7">
        <f>'1 datos preparados'!S766</f>
        <v/>
      </c>
      <c r="U773" s="7">
        <f>'1 datos preparados'!T766</f>
        <v/>
      </c>
      <c r="V773" s="8">
        <f>$AC$12+D773*$AC$13+E773*$AC$14+F773*$AC$15+G773*$AC$16+H773*$AC$17+I773*$AC$18+J773*$AC$19+K773*$AC$20+L773*$AC$21+M773*$AC$22+N773*$AC$23+O773*$AC$24+P773*$AC$25+Q773*$AC$26+R773*$AC$27+S773*$AC$28+T773*$AC$29+U773*$AC$30</f>
        <v/>
      </c>
      <c r="W773" s="8">
        <f>1/(1+EXP(-V773))</f>
        <v/>
      </c>
      <c r="X773" s="9">
        <f>-IF(C773=1,LN(W773),LN(1-W773))</f>
        <v/>
      </c>
      <c r="Y773" s="10">
        <f>IF(W773&gt;$AC$33,1,0)</f>
        <v/>
      </c>
      <c r="Z773">
        <f>IF(Y773=C773,1,0)</f>
        <v/>
      </c>
    </row>
    <row r="774">
      <c r="A774">
        <f>'1 datos preparados'!A767</f>
        <v/>
      </c>
      <c r="B774" s="5">
        <f>'1 datos preparados'!U767</f>
        <v/>
      </c>
      <c r="C774">
        <f>'1 datos preparados'!B767</f>
        <v/>
      </c>
      <c r="D774" s="7">
        <f>'1 datos preparados'!C767</f>
        <v/>
      </c>
      <c r="E774" s="7">
        <f>'1 datos preparados'!D767</f>
        <v/>
      </c>
      <c r="F774" s="7">
        <f>'1 datos preparados'!E767</f>
        <v/>
      </c>
      <c r="G774" s="7">
        <f>'1 datos preparados'!F767</f>
        <v/>
      </c>
      <c r="H774" s="7">
        <f>'1 datos preparados'!G767</f>
        <v/>
      </c>
      <c r="I774" s="7">
        <f>'1 datos preparados'!H767</f>
        <v/>
      </c>
      <c r="J774" s="7">
        <f>'1 datos preparados'!I767</f>
        <v/>
      </c>
      <c r="K774" s="7">
        <f>'1 datos preparados'!J767</f>
        <v/>
      </c>
      <c r="L774" s="7">
        <f>'1 datos preparados'!K767</f>
        <v/>
      </c>
      <c r="M774" s="7">
        <f>'1 datos preparados'!L767</f>
        <v/>
      </c>
      <c r="N774" s="7">
        <f>'1 datos preparados'!M767</f>
        <v/>
      </c>
      <c r="O774" s="7">
        <f>'1 datos preparados'!N767</f>
        <v/>
      </c>
      <c r="P774" s="7">
        <f>'1 datos preparados'!O767</f>
        <v/>
      </c>
      <c r="Q774" s="7">
        <f>'1 datos preparados'!P767</f>
        <v/>
      </c>
      <c r="R774" s="7">
        <f>'1 datos preparados'!Q767</f>
        <v/>
      </c>
      <c r="S774" s="7">
        <f>'1 datos preparados'!R767</f>
        <v/>
      </c>
      <c r="T774" s="7">
        <f>'1 datos preparados'!S767</f>
        <v/>
      </c>
      <c r="U774" s="7">
        <f>'1 datos preparados'!T767</f>
        <v/>
      </c>
      <c r="V774" s="8">
        <f>$AC$12+D774*$AC$13+E774*$AC$14+F774*$AC$15+G774*$AC$16+H774*$AC$17+I774*$AC$18+J774*$AC$19+K774*$AC$20+L774*$AC$21+M774*$AC$22+N774*$AC$23+O774*$AC$24+P774*$AC$25+Q774*$AC$26+R774*$AC$27+S774*$AC$28+T774*$AC$29+U774*$AC$30</f>
        <v/>
      </c>
      <c r="W774" s="8">
        <f>1/(1+EXP(-V774))</f>
        <v/>
      </c>
      <c r="X774" s="9">
        <f>-IF(C774=1,LN(W774),LN(1-W774))</f>
        <v/>
      </c>
      <c r="Y774" s="10">
        <f>IF(W774&gt;$AC$33,1,0)</f>
        <v/>
      </c>
      <c r="Z774">
        <f>IF(Y774=C774,1,0)</f>
        <v/>
      </c>
    </row>
    <row r="775">
      <c r="A775">
        <f>'1 datos preparados'!A768</f>
        <v/>
      </c>
      <c r="B775" s="5">
        <f>'1 datos preparados'!U768</f>
        <v/>
      </c>
      <c r="C775">
        <f>'1 datos preparados'!B768</f>
        <v/>
      </c>
      <c r="D775" s="7">
        <f>'1 datos preparados'!C768</f>
        <v/>
      </c>
      <c r="E775" s="7">
        <f>'1 datos preparados'!D768</f>
        <v/>
      </c>
      <c r="F775" s="7">
        <f>'1 datos preparados'!E768</f>
        <v/>
      </c>
      <c r="G775" s="7">
        <f>'1 datos preparados'!F768</f>
        <v/>
      </c>
      <c r="H775" s="7">
        <f>'1 datos preparados'!G768</f>
        <v/>
      </c>
      <c r="I775" s="7">
        <f>'1 datos preparados'!H768</f>
        <v/>
      </c>
      <c r="J775" s="7">
        <f>'1 datos preparados'!I768</f>
        <v/>
      </c>
      <c r="K775" s="7">
        <f>'1 datos preparados'!J768</f>
        <v/>
      </c>
      <c r="L775" s="7">
        <f>'1 datos preparados'!K768</f>
        <v/>
      </c>
      <c r="M775" s="7">
        <f>'1 datos preparados'!L768</f>
        <v/>
      </c>
      <c r="N775" s="7">
        <f>'1 datos preparados'!M768</f>
        <v/>
      </c>
      <c r="O775" s="7">
        <f>'1 datos preparados'!N768</f>
        <v/>
      </c>
      <c r="P775" s="7">
        <f>'1 datos preparados'!O768</f>
        <v/>
      </c>
      <c r="Q775" s="7">
        <f>'1 datos preparados'!P768</f>
        <v/>
      </c>
      <c r="R775" s="7">
        <f>'1 datos preparados'!Q768</f>
        <v/>
      </c>
      <c r="S775" s="7">
        <f>'1 datos preparados'!R768</f>
        <v/>
      </c>
      <c r="T775" s="7">
        <f>'1 datos preparados'!S768</f>
        <v/>
      </c>
      <c r="U775" s="7">
        <f>'1 datos preparados'!T768</f>
        <v/>
      </c>
      <c r="V775" s="8">
        <f>$AC$12+D775*$AC$13+E775*$AC$14+F775*$AC$15+G775*$AC$16+H775*$AC$17+I775*$AC$18+J775*$AC$19+K775*$AC$20+L775*$AC$21+M775*$AC$22+N775*$AC$23+O775*$AC$24+P775*$AC$25+Q775*$AC$26+R775*$AC$27+S775*$AC$28+T775*$AC$29+U775*$AC$30</f>
        <v/>
      </c>
      <c r="W775" s="8">
        <f>1/(1+EXP(-V775))</f>
        <v/>
      </c>
      <c r="X775" s="9">
        <f>-IF(C775=1,LN(W775),LN(1-W775))</f>
        <v/>
      </c>
      <c r="Y775" s="10">
        <f>IF(W775&gt;$AC$33,1,0)</f>
        <v/>
      </c>
      <c r="Z775">
        <f>IF(Y775=C775,1,0)</f>
        <v/>
      </c>
    </row>
    <row r="776">
      <c r="A776">
        <f>'1 datos preparados'!A769</f>
        <v/>
      </c>
      <c r="B776" s="5">
        <f>'1 datos preparados'!U769</f>
        <v/>
      </c>
      <c r="C776">
        <f>'1 datos preparados'!B769</f>
        <v/>
      </c>
      <c r="D776" s="7">
        <f>'1 datos preparados'!C769</f>
        <v/>
      </c>
      <c r="E776" s="7">
        <f>'1 datos preparados'!D769</f>
        <v/>
      </c>
      <c r="F776" s="7">
        <f>'1 datos preparados'!E769</f>
        <v/>
      </c>
      <c r="G776" s="7">
        <f>'1 datos preparados'!F769</f>
        <v/>
      </c>
      <c r="H776" s="7">
        <f>'1 datos preparados'!G769</f>
        <v/>
      </c>
      <c r="I776" s="7">
        <f>'1 datos preparados'!H769</f>
        <v/>
      </c>
      <c r="J776" s="7">
        <f>'1 datos preparados'!I769</f>
        <v/>
      </c>
      <c r="K776" s="7">
        <f>'1 datos preparados'!J769</f>
        <v/>
      </c>
      <c r="L776" s="7">
        <f>'1 datos preparados'!K769</f>
        <v/>
      </c>
      <c r="M776" s="7">
        <f>'1 datos preparados'!L769</f>
        <v/>
      </c>
      <c r="N776" s="7">
        <f>'1 datos preparados'!M769</f>
        <v/>
      </c>
      <c r="O776" s="7">
        <f>'1 datos preparados'!N769</f>
        <v/>
      </c>
      <c r="P776" s="7">
        <f>'1 datos preparados'!O769</f>
        <v/>
      </c>
      <c r="Q776" s="7">
        <f>'1 datos preparados'!P769</f>
        <v/>
      </c>
      <c r="R776" s="7">
        <f>'1 datos preparados'!Q769</f>
        <v/>
      </c>
      <c r="S776" s="7">
        <f>'1 datos preparados'!R769</f>
        <v/>
      </c>
      <c r="T776" s="7">
        <f>'1 datos preparados'!S769</f>
        <v/>
      </c>
      <c r="U776" s="7">
        <f>'1 datos preparados'!T769</f>
        <v/>
      </c>
      <c r="V776" s="8">
        <f>$AC$12+D776*$AC$13+E776*$AC$14+F776*$AC$15+G776*$AC$16+H776*$AC$17+I776*$AC$18+J776*$AC$19+K776*$AC$20+L776*$AC$21+M776*$AC$22+N776*$AC$23+O776*$AC$24+P776*$AC$25+Q776*$AC$26+R776*$AC$27+S776*$AC$28+T776*$AC$29+U776*$AC$30</f>
        <v/>
      </c>
      <c r="W776" s="8">
        <f>1/(1+EXP(-V776))</f>
        <v/>
      </c>
      <c r="X776" s="9">
        <f>-IF(C776=1,LN(W776),LN(1-W776))</f>
        <v/>
      </c>
      <c r="Y776" s="10">
        <f>IF(W776&gt;$AC$33,1,0)</f>
        <v/>
      </c>
      <c r="Z776">
        <f>IF(Y776=C776,1,0)</f>
        <v/>
      </c>
    </row>
    <row r="777">
      <c r="A777">
        <f>'1 datos preparados'!A770</f>
        <v/>
      </c>
      <c r="B777" s="5">
        <f>'1 datos preparados'!U770</f>
        <v/>
      </c>
      <c r="C777">
        <f>'1 datos preparados'!B770</f>
        <v/>
      </c>
      <c r="D777" s="7">
        <f>'1 datos preparados'!C770</f>
        <v/>
      </c>
      <c r="E777" s="7">
        <f>'1 datos preparados'!D770</f>
        <v/>
      </c>
      <c r="F777" s="7">
        <f>'1 datos preparados'!E770</f>
        <v/>
      </c>
      <c r="G777" s="7">
        <f>'1 datos preparados'!F770</f>
        <v/>
      </c>
      <c r="H777" s="7">
        <f>'1 datos preparados'!G770</f>
        <v/>
      </c>
      <c r="I777" s="7">
        <f>'1 datos preparados'!H770</f>
        <v/>
      </c>
      <c r="J777" s="7">
        <f>'1 datos preparados'!I770</f>
        <v/>
      </c>
      <c r="K777" s="7">
        <f>'1 datos preparados'!J770</f>
        <v/>
      </c>
      <c r="L777" s="7">
        <f>'1 datos preparados'!K770</f>
        <v/>
      </c>
      <c r="M777" s="7">
        <f>'1 datos preparados'!L770</f>
        <v/>
      </c>
      <c r="N777" s="7">
        <f>'1 datos preparados'!M770</f>
        <v/>
      </c>
      <c r="O777" s="7">
        <f>'1 datos preparados'!N770</f>
        <v/>
      </c>
      <c r="P777" s="7">
        <f>'1 datos preparados'!O770</f>
        <v/>
      </c>
      <c r="Q777" s="7">
        <f>'1 datos preparados'!P770</f>
        <v/>
      </c>
      <c r="R777" s="7">
        <f>'1 datos preparados'!Q770</f>
        <v/>
      </c>
      <c r="S777" s="7">
        <f>'1 datos preparados'!R770</f>
        <v/>
      </c>
      <c r="T777" s="7">
        <f>'1 datos preparados'!S770</f>
        <v/>
      </c>
      <c r="U777" s="7">
        <f>'1 datos preparados'!T770</f>
        <v/>
      </c>
      <c r="V777" s="8">
        <f>$AC$12+D777*$AC$13+E777*$AC$14+F777*$AC$15+G777*$AC$16+H777*$AC$17+I777*$AC$18+J777*$AC$19+K777*$AC$20+L777*$AC$21+M777*$AC$22+N777*$AC$23+O777*$AC$24+P777*$AC$25+Q777*$AC$26+R777*$AC$27+S777*$AC$28+T777*$AC$29+U777*$AC$30</f>
        <v/>
      </c>
      <c r="W777" s="8">
        <f>1/(1+EXP(-V777))</f>
        <v/>
      </c>
      <c r="X777" s="9">
        <f>-IF(C777=1,LN(W777),LN(1-W777))</f>
        <v/>
      </c>
      <c r="Y777" s="10">
        <f>IF(W777&gt;$AC$33,1,0)</f>
        <v/>
      </c>
      <c r="Z777">
        <f>IF(Y777=C777,1,0)</f>
        <v/>
      </c>
    </row>
    <row r="778">
      <c r="A778">
        <f>'1 datos preparados'!A771</f>
        <v/>
      </c>
      <c r="B778" s="5">
        <f>'1 datos preparados'!U771</f>
        <v/>
      </c>
      <c r="C778">
        <f>'1 datos preparados'!B771</f>
        <v/>
      </c>
      <c r="D778" s="7">
        <f>'1 datos preparados'!C771</f>
        <v/>
      </c>
      <c r="E778" s="7">
        <f>'1 datos preparados'!D771</f>
        <v/>
      </c>
      <c r="F778" s="7">
        <f>'1 datos preparados'!E771</f>
        <v/>
      </c>
      <c r="G778" s="7">
        <f>'1 datos preparados'!F771</f>
        <v/>
      </c>
      <c r="H778" s="7">
        <f>'1 datos preparados'!G771</f>
        <v/>
      </c>
      <c r="I778" s="7">
        <f>'1 datos preparados'!H771</f>
        <v/>
      </c>
      <c r="J778" s="7">
        <f>'1 datos preparados'!I771</f>
        <v/>
      </c>
      <c r="K778" s="7">
        <f>'1 datos preparados'!J771</f>
        <v/>
      </c>
      <c r="L778" s="7">
        <f>'1 datos preparados'!K771</f>
        <v/>
      </c>
      <c r="M778" s="7">
        <f>'1 datos preparados'!L771</f>
        <v/>
      </c>
      <c r="N778" s="7">
        <f>'1 datos preparados'!M771</f>
        <v/>
      </c>
      <c r="O778" s="7">
        <f>'1 datos preparados'!N771</f>
        <v/>
      </c>
      <c r="P778" s="7">
        <f>'1 datos preparados'!O771</f>
        <v/>
      </c>
      <c r="Q778" s="7">
        <f>'1 datos preparados'!P771</f>
        <v/>
      </c>
      <c r="R778" s="7">
        <f>'1 datos preparados'!Q771</f>
        <v/>
      </c>
      <c r="S778" s="7">
        <f>'1 datos preparados'!R771</f>
        <v/>
      </c>
      <c r="T778" s="7">
        <f>'1 datos preparados'!S771</f>
        <v/>
      </c>
      <c r="U778" s="7">
        <f>'1 datos preparados'!T771</f>
        <v/>
      </c>
      <c r="V778" s="8">
        <f>$AC$12+D778*$AC$13+E778*$AC$14+F778*$AC$15+G778*$AC$16+H778*$AC$17+I778*$AC$18+J778*$AC$19+K778*$AC$20+L778*$AC$21+M778*$AC$22+N778*$AC$23+O778*$AC$24+P778*$AC$25+Q778*$AC$26+R778*$AC$27+S778*$AC$28+T778*$AC$29+U778*$AC$30</f>
        <v/>
      </c>
      <c r="W778" s="8">
        <f>1/(1+EXP(-V778))</f>
        <v/>
      </c>
      <c r="X778" s="9">
        <f>-IF(C778=1,LN(W778),LN(1-W778))</f>
        <v/>
      </c>
      <c r="Y778" s="10">
        <f>IF(W778&gt;$AC$33,1,0)</f>
        <v/>
      </c>
      <c r="Z778">
        <f>IF(Y778=C778,1,0)</f>
        <v/>
      </c>
    </row>
    <row r="779">
      <c r="A779">
        <f>'1 datos preparados'!A772</f>
        <v/>
      </c>
      <c r="B779" s="5">
        <f>'1 datos preparados'!U772</f>
        <v/>
      </c>
      <c r="C779">
        <f>'1 datos preparados'!B772</f>
        <v/>
      </c>
      <c r="D779" s="7">
        <f>'1 datos preparados'!C772</f>
        <v/>
      </c>
      <c r="E779" s="7">
        <f>'1 datos preparados'!D772</f>
        <v/>
      </c>
      <c r="F779" s="7">
        <f>'1 datos preparados'!E772</f>
        <v/>
      </c>
      <c r="G779" s="7">
        <f>'1 datos preparados'!F772</f>
        <v/>
      </c>
      <c r="H779" s="7">
        <f>'1 datos preparados'!G772</f>
        <v/>
      </c>
      <c r="I779" s="7">
        <f>'1 datos preparados'!H772</f>
        <v/>
      </c>
      <c r="J779" s="7">
        <f>'1 datos preparados'!I772</f>
        <v/>
      </c>
      <c r="K779" s="7">
        <f>'1 datos preparados'!J772</f>
        <v/>
      </c>
      <c r="L779" s="7">
        <f>'1 datos preparados'!K772</f>
        <v/>
      </c>
      <c r="M779" s="7">
        <f>'1 datos preparados'!L772</f>
        <v/>
      </c>
      <c r="N779" s="7">
        <f>'1 datos preparados'!M772</f>
        <v/>
      </c>
      <c r="O779" s="7">
        <f>'1 datos preparados'!N772</f>
        <v/>
      </c>
      <c r="P779" s="7">
        <f>'1 datos preparados'!O772</f>
        <v/>
      </c>
      <c r="Q779" s="7">
        <f>'1 datos preparados'!P772</f>
        <v/>
      </c>
      <c r="R779" s="7">
        <f>'1 datos preparados'!Q772</f>
        <v/>
      </c>
      <c r="S779" s="7">
        <f>'1 datos preparados'!R772</f>
        <v/>
      </c>
      <c r="T779" s="7">
        <f>'1 datos preparados'!S772</f>
        <v/>
      </c>
      <c r="U779" s="7">
        <f>'1 datos preparados'!T772</f>
        <v/>
      </c>
      <c r="V779" s="8">
        <f>$AC$12+D779*$AC$13+E779*$AC$14+F779*$AC$15+G779*$AC$16+H779*$AC$17+I779*$AC$18+J779*$AC$19+K779*$AC$20+L779*$AC$21+M779*$AC$22+N779*$AC$23+O779*$AC$24+P779*$AC$25+Q779*$AC$26+R779*$AC$27+S779*$AC$28+T779*$AC$29+U779*$AC$30</f>
        <v/>
      </c>
      <c r="W779" s="8">
        <f>1/(1+EXP(-V779))</f>
        <v/>
      </c>
      <c r="X779" s="9">
        <f>-IF(C779=1,LN(W779),LN(1-W779))</f>
        <v/>
      </c>
      <c r="Y779" s="10">
        <f>IF(W779&gt;$AC$33,1,0)</f>
        <v/>
      </c>
      <c r="Z779">
        <f>IF(Y779=C779,1,0)</f>
        <v/>
      </c>
    </row>
    <row r="780">
      <c r="A780">
        <f>'1 datos preparados'!A773</f>
        <v/>
      </c>
      <c r="B780" s="5">
        <f>'1 datos preparados'!U773</f>
        <v/>
      </c>
      <c r="C780">
        <f>'1 datos preparados'!B773</f>
        <v/>
      </c>
      <c r="D780" s="7">
        <f>'1 datos preparados'!C773</f>
        <v/>
      </c>
      <c r="E780" s="7">
        <f>'1 datos preparados'!D773</f>
        <v/>
      </c>
      <c r="F780" s="7">
        <f>'1 datos preparados'!E773</f>
        <v/>
      </c>
      <c r="G780" s="7">
        <f>'1 datos preparados'!F773</f>
        <v/>
      </c>
      <c r="H780" s="7">
        <f>'1 datos preparados'!G773</f>
        <v/>
      </c>
      <c r="I780" s="7">
        <f>'1 datos preparados'!H773</f>
        <v/>
      </c>
      <c r="J780" s="7">
        <f>'1 datos preparados'!I773</f>
        <v/>
      </c>
      <c r="K780" s="7">
        <f>'1 datos preparados'!J773</f>
        <v/>
      </c>
      <c r="L780" s="7">
        <f>'1 datos preparados'!K773</f>
        <v/>
      </c>
      <c r="M780" s="7">
        <f>'1 datos preparados'!L773</f>
        <v/>
      </c>
      <c r="N780" s="7">
        <f>'1 datos preparados'!M773</f>
        <v/>
      </c>
      <c r="O780" s="7">
        <f>'1 datos preparados'!N773</f>
        <v/>
      </c>
      <c r="P780" s="7">
        <f>'1 datos preparados'!O773</f>
        <v/>
      </c>
      <c r="Q780" s="7">
        <f>'1 datos preparados'!P773</f>
        <v/>
      </c>
      <c r="R780" s="7">
        <f>'1 datos preparados'!Q773</f>
        <v/>
      </c>
      <c r="S780" s="7">
        <f>'1 datos preparados'!R773</f>
        <v/>
      </c>
      <c r="T780" s="7">
        <f>'1 datos preparados'!S773</f>
        <v/>
      </c>
      <c r="U780" s="7">
        <f>'1 datos preparados'!T773</f>
        <v/>
      </c>
      <c r="V780" s="8">
        <f>$AC$12+D780*$AC$13+E780*$AC$14+F780*$AC$15+G780*$AC$16+H780*$AC$17+I780*$AC$18+J780*$AC$19+K780*$AC$20+L780*$AC$21+M780*$AC$22+N780*$AC$23+O780*$AC$24+P780*$AC$25+Q780*$AC$26+R780*$AC$27+S780*$AC$28+T780*$AC$29+U780*$AC$30</f>
        <v/>
      </c>
      <c r="W780" s="8">
        <f>1/(1+EXP(-V780))</f>
        <v/>
      </c>
      <c r="X780" s="9">
        <f>-IF(C780=1,LN(W780),LN(1-W780))</f>
        <v/>
      </c>
      <c r="Y780" s="10">
        <f>IF(W780&gt;$AC$33,1,0)</f>
        <v/>
      </c>
      <c r="Z780">
        <f>IF(Y780=C780,1,0)</f>
        <v/>
      </c>
    </row>
    <row r="781">
      <c r="A781">
        <f>'1 datos preparados'!A774</f>
        <v/>
      </c>
      <c r="B781" s="5">
        <f>'1 datos preparados'!U774</f>
        <v/>
      </c>
      <c r="C781">
        <f>'1 datos preparados'!B774</f>
        <v/>
      </c>
      <c r="D781" s="7">
        <f>'1 datos preparados'!C774</f>
        <v/>
      </c>
      <c r="E781" s="7">
        <f>'1 datos preparados'!D774</f>
        <v/>
      </c>
      <c r="F781" s="7">
        <f>'1 datos preparados'!E774</f>
        <v/>
      </c>
      <c r="G781" s="7">
        <f>'1 datos preparados'!F774</f>
        <v/>
      </c>
      <c r="H781" s="7">
        <f>'1 datos preparados'!G774</f>
        <v/>
      </c>
      <c r="I781" s="7">
        <f>'1 datos preparados'!H774</f>
        <v/>
      </c>
      <c r="J781" s="7">
        <f>'1 datos preparados'!I774</f>
        <v/>
      </c>
      <c r="K781" s="7">
        <f>'1 datos preparados'!J774</f>
        <v/>
      </c>
      <c r="L781" s="7">
        <f>'1 datos preparados'!K774</f>
        <v/>
      </c>
      <c r="M781" s="7">
        <f>'1 datos preparados'!L774</f>
        <v/>
      </c>
      <c r="N781" s="7">
        <f>'1 datos preparados'!M774</f>
        <v/>
      </c>
      <c r="O781" s="7">
        <f>'1 datos preparados'!N774</f>
        <v/>
      </c>
      <c r="P781" s="7">
        <f>'1 datos preparados'!O774</f>
        <v/>
      </c>
      <c r="Q781" s="7">
        <f>'1 datos preparados'!P774</f>
        <v/>
      </c>
      <c r="R781" s="7">
        <f>'1 datos preparados'!Q774</f>
        <v/>
      </c>
      <c r="S781" s="7">
        <f>'1 datos preparados'!R774</f>
        <v/>
      </c>
      <c r="T781" s="7">
        <f>'1 datos preparados'!S774</f>
        <v/>
      </c>
      <c r="U781" s="7">
        <f>'1 datos preparados'!T774</f>
        <v/>
      </c>
      <c r="V781" s="8">
        <f>$AC$12+D781*$AC$13+E781*$AC$14+F781*$AC$15+G781*$AC$16+H781*$AC$17+I781*$AC$18+J781*$AC$19+K781*$AC$20+L781*$AC$21+M781*$AC$22+N781*$AC$23+O781*$AC$24+P781*$AC$25+Q781*$AC$26+R781*$AC$27+S781*$AC$28+T781*$AC$29+U781*$AC$30</f>
        <v/>
      </c>
      <c r="W781" s="8">
        <f>1/(1+EXP(-V781))</f>
        <v/>
      </c>
      <c r="X781" s="9">
        <f>-IF(C781=1,LN(W781),LN(1-W781))</f>
        <v/>
      </c>
      <c r="Y781" s="10">
        <f>IF(W781&gt;$AC$33,1,0)</f>
        <v/>
      </c>
      <c r="Z781">
        <f>IF(Y781=C781,1,0)</f>
        <v/>
      </c>
    </row>
    <row r="782">
      <c r="A782">
        <f>'1 datos preparados'!A775</f>
        <v/>
      </c>
      <c r="B782" s="5">
        <f>'1 datos preparados'!U775</f>
        <v/>
      </c>
      <c r="C782">
        <f>'1 datos preparados'!B775</f>
        <v/>
      </c>
      <c r="D782" s="7">
        <f>'1 datos preparados'!C775</f>
        <v/>
      </c>
      <c r="E782" s="7">
        <f>'1 datos preparados'!D775</f>
        <v/>
      </c>
      <c r="F782" s="7">
        <f>'1 datos preparados'!E775</f>
        <v/>
      </c>
      <c r="G782" s="7">
        <f>'1 datos preparados'!F775</f>
        <v/>
      </c>
      <c r="H782" s="7">
        <f>'1 datos preparados'!G775</f>
        <v/>
      </c>
      <c r="I782" s="7">
        <f>'1 datos preparados'!H775</f>
        <v/>
      </c>
      <c r="J782" s="7">
        <f>'1 datos preparados'!I775</f>
        <v/>
      </c>
      <c r="K782" s="7">
        <f>'1 datos preparados'!J775</f>
        <v/>
      </c>
      <c r="L782" s="7">
        <f>'1 datos preparados'!K775</f>
        <v/>
      </c>
      <c r="M782" s="7">
        <f>'1 datos preparados'!L775</f>
        <v/>
      </c>
      <c r="N782" s="7">
        <f>'1 datos preparados'!M775</f>
        <v/>
      </c>
      <c r="O782" s="7">
        <f>'1 datos preparados'!N775</f>
        <v/>
      </c>
      <c r="P782" s="7">
        <f>'1 datos preparados'!O775</f>
        <v/>
      </c>
      <c r="Q782" s="7">
        <f>'1 datos preparados'!P775</f>
        <v/>
      </c>
      <c r="R782" s="7">
        <f>'1 datos preparados'!Q775</f>
        <v/>
      </c>
      <c r="S782" s="7">
        <f>'1 datos preparados'!R775</f>
        <v/>
      </c>
      <c r="T782" s="7">
        <f>'1 datos preparados'!S775</f>
        <v/>
      </c>
      <c r="U782" s="7">
        <f>'1 datos preparados'!T775</f>
        <v/>
      </c>
      <c r="V782" s="8">
        <f>$AC$12+D782*$AC$13+E782*$AC$14+F782*$AC$15+G782*$AC$16+H782*$AC$17+I782*$AC$18+J782*$AC$19+K782*$AC$20+L782*$AC$21+M782*$AC$22+N782*$AC$23+O782*$AC$24+P782*$AC$25+Q782*$AC$26+R782*$AC$27+S782*$AC$28+T782*$AC$29+U782*$AC$30</f>
        <v/>
      </c>
      <c r="W782" s="8">
        <f>1/(1+EXP(-V782))</f>
        <v/>
      </c>
      <c r="X782" s="9">
        <f>-IF(C782=1,LN(W782),LN(1-W782))</f>
        <v/>
      </c>
      <c r="Y782" s="10">
        <f>IF(W782&gt;$AC$33,1,0)</f>
        <v/>
      </c>
      <c r="Z782">
        <f>IF(Y782=C782,1,0)</f>
        <v/>
      </c>
    </row>
    <row r="783">
      <c r="A783">
        <f>'1 datos preparados'!A776</f>
        <v/>
      </c>
      <c r="B783" s="5">
        <f>'1 datos preparados'!U776</f>
        <v/>
      </c>
      <c r="C783">
        <f>'1 datos preparados'!B776</f>
        <v/>
      </c>
      <c r="D783" s="7">
        <f>'1 datos preparados'!C776</f>
        <v/>
      </c>
      <c r="E783" s="7">
        <f>'1 datos preparados'!D776</f>
        <v/>
      </c>
      <c r="F783" s="7">
        <f>'1 datos preparados'!E776</f>
        <v/>
      </c>
      <c r="G783" s="7">
        <f>'1 datos preparados'!F776</f>
        <v/>
      </c>
      <c r="H783" s="7">
        <f>'1 datos preparados'!G776</f>
        <v/>
      </c>
      <c r="I783" s="7">
        <f>'1 datos preparados'!H776</f>
        <v/>
      </c>
      <c r="J783" s="7">
        <f>'1 datos preparados'!I776</f>
        <v/>
      </c>
      <c r="K783" s="7">
        <f>'1 datos preparados'!J776</f>
        <v/>
      </c>
      <c r="L783" s="7">
        <f>'1 datos preparados'!K776</f>
        <v/>
      </c>
      <c r="M783" s="7">
        <f>'1 datos preparados'!L776</f>
        <v/>
      </c>
      <c r="N783" s="7">
        <f>'1 datos preparados'!M776</f>
        <v/>
      </c>
      <c r="O783" s="7">
        <f>'1 datos preparados'!N776</f>
        <v/>
      </c>
      <c r="P783" s="7">
        <f>'1 datos preparados'!O776</f>
        <v/>
      </c>
      <c r="Q783" s="7">
        <f>'1 datos preparados'!P776</f>
        <v/>
      </c>
      <c r="R783" s="7">
        <f>'1 datos preparados'!Q776</f>
        <v/>
      </c>
      <c r="S783" s="7">
        <f>'1 datos preparados'!R776</f>
        <v/>
      </c>
      <c r="T783" s="7">
        <f>'1 datos preparados'!S776</f>
        <v/>
      </c>
      <c r="U783" s="7">
        <f>'1 datos preparados'!T776</f>
        <v/>
      </c>
      <c r="V783" s="8">
        <f>$AC$12+D783*$AC$13+E783*$AC$14+F783*$AC$15+G783*$AC$16+H783*$AC$17+I783*$AC$18+J783*$AC$19+K783*$AC$20+L783*$AC$21+M783*$AC$22+N783*$AC$23+O783*$AC$24+P783*$AC$25+Q783*$AC$26+R783*$AC$27+S783*$AC$28+T783*$AC$29+U783*$AC$30</f>
        <v/>
      </c>
      <c r="W783" s="8">
        <f>1/(1+EXP(-V783))</f>
        <v/>
      </c>
      <c r="X783" s="9">
        <f>-IF(C783=1,LN(W783),LN(1-W783))</f>
        <v/>
      </c>
      <c r="Y783" s="10">
        <f>IF(W783&gt;$AC$33,1,0)</f>
        <v/>
      </c>
      <c r="Z783">
        <f>IF(Y783=C783,1,0)</f>
        <v/>
      </c>
    </row>
    <row r="784">
      <c r="A784">
        <f>'1 datos preparados'!A777</f>
        <v/>
      </c>
      <c r="B784" s="5">
        <f>'1 datos preparados'!U777</f>
        <v/>
      </c>
      <c r="C784">
        <f>'1 datos preparados'!B777</f>
        <v/>
      </c>
      <c r="D784" s="7">
        <f>'1 datos preparados'!C777</f>
        <v/>
      </c>
      <c r="E784" s="7">
        <f>'1 datos preparados'!D777</f>
        <v/>
      </c>
      <c r="F784" s="7">
        <f>'1 datos preparados'!E777</f>
        <v/>
      </c>
      <c r="G784" s="7">
        <f>'1 datos preparados'!F777</f>
        <v/>
      </c>
      <c r="H784" s="7">
        <f>'1 datos preparados'!G777</f>
        <v/>
      </c>
      <c r="I784" s="7">
        <f>'1 datos preparados'!H777</f>
        <v/>
      </c>
      <c r="J784" s="7">
        <f>'1 datos preparados'!I777</f>
        <v/>
      </c>
      <c r="K784" s="7">
        <f>'1 datos preparados'!J777</f>
        <v/>
      </c>
      <c r="L784" s="7">
        <f>'1 datos preparados'!K777</f>
        <v/>
      </c>
      <c r="M784" s="7">
        <f>'1 datos preparados'!L777</f>
        <v/>
      </c>
      <c r="N784" s="7">
        <f>'1 datos preparados'!M777</f>
        <v/>
      </c>
      <c r="O784" s="7">
        <f>'1 datos preparados'!N777</f>
        <v/>
      </c>
      <c r="P784" s="7">
        <f>'1 datos preparados'!O777</f>
        <v/>
      </c>
      <c r="Q784" s="7">
        <f>'1 datos preparados'!P777</f>
        <v/>
      </c>
      <c r="R784" s="7">
        <f>'1 datos preparados'!Q777</f>
        <v/>
      </c>
      <c r="S784" s="7">
        <f>'1 datos preparados'!R777</f>
        <v/>
      </c>
      <c r="T784" s="7">
        <f>'1 datos preparados'!S777</f>
        <v/>
      </c>
      <c r="U784" s="7">
        <f>'1 datos preparados'!T777</f>
        <v/>
      </c>
      <c r="V784" s="8">
        <f>$AC$12+D784*$AC$13+E784*$AC$14+F784*$AC$15+G784*$AC$16+H784*$AC$17+I784*$AC$18+J784*$AC$19+K784*$AC$20+L784*$AC$21+M784*$AC$22+N784*$AC$23+O784*$AC$24+P784*$AC$25+Q784*$AC$26+R784*$AC$27+S784*$AC$28+T784*$AC$29+U784*$AC$30</f>
        <v/>
      </c>
      <c r="W784" s="8">
        <f>1/(1+EXP(-V784))</f>
        <v/>
      </c>
      <c r="X784" s="9">
        <f>-IF(C784=1,LN(W784),LN(1-W784))</f>
        <v/>
      </c>
      <c r="Y784" s="10">
        <f>IF(W784&gt;$AC$33,1,0)</f>
        <v/>
      </c>
      <c r="Z784">
        <f>IF(Y784=C784,1,0)</f>
        <v/>
      </c>
    </row>
    <row r="785">
      <c r="A785">
        <f>'1 datos preparados'!A778</f>
        <v/>
      </c>
      <c r="B785" s="5">
        <f>'1 datos preparados'!U778</f>
        <v/>
      </c>
      <c r="C785">
        <f>'1 datos preparados'!B778</f>
        <v/>
      </c>
      <c r="D785" s="7">
        <f>'1 datos preparados'!C778</f>
        <v/>
      </c>
      <c r="E785" s="7">
        <f>'1 datos preparados'!D778</f>
        <v/>
      </c>
      <c r="F785" s="7">
        <f>'1 datos preparados'!E778</f>
        <v/>
      </c>
      <c r="G785" s="7">
        <f>'1 datos preparados'!F778</f>
        <v/>
      </c>
      <c r="H785" s="7">
        <f>'1 datos preparados'!G778</f>
        <v/>
      </c>
      <c r="I785" s="7">
        <f>'1 datos preparados'!H778</f>
        <v/>
      </c>
      <c r="J785" s="7">
        <f>'1 datos preparados'!I778</f>
        <v/>
      </c>
      <c r="K785" s="7">
        <f>'1 datos preparados'!J778</f>
        <v/>
      </c>
      <c r="L785" s="7">
        <f>'1 datos preparados'!K778</f>
        <v/>
      </c>
      <c r="M785" s="7">
        <f>'1 datos preparados'!L778</f>
        <v/>
      </c>
      <c r="N785" s="7">
        <f>'1 datos preparados'!M778</f>
        <v/>
      </c>
      <c r="O785" s="7">
        <f>'1 datos preparados'!N778</f>
        <v/>
      </c>
      <c r="P785" s="7">
        <f>'1 datos preparados'!O778</f>
        <v/>
      </c>
      <c r="Q785" s="7">
        <f>'1 datos preparados'!P778</f>
        <v/>
      </c>
      <c r="R785" s="7">
        <f>'1 datos preparados'!Q778</f>
        <v/>
      </c>
      <c r="S785" s="7">
        <f>'1 datos preparados'!R778</f>
        <v/>
      </c>
      <c r="T785" s="7">
        <f>'1 datos preparados'!S778</f>
        <v/>
      </c>
      <c r="U785" s="7">
        <f>'1 datos preparados'!T778</f>
        <v/>
      </c>
      <c r="V785" s="8">
        <f>$AC$12+D785*$AC$13+E785*$AC$14+F785*$AC$15+G785*$AC$16+H785*$AC$17+I785*$AC$18+J785*$AC$19+K785*$AC$20+L785*$AC$21+M785*$AC$22+N785*$AC$23+O785*$AC$24+P785*$AC$25+Q785*$AC$26+R785*$AC$27+S785*$AC$28+T785*$AC$29+U785*$AC$30</f>
        <v/>
      </c>
      <c r="W785" s="8">
        <f>1/(1+EXP(-V785))</f>
        <v/>
      </c>
      <c r="X785" s="9">
        <f>-IF(C785=1,LN(W785),LN(1-W785))</f>
        <v/>
      </c>
      <c r="Y785" s="10">
        <f>IF(W785&gt;$AC$33,1,0)</f>
        <v/>
      </c>
      <c r="Z785">
        <f>IF(Y785=C785,1,0)</f>
        <v/>
      </c>
    </row>
    <row r="786">
      <c r="A786">
        <f>'1 datos preparados'!A779</f>
        <v/>
      </c>
      <c r="B786" s="5">
        <f>'1 datos preparados'!U779</f>
        <v/>
      </c>
      <c r="C786">
        <f>'1 datos preparados'!B779</f>
        <v/>
      </c>
      <c r="D786" s="7">
        <f>'1 datos preparados'!C779</f>
        <v/>
      </c>
      <c r="E786" s="7">
        <f>'1 datos preparados'!D779</f>
        <v/>
      </c>
      <c r="F786" s="7">
        <f>'1 datos preparados'!E779</f>
        <v/>
      </c>
      <c r="G786" s="7">
        <f>'1 datos preparados'!F779</f>
        <v/>
      </c>
      <c r="H786" s="7">
        <f>'1 datos preparados'!G779</f>
        <v/>
      </c>
      <c r="I786" s="7">
        <f>'1 datos preparados'!H779</f>
        <v/>
      </c>
      <c r="J786" s="7">
        <f>'1 datos preparados'!I779</f>
        <v/>
      </c>
      <c r="K786" s="7">
        <f>'1 datos preparados'!J779</f>
        <v/>
      </c>
      <c r="L786" s="7">
        <f>'1 datos preparados'!K779</f>
        <v/>
      </c>
      <c r="M786" s="7">
        <f>'1 datos preparados'!L779</f>
        <v/>
      </c>
      <c r="N786" s="7">
        <f>'1 datos preparados'!M779</f>
        <v/>
      </c>
      <c r="O786" s="7">
        <f>'1 datos preparados'!N779</f>
        <v/>
      </c>
      <c r="P786" s="7">
        <f>'1 datos preparados'!O779</f>
        <v/>
      </c>
      <c r="Q786" s="7">
        <f>'1 datos preparados'!P779</f>
        <v/>
      </c>
      <c r="R786" s="7">
        <f>'1 datos preparados'!Q779</f>
        <v/>
      </c>
      <c r="S786" s="7">
        <f>'1 datos preparados'!R779</f>
        <v/>
      </c>
      <c r="T786" s="7">
        <f>'1 datos preparados'!S779</f>
        <v/>
      </c>
      <c r="U786" s="7">
        <f>'1 datos preparados'!T779</f>
        <v/>
      </c>
      <c r="V786" s="8">
        <f>$AC$12+D786*$AC$13+E786*$AC$14+F786*$AC$15+G786*$AC$16+H786*$AC$17+I786*$AC$18+J786*$AC$19+K786*$AC$20+L786*$AC$21+M786*$AC$22+N786*$AC$23+O786*$AC$24+P786*$AC$25+Q786*$AC$26+R786*$AC$27+S786*$AC$28+T786*$AC$29+U786*$AC$30</f>
        <v/>
      </c>
      <c r="W786" s="8">
        <f>1/(1+EXP(-V786))</f>
        <v/>
      </c>
      <c r="X786" s="9">
        <f>-IF(C786=1,LN(W786),LN(1-W786))</f>
        <v/>
      </c>
      <c r="Y786" s="10">
        <f>IF(W786&gt;$AC$33,1,0)</f>
        <v/>
      </c>
      <c r="Z786">
        <f>IF(Y786=C786,1,0)</f>
        <v/>
      </c>
    </row>
    <row r="787">
      <c r="A787">
        <f>'1 datos preparados'!A780</f>
        <v/>
      </c>
      <c r="B787" s="5">
        <f>'1 datos preparados'!U780</f>
        <v/>
      </c>
      <c r="C787">
        <f>'1 datos preparados'!B780</f>
        <v/>
      </c>
      <c r="D787" s="7">
        <f>'1 datos preparados'!C780</f>
        <v/>
      </c>
      <c r="E787" s="7">
        <f>'1 datos preparados'!D780</f>
        <v/>
      </c>
      <c r="F787" s="7">
        <f>'1 datos preparados'!E780</f>
        <v/>
      </c>
      <c r="G787" s="7">
        <f>'1 datos preparados'!F780</f>
        <v/>
      </c>
      <c r="H787" s="7">
        <f>'1 datos preparados'!G780</f>
        <v/>
      </c>
      <c r="I787" s="7">
        <f>'1 datos preparados'!H780</f>
        <v/>
      </c>
      <c r="J787" s="7">
        <f>'1 datos preparados'!I780</f>
        <v/>
      </c>
      <c r="K787" s="7">
        <f>'1 datos preparados'!J780</f>
        <v/>
      </c>
      <c r="L787" s="7">
        <f>'1 datos preparados'!K780</f>
        <v/>
      </c>
      <c r="M787" s="7">
        <f>'1 datos preparados'!L780</f>
        <v/>
      </c>
      <c r="N787" s="7">
        <f>'1 datos preparados'!M780</f>
        <v/>
      </c>
      <c r="O787" s="7">
        <f>'1 datos preparados'!N780</f>
        <v/>
      </c>
      <c r="P787" s="7">
        <f>'1 datos preparados'!O780</f>
        <v/>
      </c>
      <c r="Q787" s="7">
        <f>'1 datos preparados'!P780</f>
        <v/>
      </c>
      <c r="R787" s="7">
        <f>'1 datos preparados'!Q780</f>
        <v/>
      </c>
      <c r="S787" s="7">
        <f>'1 datos preparados'!R780</f>
        <v/>
      </c>
      <c r="T787" s="7">
        <f>'1 datos preparados'!S780</f>
        <v/>
      </c>
      <c r="U787" s="7">
        <f>'1 datos preparados'!T780</f>
        <v/>
      </c>
      <c r="V787" s="8">
        <f>$AC$12+D787*$AC$13+E787*$AC$14+F787*$AC$15+G787*$AC$16+H787*$AC$17+I787*$AC$18+J787*$AC$19+K787*$AC$20+L787*$AC$21+M787*$AC$22+N787*$AC$23+O787*$AC$24+P787*$AC$25+Q787*$AC$26+R787*$AC$27+S787*$AC$28+T787*$AC$29+U787*$AC$30</f>
        <v/>
      </c>
      <c r="W787" s="8">
        <f>1/(1+EXP(-V787))</f>
        <v/>
      </c>
      <c r="X787" s="9">
        <f>-IF(C787=1,LN(W787),LN(1-W787))</f>
        <v/>
      </c>
      <c r="Y787" s="10">
        <f>IF(W787&gt;$AC$33,1,0)</f>
        <v/>
      </c>
      <c r="Z787">
        <f>IF(Y787=C787,1,0)</f>
        <v/>
      </c>
    </row>
    <row r="788">
      <c r="A788">
        <f>'1 datos preparados'!A781</f>
        <v/>
      </c>
      <c r="B788" s="5">
        <f>'1 datos preparados'!U781</f>
        <v/>
      </c>
      <c r="C788">
        <f>'1 datos preparados'!B781</f>
        <v/>
      </c>
      <c r="D788" s="7">
        <f>'1 datos preparados'!C781</f>
        <v/>
      </c>
      <c r="E788" s="7">
        <f>'1 datos preparados'!D781</f>
        <v/>
      </c>
      <c r="F788" s="7">
        <f>'1 datos preparados'!E781</f>
        <v/>
      </c>
      <c r="G788" s="7">
        <f>'1 datos preparados'!F781</f>
        <v/>
      </c>
      <c r="H788" s="7">
        <f>'1 datos preparados'!G781</f>
        <v/>
      </c>
      <c r="I788" s="7">
        <f>'1 datos preparados'!H781</f>
        <v/>
      </c>
      <c r="J788" s="7">
        <f>'1 datos preparados'!I781</f>
        <v/>
      </c>
      <c r="K788" s="7">
        <f>'1 datos preparados'!J781</f>
        <v/>
      </c>
      <c r="L788" s="7">
        <f>'1 datos preparados'!K781</f>
        <v/>
      </c>
      <c r="M788" s="7">
        <f>'1 datos preparados'!L781</f>
        <v/>
      </c>
      <c r="N788" s="7">
        <f>'1 datos preparados'!M781</f>
        <v/>
      </c>
      <c r="O788" s="7">
        <f>'1 datos preparados'!N781</f>
        <v/>
      </c>
      <c r="P788" s="7">
        <f>'1 datos preparados'!O781</f>
        <v/>
      </c>
      <c r="Q788" s="7">
        <f>'1 datos preparados'!P781</f>
        <v/>
      </c>
      <c r="R788" s="7">
        <f>'1 datos preparados'!Q781</f>
        <v/>
      </c>
      <c r="S788" s="7">
        <f>'1 datos preparados'!R781</f>
        <v/>
      </c>
      <c r="T788" s="7">
        <f>'1 datos preparados'!S781</f>
        <v/>
      </c>
      <c r="U788" s="7">
        <f>'1 datos preparados'!T781</f>
        <v/>
      </c>
      <c r="V788" s="8">
        <f>$AC$12+D788*$AC$13+E788*$AC$14+F788*$AC$15+G788*$AC$16+H788*$AC$17+I788*$AC$18+J788*$AC$19+K788*$AC$20+L788*$AC$21+M788*$AC$22+N788*$AC$23+O788*$AC$24+P788*$AC$25+Q788*$AC$26+R788*$AC$27+S788*$AC$28+T788*$AC$29+U788*$AC$30</f>
        <v/>
      </c>
      <c r="W788" s="8">
        <f>1/(1+EXP(-V788))</f>
        <v/>
      </c>
      <c r="X788" s="9">
        <f>-IF(C788=1,LN(W788),LN(1-W788))</f>
        <v/>
      </c>
      <c r="Y788" s="10">
        <f>IF(W788&gt;$AC$33,1,0)</f>
        <v/>
      </c>
      <c r="Z788">
        <f>IF(Y788=C788,1,0)</f>
        <v/>
      </c>
    </row>
    <row r="789">
      <c r="A789">
        <f>'1 datos preparados'!A782</f>
        <v/>
      </c>
      <c r="B789" s="5">
        <f>'1 datos preparados'!U782</f>
        <v/>
      </c>
      <c r="C789">
        <f>'1 datos preparados'!B782</f>
        <v/>
      </c>
      <c r="D789" s="7">
        <f>'1 datos preparados'!C782</f>
        <v/>
      </c>
      <c r="E789" s="7">
        <f>'1 datos preparados'!D782</f>
        <v/>
      </c>
      <c r="F789" s="7">
        <f>'1 datos preparados'!E782</f>
        <v/>
      </c>
      <c r="G789" s="7">
        <f>'1 datos preparados'!F782</f>
        <v/>
      </c>
      <c r="H789" s="7">
        <f>'1 datos preparados'!G782</f>
        <v/>
      </c>
      <c r="I789" s="7">
        <f>'1 datos preparados'!H782</f>
        <v/>
      </c>
      <c r="J789" s="7">
        <f>'1 datos preparados'!I782</f>
        <v/>
      </c>
      <c r="K789" s="7">
        <f>'1 datos preparados'!J782</f>
        <v/>
      </c>
      <c r="L789" s="7">
        <f>'1 datos preparados'!K782</f>
        <v/>
      </c>
      <c r="M789" s="7">
        <f>'1 datos preparados'!L782</f>
        <v/>
      </c>
      <c r="N789" s="7">
        <f>'1 datos preparados'!M782</f>
        <v/>
      </c>
      <c r="O789" s="7">
        <f>'1 datos preparados'!N782</f>
        <v/>
      </c>
      <c r="P789" s="7">
        <f>'1 datos preparados'!O782</f>
        <v/>
      </c>
      <c r="Q789" s="7">
        <f>'1 datos preparados'!P782</f>
        <v/>
      </c>
      <c r="R789" s="7">
        <f>'1 datos preparados'!Q782</f>
        <v/>
      </c>
      <c r="S789" s="7">
        <f>'1 datos preparados'!R782</f>
        <v/>
      </c>
      <c r="T789" s="7">
        <f>'1 datos preparados'!S782</f>
        <v/>
      </c>
      <c r="U789" s="7">
        <f>'1 datos preparados'!T782</f>
        <v/>
      </c>
      <c r="V789" s="8">
        <f>$AC$12+D789*$AC$13+E789*$AC$14+F789*$AC$15+G789*$AC$16+H789*$AC$17+I789*$AC$18+J789*$AC$19+K789*$AC$20+L789*$AC$21+M789*$AC$22+N789*$AC$23+O789*$AC$24+P789*$AC$25+Q789*$AC$26+R789*$AC$27+S789*$AC$28+T789*$AC$29+U789*$AC$30</f>
        <v/>
      </c>
      <c r="W789" s="8">
        <f>1/(1+EXP(-V789))</f>
        <v/>
      </c>
      <c r="X789" s="9">
        <f>-IF(C789=1,LN(W789),LN(1-W789))</f>
        <v/>
      </c>
      <c r="Y789" s="10">
        <f>IF(W789&gt;$AC$33,1,0)</f>
        <v/>
      </c>
      <c r="Z789">
        <f>IF(Y789=C789,1,0)</f>
        <v/>
      </c>
    </row>
    <row r="790">
      <c r="A790">
        <f>'1 datos preparados'!A783</f>
        <v/>
      </c>
      <c r="B790" s="5">
        <f>'1 datos preparados'!U783</f>
        <v/>
      </c>
      <c r="C790">
        <f>'1 datos preparados'!B783</f>
        <v/>
      </c>
      <c r="D790" s="7">
        <f>'1 datos preparados'!C783</f>
        <v/>
      </c>
      <c r="E790" s="7">
        <f>'1 datos preparados'!D783</f>
        <v/>
      </c>
      <c r="F790" s="7">
        <f>'1 datos preparados'!E783</f>
        <v/>
      </c>
      <c r="G790" s="7">
        <f>'1 datos preparados'!F783</f>
        <v/>
      </c>
      <c r="H790" s="7">
        <f>'1 datos preparados'!G783</f>
        <v/>
      </c>
      <c r="I790" s="7">
        <f>'1 datos preparados'!H783</f>
        <v/>
      </c>
      <c r="J790" s="7">
        <f>'1 datos preparados'!I783</f>
        <v/>
      </c>
      <c r="K790" s="7">
        <f>'1 datos preparados'!J783</f>
        <v/>
      </c>
      <c r="L790" s="7">
        <f>'1 datos preparados'!K783</f>
        <v/>
      </c>
      <c r="M790" s="7">
        <f>'1 datos preparados'!L783</f>
        <v/>
      </c>
      <c r="N790" s="7">
        <f>'1 datos preparados'!M783</f>
        <v/>
      </c>
      <c r="O790" s="7">
        <f>'1 datos preparados'!N783</f>
        <v/>
      </c>
      <c r="P790" s="7">
        <f>'1 datos preparados'!O783</f>
        <v/>
      </c>
      <c r="Q790" s="7">
        <f>'1 datos preparados'!P783</f>
        <v/>
      </c>
      <c r="R790" s="7">
        <f>'1 datos preparados'!Q783</f>
        <v/>
      </c>
      <c r="S790" s="7">
        <f>'1 datos preparados'!R783</f>
        <v/>
      </c>
      <c r="T790" s="7">
        <f>'1 datos preparados'!S783</f>
        <v/>
      </c>
      <c r="U790" s="7">
        <f>'1 datos preparados'!T783</f>
        <v/>
      </c>
      <c r="V790" s="8">
        <f>$AC$12+D790*$AC$13+E790*$AC$14+F790*$AC$15+G790*$AC$16+H790*$AC$17+I790*$AC$18+J790*$AC$19+K790*$AC$20+L790*$AC$21+M790*$AC$22+N790*$AC$23+O790*$AC$24+P790*$AC$25+Q790*$AC$26+R790*$AC$27+S790*$AC$28+T790*$AC$29+U790*$AC$30</f>
        <v/>
      </c>
      <c r="W790" s="8">
        <f>1/(1+EXP(-V790))</f>
        <v/>
      </c>
      <c r="X790" s="9">
        <f>-IF(C790=1,LN(W790),LN(1-W790))</f>
        <v/>
      </c>
      <c r="Y790" s="10">
        <f>IF(W790&gt;$AC$33,1,0)</f>
        <v/>
      </c>
      <c r="Z790">
        <f>IF(Y790=C790,1,0)</f>
        <v/>
      </c>
    </row>
    <row r="791">
      <c r="A791">
        <f>'1 datos preparados'!A784</f>
        <v/>
      </c>
      <c r="B791" s="5">
        <f>'1 datos preparados'!U784</f>
        <v/>
      </c>
      <c r="C791">
        <f>'1 datos preparados'!B784</f>
        <v/>
      </c>
      <c r="D791" s="7">
        <f>'1 datos preparados'!C784</f>
        <v/>
      </c>
      <c r="E791" s="7">
        <f>'1 datos preparados'!D784</f>
        <v/>
      </c>
      <c r="F791" s="7">
        <f>'1 datos preparados'!E784</f>
        <v/>
      </c>
      <c r="G791" s="7">
        <f>'1 datos preparados'!F784</f>
        <v/>
      </c>
      <c r="H791" s="7">
        <f>'1 datos preparados'!G784</f>
        <v/>
      </c>
      <c r="I791" s="7">
        <f>'1 datos preparados'!H784</f>
        <v/>
      </c>
      <c r="J791" s="7">
        <f>'1 datos preparados'!I784</f>
        <v/>
      </c>
      <c r="K791" s="7">
        <f>'1 datos preparados'!J784</f>
        <v/>
      </c>
      <c r="L791" s="7">
        <f>'1 datos preparados'!K784</f>
        <v/>
      </c>
      <c r="M791" s="7">
        <f>'1 datos preparados'!L784</f>
        <v/>
      </c>
      <c r="N791" s="7">
        <f>'1 datos preparados'!M784</f>
        <v/>
      </c>
      <c r="O791" s="7">
        <f>'1 datos preparados'!N784</f>
        <v/>
      </c>
      <c r="P791" s="7">
        <f>'1 datos preparados'!O784</f>
        <v/>
      </c>
      <c r="Q791" s="7">
        <f>'1 datos preparados'!P784</f>
        <v/>
      </c>
      <c r="R791" s="7">
        <f>'1 datos preparados'!Q784</f>
        <v/>
      </c>
      <c r="S791" s="7">
        <f>'1 datos preparados'!R784</f>
        <v/>
      </c>
      <c r="T791" s="7">
        <f>'1 datos preparados'!S784</f>
        <v/>
      </c>
      <c r="U791" s="7">
        <f>'1 datos preparados'!T784</f>
        <v/>
      </c>
      <c r="V791" s="8">
        <f>$AC$12+D791*$AC$13+E791*$AC$14+F791*$AC$15+G791*$AC$16+H791*$AC$17+I791*$AC$18+J791*$AC$19+K791*$AC$20+L791*$AC$21+M791*$AC$22+N791*$AC$23+O791*$AC$24+P791*$AC$25+Q791*$AC$26+R791*$AC$27+S791*$AC$28+T791*$AC$29+U791*$AC$30</f>
        <v/>
      </c>
      <c r="W791" s="8">
        <f>1/(1+EXP(-V791))</f>
        <v/>
      </c>
      <c r="X791" s="9">
        <f>-IF(C791=1,LN(W791),LN(1-W791))</f>
        <v/>
      </c>
      <c r="Y791" s="10">
        <f>IF(W791&gt;$AC$33,1,0)</f>
        <v/>
      </c>
      <c r="Z791">
        <f>IF(Y791=C791,1,0)</f>
        <v/>
      </c>
    </row>
    <row r="792">
      <c r="A792">
        <f>'1 datos preparados'!A785</f>
        <v/>
      </c>
      <c r="B792" s="5">
        <f>'1 datos preparados'!U785</f>
        <v/>
      </c>
      <c r="C792">
        <f>'1 datos preparados'!B785</f>
        <v/>
      </c>
      <c r="D792" s="7">
        <f>'1 datos preparados'!C785</f>
        <v/>
      </c>
      <c r="E792" s="7">
        <f>'1 datos preparados'!D785</f>
        <v/>
      </c>
      <c r="F792" s="7">
        <f>'1 datos preparados'!E785</f>
        <v/>
      </c>
      <c r="G792" s="7">
        <f>'1 datos preparados'!F785</f>
        <v/>
      </c>
      <c r="H792" s="7">
        <f>'1 datos preparados'!G785</f>
        <v/>
      </c>
      <c r="I792" s="7">
        <f>'1 datos preparados'!H785</f>
        <v/>
      </c>
      <c r="J792" s="7">
        <f>'1 datos preparados'!I785</f>
        <v/>
      </c>
      <c r="K792" s="7">
        <f>'1 datos preparados'!J785</f>
        <v/>
      </c>
      <c r="L792" s="7">
        <f>'1 datos preparados'!K785</f>
        <v/>
      </c>
      <c r="M792" s="7">
        <f>'1 datos preparados'!L785</f>
        <v/>
      </c>
      <c r="N792" s="7">
        <f>'1 datos preparados'!M785</f>
        <v/>
      </c>
      <c r="O792" s="7">
        <f>'1 datos preparados'!N785</f>
        <v/>
      </c>
      <c r="P792" s="7">
        <f>'1 datos preparados'!O785</f>
        <v/>
      </c>
      <c r="Q792" s="7">
        <f>'1 datos preparados'!P785</f>
        <v/>
      </c>
      <c r="R792" s="7">
        <f>'1 datos preparados'!Q785</f>
        <v/>
      </c>
      <c r="S792" s="7">
        <f>'1 datos preparados'!R785</f>
        <v/>
      </c>
      <c r="T792" s="7">
        <f>'1 datos preparados'!S785</f>
        <v/>
      </c>
      <c r="U792" s="7">
        <f>'1 datos preparados'!T785</f>
        <v/>
      </c>
      <c r="V792" s="8">
        <f>$AC$12+D792*$AC$13+E792*$AC$14+F792*$AC$15+G792*$AC$16+H792*$AC$17+I792*$AC$18+J792*$AC$19+K792*$AC$20+L792*$AC$21+M792*$AC$22+N792*$AC$23+O792*$AC$24+P792*$AC$25+Q792*$AC$26+R792*$AC$27+S792*$AC$28+T792*$AC$29+U792*$AC$30</f>
        <v/>
      </c>
      <c r="W792" s="8">
        <f>1/(1+EXP(-V792))</f>
        <v/>
      </c>
      <c r="X792" s="9">
        <f>-IF(C792=1,LN(W792),LN(1-W792))</f>
        <v/>
      </c>
      <c r="Y792" s="10">
        <f>IF(W792&gt;$AC$33,1,0)</f>
        <v/>
      </c>
      <c r="Z792">
        <f>IF(Y792=C792,1,0)</f>
        <v/>
      </c>
    </row>
    <row r="793">
      <c r="A793">
        <f>'1 datos preparados'!A786</f>
        <v/>
      </c>
      <c r="B793" s="5">
        <f>'1 datos preparados'!U786</f>
        <v/>
      </c>
      <c r="C793">
        <f>'1 datos preparados'!B786</f>
        <v/>
      </c>
      <c r="D793" s="7">
        <f>'1 datos preparados'!C786</f>
        <v/>
      </c>
      <c r="E793" s="7">
        <f>'1 datos preparados'!D786</f>
        <v/>
      </c>
      <c r="F793" s="7">
        <f>'1 datos preparados'!E786</f>
        <v/>
      </c>
      <c r="G793" s="7">
        <f>'1 datos preparados'!F786</f>
        <v/>
      </c>
      <c r="H793" s="7">
        <f>'1 datos preparados'!G786</f>
        <v/>
      </c>
      <c r="I793" s="7">
        <f>'1 datos preparados'!H786</f>
        <v/>
      </c>
      <c r="J793" s="7">
        <f>'1 datos preparados'!I786</f>
        <v/>
      </c>
      <c r="K793" s="7">
        <f>'1 datos preparados'!J786</f>
        <v/>
      </c>
      <c r="L793" s="7">
        <f>'1 datos preparados'!K786</f>
        <v/>
      </c>
      <c r="M793" s="7">
        <f>'1 datos preparados'!L786</f>
        <v/>
      </c>
      <c r="N793" s="7">
        <f>'1 datos preparados'!M786</f>
        <v/>
      </c>
      <c r="O793" s="7">
        <f>'1 datos preparados'!N786</f>
        <v/>
      </c>
      <c r="P793" s="7">
        <f>'1 datos preparados'!O786</f>
        <v/>
      </c>
      <c r="Q793" s="7">
        <f>'1 datos preparados'!P786</f>
        <v/>
      </c>
      <c r="R793" s="7">
        <f>'1 datos preparados'!Q786</f>
        <v/>
      </c>
      <c r="S793" s="7">
        <f>'1 datos preparados'!R786</f>
        <v/>
      </c>
      <c r="T793" s="7">
        <f>'1 datos preparados'!S786</f>
        <v/>
      </c>
      <c r="U793" s="7">
        <f>'1 datos preparados'!T786</f>
        <v/>
      </c>
      <c r="V793" s="8">
        <f>$AC$12+D793*$AC$13+E793*$AC$14+F793*$AC$15+G793*$AC$16+H793*$AC$17+I793*$AC$18+J793*$AC$19+K793*$AC$20+L793*$AC$21+M793*$AC$22+N793*$AC$23+O793*$AC$24+P793*$AC$25+Q793*$AC$26+R793*$AC$27+S793*$AC$28+T793*$AC$29+U793*$AC$30</f>
        <v/>
      </c>
      <c r="W793" s="8">
        <f>1/(1+EXP(-V793))</f>
        <v/>
      </c>
      <c r="X793" s="9">
        <f>-IF(C793=1,LN(W793),LN(1-W793))</f>
        <v/>
      </c>
      <c r="Y793" s="10">
        <f>IF(W793&gt;$AC$33,1,0)</f>
        <v/>
      </c>
      <c r="Z793">
        <f>IF(Y793=C793,1,0)</f>
        <v/>
      </c>
    </row>
    <row r="794">
      <c r="A794">
        <f>'1 datos preparados'!A787</f>
        <v/>
      </c>
      <c r="B794" s="5">
        <f>'1 datos preparados'!U787</f>
        <v/>
      </c>
      <c r="C794">
        <f>'1 datos preparados'!B787</f>
        <v/>
      </c>
      <c r="D794" s="7">
        <f>'1 datos preparados'!C787</f>
        <v/>
      </c>
      <c r="E794" s="7">
        <f>'1 datos preparados'!D787</f>
        <v/>
      </c>
      <c r="F794" s="7">
        <f>'1 datos preparados'!E787</f>
        <v/>
      </c>
      <c r="G794" s="7">
        <f>'1 datos preparados'!F787</f>
        <v/>
      </c>
      <c r="H794" s="7">
        <f>'1 datos preparados'!G787</f>
        <v/>
      </c>
      <c r="I794" s="7">
        <f>'1 datos preparados'!H787</f>
        <v/>
      </c>
      <c r="J794" s="7">
        <f>'1 datos preparados'!I787</f>
        <v/>
      </c>
      <c r="K794" s="7">
        <f>'1 datos preparados'!J787</f>
        <v/>
      </c>
      <c r="L794" s="7">
        <f>'1 datos preparados'!K787</f>
        <v/>
      </c>
      <c r="M794" s="7">
        <f>'1 datos preparados'!L787</f>
        <v/>
      </c>
      <c r="N794" s="7">
        <f>'1 datos preparados'!M787</f>
        <v/>
      </c>
      <c r="O794" s="7">
        <f>'1 datos preparados'!N787</f>
        <v/>
      </c>
      <c r="P794" s="7">
        <f>'1 datos preparados'!O787</f>
        <v/>
      </c>
      <c r="Q794" s="7">
        <f>'1 datos preparados'!P787</f>
        <v/>
      </c>
      <c r="R794" s="7">
        <f>'1 datos preparados'!Q787</f>
        <v/>
      </c>
      <c r="S794" s="7">
        <f>'1 datos preparados'!R787</f>
        <v/>
      </c>
      <c r="T794" s="7">
        <f>'1 datos preparados'!S787</f>
        <v/>
      </c>
      <c r="U794" s="7">
        <f>'1 datos preparados'!T787</f>
        <v/>
      </c>
      <c r="V794" s="8">
        <f>$AC$12+D794*$AC$13+E794*$AC$14+F794*$AC$15+G794*$AC$16+H794*$AC$17+I794*$AC$18+J794*$AC$19+K794*$AC$20+L794*$AC$21+M794*$AC$22+N794*$AC$23+O794*$AC$24+P794*$AC$25+Q794*$AC$26+R794*$AC$27+S794*$AC$28+T794*$AC$29+U794*$AC$30</f>
        <v/>
      </c>
      <c r="W794" s="8">
        <f>1/(1+EXP(-V794))</f>
        <v/>
      </c>
      <c r="X794" s="9">
        <f>-IF(C794=1,LN(W794),LN(1-W794))</f>
        <v/>
      </c>
      <c r="Y794" s="10">
        <f>IF(W794&gt;$AC$33,1,0)</f>
        <v/>
      </c>
      <c r="Z794">
        <f>IF(Y794=C794,1,0)</f>
        <v/>
      </c>
    </row>
    <row r="795">
      <c r="A795">
        <f>'1 datos preparados'!A788</f>
        <v/>
      </c>
      <c r="B795" s="5">
        <f>'1 datos preparados'!U788</f>
        <v/>
      </c>
      <c r="C795">
        <f>'1 datos preparados'!B788</f>
        <v/>
      </c>
      <c r="D795" s="7">
        <f>'1 datos preparados'!C788</f>
        <v/>
      </c>
      <c r="E795" s="7">
        <f>'1 datos preparados'!D788</f>
        <v/>
      </c>
      <c r="F795" s="7">
        <f>'1 datos preparados'!E788</f>
        <v/>
      </c>
      <c r="G795" s="7">
        <f>'1 datos preparados'!F788</f>
        <v/>
      </c>
      <c r="H795" s="7">
        <f>'1 datos preparados'!G788</f>
        <v/>
      </c>
      <c r="I795" s="7">
        <f>'1 datos preparados'!H788</f>
        <v/>
      </c>
      <c r="J795" s="7">
        <f>'1 datos preparados'!I788</f>
        <v/>
      </c>
      <c r="K795" s="7">
        <f>'1 datos preparados'!J788</f>
        <v/>
      </c>
      <c r="L795" s="7">
        <f>'1 datos preparados'!K788</f>
        <v/>
      </c>
      <c r="M795" s="7">
        <f>'1 datos preparados'!L788</f>
        <v/>
      </c>
      <c r="N795" s="7">
        <f>'1 datos preparados'!M788</f>
        <v/>
      </c>
      <c r="O795" s="7">
        <f>'1 datos preparados'!N788</f>
        <v/>
      </c>
      <c r="P795" s="7">
        <f>'1 datos preparados'!O788</f>
        <v/>
      </c>
      <c r="Q795" s="7">
        <f>'1 datos preparados'!P788</f>
        <v/>
      </c>
      <c r="R795" s="7">
        <f>'1 datos preparados'!Q788</f>
        <v/>
      </c>
      <c r="S795" s="7">
        <f>'1 datos preparados'!R788</f>
        <v/>
      </c>
      <c r="T795" s="7">
        <f>'1 datos preparados'!S788</f>
        <v/>
      </c>
      <c r="U795" s="7">
        <f>'1 datos preparados'!T788</f>
        <v/>
      </c>
      <c r="V795" s="8">
        <f>$AC$12+D795*$AC$13+E795*$AC$14+F795*$AC$15+G795*$AC$16+H795*$AC$17+I795*$AC$18+J795*$AC$19+K795*$AC$20+L795*$AC$21+M795*$AC$22+N795*$AC$23+O795*$AC$24+P795*$AC$25+Q795*$AC$26+R795*$AC$27+S795*$AC$28+T795*$AC$29+U795*$AC$30</f>
        <v/>
      </c>
      <c r="W795" s="8">
        <f>1/(1+EXP(-V795))</f>
        <v/>
      </c>
      <c r="X795" s="9">
        <f>-IF(C795=1,LN(W795),LN(1-W795))</f>
        <v/>
      </c>
      <c r="Y795" s="10">
        <f>IF(W795&gt;$AC$33,1,0)</f>
        <v/>
      </c>
      <c r="Z795">
        <f>IF(Y795=C795,1,0)</f>
        <v/>
      </c>
    </row>
    <row r="796">
      <c r="A796">
        <f>'1 datos preparados'!A789</f>
        <v/>
      </c>
      <c r="B796" s="5">
        <f>'1 datos preparados'!U789</f>
        <v/>
      </c>
      <c r="C796">
        <f>'1 datos preparados'!B789</f>
        <v/>
      </c>
      <c r="D796" s="7">
        <f>'1 datos preparados'!C789</f>
        <v/>
      </c>
      <c r="E796" s="7">
        <f>'1 datos preparados'!D789</f>
        <v/>
      </c>
      <c r="F796" s="7">
        <f>'1 datos preparados'!E789</f>
        <v/>
      </c>
      <c r="G796" s="7">
        <f>'1 datos preparados'!F789</f>
        <v/>
      </c>
      <c r="H796" s="7">
        <f>'1 datos preparados'!G789</f>
        <v/>
      </c>
      <c r="I796" s="7">
        <f>'1 datos preparados'!H789</f>
        <v/>
      </c>
      <c r="J796" s="7">
        <f>'1 datos preparados'!I789</f>
        <v/>
      </c>
      <c r="K796" s="7">
        <f>'1 datos preparados'!J789</f>
        <v/>
      </c>
      <c r="L796" s="7">
        <f>'1 datos preparados'!K789</f>
        <v/>
      </c>
      <c r="M796" s="7">
        <f>'1 datos preparados'!L789</f>
        <v/>
      </c>
      <c r="N796" s="7">
        <f>'1 datos preparados'!M789</f>
        <v/>
      </c>
      <c r="O796" s="7">
        <f>'1 datos preparados'!N789</f>
        <v/>
      </c>
      <c r="P796" s="7">
        <f>'1 datos preparados'!O789</f>
        <v/>
      </c>
      <c r="Q796" s="7">
        <f>'1 datos preparados'!P789</f>
        <v/>
      </c>
      <c r="R796" s="7">
        <f>'1 datos preparados'!Q789</f>
        <v/>
      </c>
      <c r="S796" s="7">
        <f>'1 datos preparados'!R789</f>
        <v/>
      </c>
      <c r="T796" s="7">
        <f>'1 datos preparados'!S789</f>
        <v/>
      </c>
      <c r="U796" s="7">
        <f>'1 datos preparados'!T789</f>
        <v/>
      </c>
      <c r="V796" s="8">
        <f>$AC$12+D796*$AC$13+E796*$AC$14+F796*$AC$15+G796*$AC$16+H796*$AC$17+I796*$AC$18+J796*$AC$19+K796*$AC$20+L796*$AC$21+M796*$AC$22+N796*$AC$23+O796*$AC$24+P796*$AC$25+Q796*$AC$26+R796*$AC$27+S796*$AC$28+T796*$AC$29+U796*$AC$30</f>
        <v/>
      </c>
      <c r="W796" s="8">
        <f>1/(1+EXP(-V796))</f>
        <v/>
      </c>
      <c r="X796" s="9">
        <f>-IF(C796=1,LN(W796),LN(1-W796))</f>
        <v/>
      </c>
      <c r="Y796" s="10">
        <f>IF(W796&gt;$AC$33,1,0)</f>
        <v/>
      </c>
      <c r="Z796">
        <f>IF(Y796=C796,1,0)</f>
        <v/>
      </c>
    </row>
    <row r="797">
      <c r="A797">
        <f>'1 datos preparados'!A790</f>
        <v/>
      </c>
      <c r="B797" s="5">
        <f>'1 datos preparados'!U790</f>
        <v/>
      </c>
      <c r="C797">
        <f>'1 datos preparados'!B790</f>
        <v/>
      </c>
      <c r="D797" s="7">
        <f>'1 datos preparados'!C790</f>
        <v/>
      </c>
      <c r="E797" s="7">
        <f>'1 datos preparados'!D790</f>
        <v/>
      </c>
      <c r="F797" s="7">
        <f>'1 datos preparados'!E790</f>
        <v/>
      </c>
      <c r="G797" s="7">
        <f>'1 datos preparados'!F790</f>
        <v/>
      </c>
      <c r="H797" s="7">
        <f>'1 datos preparados'!G790</f>
        <v/>
      </c>
      <c r="I797" s="7">
        <f>'1 datos preparados'!H790</f>
        <v/>
      </c>
      <c r="J797" s="7">
        <f>'1 datos preparados'!I790</f>
        <v/>
      </c>
      <c r="K797" s="7">
        <f>'1 datos preparados'!J790</f>
        <v/>
      </c>
      <c r="L797" s="7">
        <f>'1 datos preparados'!K790</f>
        <v/>
      </c>
      <c r="M797" s="7">
        <f>'1 datos preparados'!L790</f>
        <v/>
      </c>
      <c r="N797" s="7">
        <f>'1 datos preparados'!M790</f>
        <v/>
      </c>
      <c r="O797" s="7">
        <f>'1 datos preparados'!N790</f>
        <v/>
      </c>
      <c r="P797" s="7">
        <f>'1 datos preparados'!O790</f>
        <v/>
      </c>
      <c r="Q797" s="7">
        <f>'1 datos preparados'!P790</f>
        <v/>
      </c>
      <c r="R797" s="7">
        <f>'1 datos preparados'!Q790</f>
        <v/>
      </c>
      <c r="S797" s="7">
        <f>'1 datos preparados'!R790</f>
        <v/>
      </c>
      <c r="T797" s="7">
        <f>'1 datos preparados'!S790</f>
        <v/>
      </c>
      <c r="U797" s="7">
        <f>'1 datos preparados'!T790</f>
        <v/>
      </c>
      <c r="V797" s="8">
        <f>$AC$12+D797*$AC$13+E797*$AC$14+F797*$AC$15+G797*$AC$16+H797*$AC$17+I797*$AC$18+J797*$AC$19+K797*$AC$20+L797*$AC$21+M797*$AC$22+N797*$AC$23+O797*$AC$24+P797*$AC$25+Q797*$AC$26+R797*$AC$27+S797*$AC$28+T797*$AC$29+U797*$AC$30</f>
        <v/>
      </c>
      <c r="W797" s="8">
        <f>1/(1+EXP(-V797))</f>
        <v/>
      </c>
      <c r="X797" s="9">
        <f>-IF(C797=1,LN(W797),LN(1-W797))</f>
        <v/>
      </c>
      <c r="Y797" s="10">
        <f>IF(W797&gt;$AC$33,1,0)</f>
        <v/>
      </c>
      <c r="Z797">
        <f>IF(Y797=C797,1,0)</f>
        <v/>
      </c>
    </row>
    <row r="798">
      <c r="A798">
        <f>'1 datos preparados'!A791</f>
        <v/>
      </c>
      <c r="B798" s="5">
        <f>'1 datos preparados'!U791</f>
        <v/>
      </c>
      <c r="C798">
        <f>'1 datos preparados'!B791</f>
        <v/>
      </c>
      <c r="D798" s="7">
        <f>'1 datos preparados'!C791</f>
        <v/>
      </c>
      <c r="E798" s="7">
        <f>'1 datos preparados'!D791</f>
        <v/>
      </c>
      <c r="F798" s="7">
        <f>'1 datos preparados'!E791</f>
        <v/>
      </c>
      <c r="G798" s="7">
        <f>'1 datos preparados'!F791</f>
        <v/>
      </c>
      <c r="H798" s="7">
        <f>'1 datos preparados'!G791</f>
        <v/>
      </c>
      <c r="I798" s="7">
        <f>'1 datos preparados'!H791</f>
        <v/>
      </c>
      <c r="J798" s="7">
        <f>'1 datos preparados'!I791</f>
        <v/>
      </c>
      <c r="K798" s="7">
        <f>'1 datos preparados'!J791</f>
        <v/>
      </c>
      <c r="L798" s="7">
        <f>'1 datos preparados'!K791</f>
        <v/>
      </c>
      <c r="M798" s="7">
        <f>'1 datos preparados'!L791</f>
        <v/>
      </c>
      <c r="N798" s="7">
        <f>'1 datos preparados'!M791</f>
        <v/>
      </c>
      <c r="O798" s="7">
        <f>'1 datos preparados'!N791</f>
        <v/>
      </c>
      <c r="P798" s="7">
        <f>'1 datos preparados'!O791</f>
        <v/>
      </c>
      <c r="Q798" s="7">
        <f>'1 datos preparados'!P791</f>
        <v/>
      </c>
      <c r="R798" s="7">
        <f>'1 datos preparados'!Q791</f>
        <v/>
      </c>
      <c r="S798" s="7">
        <f>'1 datos preparados'!R791</f>
        <v/>
      </c>
      <c r="T798" s="7">
        <f>'1 datos preparados'!S791</f>
        <v/>
      </c>
      <c r="U798" s="7">
        <f>'1 datos preparados'!T791</f>
        <v/>
      </c>
      <c r="V798" s="8">
        <f>$AC$12+D798*$AC$13+E798*$AC$14+F798*$AC$15+G798*$AC$16+H798*$AC$17+I798*$AC$18+J798*$AC$19+K798*$AC$20+L798*$AC$21+M798*$AC$22+N798*$AC$23+O798*$AC$24+P798*$AC$25+Q798*$AC$26+R798*$AC$27+S798*$AC$28+T798*$AC$29+U798*$AC$30</f>
        <v/>
      </c>
      <c r="W798" s="8">
        <f>1/(1+EXP(-V798))</f>
        <v/>
      </c>
      <c r="X798" s="9">
        <f>-IF(C798=1,LN(W798),LN(1-W798))</f>
        <v/>
      </c>
      <c r="Y798" s="10">
        <f>IF(W798&gt;$AC$33,1,0)</f>
        <v/>
      </c>
      <c r="Z798">
        <f>IF(Y798=C798,1,0)</f>
        <v/>
      </c>
    </row>
    <row r="799">
      <c r="A799">
        <f>'1 datos preparados'!A792</f>
        <v/>
      </c>
      <c r="B799" s="5">
        <f>'1 datos preparados'!U792</f>
        <v/>
      </c>
      <c r="C799">
        <f>'1 datos preparados'!B792</f>
        <v/>
      </c>
      <c r="D799" s="7">
        <f>'1 datos preparados'!C792</f>
        <v/>
      </c>
      <c r="E799" s="7">
        <f>'1 datos preparados'!D792</f>
        <v/>
      </c>
      <c r="F799" s="7">
        <f>'1 datos preparados'!E792</f>
        <v/>
      </c>
      <c r="G799" s="7">
        <f>'1 datos preparados'!F792</f>
        <v/>
      </c>
      <c r="H799" s="7">
        <f>'1 datos preparados'!G792</f>
        <v/>
      </c>
      <c r="I799" s="7">
        <f>'1 datos preparados'!H792</f>
        <v/>
      </c>
      <c r="J799" s="7">
        <f>'1 datos preparados'!I792</f>
        <v/>
      </c>
      <c r="K799" s="7">
        <f>'1 datos preparados'!J792</f>
        <v/>
      </c>
      <c r="L799" s="7">
        <f>'1 datos preparados'!K792</f>
        <v/>
      </c>
      <c r="M799" s="7">
        <f>'1 datos preparados'!L792</f>
        <v/>
      </c>
      <c r="N799" s="7">
        <f>'1 datos preparados'!M792</f>
        <v/>
      </c>
      <c r="O799" s="7">
        <f>'1 datos preparados'!N792</f>
        <v/>
      </c>
      <c r="P799" s="7">
        <f>'1 datos preparados'!O792</f>
        <v/>
      </c>
      <c r="Q799" s="7">
        <f>'1 datos preparados'!P792</f>
        <v/>
      </c>
      <c r="R799" s="7">
        <f>'1 datos preparados'!Q792</f>
        <v/>
      </c>
      <c r="S799" s="7">
        <f>'1 datos preparados'!R792</f>
        <v/>
      </c>
      <c r="T799" s="7">
        <f>'1 datos preparados'!S792</f>
        <v/>
      </c>
      <c r="U799" s="7">
        <f>'1 datos preparados'!T792</f>
        <v/>
      </c>
      <c r="V799" s="8">
        <f>$AC$12+D799*$AC$13+E799*$AC$14+F799*$AC$15+G799*$AC$16+H799*$AC$17+I799*$AC$18+J799*$AC$19+K799*$AC$20+L799*$AC$21+M799*$AC$22+N799*$AC$23+O799*$AC$24+P799*$AC$25+Q799*$AC$26+R799*$AC$27+S799*$AC$28+T799*$AC$29+U799*$AC$30</f>
        <v/>
      </c>
      <c r="W799" s="8">
        <f>1/(1+EXP(-V799))</f>
        <v/>
      </c>
      <c r="X799" s="9">
        <f>-IF(C799=1,LN(W799),LN(1-W799))</f>
        <v/>
      </c>
      <c r="Y799" s="10">
        <f>IF(W799&gt;$AC$33,1,0)</f>
        <v/>
      </c>
      <c r="Z799">
        <f>IF(Y799=C799,1,0)</f>
        <v/>
      </c>
    </row>
    <row r="800">
      <c r="A800">
        <f>'1 datos preparados'!A793</f>
        <v/>
      </c>
      <c r="B800" s="5">
        <f>'1 datos preparados'!U793</f>
        <v/>
      </c>
      <c r="C800">
        <f>'1 datos preparados'!B793</f>
        <v/>
      </c>
      <c r="D800" s="7">
        <f>'1 datos preparados'!C793</f>
        <v/>
      </c>
      <c r="E800" s="7">
        <f>'1 datos preparados'!D793</f>
        <v/>
      </c>
      <c r="F800" s="7">
        <f>'1 datos preparados'!E793</f>
        <v/>
      </c>
      <c r="G800" s="7">
        <f>'1 datos preparados'!F793</f>
        <v/>
      </c>
      <c r="H800" s="7">
        <f>'1 datos preparados'!G793</f>
        <v/>
      </c>
      <c r="I800" s="7">
        <f>'1 datos preparados'!H793</f>
        <v/>
      </c>
      <c r="J800" s="7">
        <f>'1 datos preparados'!I793</f>
        <v/>
      </c>
      <c r="K800" s="7">
        <f>'1 datos preparados'!J793</f>
        <v/>
      </c>
      <c r="L800" s="7">
        <f>'1 datos preparados'!K793</f>
        <v/>
      </c>
      <c r="M800" s="7">
        <f>'1 datos preparados'!L793</f>
        <v/>
      </c>
      <c r="N800" s="7">
        <f>'1 datos preparados'!M793</f>
        <v/>
      </c>
      <c r="O800" s="7">
        <f>'1 datos preparados'!N793</f>
        <v/>
      </c>
      <c r="P800" s="7">
        <f>'1 datos preparados'!O793</f>
        <v/>
      </c>
      <c r="Q800" s="7">
        <f>'1 datos preparados'!P793</f>
        <v/>
      </c>
      <c r="R800" s="7">
        <f>'1 datos preparados'!Q793</f>
        <v/>
      </c>
      <c r="S800" s="7">
        <f>'1 datos preparados'!R793</f>
        <v/>
      </c>
      <c r="T800" s="7">
        <f>'1 datos preparados'!S793</f>
        <v/>
      </c>
      <c r="U800" s="7">
        <f>'1 datos preparados'!T793</f>
        <v/>
      </c>
      <c r="V800" s="8">
        <f>$AC$12+D800*$AC$13+E800*$AC$14+F800*$AC$15+G800*$AC$16+H800*$AC$17+I800*$AC$18+J800*$AC$19+K800*$AC$20+L800*$AC$21+M800*$AC$22+N800*$AC$23+O800*$AC$24+P800*$AC$25+Q800*$AC$26+R800*$AC$27+S800*$AC$28+T800*$AC$29+U800*$AC$30</f>
        <v/>
      </c>
      <c r="W800" s="8">
        <f>1/(1+EXP(-V800))</f>
        <v/>
      </c>
      <c r="X800" s="9">
        <f>-IF(C800=1,LN(W800),LN(1-W800))</f>
        <v/>
      </c>
      <c r="Y800" s="10">
        <f>IF(W800&gt;$AC$33,1,0)</f>
        <v/>
      </c>
      <c r="Z800">
        <f>IF(Y800=C800,1,0)</f>
        <v/>
      </c>
    </row>
    <row r="801">
      <c r="A801">
        <f>'1 datos preparados'!A794</f>
        <v/>
      </c>
      <c r="B801" s="5">
        <f>'1 datos preparados'!U794</f>
        <v/>
      </c>
      <c r="C801">
        <f>'1 datos preparados'!B794</f>
        <v/>
      </c>
      <c r="D801" s="7">
        <f>'1 datos preparados'!C794</f>
        <v/>
      </c>
      <c r="E801" s="7">
        <f>'1 datos preparados'!D794</f>
        <v/>
      </c>
      <c r="F801" s="7">
        <f>'1 datos preparados'!E794</f>
        <v/>
      </c>
      <c r="G801" s="7">
        <f>'1 datos preparados'!F794</f>
        <v/>
      </c>
      <c r="H801" s="7">
        <f>'1 datos preparados'!G794</f>
        <v/>
      </c>
      <c r="I801" s="7">
        <f>'1 datos preparados'!H794</f>
        <v/>
      </c>
      <c r="J801" s="7">
        <f>'1 datos preparados'!I794</f>
        <v/>
      </c>
      <c r="K801" s="7">
        <f>'1 datos preparados'!J794</f>
        <v/>
      </c>
      <c r="L801" s="7">
        <f>'1 datos preparados'!K794</f>
        <v/>
      </c>
      <c r="M801" s="7">
        <f>'1 datos preparados'!L794</f>
        <v/>
      </c>
      <c r="N801" s="7">
        <f>'1 datos preparados'!M794</f>
        <v/>
      </c>
      <c r="O801" s="7">
        <f>'1 datos preparados'!N794</f>
        <v/>
      </c>
      <c r="P801" s="7">
        <f>'1 datos preparados'!O794</f>
        <v/>
      </c>
      <c r="Q801" s="7">
        <f>'1 datos preparados'!P794</f>
        <v/>
      </c>
      <c r="R801" s="7">
        <f>'1 datos preparados'!Q794</f>
        <v/>
      </c>
      <c r="S801" s="7">
        <f>'1 datos preparados'!R794</f>
        <v/>
      </c>
      <c r="T801" s="7">
        <f>'1 datos preparados'!S794</f>
        <v/>
      </c>
      <c r="U801" s="7">
        <f>'1 datos preparados'!T794</f>
        <v/>
      </c>
      <c r="V801" s="8">
        <f>$AC$12+D801*$AC$13+E801*$AC$14+F801*$AC$15+G801*$AC$16+H801*$AC$17+I801*$AC$18+J801*$AC$19+K801*$AC$20+L801*$AC$21+M801*$AC$22+N801*$AC$23+O801*$AC$24+P801*$AC$25+Q801*$AC$26+R801*$AC$27+S801*$AC$28+T801*$AC$29+U801*$AC$30</f>
        <v/>
      </c>
      <c r="W801" s="8">
        <f>1/(1+EXP(-V801))</f>
        <v/>
      </c>
      <c r="X801" s="9">
        <f>-IF(C801=1,LN(W801),LN(1-W801))</f>
        <v/>
      </c>
      <c r="Y801" s="10">
        <f>IF(W801&gt;$AC$33,1,0)</f>
        <v/>
      </c>
      <c r="Z801">
        <f>IF(Y801=C801,1,0)</f>
        <v/>
      </c>
    </row>
    <row r="802">
      <c r="A802">
        <f>'1 datos preparados'!A795</f>
        <v/>
      </c>
      <c r="B802" s="5">
        <f>'1 datos preparados'!U795</f>
        <v/>
      </c>
      <c r="C802">
        <f>'1 datos preparados'!B795</f>
        <v/>
      </c>
      <c r="D802" s="7">
        <f>'1 datos preparados'!C795</f>
        <v/>
      </c>
      <c r="E802" s="7">
        <f>'1 datos preparados'!D795</f>
        <v/>
      </c>
      <c r="F802" s="7">
        <f>'1 datos preparados'!E795</f>
        <v/>
      </c>
      <c r="G802" s="7">
        <f>'1 datos preparados'!F795</f>
        <v/>
      </c>
      <c r="H802" s="7">
        <f>'1 datos preparados'!G795</f>
        <v/>
      </c>
      <c r="I802" s="7">
        <f>'1 datos preparados'!H795</f>
        <v/>
      </c>
      <c r="J802" s="7">
        <f>'1 datos preparados'!I795</f>
        <v/>
      </c>
      <c r="K802" s="7">
        <f>'1 datos preparados'!J795</f>
        <v/>
      </c>
      <c r="L802" s="7">
        <f>'1 datos preparados'!K795</f>
        <v/>
      </c>
      <c r="M802" s="7">
        <f>'1 datos preparados'!L795</f>
        <v/>
      </c>
      <c r="N802" s="7">
        <f>'1 datos preparados'!M795</f>
        <v/>
      </c>
      <c r="O802" s="7">
        <f>'1 datos preparados'!N795</f>
        <v/>
      </c>
      <c r="P802" s="7">
        <f>'1 datos preparados'!O795</f>
        <v/>
      </c>
      <c r="Q802" s="7">
        <f>'1 datos preparados'!P795</f>
        <v/>
      </c>
      <c r="R802" s="7">
        <f>'1 datos preparados'!Q795</f>
        <v/>
      </c>
      <c r="S802" s="7">
        <f>'1 datos preparados'!R795</f>
        <v/>
      </c>
      <c r="T802" s="7">
        <f>'1 datos preparados'!S795</f>
        <v/>
      </c>
      <c r="U802" s="7">
        <f>'1 datos preparados'!T795</f>
        <v/>
      </c>
      <c r="V802" s="8">
        <f>$AC$12+D802*$AC$13+E802*$AC$14+F802*$AC$15+G802*$AC$16+H802*$AC$17+I802*$AC$18+J802*$AC$19+K802*$AC$20+L802*$AC$21+M802*$AC$22+N802*$AC$23+O802*$AC$24+P802*$AC$25+Q802*$AC$26+R802*$AC$27+S802*$AC$28+T802*$AC$29+U802*$AC$30</f>
        <v/>
      </c>
      <c r="W802" s="8">
        <f>1/(1+EXP(-V802))</f>
        <v/>
      </c>
      <c r="X802" s="9">
        <f>-IF(C802=1,LN(W802),LN(1-W802))</f>
        <v/>
      </c>
      <c r="Y802" s="10">
        <f>IF(W802&gt;$AC$33,1,0)</f>
        <v/>
      </c>
      <c r="Z802">
        <f>IF(Y802=C802,1,0)</f>
        <v/>
      </c>
    </row>
    <row r="803">
      <c r="A803">
        <f>'1 datos preparados'!A796</f>
        <v/>
      </c>
      <c r="B803" s="5">
        <f>'1 datos preparados'!U796</f>
        <v/>
      </c>
      <c r="C803">
        <f>'1 datos preparados'!B796</f>
        <v/>
      </c>
      <c r="D803" s="7">
        <f>'1 datos preparados'!C796</f>
        <v/>
      </c>
      <c r="E803" s="7">
        <f>'1 datos preparados'!D796</f>
        <v/>
      </c>
      <c r="F803" s="7">
        <f>'1 datos preparados'!E796</f>
        <v/>
      </c>
      <c r="G803" s="7">
        <f>'1 datos preparados'!F796</f>
        <v/>
      </c>
      <c r="H803" s="7">
        <f>'1 datos preparados'!G796</f>
        <v/>
      </c>
      <c r="I803" s="7">
        <f>'1 datos preparados'!H796</f>
        <v/>
      </c>
      <c r="J803" s="7">
        <f>'1 datos preparados'!I796</f>
        <v/>
      </c>
      <c r="K803" s="7">
        <f>'1 datos preparados'!J796</f>
        <v/>
      </c>
      <c r="L803" s="7">
        <f>'1 datos preparados'!K796</f>
        <v/>
      </c>
      <c r="M803" s="7">
        <f>'1 datos preparados'!L796</f>
        <v/>
      </c>
      <c r="N803" s="7">
        <f>'1 datos preparados'!M796</f>
        <v/>
      </c>
      <c r="O803" s="7">
        <f>'1 datos preparados'!N796</f>
        <v/>
      </c>
      <c r="P803" s="7">
        <f>'1 datos preparados'!O796</f>
        <v/>
      </c>
      <c r="Q803" s="7">
        <f>'1 datos preparados'!P796</f>
        <v/>
      </c>
      <c r="R803" s="7">
        <f>'1 datos preparados'!Q796</f>
        <v/>
      </c>
      <c r="S803" s="7">
        <f>'1 datos preparados'!R796</f>
        <v/>
      </c>
      <c r="T803" s="7">
        <f>'1 datos preparados'!S796</f>
        <v/>
      </c>
      <c r="U803" s="7">
        <f>'1 datos preparados'!T796</f>
        <v/>
      </c>
      <c r="V803" s="8">
        <f>$AC$12+D803*$AC$13+E803*$AC$14+F803*$AC$15+G803*$AC$16+H803*$AC$17+I803*$AC$18+J803*$AC$19+K803*$AC$20+L803*$AC$21+M803*$AC$22+N803*$AC$23+O803*$AC$24+P803*$AC$25+Q803*$AC$26+R803*$AC$27+S803*$AC$28+T803*$AC$29+U803*$AC$30</f>
        <v/>
      </c>
      <c r="W803" s="8">
        <f>1/(1+EXP(-V803))</f>
        <v/>
      </c>
      <c r="X803" s="9">
        <f>-IF(C803=1,LN(W803),LN(1-W803))</f>
        <v/>
      </c>
      <c r="Y803" s="10">
        <f>IF(W803&gt;$AC$33,1,0)</f>
        <v/>
      </c>
      <c r="Z803">
        <f>IF(Y803=C803,1,0)</f>
        <v/>
      </c>
    </row>
    <row r="804">
      <c r="A804">
        <f>'1 datos preparados'!A797</f>
        <v/>
      </c>
      <c r="B804" s="5">
        <f>'1 datos preparados'!U797</f>
        <v/>
      </c>
      <c r="C804">
        <f>'1 datos preparados'!B797</f>
        <v/>
      </c>
      <c r="D804" s="7">
        <f>'1 datos preparados'!C797</f>
        <v/>
      </c>
      <c r="E804" s="7">
        <f>'1 datos preparados'!D797</f>
        <v/>
      </c>
      <c r="F804" s="7">
        <f>'1 datos preparados'!E797</f>
        <v/>
      </c>
      <c r="G804" s="7">
        <f>'1 datos preparados'!F797</f>
        <v/>
      </c>
      <c r="H804" s="7">
        <f>'1 datos preparados'!G797</f>
        <v/>
      </c>
      <c r="I804" s="7">
        <f>'1 datos preparados'!H797</f>
        <v/>
      </c>
      <c r="J804" s="7">
        <f>'1 datos preparados'!I797</f>
        <v/>
      </c>
      <c r="K804" s="7">
        <f>'1 datos preparados'!J797</f>
        <v/>
      </c>
      <c r="L804" s="7">
        <f>'1 datos preparados'!K797</f>
        <v/>
      </c>
      <c r="M804" s="7">
        <f>'1 datos preparados'!L797</f>
        <v/>
      </c>
      <c r="N804" s="7">
        <f>'1 datos preparados'!M797</f>
        <v/>
      </c>
      <c r="O804" s="7">
        <f>'1 datos preparados'!N797</f>
        <v/>
      </c>
      <c r="P804" s="7">
        <f>'1 datos preparados'!O797</f>
        <v/>
      </c>
      <c r="Q804" s="7">
        <f>'1 datos preparados'!P797</f>
        <v/>
      </c>
      <c r="R804" s="7">
        <f>'1 datos preparados'!Q797</f>
        <v/>
      </c>
      <c r="S804" s="7">
        <f>'1 datos preparados'!R797</f>
        <v/>
      </c>
      <c r="T804" s="7">
        <f>'1 datos preparados'!S797</f>
        <v/>
      </c>
      <c r="U804" s="7">
        <f>'1 datos preparados'!T797</f>
        <v/>
      </c>
      <c r="V804" s="8">
        <f>$AC$12+D804*$AC$13+E804*$AC$14+F804*$AC$15+G804*$AC$16+H804*$AC$17+I804*$AC$18+J804*$AC$19+K804*$AC$20+L804*$AC$21+M804*$AC$22+N804*$AC$23+O804*$AC$24+P804*$AC$25+Q804*$AC$26+R804*$AC$27+S804*$AC$28+T804*$AC$29+U804*$AC$30</f>
        <v/>
      </c>
      <c r="W804" s="8">
        <f>1/(1+EXP(-V804))</f>
        <v/>
      </c>
      <c r="X804" s="9">
        <f>-IF(C804=1,LN(W804),LN(1-W804))</f>
        <v/>
      </c>
      <c r="Y804" s="10">
        <f>IF(W804&gt;$AC$33,1,0)</f>
        <v/>
      </c>
      <c r="Z804">
        <f>IF(Y804=C804,1,0)</f>
        <v/>
      </c>
    </row>
    <row r="805">
      <c r="A805">
        <f>'1 datos preparados'!A798</f>
        <v/>
      </c>
      <c r="B805" s="5">
        <f>'1 datos preparados'!U798</f>
        <v/>
      </c>
      <c r="C805">
        <f>'1 datos preparados'!B798</f>
        <v/>
      </c>
      <c r="D805" s="7">
        <f>'1 datos preparados'!C798</f>
        <v/>
      </c>
      <c r="E805" s="7">
        <f>'1 datos preparados'!D798</f>
        <v/>
      </c>
      <c r="F805" s="7">
        <f>'1 datos preparados'!E798</f>
        <v/>
      </c>
      <c r="G805" s="7">
        <f>'1 datos preparados'!F798</f>
        <v/>
      </c>
      <c r="H805" s="7">
        <f>'1 datos preparados'!G798</f>
        <v/>
      </c>
      <c r="I805" s="7">
        <f>'1 datos preparados'!H798</f>
        <v/>
      </c>
      <c r="J805" s="7">
        <f>'1 datos preparados'!I798</f>
        <v/>
      </c>
      <c r="K805" s="7">
        <f>'1 datos preparados'!J798</f>
        <v/>
      </c>
      <c r="L805" s="7">
        <f>'1 datos preparados'!K798</f>
        <v/>
      </c>
      <c r="M805" s="7">
        <f>'1 datos preparados'!L798</f>
        <v/>
      </c>
      <c r="N805" s="7">
        <f>'1 datos preparados'!M798</f>
        <v/>
      </c>
      <c r="O805" s="7">
        <f>'1 datos preparados'!N798</f>
        <v/>
      </c>
      <c r="P805" s="7">
        <f>'1 datos preparados'!O798</f>
        <v/>
      </c>
      <c r="Q805" s="7">
        <f>'1 datos preparados'!P798</f>
        <v/>
      </c>
      <c r="R805" s="7">
        <f>'1 datos preparados'!Q798</f>
        <v/>
      </c>
      <c r="S805" s="7">
        <f>'1 datos preparados'!R798</f>
        <v/>
      </c>
      <c r="T805" s="7">
        <f>'1 datos preparados'!S798</f>
        <v/>
      </c>
      <c r="U805" s="7">
        <f>'1 datos preparados'!T798</f>
        <v/>
      </c>
      <c r="V805" s="8">
        <f>$AC$12+D805*$AC$13+E805*$AC$14+F805*$AC$15+G805*$AC$16+H805*$AC$17+I805*$AC$18+J805*$AC$19+K805*$AC$20+L805*$AC$21+M805*$AC$22+N805*$AC$23+O805*$AC$24+P805*$AC$25+Q805*$AC$26+R805*$AC$27+S805*$AC$28+T805*$AC$29+U805*$AC$30</f>
        <v/>
      </c>
      <c r="W805" s="8">
        <f>1/(1+EXP(-V805))</f>
        <v/>
      </c>
      <c r="X805" s="9">
        <f>-IF(C805=1,LN(W805),LN(1-W805))</f>
        <v/>
      </c>
      <c r="Y805" s="10">
        <f>IF(W805&gt;$AC$33,1,0)</f>
        <v/>
      </c>
      <c r="Z805">
        <f>IF(Y805=C805,1,0)</f>
        <v/>
      </c>
    </row>
    <row r="806">
      <c r="A806">
        <f>'1 datos preparados'!A799</f>
        <v/>
      </c>
      <c r="B806" s="5">
        <f>'1 datos preparados'!U799</f>
        <v/>
      </c>
      <c r="C806">
        <f>'1 datos preparados'!B799</f>
        <v/>
      </c>
      <c r="D806" s="7">
        <f>'1 datos preparados'!C799</f>
        <v/>
      </c>
      <c r="E806" s="7">
        <f>'1 datos preparados'!D799</f>
        <v/>
      </c>
      <c r="F806" s="7">
        <f>'1 datos preparados'!E799</f>
        <v/>
      </c>
      <c r="G806" s="7">
        <f>'1 datos preparados'!F799</f>
        <v/>
      </c>
      <c r="H806" s="7">
        <f>'1 datos preparados'!G799</f>
        <v/>
      </c>
      <c r="I806" s="7">
        <f>'1 datos preparados'!H799</f>
        <v/>
      </c>
      <c r="J806" s="7">
        <f>'1 datos preparados'!I799</f>
        <v/>
      </c>
      <c r="K806" s="7">
        <f>'1 datos preparados'!J799</f>
        <v/>
      </c>
      <c r="L806" s="7">
        <f>'1 datos preparados'!K799</f>
        <v/>
      </c>
      <c r="M806" s="7">
        <f>'1 datos preparados'!L799</f>
        <v/>
      </c>
      <c r="N806" s="7">
        <f>'1 datos preparados'!M799</f>
        <v/>
      </c>
      <c r="O806" s="7">
        <f>'1 datos preparados'!N799</f>
        <v/>
      </c>
      <c r="P806" s="7">
        <f>'1 datos preparados'!O799</f>
        <v/>
      </c>
      <c r="Q806" s="7">
        <f>'1 datos preparados'!P799</f>
        <v/>
      </c>
      <c r="R806" s="7">
        <f>'1 datos preparados'!Q799</f>
        <v/>
      </c>
      <c r="S806" s="7">
        <f>'1 datos preparados'!R799</f>
        <v/>
      </c>
      <c r="T806" s="7">
        <f>'1 datos preparados'!S799</f>
        <v/>
      </c>
      <c r="U806" s="7">
        <f>'1 datos preparados'!T799</f>
        <v/>
      </c>
      <c r="V806" s="8">
        <f>$AC$12+D806*$AC$13+E806*$AC$14+F806*$AC$15+G806*$AC$16+H806*$AC$17+I806*$AC$18+J806*$AC$19+K806*$AC$20+L806*$AC$21+M806*$AC$22+N806*$AC$23+O806*$AC$24+P806*$AC$25+Q806*$AC$26+R806*$AC$27+S806*$AC$28+T806*$AC$29+U806*$AC$30</f>
        <v/>
      </c>
      <c r="W806" s="8">
        <f>1/(1+EXP(-V806))</f>
        <v/>
      </c>
      <c r="X806" s="9">
        <f>-IF(C806=1,LN(W806),LN(1-W806))</f>
        <v/>
      </c>
      <c r="Y806" s="10">
        <f>IF(W806&gt;$AC$33,1,0)</f>
        <v/>
      </c>
      <c r="Z806">
        <f>IF(Y806=C806,1,0)</f>
        <v/>
      </c>
    </row>
    <row r="807">
      <c r="A807">
        <f>'1 datos preparados'!A800</f>
        <v/>
      </c>
      <c r="B807" s="5">
        <f>'1 datos preparados'!U800</f>
        <v/>
      </c>
      <c r="C807">
        <f>'1 datos preparados'!B800</f>
        <v/>
      </c>
      <c r="D807" s="7">
        <f>'1 datos preparados'!C800</f>
        <v/>
      </c>
      <c r="E807" s="7">
        <f>'1 datos preparados'!D800</f>
        <v/>
      </c>
      <c r="F807" s="7">
        <f>'1 datos preparados'!E800</f>
        <v/>
      </c>
      <c r="G807" s="7">
        <f>'1 datos preparados'!F800</f>
        <v/>
      </c>
      <c r="H807" s="7">
        <f>'1 datos preparados'!G800</f>
        <v/>
      </c>
      <c r="I807" s="7">
        <f>'1 datos preparados'!H800</f>
        <v/>
      </c>
      <c r="J807" s="7">
        <f>'1 datos preparados'!I800</f>
        <v/>
      </c>
      <c r="K807" s="7">
        <f>'1 datos preparados'!J800</f>
        <v/>
      </c>
      <c r="L807" s="7">
        <f>'1 datos preparados'!K800</f>
        <v/>
      </c>
      <c r="M807" s="7">
        <f>'1 datos preparados'!L800</f>
        <v/>
      </c>
      <c r="N807" s="7">
        <f>'1 datos preparados'!M800</f>
        <v/>
      </c>
      <c r="O807" s="7">
        <f>'1 datos preparados'!N800</f>
        <v/>
      </c>
      <c r="P807" s="7">
        <f>'1 datos preparados'!O800</f>
        <v/>
      </c>
      <c r="Q807" s="7">
        <f>'1 datos preparados'!P800</f>
        <v/>
      </c>
      <c r="R807" s="7">
        <f>'1 datos preparados'!Q800</f>
        <v/>
      </c>
      <c r="S807" s="7">
        <f>'1 datos preparados'!R800</f>
        <v/>
      </c>
      <c r="T807" s="7">
        <f>'1 datos preparados'!S800</f>
        <v/>
      </c>
      <c r="U807" s="7">
        <f>'1 datos preparados'!T800</f>
        <v/>
      </c>
      <c r="V807" s="8">
        <f>$AC$12+D807*$AC$13+E807*$AC$14+F807*$AC$15+G807*$AC$16+H807*$AC$17+I807*$AC$18+J807*$AC$19+K807*$AC$20+L807*$AC$21+M807*$AC$22+N807*$AC$23+O807*$AC$24+P807*$AC$25+Q807*$AC$26+R807*$AC$27+S807*$AC$28+T807*$AC$29+U807*$AC$30</f>
        <v/>
      </c>
      <c r="W807" s="8">
        <f>1/(1+EXP(-V807))</f>
        <v/>
      </c>
      <c r="X807" s="9">
        <f>-IF(C807=1,LN(W807),LN(1-W807))</f>
        <v/>
      </c>
      <c r="Y807" s="10">
        <f>IF(W807&gt;$AC$33,1,0)</f>
        <v/>
      </c>
      <c r="Z807">
        <f>IF(Y807=C807,1,0)</f>
        <v/>
      </c>
    </row>
    <row r="808">
      <c r="A808">
        <f>'1 datos preparados'!A801</f>
        <v/>
      </c>
      <c r="B808" s="5">
        <f>'1 datos preparados'!U801</f>
        <v/>
      </c>
      <c r="C808">
        <f>'1 datos preparados'!B801</f>
        <v/>
      </c>
      <c r="D808" s="7">
        <f>'1 datos preparados'!C801</f>
        <v/>
      </c>
      <c r="E808" s="7">
        <f>'1 datos preparados'!D801</f>
        <v/>
      </c>
      <c r="F808" s="7">
        <f>'1 datos preparados'!E801</f>
        <v/>
      </c>
      <c r="G808" s="7">
        <f>'1 datos preparados'!F801</f>
        <v/>
      </c>
      <c r="H808" s="7">
        <f>'1 datos preparados'!G801</f>
        <v/>
      </c>
      <c r="I808" s="7">
        <f>'1 datos preparados'!H801</f>
        <v/>
      </c>
      <c r="J808" s="7">
        <f>'1 datos preparados'!I801</f>
        <v/>
      </c>
      <c r="K808" s="7">
        <f>'1 datos preparados'!J801</f>
        <v/>
      </c>
      <c r="L808" s="7">
        <f>'1 datos preparados'!K801</f>
        <v/>
      </c>
      <c r="M808" s="7">
        <f>'1 datos preparados'!L801</f>
        <v/>
      </c>
      <c r="N808" s="7">
        <f>'1 datos preparados'!M801</f>
        <v/>
      </c>
      <c r="O808" s="7">
        <f>'1 datos preparados'!N801</f>
        <v/>
      </c>
      <c r="P808" s="7">
        <f>'1 datos preparados'!O801</f>
        <v/>
      </c>
      <c r="Q808" s="7">
        <f>'1 datos preparados'!P801</f>
        <v/>
      </c>
      <c r="R808" s="7">
        <f>'1 datos preparados'!Q801</f>
        <v/>
      </c>
      <c r="S808" s="7">
        <f>'1 datos preparados'!R801</f>
        <v/>
      </c>
      <c r="T808" s="7">
        <f>'1 datos preparados'!S801</f>
        <v/>
      </c>
      <c r="U808" s="7">
        <f>'1 datos preparados'!T801</f>
        <v/>
      </c>
      <c r="V808" s="8">
        <f>$AC$12+D808*$AC$13+E808*$AC$14+F808*$AC$15+G808*$AC$16+H808*$AC$17+I808*$AC$18+J808*$AC$19+K808*$AC$20+L808*$AC$21+M808*$AC$22+N808*$AC$23+O808*$AC$24+P808*$AC$25+Q808*$AC$26+R808*$AC$27+S808*$AC$28+T808*$AC$29+U808*$AC$30</f>
        <v/>
      </c>
      <c r="W808" s="8">
        <f>1/(1+EXP(-V808))</f>
        <v/>
      </c>
      <c r="X808" s="9">
        <f>-IF(C808=1,LN(W808),LN(1-W808))</f>
        <v/>
      </c>
      <c r="Y808" s="10">
        <f>IF(W808&gt;$AC$33,1,0)</f>
        <v/>
      </c>
      <c r="Z808">
        <f>IF(Y808=C808,1,0)</f>
        <v/>
      </c>
    </row>
    <row r="809">
      <c r="A809">
        <f>'1 datos preparados'!A802</f>
        <v/>
      </c>
      <c r="B809" s="5">
        <f>'1 datos preparados'!U802</f>
        <v/>
      </c>
      <c r="C809">
        <f>'1 datos preparados'!B802</f>
        <v/>
      </c>
      <c r="D809" s="7">
        <f>'1 datos preparados'!C802</f>
        <v/>
      </c>
      <c r="E809" s="7">
        <f>'1 datos preparados'!D802</f>
        <v/>
      </c>
      <c r="F809" s="7">
        <f>'1 datos preparados'!E802</f>
        <v/>
      </c>
      <c r="G809" s="7">
        <f>'1 datos preparados'!F802</f>
        <v/>
      </c>
      <c r="H809" s="7">
        <f>'1 datos preparados'!G802</f>
        <v/>
      </c>
      <c r="I809" s="7">
        <f>'1 datos preparados'!H802</f>
        <v/>
      </c>
      <c r="J809" s="7">
        <f>'1 datos preparados'!I802</f>
        <v/>
      </c>
      <c r="K809" s="7">
        <f>'1 datos preparados'!J802</f>
        <v/>
      </c>
      <c r="L809" s="7">
        <f>'1 datos preparados'!K802</f>
        <v/>
      </c>
      <c r="M809" s="7">
        <f>'1 datos preparados'!L802</f>
        <v/>
      </c>
      <c r="N809" s="7">
        <f>'1 datos preparados'!M802</f>
        <v/>
      </c>
      <c r="O809" s="7">
        <f>'1 datos preparados'!N802</f>
        <v/>
      </c>
      <c r="P809" s="7">
        <f>'1 datos preparados'!O802</f>
        <v/>
      </c>
      <c r="Q809" s="7">
        <f>'1 datos preparados'!P802</f>
        <v/>
      </c>
      <c r="R809" s="7">
        <f>'1 datos preparados'!Q802</f>
        <v/>
      </c>
      <c r="S809" s="7">
        <f>'1 datos preparados'!R802</f>
        <v/>
      </c>
      <c r="T809" s="7">
        <f>'1 datos preparados'!S802</f>
        <v/>
      </c>
      <c r="U809" s="7">
        <f>'1 datos preparados'!T802</f>
        <v/>
      </c>
      <c r="V809" s="8">
        <f>$AC$12+D809*$AC$13+E809*$AC$14+F809*$AC$15+G809*$AC$16+H809*$AC$17+I809*$AC$18+J809*$AC$19+K809*$AC$20+L809*$AC$21+M809*$AC$22+N809*$AC$23+O809*$AC$24+P809*$AC$25+Q809*$AC$26+R809*$AC$27+S809*$AC$28+T809*$AC$29+U809*$AC$30</f>
        <v/>
      </c>
      <c r="W809" s="8">
        <f>1/(1+EXP(-V809))</f>
        <v/>
      </c>
      <c r="X809" s="9">
        <f>-IF(C809=1,LN(W809),LN(1-W809))</f>
        <v/>
      </c>
      <c r="Y809" s="10">
        <f>IF(W809&gt;$AC$33,1,0)</f>
        <v/>
      </c>
      <c r="Z809">
        <f>IF(Y809=C809,1,0)</f>
        <v/>
      </c>
    </row>
    <row r="810">
      <c r="A810">
        <f>'1 datos preparados'!A803</f>
        <v/>
      </c>
      <c r="B810" s="5">
        <f>'1 datos preparados'!U803</f>
        <v/>
      </c>
      <c r="C810">
        <f>'1 datos preparados'!B803</f>
        <v/>
      </c>
      <c r="D810" s="7">
        <f>'1 datos preparados'!C803</f>
        <v/>
      </c>
      <c r="E810" s="7">
        <f>'1 datos preparados'!D803</f>
        <v/>
      </c>
      <c r="F810" s="7">
        <f>'1 datos preparados'!E803</f>
        <v/>
      </c>
      <c r="G810" s="7">
        <f>'1 datos preparados'!F803</f>
        <v/>
      </c>
      <c r="H810" s="7">
        <f>'1 datos preparados'!G803</f>
        <v/>
      </c>
      <c r="I810" s="7">
        <f>'1 datos preparados'!H803</f>
        <v/>
      </c>
      <c r="J810" s="7">
        <f>'1 datos preparados'!I803</f>
        <v/>
      </c>
      <c r="K810" s="7">
        <f>'1 datos preparados'!J803</f>
        <v/>
      </c>
      <c r="L810" s="7">
        <f>'1 datos preparados'!K803</f>
        <v/>
      </c>
      <c r="M810" s="7">
        <f>'1 datos preparados'!L803</f>
        <v/>
      </c>
      <c r="N810" s="7">
        <f>'1 datos preparados'!M803</f>
        <v/>
      </c>
      <c r="O810" s="7">
        <f>'1 datos preparados'!N803</f>
        <v/>
      </c>
      <c r="P810" s="7">
        <f>'1 datos preparados'!O803</f>
        <v/>
      </c>
      <c r="Q810" s="7">
        <f>'1 datos preparados'!P803</f>
        <v/>
      </c>
      <c r="R810" s="7">
        <f>'1 datos preparados'!Q803</f>
        <v/>
      </c>
      <c r="S810" s="7">
        <f>'1 datos preparados'!R803</f>
        <v/>
      </c>
      <c r="T810" s="7">
        <f>'1 datos preparados'!S803</f>
        <v/>
      </c>
      <c r="U810" s="7">
        <f>'1 datos preparados'!T803</f>
        <v/>
      </c>
      <c r="V810" s="8">
        <f>$AC$12+D810*$AC$13+E810*$AC$14+F810*$AC$15+G810*$AC$16+H810*$AC$17+I810*$AC$18+J810*$AC$19+K810*$AC$20+L810*$AC$21+M810*$AC$22+N810*$AC$23+O810*$AC$24+P810*$AC$25+Q810*$AC$26+R810*$AC$27+S810*$AC$28+T810*$AC$29+U810*$AC$30</f>
        <v/>
      </c>
      <c r="W810" s="8">
        <f>1/(1+EXP(-V810))</f>
        <v/>
      </c>
      <c r="X810" s="9">
        <f>-IF(C810=1,LN(W810),LN(1-W810))</f>
        <v/>
      </c>
      <c r="Y810" s="10">
        <f>IF(W810&gt;$AC$33,1,0)</f>
        <v/>
      </c>
      <c r="Z810">
        <f>IF(Y810=C810,1,0)</f>
        <v/>
      </c>
    </row>
    <row r="811">
      <c r="A811">
        <f>'1 datos preparados'!A804</f>
        <v/>
      </c>
      <c r="B811" s="5">
        <f>'1 datos preparados'!U804</f>
        <v/>
      </c>
      <c r="C811">
        <f>'1 datos preparados'!B804</f>
        <v/>
      </c>
      <c r="D811" s="7">
        <f>'1 datos preparados'!C804</f>
        <v/>
      </c>
      <c r="E811" s="7">
        <f>'1 datos preparados'!D804</f>
        <v/>
      </c>
      <c r="F811" s="7">
        <f>'1 datos preparados'!E804</f>
        <v/>
      </c>
      <c r="G811" s="7">
        <f>'1 datos preparados'!F804</f>
        <v/>
      </c>
      <c r="H811" s="7">
        <f>'1 datos preparados'!G804</f>
        <v/>
      </c>
      <c r="I811" s="7">
        <f>'1 datos preparados'!H804</f>
        <v/>
      </c>
      <c r="J811" s="7">
        <f>'1 datos preparados'!I804</f>
        <v/>
      </c>
      <c r="K811" s="7">
        <f>'1 datos preparados'!J804</f>
        <v/>
      </c>
      <c r="L811" s="7">
        <f>'1 datos preparados'!K804</f>
        <v/>
      </c>
      <c r="M811" s="7">
        <f>'1 datos preparados'!L804</f>
        <v/>
      </c>
      <c r="N811" s="7">
        <f>'1 datos preparados'!M804</f>
        <v/>
      </c>
      <c r="O811" s="7">
        <f>'1 datos preparados'!N804</f>
        <v/>
      </c>
      <c r="P811" s="7">
        <f>'1 datos preparados'!O804</f>
        <v/>
      </c>
      <c r="Q811" s="7">
        <f>'1 datos preparados'!P804</f>
        <v/>
      </c>
      <c r="R811" s="7">
        <f>'1 datos preparados'!Q804</f>
        <v/>
      </c>
      <c r="S811" s="7">
        <f>'1 datos preparados'!R804</f>
        <v/>
      </c>
      <c r="T811" s="7">
        <f>'1 datos preparados'!S804</f>
        <v/>
      </c>
      <c r="U811" s="7">
        <f>'1 datos preparados'!T804</f>
        <v/>
      </c>
      <c r="V811" s="8">
        <f>$AC$12+D811*$AC$13+E811*$AC$14+F811*$AC$15+G811*$AC$16+H811*$AC$17+I811*$AC$18+J811*$AC$19+K811*$AC$20+L811*$AC$21+M811*$AC$22+N811*$AC$23+O811*$AC$24+P811*$AC$25+Q811*$AC$26+R811*$AC$27+S811*$AC$28+T811*$AC$29+U811*$AC$30</f>
        <v/>
      </c>
      <c r="W811" s="8">
        <f>1/(1+EXP(-V811))</f>
        <v/>
      </c>
      <c r="X811" s="9">
        <f>-IF(C811=1,LN(W811),LN(1-W811))</f>
        <v/>
      </c>
      <c r="Y811" s="10">
        <f>IF(W811&gt;$AC$33,1,0)</f>
        <v/>
      </c>
      <c r="Z811">
        <f>IF(Y811=C811,1,0)</f>
        <v/>
      </c>
    </row>
    <row r="812">
      <c r="A812">
        <f>'1 datos preparados'!A805</f>
        <v/>
      </c>
      <c r="B812" s="5">
        <f>'1 datos preparados'!U805</f>
        <v/>
      </c>
      <c r="C812">
        <f>'1 datos preparados'!B805</f>
        <v/>
      </c>
      <c r="D812" s="7">
        <f>'1 datos preparados'!C805</f>
        <v/>
      </c>
      <c r="E812" s="7">
        <f>'1 datos preparados'!D805</f>
        <v/>
      </c>
      <c r="F812" s="7">
        <f>'1 datos preparados'!E805</f>
        <v/>
      </c>
      <c r="G812" s="7">
        <f>'1 datos preparados'!F805</f>
        <v/>
      </c>
      <c r="H812" s="7">
        <f>'1 datos preparados'!G805</f>
        <v/>
      </c>
      <c r="I812" s="7">
        <f>'1 datos preparados'!H805</f>
        <v/>
      </c>
      <c r="J812" s="7">
        <f>'1 datos preparados'!I805</f>
        <v/>
      </c>
      <c r="K812" s="7">
        <f>'1 datos preparados'!J805</f>
        <v/>
      </c>
      <c r="L812" s="7">
        <f>'1 datos preparados'!K805</f>
        <v/>
      </c>
      <c r="M812" s="7">
        <f>'1 datos preparados'!L805</f>
        <v/>
      </c>
      <c r="N812" s="7">
        <f>'1 datos preparados'!M805</f>
        <v/>
      </c>
      <c r="O812" s="7">
        <f>'1 datos preparados'!N805</f>
        <v/>
      </c>
      <c r="P812" s="7">
        <f>'1 datos preparados'!O805</f>
        <v/>
      </c>
      <c r="Q812" s="7">
        <f>'1 datos preparados'!P805</f>
        <v/>
      </c>
      <c r="R812" s="7">
        <f>'1 datos preparados'!Q805</f>
        <v/>
      </c>
      <c r="S812" s="7">
        <f>'1 datos preparados'!R805</f>
        <v/>
      </c>
      <c r="T812" s="7">
        <f>'1 datos preparados'!S805</f>
        <v/>
      </c>
      <c r="U812" s="7">
        <f>'1 datos preparados'!T805</f>
        <v/>
      </c>
      <c r="V812" s="8">
        <f>$AC$12+D812*$AC$13+E812*$AC$14+F812*$AC$15+G812*$AC$16+H812*$AC$17+I812*$AC$18+J812*$AC$19+K812*$AC$20+L812*$AC$21+M812*$AC$22+N812*$AC$23+O812*$AC$24+P812*$AC$25+Q812*$AC$26+R812*$AC$27+S812*$AC$28+T812*$AC$29+U812*$AC$30</f>
        <v/>
      </c>
      <c r="W812" s="8">
        <f>1/(1+EXP(-V812))</f>
        <v/>
      </c>
      <c r="X812" s="9">
        <f>-IF(C812=1,LN(W812),LN(1-W812))</f>
        <v/>
      </c>
      <c r="Y812" s="10">
        <f>IF(W812&gt;$AC$33,1,0)</f>
        <v/>
      </c>
      <c r="Z812">
        <f>IF(Y812=C812,1,0)</f>
        <v/>
      </c>
    </row>
    <row r="813">
      <c r="A813">
        <f>'1 datos preparados'!A806</f>
        <v/>
      </c>
      <c r="B813" s="5">
        <f>'1 datos preparados'!U806</f>
        <v/>
      </c>
      <c r="C813">
        <f>'1 datos preparados'!B806</f>
        <v/>
      </c>
      <c r="D813" s="7">
        <f>'1 datos preparados'!C806</f>
        <v/>
      </c>
      <c r="E813" s="7">
        <f>'1 datos preparados'!D806</f>
        <v/>
      </c>
      <c r="F813" s="7">
        <f>'1 datos preparados'!E806</f>
        <v/>
      </c>
      <c r="G813" s="7">
        <f>'1 datos preparados'!F806</f>
        <v/>
      </c>
      <c r="H813" s="7">
        <f>'1 datos preparados'!G806</f>
        <v/>
      </c>
      <c r="I813" s="7">
        <f>'1 datos preparados'!H806</f>
        <v/>
      </c>
      <c r="J813" s="7">
        <f>'1 datos preparados'!I806</f>
        <v/>
      </c>
      <c r="K813" s="7">
        <f>'1 datos preparados'!J806</f>
        <v/>
      </c>
      <c r="L813" s="7">
        <f>'1 datos preparados'!K806</f>
        <v/>
      </c>
      <c r="M813" s="7">
        <f>'1 datos preparados'!L806</f>
        <v/>
      </c>
      <c r="N813" s="7">
        <f>'1 datos preparados'!M806</f>
        <v/>
      </c>
      <c r="O813" s="7">
        <f>'1 datos preparados'!N806</f>
        <v/>
      </c>
      <c r="P813" s="7">
        <f>'1 datos preparados'!O806</f>
        <v/>
      </c>
      <c r="Q813" s="7">
        <f>'1 datos preparados'!P806</f>
        <v/>
      </c>
      <c r="R813" s="7">
        <f>'1 datos preparados'!Q806</f>
        <v/>
      </c>
      <c r="S813" s="7">
        <f>'1 datos preparados'!R806</f>
        <v/>
      </c>
      <c r="T813" s="7">
        <f>'1 datos preparados'!S806</f>
        <v/>
      </c>
      <c r="U813" s="7">
        <f>'1 datos preparados'!T806</f>
        <v/>
      </c>
      <c r="V813" s="8">
        <f>$AC$12+D813*$AC$13+E813*$AC$14+F813*$AC$15+G813*$AC$16+H813*$AC$17+I813*$AC$18+J813*$AC$19+K813*$AC$20+L813*$AC$21+M813*$AC$22+N813*$AC$23+O813*$AC$24+P813*$AC$25+Q813*$AC$26+R813*$AC$27+S813*$AC$28+T813*$AC$29+U813*$AC$30</f>
        <v/>
      </c>
      <c r="W813" s="8">
        <f>1/(1+EXP(-V813))</f>
        <v/>
      </c>
      <c r="X813" s="9">
        <f>-IF(C813=1,LN(W813),LN(1-W813))</f>
        <v/>
      </c>
      <c r="Y813" s="10">
        <f>IF(W813&gt;$AC$33,1,0)</f>
        <v/>
      </c>
      <c r="Z813">
        <f>IF(Y813=C813,1,0)</f>
        <v/>
      </c>
    </row>
    <row r="814">
      <c r="A814">
        <f>'1 datos preparados'!A807</f>
        <v/>
      </c>
      <c r="B814" s="5">
        <f>'1 datos preparados'!U807</f>
        <v/>
      </c>
      <c r="C814">
        <f>'1 datos preparados'!B807</f>
        <v/>
      </c>
      <c r="D814" s="7">
        <f>'1 datos preparados'!C807</f>
        <v/>
      </c>
      <c r="E814" s="7">
        <f>'1 datos preparados'!D807</f>
        <v/>
      </c>
      <c r="F814" s="7">
        <f>'1 datos preparados'!E807</f>
        <v/>
      </c>
      <c r="G814" s="7">
        <f>'1 datos preparados'!F807</f>
        <v/>
      </c>
      <c r="H814" s="7">
        <f>'1 datos preparados'!G807</f>
        <v/>
      </c>
      <c r="I814" s="7">
        <f>'1 datos preparados'!H807</f>
        <v/>
      </c>
      <c r="J814" s="7">
        <f>'1 datos preparados'!I807</f>
        <v/>
      </c>
      <c r="K814" s="7">
        <f>'1 datos preparados'!J807</f>
        <v/>
      </c>
      <c r="L814" s="7">
        <f>'1 datos preparados'!K807</f>
        <v/>
      </c>
      <c r="M814" s="7">
        <f>'1 datos preparados'!L807</f>
        <v/>
      </c>
      <c r="N814" s="7">
        <f>'1 datos preparados'!M807</f>
        <v/>
      </c>
      <c r="O814" s="7">
        <f>'1 datos preparados'!N807</f>
        <v/>
      </c>
      <c r="P814" s="7">
        <f>'1 datos preparados'!O807</f>
        <v/>
      </c>
      <c r="Q814" s="7">
        <f>'1 datos preparados'!P807</f>
        <v/>
      </c>
      <c r="R814" s="7">
        <f>'1 datos preparados'!Q807</f>
        <v/>
      </c>
      <c r="S814" s="7">
        <f>'1 datos preparados'!R807</f>
        <v/>
      </c>
      <c r="T814" s="7">
        <f>'1 datos preparados'!S807</f>
        <v/>
      </c>
      <c r="U814" s="7">
        <f>'1 datos preparados'!T807</f>
        <v/>
      </c>
      <c r="V814" s="8">
        <f>$AC$12+D814*$AC$13+E814*$AC$14+F814*$AC$15+G814*$AC$16+H814*$AC$17+I814*$AC$18+J814*$AC$19+K814*$AC$20+L814*$AC$21+M814*$AC$22+N814*$AC$23+O814*$AC$24+P814*$AC$25+Q814*$AC$26+R814*$AC$27+S814*$AC$28+T814*$AC$29+U814*$AC$30</f>
        <v/>
      </c>
      <c r="W814" s="8">
        <f>1/(1+EXP(-V814))</f>
        <v/>
      </c>
      <c r="X814" s="9">
        <f>-IF(C814=1,LN(W814),LN(1-W814))</f>
        <v/>
      </c>
      <c r="Y814" s="10">
        <f>IF(W814&gt;$AC$33,1,0)</f>
        <v/>
      </c>
      <c r="Z814">
        <f>IF(Y814=C814,1,0)</f>
        <v/>
      </c>
    </row>
    <row r="815">
      <c r="A815">
        <f>'1 datos preparados'!A808</f>
        <v/>
      </c>
      <c r="B815" s="5">
        <f>'1 datos preparados'!U808</f>
        <v/>
      </c>
      <c r="C815">
        <f>'1 datos preparados'!B808</f>
        <v/>
      </c>
      <c r="D815" s="7">
        <f>'1 datos preparados'!C808</f>
        <v/>
      </c>
      <c r="E815" s="7">
        <f>'1 datos preparados'!D808</f>
        <v/>
      </c>
      <c r="F815" s="7">
        <f>'1 datos preparados'!E808</f>
        <v/>
      </c>
      <c r="G815" s="7">
        <f>'1 datos preparados'!F808</f>
        <v/>
      </c>
      <c r="H815" s="7">
        <f>'1 datos preparados'!G808</f>
        <v/>
      </c>
      <c r="I815" s="7">
        <f>'1 datos preparados'!H808</f>
        <v/>
      </c>
      <c r="J815" s="7">
        <f>'1 datos preparados'!I808</f>
        <v/>
      </c>
      <c r="K815" s="7">
        <f>'1 datos preparados'!J808</f>
        <v/>
      </c>
      <c r="L815" s="7">
        <f>'1 datos preparados'!K808</f>
        <v/>
      </c>
      <c r="M815" s="7">
        <f>'1 datos preparados'!L808</f>
        <v/>
      </c>
      <c r="N815" s="7">
        <f>'1 datos preparados'!M808</f>
        <v/>
      </c>
      <c r="O815" s="7">
        <f>'1 datos preparados'!N808</f>
        <v/>
      </c>
      <c r="P815" s="7">
        <f>'1 datos preparados'!O808</f>
        <v/>
      </c>
      <c r="Q815" s="7">
        <f>'1 datos preparados'!P808</f>
        <v/>
      </c>
      <c r="R815" s="7">
        <f>'1 datos preparados'!Q808</f>
        <v/>
      </c>
      <c r="S815" s="7">
        <f>'1 datos preparados'!R808</f>
        <v/>
      </c>
      <c r="T815" s="7">
        <f>'1 datos preparados'!S808</f>
        <v/>
      </c>
      <c r="U815" s="7">
        <f>'1 datos preparados'!T808</f>
        <v/>
      </c>
      <c r="V815" s="8">
        <f>$AC$12+D815*$AC$13+E815*$AC$14+F815*$AC$15+G815*$AC$16+H815*$AC$17+I815*$AC$18+J815*$AC$19+K815*$AC$20+L815*$AC$21+M815*$AC$22+N815*$AC$23+O815*$AC$24+P815*$AC$25+Q815*$AC$26+R815*$AC$27+S815*$AC$28+T815*$AC$29+U815*$AC$30</f>
        <v/>
      </c>
      <c r="W815" s="8">
        <f>1/(1+EXP(-V815))</f>
        <v/>
      </c>
      <c r="X815" s="9">
        <f>-IF(C815=1,LN(W815),LN(1-W815))</f>
        <v/>
      </c>
      <c r="Y815" s="10">
        <f>IF(W815&gt;$AC$33,1,0)</f>
        <v/>
      </c>
      <c r="Z815">
        <f>IF(Y815=C815,1,0)</f>
        <v/>
      </c>
    </row>
    <row r="816">
      <c r="A816">
        <f>'1 datos preparados'!A809</f>
        <v/>
      </c>
      <c r="B816" s="5">
        <f>'1 datos preparados'!U809</f>
        <v/>
      </c>
      <c r="C816">
        <f>'1 datos preparados'!B809</f>
        <v/>
      </c>
      <c r="D816" s="7">
        <f>'1 datos preparados'!C809</f>
        <v/>
      </c>
      <c r="E816" s="7">
        <f>'1 datos preparados'!D809</f>
        <v/>
      </c>
      <c r="F816" s="7">
        <f>'1 datos preparados'!E809</f>
        <v/>
      </c>
      <c r="G816" s="7">
        <f>'1 datos preparados'!F809</f>
        <v/>
      </c>
      <c r="H816" s="7">
        <f>'1 datos preparados'!G809</f>
        <v/>
      </c>
      <c r="I816" s="7">
        <f>'1 datos preparados'!H809</f>
        <v/>
      </c>
      <c r="J816" s="7">
        <f>'1 datos preparados'!I809</f>
        <v/>
      </c>
      <c r="K816" s="7">
        <f>'1 datos preparados'!J809</f>
        <v/>
      </c>
      <c r="L816" s="7">
        <f>'1 datos preparados'!K809</f>
        <v/>
      </c>
      <c r="M816" s="7">
        <f>'1 datos preparados'!L809</f>
        <v/>
      </c>
      <c r="N816" s="7">
        <f>'1 datos preparados'!M809</f>
        <v/>
      </c>
      <c r="O816" s="7">
        <f>'1 datos preparados'!N809</f>
        <v/>
      </c>
      <c r="P816" s="7">
        <f>'1 datos preparados'!O809</f>
        <v/>
      </c>
      <c r="Q816" s="7">
        <f>'1 datos preparados'!P809</f>
        <v/>
      </c>
      <c r="R816" s="7">
        <f>'1 datos preparados'!Q809</f>
        <v/>
      </c>
      <c r="S816" s="7">
        <f>'1 datos preparados'!R809</f>
        <v/>
      </c>
      <c r="T816" s="7">
        <f>'1 datos preparados'!S809</f>
        <v/>
      </c>
      <c r="U816" s="7">
        <f>'1 datos preparados'!T809</f>
        <v/>
      </c>
      <c r="V816" s="8">
        <f>$AC$12+D816*$AC$13+E816*$AC$14+F816*$AC$15+G816*$AC$16+H816*$AC$17+I816*$AC$18+J816*$AC$19+K816*$AC$20+L816*$AC$21+M816*$AC$22+N816*$AC$23+O816*$AC$24+P816*$AC$25+Q816*$AC$26+R816*$AC$27+S816*$AC$28+T816*$AC$29+U816*$AC$30</f>
        <v/>
      </c>
      <c r="W816" s="8">
        <f>1/(1+EXP(-V816))</f>
        <v/>
      </c>
      <c r="X816" s="9">
        <f>-IF(C816=1,LN(W816),LN(1-W816))</f>
        <v/>
      </c>
      <c r="Y816" s="10">
        <f>IF(W816&gt;$AC$33,1,0)</f>
        <v/>
      </c>
      <c r="Z816">
        <f>IF(Y816=C816,1,0)</f>
        <v/>
      </c>
    </row>
    <row r="817">
      <c r="A817">
        <f>'1 datos preparados'!A810</f>
        <v/>
      </c>
      <c r="B817" s="5">
        <f>'1 datos preparados'!U810</f>
        <v/>
      </c>
      <c r="C817">
        <f>'1 datos preparados'!B810</f>
        <v/>
      </c>
      <c r="D817" s="7">
        <f>'1 datos preparados'!C810</f>
        <v/>
      </c>
      <c r="E817" s="7">
        <f>'1 datos preparados'!D810</f>
        <v/>
      </c>
      <c r="F817" s="7">
        <f>'1 datos preparados'!E810</f>
        <v/>
      </c>
      <c r="G817" s="7">
        <f>'1 datos preparados'!F810</f>
        <v/>
      </c>
      <c r="H817" s="7">
        <f>'1 datos preparados'!G810</f>
        <v/>
      </c>
      <c r="I817" s="7">
        <f>'1 datos preparados'!H810</f>
        <v/>
      </c>
      <c r="J817" s="7">
        <f>'1 datos preparados'!I810</f>
        <v/>
      </c>
      <c r="K817" s="7">
        <f>'1 datos preparados'!J810</f>
        <v/>
      </c>
      <c r="L817" s="7">
        <f>'1 datos preparados'!K810</f>
        <v/>
      </c>
      <c r="M817" s="7">
        <f>'1 datos preparados'!L810</f>
        <v/>
      </c>
      <c r="N817" s="7">
        <f>'1 datos preparados'!M810</f>
        <v/>
      </c>
      <c r="O817" s="7">
        <f>'1 datos preparados'!N810</f>
        <v/>
      </c>
      <c r="P817" s="7">
        <f>'1 datos preparados'!O810</f>
        <v/>
      </c>
      <c r="Q817" s="7">
        <f>'1 datos preparados'!P810</f>
        <v/>
      </c>
      <c r="R817" s="7">
        <f>'1 datos preparados'!Q810</f>
        <v/>
      </c>
      <c r="S817" s="7">
        <f>'1 datos preparados'!R810</f>
        <v/>
      </c>
      <c r="T817" s="7">
        <f>'1 datos preparados'!S810</f>
        <v/>
      </c>
      <c r="U817" s="7">
        <f>'1 datos preparados'!T810</f>
        <v/>
      </c>
      <c r="V817" s="8">
        <f>$AC$12+D817*$AC$13+E817*$AC$14+F817*$AC$15+G817*$AC$16+H817*$AC$17+I817*$AC$18+J817*$AC$19+K817*$AC$20+L817*$AC$21+M817*$AC$22+N817*$AC$23+O817*$AC$24+P817*$AC$25+Q817*$AC$26+R817*$AC$27+S817*$AC$28+T817*$AC$29+U817*$AC$30</f>
        <v/>
      </c>
      <c r="W817" s="8">
        <f>1/(1+EXP(-V817))</f>
        <v/>
      </c>
      <c r="X817" s="9">
        <f>-IF(C817=1,LN(W817),LN(1-W817))</f>
        <v/>
      </c>
      <c r="Y817" s="10">
        <f>IF(W817&gt;$AC$33,1,0)</f>
        <v/>
      </c>
      <c r="Z817">
        <f>IF(Y817=C817,1,0)</f>
        <v/>
      </c>
    </row>
    <row r="818">
      <c r="A818">
        <f>'1 datos preparados'!A811</f>
        <v/>
      </c>
      <c r="B818" s="5">
        <f>'1 datos preparados'!U811</f>
        <v/>
      </c>
      <c r="C818">
        <f>'1 datos preparados'!B811</f>
        <v/>
      </c>
      <c r="D818" s="7">
        <f>'1 datos preparados'!C811</f>
        <v/>
      </c>
      <c r="E818" s="7">
        <f>'1 datos preparados'!D811</f>
        <v/>
      </c>
      <c r="F818" s="7">
        <f>'1 datos preparados'!E811</f>
        <v/>
      </c>
      <c r="G818" s="7">
        <f>'1 datos preparados'!F811</f>
        <v/>
      </c>
      <c r="H818" s="7">
        <f>'1 datos preparados'!G811</f>
        <v/>
      </c>
      <c r="I818" s="7">
        <f>'1 datos preparados'!H811</f>
        <v/>
      </c>
      <c r="J818" s="7">
        <f>'1 datos preparados'!I811</f>
        <v/>
      </c>
      <c r="K818" s="7">
        <f>'1 datos preparados'!J811</f>
        <v/>
      </c>
      <c r="L818" s="7">
        <f>'1 datos preparados'!K811</f>
        <v/>
      </c>
      <c r="M818" s="7">
        <f>'1 datos preparados'!L811</f>
        <v/>
      </c>
      <c r="N818" s="7">
        <f>'1 datos preparados'!M811</f>
        <v/>
      </c>
      <c r="O818" s="7">
        <f>'1 datos preparados'!N811</f>
        <v/>
      </c>
      <c r="P818" s="7">
        <f>'1 datos preparados'!O811</f>
        <v/>
      </c>
      <c r="Q818" s="7">
        <f>'1 datos preparados'!P811</f>
        <v/>
      </c>
      <c r="R818" s="7">
        <f>'1 datos preparados'!Q811</f>
        <v/>
      </c>
      <c r="S818" s="7">
        <f>'1 datos preparados'!R811</f>
        <v/>
      </c>
      <c r="T818" s="7">
        <f>'1 datos preparados'!S811</f>
        <v/>
      </c>
      <c r="U818" s="7">
        <f>'1 datos preparados'!T811</f>
        <v/>
      </c>
      <c r="V818" s="8">
        <f>$AC$12+D818*$AC$13+E818*$AC$14+F818*$AC$15+G818*$AC$16+H818*$AC$17+I818*$AC$18+J818*$AC$19+K818*$AC$20+L818*$AC$21+M818*$AC$22+N818*$AC$23+O818*$AC$24+P818*$AC$25+Q818*$AC$26+R818*$AC$27+S818*$AC$28+T818*$AC$29+U818*$AC$30</f>
        <v/>
      </c>
      <c r="W818" s="8">
        <f>1/(1+EXP(-V818))</f>
        <v/>
      </c>
      <c r="X818" s="9">
        <f>-IF(C818=1,LN(W818),LN(1-W818))</f>
        <v/>
      </c>
      <c r="Y818" s="10">
        <f>IF(W818&gt;$AC$33,1,0)</f>
        <v/>
      </c>
      <c r="Z818">
        <f>IF(Y818=C818,1,0)</f>
        <v/>
      </c>
    </row>
    <row r="819">
      <c r="A819">
        <f>'1 datos preparados'!A812</f>
        <v/>
      </c>
      <c r="B819" s="5">
        <f>'1 datos preparados'!U812</f>
        <v/>
      </c>
      <c r="C819">
        <f>'1 datos preparados'!B812</f>
        <v/>
      </c>
      <c r="D819" s="7">
        <f>'1 datos preparados'!C812</f>
        <v/>
      </c>
      <c r="E819" s="7">
        <f>'1 datos preparados'!D812</f>
        <v/>
      </c>
      <c r="F819" s="7">
        <f>'1 datos preparados'!E812</f>
        <v/>
      </c>
      <c r="G819" s="7">
        <f>'1 datos preparados'!F812</f>
        <v/>
      </c>
      <c r="H819" s="7">
        <f>'1 datos preparados'!G812</f>
        <v/>
      </c>
      <c r="I819" s="7">
        <f>'1 datos preparados'!H812</f>
        <v/>
      </c>
      <c r="J819" s="7">
        <f>'1 datos preparados'!I812</f>
        <v/>
      </c>
      <c r="K819" s="7">
        <f>'1 datos preparados'!J812</f>
        <v/>
      </c>
      <c r="L819" s="7">
        <f>'1 datos preparados'!K812</f>
        <v/>
      </c>
      <c r="M819" s="7">
        <f>'1 datos preparados'!L812</f>
        <v/>
      </c>
      <c r="N819" s="7">
        <f>'1 datos preparados'!M812</f>
        <v/>
      </c>
      <c r="O819" s="7">
        <f>'1 datos preparados'!N812</f>
        <v/>
      </c>
      <c r="P819" s="7">
        <f>'1 datos preparados'!O812</f>
        <v/>
      </c>
      <c r="Q819" s="7">
        <f>'1 datos preparados'!P812</f>
        <v/>
      </c>
      <c r="R819" s="7">
        <f>'1 datos preparados'!Q812</f>
        <v/>
      </c>
      <c r="S819" s="7">
        <f>'1 datos preparados'!R812</f>
        <v/>
      </c>
      <c r="T819" s="7">
        <f>'1 datos preparados'!S812</f>
        <v/>
      </c>
      <c r="U819" s="7">
        <f>'1 datos preparados'!T812</f>
        <v/>
      </c>
      <c r="V819" s="8">
        <f>$AC$12+D819*$AC$13+E819*$AC$14+F819*$AC$15+G819*$AC$16+H819*$AC$17+I819*$AC$18+J819*$AC$19+K819*$AC$20+L819*$AC$21+M819*$AC$22+N819*$AC$23+O819*$AC$24+P819*$AC$25+Q819*$AC$26+R819*$AC$27+S819*$AC$28+T819*$AC$29+U819*$AC$30</f>
        <v/>
      </c>
      <c r="W819" s="8">
        <f>1/(1+EXP(-V819))</f>
        <v/>
      </c>
      <c r="X819" s="9">
        <f>-IF(C819=1,LN(W819),LN(1-W819))</f>
        <v/>
      </c>
      <c r="Y819" s="10">
        <f>IF(W819&gt;$AC$33,1,0)</f>
        <v/>
      </c>
      <c r="Z819">
        <f>IF(Y819=C819,1,0)</f>
        <v/>
      </c>
    </row>
    <row r="820">
      <c r="A820">
        <f>'1 datos preparados'!A813</f>
        <v/>
      </c>
      <c r="B820" s="5">
        <f>'1 datos preparados'!U813</f>
        <v/>
      </c>
      <c r="C820">
        <f>'1 datos preparados'!B813</f>
        <v/>
      </c>
      <c r="D820" s="7">
        <f>'1 datos preparados'!C813</f>
        <v/>
      </c>
      <c r="E820" s="7">
        <f>'1 datos preparados'!D813</f>
        <v/>
      </c>
      <c r="F820" s="7">
        <f>'1 datos preparados'!E813</f>
        <v/>
      </c>
      <c r="G820" s="7">
        <f>'1 datos preparados'!F813</f>
        <v/>
      </c>
      <c r="H820" s="7">
        <f>'1 datos preparados'!G813</f>
        <v/>
      </c>
      <c r="I820" s="7">
        <f>'1 datos preparados'!H813</f>
        <v/>
      </c>
      <c r="J820" s="7">
        <f>'1 datos preparados'!I813</f>
        <v/>
      </c>
      <c r="K820" s="7">
        <f>'1 datos preparados'!J813</f>
        <v/>
      </c>
      <c r="L820" s="7">
        <f>'1 datos preparados'!K813</f>
        <v/>
      </c>
      <c r="M820" s="7">
        <f>'1 datos preparados'!L813</f>
        <v/>
      </c>
      <c r="N820" s="7">
        <f>'1 datos preparados'!M813</f>
        <v/>
      </c>
      <c r="O820" s="7">
        <f>'1 datos preparados'!N813</f>
        <v/>
      </c>
      <c r="P820" s="7">
        <f>'1 datos preparados'!O813</f>
        <v/>
      </c>
      <c r="Q820" s="7">
        <f>'1 datos preparados'!P813</f>
        <v/>
      </c>
      <c r="R820" s="7">
        <f>'1 datos preparados'!Q813</f>
        <v/>
      </c>
      <c r="S820" s="7">
        <f>'1 datos preparados'!R813</f>
        <v/>
      </c>
      <c r="T820" s="7">
        <f>'1 datos preparados'!S813</f>
        <v/>
      </c>
      <c r="U820" s="7">
        <f>'1 datos preparados'!T813</f>
        <v/>
      </c>
      <c r="V820" s="8">
        <f>$AC$12+D820*$AC$13+E820*$AC$14+F820*$AC$15+G820*$AC$16+H820*$AC$17+I820*$AC$18+J820*$AC$19+K820*$AC$20+L820*$AC$21+M820*$AC$22+N820*$AC$23+O820*$AC$24+P820*$AC$25+Q820*$AC$26+R820*$AC$27+S820*$AC$28+T820*$AC$29+U820*$AC$30</f>
        <v/>
      </c>
      <c r="W820" s="8">
        <f>1/(1+EXP(-V820))</f>
        <v/>
      </c>
      <c r="X820" s="9">
        <f>-IF(C820=1,LN(W820),LN(1-W820))</f>
        <v/>
      </c>
      <c r="Y820" s="10">
        <f>IF(W820&gt;$AC$33,1,0)</f>
        <v/>
      </c>
      <c r="Z820">
        <f>IF(Y820=C820,1,0)</f>
        <v/>
      </c>
    </row>
    <row r="821">
      <c r="A821">
        <f>'1 datos preparados'!A814</f>
        <v/>
      </c>
      <c r="B821" s="5">
        <f>'1 datos preparados'!U814</f>
        <v/>
      </c>
      <c r="C821">
        <f>'1 datos preparados'!B814</f>
        <v/>
      </c>
      <c r="D821" s="7">
        <f>'1 datos preparados'!C814</f>
        <v/>
      </c>
      <c r="E821" s="7">
        <f>'1 datos preparados'!D814</f>
        <v/>
      </c>
      <c r="F821" s="7">
        <f>'1 datos preparados'!E814</f>
        <v/>
      </c>
      <c r="G821" s="7">
        <f>'1 datos preparados'!F814</f>
        <v/>
      </c>
      <c r="H821" s="7">
        <f>'1 datos preparados'!G814</f>
        <v/>
      </c>
      <c r="I821" s="7">
        <f>'1 datos preparados'!H814</f>
        <v/>
      </c>
      <c r="J821" s="7">
        <f>'1 datos preparados'!I814</f>
        <v/>
      </c>
      <c r="K821" s="7">
        <f>'1 datos preparados'!J814</f>
        <v/>
      </c>
      <c r="L821" s="7">
        <f>'1 datos preparados'!K814</f>
        <v/>
      </c>
      <c r="M821" s="7">
        <f>'1 datos preparados'!L814</f>
        <v/>
      </c>
      <c r="N821" s="7">
        <f>'1 datos preparados'!M814</f>
        <v/>
      </c>
      <c r="O821" s="7">
        <f>'1 datos preparados'!N814</f>
        <v/>
      </c>
      <c r="P821" s="7">
        <f>'1 datos preparados'!O814</f>
        <v/>
      </c>
      <c r="Q821" s="7">
        <f>'1 datos preparados'!P814</f>
        <v/>
      </c>
      <c r="R821" s="7">
        <f>'1 datos preparados'!Q814</f>
        <v/>
      </c>
      <c r="S821" s="7">
        <f>'1 datos preparados'!R814</f>
        <v/>
      </c>
      <c r="T821" s="7">
        <f>'1 datos preparados'!S814</f>
        <v/>
      </c>
      <c r="U821" s="7">
        <f>'1 datos preparados'!T814</f>
        <v/>
      </c>
      <c r="V821" s="8">
        <f>$AC$12+D821*$AC$13+E821*$AC$14+F821*$AC$15+G821*$AC$16+H821*$AC$17+I821*$AC$18+J821*$AC$19+K821*$AC$20+L821*$AC$21+M821*$AC$22+N821*$AC$23+O821*$AC$24+P821*$AC$25+Q821*$AC$26+R821*$AC$27+S821*$AC$28+T821*$AC$29+U821*$AC$30</f>
        <v/>
      </c>
      <c r="W821" s="8">
        <f>1/(1+EXP(-V821))</f>
        <v/>
      </c>
      <c r="X821" s="9">
        <f>-IF(C821=1,LN(W821),LN(1-W821))</f>
        <v/>
      </c>
      <c r="Y821" s="10">
        <f>IF(W821&gt;$AC$33,1,0)</f>
        <v/>
      </c>
      <c r="Z821">
        <f>IF(Y821=C821,1,0)</f>
        <v/>
      </c>
    </row>
    <row r="822">
      <c r="A822">
        <f>'1 datos preparados'!A815</f>
        <v/>
      </c>
      <c r="B822" s="5">
        <f>'1 datos preparados'!U815</f>
        <v/>
      </c>
      <c r="C822">
        <f>'1 datos preparados'!B815</f>
        <v/>
      </c>
      <c r="D822" s="7">
        <f>'1 datos preparados'!C815</f>
        <v/>
      </c>
      <c r="E822" s="7">
        <f>'1 datos preparados'!D815</f>
        <v/>
      </c>
      <c r="F822" s="7">
        <f>'1 datos preparados'!E815</f>
        <v/>
      </c>
      <c r="G822" s="7">
        <f>'1 datos preparados'!F815</f>
        <v/>
      </c>
      <c r="H822" s="7">
        <f>'1 datos preparados'!G815</f>
        <v/>
      </c>
      <c r="I822" s="7">
        <f>'1 datos preparados'!H815</f>
        <v/>
      </c>
      <c r="J822" s="7">
        <f>'1 datos preparados'!I815</f>
        <v/>
      </c>
      <c r="K822" s="7">
        <f>'1 datos preparados'!J815</f>
        <v/>
      </c>
      <c r="L822" s="7">
        <f>'1 datos preparados'!K815</f>
        <v/>
      </c>
      <c r="M822" s="7">
        <f>'1 datos preparados'!L815</f>
        <v/>
      </c>
      <c r="N822" s="7">
        <f>'1 datos preparados'!M815</f>
        <v/>
      </c>
      <c r="O822" s="7">
        <f>'1 datos preparados'!N815</f>
        <v/>
      </c>
      <c r="P822" s="7">
        <f>'1 datos preparados'!O815</f>
        <v/>
      </c>
      <c r="Q822" s="7">
        <f>'1 datos preparados'!P815</f>
        <v/>
      </c>
      <c r="R822" s="7">
        <f>'1 datos preparados'!Q815</f>
        <v/>
      </c>
      <c r="S822" s="7">
        <f>'1 datos preparados'!R815</f>
        <v/>
      </c>
      <c r="T822" s="7">
        <f>'1 datos preparados'!S815</f>
        <v/>
      </c>
      <c r="U822" s="7">
        <f>'1 datos preparados'!T815</f>
        <v/>
      </c>
      <c r="V822" s="8">
        <f>$AC$12+D822*$AC$13+E822*$AC$14+F822*$AC$15+G822*$AC$16+H822*$AC$17+I822*$AC$18+J822*$AC$19+K822*$AC$20+L822*$AC$21+M822*$AC$22+N822*$AC$23+O822*$AC$24+P822*$AC$25+Q822*$AC$26+R822*$AC$27+S822*$AC$28+T822*$AC$29+U822*$AC$30</f>
        <v/>
      </c>
      <c r="W822" s="8">
        <f>1/(1+EXP(-V822))</f>
        <v/>
      </c>
      <c r="X822" s="9">
        <f>-IF(C822=1,LN(W822),LN(1-W822))</f>
        <v/>
      </c>
      <c r="Y822" s="10">
        <f>IF(W822&gt;$AC$33,1,0)</f>
        <v/>
      </c>
      <c r="Z822">
        <f>IF(Y822=C822,1,0)</f>
        <v/>
      </c>
    </row>
    <row r="823">
      <c r="A823">
        <f>'1 datos preparados'!A816</f>
        <v/>
      </c>
      <c r="B823" s="5">
        <f>'1 datos preparados'!U816</f>
        <v/>
      </c>
      <c r="C823">
        <f>'1 datos preparados'!B816</f>
        <v/>
      </c>
      <c r="D823" s="7">
        <f>'1 datos preparados'!C816</f>
        <v/>
      </c>
      <c r="E823" s="7">
        <f>'1 datos preparados'!D816</f>
        <v/>
      </c>
      <c r="F823" s="7">
        <f>'1 datos preparados'!E816</f>
        <v/>
      </c>
      <c r="G823" s="7">
        <f>'1 datos preparados'!F816</f>
        <v/>
      </c>
      <c r="H823" s="7">
        <f>'1 datos preparados'!G816</f>
        <v/>
      </c>
      <c r="I823" s="7">
        <f>'1 datos preparados'!H816</f>
        <v/>
      </c>
      <c r="J823" s="7">
        <f>'1 datos preparados'!I816</f>
        <v/>
      </c>
      <c r="K823" s="7">
        <f>'1 datos preparados'!J816</f>
        <v/>
      </c>
      <c r="L823" s="7">
        <f>'1 datos preparados'!K816</f>
        <v/>
      </c>
      <c r="M823" s="7">
        <f>'1 datos preparados'!L816</f>
        <v/>
      </c>
      <c r="N823" s="7">
        <f>'1 datos preparados'!M816</f>
        <v/>
      </c>
      <c r="O823" s="7">
        <f>'1 datos preparados'!N816</f>
        <v/>
      </c>
      <c r="P823" s="7">
        <f>'1 datos preparados'!O816</f>
        <v/>
      </c>
      <c r="Q823" s="7">
        <f>'1 datos preparados'!P816</f>
        <v/>
      </c>
      <c r="R823" s="7">
        <f>'1 datos preparados'!Q816</f>
        <v/>
      </c>
      <c r="S823" s="7">
        <f>'1 datos preparados'!R816</f>
        <v/>
      </c>
      <c r="T823" s="7">
        <f>'1 datos preparados'!S816</f>
        <v/>
      </c>
      <c r="U823" s="7">
        <f>'1 datos preparados'!T816</f>
        <v/>
      </c>
      <c r="V823" s="8">
        <f>$AC$12+D823*$AC$13+E823*$AC$14+F823*$AC$15+G823*$AC$16+H823*$AC$17+I823*$AC$18+J823*$AC$19+K823*$AC$20+L823*$AC$21+M823*$AC$22+N823*$AC$23+O823*$AC$24+P823*$AC$25+Q823*$AC$26+R823*$AC$27+S823*$AC$28+T823*$AC$29+U823*$AC$30</f>
        <v/>
      </c>
      <c r="W823" s="8">
        <f>1/(1+EXP(-V823))</f>
        <v/>
      </c>
      <c r="X823" s="9">
        <f>-IF(C823=1,LN(W823),LN(1-W823))</f>
        <v/>
      </c>
      <c r="Y823" s="10">
        <f>IF(W823&gt;$AC$33,1,0)</f>
        <v/>
      </c>
      <c r="Z823">
        <f>IF(Y823=C823,1,0)</f>
        <v/>
      </c>
    </row>
    <row r="824">
      <c r="A824">
        <f>'1 datos preparados'!A817</f>
        <v/>
      </c>
      <c r="B824" s="5">
        <f>'1 datos preparados'!U817</f>
        <v/>
      </c>
      <c r="C824">
        <f>'1 datos preparados'!B817</f>
        <v/>
      </c>
      <c r="D824" s="7">
        <f>'1 datos preparados'!C817</f>
        <v/>
      </c>
      <c r="E824" s="7">
        <f>'1 datos preparados'!D817</f>
        <v/>
      </c>
      <c r="F824" s="7">
        <f>'1 datos preparados'!E817</f>
        <v/>
      </c>
      <c r="G824" s="7">
        <f>'1 datos preparados'!F817</f>
        <v/>
      </c>
      <c r="H824" s="7">
        <f>'1 datos preparados'!G817</f>
        <v/>
      </c>
      <c r="I824" s="7">
        <f>'1 datos preparados'!H817</f>
        <v/>
      </c>
      <c r="J824" s="7">
        <f>'1 datos preparados'!I817</f>
        <v/>
      </c>
      <c r="K824" s="7">
        <f>'1 datos preparados'!J817</f>
        <v/>
      </c>
      <c r="L824" s="7">
        <f>'1 datos preparados'!K817</f>
        <v/>
      </c>
      <c r="M824" s="7">
        <f>'1 datos preparados'!L817</f>
        <v/>
      </c>
      <c r="N824" s="7">
        <f>'1 datos preparados'!M817</f>
        <v/>
      </c>
      <c r="O824" s="7">
        <f>'1 datos preparados'!N817</f>
        <v/>
      </c>
      <c r="P824" s="7">
        <f>'1 datos preparados'!O817</f>
        <v/>
      </c>
      <c r="Q824" s="7">
        <f>'1 datos preparados'!P817</f>
        <v/>
      </c>
      <c r="R824" s="7">
        <f>'1 datos preparados'!Q817</f>
        <v/>
      </c>
      <c r="S824" s="7">
        <f>'1 datos preparados'!R817</f>
        <v/>
      </c>
      <c r="T824" s="7">
        <f>'1 datos preparados'!S817</f>
        <v/>
      </c>
      <c r="U824" s="7">
        <f>'1 datos preparados'!T817</f>
        <v/>
      </c>
      <c r="V824" s="8">
        <f>$AC$12+D824*$AC$13+E824*$AC$14+F824*$AC$15+G824*$AC$16+H824*$AC$17+I824*$AC$18+J824*$AC$19+K824*$AC$20+L824*$AC$21+M824*$AC$22+N824*$AC$23+O824*$AC$24+P824*$AC$25+Q824*$AC$26+R824*$AC$27+S824*$AC$28+T824*$AC$29+U824*$AC$30</f>
        <v/>
      </c>
      <c r="W824" s="8">
        <f>1/(1+EXP(-V824))</f>
        <v/>
      </c>
      <c r="X824" s="9">
        <f>-IF(C824=1,LN(W824),LN(1-W824))</f>
        <v/>
      </c>
      <c r="Y824" s="10">
        <f>IF(W824&gt;$AC$33,1,0)</f>
        <v/>
      </c>
      <c r="Z824">
        <f>IF(Y824=C824,1,0)</f>
        <v/>
      </c>
    </row>
    <row r="825">
      <c r="A825">
        <f>'1 datos preparados'!A818</f>
        <v/>
      </c>
      <c r="B825" s="5">
        <f>'1 datos preparados'!U818</f>
        <v/>
      </c>
      <c r="C825">
        <f>'1 datos preparados'!B818</f>
        <v/>
      </c>
      <c r="D825" s="7">
        <f>'1 datos preparados'!C818</f>
        <v/>
      </c>
      <c r="E825" s="7">
        <f>'1 datos preparados'!D818</f>
        <v/>
      </c>
      <c r="F825" s="7">
        <f>'1 datos preparados'!E818</f>
        <v/>
      </c>
      <c r="G825" s="7">
        <f>'1 datos preparados'!F818</f>
        <v/>
      </c>
      <c r="H825" s="7">
        <f>'1 datos preparados'!G818</f>
        <v/>
      </c>
      <c r="I825" s="7">
        <f>'1 datos preparados'!H818</f>
        <v/>
      </c>
      <c r="J825" s="7">
        <f>'1 datos preparados'!I818</f>
        <v/>
      </c>
      <c r="K825" s="7">
        <f>'1 datos preparados'!J818</f>
        <v/>
      </c>
      <c r="L825" s="7">
        <f>'1 datos preparados'!K818</f>
        <v/>
      </c>
      <c r="M825" s="7">
        <f>'1 datos preparados'!L818</f>
        <v/>
      </c>
      <c r="N825" s="7">
        <f>'1 datos preparados'!M818</f>
        <v/>
      </c>
      <c r="O825" s="7">
        <f>'1 datos preparados'!N818</f>
        <v/>
      </c>
      <c r="P825" s="7">
        <f>'1 datos preparados'!O818</f>
        <v/>
      </c>
      <c r="Q825" s="7">
        <f>'1 datos preparados'!P818</f>
        <v/>
      </c>
      <c r="R825" s="7">
        <f>'1 datos preparados'!Q818</f>
        <v/>
      </c>
      <c r="S825" s="7">
        <f>'1 datos preparados'!R818</f>
        <v/>
      </c>
      <c r="T825" s="7">
        <f>'1 datos preparados'!S818</f>
        <v/>
      </c>
      <c r="U825" s="7">
        <f>'1 datos preparados'!T818</f>
        <v/>
      </c>
      <c r="V825" s="8">
        <f>$AC$12+D825*$AC$13+E825*$AC$14+F825*$AC$15+G825*$AC$16+H825*$AC$17+I825*$AC$18+J825*$AC$19+K825*$AC$20+L825*$AC$21+M825*$AC$22+N825*$AC$23+O825*$AC$24+P825*$AC$25+Q825*$AC$26+R825*$AC$27+S825*$AC$28+T825*$AC$29+U825*$AC$30</f>
        <v/>
      </c>
      <c r="W825" s="8">
        <f>1/(1+EXP(-V825))</f>
        <v/>
      </c>
      <c r="X825" s="9">
        <f>-IF(C825=1,LN(W825),LN(1-W825))</f>
        <v/>
      </c>
      <c r="Y825" s="10">
        <f>IF(W825&gt;$AC$33,1,0)</f>
        <v/>
      </c>
      <c r="Z825">
        <f>IF(Y825=C825,1,0)</f>
        <v/>
      </c>
    </row>
    <row r="826">
      <c r="A826">
        <f>'1 datos preparados'!A819</f>
        <v/>
      </c>
      <c r="B826" s="5">
        <f>'1 datos preparados'!U819</f>
        <v/>
      </c>
      <c r="C826">
        <f>'1 datos preparados'!B819</f>
        <v/>
      </c>
      <c r="D826" s="7">
        <f>'1 datos preparados'!C819</f>
        <v/>
      </c>
      <c r="E826" s="7">
        <f>'1 datos preparados'!D819</f>
        <v/>
      </c>
      <c r="F826" s="7">
        <f>'1 datos preparados'!E819</f>
        <v/>
      </c>
      <c r="G826" s="7">
        <f>'1 datos preparados'!F819</f>
        <v/>
      </c>
      <c r="H826" s="7">
        <f>'1 datos preparados'!G819</f>
        <v/>
      </c>
      <c r="I826" s="7">
        <f>'1 datos preparados'!H819</f>
        <v/>
      </c>
      <c r="J826" s="7">
        <f>'1 datos preparados'!I819</f>
        <v/>
      </c>
      <c r="K826" s="7">
        <f>'1 datos preparados'!J819</f>
        <v/>
      </c>
      <c r="L826" s="7">
        <f>'1 datos preparados'!K819</f>
        <v/>
      </c>
      <c r="M826" s="7">
        <f>'1 datos preparados'!L819</f>
        <v/>
      </c>
      <c r="N826" s="7">
        <f>'1 datos preparados'!M819</f>
        <v/>
      </c>
      <c r="O826" s="7">
        <f>'1 datos preparados'!N819</f>
        <v/>
      </c>
      <c r="P826" s="7">
        <f>'1 datos preparados'!O819</f>
        <v/>
      </c>
      <c r="Q826" s="7">
        <f>'1 datos preparados'!P819</f>
        <v/>
      </c>
      <c r="R826" s="7">
        <f>'1 datos preparados'!Q819</f>
        <v/>
      </c>
      <c r="S826" s="7">
        <f>'1 datos preparados'!R819</f>
        <v/>
      </c>
      <c r="T826" s="7">
        <f>'1 datos preparados'!S819</f>
        <v/>
      </c>
      <c r="U826" s="7">
        <f>'1 datos preparados'!T819</f>
        <v/>
      </c>
      <c r="V826" s="8">
        <f>$AC$12+D826*$AC$13+E826*$AC$14+F826*$AC$15+G826*$AC$16+H826*$AC$17+I826*$AC$18+J826*$AC$19+K826*$AC$20+L826*$AC$21+M826*$AC$22+N826*$AC$23+O826*$AC$24+P826*$AC$25+Q826*$AC$26+R826*$AC$27+S826*$AC$28+T826*$AC$29+U826*$AC$30</f>
        <v/>
      </c>
      <c r="W826" s="8">
        <f>1/(1+EXP(-V826))</f>
        <v/>
      </c>
      <c r="X826" s="9">
        <f>-IF(C826=1,LN(W826),LN(1-W826))</f>
        <v/>
      </c>
      <c r="Y826" s="10">
        <f>IF(W826&gt;$AC$33,1,0)</f>
        <v/>
      </c>
      <c r="Z826">
        <f>IF(Y826=C826,1,0)</f>
        <v/>
      </c>
    </row>
    <row r="827">
      <c r="A827">
        <f>'1 datos preparados'!A820</f>
        <v/>
      </c>
      <c r="B827" s="5">
        <f>'1 datos preparados'!U820</f>
        <v/>
      </c>
      <c r="C827">
        <f>'1 datos preparados'!B820</f>
        <v/>
      </c>
      <c r="D827" s="7">
        <f>'1 datos preparados'!C820</f>
        <v/>
      </c>
      <c r="E827" s="7">
        <f>'1 datos preparados'!D820</f>
        <v/>
      </c>
      <c r="F827" s="7">
        <f>'1 datos preparados'!E820</f>
        <v/>
      </c>
      <c r="G827" s="7">
        <f>'1 datos preparados'!F820</f>
        <v/>
      </c>
      <c r="H827" s="7">
        <f>'1 datos preparados'!G820</f>
        <v/>
      </c>
      <c r="I827" s="7">
        <f>'1 datos preparados'!H820</f>
        <v/>
      </c>
      <c r="J827" s="7">
        <f>'1 datos preparados'!I820</f>
        <v/>
      </c>
      <c r="K827" s="7">
        <f>'1 datos preparados'!J820</f>
        <v/>
      </c>
      <c r="L827" s="7">
        <f>'1 datos preparados'!K820</f>
        <v/>
      </c>
      <c r="M827" s="7">
        <f>'1 datos preparados'!L820</f>
        <v/>
      </c>
      <c r="N827" s="7">
        <f>'1 datos preparados'!M820</f>
        <v/>
      </c>
      <c r="O827" s="7">
        <f>'1 datos preparados'!N820</f>
        <v/>
      </c>
      <c r="P827" s="7">
        <f>'1 datos preparados'!O820</f>
        <v/>
      </c>
      <c r="Q827" s="7">
        <f>'1 datos preparados'!P820</f>
        <v/>
      </c>
      <c r="R827" s="7">
        <f>'1 datos preparados'!Q820</f>
        <v/>
      </c>
      <c r="S827" s="7">
        <f>'1 datos preparados'!R820</f>
        <v/>
      </c>
      <c r="T827" s="7">
        <f>'1 datos preparados'!S820</f>
        <v/>
      </c>
      <c r="U827" s="7">
        <f>'1 datos preparados'!T820</f>
        <v/>
      </c>
      <c r="V827" s="8">
        <f>$AC$12+D827*$AC$13+E827*$AC$14+F827*$AC$15+G827*$AC$16+H827*$AC$17+I827*$AC$18+J827*$AC$19+K827*$AC$20+L827*$AC$21+M827*$AC$22+N827*$AC$23+O827*$AC$24+P827*$AC$25+Q827*$AC$26+R827*$AC$27+S827*$AC$28+T827*$AC$29+U827*$AC$30</f>
        <v/>
      </c>
      <c r="W827" s="8">
        <f>1/(1+EXP(-V827))</f>
        <v/>
      </c>
      <c r="X827" s="9">
        <f>-IF(C827=1,LN(W827),LN(1-W827))</f>
        <v/>
      </c>
      <c r="Y827" s="10">
        <f>IF(W827&gt;$AC$33,1,0)</f>
        <v/>
      </c>
      <c r="Z827">
        <f>IF(Y827=C827,1,0)</f>
        <v/>
      </c>
    </row>
    <row r="828">
      <c r="A828">
        <f>'1 datos preparados'!A821</f>
        <v/>
      </c>
      <c r="B828" s="5">
        <f>'1 datos preparados'!U821</f>
        <v/>
      </c>
      <c r="C828">
        <f>'1 datos preparados'!B821</f>
        <v/>
      </c>
      <c r="D828" s="7">
        <f>'1 datos preparados'!C821</f>
        <v/>
      </c>
      <c r="E828" s="7">
        <f>'1 datos preparados'!D821</f>
        <v/>
      </c>
      <c r="F828" s="7">
        <f>'1 datos preparados'!E821</f>
        <v/>
      </c>
      <c r="G828" s="7">
        <f>'1 datos preparados'!F821</f>
        <v/>
      </c>
      <c r="H828" s="7">
        <f>'1 datos preparados'!G821</f>
        <v/>
      </c>
      <c r="I828" s="7">
        <f>'1 datos preparados'!H821</f>
        <v/>
      </c>
      <c r="J828" s="7">
        <f>'1 datos preparados'!I821</f>
        <v/>
      </c>
      <c r="K828" s="7">
        <f>'1 datos preparados'!J821</f>
        <v/>
      </c>
      <c r="L828" s="7">
        <f>'1 datos preparados'!K821</f>
        <v/>
      </c>
      <c r="M828" s="7">
        <f>'1 datos preparados'!L821</f>
        <v/>
      </c>
      <c r="N828" s="7">
        <f>'1 datos preparados'!M821</f>
        <v/>
      </c>
      <c r="O828" s="7">
        <f>'1 datos preparados'!N821</f>
        <v/>
      </c>
      <c r="P828" s="7">
        <f>'1 datos preparados'!O821</f>
        <v/>
      </c>
      <c r="Q828" s="7">
        <f>'1 datos preparados'!P821</f>
        <v/>
      </c>
      <c r="R828" s="7">
        <f>'1 datos preparados'!Q821</f>
        <v/>
      </c>
      <c r="S828" s="7">
        <f>'1 datos preparados'!R821</f>
        <v/>
      </c>
      <c r="T828" s="7">
        <f>'1 datos preparados'!S821</f>
        <v/>
      </c>
      <c r="U828" s="7">
        <f>'1 datos preparados'!T821</f>
        <v/>
      </c>
      <c r="V828" s="8">
        <f>$AC$12+D828*$AC$13+E828*$AC$14+F828*$AC$15+G828*$AC$16+H828*$AC$17+I828*$AC$18+J828*$AC$19+K828*$AC$20+L828*$AC$21+M828*$AC$22+N828*$AC$23+O828*$AC$24+P828*$AC$25+Q828*$AC$26+R828*$AC$27+S828*$AC$28+T828*$AC$29+U828*$AC$30</f>
        <v/>
      </c>
      <c r="W828" s="8">
        <f>1/(1+EXP(-V828))</f>
        <v/>
      </c>
      <c r="X828" s="9">
        <f>-IF(C828=1,LN(W828),LN(1-W828))</f>
        <v/>
      </c>
      <c r="Y828" s="10">
        <f>IF(W828&gt;$AC$33,1,0)</f>
        <v/>
      </c>
      <c r="Z828">
        <f>IF(Y828=C828,1,0)</f>
        <v/>
      </c>
    </row>
    <row r="829">
      <c r="A829">
        <f>'1 datos preparados'!A822</f>
        <v/>
      </c>
      <c r="B829" s="5">
        <f>'1 datos preparados'!U822</f>
        <v/>
      </c>
      <c r="C829">
        <f>'1 datos preparados'!B822</f>
        <v/>
      </c>
      <c r="D829" s="7">
        <f>'1 datos preparados'!C822</f>
        <v/>
      </c>
      <c r="E829" s="7">
        <f>'1 datos preparados'!D822</f>
        <v/>
      </c>
      <c r="F829" s="7">
        <f>'1 datos preparados'!E822</f>
        <v/>
      </c>
      <c r="G829" s="7">
        <f>'1 datos preparados'!F822</f>
        <v/>
      </c>
      <c r="H829" s="7">
        <f>'1 datos preparados'!G822</f>
        <v/>
      </c>
      <c r="I829" s="7">
        <f>'1 datos preparados'!H822</f>
        <v/>
      </c>
      <c r="J829" s="7">
        <f>'1 datos preparados'!I822</f>
        <v/>
      </c>
      <c r="K829" s="7">
        <f>'1 datos preparados'!J822</f>
        <v/>
      </c>
      <c r="L829" s="7">
        <f>'1 datos preparados'!K822</f>
        <v/>
      </c>
      <c r="M829" s="7">
        <f>'1 datos preparados'!L822</f>
        <v/>
      </c>
      <c r="N829" s="7">
        <f>'1 datos preparados'!M822</f>
        <v/>
      </c>
      <c r="O829" s="7">
        <f>'1 datos preparados'!N822</f>
        <v/>
      </c>
      <c r="P829" s="7">
        <f>'1 datos preparados'!O822</f>
        <v/>
      </c>
      <c r="Q829" s="7">
        <f>'1 datos preparados'!P822</f>
        <v/>
      </c>
      <c r="R829" s="7">
        <f>'1 datos preparados'!Q822</f>
        <v/>
      </c>
      <c r="S829" s="7">
        <f>'1 datos preparados'!R822</f>
        <v/>
      </c>
      <c r="T829" s="7">
        <f>'1 datos preparados'!S822</f>
        <v/>
      </c>
      <c r="U829" s="7">
        <f>'1 datos preparados'!T822</f>
        <v/>
      </c>
      <c r="V829" s="8">
        <f>$AC$12+D829*$AC$13+E829*$AC$14+F829*$AC$15+G829*$AC$16+H829*$AC$17+I829*$AC$18+J829*$AC$19+K829*$AC$20+L829*$AC$21+M829*$AC$22+N829*$AC$23+O829*$AC$24+P829*$AC$25+Q829*$AC$26+R829*$AC$27+S829*$AC$28+T829*$AC$29+U829*$AC$30</f>
        <v/>
      </c>
      <c r="W829" s="8">
        <f>1/(1+EXP(-V829))</f>
        <v/>
      </c>
      <c r="X829" s="9">
        <f>-IF(C829=1,LN(W829),LN(1-W829))</f>
        <v/>
      </c>
      <c r="Y829" s="10">
        <f>IF(W829&gt;$AC$33,1,0)</f>
        <v/>
      </c>
      <c r="Z829">
        <f>IF(Y829=C829,1,0)</f>
        <v/>
      </c>
    </row>
    <row r="830">
      <c r="A830">
        <f>'1 datos preparados'!A823</f>
        <v/>
      </c>
      <c r="B830" s="5">
        <f>'1 datos preparados'!U823</f>
        <v/>
      </c>
      <c r="C830">
        <f>'1 datos preparados'!B823</f>
        <v/>
      </c>
      <c r="D830" s="7">
        <f>'1 datos preparados'!C823</f>
        <v/>
      </c>
      <c r="E830" s="7">
        <f>'1 datos preparados'!D823</f>
        <v/>
      </c>
      <c r="F830" s="7">
        <f>'1 datos preparados'!E823</f>
        <v/>
      </c>
      <c r="G830" s="7">
        <f>'1 datos preparados'!F823</f>
        <v/>
      </c>
      <c r="H830" s="7">
        <f>'1 datos preparados'!G823</f>
        <v/>
      </c>
      <c r="I830" s="7">
        <f>'1 datos preparados'!H823</f>
        <v/>
      </c>
      <c r="J830" s="7">
        <f>'1 datos preparados'!I823</f>
        <v/>
      </c>
      <c r="K830" s="7">
        <f>'1 datos preparados'!J823</f>
        <v/>
      </c>
      <c r="L830" s="7">
        <f>'1 datos preparados'!K823</f>
        <v/>
      </c>
      <c r="M830" s="7">
        <f>'1 datos preparados'!L823</f>
        <v/>
      </c>
      <c r="N830" s="7">
        <f>'1 datos preparados'!M823</f>
        <v/>
      </c>
      <c r="O830" s="7">
        <f>'1 datos preparados'!N823</f>
        <v/>
      </c>
      <c r="P830" s="7">
        <f>'1 datos preparados'!O823</f>
        <v/>
      </c>
      <c r="Q830" s="7">
        <f>'1 datos preparados'!P823</f>
        <v/>
      </c>
      <c r="R830" s="7">
        <f>'1 datos preparados'!Q823</f>
        <v/>
      </c>
      <c r="S830" s="7">
        <f>'1 datos preparados'!R823</f>
        <v/>
      </c>
      <c r="T830" s="7">
        <f>'1 datos preparados'!S823</f>
        <v/>
      </c>
      <c r="U830" s="7">
        <f>'1 datos preparados'!T823</f>
        <v/>
      </c>
      <c r="V830" s="8">
        <f>$AC$12+D830*$AC$13+E830*$AC$14+F830*$AC$15+G830*$AC$16+H830*$AC$17+I830*$AC$18+J830*$AC$19+K830*$AC$20+L830*$AC$21+M830*$AC$22+N830*$AC$23+O830*$AC$24+P830*$AC$25+Q830*$AC$26+R830*$AC$27+S830*$AC$28+T830*$AC$29+U830*$AC$30</f>
        <v/>
      </c>
      <c r="W830" s="8">
        <f>1/(1+EXP(-V830))</f>
        <v/>
      </c>
      <c r="X830" s="9">
        <f>-IF(C830=1,LN(W830),LN(1-W830))</f>
        <v/>
      </c>
      <c r="Y830" s="10">
        <f>IF(W830&gt;$AC$33,1,0)</f>
        <v/>
      </c>
      <c r="Z830">
        <f>IF(Y830=C830,1,0)</f>
        <v/>
      </c>
    </row>
    <row r="831">
      <c r="A831">
        <f>'1 datos preparados'!A824</f>
        <v/>
      </c>
      <c r="B831" s="5">
        <f>'1 datos preparados'!U824</f>
        <v/>
      </c>
      <c r="C831">
        <f>'1 datos preparados'!B824</f>
        <v/>
      </c>
      <c r="D831" s="7">
        <f>'1 datos preparados'!C824</f>
        <v/>
      </c>
      <c r="E831" s="7">
        <f>'1 datos preparados'!D824</f>
        <v/>
      </c>
      <c r="F831" s="7">
        <f>'1 datos preparados'!E824</f>
        <v/>
      </c>
      <c r="G831" s="7">
        <f>'1 datos preparados'!F824</f>
        <v/>
      </c>
      <c r="H831" s="7">
        <f>'1 datos preparados'!G824</f>
        <v/>
      </c>
      <c r="I831" s="7">
        <f>'1 datos preparados'!H824</f>
        <v/>
      </c>
      <c r="J831" s="7">
        <f>'1 datos preparados'!I824</f>
        <v/>
      </c>
      <c r="K831" s="7">
        <f>'1 datos preparados'!J824</f>
        <v/>
      </c>
      <c r="L831" s="7">
        <f>'1 datos preparados'!K824</f>
        <v/>
      </c>
      <c r="M831" s="7">
        <f>'1 datos preparados'!L824</f>
        <v/>
      </c>
      <c r="N831" s="7">
        <f>'1 datos preparados'!M824</f>
        <v/>
      </c>
      <c r="O831" s="7">
        <f>'1 datos preparados'!N824</f>
        <v/>
      </c>
      <c r="P831" s="7">
        <f>'1 datos preparados'!O824</f>
        <v/>
      </c>
      <c r="Q831" s="7">
        <f>'1 datos preparados'!P824</f>
        <v/>
      </c>
      <c r="R831" s="7">
        <f>'1 datos preparados'!Q824</f>
        <v/>
      </c>
      <c r="S831" s="7">
        <f>'1 datos preparados'!R824</f>
        <v/>
      </c>
      <c r="T831" s="7">
        <f>'1 datos preparados'!S824</f>
        <v/>
      </c>
      <c r="U831" s="7">
        <f>'1 datos preparados'!T824</f>
        <v/>
      </c>
      <c r="V831" s="8">
        <f>$AC$12+D831*$AC$13+E831*$AC$14+F831*$AC$15+G831*$AC$16+H831*$AC$17+I831*$AC$18+J831*$AC$19+K831*$AC$20+L831*$AC$21+M831*$AC$22+N831*$AC$23+O831*$AC$24+P831*$AC$25+Q831*$AC$26+R831*$AC$27+S831*$AC$28+T831*$AC$29+U831*$AC$30</f>
        <v/>
      </c>
      <c r="W831" s="8">
        <f>1/(1+EXP(-V831))</f>
        <v/>
      </c>
      <c r="X831" s="9">
        <f>-IF(C831=1,LN(W831),LN(1-W831))</f>
        <v/>
      </c>
      <c r="Y831" s="10">
        <f>IF(W831&gt;$AC$33,1,0)</f>
        <v/>
      </c>
      <c r="Z831">
        <f>IF(Y831=C831,1,0)</f>
        <v/>
      </c>
    </row>
    <row r="832">
      <c r="A832">
        <f>'1 datos preparados'!A825</f>
        <v/>
      </c>
      <c r="B832" s="5">
        <f>'1 datos preparados'!U825</f>
        <v/>
      </c>
      <c r="C832">
        <f>'1 datos preparados'!B825</f>
        <v/>
      </c>
      <c r="D832" s="7">
        <f>'1 datos preparados'!C825</f>
        <v/>
      </c>
      <c r="E832" s="7">
        <f>'1 datos preparados'!D825</f>
        <v/>
      </c>
      <c r="F832" s="7">
        <f>'1 datos preparados'!E825</f>
        <v/>
      </c>
      <c r="G832" s="7">
        <f>'1 datos preparados'!F825</f>
        <v/>
      </c>
      <c r="H832" s="7">
        <f>'1 datos preparados'!G825</f>
        <v/>
      </c>
      <c r="I832" s="7">
        <f>'1 datos preparados'!H825</f>
        <v/>
      </c>
      <c r="J832" s="7">
        <f>'1 datos preparados'!I825</f>
        <v/>
      </c>
      <c r="K832" s="7">
        <f>'1 datos preparados'!J825</f>
        <v/>
      </c>
      <c r="L832" s="7">
        <f>'1 datos preparados'!K825</f>
        <v/>
      </c>
      <c r="M832" s="7">
        <f>'1 datos preparados'!L825</f>
        <v/>
      </c>
      <c r="N832" s="7">
        <f>'1 datos preparados'!M825</f>
        <v/>
      </c>
      <c r="O832" s="7">
        <f>'1 datos preparados'!N825</f>
        <v/>
      </c>
      <c r="P832" s="7">
        <f>'1 datos preparados'!O825</f>
        <v/>
      </c>
      <c r="Q832" s="7">
        <f>'1 datos preparados'!P825</f>
        <v/>
      </c>
      <c r="R832" s="7">
        <f>'1 datos preparados'!Q825</f>
        <v/>
      </c>
      <c r="S832" s="7">
        <f>'1 datos preparados'!R825</f>
        <v/>
      </c>
      <c r="T832" s="7">
        <f>'1 datos preparados'!S825</f>
        <v/>
      </c>
      <c r="U832" s="7">
        <f>'1 datos preparados'!T825</f>
        <v/>
      </c>
      <c r="V832" s="8">
        <f>$AC$12+D832*$AC$13+E832*$AC$14+F832*$AC$15+G832*$AC$16+H832*$AC$17+I832*$AC$18+J832*$AC$19+K832*$AC$20+L832*$AC$21+M832*$AC$22+N832*$AC$23+O832*$AC$24+P832*$AC$25+Q832*$AC$26+R832*$AC$27+S832*$AC$28+T832*$AC$29+U832*$AC$30</f>
        <v/>
      </c>
      <c r="W832" s="8">
        <f>1/(1+EXP(-V832))</f>
        <v/>
      </c>
      <c r="X832" s="9">
        <f>-IF(C832=1,LN(W832),LN(1-W832))</f>
        <v/>
      </c>
      <c r="Y832" s="10">
        <f>IF(W832&gt;$AC$33,1,0)</f>
        <v/>
      </c>
      <c r="Z832">
        <f>IF(Y832=C832,1,0)</f>
        <v/>
      </c>
    </row>
    <row r="833">
      <c r="A833">
        <f>'1 datos preparados'!A826</f>
        <v/>
      </c>
      <c r="B833" s="5">
        <f>'1 datos preparados'!U826</f>
        <v/>
      </c>
      <c r="C833">
        <f>'1 datos preparados'!B826</f>
        <v/>
      </c>
      <c r="D833" s="7">
        <f>'1 datos preparados'!C826</f>
        <v/>
      </c>
      <c r="E833" s="7">
        <f>'1 datos preparados'!D826</f>
        <v/>
      </c>
      <c r="F833" s="7">
        <f>'1 datos preparados'!E826</f>
        <v/>
      </c>
      <c r="G833" s="7">
        <f>'1 datos preparados'!F826</f>
        <v/>
      </c>
      <c r="H833" s="7">
        <f>'1 datos preparados'!G826</f>
        <v/>
      </c>
      <c r="I833" s="7">
        <f>'1 datos preparados'!H826</f>
        <v/>
      </c>
      <c r="J833" s="7">
        <f>'1 datos preparados'!I826</f>
        <v/>
      </c>
      <c r="K833" s="7">
        <f>'1 datos preparados'!J826</f>
        <v/>
      </c>
      <c r="L833" s="7">
        <f>'1 datos preparados'!K826</f>
        <v/>
      </c>
      <c r="M833" s="7">
        <f>'1 datos preparados'!L826</f>
        <v/>
      </c>
      <c r="N833" s="7">
        <f>'1 datos preparados'!M826</f>
        <v/>
      </c>
      <c r="O833" s="7">
        <f>'1 datos preparados'!N826</f>
        <v/>
      </c>
      <c r="P833" s="7">
        <f>'1 datos preparados'!O826</f>
        <v/>
      </c>
      <c r="Q833" s="7">
        <f>'1 datos preparados'!P826</f>
        <v/>
      </c>
      <c r="R833" s="7">
        <f>'1 datos preparados'!Q826</f>
        <v/>
      </c>
      <c r="S833" s="7">
        <f>'1 datos preparados'!R826</f>
        <v/>
      </c>
      <c r="T833" s="7">
        <f>'1 datos preparados'!S826</f>
        <v/>
      </c>
      <c r="U833" s="7">
        <f>'1 datos preparados'!T826</f>
        <v/>
      </c>
      <c r="V833" s="8">
        <f>$AC$12+D833*$AC$13+E833*$AC$14+F833*$AC$15+G833*$AC$16+H833*$AC$17+I833*$AC$18+J833*$AC$19+K833*$AC$20+L833*$AC$21+M833*$AC$22+N833*$AC$23+O833*$AC$24+P833*$AC$25+Q833*$AC$26+R833*$AC$27+S833*$AC$28+T833*$AC$29+U833*$AC$30</f>
        <v/>
      </c>
      <c r="W833" s="8">
        <f>1/(1+EXP(-V833))</f>
        <v/>
      </c>
      <c r="X833" s="9">
        <f>-IF(C833=1,LN(W833),LN(1-W833))</f>
        <v/>
      </c>
      <c r="Y833" s="10">
        <f>IF(W833&gt;$AC$33,1,0)</f>
        <v/>
      </c>
      <c r="Z833">
        <f>IF(Y833=C833,1,0)</f>
        <v/>
      </c>
    </row>
    <row r="834">
      <c r="A834">
        <f>'1 datos preparados'!A827</f>
        <v/>
      </c>
      <c r="B834" s="5">
        <f>'1 datos preparados'!U827</f>
        <v/>
      </c>
      <c r="C834">
        <f>'1 datos preparados'!B827</f>
        <v/>
      </c>
      <c r="D834" s="7">
        <f>'1 datos preparados'!C827</f>
        <v/>
      </c>
      <c r="E834" s="7">
        <f>'1 datos preparados'!D827</f>
        <v/>
      </c>
      <c r="F834" s="7">
        <f>'1 datos preparados'!E827</f>
        <v/>
      </c>
      <c r="G834" s="7">
        <f>'1 datos preparados'!F827</f>
        <v/>
      </c>
      <c r="H834" s="7">
        <f>'1 datos preparados'!G827</f>
        <v/>
      </c>
      <c r="I834" s="7">
        <f>'1 datos preparados'!H827</f>
        <v/>
      </c>
      <c r="J834" s="7">
        <f>'1 datos preparados'!I827</f>
        <v/>
      </c>
      <c r="K834" s="7">
        <f>'1 datos preparados'!J827</f>
        <v/>
      </c>
      <c r="L834" s="7">
        <f>'1 datos preparados'!K827</f>
        <v/>
      </c>
      <c r="M834" s="7">
        <f>'1 datos preparados'!L827</f>
        <v/>
      </c>
      <c r="N834" s="7">
        <f>'1 datos preparados'!M827</f>
        <v/>
      </c>
      <c r="O834" s="7">
        <f>'1 datos preparados'!N827</f>
        <v/>
      </c>
      <c r="P834" s="7">
        <f>'1 datos preparados'!O827</f>
        <v/>
      </c>
      <c r="Q834" s="7">
        <f>'1 datos preparados'!P827</f>
        <v/>
      </c>
      <c r="R834" s="7">
        <f>'1 datos preparados'!Q827</f>
        <v/>
      </c>
      <c r="S834" s="7">
        <f>'1 datos preparados'!R827</f>
        <v/>
      </c>
      <c r="T834" s="7">
        <f>'1 datos preparados'!S827</f>
        <v/>
      </c>
      <c r="U834" s="7">
        <f>'1 datos preparados'!T827</f>
        <v/>
      </c>
      <c r="V834" s="8">
        <f>$AC$12+D834*$AC$13+E834*$AC$14+F834*$AC$15+G834*$AC$16+H834*$AC$17+I834*$AC$18+J834*$AC$19+K834*$AC$20+L834*$AC$21+M834*$AC$22+N834*$AC$23+O834*$AC$24+P834*$AC$25+Q834*$AC$26+R834*$AC$27+S834*$AC$28+T834*$AC$29+U834*$AC$30</f>
        <v/>
      </c>
      <c r="W834" s="8">
        <f>1/(1+EXP(-V834))</f>
        <v/>
      </c>
      <c r="X834" s="9">
        <f>-IF(C834=1,LN(W834),LN(1-W834))</f>
        <v/>
      </c>
      <c r="Y834" s="10">
        <f>IF(W834&gt;$AC$33,1,0)</f>
        <v/>
      </c>
      <c r="Z834">
        <f>IF(Y834=C834,1,0)</f>
        <v/>
      </c>
    </row>
    <row r="835">
      <c r="A835">
        <f>'1 datos preparados'!A828</f>
        <v/>
      </c>
      <c r="B835" s="5">
        <f>'1 datos preparados'!U828</f>
        <v/>
      </c>
      <c r="C835">
        <f>'1 datos preparados'!B828</f>
        <v/>
      </c>
      <c r="D835" s="7">
        <f>'1 datos preparados'!C828</f>
        <v/>
      </c>
      <c r="E835" s="7">
        <f>'1 datos preparados'!D828</f>
        <v/>
      </c>
      <c r="F835" s="7">
        <f>'1 datos preparados'!E828</f>
        <v/>
      </c>
      <c r="G835" s="7">
        <f>'1 datos preparados'!F828</f>
        <v/>
      </c>
      <c r="H835" s="7">
        <f>'1 datos preparados'!G828</f>
        <v/>
      </c>
      <c r="I835" s="7">
        <f>'1 datos preparados'!H828</f>
        <v/>
      </c>
      <c r="J835" s="7">
        <f>'1 datos preparados'!I828</f>
        <v/>
      </c>
      <c r="K835" s="7">
        <f>'1 datos preparados'!J828</f>
        <v/>
      </c>
      <c r="L835" s="7">
        <f>'1 datos preparados'!K828</f>
        <v/>
      </c>
      <c r="M835" s="7">
        <f>'1 datos preparados'!L828</f>
        <v/>
      </c>
      <c r="N835" s="7">
        <f>'1 datos preparados'!M828</f>
        <v/>
      </c>
      <c r="O835" s="7">
        <f>'1 datos preparados'!N828</f>
        <v/>
      </c>
      <c r="P835" s="7">
        <f>'1 datos preparados'!O828</f>
        <v/>
      </c>
      <c r="Q835" s="7">
        <f>'1 datos preparados'!P828</f>
        <v/>
      </c>
      <c r="R835" s="7">
        <f>'1 datos preparados'!Q828</f>
        <v/>
      </c>
      <c r="S835" s="7">
        <f>'1 datos preparados'!R828</f>
        <v/>
      </c>
      <c r="T835" s="7">
        <f>'1 datos preparados'!S828</f>
        <v/>
      </c>
      <c r="U835" s="7">
        <f>'1 datos preparados'!T828</f>
        <v/>
      </c>
      <c r="V835" s="8">
        <f>$AC$12+D835*$AC$13+E835*$AC$14+F835*$AC$15+G835*$AC$16+H835*$AC$17+I835*$AC$18+J835*$AC$19+K835*$AC$20+L835*$AC$21+M835*$AC$22+N835*$AC$23+O835*$AC$24+P835*$AC$25+Q835*$AC$26+R835*$AC$27+S835*$AC$28+T835*$AC$29+U835*$AC$30</f>
        <v/>
      </c>
      <c r="W835" s="8">
        <f>1/(1+EXP(-V835))</f>
        <v/>
      </c>
      <c r="X835" s="9">
        <f>-IF(C835=1,LN(W835),LN(1-W835))</f>
        <v/>
      </c>
      <c r="Y835" s="10">
        <f>IF(W835&gt;$AC$33,1,0)</f>
        <v/>
      </c>
      <c r="Z835">
        <f>IF(Y835=C835,1,0)</f>
        <v/>
      </c>
    </row>
    <row r="836">
      <c r="A836">
        <f>'1 datos preparados'!A829</f>
        <v/>
      </c>
      <c r="B836" s="5">
        <f>'1 datos preparados'!U829</f>
        <v/>
      </c>
      <c r="C836">
        <f>'1 datos preparados'!B829</f>
        <v/>
      </c>
      <c r="D836" s="7">
        <f>'1 datos preparados'!C829</f>
        <v/>
      </c>
      <c r="E836" s="7">
        <f>'1 datos preparados'!D829</f>
        <v/>
      </c>
      <c r="F836" s="7">
        <f>'1 datos preparados'!E829</f>
        <v/>
      </c>
      <c r="G836" s="7">
        <f>'1 datos preparados'!F829</f>
        <v/>
      </c>
      <c r="H836" s="7">
        <f>'1 datos preparados'!G829</f>
        <v/>
      </c>
      <c r="I836" s="7">
        <f>'1 datos preparados'!H829</f>
        <v/>
      </c>
      <c r="J836" s="7">
        <f>'1 datos preparados'!I829</f>
        <v/>
      </c>
      <c r="K836" s="7">
        <f>'1 datos preparados'!J829</f>
        <v/>
      </c>
      <c r="L836" s="7">
        <f>'1 datos preparados'!K829</f>
        <v/>
      </c>
      <c r="M836" s="7">
        <f>'1 datos preparados'!L829</f>
        <v/>
      </c>
      <c r="N836" s="7">
        <f>'1 datos preparados'!M829</f>
        <v/>
      </c>
      <c r="O836" s="7">
        <f>'1 datos preparados'!N829</f>
        <v/>
      </c>
      <c r="P836" s="7">
        <f>'1 datos preparados'!O829</f>
        <v/>
      </c>
      <c r="Q836" s="7">
        <f>'1 datos preparados'!P829</f>
        <v/>
      </c>
      <c r="R836" s="7">
        <f>'1 datos preparados'!Q829</f>
        <v/>
      </c>
      <c r="S836" s="7">
        <f>'1 datos preparados'!R829</f>
        <v/>
      </c>
      <c r="T836" s="7">
        <f>'1 datos preparados'!S829</f>
        <v/>
      </c>
      <c r="U836" s="7">
        <f>'1 datos preparados'!T829</f>
        <v/>
      </c>
      <c r="V836" s="8">
        <f>$AC$12+D836*$AC$13+E836*$AC$14+F836*$AC$15+G836*$AC$16+H836*$AC$17+I836*$AC$18+J836*$AC$19+K836*$AC$20+L836*$AC$21+M836*$AC$22+N836*$AC$23+O836*$AC$24+P836*$AC$25+Q836*$AC$26+R836*$AC$27+S836*$AC$28+T836*$AC$29+U836*$AC$30</f>
        <v/>
      </c>
      <c r="W836" s="8">
        <f>1/(1+EXP(-V836))</f>
        <v/>
      </c>
      <c r="X836" s="9">
        <f>-IF(C836=1,LN(W836),LN(1-W836))</f>
        <v/>
      </c>
      <c r="Y836" s="10">
        <f>IF(W836&gt;$AC$33,1,0)</f>
        <v/>
      </c>
      <c r="Z836">
        <f>IF(Y836=C836,1,0)</f>
        <v/>
      </c>
    </row>
    <row r="837">
      <c r="A837">
        <f>'1 datos preparados'!A830</f>
        <v/>
      </c>
      <c r="B837" s="5">
        <f>'1 datos preparados'!U830</f>
        <v/>
      </c>
      <c r="C837">
        <f>'1 datos preparados'!B830</f>
        <v/>
      </c>
      <c r="D837" s="7">
        <f>'1 datos preparados'!C830</f>
        <v/>
      </c>
      <c r="E837" s="7">
        <f>'1 datos preparados'!D830</f>
        <v/>
      </c>
      <c r="F837" s="7">
        <f>'1 datos preparados'!E830</f>
        <v/>
      </c>
      <c r="G837" s="7">
        <f>'1 datos preparados'!F830</f>
        <v/>
      </c>
      <c r="H837" s="7">
        <f>'1 datos preparados'!G830</f>
        <v/>
      </c>
      <c r="I837" s="7">
        <f>'1 datos preparados'!H830</f>
        <v/>
      </c>
      <c r="J837" s="7">
        <f>'1 datos preparados'!I830</f>
        <v/>
      </c>
      <c r="K837" s="7">
        <f>'1 datos preparados'!J830</f>
        <v/>
      </c>
      <c r="L837" s="7">
        <f>'1 datos preparados'!K830</f>
        <v/>
      </c>
      <c r="M837" s="7">
        <f>'1 datos preparados'!L830</f>
        <v/>
      </c>
      <c r="N837" s="7">
        <f>'1 datos preparados'!M830</f>
        <v/>
      </c>
      <c r="O837" s="7">
        <f>'1 datos preparados'!N830</f>
        <v/>
      </c>
      <c r="P837" s="7">
        <f>'1 datos preparados'!O830</f>
        <v/>
      </c>
      <c r="Q837" s="7">
        <f>'1 datos preparados'!P830</f>
        <v/>
      </c>
      <c r="R837" s="7">
        <f>'1 datos preparados'!Q830</f>
        <v/>
      </c>
      <c r="S837" s="7">
        <f>'1 datos preparados'!R830</f>
        <v/>
      </c>
      <c r="T837" s="7">
        <f>'1 datos preparados'!S830</f>
        <v/>
      </c>
      <c r="U837" s="7">
        <f>'1 datos preparados'!T830</f>
        <v/>
      </c>
      <c r="V837" s="8">
        <f>$AC$12+D837*$AC$13+E837*$AC$14+F837*$AC$15+G837*$AC$16+H837*$AC$17+I837*$AC$18+J837*$AC$19+K837*$AC$20+L837*$AC$21+M837*$AC$22+N837*$AC$23+O837*$AC$24+P837*$AC$25+Q837*$AC$26+R837*$AC$27+S837*$AC$28+T837*$AC$29+U837*$AC$30</f>
        <v/>
      </c>
      <c r="W837" s="8">
        <f>1/(1+EXP(-V837))</f>
        <v/>
      </c>
      <c r="X837" s="9">
        <f>-IF(C837=1,LN(W837),LN(1-W837))</f>
        <v/>
      </c>
      <c r="Y837" s="10">
        <f>IF(W837&gt;$AC$33,1,0)</f>
        <v/>
      </c>
      <c r="Z837">
        <f>IF(Y837=C837,1,0)</f>
        <v/>
      </c>
    </row>
    <row r="838">
      <c r="A838">
        <f>'1 datos preparados'!A831</f>
        <v/>
      </c>
      <c r="B838" s="5">
        <f>'1 datos preparados'!U831</f>
        <v/>
      </c>
      <c r="C838">
        <f>'1 datos preparados'!B831</f>
        <v/>
      </c>
      <c r="D838" s="7">
        <f>'1 datos preparados'!C831</f>
        <v/>
      </c>
      <c r="E838" s="7">
        <f>'1 datos preparados'!D831</f>
        <v/>
      </c>
      <c r="F838" s="7">
        <f>'1 datos preparados'!E831</f>
        <v/>
      </c>
      <c r="G838" s="7">
        <f>'1 datos preparados'!F831</f>
        <v/>
      </c>
      <c r="H838" s="7">
        <f>'1 datos preparados'!G831</f>
        <v/>
      </c>
      <c r="I838" s="7">
        <f>'1 datos preparados'!H831</f>
        <v/>
      </c>
      <c r="J838" s="7">
        <f>'1 datos preparados'!I831</f>
        <v/>
      </c>
      <c r="K838" s="7">
        <f>'1 datos preparados'!J831</f>
        <v/>
      </c>
      <c r="L838" s="7">
        <f>'1 datos preparados'!K831</f>
        <v/>
      </c>
      <c r="M838" s="7">
        <f>'1 datos preparados'!L831</f>
        <v/>
      </c>
      <c r="N838" s="7">
        <f>'1 datos preparados'!M831</f>
        <v/>
      </c>
      <c r="O838" s="7">
        <f>'1 datos preparados'!N831</f>
        <v/>
      </c>
      <c r="P838" s="7">
        <f>'1 datos preparados'!O831</f>
        <v/>
      </c>
      <c r="Q838" s="7">
        <f>'1 datos preparados'!P831</f>
        <v/>
      </c>
      <c r="R838" s="7">
        <f>'1 datos preparados'!Q831</f>
        <v/>
      </c>
      <c r="S838" s="7">
        <f>'1 datos preparados'!R831</f>
        <v/>
      </c>
      <c r="T838" s="7">
        <f>'1 datos preparados'!S831</f>
        <v/>
      </c>
      <c r="U838" s="7">
        <f>'1 datos preparados'!T831</f>
        <v/>
      </c>
      <c r="V838" s="8">
        <f>$AC$12+D838*$AC$13+E838*$AC$14+F838*$AC$15+G838*$AC$16+H838*$AC$17+I838*$AC$18+J838*$AC$19+K838*$AC$20+L838*$AC$21+M838*$AC$22+N838*$AC$23+O838*$AC$24+P838*$AC$25+Q838*$AC$26+R838*$AC$27+S838*$AC$28+T838*$AC$29+U838*$AC$30</f>
        <v/>
      </c>
      <c r="W838" s="8">
        <f>1/(1+EXP(-V838))</f>
        <v/>
      </c>
      <c r="X838" s="9">
        <f>-IF(C838=1,LN(W838),LN(1-W838))</f>
        <v/>
      </c>
      <c r="Y838" s="10">
        <f>IF(W838&gt;$AC$33,1,0)</f>
        <v/>
      </c>
      <c r="Z838">
        <f>IF(Y838=C838,1,0)</f>
        <v/>
      </c>
    </row>
    <row r="839">
      <c r="A839">
        <f>'1 datos preparados'!A832</f>
        <v/>
      </c>
      <c r="B839" s="5">
        <f>'1 datos preparados'!U832</f>
        <v/>
      </c>
      <c r="C839">
        <f>'1 datos preparados'!B832</f>
        <v/>
      </c>
      <c r="D839" s="7">
        <f>'1 datos preparados'!C832</f>
        <v/>
      </c>
      <c r="E839" s="7">
        <f>'1 datos preparados'!D832</f>
        <v/>
      </c>
      <c r="F839" s="7">
        <f>'1 datos preparados'!E832</f>
        <v/>
      </c>
      <c r="G839" s="7">
        <f>'1 datos preparados'!F832</f>
        <v/>
      </c>
      <c r="H839" s="7">
        <f>'1 datos preparados'!G832</f>
        <v/>
      </c>
      <c r="I839" s="7">
        <f>'1 datos preparados'!H832</f>
        <v/>
      </c>
      <c r="J839" s="7">
        <f>'1 datos preparados'!I832</f>
        <v/>
      </c>
      <c r="K839" s="7">
        <f>'1 datos preparados'!J832</f>
        <v/>
      </c>
      <c r="L839" s="7">
        <f>'1 datos preparados'!K832</f>
        <v/>
      </c>
      <c r="M839" s="7">
        <f>'1 datos preparados'!L832</f>
        <v/>
      </c>
      <c r="N839" s="7">
        <f>'1 datos preparados'!M832</f>
        <v/>
      </c>
      <c r="O839" s="7">
        <f>'1 datos preparados'!N832</f>
        <v/>
      </c>
      <c r="P839" s="7">
        <f>'1 datos preparados'!O832</f>
        <v/>
      </c>
      <c r="Q839" s="7">
        <f>'1 datos preparados'!P832</f>
        <v/>
      </c>
      <c r="R839" s="7">
        <f>'1 datos preparados'!Q832</f>
        <v/>
      </c>
      <c r="S839" s="7">
        <f>'1 datos preparados'!R832</f>
        <v/>
      </c>
      <c r="T839" s="7">
        <f>'1 datos preparados'!S832</f>
        <v/>
      </c>
      <c r="U839" s="7">
        <f>'1 datos preparados'!T832</f>
        <v/>
      </c>
      <c r="V839" s="8">
        <f>$AC$12+D839*$AC$13+E839*$AC$14+F839*$AC$15+G839*$AC$16+H839*$AC$17+I839*$AC$18+J839*$AC$19+K839*$AC$20+L839*$AC$21+M839*$AC$22+N839*$AC$23+O839*$AC$24+P839*$AC$25+Q839*$AC$26+R839*$AC$27+S839*$AC$28+T839*$AC$29+U839*$AC$30</f>
        <v/>
      </c>
      <c r="W839" s="8">
        <f>1/(1+EXP(-V839))</f>
        <v/>
      </c>
      <c r="X839" s="9">
        <f>-IF(C839=1,LN(W839),LN(1-W839))</f>
        <v/>
      </c>
      <c r="Y839" s="10">
        <f>IF(W839&gt;$AC$33,1,0)</f>
        <v/>
      </c>
      <c r="Z839">
        <f>IF(Y839=C839,1,0)</f>
        <v/>
      </c>
    </row>
    <row r="840">
      <c r="A840">
        <f>'1 datos preparados'!A833</f>
        <v/>
      </c>
      <c r="B840" s="5">
        <f>'1 datos preparados'!U833</f>
        <v/>
      </c>
      <c r="C840">
        <f>'1 datos preparados'!B833</f>
        <v/>
      </c>
      <c r="D840" s="7">
        <f>'1 datos preparados'!C833</f>
        <v/>
      </c>
      <c r="E840" s="7">
        <f>'1 datos preparados'!D833</f>
        <v/>
      </c>
      <c r="F840" s="7">
        <f>'1 datos preparados'!E833</f>
        <v/>
      </c>
      <c r="G840" s="7">
        <f>'1 datos preparados'!F833</f>
        <v/>
      </c>
      <c r="H840" s="7">
        <f>'1 datos preparados'!G833</f>
        <v/>
      </c>
      <c r="I840" s="7">
        <f>'1 datos preparados'!H833</f>
        <v/>
      </c>
      <c r="J840" s="7">
        <f>'1 datos preparados'!I833</f>
        <v/>
      </c>
      <c r="K840" s="7">
        <f>'1 datos preparados'!J833</f>
        <v/>
      </c>
      <c r="L840" s="7">
        <f>'1 datos preparados'!K833</f>
        <v/>
      </c>
      <c r="M840" s="7">
        <f>'1 datos preparados'!L833</f>
        <v/>
      </c>
      <c r="N840" s="7">
        <f>'1 datos preparados'!M833</f>
        <v/>
      </c>
      <c r="O840" s="7">
        <f>'1 datos preparados'!N833</f>
        <v/>
      </c>
      <c r="P840" s="7">
        <f>'1 datos preparados'!O833</f>
        <v/>
      </c>
      <c r="Q840" s="7">
        <f>'1 datos preparados'!P833</f>
        <v/>
      </c>
      <c r="R840" s="7">
        <f>'1 datos preparados'!Q833</f>
        <v/>
      </c>
      <c r="S840" s="7">
        <f>'1 datos preparados'!R833</f>
        <v/>
      </c>
      <c r="T840" s="7">
        <f>'1 datos preparados'!S833</f>
        <v/>
      </c>
      <c r="U840" s="7">
        <f>'1 datos preparados'!T833</f>
        <v/>
      </c>
      <c r="V840" s="8">
        <f>$AC$12+D840*$AC$13+E840*$AC$14+F840*$AC$15+G840*$AC$16+H840*$AC$17+I840*$AC$18+J840*$AC$19+K840*$AC$20+L840*$AC$21+M840*$AC$22+N840*$AC$23+O840*$AC$24+P840*$AC$25+Q840*$AC$26+R840*$AC$27+S840*$AC$28+T840*$AC$29+U840*$AC$30</f>
        <v/>
      </c>
      <c r="W840" s="8">
        <f>1/(1+EXP(-V840))</f>
        <v/>
      </c>
      <c r="X840" s="9">
        <f>-IF(C840=1,LN(W840),LN(1-W840))</f>
        <v/>
      </c>
      <c r="Y840" s="10">
        <f>IF(W840&gt;$AC$33,1,0)</f>
        <v/>
      </c>
      <c r="Z840">
        <f>IF(Y840=C840,1,0)</f>
        <v/>
      </c>
    </row>
    <row r="841">
      <c r="A841">
        <f>'1 datos preparados'!A834</f>
        <v/>
      </c>
      <c r="B841" s="5">
        <f>'1 datos preparados'!U834</f>
        <v/>
      </c>
      <c r="C841">
        <f>'1 datos preparados'!B834</f>
        <v/>
      </c>
      <c r="D841" s="7">
        <f>'1 datos preparados'!C834</f>
        <v/>
      </c>
      <c r="E841" s="7">
        <f>'1 datos preparados'!D834</f>
        <v/>
      </c>
      <c r="F841" s="7">
        <f>'1 datos preparados'!E834</f>
        <v/>
      </c>
      <c r="G841" s="7">
        <f>'1 datos preparados'!F834</f>
        <v/>
      </c>
      <c r="H841" s="7">
        <f>'1 datos preparados'!G834</f>
        <v/>
      </c>
      <c r="I841" s="7">
        <f>'1 datos preparados'!H834</f>
        <v/>
      </c>
      <c r="J841" s="7">
        <f>'1 datos preparados'!I834</f>
        <v/>
      </c>
      <c r="K841" s="7">
        <f>'1 datos preparados'!J834</f>
        <v/>
      </c>
      <c r="L841" s="7">
        <f>'1 datos preparados'!K834</f>
        <v/>
      </c>
      <c r="M841" s="7">
        <f>'1 datos preparados'!L834</f>
        <v/>
      </c>
      <c r="N841" s="7">
        <f>'1 datos preparados'!M834</f>
        <v/>
      </c>
      <c r="O841" s="7">
        <f>'1 datos preparados'!N834</f>
        <v/>
      </c>
      <c r="P841" s="7">
        <f>'1 datos preparados'!O834</f>
        <v/>
      </c>
      <c r="Q841" s="7">
        <f>'1 datos preparados'!P834</f>
        <v/>
      </c>
      <c r="R841" s="7">
        <f>'1 datos preparados'!Q834</f>
        <v/>
      </c>
      <c r="S841" s="7">
        <f>'1 datos preparados'!R834</f>
        <v/>
      </c>
      <c r="T841" s="7">
        <f>'1 datos preparados'!S834</f>
        <v/>
      </c>
      <c r="U841" s="7">
        <f>'1 datos preparados'!T834</f>
        <v/>
      </c>
      <c r="V841" s="8">
        <f>$AC$12+D841*$AC$13+E841*$AC$14+F841*$AC$15+G841*$AC$16+H841*$AC$17+I841*$AC$18+J841*$AC$19+K841*$AC$20+L841*$AC$21+M841*$AC$22+N841*$AC$23+O841*$AC$24+P841*$AC$25+Q841*$AC$26+R841*$AC$27+S841*$AC$28+T841*$AC$29+U841*$AC$30</f>
        <v/>
      </c>
      <c r="W841" s="8">
        <f>1/(1+EXP(-V841))</f>
        <v/>
      </c>
      <c r="X841" s="9">
        <f>-IF(C841=1,LN(W841),LN(1-W841))</f>
        <v/>
      </c>
      <c r="Y841" s="10">
        <f>IF(W841&gt;$AC$33,1,0)</f>
        <v/>
      </c>
      <c r="Z841">
        <f>IF(Y841=C841,1,0)</f>
        <v/>
      </c>
    </row>
    <row r="842">
      <c r="A842">
        <f>'1 datos preparados'!A835</f>
        <v/>
      </c>
      <c r="B842" s="5">
        <f>'1 datos preparados'!U835</f>
        <v/>
      </c>
      <c r="C842">
        <f>'1 datos preparados'!B835</f>
        <v/>
      </c>
      <c r="D842" s="7">
        <f>'1 datos preparados'!C835</f>
        <v/>
      </c>
      <c r="E842" s="7">
        <f>'1 datos preparados'!D835</f>
        <v/>
      </c>
      <c r="F842" s="7">
        <f>'1 datos preparados'!E835</f>
        <v/>
      </c>
      <c r="G842" s="7">
        <f>'1 datos preparados'!F835</f>
        <v/>
      </c>
      <c r="H842" s="7">
        <f>'1 datos preparados'!G835</f>
        <v/>
      </c>
      <c r="I842" s="7">
        <f>'1 datos preparados'!H835</f>
        <v/>
      </c>
      <c r="J842" s="7">
        <f>'1 datos preparados'!I835</f>
        <v/>
      </c>
      <c r="K842" s="7">
        <f>'1 datos preparados'!J835</f>
        <v/>
      </c>
      <c r="L842" s="7">
        <f>'1 datos preparados'!K835</f>
        <v/>
      </c>
      <c r="M842" s="7">
        <f>'1 datos preparados'!L835</f>
        <v/>
      </c>
      <c r="N842" s="7">
        <f>'1 datos preparados'!M835</f>
        <v/>
      </c>
      <c r="O842" s="7">
        <f>'1 datos preparados'!N835</f>
        <v/>
      </c>
      <c r="P842" s="7">
        <f>'1 datos preparados'!O835</f>
        <v/>
      </c>
      <c r="Q842" s="7">
        <f>'1 datos preparados'!P835</f>
        <v/>
      </c>
      <c r="R842" s="7">
        <f>'1 datos preparados'!Q835</f>
        <v/>
      </c>
      <c r="S842" s="7">
        <f>'1 datos preparados'!R835</f>
        <v/>
      </c>
      <c r="T842" s="7">
        <f>'1 datos preparados'!S835</f>
        <v/>
      </c>
      <c r="U842" s="7">
        <f>'1 datos preparados'!T835</f>
        <v/>
      </c>
      <c r="V842" s="8">
        <f>$AC$12+D842*$AC$13+E842*$AC$14+F842*$AC$15+G842*$AC$16+H842*$AC$17+I842*$AC$18+J842*$AC$19+K842*$AC$20+L842*$AC$21+M842*$AC$22+N842*$AC$23+O842*$AC$24+P842*$AC$25+Q842*$AC$26+R842*$AC$27+S842*$AC$28+T842*$AC$29+U842*$AC$30</f>
        <v/>
      </c>
      <c r="W842" s="8">
        <f>1/(1+EXP(-V842))</f>
        <v/>
      </c>
      <c r="X842" s="9">
        <f>-IF(C842=1,LN(W842),LN(1-W842))</f>
        <v/>
      </c>
      <c r="Y842" s="10">
        <f>IF(W842&gt;$AC$33,1,0)</f>
        <v/>
      </c>
      <c r="Z842">
        <f>IF(Y842=C842,1,0)</f>
        <v/>
      </c>
    </row>
    <row r="843">
      <c r="A843">
        <f>'1 datos preparados'!A836</f>
        <v/>
      </c>
      <c r="B843" s="5">
        <f>'1 datos preparados'!U836</f>
        <v/>
      </c>
      <c r="C843">
        <f>'1 datos preparados'!B836</f>
        <v/>
      </c>
      <c r="D843" s="7">
        <f>'1 datos preparados'!C836</f>
        <v/>
      </c>
      <c r="E843" s="7">
        <f>'1 datos preparados'!D836</f>
        <v/>
      </c>
      <c r="F843" s="7">
        <f>'1 datos preparados'!E836</f>
        <v/>
      </c>
      <c r="G843" s="7">
        <f>'1 datos preparados'!F836</f>
        <v/>
      </c>
      <c r="H843" s="7">
        <f>'1 datos preparados'!G836</f>
        <v/>
      </c>
      <c r="I843" s="7">
        <f>'1 datos preparados'!H836</f>
        <v/>
      </c>
      <c r="J843" s="7">
        <f>'1 datos preparados'!I836</f>
        <v/>
      </c>
      <c r="K843" s="7">
        <f>'1 datos preparados'!J836</f>
        <v/>
      </c>
      <c r="L843" s="7">
        <f>'1 datos preparados'!K836</f>
        <v/>
      </c>
      <c r="M843" s="7">
        <f>'1 datos preparados'!L836</f>
        <v/>
      </c>
      <c r="N843" s="7">
        <f>'1 datos preparados'!M836</f>
        <v/>
      </c>
      <c r="O843" s="7">
        <f>'1 datos preparados'!N836</f>
        <v/>
      </c>
      <c r="P843" s="7">
        <f>'1 datos preparados'!O836</f>
        <v/>
      </c>
      <c r="Q843" s="7">
        <f>'1 datos preparados'!P836</f>
        <v/>
      </c>
      <c r="R843" s="7">
        <f>'1 datos preparados'!Q836</f>
        <v/>
      </c>
      <c r="S843" s="7">
        <f>'1 datos preparados'!R836</f>
        <v/>
      </c>
      <c r="T843" s="7">
        <f>'1 datos preparados'!S836</f>
        <v/>
      </c>
      <c r="U843" s="7">
        <f>'1 datos preparados'!T836</f>
        <v/>
      </c>
      <c r="V843" s="8">
        <f>$AC$12+D843*$AC$13+E843*$AC$14+F843*$AC$15+G843*$AC$16+H843*$AC$17+I843*$AC$18+J843*$AC$19+K843*$AC$20+L843*$AC$21+M843*$AC$22+N843*$AC$23+O843*$AC$24+P843*$AC$25+Q843*$AC$26+R843*$AC$27+S843*$AC$28+T843*$AC$29+U843*$AC$30</f>
        <v/>
      </c>
      <c r="W843" s="8">
        <f>1/(1+EXP(-V843))</f>
        <v/>
      </c>
      <c r="X843" s="9">
        <f>-IF(C843=1,LN(W843),LN(1-W843))</f>
        <v/>
      </c>
      <c r="Y843" s="10">
        <f>IF(W843&gt;$AC$33,1,0)</f>
        <v/>
      </c>
      <c r="Z843">
        <f>IF(Y843=C843,1,0)</f>
        <v/>
      </c>
    </row>
    <row r="844">
      <c r="A844">
        <f>'1 datos preparados'!A837</f>
        <v/>
      </c>
      <c r="B844" s="5">
        <f>'1 datos preparados'!U837</f>
        <v/>
      </c>
      <c r="C844">
        <f>'1 datos preparados'!B837</f>
        <v/>
      </c>
      <c r="D844" s="7">
        <f>'1 datos preparados'!C837</f>
        <v/>
      </c>
      <c r="E844" s="7">
        <f>'1 datos preparados'!D837</f>
        <v/>
      </c>
      <c r="F844" s="7">
        <f>'1 datos preparados'!E837</f>
        <v/>
      </c>
      <c r="G844" s="7">
        <f>'1 datos preparados'!F837</f>
        <v/>
      </c>
      <c r="H844" s="7">
        <f>'1 datos preparados'!G837</f>
        <v/>
      </c>
      <c r="I844" s="7">
        <f>'1 datos preparados'!H837</f>
        <v/>
      </c>
      <c r="J844" s="7">
        <f>'1 datos preparados'!I837</f>
        <v/>
      </c>
      <c r="K844" s="7">
        <f>'1 datos preparados'!J837</f>
        <v/>
      </c>
      <c r="L844" s="7">
        <f>'1 datos preparados'!K837</f>
        <v/>
      </c>
      <c r="M844" s="7">
        <f>'1 datos preparados'!L837</f>
        <v/>
      </c>
      <c r="N844" s="7">
        <f>'1 datos preparados'!M837</f>
        <v/>
      </c>
      <c r="O844" s="7">
        <f>'1 datos preparados'!N837</f>
        <v/>
      </c>
      <c r="P844" s="7">
        <f>'1 datos preparados'!O837</f>
        <v/>
      </c>
      <c r="Q844" s="7">
        <f>'1 datos preparados'!P837</f>
        <v/>
      </c>
      <c r="R844" s="7">
        <f>'1 datos preparados'!Q837</f>
        <v/>
      </c>
      <c r="S844" s="7">
        <f>'1 datos preparados'!R837</f>
        <v/>
      </c>
      <c r="T844" s="7">
        <f>'1 datos preparados'!S837</f>
        <v/>
      </c>
      <c r="U844" s="7">
        <f>'1 datos preparados'!T837</f>
        <v/>
      </c>
      <c r="V844" s="8">
        <f>$AC$12+D844*$AC$13+E844*$AC$14+F844*$AC$15+G844*$AC$16+H844*$AC$17+I844*$AC$18+J844*$AC$19+K844*$AC$20+L844*$AC$21+M844*$AC$22+N844*$AC$23+O844*$AC$24+P844*$AC$25+Q844*$AC$26+R844*$AC$27+S844*$AC$28+T844*$AC$29+U844*$AC$30</f>
        <v/>
      </c>
      <c r="W844" s="8">
        <f>1/(1+EXP(-V844))</f>
        <v/>
      </c>
      <c r="X844" s="9">
        <f>-IF(C844=1,LN(W844),LN(1-W844))</f>
        <v/>
      </c>
      <c r="Y844" s="10">
        <f>IF(W844&gt;$AC$33,1,0)</f>
        <v/>
      </c>
      <c r="Z844">
        <f>IF(Y844=C844,1,0)</f>
        <v/>
      </c>
    </row>
    <row r="845">
      <c r="A845">
        <f>'1 datos preparados'!A838</f>
        <v/>
      </c>
      <c r="B845" s="5">
        <f>'1 datos preparados'!U838</f>
        <v/>
      </c>
      <c r="C845">
        <f>'1 datos preparados'!B838</f>
        <v/>
      </c>
      <c r="D845" s="7">
        <f>'1 datos preparados'!C838</f>
        <v/>
      </c>
      <c r="E845" s="7">
        <f>'1 datos preparados'!D838</f>
        <v/>
      </c>
      <c r="F845" s="7">
        <f>'1 datos preparados'!E838</f>
        <v/>
      </c>
      <c r="G845" s="7">
        <f>'1 datos preparados'!F838</f>
        <v/>
      </c>
      <c r="H845" s="7">
        <f>'1 datos preparados'!G838</f>
        <v/>
      </c>
      <c r="I845" s="7">
        <f>'1 datos preparados'!H838</f>
        <v/>
      </c>
      <c r="J845" s="7">
        <f>'1 datos preparados'!I838</f>
        <v/>
      </c>
      <c r="K845" s="7">
        <f>'1 datos preparados'!J838</f>
        <v/>
      </c>
      <c r="L845" s="7">
        <f>'1 datos preparados'!K838</f>
        <v/>
      </c>
      <c r="M845" s="7">
        <f>'1 datos preparados'!L838</f>
        <v/>
      </c>
      <c r="N845" s="7">
        <f>'1 datos preparados'!M838</f>
        <v/>
      </c>
      <c r="O845" s="7">
        <f>'1 datos preparados'!N838</f>
        <v/>
      </c>
      <c r="P845" s="7">
        <f>'1 datos preparados'!O838</f>
        <v/>
      </c>
      <c r="Q845" s="7">
        <f>'1 datos preparados'!P838</f>
        <v/>
      </c>
      <c r="R845" s="7">
        <f>'1 datos preparados'!Q838</f>
        <v/>
      </c>
      <c r="S845" s="7">
        <f>'1 datos preparados'!R838</f>
        <v/>
      </c>
      <c r="T845" s="7">
        <f>'1 datos preparados'!S838</f>
        <v/>
      </c>
      <c r="U845" s="7">
        <f>'1 datos preparados'!T838</f>
        <v/>
      </c>
      <c r="V845" s="8">
        <f>$AC$12+D845*$AC$13+E845*$AC$14+F845*$AC$15+G845*$AC$16+H845*$AC$17+I845*$AC$18+J845*$AC$19+K845*$AC$20+L845*$AC$21+M845*$AC$22+N845*$AC$23+O845*$AC$24+P845*$AC$25+Q845*$AC$26+R845*$AC$27+S845*$AC$28+T845*$AC$29+U845*$AC$30</f>
        <v/>
      </c>
      <c r="W845" s="8">
        <f>1/(1+EXP(-V845))</f>
        <v/>
      </c>
      <c r="X845" s="9">
        <f>-IF(C845=1,LN(W845),LN(1-W845))</f>
        <v/>
      </c>
      <c r="Y845" s="10">
        <f>IF(W845&gt;$AC$33,1,0)</f>
        <v/>
      </c>
      <c r="Z845">
        <f>IF(Y845=C845,1,0)</f>
        <v/>
      </c>
    </row>
    <row r="846">
      <c r="A846">
        <f>'1 datos preparados'!A839</f>
        <v/>
      </c>
      <c r="B846" s="5">
        <f>'1 datos preparados'!U839</f>
        <v/>
      </c>
      <c r="C846">
        <f>'1 datos preparados'!B839</f>
        <v/>
      </c>
      <c r="D846" s="7">
        <f>'1 datos preparados'!C839</f>
        <v/>
      </c>
      <c r="E846" s="7">
        <f>'1 datos preparados'!D839</f>
        <v/>
      </c>
      <c r="F846" s="7">
        <f>'1 datos preparados'!E839</f>
        <v/>
      </c>
      <c r="G846" s="7">
        <f>'1 datos preparados'!F839</f>
        <v/>
      </c>
      <c r="H846" s="7">
        <f>'1 datos preparados'!G839</f>
        <v/>
      </c>
      <c r="I846" s="7">
        <f>'1 datos preparados'!H839</f>
        <v/>
      </c>
      <c r="J846" s="7">
        <f>'1 datos preparados'!I839</f>
        <v/>
      </c>
      <c r="K846" s="7">
        <f>'1 datos preparados'!J839</f>
        <v/>
      </c>
      <c r="L846" s="7">
        <f>'1 datos preparados'!K839</f>
        <v/>
      </c>
      <c r="M846" s="7">
        <f>'1 datos preparados'!L839</f>
        <v/>
      </c>
      <c r="N846" s="7">
        <f>'1 datos preparados'!M839</f>
        <v/>
      </c>
      <c r="O846" s="7">
        <f>'1 datos preparados'!N839</f>
        <v/>
      </c>
      <c r="P846" s="7">
        <f>'1 datos preparados'!O839</f>
        <v/>
      </c>
      <c r="Q846" s="7">
        <f>'1 datos preparados'!P839</f>
        <v/>
      </c>
      <c r="R846" s="7">
        <f>'1 datos preparados'!Q839</f>
        <v/>
      </c>
      <c r="S846" s="7">
        <f>'1 datos preparados'!R839</f>
        <v/>
      </c>
      <c r="T846" s="7">
        <f>'1 datos preparados'!S839</f>
        <v/>
      </c>
      <c r="U846" s="7">
        <f>'1 datos preparados'!T839</f>
        <v/>
      </c>
      <c r="V846" s="8">
        <f>$AC$12+D846*$AC$13+E846*$AC$14+F846*$AC$15+G846*$AC$16+H846*$AC$17+I846*$AC$18+J846*$AC$19+K846*$AC$20+L846*$AC$21+M846*$AC$22+N846*$AC$23+O846*$AC$24+P846*$AC$25+Q846*$AC$26+R846*$AC$27+S846*$AC$28+T846*$AC$29+U846*$AC$30</f>
        <v/>
      </c>
      <c r="W846" s="8">
        <f>1/(1+EXP(-V846))</f>
        <v/>
      </c>
      <c r="X846" s="9">
        <f>-IF(C846=1,LN(W846),LN(1-W846))</f>
        <v/>
      </c>
      <c r="Y846" s="10">
        <f>IF(W846&gt;$AC$33,1,0)</f>
        <v/>
      </c>
      <c r="Z846">
        <f>IF(Y846=C846,1,0)</f>
        <v/>
      </c>
    </row>
    <row r="847">
      <c r="A847">
        <f>'1 datos preparados'!A840</f>
        <v/>
      </c>
      <c r="B847" s="5">
        <f>'1 datos preparados'!U840</f>
        <v/>
      </c>
      <c r="C847">
        <f>'1 datos preparados'!B840</f>
        <v/>
      </c>
      <c r="D847" s="7">
        <f>'1 datos preparados'!C840</f>
        <v/>
      </c>
      <c r="E847" s="7">
        <f>'1 datos preparados'!D840</f>
        <v/>
      </c>
      <c r="F847" s="7">
        <f>'1 datos preparados'!E840</f>
        <v/>
      </c>
      <c r="G847" s="7">
        <f>'1 datos preparados'!F840</f>
        <v/>
      </c>
      <c r="H847" s="7">
        <f>'1 datos preparados'!G840</f>
        <v/>
      </c>
      <c r="I847" s="7">
        <f>'1 datos preparados'!H840</f>
        <v/>
      </c>
      <c r="J847" s="7">
        <f>'1 datos preparados'!I840</f>
        <v/>
      </c>
      <c r="K847" s="7">
        <f>'1 datos preparados'!J840</f>
        <v/>
      </c>
      <c r="L847" s="7">
        <f>'1 datos preparados'!K840</f>
        <v/>
      </c>
      <c r="M847" s="7">
        <f>'1 datos preparados'!L840</f>
        <v/>
      </c>
      <c r="N847" s="7">
        <f>'1 datos preparados'!M840</f>
        <v/>
      </c>
      <c r="O847" s="7">
        <f>'1 datos preparados'!N840</f>
        <v/>
      </c>
      <c r="P847" s="7">
        <f>'1 datos preparados'!O840</f>
        <v/>
      </c>
      <c r="Q847" s="7">
        <f>'1 datos preparados'!P840</f>
        <v/>
      </c>
      <c r="R847" s="7">
        <f>'1 datos preparados'!Q840</f>
        <v/>
      </c>
      <c r="S847" s="7">
        <f>'1 datos preparados'!R840</f>
        <v/>
      </c>
      <c r="T847" s="7">
        <f>'1 datos preparados'!S840</f>
        <v/>
      </c>
      <c r="U847" s="7">
        <f>'1 datos preparados'!T840</f>
        <v/>
      </c>
      <c r="V847" s="8">
        <f>$AC$12+D847*$AC$13+E847*$AC$14+F847*$AC$15+G847*$AC$16+H847*$AC$17+I847*$AC$18+J847*$AC$19+K847*$AC$20+L847*$AC$21+M847*$AC$22+N847*$AC$23+O847*$AC$24+P847*$AC$25+Q847*$AC$26+R847*$AC$27+S847*$AC$28+T847*$AC$29+U847*$AC$30</f>
        <v/>
      </c>
      <c r="W847" s="8">
        <f>1/(1+EXP(-V847))</f>
        <v/>
      </c>
      <c r="X847" s="9">
        <f>-IF(C847=1,LN(W847),LN(1-W847))</f>
        <v/>
      </c>
      <c r="Y847" s="10">
        <f>IF(W847&gt;$AC$33,1,0)</f>
        <v/>
      </c>
      <c r="Z847">
        <f>IF(Y847=C847,1,0)</f>
        <v/>
      </c>
    </row>
    <row r="848">
      <c r="A848">
        <f>'1 datos preparados'!A841</f>
        <v/>
      </c>
      <c r="B848" s="5">
        <f>'1 datos preparados'!U841</f>
        <v/>
      </c>
      <c r="C848">
        <f>'1 datos preparados'!B841</f>
        <v/>
      </c>
      <c r="D848" s="7">
        <f>'1 datos preparados'!C841</f>
        <v/>
      </c>
      <c r="E848" s="7">
        <f>'1 datos preparados'!D841</f>
        <v/>
      </c>
      <c r="F848" s="7">
        <f>'1 datos preparados'!E841</f>
        <v/>
      </c>
      <c r="G848" s="7">
        <f>'1 datos preparados'!F841</f>
        <v/>
      </c>
      <c r="H848" s="7">
        <f>'1 datos preparados'!G841</f>
        <v/>
      </c>
      <c r="I848" s="7">
        <f>'1 datos preparados'!H841</f>
        <v/>
      </c>
      <c r="J848" s="7">
        <f>'1 datos preparados'!I841</f>
        <v/>
      </c>
      <c r="K848" s="7">
        <f>'1 datos preparados'!J841</f>
        <v/>
      </c>
      <c r="L848" s="7">
        <f>'1 datos preparados'!K841</f>
        <v/>
      </c>
      <c r="M848" s="7">
        <f>'1 datos preparados'!L841</f>
        <v/>
      </c>
      <c r="N848" s="7">
        <f>'1 datos preparados'!M841</f>
        <v/>
      </c>
      <c r="O848" s="7">
        <f>'1 datos preparados'!N841</f>
        <v/>
      </c>
      <c r="P848" s="7">
        <f>'1 datos preparados'!O841</f>
        <v/>
      </c>
      <c r="Q848" s="7">
        <f>'1 datos preparados'!P841</f>
        <v/>
      </c>
      <c r="R848" s="7">
        <f>'1 datos preparados'!Q841</f>
        <v/>
      </c>
      <c r="S848" s="7">
        <f>'1 datos preparados'!R841</f>
        <v/>
      </c>
      <c r="T848" s="7">
        <f>'1 datos preparados'!S841</f>
        <v/>
      </c>
      <c r="U848" s="7">
        <f>'1 datos preparados'!T841</f>
        <v/>
      </c>
      <c r="V848" s="8">
        <f>$AC$12+D848*$AC$13+E848*$AC$14+F848*$AC$15+G848*$AC$16+H848*$AC$17+I848*$AC$18+J848*$AC$19+K848*$AC$20+L848*$AC$21+M848*$AC$22+N848*$AC$23+O848*$AC$24+P848*$AC$25+Q848*$AC$26+R848*$AC$27+S848*$AC$28+T848*$AC$29+U848*$AC$30</f>
        <v/>
      </c>
      <c r="W848" s="8">
        <f>1/(1+EXP(-V848))</f>
        <v/>
      </c>
      <c r="X848" s="9">
        <f>-IF(C848=1,LN(W848),LN(1-W848))</f>
        <v/>
      </c>
      <c r="Y848" s="10">
        <f>IF(W848&gt;$AC$33,1,0)</f>
        <v/>
      </c>
      <c r="Z848">
        <f>IF(Y848=C848,1,0)</f>
        <v/>
      </c>
    </row>
    <row r="849">
      <c r="A849">
        <f>'1 datos preparados'!A842</f>
        <v/>
      </c>
      <c r="B849" s="5">
        <f>'1 datos preparados'!U842</f>
        <v/>
      </c>
      <c r="C849">
        <f>'1 datos preparados'!B842</f>
        <v/>
      </c>
      <c r="D849" s="7">
        <f>'1 datos preparados'!C842</f>
        <v/>
      </c>
      <c r="E849" s="7">
        <f>'1 datos preparados'!D842</f>
        <v/>
      </c>
      <c r="F849" s="7">
        <f>'1 datos preparados'!E842</f>
        <v/>
      </c>
      <c r="G849" s="7">
        <f>'1 datos preparados'!F842</f>
        <v/>
      </c>
      <c r="H849" s="7">
        <f>'1 datos preparados'!G842</f>
        <v/>
      </c>
      <c r="I849" s="7">
        <f>'1 datos preparados'!H842</f>
        <v/>
      </c>
      <c r="J849" s="7">
        <f>'1 datos preparados'!I842</f>
        <v/>
      </c>
      <c r="K849" s="7">
        <f>'1 datos preparados'!J842</f>
        <v/>
      </c>
      <c r="L849" s="7">
        <f>'1 datos preparados'!K842</f>
        <v/>
      </c>
      <c r="M849" s="7">
        <f>'1 datos preparados'!L842</f>
        <v/>
      </c>
      <c r="N849" s="7">
        <f>'1 datos preparados'!M842</f>
        <v/>
      </c>
      <c r="O849" s="7">
        <f>'1 datos preparados'!N842</f>
        <v/>
      </c>
      <c r="P849" s="7">
        <f>'1 datos preparados'!O842</f>
        <v/>
      </c>
      <c r="Q849" s="7">
        <f>'1 datos preparados'!P842</f>
        <v/>
      </c>
      <c r="R849" s="7">
        <f>'1 datos preparados'!Q842</f>
        <v/>
      </c>
      <c r="S849" s="7">
        <f>'1 datos preparados'!R842</f>
        <v/>
      </c>
      <c r="T849" s="7">
        <f>'1 datos preparados'!S842</f>
        <v/>
      </c>
      <c r="U849" s="7">
        <f>'1 datos preparados'!T842</f>
        <v/>
      </c>
      <c r="V849" s="8">
        <f>$AC$12+D849*$AC$13+E849*$AC$14+F849*$AC$15+G849*$AC$16+H849*$AC$17+I849*$AC$18+J849*$AC$19+K849*$AC$20+L849*$AC$21+M849*$AC$22+N849*$AC$23+O849*$AC$24+P849*$AC$25+Q849*$AC$26+R849*$AC$27+S849*$AC$28+T849*$AC$29+U849*$AC$30</f>
        <v/>
      </c>
      <c r="W849" s="8">
        <f>1/(1+EXP(-V849))</f>
        <v/>
      </c>
      <c r="X849" s="9">
        <f>-IF(C849=1,LN(W849),LN(1-W849))</f>
        <v/>
      </c>
      <c r="Y849" s="10">
        <f>IF(W849&gt;$AC$33,1,0)</f>
        <v/>
      </c>
      <c r="Z849">
        <f>IF(Y849=C849,1,0)</f>
        <v/>
      </c>
    </row>
    <row r="850">
      <c r="A850">
        <f>'1 datos preparados'!A843</f>
        <v/>
      </c>
      <c r="B850" s="5">
        <f>'1 datos preparados'!U843</f>
        <v/>
      </c>
      <c r="C850">
        <f>'1 datos preparados'!B843</f>
        <v/>
      </c>
      <c r="D850" s="7">
        <f>'1 datos preparados'!C843</f>
        <v/>
      </c>
      <c r="E850" s="7">
        <f>'1 datos preparados'!D843</f>
        <v/>
      </c>
      <c r="F850" s="7">
        <f>'1 datos preparados'!E843</f>
        <v/>
      </c>
      <c r="G850" s="7">
        <f>'1 datos preparados'!F843</f>
        <v/>
      </c>
      <c r="H850" s="7">
        <f>'1 datos preparados'!G843</f>
        <v/>
      </c>
      <c r="I850" s="7">
        <f>'1 datos preparados'!H843</f>
        <v/>
      </c>
      <c r="J850" s="7">
        <f>'1 datos preparados'!I843</f>
        <v/>
      </c>
      <c r="K850" s="7">
        <f>'1 datos preparados'!J843</f>
        <v/>
      </c>
      <c r="L850" s="7">
        <f>'1 datos preparados'!K843</f>
        <v/>
      </c>
      <c r="M850" s="7">
        <f>'1 datos preparados'!L843</f>
        <v/>
      </c>
      <c r="N850" s="7">
        <f>'1 datos preparados'!M843</f>
        <v/>
      </c>
      <c r="O850" s="7">
        <f>'1 datos preparados'!N843</f>
        <v/>
      </c>
      <c r="P850" s="7">
        <f>'1 datos preparados'!O843</f>
        <v/>
      </c>
      <c r="Q850" s="7">
        <f>'1 datos preparados'!P843</f>
        <v/>
      </c>
      <c r="R850" s="7">
        <f>'1 datos preparados'!Q843</f>
        <v/>
      </c>
      <c r="S850" s="7">
        <f>'1 datos preparados'!R843</f>
        <v/>
      </c>
      <c r="T850" s="7">
        <f>'1 datos preparados'!S843</f>
        <v/>
      </c>
      <c r="U850" s="7">
        <f>'1 datos preparados'!T843</f>
        <v/>
      </c>
      <c r="V850" s="8">
        <f>$AC$12+D850*$AC$13+E850*$AC$14+F850*$AC$15+G850*$AC$16+H850*$AC$17+I850*$AC$18+J850*$AC$19+K850*$AC$20+L850*$AC$21+M850*$AC$22+N850*$AC$23+O850*$AC$24+P850*$AC$25+Q850*$AC$26+R850*$AC$27+S850*$AC$28+T850*$AC$29+U850*$AC$30</f>
        <v/>
      </c>
      <c r="W850" s="8">
        <f>1/(1+EXP(-V850))</f>
        <v/>
      </c>
      <c r="X850" s="9">
        <f>-IF(C850=1,LN(W850),LN(1-W850))</f>
        <v/>
      </c>
      <c r="Y850" s="10">
        <f>IF(W850&gt;$AC$33,1,0)</f>
        <v/>
      </c>
      <c r="Z850">
        <f>IF(Y850=C850,1,0)</f>
        <v/>
      </c>
    </row>
    <row r="851">
      <c r="A851">
        <f>'1 datos preparados'!A844</f>
        <v/>
      </c>
      <c r="B851" s="5">
        <f>'1 datos preparados'!U844</f>
        <v/>
      </c>
      <c r="C851">
        <f>'1 datos preparados'!B844</f>
        <v/>
      </c>
      <c r="D851" s="7">
        <f>'1 datos preparados'!C844</f>
        <v/>
      </c>
      <c r="E851" s="7">
        <f>'1 datos preparados'!D844</f>
        <v/>
      </c>
      <c r="F851" s="7">
        <f>'1 datos preparados'!E844</f>
        <v/>
      </c>
      <c r="G851" s="7">
        <f>'1 datos preparados'!F844</f>
        <v/>
      </c>
      <c r="H851" s="7">
        <f>'1 datos preparados'!G844</f>
        <v/>
      </c>
      <c r="I851" s="7">
        <f>'1 datos preparados'!H844</f>
        <v/>
      </c>
      <c r="J851" s="7">
        <f>'1 datos preparados'!I844</f>
        <v/>
      </c>
      <c r="K851" s="7">
        <f>'1 datos preparados'!J844</f>
        <v/>
      </c>
      <c r="L851" s="7">
        <f>'1 datos preparados'!K844</f>
        <v/>
      </c>
      <c r="M851" s="7">
        <f>'1 datos preparados'!L844</f>
        <v/>
      </c>
      <c r="N851" s="7">
        <f>'1 datos preparados'!M844</f>
        <v/>
      </c>
      <c r="O851" s="7">
        <f>'1 datos preparados'!N844</f>
        <v/>
      </c>
      <c r="P851" s="7">
        <f>'1 datos preparados'!O844</f>
        <v/>
      </c>
      <c r="Q851" s="7">
        <f>'1 datos preparados'!P844</f>
        <v/>
      </c>
      <c r="R851" s="7">
        <f>'1 datos preparados'!Q844</f>
        <v/>
      </c>
      <c r="S851" s="7">
        <f>'1 datos preparados'!R844</f>
        <v/>
      </c>
      <c r="T851" s="7">
        <f>'1 datos preparados'!S844</f>
        <v/>
      </c>
      <c r="U851" s="7">
        <f>'1 datos preparados'!T844</f>
        <v/>
      </c>
      <c r="V851" s="8">
        <f>$AC$12+D851*$AC$13+E851*$AC$14+F851*$AC$15+G851*$AC$16+H851*$AC$17+I851*$AC$18+J851*$AC$19+K851*$AC$20+L851*$AC$21+M851*$AC$22+N851*$AC$23+O851*$AC$24+P851*$AC$25+Q851*$AC$26+R851*$AC$27+S851*$AC$28+T851*$AC$29+U851*$AC$30</f>
        <v/>
      </c>
      <c r="W851" s="8">
        <f>1/(1+EXP(-V851))</f>
        <v/>
      </c>
      <c r="X851" s="9">
        <f>-IF(C851=1,LN(W851),LN(1-W851))</f>
        <v/>
      </c>
      <c r="Y851" s="10">
        <f>IF(W851&gt;$AC$33,1,0)</f>
        <v/>
      </c>
      <c r="Z851">
        <f>IF(Y851=C851,1,0)</f>
        <v/>
      </c>
    </row>
    <row r="852">
      <c r="A852">
        <f>'1 datos preparados'!A845</f>
        <v/>
      </c>
      <c r="B852" s="5">
        <f>'1 datos preparados'!U845</f>
        <v/>
      </c>
      <c r="C852">
        <f>'1 datos preparados'!B845</f>
        <v/>
      </c>
      <c r="D852" s="7">
        <f>'1 datos preparados'!C845</f>
        <v/>
      </c>
      <c r="E852" s="7">
        <f>'1 datos preparados'!D845</f>
        <v/>
      </c>
      <c r="F852" s="7">
        <f>'1 datos preparados'!E845</f>
        <v/>
      </c>
      <c r="G852" s="7">
        <f>'1 datos preparados'!F845</f>
        <v/>
      </c>
      <c r="H852" s="7">
        <f>'1 datos preparados'!G845</f>
        <v/>
      </c>
      <c r="I852" s="7">
        <f>'1 datos preparados'!H845</f>
        <v/>
      </c>
      <c r="J852" s="7">
        <f>'1 datos preparados'!I845</f>
        <v/>
      </c>
      <c r="K852" s="7">
        <f>'1 datos preparados'!J845</f>
        <v/>
      </c>
      <c r="L852" s="7">
        <f>'1 datos preparados'!K845</f>
        <v/>
      </c>
      <c r="M852" s="7">
        <f>'1 datos preparados'!L845</f>
        <v/>
      </c>
      <c r="N852" s="7">
        <f>'1 datos preparados'!M845</f>
        <v/>
      </c>
      <c r="O852" s="7">
        <f>'1 datos preparados'!N845</f>
        <v/>
      </c>
      <c r="P852" s="7">
        <f>'1 datos preparados'!O845</f>
        <v/>
      </c>
      <c r="Q852" s="7">
        <f>'1 datos preparados'!P845</f>
        <v/>
      </c>
      <c r="R852" s="7">
        <f>'1 datos preparados'!Q845</f>
        <v/>
      </c>
      <c r="S852" s="7">
        <f>'1 datos preparados'!R845</f>
        <v/>
      </c>
      <c r="T852" s="7">
        <f>'1 datos preparados'!S845</f>
        <v/>
      </c>
      <c r="U852" s="7">
        <f>'1 datos preparados'!T845</f>
        <v/>
      </c>
      <c r="V852" s="8">
        <f>$AC$12+D852*$AC$13+E852*$AC$14+F852*$AC$15+G852*$AC$16+H852*$AC$17+I852*$AC$18+J852*$AC$19+K852*$AC$20+L852*$AC$21+M852*$AC$22+N852*$AC$23+O852*$AC$24+P852*$AC$25+Q852*$AC$26+R852*$AC$27+S852*$AC$28+T852*$AC$29+U852*$AC$30</f>
        <v/>
      </c>
      <c r="W852" s="8">
        <f>1/(1+EXP(-V852))</f>
        <v/>
      </c>
      <c r="X852" s="9">
        <f>-IF(C852=1,LN(W852),LN(1-W852))</f>
        <v/>
      </c>
      <c r="Y852" s="10">
        <f>IF(W852&gt;$AC$33,1,0)</f>
        <v/>
      </c>
      <c r="Z852">
        <f>IF(Y852=C852,1,0)</f>
        <v/>
      </c>
    </row>
    <row r="853">
      <c r="A853">
        <f>'1 datos preparados'!A846</f>
        <v/>
      </c>
      <c r="B853" s="5">
        <f>'1 datos preparados'!U846</f>
        <v/>
      </c>
      <c r="C853">
        <f>'1 datos preparados'!B846</f>
        <v/>
      </c>
      <c r="D853" s="7">
        <f>'1 datos preparados'!C846</f>
        <v/>
      </c>
      <c r="E853" s="7">
        <f>'1 datos preparados'!D846</f>
        <v/>
      </c>
      <c r="F853" s="7">
        <f>'1 datos preparados'!E846</f>
        <v/>
      </c>
      <c r="G853" s="7">
        <f>'1 datos preparados'!F846</f>
        <v/>
      </c>
      <c r="H853" s="7">
        <f>'1 datos preparados'!G846</f>
        <v/>
      </c>
      <c r="I853" s="7">
        <f>'1 datos preparados'!H846</f>
        <v/>
      </c>
      <c r="J853" s="7">
        <f>'1 datos preparados'!I846</f>
        <v/>
      </c>
      <c r="K853" s="7">
        <f>'1 datos preparados'!J846</f>
        <v/>
      </c>
      <c r="L853" s="7">
        <f>'1 datos preparados'!K846</f>
        <v/>
      </c>
      <c r="M853" s="7">
        <f>'1 datos preparados'!L846</f>
        <v/>
      </c>
      <c r="N853" s="7">
        <f>'1 datos preparados'!M846</f>
        <v/>
      </c>
      <c r="O853" s="7">
        <f>'1 datos preparados'!N846</f>
        <v/>
      </c>
      <c r="P853" s="7">
        <f>'1 datos preparados'!O846</f>
        <v/>
      </c>
      <c r="Q853" s="7">
        <f>'1 datos preparados'!P846</f>
        <v/>
      </c>
      <c r="R853" s="7">
        <f>'1 datos preparados'!Q846</f>
        <v/>
      </c>
      <c r="S853" s="7">
        <f>'1 datos preparados'!R846</f>
        <v/>
      </c>
      <c r="T853" s="7">
        <f>'1 datos preparados'!S846</f>
        <v/>
      </c>
      <c r="U853" s="7">
        <f>'1 datos preparados'!T846</f>
        <v/>
      </c>
      <c r="V853" s="8">
        <f>$AC$12+D853*$AC$13+E853*$AC$14+F853*$AC$15+G853*$AC$16+H853*$AC$17+I853*$AC$18+J853*$AC$19+K853*$AC$20+L853*$AC$21+M853*$AC$22+N853*$AC$23+O853*$AC$24+P853*$AC$25+Q853*$AC$26+R853*$AC$27+S853*$AC$28+T853*$AC$29+U853*$AC$30</f>
        <v/>
      </c>
      <c r="W853" s="8">
        <f>1/(1+EXP(-V853))</f>
        <v/>
      </c>
      <c r="X853" s="9">
        <f>-IF(C853=1,LN(W853),LN(1-W853))</f>
        <v/>
      </c>
      <c r="Y853" s="10">
        <f>IF(W853&gt;$AC$33,1,0)</f>
        <v/>
      </c>
      <c r="Z853">
        <f>IF(Y853=C853,1,0)</f>
        <v/>
      </c>
    </row>
    <row r="854">
      <c r="A854">
        <f>'1 datos preparados'!A847</f>
        <v/>
      </c>
      <c r="B854" s="5">
        <f>'1 datos preparados'!U847</f>
        <v/>
      </c>
      <c r="C854">
        <f>'1 datos preparados'!B847</f>
        <v/>
      </c>
      <c r="D854" s="7">
        <f>'1 datos preparados'!C847</f>
        <v/>
      </c>
      <c r="E854" s="7">
        <f>'1 datos preparados'!D847</f>
        <v/>
      </c>
      <c r="F854" s="7">
        <f>'1 datos preparados'!E847</f>
        <v/>
      </c>
      <c r="G854" s="7">
        <f>'1 datos preparados'!F847</f>
        <v/>
      </c>
      <c r="H854" s="7">
        <f>'1 datos preparados'!G847</f>
        <v/>
      </c>
      <c r="I854" s="7">
        <f>'1 datos preparados'!H847</f>
        <v/>
      </c>
      <c r="J854" s="7">
        <f>'1 datos preparados'!I847</f>
        <v/>
      </c>
      <c r="K854" s="7">
        <f>'1 datos preparados'!J847</f>
        <v/>
      </c>
      <c r="L854" s="7">
        <f>'1 datos preparados'!K847</f>
        <v/>
      </c>
      <c r="M854" s="7">
        <f>'1 datos preparados'!L847</f>
        <v/>
      </c>
      <c r="N854" s="7">
        <f>'1 datos preparados'!M847</f>
        <v/>
      </c>
      <c r="O854" s="7">
        <f>'1 datos preparados'!N847</f>
        <v/>
      </c>
      <c r="P854" s="7">
        <f>'1 datos preparados'!O847</f>
        <v/>
      </c>
      <c r="Q854" s="7">
        <f>'1 datos preparados'!P847</f>
        <v/>
      </c>
      <c r="R854" s="7">
        <f>'1 datos preparados'!Q847</f>
        <v/>
      </c>
      <c r="S854" s="7">
        <f>'1 datos preparados'!R847</f>
        <v/>
      </c>
      <c r="T854" s="7">
        <f>'1 datos preparados'!S847</f>
        <v/>
      </c>
      <c r="U854" s="7">
        <f>'1 datos preparados'!T847</f>
        <v/>
      </c>
      <c r="V854" s="8">
        <f>$AC$12+D854*$AC$13+E854*$AC$14+F854*$AC$15+G854*$AC$16+H854*$AC$17+I854*$AC$18+J854*$AC$19+K854*$AC$20+L854*$AC$21+M854*$AC$22+N854*$AC$23+O854*$AC$24+P854*$AC$25+Q854*$AC$26+R854*$AC$27+S854*$AC$28+T854*$AC$29+U854*$AC$30</f>
        <v/>
      </c>
      <c r="W854" s="8">
        <f>1/(1+EXP(-V854))</f>
        <v/>
      </c>
      <c r="X854" s="9">
        <f>-IF(C854=1,LN(W854),LN(1-W854))</f>
        <v/>
      </c>
      <c r="Y854" s="10">
        <f>IF(W854&gt;$AC$33,1,0)</f>
        <v/>
      </c>
      <c r="Z854">
        <f>IF(Y854=C854,1,0)</f>
        <v/>
      </c>
    </row>
    <row r="855">
      <c r="A855">
        <f>'1 datos preparados'!A848</f>
        <v/>
      </c>
      <c r="B855" s="5">
        <f>'1 datos preparados'!U848</f>
        <v/>
      </c>
      <c r="C855">
        <f>'1 datos preparados'!B848</f>
        <v/>
      </c>
      <c r="D855" s="7">
        <f>'1 datos preparados'!C848</f>
        <v/>
      </c>
      <c r="E855" s="7">
        <f>'1 datos preparados'!D848</f>
        <v/>
      </c>
      <c r="F855" s="7">
        <f>'1 datos preparados'!E848</f>
        <v/>
      </c>
      <c r="G855" s="7">
        <f>'1 datos preparados'!F848</f>
        <v/>
      </c>
      <c r="H855" s="7">
        <f>'1 datos preparados'!G848</f>
        <v/>
      </c>
      <c r="I855" s="7">
        <f>'1 datos preparados'!H848</f>
        <v/>
      </c>
      <c r="J855" s="7">
        <f>'1 datos preparados'!I848</f>
        <v/>
      </c>
      <c r="K855" s="7">
        <f>'1 datos preparados'!J848</f>
        <v/>
      </c>
      <c r="L855" s="7">
        <f>'1 datos preparados'!K848</f>
        <v/>
      </c>
      <c r="M855" s="7">
        <f>'1 datos preparados'!L848</f>
        <v/>
      </c>
      <c r="N855" s="7">
        <f>'1 datos preparados'!M848</f>
        <v/>
      </c>
      <c r="O855" s="7">
        <f>'1 datos preparados'!N848</f>
        <v/>
      </c>
      <c r="P855" s="7">
        <f>'1 datos preparados'!O848</f>
        <v/>
      </c>
      <c r="Q855" s="7">
        <f>'1 datos preparados'!P848</f>
        <v/>
      </c>
      <c r="R855" s="7">
        <f>'1 datos preparados'!Q848</f>
        <v/>
      </c>
      <c r="S855" s="7">
        <f>'1 datos preparados'!R848</f>
        <v/>
      </c>
      <c r="T855" s="7">
        <f>'1 datos preparados'!S848</f>
        <v/>
      </c>
      <c r="U855" s="7">
        <f>'1 datos preparados'!T848</f>
        <v/>
      </c>
      <c r="V855" s="8">
        <f>$AC$12+D855*$AC$13+E855*$AC$14+F855*$AC$15+G855*$AC$16+H855*$AC$17+I855*$AC$18+J855*$AC$19+K855*$AC$20+L855*$AC$21+M855*$AC$22+N855*$AC$23+O855*$AC$24+P855*$AC$25+Q855*$AC$26+R855*$AC$27+S855*$AC$28+T855*$AC$29+U855*$AC$30</f>
        <v/>
      </c>
      <c r="W855" s="8">
        <f>1/(1+EXP(-V855))</f>
        <v/>
      </c>
      <c r="X855" s="9">
        <f>-IF(C855=1,LN(W855),LN(1-W855))</f>
        <v/>
      </c>
      <c r="Y855" s="10">
        <f>IF(W855&gt;$AC$33,1,0)</f>
        <v/>
      </c>
      <c r="Z855">
        <f>IF(Y855=C855,1,0)</f>
        <v/>
      </c>
    </row>
    <row r="856">
      <c r="A856">
        <f>'1 datos preparados'!A849</f>
        <v/>
      </c>
      <c r="B856" s="5">
        <f>'1 datos preparados'!U849</f>
        <v/>
      </c>
      <c r="C856">
        <f>'1 datos preparados'!B849</f>
        <v/>
      </c>
      <c r="D856" s="7">
        <f>'1 datos preparados'!C849</f>
        <v/>
      </c>
      <c r="E856" s="7">
        <f>'1 datos preparados'!D849</f>
        <v/>
      </c>
      <c r="F856" s="7">
        <f>'1 datos preparados'!E849</f>
        <v/>
      </c>
      <c r="G856" s="7">
        <f>'1 datos preparados'!F849</f>
        <v/>
      </c>
      <c r="H856" s="7">
        <f>'1 datos preparados'!G849</f>
        <v/>
      </c>
      <c r="I856" s="7">
        <f>'1 datos preparados'!H849</f>
        <v/>
      </c>
      <c r="J856" s="7">
        <f>'1 datos preparados'!I849</f>
        <v/>
      </c>
      <c r="K856" s="7">
        <f>'1 datos preparados'!J849</f>
        <v/>
      </c>
      <c r="L856" s="7">
        <f>'1 datos preparados'!K849</f>
        <v/>
      </c>
      <c r="M856" s="7">
        <f>'1 datos preparados'!L849</f>
        <v/>
      </c>
      <c r="N856" s="7">
        <f>'1 datos preparados'!M849</f>
        <v/>
      </c>
      <c r="O856" s="7">
        <f>'1 datos preparados'!N849</f>
        <v/>
      </c>
      <c r="P856" s="7">
        <f>'1 datos preparados'!O849</f>
        <v/>
      </c>
      <c r="Q856" s="7">
        <f>'1 datos preparados'!P849</f>
        <v/>
      </c>
      <c r="R856" s="7">
        <f>'1 datos preparados'!Q849</f>
        <v/>
      </c>
      <c r="S856" s="7">
        <f>'1 datos preparados'!R849</f>
        <v/>
      </c>
      <c r="T856" s="7">
        <f>'1 datos preparados'!S849</f>
        <v/>
      </c>
      <c r="U856" s="7">
        <f>'1 datos preparados'!T849</f>
        <v/>
      </c>
      <c r="V856" s="8">
        <f>$AC$12+D856*$AC$13+E856*$AC$14+F856*$AC$15+G856*$AC$16+H856*$AC$17+I856*$AC$18+J856*$AC$19+K856*$AC$20+L856*$AC$21+M856*$AC$22+N856*$AC$23+O856*$AC$24+P856*$AC$25+Q856*$AC$26+R856*$AC$27+S856*$AC$28+T856*$AC$29+U856*$AC$30</f>
        <v/>
      </c>
      <c r="W856" s="8">
        <f>1/(1+EXP(-V856))</f>
        <v/>
      </c>
      <c r="X856" s="9">
        <f>-IF(C856=1,LN(W856),LN(1-W856))</f>
        <v/>
      </c>
      <c r="Y856" s="10">
        <f>IF(W856&gt;$AC$33,1,0)</f>
        <v/>
      </c>
      <c r="Z856">
        <f>IF(Y856=C856,1,0)</f>
        <v/>
      </c>
    </row>
    <row r="857">
      <c r="A857">
        <f>'1 datos preparados'!A850</f>
        <v/>
      </c>
      <c r="B857" s="5">
        <f>'1 datos preparados'!U850</f>
        <v/>
      </c>
      <c r="C857">
        <f>'1 datos preparados'!B850</f>
        <v/>
      </c>
      <c r="D857" s="7">
        <f>'1 datos preparados'!C850</f>
        <v/>
      </c>
      <c r="E857" s="7">
        <f>'1 datos preparados'!D850</f>
        <v/>
      </c>
      <c r="F857" s="7">
        <f>'1 datos preparados'!E850</f>
        <v/>
      </c>
      <c r="G857" s="7">
        <f>'1 datos preparados'!F850</f>
        <v/>
      </c>
      <c r="H857" s="7">
        <f>'1 datos preparados'!G850</f>
        <v/>
      </c>
      <c r="I857" s="7">
        <f>'1 datos preparados'!H850</f>
        <v/>
      </c>
      <c r="J857" s="7">
        <f>'1 datos preparados'!I850</f>
        <v/>
      </c>
      <c r="K857" s="7">
        <f>'1 datos preparados'!J850</f>
        <v/>
      </c>
      <c r="L857" s="7">
        <f>'1 datos preparados'!K850</f>
        <v/>
      </c>
      <c r="M857" s="7">
        <f>'1 datos preparados'!L850</f>
        <v/>
      </c>
      <c r="N857" s="7">
        <f>'1 datos preparados'!M850</f>
        <v/>
      </c>
      <c r="O857" s="7">
        <f>'1 datos preparados'!N850</f>
        <v/>
      </c>
      <c r="P857" s="7">
        <f>'1 datos preparados'!O850</f>
        <v/>
      </c>
      <c r="Q857" s="7">
        <f>'1 datos preparados'!P850</f>
        <v/>
      </c>
      <c r="R857" s="7">
        <f>'1 datos preparados'!Q850</f>
        <v/>
      </c>
      <c r="S857" s="7">
        <f>'1 datos preparados'!R850</f>
        <v/>
      </c>
      <c r="T857" s="7">
        <f>'1 datos preparados'!S850</f>
        <v/>
      </c>
      <c r="U857" s="7">
        <f>'1 datos preparados'!T850</f>
        <v/>
      </c>
      <c r="V857" s="8">
        <f>$AC$12+D857*$AC$13+E857*$AC$14+F857*$AC$15+G857*$AC$16+H857*$AC$17+I857*$AC$18+J857*$AC$19+K857*$AC$20+L857*$AC$21+M857*$AC$22+N857*$AC$23+O857*$AC$24+P857*$AC$25+Q857*$AC$26+R857*$AC$27+S857*$AC$28+T857*$AC$29+U857*$AC$30</f>
        <v/>
      </c>
      <c r="W857" s="8">
        <f>1/(1+EXP(-V857))</f>
        <v/>
      </c>
      <c r="X857" s="9">
        <f>-IF(C857=1,LN(W857),LN(1-W857))</f>
        <v/>
      </c>
      <c r="Y857" s="10">
        <f>IF(W857&gt;$AC$33,1,0)</f>
        <v/>
      </c>
      <c r="Z857">
        <f>IF(Y857=C857,1,0)</f>
        <v/>
      </c>
    </row>
    <row r="858">
      <c r="A858">
        <f>'1 datos preparados'!A851</f>
        <v/>
      </c>
      <c r="B858" s="5">
        <f>'1 datos preparados'!U851</f>
        <v/>
      </c>
      <c r="C858">
        <f>'1 datos preparados'!B851</f>
        <v/>
      </c>
      <c r="D858" s="7">
        <f>'1 datos preparados'!C851</f>
        <v/>
      </c>
      <c r="E858" s="7">
        <f>'1 datos preparados'!D851</f>
        <v/>
      </c>
      <c r="F858" s="7">
        <f>'1 datos preparados'!E851</f>
        <v/>
      </c>
      <c r="G858" s="7">
        <f>'1 datos preparados'!F851</f>
        <v/>
      </c>
      <c r="H858" s="7">
        <f>'1 datos preparados'!G851</f>
        <v/>
      </c>
      <c r="I858" s="7">
        <f>'1 datos preparados'!H851</f>
        <v/>
      </c>
      <c r="J858" s="7">
        <f>'1 datos preparados'!I851</f>
        <v/>
      </c>
      <c r="K858" s="7">
        <f>'1 datos preparados'!J851</f>
        <v/>
      </c>
      <c r="L858" s="7">
        <f>'1 datos preparados'!K851</f>
        <v/>
      </c>
      <c r="M858" s="7">
        <f>'1 datos preparados'!L851</f>
        <v/>
      </c>
      <c r="N858" s="7">
        <f>'1 datos preparados'!M851</f>
        <v/>
      </c>
      <c r="O858" s="7">
        <f>'1 datos preparados'!N851</f>
        <v/>
      </c>
      <c r="P858" s="7">
        <f>'1 datos preparados'!O851</f>
        <v/>
      </c>
      <c r="Q858" s="7">
        <f>'1 datos preparados'!P851</f>
        <v/>
      </c>
      <c r="R858" s="7">
        <f>'1 datos preparados'!Q851</f>
        <v/>
      </c>
      <c r="S858" s="7">
        <f>'1 datos preparados'!R851</f>
        <v/>
      </c>
      <c r="T858" s="7">
        <f>'1 datos preparados'!S851</f>
        <v/>
      </c>
      <c r="U858" s="7">
        <f>'1 datos preparados'!T851</f>
        <v/>
      </c>
      <c r="V858" s="8">
        <f>$AC$12+D858*$AC$13+E858*$AC$14+F858*$AC$15+G858*$AC$16+H858*$AC$17+I858*$AC$18+J858*$AC$19+K858*$AC$20+L858*$AC$21+M858*$AC$22+N858*$AC$23+O858*$AC$24+P858*$AC$25+Q858*$AC$26+R858*$AC$27+S858*$AC$28+T858*$AC$29+U858*$AC$30</f>
        <v/>
      </c>
      <c r="W858" s="8">
        <f>1/(1+EXP(-V858))</f>
        <v/>
      </c>
      <c r="X858" s="9">
        <f>-IF(C858=1,LN(W858),LN(1-W858))</f>
        <v/>
      </c>
      <c r="Y858" s="10">
        <f>IF(W858&gt;$AC$33,1,0)</f>
        <v/>
      </c>
      <c r="Z858">
        <f>IF(Y858=C858,1,0)</f>
        <v/>
      </c>
    </row>
    <row r="859">
      <c r="A859">
        <f>'1 datos preparados'!A852</f>
        <v/>
      </c>
      <c r="B859" s="5">
        <f>'1 datos preparados'!U852</f>
        <v/>
      </c>
      <c r="C859">
        <f>'1 datos preparados'!B852</f>
        <v/>
      </c>
      <c r="D859" s="7">
        <f>'1 datos preparados'!C852</f>
        <v/>
      </c>
      <c r="E859" s="7">
        <f>'1 datos preparados'!D852</f>
        <v/>
      </c>
      <c r="F859" s="7">
        <f>'1 datos preparados'!E852</f>
        <v/>
      </c>
      <c r="G859" s="7">
        <f>'1 datos preparados'!F852</f>
        <v/>
      </c>
      <c r="H859" s="7">
        <f>'1 datos preparados'!G852</f>
        <v/>
      </c>
      <c r="I859" s="7">
        <f>'1 datos preparados'!H852</f>
        <v/>
      </c>
      <c r="J859" s="7">
        <f>'1 datos preparados'!I852</f>
        <v/>
      </c>
      <c r="K859" s="7">
        <f>'1 datos preparados'!J852</f>
        <v/>
      </c>
      <c r="L859" s="7">
        <f>'1 datos preparados'!K852</f>
        <v/>
      </c>
      <c r="M859" s="7">
        <f>'1 datos preparados'!L852</f>
        <v/>
      </c>
      <c r="N859" s="7">
        <f>'1 datos preparados'!M852</f>
        <v/>
      </c>
      <c r="O859" s="7">
        <f>'1 datos preparados'!N852</f>
        <v/>
      </c>
      <c r="P859" s="7">
        <f>'1 datos preparados'!O852</f>
        <v/>
      </c>
      <c r="Q859" s="7">
        <f>'1 datos preparados'!P852</f>
        <v/>
      </c>
      <c r="R859" s="7">
        <f>'1 datos preparados'!Q852</f>
        <v/>
      </c>
      <c r="S859" s="7">
        <f>'1 datos preparados'!R852</f>
        <v/>
      </c>
      <c r="T859" s="7">
        <f>'1 datos preparados'!S852</f>
        <v/>
      </c>
      <c r="U859" s="7">
        <f>'1 datos preparados'!T852</f>
        <v/>
      </c>
      <c r="V859" s="8">
        <f>$AC$12+D859*$AC$13+E859*$AC$14+F859*$AC$15+G859*$AC$16+H859*$AC$17+I859*$AC$18+J859*$AC$19+K859*$AC$20+L859*$AC$21+M859*$AC$22+N859*$AC$23+O859*$AC$24+P859*$AC$25+Q859*$AC$26+R859*$AC$27+S859*$AC$28+T859*$AC$29+U859*$AC$30</f>
        <v/>
      </c>
      <c r="W859" s="8">
        <f>1/(1+EXP(-V859))</f>
        <v/>
      </c>
      <c r="X859" s="9">
        <f>-IF(C859=1,LN(W859),LN(1-W859))</f>
        <v/>
      </c>
      <c r="Y859" s="10">
        <f>IF(W859&gt;$AC$33,1,0)</f>
        <v/>
      </c>
      <c r="Z859">
        <f>IF(Y859=C859,1,0)</f>
        <v/>
      </c>
    </row>
    <row r="860">
      <c r="A860">
        <f>'1 datos preparados'!A853</f>
        <v/>
      </c>
      <c r="B860" s="5">
        <f>'1 datos preparados'!U853</f>
        <v/>
      </c>
      <c r="C860">
        <f>'1 datos preparados'!B853</f>
        <v/>
      </c>
      <c r="D860" s="7">
        <f>'1 datos preparados'!C853</f>
        <v/>
      </c>
      <c r="E860" s="7">
        <f>'1 datos preparados'!D853</f>
        <v/>
      </c>
      <c r="F860" s="7">
        <f>'1 datos preparados'!E853</f>
        <v/>
      </c>
      <c r="G860" s="7">
        <f>'1 datos preparados'!F853</f>
        <v/>
      </c>
      <c r="H860" s="7">
        <f>'1 datos preparados'!G853</f>
        <v/>
      </c>
      <c r="I860" s="7">
        <f>'1 datos preparados'!H853</f>
        <v/>
      </c>
      <c r="J860" s="7">
        <f>'1 datos preparados'!I853</f>
        <v/>
      </c>
      <c r="K860" s="7">
        <f>'1 datos preparados'!J853</f>
        <v/>
      </c>
      <c r="L860" s="7">
        <f>'1 datos preparados'!K853</f>
        <v/>
      </c>
      <c r="M860" s="7">
        <f>'1 datos preparados'!L853</f>
        <v/>
      </c>
      <c r="N860" s="7">
        <f>'1 datos preparados'!M853</f>
        <v/>
      </c>
      <c r="O860" s="7">
        <f>'1 datos preparados'!N853</f>
        <v/>
      </c>
      <c r="P860" s="7">
        <f>'1 datos preparados'!O853</f>
        <v/>
      </c>
      <c r="Q860" s="7">
        <f>'1 datos preparados'!P853</f>
        <v/>
      </c>
      <c r="R860" s="7">
        <f>'1 datos preparados'!Q853</f>
        <v/>
      </c>
      <c r="S860" s="7">
        <f>'1 datos preparados'!R853</f>
        <v/>
      </c>
      <c r="T860" s="7">
        <f>'1 datos preparados'!S853</f>
        <v/>
      </c>
      <c r="U860" s="7">
        <f>'1 datos preparados'!T853</f>
        <v/>
      </c>
      <c r="V860" s="8">
        <f>$AC$12+D860*$AC$13+E860*$AC$14+F860*$AC$15+G860*$AC$16+H860*$AC$17+I860*$AC$18+J860*$AC$19+K860*$AC$20+L860*$AC$21+M860*$AC$22+N860*$AC$23+O860*$AC$24+P860*$AC$25+Q860*$AC$26+R860*$AC$27+S860*$AC$28+T860*$AC$29+U860*$AC$30</f>
        <v/>
      </c>
      <c r="W860" s="8">
        <f>1/(1+EXP(-V860))</f>
        <v/>
      </c>
      <c r="X860" s="9">
        <f>-IF(C860=1,LN(W860),LN(1-W860))</f>
        <v/>
      </c>
      <c r="Y860" s="10">
        <f>IF(W860&gt;$AC$33,1,0)</f>
        <v/>
      </c>
      <c r="Z860">
        <f>IF(Y860=C860,1,0)</f>
        <v/>
      </c>
    </row>
    <row r="861">
      <c r="A861">
        <f>'1 datos preparados'!A854</f>
        <v/>
      </c>
      <c r="B861" s="5">
        <f>'1 datos preparados'!U854</f>
        <v/>
      </c>
      <c r="C861">
        <f>'1 datos preparados'!B854</f>
        <v/>
      </c>
      <c r="D861" s="7">
        <f>'1 datos preparados'!C854</f>
        <v/>
      </c>
      <c r="E861" s="7">
        <f>'1 datos preparados'!D854</f>
        <v/>
      </c>
      <c r="F861" s="7">
        <f>'1 datos preparados'!E854</f>
        <v/>
      </c>
      <c r="G861" s="7">
        <f>'1 datos preparados'!F854</f>
        <v/>
      </c>
      <c r="H861" s="7">
        <f>'1 datos preparados'!G854</f>
        <v/>
      </c>
      <c r="I861" s="7">
        <f>'1 datos preparados'!H854</f>
        <v/>
      </c>
      <c r="J861" s="7">
        <f>'1 datos preparados'!I854</f>
        <v/>
      </c>
      <c r="K861" s="7">
        <f>'1 datos preparados'!J854</f>
        <v/>
      </c>
      <c r="L861" s="7">
        <f>'1 datos preparados'!K854</f>
        <v/>
      </c>
      <c r="M861" s="7">
        <f>'1 datos preparados'!L854</f>
        <v/>
      </c>
      <c r="N861" s="7">
        <f>'1 datos preparados'!M854</f>
        <v/>
      </c>
      <c r="O861" s="7">
        <f>'1 datos preparados'!N854</f>
        <v/>
      </c>
      <c r="P861" s="7">
        <f>'1 datos preparados'!O854</f>
        <v/>
      </c>
      <c r="Q861" s="7">
        <f>'1 datos preparados'!P854</f>
        <v/>
      </c>
      <c r="R861" s="7">
        <f>'1 datos preparados'!Q854</f>
        <v/>
      </c>
      <c r="S861" s="7">
        <f>'1 datos preparados'!R854</f>
        <v/>
      </c>
      <c r="T861" s="7">
        <f>'1 datos preparados'!S854</f>
        <v/>
      </c>
      <c r="U861" s="7">
        <f>'1 datos preparados'!T854</f>
        <v/>
      </c>
      <c r="V861" s="8">
        <f>$AC$12+D861*$AC$13+E861*$AC$14+F861*$AC$15+G861*$AC$16+H861*$AC$17+I861*$AC$18+J861*$AC$19+K861*$AC$20+L861*$AC$21+M861*$AC$22+N861*$AC$23+O861*$AC$24+P861*$AC$25+Q861*$AC$26+R861*$AC$27+S861*$AC$28+T861*$AC$29+U861*$AC$30</f>
        <v/>
      </c>
      <c r="W861" s="8">
        <f>1/(1+EXP(-V861))</f>
        <v/>
      </c>
      <c r="X861" s="9">
        <f>-IF(C861=1,LN(W861),LN(1-W861))</f>
        <v/>
      </c>
      <c r="Y861" s="10">
        <f>IF(W861&gt;$AC$33,1,0)</f>
        <v/>
      </c>
      <c r="Z861">
        <f>IF(Y861=C861,1,0)</f>
        <v/>
      </c>
    </row>
    <row r="862">
      <c r="A862">
        <f>'1 datos preparados'!A855</f>
        <v/>
      </c>
      <c r="B862" s="5">
        <f>'1 datos preparados'!U855</f>
        <v/>
      </c>
      <c r="C862">
        <f>'1 datos preparados'!B855</f>
        <v/>
      </c>
      <c r="D862" s="7">
        <f>'1 datos preparados'!C855</f>
        <v/>
      </c>
      <c r="E862" s="7">
        <f>'1 datos preparados'!D855</f>
        <v/>
      </c>
      <c r="F862" s="7">
        <f>'1 datos preparados'!E855</f>
        <v/>
      </c>
      <c r="G862" s="7">
        <f>'1 datos preparados'!F855</f>
        <v/>
      </c>
      <c r="H862" s="7">
        <f>'1 datos preparados'!G855</f>
        <v/>
      </c>
      <c r="I862" s="7">
        <f>'1 datos preparados'!H855</f>
        <v/>
      </c>
      <c r="J862" s="7">
        <f>'1 datos preparados'!I855</f>
        <v/>
      </c>
      <c r="K862" s="7">
        <f>'1 datos preparados'!J855</f>
        <v/>
      </c>
      <c r="L862" s="7">
        <f>'1 datos preparados'!K855</f>
        <v/>
      </c>
      <c r="M862" s="7">
        <f>'1 datos preparados'!L855</f>
        <v/>
      </c>
      <c r="N862" s="7">
        <f>'1 datos preparados'!M855</f>
        <v/>
      </c>
      <c r="O862" s="7">
        <f>'1 datos preparados'!N855</f>
        <v/>
      </c>
      <c r="P862" s="7">
        <f>'1 datos preparados'!O855</f>
        <v/>
      </c>
      <c r="Q862" s="7">
        <f>'1 datos preparados'!P855</f>
        <v/>
      </c>
      <c r="R862" s="7">
        <f>'1 datos preparados'!Q855</f>
        <v/>
      </c>
      <c r="S862" s="7">
        <f>'1 datos preparados'!R855</f>
        <v/>
      </c>
      <c r="T862" s="7">
        <f>'1 datos preparados'!S855</f>
        <v/>
      </c>
      <c r="U862" s="7">
        <f>'1 datos preparados'!T855</f>
        <v/>
      </c>
      <c r="V862" s="8">
        <f>$AC$12+D862*$AC$13+E862*$AC$14+F862*$AC$15+G862*$AC$16+H862*$AC$17+I862*$AC$18+J862*$AC$19+K862*$AC$20+L862*$AC$21+M862*$AC$22+N862*$AC$23+O862*$AC$24+P862*$AC$25+Q862*$AC$26+R862*$AC$27+S862*$AC$28+T862*$AC$29+U862*$AC$30</f>
        <v/>
      </c>
      <c r="W862" s="8">
        <f>1/(1+EXP(-V862))</f>
        <v/>
      </c>
      <c r="X862" s="9">
        <f>-IF(C862=1,LN(W862),LN(1-W862))</f>
        <v/>
      </c>
      <c r="Y862" s="10">
        <f>IF(W862&gt;$AC$33,1,0)</f>
        <v/>
      </c>
      <c r="Z862">
        <f>IF(Y862=C862,1,0)</f>
        <v/>
      </c>
    </row>
    <row r="863">
      <c r="A863">
        <f>'1 datos preparados'!A856</f>
        <v/>
      </c>
      <c r="B863" s="5">
        <f>'1 datos preparados'!U856</f>
        <v/>
      </c>
      <c r="C863">
        <f>'1 datos preparados'!B856</f>
        <v/>
      </c>
      <c r="D863" s="7">
        <f>'1 datos preparados'!C856</f>
        <v/>
      </c>
      <c r="E863" s="7">
        <f>'1 datos preparados'!D856</f>
        <v/>
      </c>
      <c r="F863" s="7">
        <f>'1 datos preparados'!E856</f>
        <v/>
      </c>
      <c r="G863" s="7">
        <f>'1 datos preparados'!F856</f>
        <v/>
      </c>
      <c r="H863" s="7">
        <f>'1 datos preparados'!G856</f>
        <v/>
      </c>
      <c r="I863" s="7">
        <f>'1 datos preparados'!H856</f>
        <v/>
      </c>
      <c r="J863" s="7">
        <f>'1 datos preparados'!I856</f>
        <v/>
      </c>
      <c r="K863" s="7">
        <f>'1 datos preparados'!J856</f>
        <v/>
      </c>
      <c r="L863" s="7">
        <f>'1 datos preparados'!K856</f>
        <v/>
      </c>
      <c r="M863" s="7">
        <f>'1 datos preparados'!L856</f>
        <v/>
      </c>
      <c r="N863" s="7">
        <f>'1 datos preparados'!M856</f>
        <v/>
      </c>
      <c r="O863" s="7">
        <f>'1 datos preparados'!N856</f>
        <v/>
      </c>
      <c r="P863" s="7">
        <f>'1 datos preparados'!O856</f>
        <v/>
      </c>
      <c r="Q863" s="7">
        <f>'1 datos preparados'!P856</f>
        <v/>
      </c>
      <c r="R863" s="7">
        <f>'1 datos preparados'!Q856</f>
        <v/>
      </c>
      <c r="S863" s="7">
        <f>'1 datos preparados'!R856</f>
        <v/>
      </c>
      <c r="T863" s="7">
        <f>'1 datos preparados'!S856</f>
        <v/>
      </c>
      <c r="U863" s="7">
        <f>'1 datos preparados'!T856</f>
        <v/>
      </c>
      <c r="V863" s="8">
        <f>$AC$12+D863*$AC$13+E863*$AC$14+F863*$AC$15+G863*$AC$16+H863*$AC$17+I863*$AC$18+J863*$AC$19+K863*$AC$20+L863*$AC$21+M863*$AC$22+N863*$AC$23+O863*$AC$24+P863*$AC$25+Q863*$AC$26+R863*$AC$27+S863*$AC$28+T863*$AC$29+U863*$AC$30</f>
        <v/>
      </c>
      <c r="W863" s="8">
        <f>1/(1+EXP(-V863))</f>
        <v/>
      </c>
      <c r="X863" s="9">
        <f>-IF(C863=1,LN(W863),LN(1-W863))</f>
        <v/>
      </c>
      <c r="Y863" s="10">
        <f>IF(W863&gt;$AC$33,1,0)</f>
        <v/>
      </c>
      <c r="Z863">
        <f>IF(Y863=C863,1,0)</f>
        <v/>
      </c>
    </row>
    <row r="864">
      <c r="A864">
        <f>'1 datos preparados'!A857</f>
        <v/>
      </c>
      <c r="B864" s="5">
        <f>'1 datos preparados'!U857</f>
        <v/>
      </c>
      <c r="C864">
        <f>'1 datos preparados'!B857</f>
        <v/>
      </c>
      <c r="D864" s="7">
        <f>'1 datos preparados'!C857</f>
        <v/>
      </c>
      <c r="E864" s="7">
        <f>'1 datos preparados'!D857</f>
        <v/>
      </c>
      <c r="F864" s="7">
        <f>'1 datos preparados'!E857</f>
        <v/>
      </c>
      <c r="G864" s="7">
        <f>'1 datos preparados'!F857</f>
        <v/>
      </c>
      <c r="H864" s="7">
        <f>'1 datos preparados'!G857</f>
        <v/>
      </c>
      <c r="I864" s="7">
        <f>'1 datos preparados'!H857</f>
        <v/>
      </c>
      <c r="J864" s="7">
        <f>'1 datos preparados'!I857</f>
        <v/>
      </c>
      <c r="K864" s="7">
        <f>'1 datos preparados'!J857</f>
        <v/>
      </c>
      <c r="L864" s="7">
        <f>'1 datos preparados'!K857</f>
        <v/>
      </c>
      <c r="M864" s="7">
        <f>'1 datos preparados'!L857</f>
        <v/>
      </c>
      <c r="N864" s="7">
        <f>'1 datos preparados'!M857</f>
        <v/>
      </c>
      <c r="O864" s="7">
        <f>'1 datos preparados'!N857</f>
        <v/>
      </c>
      <c r="P864" s="7">
        <f>'1 datos preparados'!O857</f>
        <v/>
      </c>
      <c r="Q864" s="7">
        <f>'1 datos preparados'!P857</f>
        <v/>
      </c>
      <c r="R864" s="7">
        <f>'1 datos preparados'!Q857</f>
        <v/>
      </c>
      <c r="S864" s="7">
        <f>'1 datos preparados'!R857</f>
        <v/>
      </c>
      <c r="T864" s="7">
        <f>'1 datos preparados'!S857</f>
        <v/>
      </c>
      <c r="U864" s="7">
        <f>'1 datos preparados'!T857</f>
        <v/>
      </c>
      <c r="V864" s="8">
        <f>$AC$12+D864*$AC$13+E864*$AC$14+F864*$AC$15+G864*$AC$16+H864*$AC$17+I864*$AC$18+J864*$AC$19+K864*$AC$20+L864*$AC$21+M864*$AC$22+N864*$AC$23+O864*$AC$24+P864*$AC$25+Q864*$AC$26+R864*$AC$27+S864*$AC$28+T864*$AC$29+U864*$AC$30</f>
        <v/>
      </c>
      <c r="W864" s="8">
        <f>1/(1+EXP(-V864))</f>
        <v/>
      </c>
      <c r="X864" s="9">
        <f>-IF(C864=1,LN(W864),LN(1-W864))</f>
        <v/>
      </c>
      <c r="Y864" s="10">
        <f>IF(W864&gt;$AC$33,1,0)</f>
        <v/>
      </c>
      <c r="Z864">
        <f>IF(Y864=C864,1,0)</f>
        <v/>
      </c>
    </row>
    <row r="865">
      <c r="A865">
        <f>'1 datos preparados'!A858</f>
        <v/>
      </c>
      <c r="B865" s="5">
        <f>'1 datos preparados'!U858</f>
        <v/>
      </c>
      <c r="C865">
        <f>'1 datos preparados'!B858</f>
        <v/>
      </c>
      <c r="D865" s="7">
        <f>'1 datos preparados'!C858</f>
        <v/>
      </c>
      <c r="E865" s="7">
        <f>'1 datos preparados'!D858</f>
        <v/>
      </c>
      <c r="F865" s="7">
        <f>'1 datos preparados'!E858</f>
        <v/>
      </c>
      <c r="G865" s="7">
        <f>'1 datos preparados'!F858</f>
        <v/>
      </c>
      <c r="H865" s="7">
        <f>'1 datos preparados'!G858</f>
        <v/>
      </c>
      <c r="I865" s="7">
        <f>'1 datos preparados'!H858</f>
        <v/>
      </c>
      <c r="J865" s="7">
        <f>'1 datos preparados'!I858</f>
        <v/>
      </c>
      <c r="K865" s="7">
        <f>'1 datos preparados'!J858</f>
        <v/>
      </c>
      <c r="L865" s="7">
        <f>'1 datos preparados'!K858</f>
        <v/>
      </c>
      <c r="M865" s="7">
        <f>'1 datos preparados'!L858</f>
        <v/>
      </c>
      <c r="N865" s="7">
        <f>'1 datos preparados'!M858</f>
        <v/>
      </c>
      <c r="O865" s="7">
        <f>'1 datos preparados'!N858</f>
        <v/>
      </c>
      <c r="P865" s="7">
        <f>'1 datos preparados'!O858</f>
        <v/>
      </c>
      <c r="Q865" s="7">
        <f>'1 datos preparados'!P858</f>
        <v/>
      </c>
      <c r="R865" s="7">
        <f>'1 datos preparados'!Q858</f>
        <v/>
      </c>
      <c r="S865" s="7">
        <f>'1 datos preparados'!R858</f>
        <v/>
      </c>
      <c r="T865" s="7">
        <f>'1 datos preparados'!S858</f>
        <v/>
      </c>
      <c r="U865" s="7">
        <f>'1 datos preparados'!T858</f>
        <v/>
      </c>
      <c r="V865" s="8">
        <f>$AC$12+D865*$AC$13+E865*$AC$14+F865*$AC$15+G865*$AC$16+H865*$AC$17+I865*$AC$18+J865*$AC$19+K865*$AC$20+L865*$AC$21+M865*$AC$22+N865*$AC$23+O865*$AC$24+P865*$AC$25+Q865*$AC$26+R865*$AC$27+S865*$AC$28+T865*$AC$29+U865*$AC$30</f>
        <v/>
      </c>
      <c r="W865" s="8">
        <f>1/(1+EXP(-V865))</f>
        <v/>
      </c>
      <c r="X865" s="9">
        <f>-IF(C865=1,LN(W865),LN(1-W865))</f>
        <v/>
      </c>
      <c r="Y865" s="10">
        <f>IF(W865&gt;$AC$33,1,0)</f>
        <v/>
      </c>
      <c r="Z865">
        <f>IF(Y865=C865,1,0)</f>
        <v/>
      </c>
    </row>
    <row r="866">
      <c r="A866">
        <f>'1 datos preparados'!A859</f>
        <v/>
      </c>
      <c r="B866" s="5">
        <f>'1 datos preparados'!U859</f>
        <v/>
      </c>
      <c r="C866">
        <f>'1 datos preparados'!B859</f>
        <v/>
      </c>
      <c r="D866" s="7">
        <f>'1 datos preparados'!C859</f>
        <v/>
      </c>
      <c r="E866" s="7">
        <f>'1 datos preparados'!D859</f>
        <v/>
      </c>
      <c r="F866" s="7">
        <f>'1 datos preparados'!E859</f>
        <v/>
      </c>
      <c r="G866" s="7">
        <f>'1 datos preparados'!F859</f>
        <v/>
      </c>
      <c r="H866" s="7">
        <f>'1 datos preparados'!G859</f>
        <v/>
      </c>
      <c r="I866" s="7">
        <f>'1 datos preparados'!H859</f>
        <v/>
      </c>
      <c r="J866" s="7">
        <f>'1 datos preparados'!I859</f>
        <v/>
      </c>
      <c r="K866" s="7">
        <f>'1 datos preparados'!J859</f>
        <v/>
      </c>
      <c r="L866" s="7">
        <f>'1 datos preparados'!K859</f>
        <v/>
      </c>
      <c r="M866" s="7">
        <f>'1 datos preparados'!L859</f>
        <v/>
      </c>
      <c r="N866" s="7">
        <f>'1 datos preparados'!M859</f>
        <v/>
      </c>
      <c r="O866" s="7">
        <f>'1 datos preparados'!N859</f>
        <v/>
      </c>
      <c r="P866" s="7">
        <f>'1 datos preparados'!O859</f>
        <v/>
      </c>
      <c r="Q866" s="7">
        <f>'1 datos preparados'!P859</f>
        <v/>
      </c>
      <c r="R866" s="7">
        <f>'1 datos preparados'!Q859</f>
        <v/>
      </c>
      <c r="S866" s="7">
        <f>'1 datos preparados'!R859</f>
        <v/>
      </c>
      <c r="T866" s="7">
        <f>'1 datos preparados'!S859</f>
        <v/>
      </c>
      <c r="U866" s="7">
        <f>'1 datos preparados'!T859</f>
        <v/>
      </c>
      <c r="V866" s="8">
        <f>$AC$12+D866*$AC$13+E866*$AC$14+F866*$AC$15+G866*$AC$16+H866*$AC$17+I866*$AC$18+J866*$AC$19+K866*$AC$20+L866*$AC$21+M866*$AC$22+N866*$AC$23+O866*$AC$24+P866*$AC$25+Q866*$AC$26+R866*$AC$27+S866*$AC$28+T866*$AC$29+U866*$AC$30</f>
        <v/>
      </c>
      <c r="W866" s="8">
        <f>1/(1+EXP(-V866))</f>
        <v/>
      </c>
      <c r="X866" s="9">
        <f>-IF(C866=1,LN(W866),LN(1-W866))</f>
        <v/>
      </c>
      <c r="Y866" s="10">
        <f>IF(W866&gt;$AC$33,1,0)</f>
        <v/>
      </c>
      <c r="Z866">
        <f>IF(Y866=C866,1,0)</f>
        <v/>
      </c>
    </row>
    <row r="867">
      <c r="A867">
        <f>'1 datos preparados'!A860</f>
        <v/>
      </c>
      <c r="B867" s="5">
        <f>'1 datos preparados'!U860</f>
        <v/>
      </c>
      <c r="C867">
        <f>'1 datos preparados'!B860</f>
        <v/>
      </c>
      <c r="D867" s="7">
        <f>'1 datos preparados'!C860</f>
        <v/>
      </c>
      <c r="E867" s="7">
        <f>'1 datos preparados'!D860</f>
        <v/>
      </c>
      <c r="F867" s="7">
        <f>'1 datos preparados'!E860</f>
        <v/>
      </c>
      <c r="G867" s="7">
        <f>'1 datos preparados'!F860</f>
        <v/>
      </c>
      <c r="H867" s="7">
        <f>'1 datos preparados'!G860</f>
        <v/>
      </c>
      <c r="I867" s="7">
        <f>'1 datos preparados'!H860</f>
        <v/>
      </c>
      <c r="J867" s="7">
        <f>'1 datos preparados'!I860</f>
        <v/>
      </c>
      <c r="K867" s="7">
        <f>'1 datos preparados'!J860</f>
        <v/>
      </c>
      <c r="L867" s="7">
        <f>'1 datos preparados'!K860</f>
        <v/>
      </c>
      <c r="M867" s="7">
        <f>'1 datos preparados'!L860</f>
        <v/>
      </c>
      <c r="N867" s="7">
        <f>'1 datos preparados'!M860</f>
        <v/>
      </c>
      <c r="O867" s="7">
        <f>'1 datos preparados'!N860</f>
        <v/>
      </c>
      <c r="P867" s="7">
        <f>'1 datos preparados'!O860</f>
        <v/>
      </c>
      <c r="Q867" s="7">
        <f>'1 datos preparados'!P860</f>
        <v/>
      </c>
      <c r="R867" s="7">
        <f>'1 datos preparados'!Q860</f>
        <v/>
      </c>
      <c r="S867" s="7">
        <f>'1 datos preparados'!R860</f>
        <v/>
      </c>
      <c r="T867" s="7">
        <f>'1 datos preparados'!S860</f>
        <v/>
      </c>
      <c r="U867" s="7">
        <f>'1 datos preparados'!T860</f>
        <v/>
      </c>
      <c r="V867" s="8">
        <f>$AC$12+D867*$AC$13+E867*$AC$14+F867*$AC$15+G867*$AC$16+H867*$AC$17+I867*$AC$18+J867*$AC$19+K867*$AC$20+L867*$AC$21+M867*$AC$22+N867*$AC$23+O867*$AC$24+P867*$AC$25+Q867*$AC$26+R867*$AC$27+S867*$AC$28+T867*$AC$29+U867*$AC$30</f>
        <v/>
      </c>
      <c r="W867" s="8">
        <f>1/(1+EXP(-V867))</f>
        <v/>
      </c>
      <c r="X867" s="9">
        <f>-IF(C867=1,LN(W867),LN(1-W867))</f>
        <v/>
      </c>
      <c r="Y867" s="10">
        <f>IF(W867&gt;$AC$33,1,0)</f>
        <v/>
      </c>
      <c r="Z867">
        <f>IF(Y867=C867,1,0)</f>
        <v/>
      </c>
    </row>
    <row r="868">
      <c r="A868">
        <f>'1 datos preparados'!A861</f>
        <v/>
      </c>
      <c r="B868" s="5">
        <f>'1 datos preparados'!U861</f>
        <v/>
      </c>
      <c r="C868">
        <f>'1 datos preparados'!B861</f>
        <v/>
      </c>
      <c r="D868" s="7">
        <f>'1 datos preparados'!C861</f>
        <v/>
      </c>
      <c r="E868" s="7">
        <f>'1 datos preparados'!D861</f>
        <v/>
      </c>
      <c r="F868" s="7">
        <f>'1 datos preparados'!E861</f>
        <v/>
      </c>
      <c r="G868" s="7">
        <f>'1 datos preparados'!F861</f>
        <v/>
      </c>
      <c r="H868" s="7">
        <f>'1 datos preparados'!G861</f>
        <v/>
      </c>
      <c r="I868" s="7">
        <f>'1 datos preparados'!H861</f>
        <v/>
      </c>
      <c r="J868" s="7">
        <f>'1 datos preparados'!I861</f>
        <v/>
      </c>
      <c r="K868" s="7">
        <f>'1 datos preparados'!J861</f>
        <v/>
      </c>
      <c r="L868" s="7">
        <f>'1 datos preparados'!K861</f>
        <v/>
      </c>
      <c r="M868" s="7">
        <f>'1 datos preparados'!L861</f>
        <v/>
      </c>
      <c r="N868" s="7">
        <f>'1 datos preparados'!M861</f>
        <v/>
      </c>
      <c r="O868" s="7">
        <f>'1 datos preparados'!N861</f>
        <v/>
      </c>
      <c r="P868" s="7">
        <f>'1 datos preparados'!O861</f>
        <v/>
      </c>
      <c r="Q868" s="7">
        <f>'1 datos preparados'!P861</f>
        <v/>
      </c>
      <c r="R868" s="7">
        <f>'1 datos preparados'!Q861</f>
        <v/>
      </c>
      <c r="S868" s="7">
        <f>'1 datos preparados'!R861</f>
        <v/>
      </c>
      <c r="T868" s="7">
        <f>'1 datos preparados'!S861</f>
        <v/>
      </c>
      <c r="U868" s="7">
        <f>'1 datos preparados'!T861</f>
        <v/>
      </c>
      <c r="V868" s="8">
        <f>$AC$12+D868*$AC$13+E868*$AC$14+F868*$AC$15+G868*$AC$16+H868*$AC$17+I868*$AC$18+J868*$AC$19+K868*$AC$20+L868*$AC$21+M868*$AC$22+N868*$AC$23+O868*$AC$24+P868*$AC$25+Q868*$AC$26+R868*$AC$27+S868*$AC$28+T868*$AC$29+U868*$AC$30</f>
        <v/>
      </c>
      <c r="W868" s="8">
        <f>1/(1+EXP(-V868))</f>
        <v/>
      </c>
      <c r="X868" s="9">
        <f>-IF(C868=1,LN(W868),LN(1-W868))</f>
        <v/>
      </c>
      <c r="Y868" s="10">
        <f>IF(W868&gt;$AC$33,1,0)</f>
        <v/>
      </c>
      <c r="Z868">
        <f>IF(Y868=C868,1,0)</f>
        <v/>
      </c>
    </row>
    <row r="869">
      <c r="A869">
        <f>'1 datos preparados'!A862</f>
        <v/>
      </c>
      <c r="B869" s="5">
        <f>'1 datos preparados'!U862</f>
        <v/>
      </c>
      <c r="C869">
        <f>'1 datos preparados'!B862</f>
        <v/>
      </c>
      <c r="D869" s="7">
        <f>'1 datos preparados'!C862</f>
        <v/>
      </c>
      <c r="E869" s="7">
        <f>'1 datos preparados'!D862</f>
        <v/>
      </c>
      <c r="F869" s="7">
        <f>'1 datos preparados'!E862</f>
        <v/>
      </c>
      <c r="G869" s="7">
        <f>'1 datos preparados'!F862</f>
        <v/>
      </c>
      <c r="H869" s="7">
        <f>'1 datos preparados'!G862</f>
        <v/>
      </c>
      <c r="I869" s="7">
        <f>'1 datos preparados'!H862</f>
        <v/>
      </c>
      <c r="J869" s="7">
        <f>'1 datos preparados'!I862</f>
        <v/>
      </c>
      <c r="K869" s="7">
        <f>'1 datos preparados'!J862</f>
        <v/>
      </c>
      <c r="L869" s="7">
        <f>'1 datos preparados'!K862</f>
        <v/>
      </c>
      <c r="M869" s="7">
        <f>'1 datos preparados'!L862</f>
        <v/>
      </c>
      <c r="N869" s="7">
        <f>'1 datos preparados'!M862</f>
        <v/>
      </c>
      <c r="O869" s="7">
        <f>'1 datos preparados'!N862</f>
        <v/>
      </c>
      <c r="P869" s="7">
        <f>'1 datos preparados'!O862</f>
        <v/>
      </c>
      <c r="Q869" s="7">
        <f>'1 datos preparados'!P862</f>
        <v/>
      </c>
      <c r="R869" s="7">
        <f>'1 datos preparados'!Q862</f>
        <v/>
      </c>
      <c r="S869" s="7">
        <f>'1 datos preparados'!R862</f>
        <v/>
      </c>
      <c r="T869" s="7">
        <f>'1 datos preparados'!S862</f>
        <v/>
      </c>
      <c r="U869" s="7">
        <f>'1 datos preparados'!T862</f>
        <v/>
      </c>
      <c r="V869" s="8">
        <f>$AC$12+D869*$AC$13+E869*$AC$14+F869*$AC$15+G869*$AC$16+H869*$AC$17+I869*$AC$18+J869*$AC$19+K869*$AC$20+L869*$AC$21+M869*$AC$22+N869*$AC$23+O869*$AC$24+P869*$AC$25+Q869*$AC$26+R869*$AC$27+S869*$AC$28+T869*$AC$29+U869*$AC$30</f>
        <v/>
      </c>
      <c r="W869" s="8">
        <f>1/(1+EXP(-V869))</f>
        <v/>
      </c>
      <c r="X869" s="9">
        <f>-IF(C869=1,LN(W869),LN(1-W869))</f>
        <v/>
      </c>
      <c r="Y869" s="10">
        <f>IF(W869&gt;$AC$33,1,0)</f>
        <v/>
      </c>
      <c r="Z869">
        <f>IF(Y869=C869,1,0)</f>
        <v/>
      </c>
    </row>
    <row r="870">
      <c r="A870">
        <f>'1 datos preparados'!A863</f>
        <v/>
      </c>
      <c r="B870" s="5">
        <f>'1 datos preparados'!U863</f>
        <v/>
      </c>
      <c r="C870">
        <f>'1 datos preparados'!B863</f>
        <v/>
      </c>
      <c r="D870" s="7">
        <f>'1 datos preparados'!C863</f>
        <v/>
      </c>
      <c r="E870" s="7">
        <f>'1 datos preparados'!D863</f>
        <v/>
      </c>
      <c r="F870" s="7">
        <f>'1 datos preparados'!E863</f>
        <v/>
      </c>
      <c r="G870" s="7">
        <f>'1 datos preparados'!F863</f>
        <v/>
      </c>
      <c r="H870" s="7">
        <f>'1 datos preparados'!G863</f>
        <v/>
      </c>
      <c r="I870" s="7">
        <f>'1 datos preparados'!H863</f>
        <v/>
      </c>
      <c r="J870" s="7">
        <f>'1 datos preparados'!I863</f>
        <v/>
      </c>
      <c r="K870" s="7">
        <f>'1 datos preparados'!J863</f>
        <v/>
      </c>
      <c r="L870" s="7">
        <f>'1 datos preparados'!K863</f>
        <v/>
      </c>
      <c r="M870" s="7">
        <f>'1 datos preparados'!L863</f>
        <v/>
      </c>
      <c r="N870" s="7">
        <f>'1 datos preparados'!M863</f>
        <v/>
      </c>
      <c r="O870" s="7">
        <f>'1 datos preparados'!N863</f>
        <v/>
      </c>
      <c r="P870" s="7">
        <f>'1 datos preparados'!O863</f>
        <v/>
      </c>
      <c r="Q870" s="7">
        <f>'1 datos preparados'!P863</f>
        <v/>
      </c>
      <c r="R870" s="7">
        <f>'1 datos preparados'!Q863</f>
        <v/>
      </c>
      <c r="S870" s="7">
        <f>'1 datos preparados'!R863</f>
        <v/>
      </c>
      <c r="T870" s="7">
        <f>'1 datos preparados'!S863</f>
        <v/>
      </c>
      <c r="U870" s="7">
        <f>'1 datos preparados'!T863</f>
        <v/>
      </c>
      <c r="V870" s="8">
        <f>$AC$12+D870*$AC$13+E870*$AC$14+F870*$AC$15+G870*$AC$16+H870*$AC$17+I870*$AC$18+J870*$AC$19+K870*$AC$20+L870*$AC$21+M870*$AC$22+N870*$AC$23+O870*$AC$24+P870*$AC$25+Q870*$AC$26+R870*$AC$27+S870*$AC$28+T870*$AC$29+U870*$AC$30</f>
        <v/>
      </c>
      <c r="W870" s="8">
        <f>1/(1+EXP(-V870))</f>
        <v/>
      </c>
      <c r="X870" s="9">
        <f>-IF(C870=1,LN(W870),LN(1-W870))</f>
        <v/>
      </c>
      <c r="Y870" s="10">
        <f>IF(W870&gt;$AC$33,1,0)</f>
        <v/>
      </c>
      <c r="Z870">
        <f>IF(Y870=C870,1,0)</f>
        <v/>
      </c>
    </row>
    <row r="871">
      <c r="A871">
        <f>'1 datos preparados'!A864</f>
        <v/>
      </c>
      <c r="B871" s="5">
        <f>'1 datos preparados'!U864</f>
        <v/>
      </c>
      <c r="C871">
        <f>'1 datos preparados'!B864</f>
        <v/>
      </c>
      <c r="D871" s="7">
        <f>'1 datos preparados'!C864</f>
        <v/>
      </c>
      <c r="E871" s="7">
        <f>'1 datos preparados'!D864</f>
        <v/>
      </c>
      <c r="F871" s="7">
        <f>'1 datos preparados'!E864</f>
        <v/>
      </c>
      <c r="G871" s="7">
        <f>'1 datos preparados'!F864</f>
        <v/>
      </c>
      <c r="H871" s="7">
        <f>'1 datos preparados'!G864</f>
        <v/>
      </c>
      <c r="I871" s="7">
        <f>'1 datos preparados'!H864</f>
        <v/>
      </c>
      <c r="J871" s="7">
        <f>'1 datos preparados'!I864</f>
        <v/>
      </c>
      <c r="K871" s="7">
        <f>'1 datos preparados'!J864</f>
        <v/>
      </c>
      <c r="L871" s="7">
        <f>'1 datos preparados'!K864</f>
        <v/>
      </c>
      <c r="M871" s="7">
        <f>'1 datos preparados'!L864</f>
        <v/>
      </c>
      <c r="N871" s="7">
        <f>'1 datos preparados'!M864</f>
        <v/>
      </c>
      <c r="O871" s="7">
        <f>'1 datos preparados'!N864</f>
        <v/>
      </c>
      <c r="P871" s="7">
        <f>'1 datos preparados'!O864</f>
        <v/>
      </c>
      <c r="Q871" s="7">
        <f>'1 datos preparados'!P864</f>
        <v/>
      </c>
      <c r="R871" s="7">
        <f>'1 datos preparados'!Q864</f>
        <v/>
      </c>
      <c r="S871" s="7">
        <f>'1 datos preparados'!R864</f>
        <v/>
      </c>
      <c r="T871" s="7">
        <f>'1 datos preparados'!S864</f>
        <v/>
      </c>
      <c r="U871" s="7">
        <f>'1 datos preparados'!T864</f>
        <v/>
      </c>
      <c r="V871" s="8">
        <f>$AC$12+D871*$AC$13+E871*$AC$14+F871*$AC$15+G871*$AC$16+H871*$AC$17+I871*$AC$18+J871*$AC$19+K871*$AC$20+L871*$AC$21+M871*$AC$22+N871*$AC$23+O871*$AC$24+P871*$AC$25+Q871*$AC$26+R871*$AC$27+S871*$AC$28+T871*$AC$29+U871*$AC$30</f>
        <v/>
      </c>
      <c r="W871" s="8">
        <f>1/(1+EXP(-V871))</f>
        <v/>
      </c>
      <c r="X871" s="9">
        <f>-IF(C871=1,LN(W871),LN(1-W871))</f>
        <v/>
      </c>
      <c r="Y871" s="10">
        <f>IF(W871&gt;$AC$33,1,0)</f>
        <v/>
      </c>
      <c r="Z871">
        <f>IF(Y871=C871,1,0)</f>
        <v/>
      </c>
    </row>
    <row r="872">
      <c r="A872">
        <f>'1 datos preparados'!A865</f>
        <v/>
      </c>
      <c r="B872" s="5">
        <f>'1 datos preparados'!U865</f>
        <v/>
      </c>
      <c r="C872">
        <f>'1 datos preparados'!B865</f>
        <v/>
      </c>
      <c r="D872" s="7">
        <f>'1 datos preparados'!C865</f>
        <v/>
      </c>
      <c r="E872" s="7">
        <f>'1 datos preparados'!D865</f>
        <v/>
      </c>
      <c r="F872" s="7">
        <f>'1 datos preparados'!E865</f>
        <v/>
      </c>
      <c r="G872" s="7">
        <f>'1 datos preparados'!F865</f>
        <v/>
      </c>
      <c r="H872" s="7">
        <f>'1 datos preparados'!G865</f>
        <v/>
      </c>
      <c r="I872" s="7">
        <f>'1 datos preparados'!H865</f>
        <v/>
      </c>
      <c r="J872" s="7">
        <f>'1 datos preparados'!I865</f>
        <v/>
      </c>
      <c r="K872" s="7">
        <f>'1 datos preparados'!J865</f>
        <v/>
      </c>
      <c r="L872" s="7">
        <f>'1 datos preparados'!K865</f>
        <v/>
      </c>
      <c r="M872" s="7">
        <f>'1 datos preparados'!L865</f>
        <v/>
      </c>
      <c r="N872" s="7">
        <f>'1 datos preparados'!M865</f>
        <v/>
      </c>
      <c r="O872" s="7">
        <f>'1 datos preparados'!N865</f>
        <v/>
      </c>
      <c r="P872" s="7">
        <f>'1 datos preparados'!O865</f>
        <v/>
      </c>
      <c r="Q872" s="7">
        <f>'1 datos preparados'!P865</f>
        <v/>
      </c>
      <c r="R872" s="7">
        <f>'1 datos preparados'!Q865</f>
        <v/>
      </c>
      <c r="S872" s="7">
        <f>'1 datos preparados'!R865</f>
        <v/>
      </c>
      <c r="T872" s="7">
        <f>'1 datos preparados'!S865</f>
        <v/>
      </c>
      <c r="U872" s="7">
        <f>'1 datos preparados'!T865</f>
        <v/>
      </c>
      <c r="V872" s="8">
        <f>$AC$12+D872*$AC$13+E872*$AC$14+F872*$AC$15+G872*$AC$16+H872*$AC$17+I872*$AC$18+J872*$AC$19+K872*$AC$20+L872*$AC$21+M872*$AC$22+N872*$AC$23+O872*$AC$24+P872*$AC$25+Q872*$AC$26+R872*$AC$27+S872*$AC$28+T872*$AC$29+U872*$AC$30</f>
        <v/>
      </c>
      <c r="W872" s="8">
        <f>1/(1+EXP(-V872))</f>
        <v/>
      </c>
      <c r="X872" s="9">
        <f>-IF(C872=1,LN(W872),LN(1-W872))</f>
        <v/>
      </c>
      <c r="Y872" s="10">
        <f>IF(W872&gt;$AC$33,1,0)</f>
        <v/>
      </c>
      <c r="Z872">
        <f>IF(Y872=C872,1,0)</f>
        <v/>
      </c>
    </row>
    <row r="873">
      <c r="A873">
        <f>'1 datos preparados'!A866</f>
        <v/>
      </c>
      <c r="B873" s="5">
        <f>'1 datos preparados'!U866</f>
        <v/>
      </c>
      <c r="C873">
        <f>'1 datos preparados'!B866</f>
        <v/>
      </c>
      <c r="D873" s="7">
        <f>'1 datos preparados'!C866</f>
        <v/>
      </c>
      <c r="E873" s="7">
        <f>'1 datos preparados'!D866</f>
        <v/>
      </c>
      <c r="F873" s="7">
        <f>'1 datos preparados'!E866</f>
        <v/>
      </c>
      <c r="G873" s="7">
        <f>'1 datos preparados'!F866</f>
        <v/>
      </c>
      <c r="H873" s="7">
        <f>'1 datos preparados'!G866</f>
        <v/>
      </c>
      <c r="I873" s="7">
        <f>'1 datos preparados'!H866</f>
        <v/>
      </c>
      <c r="J873" s="7">
        <f>'1 datos preparados'!I866</f>
        <v/>
      </c>
      <c r="K873" s="7">
        <f>'1 datos preparados'!J866</f>
        <v/>
      </c>
      <c r="L873" s="7">
        <f>'1 datos preparados'!K866</f>
        <v/>
      </c>
      <c r="M873" s="7">
        <f>'1 datos preparados'!L866</f>
        <v/>
      </c>
      <c r="N873" s="7">
        <f>'1 datos preparados'!M866</f>
        <v/>
      </c>
      <c r="O873" s="7">
        <f>'1 datos preparados'!N866</f>
        <v/>
      </c>
      <c r="P873" s="7">
        <f>'1 datos preparados'!O866</f>
        <v/>
      </c>
      <c r="Q873" s="7">
        <f>'1 datos preparados'!P866</f>
        <v/>
      </c>
      <c r="R873" s="7">
        <f>'1 datos preparados'!Q866</f>
        <v/>
      </c>
      <c r="S873" s="7">
        <f>'1 datos preparados'!R866</f>
        <v/>
      </c>
      <c r="T873" s="7">
        <f>'1 datos preparados'!S866</f>
        <v/>
      </c>
      <c r="U873" s="7">
        <f>'1 datos preparados'!T866</f>
        <v/>
      </c>
      <c r="V873" s="8">
        <f>$AC$12+D873*$AC$13+E873*$AC$14+F873*$AC$15+G873*$AC$16+H873*$AC$17+I873*$AC$18+J873*$AC$19+K873*$AC$20+L873*$AC$21+M873*$AC$22+N873*$AC$23+O873*$AC$24+P873*$AC$25+Q873*$AC$26+R873*$AC$27+S873*$AC$28+T873*$AC$29+U873*$AC$30</f>
        <v/>
      </c>
      <c r="W873" s="8">
        <f>1/(1+EXP(-V873))</f>
        <v/>
      </c>
      <c r="X873" s="9">
        <f>-IF(C873=1,LN(W873),LN(1-W873))</f>
        <v/>
      </c>
      <c r="Y873" s="10">
        <f>IF(W873&gt;$AC$33,1,0)</f>
        <v/>
      </c>
      <c r="Z873">
        <f>IF(Y873=C873,1,0)</f>
        <v/>
      </c>
    </row>
    <row r="874">
      <c r="A874">
        <f>'1 datos preparados'!A867</f>
        <v/>
      </c>
      <c r="B874" s="5">
        <f>'1 datos preparados'!U867</f>
        <v/>
      </c>
      <c r="C874">
        <f>'1 datos preparados'!B867</f>
        <v/>
      </c>
      <c r="D874" s="7">
        <f>'1 datos preparados'!C867</f>
        <v/>
      </c>
      <c r="E874" s="7">
        <f>'1 datos preparados'!D867</f>
        <v/>
      </c>
      <c r="F874" s="7">
        <f>'1 datos preparados'!E867</f>
        <v/>
      </c>
      <c r="G874" s="7">
        <f>'1 datos preparados'!F867</f>
        <v/>
      </c>
      <c r="H874" s="7">
        <f>'1 datos preparados'!G867</f>
        <v/>
      </c>
      <c r="I874" s="7">
        <f>'1 datos preparados'!H867</f>
        <v/>
      </c>
      <c r="J874" s="7">
        <f>'1 datos preparados'!I867</f>
        <v/>
      </c>
      <c r="K874" s="7">
        <f>'1 datos preparados'!J867</f>
        <v/>
      </c>
      <c r="L874" s="7">
        <f>'1 datos preparados'!K867</f>
        <v/>
      </c>
      <c r="M874" s="7">
        <f>'1 datos preparados'!L867</f>
        <v/>
      </c>
      <c r="N874" s="7">
        <f>'1 datos preparados'!M867</f>
        <v/>
      </c>
      <c r="O874" s="7">
        <f>'1 datos preparados'!N867</f>
        <v/>
      </c>
      <c r="P874" s="7">
        <f>'1 datos preparados'!O867</f>
        <v/>
      </c>
      <c r="Q874" s="7">
        <f>'1 datos preparados'!P867</f>
        <v/>
      </c>
      <c r="R874" s="7">
        <f>'1 datos preparados'!Q867</f>
        <v/>
      </c>
      <c r="S874" s="7">
        <f>'1 datos preparados'!R867</f>
        <v/>
      </c>
      <c r="T874" s="7">
        <f>'1 datos preparados'!S867</f>
        <v/>
      </c>
      <c r="U874" s="7">
        <f>'1 datos preparados'!T867</f>
        <v/>
      </c>
      <c r="V874" s="8">
        <f>$AC$12+D874*$AC$13+E874*$AC$14+F874*$AC$15+G874*$AC$16+H874*$AC$17+I874*$AC$18+J874*$AC$19+K874*$AC$20+L874*$AC$21+M874*$AC$22+N874*$AC$23+O874*$AC$24+P874*$AC$25+Q874*$AC$26+R874*$AC$27+S874*$AC$28+T874*$AC$29+U874*$AC$30</f>
        <v/>
      </c>
      <c r="W874" s="8">
        <f>1/(1+EXP(-V874))</f>
        <v/>
      </c>
      <c r="X874" s="9">
        <f>-IF(C874=1,LN(W874),LN(1-W874))</f>
        <v/>
      </c>
      <c r="Y874" s="10">
        <f>IF(W874&gt;$AC$33,1,0)</f>
        <v/>
      </c>
      <c r="Z874">
        <f>IF(Y874=C874,1,0)</f>
        <v/>
      </c>
    </row>
    <row r="875">
      <c r="A875">
        <f>'1 datos preparados'!A868</f>
        <v/>
      </c>
      <c r="B875" s="5">
        <f>'1 datos preparados'!U868</f>
        <v/>
      </c>
      <c r="C875">
        <f>'1 datos preparados'!B868</f>
        <v/>
      </c>
      <c r="D875" s="7">
        <f>'1 datos preparados'!C868</f>
        <v/>
      </c>
      <c r="E875" s="7">
        <f>'1 datos preparados'!D868</f>
        <v/>
      </c>
      <c r="F875" s="7">
        <f>'1 datos preparados'!E868</f>
        <v/>
      </c>
      <c r="G875" s="7">
        <f>'1 datos preparados'!F868</f>
        <v/>
      </c>
      <c r="H875" s="7">
        <f>'1 datos preparados'!G868</f>
        <v/>
      </c>
      <c r="I875" s="7">
        <f>'1 datos preparados'!H868</f>
        <v/>
      </c>
      <c r="J875" s="7">
        <f>'1 datos preparados'!I868</f>
        <v/>
      </c>
      <c r="K875" s="7">
        <f>'1 datos preparados'!J868</f>
        <v/>
      </c>
      <c r="L875" s="7">
        <f>'1 datos preparados'!K868</f>
        <v/>
      </c>
      <c r="M875" s="7">
        <f>'1 datos preparados'!L868</f>
        <v/>
      </c>
      <c r="N875" s="7">
        <f>'1 datos preparados'!M868</f>
        <v/>
      </c>
      <c r="O875" s="7">
        <f>'1 datos preparados'!N868</f>
        <v/>
      </c>
      <c r="P875" s="7">
        <f>'1 datos preparados'!O868</f>
        <v/>
      </c>
      <c r="Q875" s="7">
        <f>'1 datos preparados'!P868</f>
        <v/>
      </c>
      <c r="R875" s="7">
        <f>'1 datos preparados'!Q868</f>
        <v/>
      </c>
      <c r="S875" s="7">
        <f>'1 datos preparados'!R868</f>
        <v/>
      </c>
      <c r="T875" s="7">
        <f>'1 datos preparados'!S868</f>
        <v/>
      </c>
      <c r="U875" s="7">
        <f>'1 datos preparados'!T868</f>
        <v/>
      </c>
      <c r="V875" s="8">
        <f>$AC$12+D875*$AC$13+E875*$AC$14+F875*$AC$15+G875*$AC$16+H875*$AC$17+I875*$AC$18+J875*$AC$19+K875*$AC$20+L875*$AC$21+M875*$AC$22+N875*$AC$23+O875*$AC$24+P875*$AC$25+Q875*$AC$26+R875*$AC$27+S875*$AC$28+T875*$AC$29+U875*$AC$30</f>
        <v/>
      </c>
      <c r="W875" s="8">
        <f>1/(1+EXP(-V875))</f>
        <v/>
      </c>
      <c r="X875" s="9">
        <f>-IF(C875=1,LN(W875),LN(1-W875))</f>
        <v/>
      </c>
      <c r="Y875" s="10">
        <f>IF(W875&gt;$AC$33,1,0)</f>
        <v/>
      </c>
      <c r="Z875">
        <f>IF(Y875=C875,1,0)</f>
        <v/>
      </c>
    </row>
    <row r="876">
      <c r="A876">
        <f>'1 datos preparados'!A869</f>
        <v/>
      </c>
      <c r="B876" s="5">
        <f>'1 datos preparados'!U869</f>
        <v/>
      </c>
      <c r="C876">
        <f>'1 datos preparados'!B869</f>
        <v/>
      </c>
      <c r="D876" s="7">
        <f>'1 datos preparados'!C869</f>
        <v/>
      </c>
      <c r="E876" s="7">
        <f>'1 datos preparados'!D869</f>
        <v/>
      </c>
      <c r="F876" s="7">
        <f>'1 datos preparados'!E869</f>
        <v/>
      </c>
      <c r="G876" s="7">
        <f>'1 datos preparados'!F869</f>
        <v/>
      </c>
      <c r="H876" s="7">
        <f>'1 datos preparados'!G869</f>
        <v/>
      </c>
      <c r="I876" s="7">
        <f>'1 datos preparados'!H869</f>
        <v/>
      </c>
      <c r="J876" s="7">
        <f>'1 datos preparados'!I869</f>
        <v/>
      </c>
      <c r="K876" s="7">
        <f>'1 datos preparados'!J869</f>
        <v/>
      </c>
      <c r="L876" s="7">
        <f>'1 datos preparados'!K869</f>
        <v/>
      </c>
      <c r="M876" s="7">
        <f>'1 datos preparados'!L869</f>
        <v/>
      </c>
      <c r="N876" s="7">
        <f>'1 datos preparados'!M869</f>
        <v/>
      </c>
      <c r="O876" s="7">
        <f>'1 datos preparados'!N869</f>
        <v/>
      </c>
      <c r="P876" s="7">
        <f>'1 datos preparados'!O869</f>
        <v/>
      </c>
      <c r="Q876" s="7">
        <f>'1 datos preparados'!P869</f>
        <v/>
      </c>
      <c r="R876" s="7">
        <f>'1 datos preparados'!Q869</f>
        <v/>
      </c>
      <c r="S876" s="7">
        <f>'1 datos preparados'!R869</f>
        <v/>
      </c>
      <c r="T876" s="7">
        <f>'1 datos preparados'!S869</f>
        <v/>
      </c>
      <c r="U876" s="7">
        <f>'1 datos preparados'!T869</f>
        <v/>
      </c>
      <c r="V876" s="8">
        <f>$AC$12+D876*$AC$13+E876*$AC$14+F876*$AC$15+G876*$AC$16+H876*$AC$17+I876*$AC$18+J876*$AC$19+K876*$AC$20+L876*$AC$21+M876*$AC$22+N876*$AC$23+O876*$AC$24+P876*$AC$25+Q876*$AC$26+R876*$AC$27+S876*$AC$28+T876*$AC$29+U876*$AC$30</f>
        <v/>
      </c>
      <c r="W876" s="8">
        <f>1/(1+EXP(-V876))</f>
        <v/>
      </c>
      <c r="X876" s="9">
        <f>-IF(C876=1,LN(W876),LN(1-W876))</f>
        <v/>
      </c>
      <c r="Y876" s="10">
        <f>IF(W876&gt;$AC$33,1,0)</f>
        <v/>
      </c>
      <c r="Z876">
        <f>IF(Y876=C876,1,0)</f>
        <v/>
      </c>
    </row>
    <row r="877">
      <c r="A877">
        <f>'1 datos preparados'!A870</f>
        <v/>
      </c>
      <c r="B877" s="5">
        <f>'1 datos preparados'!U870</f>
        <v/>
      </c>
      <c r="C877">
        <f>'1 datos preparados'!B870</f>
        <v/>
      </c>
      <c r="D877" s="7">
        <f>'1 datos preparados'!C870</f>
        <v/>
      </c>
      <c r="E877" s="7">
        <f>'1 datos preparados'!D870</f>
        <v/>
      </c>
      <c r="F877" s="7">
        <f>'1 datos preparados'!E870</f>
        <v/>
      </c>
      <c r="G877" s="7">
        <f>'1 datos preparados'!F870</f>
        <v/>
      </c>
      <c r="H877" s="7">
        <f>'1 datos preparados'!G870</f>
        <v/>
      </c>
      <c r="I877" s="7">
        <f>'1 datos preparados'!H870</f>
        <v/>
      </c>
      <c r="J877" s="7">
        <f>'1 datos preparados'!I870</f>
        <v/>
      </c>
      <c r="K877" s="7">
        <f>'1 datos preparados'!J870</f>
        <v/>
      </c>
      <c r="L877" s="7">
        <f>'1 datos preparados'!K870</f>
        <v/>
      </c>
      <c r="M877" s="7">
        <f>'1 datos preparados'!L870</f>
        <v/>
      </c>
      <c r="N877" s="7">
        <f>'1 datos preparados'!M870</f>
        <v/>
      </c>
      <c r="O877" s="7">
        <f>'1 datos preparados'!N870</f>
        <v/>
      </c>
      <c r="P877" s="7">
        <f>'1 datos preparados'!O870</f>
        <v/>
      </c>
      <c r="Q877" s="7">
        <f>'1 datos preparados'!P870</f>
        <v/>
      </c>
      <c r="R877" s="7">
        <f>'1 datos preparados'!Q870</f>
        <v/>
      </c>
      <c r="S877" s="7">
        <f>'1 datos preparados'!R870</f>
        <v/>
      </c>
      <c r="T877" s="7">
        <f>'1 datos preparados'!S870</f>
        <v/>
      </c>
      <c r="U877" s="7">
        <f>'1 datos preparados'!T870</f>
        <v/>
      </c>
      <c r="V877" s="8">
        <f>$AC$12+D877*$AC$13+E877*$AC$14+F877*$AC$15+G877*$AC$16+H877*$AC$17+I877*$AC$18+J877*$AC$19+K877*$AC$20+L877*$AC$21+M877*$AC$22+N877*$AC$23+O877*$AC$24+P877*$AC$25+Q877*$AC$26+R877*$AC$27+S877*$AC$28+T877*$AC$29+U877*$AC$30</f>
        <v/>
      </c>
      <c r="W877" s="8">
        <f>1/(1+EXP(-V877))</f>
        <v/>
      </c>
      <c r="X877" s="9">
        <f>-IF(C877=1,LN(W877),LN(1-W877))</f>
        <v/>
      </c>
      <c r="Y877" s="10">
        <f>IF(W877&gt;$AC$33,1,0)</f>
        <v/>
      </c>
      <c r="Z877">
        <f>IF(Y877=C877,1,0)</f>
        <v/>
      </c>
    </row>
    <row r="878">
      <c r="A878">
        <f>'1 datos preparados'!A871</f>
        <v/>
      </c>
      <c r="B878" s="5">
        <f>'1 datos preparados'!U871</f>
        <v/>
      </c>
      <c r="C878">
        <f>'1 datos preparados'!B871</f>
        <v/>
      </c>
      <c r="D878" s="7">
        <f>'1 datos preparados'!C871</f>
        <v/>
      </c>
      <c r="E878" s="7">
        <f>'1 datos preparados'!D871</f>
        <v/>
      </c>
      <c r="F878" s="7">
        <f>'1 datos preparados'!E871</f>
        <v/>
      </c>
      <c r="G878" s="7">
        <f>'1 datos preparados'!F871</f>
        <v/>
      </c>
      <c r="H878" s="7">
        <f>'1 datos preparados'!G871</f>
        <v/>
      </c>
      <c r="I878" s="7">
        <f>'1 datos preparados'!H871</f>
        <v/>
      </c>
      <c r="J878" s="7">
        <f>'1 datos preparados'!I871</f>
        <v/>
      </c>
      <c r="K878" s="7">
        <f>'1 datos preparados'!J871</f>
        <v/>
      </c>
      <c r="L878" s="7">
        <f>'1 datos preparados'!K871</f>
        <v/>
      </c>
      <c r="M878" s="7">
        <f>'1 datos preparados'!L871</f>
        <v/>
      </c>
      <c r="N878" s="7">
        <f>'1 datos preparados'!M871</f>
        <v/>
      </c>
      <c r="O878" s="7">
        <f>'1 datos preparados'!N871</f>
        <v/>
      </c>
      <c r="P878" s="7">
        <f>'1 datos preparados'!O871</f>
        <v/>
      </c>
      <c r="Q878" s="7">
        <f>'1 datos preparados'!P871</f>
        <v/>
      </c>
      <c r="R878" s="7">
        <f>'1 datos preparados'!Q871</f>
        <v/>
      </c>
      <c r="S878" s="7">
        <f>'1 datos preparados'!R871</f>
        <v/>
      </c>
      <c r="T878" s="7">
        <f>'1 datos preparados'!S871</f>
        <v/>
      </c>
      <c r="U878" s="7">
        <f>'1 datos preparados'!T871</f>
        <v/>
      </c>
      <c r="V878" s="8">
        <f>$AC$12+D878*$AC$13+E878*$AC$14+F878*$AC$15+G878*$AC$16+H878*$AC$17+I878*$AC$18+J878*$AC$19+K878*$AC$20+L878*$AC$21+M878*$AC$22+N878*$AC$23+O878*$AC$24+P878*$AC$25+Q878*$AC$26+R878*$AC$27+S878*$AC$28+T878*$AC$29+U878*$AC$30</f>
        <v/>
      </c>
      <c r="W878" s="8">
        <f>1/(1+EXP(-V878))</f>
        <v/>
      </c>
      <c r="X878" s="9">
        <f>-IF(C878=1,LN(W878),LN(1-W878))</f>
        <v/>
      </c>
      <c r="Y878" s="10">
        <f>IF(W878&gt;$AC$33,1,0)</f>
        <v/>
      </c>
      <c r="Z878">
        <f>IF(Y878=C878,1,0)</f>
        <v/>
      </c>
    </row>
    <row r="879">
      <c r="A879">
        <f>'1 datos preparados'!A872</f>
        <v/>
      </c>
      <c r="B879" s="5">
        <f>'1 datos preparados'!U872</f>
        <v/>
      </c>
      <c r="C879">
        <f>'1 datos preparados'!B872</f>
        <v/>
      </c>
      <c r="D879" s="7">
        <f>'1 datos preparados'!C872</f>
        <v/>
      </c>
      <c r="E879" s="7">
        <f>'1 datos preparados'!D872</f>
        <v/>
      </c>
      <c r="F879" s="7">
        <f>'1 datos preparados'!E872</f>
        <v/>
      </c>
      <c r="G879" s="7">
        <f>'1 datos preparados'!F872</f>
        <v/>
      </c>
      <c r="H879" s="7">
        <f>'1 datos preparados'!G872</f>
        <v/>
      </c>
      <c r="I879" s="7">
        <f>'1 datos preparados'!H872</f>
        <v/>
      </c>
      <c r="J879" s="7">
        <f>'1 datos preparados'!I872</f>
        <v/>
      </c>
      <c r="K879" s="7">
        <f>'1 datos preparados'!J872</f>
        <v/>
      </c>
      <c r="L879" s="7">
        <f>'1 datos preparados'!K872</f>
        <v/>
      </c>
      <c r="M879" s="7">
        <f>'1 datos preparados'!L872</f>
        <v/>
      </c>
      <c r="N879" s="7">
        <f>'1 datos preparados'!M872</f>
        <v/>
      </c>
      <c r="O879" s="7">
        <f>'1 datos preparados'!N872</f>
        <v/>
      </c>
      <c r="P879" s="7">
        <f>'1 datos preparados'!O872</f>
        <v/>
      </c>
      <c r="Q879" s="7">
        <f>'1 datos preparados'!P872</f>
        <v/>
      </c>
      <c r="R879" s="7">
        <f>'1 datos preparados'!Q872</f>
        <v/>
      </c>
      <c r="S879" s="7">
        <f>'1 datos preparados'!R872</f>
        <v/>
      </c>
      <c r="T879" s="7">
        <f>'1 datos preparados'!S872</f>
        <v/>
      </c>
      <c r="U879" s="7">
        <f>'1 datos preparados'!T872</f>
        <v/>
      </c>
      <c r="V879" s="8">
        <f>$AC$12+D879*$AC$13+E879*$AC$14+F879*$AC$15+G879*$AC$16+H879*$AC$17+I879*$AC$18+J879*$AC$19+K879*$AC$20+L879*$AC$21+M879*$AC$22+N879*$AC$23+O879*$AC$24+P879*$AC$25+Q879*$AC$26+R879*$AC$27+S879*$AC$28+T879*$AC$29+U879*$AC$30</f>
        <v/>
      </c>
      <c r="W879" s="8">
        <f>1/(1+EXP(-V879))</f>
        <v/>
      </c>
      <c r="X879" s="9">
        <f>-IF(C879=1,LN(W879),LN(1-W879))</f>
        <v/>
      </c>
      <c r="Y879" s="10">
        <f>IF(W879&gt;$AC$33,1,0)</f>
        <v/>
      </c>
      <c r="Z879">
        <f>IF(Y879=C879,1,0)</f>
        <v/>
      </c>
    </row>
    <row r="880">
      <c r="A880">
        <f>'1 datos preparados'!A873</f>
        <v/>
      </c>
      <c r="B880" s="5">
        <f>'1 datos preparados'!U873</f>
        <v/>
      </c>
      <c r="C880">
        <f>'1 datos preparados'!B873</f>
        <v/>
      </c>
      <c r="D880" s="7">
        <f>'1 datos preparados'!C873</f>
        <v/>
      </c>
      <c r="E880" s="7">
        <f>'1 datos preparados'!D873</f>
        <v/>
      </c>
      <c r="F880" s="7">
        <f>'1 datos preparados'!E873</f>
        <v/>
      </c>
      <c r="G880" s="7">
        <f>'1 datos preparados'!F873</f>
        <v/>
      </c>
      <c r="H880" s="7">
        <f>'1 datos preparados'!G873</f>
        <v/>
      </c>
      <c r="I880" s="7">
        <f>'1 datos preparados'!H873</f>
        <v/>
      </c>
      <c r="J880" s="7">
        <f>'1 datos preparados'!I873</f>
        <v/>
      </c>
      <c r="K880" s="7">
        <f>'1 datos preparados'!J873</f>
        <v/>
      </c>
      <c r="L880" s="7">
        <f>'1 datos preparados'!K873</f>
        <v/>
      </c>
      <c r="M880" s="7">
        <f>'1 datos preparados'!L873</f>
        <v/>
      </c>
      <c r="N880" s="7">
        <f>'1 datos preparados'!M873</f>
        <v/>
      </c>
      <c r="O880" s="7">
        <f>'1 datos preparados'!N873</f>
        <v/>
      </c>
      <c r="P880" s="7">
        <f>'1 datos preparados'!O873</f>
        <v/>
      </c>
      <c r="Q880" s="7">
        <f>'1 datos preparados'!P873</f>
        <v/>
      </c>
      <c r="R880" s="7">
        <f>'1 datos preparados'!Q873</f>
        <v/>
      </c>
      <c r="S880" s="7">
        <f>'1 datos preparados'!R873</f>
        <v/>
      </c>
      <c r="T880" s="7">
        <f>'1 datos preparados'!S873</f>
        <v/>
      </c>
      <c r="U880" s="7">
        <f>'1 datos preparados'!T873</f>
        <v/>
      </c>
      <c r="V880" s="8">
        <f>$AC$12+D880*$AC$13+E880*$AC$14+F880*$AC$15+G880*$AC$16+H880*$AC$17+I880*$AC$18+J880*$AC$19+K880*$AC$20+L880*$AC$21+M880*$AC$22+N880*$AC$23+O880*$AC$24+P880*$AC$25+Q880*$AC$26+R880*$AC$27+S880*$AC$28+T880*$AC$29+U880*$AC$30</f>
        <v/>
      </c>
      <c r="W880" s="8">
        <f>1/(1+EXP(-V880))</f>
        <v/>
      </c>
      <c r="X880" s="9">
        <f>-IF(C880=1,LN(W880),LN(1-W880))</f>
        <v/>
      </c>
      <c r="Y880" s="10">
        <f>IF(W880&gt;$AC$33,1,0)</f>
        <v/>
      </c>
      <c r="Z880">
        <f>IF(Y880=C880,1,0)</f>
        <v/>
      </c>
    </row>
    <row r="881">
      <c r="A881">
        <f>'1 datos preparados'!A874</f>
        <v/>
      </c>
      <c r="B881" s="5">
        <f>'1 datos preparados'!U874</f>
        <v/>
      </c>
      <c r="C881">
        <f>'1 datos preparados'!B874</f>
        <v/>
      </c>
      <c r="D881" s="7">
        <f>'1 datos preparados'!C874</f>
        <v/>
      </c>
      <c r="E881" s="7">
        <f>'1 datos preparados'!D874</f>
        <v/>
      </c>
      <c r="F881" s="7">
        <f>'1 datos preparados'!E874</f>
        <v/>
      </c>
      <c r="G881" s="7">
        <f>'1 datos preparados'!F874</f>
        <v/>
      </c>
      <c r="H881" s="7">
        <f>'1 datos preparados'!G874</f>
        <v/>
      </c>
      <c r="I881" s="7">
        <f>'1 datos preparados'!H874</f>
        <v/>
      </c>
      <c r="J881" s="7">
        <f>'1 datos preparados'!I874</f>
        <v/>
      </c>
      <c r="K881" s="7">
        <f>'1 datos preparados'!J874</f>
        <v/>
      </c>
      <c r="L881" s="7">
        <f>'1 datos preparados'!K874</f>
        <v/>
      </c>
      <c r="M881" s="7">
        <f>'1 datos preparados'!L874</f>
        <v/>
      </c>
      <c r="N881" s="7">
        <f>'1 datos preparados'!M874</f>
        <v/>
      </c>
      <c r="O881" s="7">
        <f>'1 datos preparados'!N874</f>
        <v/>
      </c>
      <c r="P881" s="7">
        <f>'1 datos preparados'!O874</f>
        <v/>
      </c>
      <c r="Q881" s="7">
        <f>'1 datos preparados'!P874</f>
        <v/>
      </c>
      <c r="R881" s="7">
        <f>'1 datos preparados'!Q874</f>
        <v/>
      </c>
      <c r="S881" s="7">
        <f>'1 datos preparados'!R874</f>
        <v/>
      </c>
      <c r="T881" s="7">
        <f>'1 datos preparados'!S874</f>
        <v/>
      </c>
      <c r="U881" s="7">
        <f>'1 datos preparados'!T874</f>
        <v/>
      </c>
      <c r="V881" s="8">
        <f>$AC$12+D881*$AC$13+E881*$AC$14+F881*$AC$15+G881*$AC$16+H881*$AC$17+I881*$AC$18+J881*$AC$19+K881*$AC$20+L881*$AC$21+M881*$AC$22+N881*$AC$23+O881*$AC$24+P881*$AC$25+Q881*$AC$26+R881*$AC$27+S881*$AC$28+T881*$AC$29+U881*$AC$30</f>
        <v/>
      </c>
      <c r="W881" s="8">
        <f>1/(1+EXP(-V881))</f>
        <v/>
      </c>
      <c r="X881" s="9">
        <f>-IF(C881=1,LN(W881),LN(1-W881))</f>
        <v/>
      </c>
      <c r="Y881" s="10">
        <f>IF(W881&gt;$AC$33,1,0)</f>
        <v/>
      </c>
      <c r="Z881">
        <f>IF(Y881=C881,1,0)</f>
        <v/>
      </c>
    </row>
    <row r="882">
      <c r="A882">
        <f>'1 datos preparados'!A875</f>
        <v/>
      </c>
      <c r="B882" s="5">
        <f>'1 datos preparados'!U875</f>
        <v/>
      </c>
      <c r="C882">
        <f>'1 datos preparados'!B875</f>
        <v/>
      </c>
      <c r="D882" s="7">
        <f>'1 datos preparados'!C875</f>
        <v/>
      </c>
      <c r="E882" s="7">
        <f>'1 datos preparados'!D875</f>
        <v/>
      </c>
      <c r="F882" s="7">
        <f>'1 datos preparados'!E875</f>
        <v/>
      </c>
      <c r="G882" s="7">
        <f>'1 datos preparados'!F875</f>
        <v/>
      </c>
      <c r="H882" s="7">
        <f>'1 datos preparados'!G875</f>
        <v/>
      </c>
      <c r="I882" s="7">
        <f>'1 datos preparados'!H875</f>
        <v/>
      </c>
      <c r="J882" s="7">
        <f>'1 datos preparados'!I875</f>
        <v/>
      </c>
      <c r="K882" s="7">
        <f>'1 datos preparados'!J875</f>
        <v/>
      </c>
      <c r="L882" s="7">
        <f>'1 datos preparados'!K875</f>
        <v/>
      </c>
      <c r="M882" s="7">
        <f>'1 datos preparados'!L875</f>
        <v/>
      </c>
      <c r="N882" s="7">
        <f>'1 datos preparados'!M875</f>
        <v/>
      </c>
      <c r="O882" s="7">
        <f>'1 datos preparados'!N875</f>
        <v/>
      </c>
      <c r="P882" s="7">
        <f>'1 datos preparados'!O875</f>
        <v/>
      </c>
      <c r="Q882" s="7">
        <f>'1 datos preparados'!P875</f>
        <v/>
      </c>
      <c r="R882" s="7">
        <f>'1 datos preparados'!Q875</f>
        <v/>
      </c>
      <c r="S882" s="7">
        <f>'1 datos preparados'!R875</f>
        <v/>
      </c>
      <c r="T882" s="7">
        <f>'1 datos preparados'!S875</f>
        <v/>
      </c>
      <c r="U882" s="7">
        <f>'1 datos preparados'!T875</f>
        <v/>
      </c>
      <c r="V882" s="8">
        <f>$AC$12+D882*$AC$13+E882*$AC$14+F882*$AC$15+G882*$AC$16+H882*$AC$17+I882*$AC$18+J882*$AC$19+K882*$AC$20+L882*$AC$21+M882*$AC$22+N882*$AC$23+O882*$AC$24+P882*$AC$25+Q882*$AC$26+R882*$AC$27+S882*$AC$28+T882*$AC$29+U882*$AC$30</f>
        <v/>
      </c>
      <c r="W882" s="8">
        <f>1/(1+EXP(-V882))</f>
        <v/>
      </c>
      <c r="X882" s="9">
        <f>-IF(C882=1,LN(W882),LN(1-W882))</f>
        <v/>
      </c>
      <c r="Y882" s="10">
        <f>IF(W882&gt;$AC$33,1,0)</f>
        <v/>
      </c>
      <c r="Z882">
        <f>IF(Y882=C882,1,0)</f>
        <v/>
      </c>
    </row>
    <row r="883">
      <c r="A883">
        <f>'1 datos preparados'!A876</f>
        <v/>
      </c>
      <c r="B883" s="5">
        <f>'1 datos preparados'!U876</f>
        <v/>
      </c>
      <c r="C883">
        <f>'1 datos preparados'!B876</f>
        <v/>
      </c>
      <c r="D883" s="7">
        <f>'1 datos preparados'!C876</f>
        <v/>
      </c>
      <c r="E883" s="7">
        <f>'1 datos preparados'!D876</f>
        <v/>
      </c>
      <c r="F883" s="7">
        <f>'1 datos preparados'!E876</f>
        <v/>
      </c>
      <c r="G883" s="7">
        <f>'1 datos preparados'!F876</f>
        <v/>
      </c>
      <c r="H883" s="7">
        <f>'1 datos preparados'!G876</f>
        <v/>
      </c>
      <c r="I883" s="7">
        <f>'1 datos preparados'!H876</f>
        <v/>
      </c>
      <c r="J883" s="7">
        <f>'1 datos preparados'!I876</f>
        <v/>
      </c>
      <c r="K883" s="7">
        <f>'1 datos preparados'!J876</f>
        <v/>
      </c>
      <c r="L883" s="7">
        <f>'1 datos preparados'!K876</f>
        <v/>
      </c>
      <c r="M883" s="7">
        <f>'1 datos preparados'!L876</f>
        <v/>
      </c>
      <c r="N883" s="7">
        <f>'1 datos preparados'!M876</f>
        <v/>
      </c>
      <c r="O883" s="7">
        <f>'1 datos preparados'!N876</f>
        <v/>
      </c>
      <c r="P883" s="7">
        <f>'1 datos preparados'!O876</f>
        <v/>
      </c>
      <c r="Q883" s="7">
        <f>'1 datos preparados'!P876</f>
        <v/>
      </c>
      <c r="R883" s="7">
        <f>'1 datos preparados'!Q876</f>
        <v/>
      </c>
      <c r="S883" s="7">
        <f>'1 datos preparados'!R876</f>
        <v/>
      </c>
      <c r="T883" s="7">
        <f>'1 datos preparados'!S876</f>
        <v/>
      </c>
      <c r="U883" s="7">
        <f>'1 datos preparados'!T876</f>
        <v/>
      </c>
      <c r="V883" s="8">
        <f>$AC$12+D883*$AC$13+E883*$AC$14+F883*$AC$15+G883*$AC$16+H883*$AC$17+I883*$AC$18+J883*$AC$19+K883*$AC$20+L883*$AC$21+M883*$AC$22+N883*$AC$23+O883*$AC$24+P883*$AC$25+Q883*$AC$26+R883*$AC$27+S883*$AC$28+T883*$AC$29+U883*$AC$30</f>
        <v/>
      </c>
      <c r="W883" s="8">
        <f>1/(1+EXP(-V883))</f>
        <v/>
      </c>
      <c r="X883" s="9">
        <f>-IF(C883=1,LN(W883),LN(1-W883))</f>
        <v/>
      </c>
      <c r="Y883" s="10">
        <f>IF(W883&gt;$AC$33,1,0)</f>
        <v/>
      </c>
      <c r="Z883">
        <f>IF(Y883=C883,1,0)</f>
        <v/>
      </c>
    </row>
    <row r="884">
      <c r="A884">
        <f>'1 datos preparados'!A877</f>
        <v/>
      </c>
      <c r="B884" s="5">
        <f>'1 datos preparados'!U877</f>
        <v/>
      </c>
      <c r="C884">
        <f>'1 datos preparados'!B877</f>
        <v/>
      </c>
      <c r="D884" s="7">
        <f>'1 datos preparados'!C877</f>
        <v/>
      </c>
      <c r="E884" s="7">
        <f>'1 datos preparados'!D877</f>
        <v/>
      </c>
      <c r="F884" s="7">
        <f>'1 datos preparados'!E877</f>
        <v/>
      </c>
      <c r="G884" s="7">
        <f>'1 datos preparados'!F877</f>
        <v/>
      </c>
      <c r="H884" s="7">
        <f>'1 datos preparados'!G877</f>
        <v/>
      </c>
      <c r="I884" s="7">
        <f>'1 datos preparados'!H877</f>
        <v/>
      </c>
      <c r="J884" s="7">
        <f>'1 datos preparados'!I877</f>
        <v/>
      </c>
      <c r="K884" s="7">
        <f>'1 datos preparados'!J877</f>
        <v/>
      </c>
      <c r="L884" s="7">
        <f>'1 datos preparados'!K877</f>
        <v/>
      </c>
      <c r="M884" s="7">
        <f>'1 datos preparados'!L877</f>
        <v/>
      </c>
      <c r="N884" s="7">
        <f>'1 datos preparados'!M877</f>
        <v/>
      </c>
      <c r="O884" s="7">
        <f>'1 datos preparados'!N877</f>
        <v/>
      </c>
      <c r="P884" s="7">
        <f>'1 datos preparados'!O877</f>
        <v/>
      </c>
      <c r="Q884" s="7">
        <f>'1 datos preparados'!P877</f>
        <v/>
      </c>
      <c r="R884" s="7">
        <f>'1 datos preparados'!Q877</f>
        <v/>
      </c>
      <c r="S884" s="7">
        <f>'1 datos preparados'!R877</f>
        <v/>
      </c>
      <c r="T884" s="7">
        <f>'1 datos preparados'!S877</f>
        <v/>
      </c>
      <c r="U884" s="7">
        <f>'1 datos preparados'!T877</f>
        <v/>
      </c>
      <c r="V884" s="8">
        <f>$AC$12+D884*$AC$13+E884*$AC$14+F884*$AC$15+G884*$AC$16+H884*$AC$17+I884*$AC$18+J884*$AC$19+K884*$AC$20+L884*$AC$21+M884*$AC$22+N884*$AC$23+O884*$AC$24+P884*$AC$25+Q884*$AC$26+R884*$AC$27+S884*$AC$28+T884*$AC$29+U884*$AC$30</f>
        <v/>
      </c>
      <c r="W884" s="8">
        <f>1/(1+EXP(-V884))</f>
        <v/>
      </c>
      <c r="X884" s="9">
        <f>-IF(C884=1,LN(W884),LN(1-W884))</f>
        <v/>
      </c>
      <c r="Y884" s="10">
        <f>IF(W884&gt;$AC$33,1,0)</f>
        <v/>
      </c>
      <c r="Z884">
        <f>IF(Y884=C884,1,0)</f>
        <v/>
      </c>
    </row>
    <row r="885">
      <c r="A885">
        <f>'1 datos preparados'!A878</f>
        <v/>
      </c>
      <c r="B885" s="5">
        <f>'1 datos preparados'!U878</f>
        <v/>
      </c>
      <c r="C885">
        <f>'1 datos preparados'!B878</f>
        <v/>
      </c>
      <c r="D885" s="7">
        <f>'1 datos preparados'!C878</f>
        <v/>
      </c>
      <c r="E885" s="7">
        <f>'1 datos preparados'!D878</f>
        <v/>
      </c>
      <c r="F885" s="7">
        <f>'1 datos preparados'!E878</f>
        <v/>
      </c>
      <c r="G885" s="7">
        <f>'1 datos preparados'!F878</f>
        <v/>
      </c>
      <c r="H885" s="7">
        <f>'1 datos preparados'!G878</f>
        <v/>
      </c>
      <c r="I885" s="7">
        <f>'1 datos preparados'!H878</f>
        <v/>
      </c>
      <c r="J885" s="7">
        <f>'1 datos preparados'!I878</f>
        <v/>
      </c>
      <c r="K885" s="7">
        <f>'1 datos preparados'!J878</f>
        <v/>
      </c>
      <c r="L885" s="7">
        <f>'1 datos preparados'!K878</f>
        <v/>
      </c>
      <c r="M885" s="7">
        <f>'1 datos preparados'!L878</f>
        <v/>
      </c>
      <c r="N885" s="7">
        <f>'1 datos preparados'!M878</f>
        <v/>
      </c>
      <c r="O885" s="7">
        <f>'1 datos preparados'!N878</f>
        <v/>
      </c>
      <c r="P885" s="7">
        <f>'1 datos preparados'!O878</f>
        <v/>
      </c>
      <c r="Q885" s="7">
        <f>'1 datos preparados'!P878</f>
        <v/>
      </c>
      <c r="R885" s="7">
        <f>'1 datos preparados'!Q878</f>
        <v/>
      </c>
      <c r="S885" s="7">
        <f>'1 datos preparados'!R878</f>
        <v/>
      </c>
      <c r="T885" s="7">
        <f>'1 datos preparados'!S878</f>
        <v/>
      </c>
      <c r="U885" s="7">
        <f>'1 datos preparados'!T878</f>
        <v/>
      </c>
      <c r="V885" s="8">
        <f>$AC$12+D885*$AC$13+E885*$AC$14+F885*$AC$15+G885*$AC$16+H885*$AC$17+I885*$AC$18+J885*$AC$19+K885*$AC$20+L885*$AC$21+M885*$AC$22+N885*$AC$23+O885*$AC$24+P885*$AC$25+Q885*$AC$26+R885*$AC$27+S885*$AC$28+T885*$AC$29+U885*$AC$30</f>
        <v/>
      </c>
      <c r="W885" s="8">
        <f>1/(1+EXP(-V885))</f>
        <v/>
      </c>
      <c r="X885" s="9">
        <f>-IF(C885=1,LN(W885),LN(1-W885))</f>
        <v/>
      </c>
      <c r="Y885" s="10">
        <f>IF(W885&gt;$AC$33,1,0)</f>
        <v/>
      </c>
      <c r="Z885">
        <f>IF(Y885=C885,1,0)</f>
        <v/>
      </c>
    </row>
    <row r="886">
      <c r="A886">
        <f>'1 datos preparados'!A879</f>
        <v/>
      </c>
      <c r="B886" s="5">
        <f>'1 datos preparados'!U879</f>
        <v/>
      </c>
      <c r="C886">
        <f>'1 datos preparados'!B879</f>
        <v/>
      </c>
      <c r="D886" s="7">
        <f>'1 datos preparados'!C879</f>
        <v/>
      </c>
      <c r="E886" s="7">
        <f>'1 datos preparados'!D879</f>
        <v/>
      </c>
      <c r="F886" s="7">
        <f>'1 datos preparados'!E879</f>
        <v/>
      </c>
      <c r="G886" s="7">
        <f>'1 datos preparados'!F879</f>
        <v/>
      </c>
      <c r="H886" s="7">
        <f>'1 datos preparados'!G879</f>
        <v/>
      </c>
      <c r="I886" s="7">
        <f>'1 datos preparados'!H879</f>
        <v/>
      </c>
      <c r="J886" s="7">
        <f>'1 datos preparados'!I879</f>
        <v/>
      </c>
      <c r="K886" s="7">
        <f>'1 datos preparados'!J879</f>
        <v/>
      </c>
      <c r="L886" s="7">
        <f>'1 datos preparados'!K879</f>
        <v/>
      </c>
      <c r="M886" s="7">
        <f>'1 datos preparados'!L879</f>
        <v/>
      </c>
      <c r="N886" s="7">
        <f>'1 datos preparados'!M879</f>
        <v/>
      </c>
      <c r="O886" s="7">
        <f>'1 datos preparados'!N879</f>
        <v/>
      </c>
      <c r="P886" s="7">
        <f>'1 datos preparados'!O879</f>
        <v/>
      </c>
      <c r="Q886" s="7">
        <f>'1 datos preparados'!P879</f>
        <v/>
      </c>
      <c r="R886" s="7">
        <f>'1 datos preparados'!Q879</f>
        <v/>
      </c>
      <c r="S886" s="7">
        <f>'1 datos preparados'!R879</f>
        <v/>
      </c>
      <c r="T886" s="7">
        <f>'1 datos preparados'!S879</f>
        <v/>
      </c>
      <c r="U886" s="7">
        <f>'1 datos preparados'!T879</f>
        <v/>
      </c>
      <c r="V886" s="8">
        <f>$AC$12+D886*$AC$13+E886*$AC$14+F886*$AC$15+G886*$AC$16+H886*$AC$17+I886*$AC$18+J886*$AC$19+K886*$AC$20+L886*$AC$21+M886*$AC$22+N886*$AC$23+O886*$AC$24+P886*$AC$25+Q886*$AC$26+R886*$AC$27+S886*$AC$28+T886*$AC$29+U886*$AC$30</f>
        <v/>
      </c>
      <c r="W886" s="8">
        <f>1/(1+EXP(-V886))</f>
        <v/>
      </c>
      <c r="X886" s="9">
        <f>-IF(C886=1,LN(W886),LN(1-W886))</f>
        <v/>
      </c>
      <c r="Y886" s="10">
        <f>IF(W886&gt;$AC$33,1,0)</f>
        <v/>
      </c>
      <c r="Z886">
        <f>IF(Y886=C886,1,0)</f>
        <v/>
      </c>
    </row>
    <row r="887">
      <c r="A887">
        <f>'1 datos preparados'!A880</f>
        <v/>
      </c>
      <c r="B887" s="5">
        <f>'1 datos preparados'!U880</f>
        <v/>
      </c>
      <c r="C887">
        <f>'1 datos preparados'!B880</f>
        <v/>
      </c>
      <c r="D887" s="7">
        <f>'1 datos preparados'!C880</f>
        <v/>
      </c>
      <c r="E887" s="7">
        <f>'1 datos preparados'!D880</f>
        <v/>
      </c>
      <c r="F887" s="7">
        <f>'1 datos preparados'!E880</f>
        <v/>
      </c>
      <c r="G887" s="7">
        <f>'1 datos preparados'!F880</f>
        <v/>
      </c>
      <c r="H887" s="7">
        <f>'1 datos preparados'!G880</f>
        <v/>
      </c>
      <c r="I887" s="7">
        <f>'1 datos preparados'!H880</f>
        <v/>
      </c>
      <c r="J887" s="7">
        <f>'1 datos preparados'!I880</f>
        <v/>
      </c>
      <c r="K887" s="7">
        <f>'1 datos preparados'!J880</f>
        <v/>
      </c>
      <c r="L887" s="7">
        <f>'1 datos preparados'!K880</f>
        <v/>
      </c>
      <c r="M887" s="7">
        <f>'1 datos preparados'!L880</f>
        <v/>
      </c>
      <c r="N887" s="7">
        <f>'1 datos preparados'!M880</f>
        <v/>
      </c>
      <c r="O887" s="7">
        <f>'1 datos preparados'!N880</f>
        <v/>
      </c>
      <c r="P887" s="7">
        <f>'1 datos preparados'!O880</f>
        <v/>
      </c>
      <c r="Q887" s="7">
        <f>'1 datos preparados'!P880</f>
        <v/>
      </c>
      <c r="R887" s="7">
        <f>'1 datos preparados'!Q880</f>
        <v/>
      </c>
      <c r="S887" s="7">
        <f>'1 datos preparados'!R880</f>
        <v/>
      </c>
      <c r="T887" s="7">
        <f>'1 datos preparados'!S880</f>
        <v/>
      </c>
      <c r="U887" s="7">
        <f>'1 datos preparados'!T880</f>
        <v/>
      </c>
      <c r="V887" s="8">
        <f>$AC$12+D887*$AC$13+E887*$AC$14+F887*$AC$15+G887*$AC$16+H887*$AC$17+I887*$AC$18+J887*$AC$19+K887*$AC$20+L887*$AC$21+M887*$AC$22+N887*$AC$23+O887*$AC$24+P887*$AC$25+Q887*$AC$26+R887*$AC$27+S887*$AC$28+T887*$AC$29+U887*$AC$30</f>
        <v/>
      </c>
      <c r="W887" s="8">
        <f>1/(1+EXP(-V887))</f>
        <v/>
      </c>
      <c r="X887" s="9">
        <f>-IF(C887=1,LN(W887),LN(1-W887))</f>
        <v/>
      </c>
      <c r="Y887" s="10">
        <f>IF(W887&gt;$AC$33,1,0)</f>
        <v/>
      </c>
      <c r="Z887">
        <f>IF(Y887=C887,1,0)</f>
        <v/>
      </c>
    </row>
    <row r="888">
      <c r="A888">
        <f>'1 datos preparados'!A881</f>
        <v/>
      </c>
      <c r="B888" s="5">
        <f>'1 datos preparados'!U881</f>
        <v/>
      </c>
      <c r="C888">
        <f>'1 datos preparados'!B881</f>
        <v/>
      </c>
      <c r="D888" s="7">
        <f>'1 datos preparados'!C881</f>
        <v/>
      </c>
      <c r="E888" s="7">
        <f>'1 datos preparados'!D881</f>
        <v/>
      </c>
      <c r="F888" s="7">
        <f>'1 datos preparados'!E881</f>
        <v/>
      </c>
      <c r="G888" s="7">
        <f>'1 datos preparados'!F881</f>
        <v/>
      </c>
      <c r="H888" s="7">
        <f>'1 datos preparados'!G881</f>
        <v/>
      </c>
      <c r="I888" s="7">
        <f>'1 datos preparados'!H881</f>
        <v/>
      </c>
      <c r="J888" s="7">
        <f>'1 datos preparados'!I881</f>
        <v/>
      </c>
      <c r="K888" s="7">
        <f>'1 datos preparados'!J881</f>
        <v/>
      </c>
      <c r="L888" s="7">
        <f>'1 datos preparados'!K881</f>
        <v/>
      </c>
      <c r="M888" s="7">
        <f>'1 datos preparados'!L881</f>
        <v/>
      </c>
      <c r="N888" s="7">
        <f>'1 datos preparados'!M881</f>
        <v/>
      </c>
      <c r="O888" s="7">
        <f>'1 datos preparados'!N881</f>
        <v/>
      </c>
      <c r="P888" s="7">
        <f>'1 datos preparados'!O881</f>
        <v/>
      </c>
      <c r="Q888" s="7">
        <f>'1 datos preparados'!P881</f>
        <v/>
      </c>
      <c r="R888" s="7">
        <f>'1 datos preparados'!Q881</f>
        <v/>
      </c>
      <c r="S888" s="7">
        <f>'1 datos preparados'!R881</f>
        <v/>
      </c>
      <c r="T888" s="7">
        <f>'1 datos preparados'!S881</f>
        <v/>
      </c>
      <c r="U888" s="7">
        <f>'1 datos preparados'!T881</f>
        <v/>
      </c>
      <c r="V888" s="8">
        <f>$AC$12+D888*$AC$13+E888*$AC$14+F888*$AC$15+G888*$AC$16+H888*$AC$17+I888*$AC$18+J888*$AC$19+K888*$AC$20+L888*$AC$21+M888*$AC$22+N888*$AC$23+O888*$AC$24+P888*$AC$25+Q888*$AC$26+R888*$AC$27+S888*$AC$28+T888*$AC$29+U888*$AC$30</f>
        <v/>
      </c>
      <c r="W888" s="8">
        <f>1/(1+EXP(-V888))</f>
        <v/>
      </c>
      <c r="X888" s="9">
        <f>-IF(C888=1,LN(W888),LN(1-W888))</f>
        <v/>
      </c>
      <c r="Y888" s="10">
        <f>IF(W888&gt;$AC$33,1,0)</f>
        <v/>
      </c>
      <c r="Z888">
        <f>IF(Y888=C888,1,0)</f>
        <v/>
      </c>
    </row>
    <row r="889">
      <c r="A889">
        <f>'1 datos preparados'!A882</f>
        <v/>
      </c>
      <c r="B889" s="5">
        <f>'1 datos preparados'!U882</f>
        <v/>
      </c>
      <c r="C889">
        <f>'1 datos preparados'!B882</f>
        <v/>
      </c>
      <c r="D889" s="7">
        <f>'1 datos preparados'!C882</f>
        <v/>
      </c>
      <c r="E889" s="7">
        <f>'1 datos preparados'!D882</f>
        <v/>
      </c>
      <c r="F889" s="7">
        <f>'1 datos preparados'!E882</f>
        <v/>
      </c>
      <c r="G889" s="7">
        <f>'1 datos preparados'!F882</f>
        <v/>
      </c>
      <c r="H889" s="7">
        <f>'1 datos preparados'!G882</f>
        <v/>
      </c>
      <c r="I889" s="7">
        <f>'1 datos preparados'!H882</f>
        <v/>
      </c>
      <c r="J889" s="7">
        <f>'1 datos preparados'!I882</f>
        <v/>
      </c>
      <c r="K889" s="7">
        <f>'1 datos preparados'!J882</f>
        <v/>
      </c>
      <c r="L889" s="7">
        <f>'1 datos preparados'!K882</f>
        <v/>
      </c>
      <c r="M889" s="7">
        <f>'1 datos preparados'!L882</f>
        <v/>
      </c>
      <c r="N889" s="7">
        <f>'1 datos preparados'!M882</f>
        <v/>
      </c>
      <c r="O889" s="7">
        <f>'1 datos preparados'!N882</f>
        <v/>
      </c>
      <c r="P889" s="7">
        <f>'1 datos preparados'!O882</f>
        <v/>
      </c>
      <c r="Q889" s="7">
        <f>'1 datos preparados'!P882</f>
        <v/>
      </c>
      <c r="R889" s="7">
        <f>'1 datos preparados'!Q882</f>
        <v/>
      </c>
      <c r="S889" s="7">
        <f>'1 datos preparados'!R882</f>
        <v/>
      </c>
      <c r="T889" s="7">
        <f>'1 datos preparados'!S882</f>
        <v/>
      </c>
      <c r="U889" s="7">
        <f>'1 datos preparados'!T882</f>
        <v/>
      </c>
      <c r="V889" s="8">
        <f>$AC$12+D889*$AC$13+E889*$AC$14+F889*$AC$15+G889*$AC$16+H889*$AC$17+I889*$AC$18+J889*$AC$19+K889*$AC$20+L889*$AC$21+M889*$AC$22+N889*$AC$23+O889*$AC$24+P889*$AC$25+Q889*$AC$26+R889*$AC$27+S889*$AC$28+T889*$AC$29+U889*$AC$30</f>
        <v/>
      </c>
      <c r="W889" s="8">
        <f>1/(1+EXP(-V889))</f>
        <v/>
      </c>
      <c r="X889" s="9">
        <f>-IF(C889=1,LN(W889),LN(1-W889))</f>
        <v/>
      </c>
      <c r="Y889" s="10">
        <f>IF(W889&gt;$AC$33,1,0)</f>
        <v/>
      </c>
      <c r="Z889">
        <f>IF(Y889=C889,1,0)</f>
        <v/>
      </c>
    </row>
    <row r="890">
      <c r="A890">
        <f>'1 datos preparados'!A883</f>
        <v/>
      </c>
      <c r="B890" s="5">
        <f>'1 datos preparados'!U883</f>
        <v/>
      </c>
      <c r="C890">
        <f>'1 datos preparados'!B883</f>
        <v/>
      </c>
      <c r="D890" s="7">
        <f>'1 datos preparados'!C883</f>
        <v/>
      </c>
      <c r="E890" s="7">
        <f>'1 datos preparados'!D883</f>
        <v/>
      </c>
      <c r="F890" s="7">
        <f>'1 datos preparados'!E883</f>
        <v/>
      </c>
      <c r="G890" s="7">
        <f>'1 datos preparados'!F883</f>
        <v/>
      </c>
      <c r="H890" s="7">
        <f>'1 datos preparados'!G883</f>
        <v/>
      </c>
      <c r="I890" s="7">
        <f>'1 datos preparados'!H883</f>
        <v/>
      </c>
      <c r="J890" s="7">
        <f>'1 datos preparados'!I883</f>
        <v/>
      </c>
      <c r="K890" s="7">
        <f>'1 datos preparados'!J883</f>
        <v/>
      </c>
      <c r="L890" s="7">
        <f>'1 datos preparados'!K883</f>
        <v/>
      </c>
      <c r="M890" s="7">
        <f>'1 datos preparados'!L883</f>
        <v/>
      </c>
      <c r="N890" s="7">
        <f>'1 datos preparados'!M883</f>
        <v/>
      </c>
      <c r="O890" s="7">
        <f>'1 datos preparados'!N883</f>
        <v/>
      </c>
      <c r="P890" s="7">
        <f>'1 datos preparados'!O883</f>
        <v/>
      </c>
      <c r="Q890" s="7">
        <f>'1 datos preparados'!P883</f>
        <v/>
      </c>
      <c r="R890" s="7">
        <f>'1 datos preparados'!Q883</f>
        <v/>
      </c>
      <c r="S890" s="7">
        <f>'1 datos preparados'!R883</f>
        <v/>
      </c>
      <c r="T890" s="7">
        <f>'1 datos preparados'!S883</f>
        <v/>
      </c>
      <c r="U890" s="7">
        <f>'1 datos preparados'!T883</f>
        <v/>
      </c>
      <c r="V890" s="8">
        <f>$AC$12+D890*$AC$13+E890*$AC$14+F890*$AC$15+G890*$AC$16+H890*$AC$17+I890*$AC$18+J890*$AC$19+K890*$AC$20+L890*$AC$21+M890*$AC$22+N890*$AC$23+O890*$AC$24+P890*$AC$25+Q890*$AC$26+R890*$AC$27+S890*$AC$28+T890*$AC$29+U890*$AC$30</f>
        <v/>
      </c>
      <c r="W890" s="8">
        <f>1/(1+EXP(-V890))</f>
        <v/>
      </c>
      <c r="X890" s="9">
        <f>-IF(C890=1,LN(W890),LN(1-W890))</f>
        <v/>
      </c>
      <c r="Y890" s="10">
        <f>IF(W890&gt;$AC$33,1,0)</f>
        <v/>
      </c>
      <c r="Z890">
        <f>IF(Y890=C890,1,0)</f>
        <v/>
      </c>
    </row>
    <row r="891">
      <c r="A891">
        <f>'1 datos preparados'!A884</f>
        <v/>
      </c>
      <c r="B891" s="5">
        <f>'1 datos preparados'!U884</f>
        <v/>
      </c>
      <c r="C891">
        <f>'1 datos preparados'!B884</f>
        <v/>
      </c>
      <c r="D891" s="7">
        <f>'1 datos preparados'!C884</f>
        <v/>
      </c>
      <c r="E891" s="7">
        <f>'1 datos preparados'!D884</f>
        <v/>
      </c>
      <c r="F891" s="7">
        <f>'1 datos preparados'!E884</f>
        <v/>
      </c>
      <c r="G891" s="7">
        <f>'1 datos preparados'!F884</f>
        <v/>
      </c>
      <c r="H891" s="7">
        <f>'1 datos preparados'!G884</f>
        <v/>
      </c>
      <c r="I891" s="7">
        <f>'1 datos preparados'!H884</f>
        <v/>
      </c>
      <c r="J891" s="7">
        <f>'1 datos preparados'!I884</f>
        <v/>
      </c>
      <c r="K891" s="7">
        <f>'1 datos preparados'!J884</f>
        <v/>
      </c>
      <c r="L891" s="7">
        <f>'1 datos preparados'!K884</f>
        <v/>
      </c>
      <c r="M891" s="7">
        <f>'1 datos preparados'!L884</f>
        <v/>
      </c>
      <c r="N891" s="7">
        <f>'1 datos preparados'!M884</f>
        <v/>
      </c>
      <c r="O891" s="7">
        <f>'1 datos preparados'!N884</f>
        <v/>
      </c>
      <c r="P891" s="7">
        <f>'1 datos preparados'!O884</f>
        <v/>
      </c>
      <c r="Q891" s="7">
        <f>'1 datos preparados'!P884</f>
        <v/>
      </c>
      <c r="R891" s="7">
        <f>'1 datos preparados'!Q884</f>
        <v/>
      </c>
      <c r="S891" s="7">
        <f>'1 datos preparados'!R884</f>
        <v/>
      </c>
      <c r="T891" s="7">
        <f>'1 datos preparados'!S884</f>
        <v/>
      </c>
      <c r="U891" s="7">
        <f>'1 datos preparados'!T884</f>
        <v/>
      </c>
      <c r="V891" s="8">
        <f>$AC$12+D891*$AC$13+E891*$AC$14+F891*$AC$15+G891*$AC$16+H891*$AC$17+I891*$AC$18+J891*$AC$19+K891*$AC$20+L891*$AC$21+M891*$AC$22+N891*$AC$23+O891*$AC$24+P891*$AC$25+Q891*$AC$26+R891*$AC$27+S891*$AC$28+T891*$AC$29+U891*$AC$30</f>
        <v/>
      </c>
      <c r="W891" s="8">
        <f>1/(1+EXP(-V891))</f>
        <v/>
      </c>
      <c r="X891" s="9">
        <f>-IF(C891=1,LN(W891),LN(1-W891))</f>
        <v/>
      </c>
      <c r="Y891" s="10">
        <f>IF(W891&gt;$AC$33,1,0)</f>
        <v/>
      </c>
      <c r="Z891">
        <f>IF(Y891=C891,1,0)</f>
        <v/>
      </c>
    </row>
    <row r="892">
      <c r="A892">
        <f>'1 datos preparados'!A885</f>
        <v/>
      </c>
      <c r="B892" s="5">
        <f>'1 datos preparados'!U885</f>
        <v/>
      </c>
      <c r="C892">
        <f>'1 datos preparados'!B885</f>
        <v/>
      </c>
      <c r="D892" s="7">
        <f>'1 datos preparados'!C885</f>
        <v/>
      </c>
      <c r="E892" s="7">
        <f>'1 datos preparados'!D885</f>
        <v/>
      </c>
      <c r="F892" s="7">
        <f>'1 datos preparados'!E885</f>
        <v/>
      </c>
      <c r="G892" s="7">
        <f>'1 datos preparados'!F885</f>
        <v/>
      </c>
      <c r="H892" s="7">
        <f>'1 datos preparados'!G885</f>
        <v/>
      </c>
      <c r="I892" s="7">
        <f>'1 datos preparados'!H885</f>
        <v/>
      </c>
      <c r="J892" s="7">
        <f>'1 datos preparados'!I885</f>
        <v/>
      </c>
      <c r="K892" s="7">
        <f>'1 datos preparados'!J885</f>
        <v/>
      </c>
      <c r="L892" s="7">
        <f>'1 datos preparados'!K885</f>
        <v/>
      </c>
      <c r="M892" s="7">
        <f>'1 datos preparados'!L885</f>
        <v/>
      </c>
      <c r="N892" s="7">
        <f>'1 datos preparados'!M885</f>
        <v/>
      </c>
      <c r="O892" s="7">
        <f>'1 datos preparados'!N885</f>
        <v/>
      </c>
      <c r="P892" s="7">
        <f>'1 datos preparados'!O885</f>
        <v/>
      </c>
      <c r="Q892" s="7">
        <f>'1 datos preparados'!P885</f>
        <v/>
      </c>
      <c r="R892" s="7">
        <f>'1 datos preparados'!Q885</f>
        <v/>
      </c>
      <c r="S892" s="7">
        <f>'1 datos preparados'!R885</f>
        <v/>
      </c>
      <c r="T892" s="7">
        <f>'1 datos preparados'!S885</f>
        <v/>
      </c>
      <c r="U892" s="7">
        <f>'1 datos preparados'!T885</f>
        <v/>
      </c>
      <c r="V892" s="8">
        <f>$AC$12+D892*$AC$13+E892*$AC$14+F892*$AC$15+G892*$AC$16+H892*$AC$17+I892*$AC$18+J892*$AC$19+K892*$AC$20+L892*$AC$21+M892*$AC$22+N892*$AC$23+O892*$AC$24+P892*$AC$25+Q892*$AC$26+R892*$AC$27+S892*$AC$28+T892*$AC$29+U892*$AC$30</f>
        <v/>
      </c>
      <c r="W892" s="8">
        <f>1/(1+EXP(-V892))</f>
        <v/>
      </c>
      <c r="X892" s="9">
        <f>-IF(C892=1,LN(W892),LN(1-W892))</f>
        <v/>
      </c>
      <c r="Y892" s="10">
        <f>IF(W892&gt;$AC$33,1,0)</f>
        <v/>
      </c>
      <c r="Z892">
        <f>IF(Y892=C892,1,0)</f>
        <v/>
      </c>
    </row>
    <row r="893">
      <c r="A893">
        <f>'1 datos preparados'!A886</f>
        <v/>
      </c>
      <c r="B893" s="5">
        <f>'1 datos preparados'!U886</f>
        <v/>
      </c>
      <c r="C893">
        <f>'1 datos preparados'!B886</f>
        <v/>
      </c>
      <c r="D893" s="7">
        <f>'1 datos preparados'!C886</f>
        <v/>
      </c>
      <c r="E893" s="7">
        <f>'1 datos preparados'!D886</f>
        <v/>
      </c>
      <c r="F893" s="7">
        <f>'1 datos preparados'!E886</f>
        <v/>
      </c>
      <c r="G893" s="7">
        <f>'1 datos preparados'!F886</f>
        <v/>
      </c>
      <c r="H893" s="7">
        <f>'1 datos preparados'!G886</f>
        <v/>
      </c>
      <c r="I893" s="7">
        <f>'1 datos preparados'!H886</f>
        <v/>
      </c>
      <c r="J893" s="7">
        <f>'1 datos preparados'!I886</f>
        <v/>
      </c>
      <c r="K893" s="7">
        <f>'1 datos preparados'!J886</f>
        <v/>
      </c>
      <c r="L893" s="7">
        <f>'1 datos preparados'!K886</f>
        <v/>
      </c>
      <c r="M893" s="7">
        <f>'1 datos preparados'!L886</f>
        <v/>
      </c>
      <c r="N893" s="7">
        <f>'1 datos preparados'!M886</f>
        <v/>
      </c>
      <c r="O893" s="7">
        <f>'1 datos preparados'!N886</f>
        <v/>
      </c>
      <c r="P893" s="7">
        <f>'1 datos preparados'!O886</f>
        <v/>
      </c>
      <c r="Q893" s="7">
        <f>'1 datos preparados'!P886</f>
        <v/>
      </c>
      <c r="R893" s="7">
        <f>'1 datos preparados'!Q886</f>
        <v/>
      </c>
      <c r="S893" s="7">
        <f>'1 datos preparados'!R886</f>
        <v/>
      </c>
      <c r="T893" s="7">
        <f>'1 datos preparados'!S886</f>
        <v/>
      </c>
      <c r="U893" s="7">
        <f>'1 datos preparados'!T886</f>
        <v/>
      </c>
      <c r="V893" s="8">
        <f>$AC$12+D893*$AC$13+E893*$AC$14+F893*$AC$15+G893*$AC$16+H893*$AC$17+I893*$AC$18+J893*$AC$19+K893*$AC$20+L893*$AC$21+M893*$AC$22+N893*$AC$23+O893*$AC$24+P893*$AC$25+Q893*$AC$26+R893*$AC$27+S893*$AC$28+T893*$AC$29+U893*$AC$30</f>
        <v/>
      </c>
      <c r="W893" s="8">
        <f>1/(1+EXP(-V893))</f>
        <v/>
      </c>
      <c r="X893" s="9">
        <f>-IF(C893=1,LN(W893),LN(1-W893))</f>
        <v/>
      </c>
      <c r="Y893" s="10">
        <f>IF(W893&gt;$AC$33,1,0)</f>
        <v/>
      </c>
      <c r="Z893">
        <f>IF(Y893=C893,1,0)</f>
        <v/>
      </c>
    </row>
    <row r="894">
      <c r="A894">
        <f>'1 datos preparados'!A887</f>
        <v/>
      </c>
      <c r="B894" s="5">
        <f>'1 datos preparados'!U887</f>
        <v/>
      </c>
      <c r="C894">
        <f>'1 datos preparados'!B887</f>
        <v/>
      </c>
      <c r="D894" s="7">
        <f>'1 datos preparados'!C887</f>
        <v/>
      </c>
      <c r="E894" s="7">
        <f>'1 datos preparados'!D887</f>
        <v/>
      </c>
      <c r="F894" s="7">
        <f>'1 datos preparados'!E887</f>
        <v/>
      </c>
      <c r="G894" s="7">
        <f>'1 datos preparados'!F887</f>
        <v/>
      </c>
      <c r="H894" s="7">
        <f>'1 datos preparados'!G887</f>
        <v/>
      </c>
      <c r="I894" s="7">
        <f>'1 datos preparados'!H887</f>
        <v/>
      </c>
      <c r="J894" s="7">
        <f>'1 datos preparados'!I887</f>
        <v/>
      </c>
      <c r="K894" s="7">
        <f>'1 datos preparados'!J887</f>
        <v/>
      </c>
      <c r="L894" s="7">
        <f>'1 datos preparados'!K887</f>
        <v/>
      </c>
      <c r="M894" s="7">
        <f>'1 datos preparados'!L887</f>
        <v/>
      </c>
      <c r="N894" s="7">
        <f>'1 datos preparados'!M887</f>
        <v/>
      </c>
      <c r="O894" s="7">
        <f>'1 datos preparados'!N887</f>
        <v/>
      </c>
      <c r="P894" s="7">
        <f>'1 datos preparados'!O887</f>
        <v/>
      </c>
      <c r="Q894" s="7">
        <f>'1 datos preparados'!P887</f>
        <v/>
      </c>
      <c r="R894" s="7">
        <f>'1 datos preparados'!Q887</f>
        <v/>
      </c>
      <c r="S894" s="7">
        <f>'1 datos preparados'!R887</f>
        <v/>
      </c>
      <c r="T894" s="7">
        <f>'1 datos preparados'!S887</f>
        <v/>
      </c>
      <c r="U894" s="7">
        <f>'1 datos preparados'!T887</f>
        <v/>
      </c>
      <c r="V894" s="8">
        <f>$AC$12+D894*$AC$13+E894*$AC$14+F894*$AC$15+G894*$AC$16+H894*$AC$17+I894*$AC$18+J894*$AC$19+K894*$AC$20+L894*$AC$21+M894*$AC$22+N894*$AC$23+O894*$AC$24+P894*$AC$25+Q894*$AC$26+R894*$AC$27+S894*$AC$28+T894*$AC$29+U894*$AC$30</f>
        <v/>
      </c>
      <c r="W894" s="8">
        <f>1/(1+EXP(-V894))</f>
        <v/>
      </c>
      <c r="X894" s="9">
        <f>-IF(C894=1,LN(W894),LN(1-W894))</f>
        <v/>
      </c>
      <c r="Y894" s="10">
        <f>IF(W894&gt;$AC$33,1,0)</f>
        <v/>
      </c>
      <c r="Z894">
        <f>IF(Y894=C894,1,0)</f>
        <v/>
      </c>
    </row>
    <row r="895">
      <c r="A895">
        <f>'1 datos preparados'!A888</f>
        <v/>
      </c>
      <c r="B895" s="5">
        <f>'1 datos preparados'!U888</f>
        <v/>
      </c>
      <c r="C895">
        <f>'1 datos preparados'!B888</f>
        <v/>
      </c>
      <c r="D895" s="7">
        <f>'1 datos preparados'!C888</f>
        <v/>
      </c>
      <c r="E895" s="7">
        <f>'1 datos preparados'!D888</f>
        <v/>
      </c>
      <c r="F895" s="7">
        <f>'1 datos preparados'!E888</f>
        <v/>
      </c>
      <c r="G895" s="7">
        <f>'1 datos preparados'!F888</f>
        <v/>
      </c>
      <c r="H895" s="7">
        <f>'1 datos preparados'!G888</f>
        <v/>
      </c>
      <c r="I895" s="7">
        <f>'1 datos preparados'!H888</f>
        <v/>
      </c>
      <c r="J895" s="7">
        <f>'1 datos preparados'!I888</f>
        <v/>
      </c>
      <c r="K895" s="7">
        <f>'1 datos preparados'!J888</f>
        <v/>
      </c>
      <c r="L895" s="7">
        <f>'1 datos preparados'!K888</f>
        <v/>
      </c>
      <c r="M895" s="7">
        <f>'1 datos preparados'!L888</f>
        <v/>
      </c>
      <c r="N895" s="7">
        <f>'1 datos preparados'!M888</f>
        <v/>
      </c>
      <c r="O895" s="7">
        <f>'1 datos preparados'!N888</f>
        <v/>
      </c>
      <c r="P895" s="7">
        <f>'1 datos preparados'!O888</f>
        <v/>
      </c>
      <c r="Q895" s="7">
        <f>'1 datos preparados'!P888</f>
        <v/>
      </c>
      <c r="R895" s="7">
        <f>'1 datos preparados'!Q888</f>
        <v/>
      </c>
      <c r="S895" s="7">
        <f>'1 datos preparados'!R888</f>
        <v/>
      </c>
      <c r="T895" s="7">
        <f>'1 datos preparados'!S888</f>
        <v/>
      </c>
      <c r="U895" s="7">
        <f>'1 datos preparados'!T888</f>
        <v/>
      </c>
      <c r="V895" s="8">
        <f>$AC$12+D895*$AC$13+E895*$AC$14+F895*$AC$15+G895*$AC$16+H895*$AC$17+I895*$AC$18+J895*$AC$19+K895*$AC$20+L895*$AC$21+M895*$AC$22+N895*$AC$23+O895*$AC$24+P895*$AC$25+Q895*$AC$26+R895*$AC$27+S895*$AC$28+T895*$AC$29+U895*$AC$30</f>
        <v/>
      </c>
      <c r="W895" s="8">
        <f>1/(1+EXP(-V895))</f>
        <v/>
      </c>
      <c r="X895" s="9">
        <f>-IF(C895=1,LN(W895),LN(1-W895))</f>
        <v/>
      </c>
      <c r="Y895" s="10">
        <f>IF(W895&gt;$AC$33,1,0)</f>
        <v/>
      </c>
      <c r="Z895">
        <f>IF(Y895=C895,1,0)</f>
        <v/>
      </c>
    </row>
    <row r="896">
      <c r="A896">
        <f>'1 datos preparados'!A889</f>
        <v/>
      </c>
      <c r="B896" s="5">
        <f>'1 datos preparados'!U889</f>
        <v/>
      </c>
      <c r="C896">
        <f>'1 datos preparados'!B889</f>
        <v/>
      </c>
      <c r="D896" s="7">
        <f>'1 datos preparados'!C889</f>
        <v/>
      </c>
      <c r="E896" s="7">
        <f>'1 datos preparados'!D889</f>
        <v/>
      </c>
      <c r="F896" s="7">
        <f>'1 datos preparados'!E889</f>
        <v/>
      </c>
      <c r="G896" s="7">
        <f>'1 datos preparados'!F889</f>
        <v/>
      </c>
      <c r="H896" s="7">
        <f>'1 datos preparados'!G889</f>
        <v/>
      </c>
      <c r="I896" s="7">
        <f>'1 datos preparados'!H889</f>
        <v/>
      </c>
      <c r="J896" s="7">
        <f>'1 datos preparados'!I889</f>
        <v/>
      </c>
      <c r="K896" s="7">
        <f>'1 datos preparados'!J889</f>
        <v/>
      </c>
      <c r="L896" s="7">
        <f>'1 datos preparados'!K889</f>
        <v/>
      </c>
      <c r="M896" s="7">
        <f>'1 datos preparados'!L889</f>
        <v/>
      </c>
      <c r="N896" s="7">
        <f>'1 datos preparados'!M889</f>
        <v/>
      </c>
      <c r="O896" s="7">
        <f>'1 datos preparados'!N889</f>
        <v/>
      </c>
      <c r="P896" s="7">
        <f>'1 datos preparados'!O889</f>
        <v/>
      </c>
      <c r="Q896" s="7">
        <f>'1 datos preparados'!P889</f>
        <v/>
      </c>
      <c r="R896" s="7">
        <f>'1 datos preparados'!Q889</f>
        <v/>
      </c>
      <c r="S896" s="7">
        <f>'1 datos preparados'!R889</f>
        <v/>
      </c>
      <c r="T896" s="7">
        <f>'1 datos preparados'!S889</f>
        <v/>
      </c>
      <c r="U896" s="7">
        <f>'1 datos preparados'!T889</f>
        <v/>
      </c>
      <c r="V896" s="8">
        <f>$AC$12+D896*$AC$13+E896*$AC$14+F896*$AC$15+G896*$AC$16+H896*$AC$17+I896*$AC$18+J896*$AC$19+K896*$AC$20+L896*$AC$21+M896*$AC$22+N896*$AC$23+O896*$AC$24+P896*$AC$25+Q896*$AC$26+R896*$AC$27+S896*$AC$28+T896*$AC$29+U896*$AC$30</f>
        <v/>
      </c>
      <c r="W896" s="8">
        <f>1/(1+EXP(-V896))</f>
        <v/>
      </c>
      <c r="X896" s="9">
        <f>-IF(C896=1,LN(W896),LN(1-W896))</f>
        <v/>
      </c>
      <c r="Y896" s="10">
        <f>IF(W896&gt;$AC$33,1,0)</f>
        <v/>
      </c>
      <c r="Z896">
        <f>IF(Y896=C896,1,0)</f>
        <v/>
      </c>
    </row>
    <row r="897">
      <c r="A897">
        <f>'1 datos preparados'!A890</f>
        <v/>
      </c>
      <c r="B897" s="5">
        <f>'1 datos preparados'!U890</f>
        <v/>
      </c>
      <c r="C897">
        <f>'1 datos preparados'!B890</f>
        <v/>
      </c>
      <c r="D897" s="7">
        <f>'1 datos preparados'!C890</f>
        <v/>
      </c>
      <c r="E897" s="7">
        <f>'1 datos preparados'!D890</f>
        <v/>
      </c>
      <c r="F897" s="7">
        <f>'1 datos preparados'!E890</f>
        <v/>
      </c>
      <c r="G897" s="7">
        <f>'1 datos preparados'!F890</f>
        <v/>
      </c>
      <c r="H897" s="7">
        <f>'1 datos preparados'!G890</f>
        <v/>
      </c>
      <c r="I897" s="7">
        <f>'1 datos preparados'!H890</f>
        <v/>
      </c>
      <c r="J897" s="7">
        <f>'1 datos preparados'!I890</f>
        <v/>
      </c>
      <c r="K897" s="7">
        <f>'1 datos preparados'!J890</f>
        <v/>
      </c>
      <c r="L897" s="7">
        <f>'1 datos preparados'!K890</f>
        <v/>
      </c>
      <c r="M897" s="7">
        <f>'1 datos preparados'!L890</f>
        <v/>
      </c>
      <c r="N897" s="7">
        <f>'1 datos preparados'!M890</f>
        <v/>
      </c>
      <c r="O897" s="7">
        <f>'1 datos preparados'!N890</f>
        <v/>
      </c>
      <c r="P897" s="7">
        <f>'1 datos preparados'!O890</f>
        <v/>
      </c>
      <c r="Q897" s="7">
        <f>'1 datos preparados'!P890</f>
        <v/>
      </c>
      <c r="R897" s="7">
        <f>'1 datos preparados'!Q890</f>
        <v/>
      </c>
      <c r="S897" s="7">
        <f>'1 datos preparados'!R890</f>
        <v/>
      </c>
      <c r="T897" s="7">
        <f>'1 datos preparados'!S890</f>
        <v/>
      </c>
      <c r="U897" s="7">
        <f>'1 datos preparados'!T890</f>
        <v/>
      </c>
      <c r="V897" s="8">
        <f>$AC$12+D897*$AC$13+E897*$AC$14+F897*$AC$15+G897*$AC$16+H897*$AC$17+I897*$AC$18+J897*$AC$19+K897*$AC$20+L897*$AC$21+M897*$AC$22+N897*$AC$23+O897*$AC$24+P897*$AC$25+Q897*$AC$26+R897*$AC$27+S897*$AC$28+T897*$AC$29+U897*$AC$30</f>
        <v/>
      </c>
      <c r="W897" s="8">
        <f>1/(1+EXP(-V897))</f>
        <v/>
      </c>
      <c r="X897" s="9">
        <f>-IF(C897=1,LN(W897),LN(1-W897))</f>
        <v/>
      </c>
      <c r="Y897" s="10">
        <f>IF(W897&gt;$AC$33,1,0)</f>
        <v/>
      </c>
      <c r="Z897">
        <f>IF(Y897=C897,1,0)</f>
        <v/>
      </c>
    </row>
    <row r="898">
      <c r="A898">
        <f>'1 datos preparados'!A891</f>
        <v/>
      </c>
      <c r="B898" s="5">
        <f>'1 datos preparados'!U891</f>
        <v/>
      </c>
      <c r="C898">
        <f>'1 datos preparados'!B891</f>
        <v/>
      </c>
      <c r="D898" s="7">
        <f>'1 datos preparados'!C891</f>
        <v/>
      </c>
      <c r="E898" s="7">
        <f>'1 datos preparados'!D891</f>
        <v/>
      </c>
      <c r="F898" s="7">
        <f>'1 datos preparados'!E891</f>
        <v/>
      </c>
      <c r="G898" s="7">
        <f>'1 datos preparados'!F891</f>
        <v/>
      </c>
      <c r="H898" s="7">
        <f>'1 datos preparados'!G891</f>
        <v/>
      </c>
      <c r="I898" s="7">
        <f>'1 datos preparados'!H891</f>
        <v/>
      </c>
      <c r="J898" s="7">
        <f>'1 datos preparados'!I891</f>
        <v/>
      </c>
      <c r="K898" s="7">
        <f>'1 datos preparados'!J891</f>
        <v/>
      </c>
      <c r="L898" s="7">
        <f>'1 datos preparados'!K891</f>
        <v/>
      </c>
      <c r="M898" s="7">
        <f>'1 datos preparados'!L891</f>
        <v/>
      </c>
      <c r="N898" s="7">
        <f>'1 datos preparados'!M891</f>
        <v/>
      </c>
      <c r="O898" s="7">
        <f>'1 datos preparados'!N891</f>
        <v/>
      </c>
      <c r="P898" s="7">
        <f>'1 datos preparados'!O891</f>
        <v/>
      </c>
      <c r="Q898" s="7">
        <f>'1 datos preparados'!P891</f>
        <v/>
      </c>
      <c r="R898" s="7">
        <f>'1 datos preparados'!Q891</f>
        <v/>
      </c>
      <c r="S898" s="7">
        <f>'1 datos preparados'!R891</f>
        <v/>
      </c>
      <c r="T898" s="7">
        <f>'1 datos preparados'!S891</f>
        <v/>
      </c>
      <c r="U898" s="7">
        <f>'1 datos preparados'!T891</f>
        <v/>
      </c>
      <c r="V898" s="8">
        <f>$AC$12+D898*$AC$13+E898*$AC$14+F898*$AC$15+G898*$AC$16+H898*$AC$17+I898*$AC$18+J898*$AC$19+K898*$AC$20+L898*$AC$21+M898*$AC$22+N898*$AC$23+O898*$AC$24+P898*$AC$25+Q898*$AC$26+R898*$AC$27+S898*$AC$28+T898*$AC$29+U898*$AC$30</f>
        <v/>
      </c>
      <c r="W898" s="8">
        <f>1/(1+EXP(-V898))</f>
        <v/>
      </c>
      <c r="X898" s="9">
        <f>-IF(C898=1,LN(W898),LN(1-W898))</f>
        <v/>
      </c>
      <c r="Y898" s="10">
        <f>IF(W898&gt;$AC$33,1,0)</f>
        <v/>
      </c>
      <c r="Z898">
        <f>IF(Y898=C898,1,0)</f>
        <v/>
      </c>
    </row>
    <row r="899">
      <c r="A899">
        <f>'1 datos preparados'!A892</f>
        <v/>
      </c>
      <c r="B899" s="5">
        <f>'1 datos preparados'!U892</f>
        <v/>
      </c>
      <c r="C899">
        <f>'1 datos preparados'!B892</f>
        <v/>
      </c>
      <c r="D899" s="7">
        <f>'1 datos preparados'!C892</f>
        <v/>
      </c>
      <c r="E899" s="7">
        <f>'1 datos preparados'!D892</f>
        <v/>
      </c>
      <c r="F899" s="7">
        <f>'1 datos preparados'!E892</f>
        <v/>
      </c>
      <c r="G899" s="7">
        <f>'1 datos preparados'!F892</f>
        <v/>
      </c>
      <c r="H899" s="7">
        <f>'1 datos preparados'!G892</f>
        <v/>
      </c>
      <c r="I899" s="7">
        <f>'1 datos preparados'!H892</f>
        <v/>
      </c>
      <c r="J899" s="7">
        <f>'1 datos preparados'!I892</f>
        <v/>
      </c>
      <c r="K899" s="7">
        <f>'1 datos preparados'!J892</f>
        <v/>
      </c>
      <c r="L899" s="7">
        <f>'1 datos preparados'!K892</f>
        <v/>
      </c>
      <c r="M899" s="7">
        <f>'1 datos preparados'!L892</f>
        <v/>
      </c>
      <c r="N899" s="7">
        <f>'1 datos preparados'!M892</f>
        <v/>
      </c>
      <c r="O899" s="7">
        <f>'1 datos preparados'!N892</f>
        <v/>
      </c>
      <c r="P899" s="7">
        <f>'1 datos preparados'!O892</f>
        <v/>
      </c>
      <c r="Q899" s="7">
        <f>'1 datos preparados'!P892</f>
        <v/>
      </c>
      <c r="R899" s="7">
        <f>'1 datos preparados'!Q892</f>
        <v/>
      </c>
      <c r="S899" s="7">
        <f>'1 datos preparados'!R892</f>
        <v/>
      </c>
      <c r="T899" s="7">
        <f>'1 datos preparados'!S892</f>
        <v/>
      </c>
      <c r="U899" s="7">
        <f>'1 datos preparados'!T892</f>
        <v/>
      </c>
      <c r="V899" s="8">
        <f>$AC$12+D899*$AC$13+E899*$AC$14+F899*$AC$15+G899*$AC$16+H899*$AC$17+I899*$AC$18+J899*$AC$19+K899*$AC$20+L899*$AC$21+M899*$AC$22+N899*$AC$23+O899*$AC$24+P899*$AC$25+Q899*$AC$26+R899*$AC$27+S899*$AC$28+T899*$AC$29+U899*$AC$30</f>
        <v/>
      </c>
      <c r="W899" s="8">
        <f>1/(1+EXP(-V899))</f>
        <v/>
      </c>
      <c r="X899" s="9">
        <f>-IF(C899=1,LN(W899),LN(1-W899))</f>
        <v/>
      </c>
      <c r="Y899" s="10">
        <f>IF(W899&gt;$AC$33,1,0)</f>
        <v/>
      </c>
      <c r="Z899">
        <f>IF(Y899=C899,1,0)</f>
        <v/>
      </c>
    </row>
    <row r="900">
      <c r="A900">
        <f>'1 datos preparados'!A893</f>
        <v/>
      </c>
      <c r="B900" s="5">
        <f>'1 datos preparados'!U893</f>
        <v/>
      </c>
      <c r="C900">
        <f>'1 datos preparados'!B893</f>
        <v/>
      </c>
      <c r="D900" s="7">
        <f>'1 datos preparados'!C893</f>
        <v/>
      </c>
      <c r="E900" s="7">
        <f>'1 datos preparados'!D893</f>
        <v/>
      </c>
      <c r="F900" s="7">
        <f>'1 datos preparados'!E893</f>
        <v/>
      </c>
      <c r="G900" s="7">
        <f>'1 datos preparados'!F893</f>
        <v/>
      </c>
      <c r="H900" s="7">
        <f>'1 datos preparados'!G893</f>
        <v/>
      </c>
      <c r="I900" s="7">
        <f>'1 datos preparados'!H893</f>
        <v/>
      </c>
      <c r="J900" s="7">
        <f>'1 datos preparados'!I893</f>
        <v/>
      </c>
      <c r="K900" s="7">
        <f>'1 datos preparados'!J893</f>
        <v/>
      </c>
      <c r="L900" s="7">
        <f>'1 datos preparados'!K893</f>
        <v/>
      </c>
      <c r="M900" s="7">
        <f>'1 datos preparados'!L893</f>
        <v/>
      </c>
      <c r="N900" s="7">
        <f>'1 datos preparados'!M893</f>
        <v/>
      </c>
      <c r="O900" s="7">
        <f>'1 datos preparados'!N893</f>
        <v/>
      </c>
      <c r="P900" s="7">
        <f>'1 datos preparados'!O893</f>
        <v/>
      </c>
      <c r="Q900" s="7">
        <f>'1 datos preparados'!P893</f>
        <v/>
      </c>
      <c r="R900" s="7">
        <f>'1 datos preparados'!Q893</f>
        <v/>
      </c>
      <c r="S900" s="7">
        <f>'1 datos preparados'!R893</f>
        <v/>
      </c>
      <c r="T900" s="7">
        <f>'1 datos preparados'!S893</f>
        <v/>
      </c>
      <c r="U900" s="7">
        <f>'1 datos preparados'!T893</f>
        <v/>
      </c>
      <c r="V900" s="8">
        <f>$AC$12+D900*$AC$13+E900*$AC$14+F900*$AC$15+G900*$AC$16+H900*$AC$17+I900*$AC$18+J900*$AC$19+K900*$AC$20+L900*$AC$21+M900*$AC$22+N900*$AC$23+O900*$AC$24+P900*$AC$25+Q900*$AC$26+R900*$AC$27+S900*$AC$28+T900*$AC$29+U900*$AC$30</f>
        <v/>
      </c>
      <c r="W900" s="8">
        <f>1/(1+EXP(-V900))</f>
        <v/>
      </c>
      <c r="X900" s="9">
        <f>-IF(C900=1,LN(W900),LN(1-W900))</f>
        <v/>
      </c>
      <c r="Y900" s="10">
        <f>IF(W900&gt;$AC$33,1,0)</f>
        <v/>
      </c>
      <c r="Z900">
        <f>IF(Y900=C900,1,0)</f>
        <v/>
      </c>
    </row>
    <row r="901">
      <c r="A901">
        <f>'1 datos preparados'!A894</f>
        <v/>
      </c>
      <c r="B901" s="5">
        <f>'1 datos preparados'!U894</f>
        <v/>
      </c>
      <c r="C901">
        <f>'1 datos preparados'!B894</f>
        <v/>
      </c>
      <c r="D901" s="7">
        <f>'1 datos preparados'!C894</f>
        <v/>
      </c>
      <c r="E901" s="7">
        <f>'1 datos preparados'!D894</f>
        <v/>
      </c>
      <c r="F901" s="7">
        <f>'1 datos preparados'!E894</f>
        <v/>
      </c>
      <c r="G901" s="7">
        <f>'1 datos preparados'!F894</f>
        <v/>
      </c>
      <c r="H901" s="7">
        <f>'1 datos preparados'!G894</f>
        <v/>
      </c>
      <c r="I901" s="7">
        <f>'1 datos preparados'!H894</f>
        <v/>
      </c>
      <c r="J901" s="7">
        <f>'1 datos preparados'!I894</f>
        <v/>
      </c>
      <c r="K901" s="7">
        <f>'1 datos preparados'!J894</f>
        <v/>
      </c>
      <c r="L901" s="7">
        <f>'1 datos preparados'!K894</f>
        <v/>
      </c>
      <c r="M901" s="7">
        <f>'1 datos preparados'!L894</f>
        <v/>
      </c>
      <c r="N901" s="7">
        <f>'1 datos preparados'!M894</f>
        <v/>
      </c>
      <c r="O901" s="7">
        <f>'1 datos preparados'!N894</f>
        <v/>
      </c>
      <c r="P901" s="7">
        <f>'1 datos preparados'!O894</f>
        <v/>
      </c>
      <c r="Q901" s="7">
        <f>'1 datos preparados'!P894</f>
        <v/>
      </c>
      <c r="R901" s="7">
        <f>'1 datos preparados'!Q894</f>
        <v/>
      </c>
      <c r="S901" s="7">
        <f>'1 datos preparados'!R894</f>
        <v/>
      </c>
      <c r="T901" s="7">
        <f>'1 datos preparados'!S894</f>
        <v/>
      </c>
      <c r="U901" s="7">
        <f>'1 datos preparados'!T894</f>
        <v/>
      </c>
      <c r="V901" s="8">
        <f>$AC$12+D901*$AC$13+E901*$AC$14+F901*$AC$15+G901*$AC$16+H901*$AC$17+I901*$AC$18+J901*$AC$19+K901*$AC$20+L901*$AC$21+M901*$AC$22+N901*$AC$23+O901*$AC$24+P901*$AC$25+Q901*$AC$26+R901*$AC$27+S901*$AC$28+T901*$AC$29+U901*$AC$30</f>
        <v/>
      </c>
      <c r="W901" s="8">
        <f>1/(1+EXP(-V901))</f>
        <v/>
      </c>
      <c r="X901" s="9">
        <f>-IF(C901=1,LN(W901),LN(1-W901))</f>
        <v/>
      </c>
      <c r="Y901" s="10">
        <f>IF(W901&gt;$AC$33,1,0)</f>
        <v/>
      </c>
      <c r="Z901">
        <f>IF(Y901=C901,1,0)</f>
        <v/>
      </c>
    </row>
    <row r="902">
      <c r="A902">
        <f>'1 datos preparados'!A895</f>
        <v/>
      </c>
      <c r="B902" s="5">
        <f>'1 datos preparados'!U895</f>
        <v/>
      </c>
      <c r="C902">
        <f>'1 datos preparados'!B895</f>
        <v/>
      </c>
      <c r="D902" s="7">
        <f>'1 datos preparados'!C895</f>
        <v/>
      </c>
      <c r="E902" s="7">
        <f>'1 datos preparados'!D895</f>
        <v/>
      </c>
      <c r="F902" s="7">
        <f>'1 datos preparados'!E895</f>
        <v/>
      </c>
      <c r="G902" s="7">
        <f>'1 datos preparados'!F895</f>
        <v/>
      </c>
      <c r="H902" s="7">
        <f>'1 datos preparados'!G895</f>
        <v/>
      </c>
      <c r="I902" s="7">
        <f>'1 datos preparados'!H895</f>
        <v/>
      </c>
      <c r="J902" s="7">
        <f>'1 datos preparados'!I895</f>
        <v/>
      </c>
      <c r="K902" s="7">
        <f>'1 datos preparados'!J895</f>
        <v/>
      </c>
      <c r="L902" s="7">
        <f>'1 datos preparados'!K895</f>
        <v/>
      </c>
      <c r="M902" s="7">
        <f>'1 datos preparados'!L895</f>
        <v/>
      </c>
      <c r="N902" s="7">
        <f>'1 datos preparados'!M895</f>
        <v/>
      </c>
      <c r="O902" s="7">
        <f>'1 datos preparados'!N895</f>
        <v/>
      </c>
      <c r="P902" s="7">
        <f>'1 datos preparados'!O895</f>
        <v/>
      </c>
      <c r="Q902" s="7">
        <f>'1 datos preparados'!P895</f>
        <v/>
      </c>
      <c r="R902" s="7">
        <f>'1 datos preparados'!Q895</f>
        <v/>
      </c>
      <c r="S902" s="7">
        <f>'1 datos preparados'!R895</f>
        <v/>
      </c>
      <c r="T902" s="7">
        <f>'1 datos preparados'!S895</f>
        <v/>
      </c>
      <c r="U902" s="7">
        <f>'1 datos preparados'!T895</f>
        <v/>
      </c>
      <c r="V902" s="8">
        <f>$AC$12+D902*$AC$13+E902*$AC$14+F902*$AC$15+G902*$AC$16+H902*$AC$17+I902*$AC$18+J902*$AC$19+K902*$AC$20+L902*$AC$21+M902*$AC$22+N902*$AC$23+O902*$AC$24+P902*$AC$25+Q902*$AC$26+R902*$AC$27+S902*$AC$28+T902*$AC$29+U902*$AC$30</f>
        <v/>
      </c>
      <c r="W902" s="8">
        <f>1/(1+EXP(-V902))</f>
        <v/>
      </c>
      <c r="X902" s="9">
        <f>-IF(C902=1,LN(W902),LN(1-W902))</f>
        <v/>
      </c>
      <c r="Y902" s="10">
        <f>IF(W902&gt;$AC$33,1,0)</f>
        <v/>
      </c>
      <c r="Z902">
        <f>IF(Y902=C902,1,0)</f>
        <v/>
      </c>
    </row>
    <row r="903">
      <c r="A903">
        <f>'1 datos preparados'!A896</f>
        <v/>
      </c>
      <c r="B903" s="5">
        <f>'1 datos preparados'!U896</f>
        <v/>
      </c>
      <c r="C903">
        <f>'1 datos preparados'!B896</f>
        <v/>
      </c>
      <c r="D903" s="7">
        <f>'1 datos preparados'!C896</f>
        <v/>
      </c>
      <c r="E903" s="7">
        <f>'1 datos preparados'!D896</f>
        <v/>
      </c>
      <c r="F903" s="7">
        <f>'1 datos preparados'!E896</f>
        <v/>
      </c>
      <c r="G903" s="7">
        <f>'1 datos preparados'!F896</f>
        <v/>
      </c>
      <c r="H903" s="7">
        <f>'1 datos preparados'!G896</f>
        <v/>
      </c>
      <c r="I903" s="7">
        <f>'1 datos preparados'!H896</f>
        <v/>
      </c>
      <c r="J903" s="7">
        <f>'1 datos preparados'!I896</f>
        <v/>
      </c>
      <c r="K903" s="7">
        <f>'1 datos preparados'!J896</f>
        <v/>
      </c>
      <c r="L903" s="7">
        <f>'1 datos preparados'!K896</f>
        <v/>
      </c>
      <c r="M903" s="7">
        <f>'1 datos preparados'!L896</f>
        <v/>
      </c>
      <c r="N903" s="7">
        <f>'1 datos preparados'!M896</f>
        <v/>
      </c>
      <c r="O903" s="7">
        <f>'1 datos preparados'!N896</f>
        <v/>
      </c>
      <c r="P903" s="7">
        <f>'1 datos preparados'!O896</f>
        <v/>
      </c>
      <c r="Q903" s="7">
        <f>'1 datos preparados'!P896</f>
        <v/>
      </c>
      <c r="R903" s="7">
        <f>'1 datos preparados'!Q896</f>
        <v/>
      </c>
      <c r="S903" s="7">
        <f>'1 datos preparados'!R896</f>
        <v/>
      </c>
      <c r="T903" s="7">
        <f>'1 datos preparados'!S896</f>
        <v/>
      </c>
      <c r="U903" s="7">
        <f>'1 datos preparados'!T896</f>
        <v/>
      </c>
      <c r="V903" s="8">
        <f>$AC$12+D903*$AC$13+E903*$AC$14+F903*$AC$15+G903*$AC$16+H903*$AC$17+I903*$AC$18+J903*$AC$19+K903*$AC$20+L903*$AC$21+M903*$AC$22+N903*$AC$23+O903*$AC$24+P903*$AC$25+Q903*$AC$26+R903*$AC$27+S903*$AC$28+T903*$AC$29+U903*$AC$30</f>
        <v/>
      </c>
      <c r="W903" s="8">
        <f>1/(1+EXP(-V903))</f>
        <v/>
      </c>
      <c r="X903" s="9">
        <f>-IF(C903=1,LN(W903),LN(1-W903))</f>
        <v/>
      </c>
      <c r="Y903" s="10">
        <f>IF(W903&gt;$AC$33,1,0)</f>
        <v/>
      </c>
      <c r="Z903">
        <f>IF(Y903=C903,1,0)</f>
        <v/>
      </c>
    </row>
    <row r="904">
      <c r="A904">
        <f>'1 datos preparados'!A897</f>
        <v/>
      </c>
      <c r="B904" s="5">
        <f>'1 datos preparados'!U897</f>
        <v/>
      </c>
      <c r="C904">
        <f>'1 datos preparados'!B897</f>
        <v/>
      </c>
      <c r="D904" s="7">
        <f>'1 datos preparados'!C897</f>
        <v/>
      </c>
      <c r="E904" s="7">
        <f>'1 datos preparados'!D897</f>
        <v/>
      </c>
      <c r="F904" s="7">
        <f>'1 datos preparados'!E897</f>
        <v/>
      </c>
      <c r="G904" s="7">
        <f>'1 datos preparados'!F897</f>
        <v/>
      </c>
      <c r="H904" s="7">
        <f>'1 datos preparados'!G897</f>
        <v/>
      </c>
      <c r="I904" s="7">
        <f>'1 datos preparados'!H897</f>
        <v/>
      </c>
      <c r="J904" s="7">
        <f>'1 datos preparados'!I897</f>
        <v/>
      </c>
      <c r="K904" s="7">
        <f>'1 datos preparados'!J897</f>
        <v/>
      </c>
      <c r="L904" s="7">
        <f>'1 datos preparados'!K897</f>
        <v/>
      </c>
      <c r="M904" s="7">
        <f>'1 datos preparados'!L897</f>
        <v/>
      </c>
      <c r="N904" s="7">
        <f>'1 datos preparados'!M897</f>
        <v/>
      </c>
      <c r="O904" s="7">
        <f>'1 datos preparados'!N897</f>
        <v/>
      </c>
      <c r="P904" s="7">
        <f>'1 datos preparados'!O897</f>
        <v/>
      </c>
      <c r="Q904" s="7">
        <f>'1 datos preparados'!P897</f>
        <v/>
      </c>
      <c r="R904" s="7">
        <f>'1 datos preparados'!Q897</f>
        <v/>
      </c>
      <c r="S904" s="7">
        <f>'1 datos preparados'!R897</f>
        <v/>
      </c>
      <c r="T904" s="7">
        <f>'1 datos preparados'!S897</f>
        <v/>
      </c>
      <c r="U904" s="7">
        <f>'1 datos preparados'!T897</f>
        <v/>
      </c>
      <c r="V904" s="8">
        <f>$AC$12+D904*$AC$13+E904*$AC$14+F904*$AC$15+G904*$AC$16+H904*$AC$17+I904*$AC$18+J904*$AC$19+K904*$AC$20+L904*$AC$21+M904*$AC$22+N904*$AC$23+O904*$AC$24+P904*$AC$25+Q904*$AC$26+R904*$AC$27+S904*$AC$28+T904*$AC$29+U904*$AC$30</f>
        <v/>
      </c>
      <c r="W904" s="8">
        <f>1/(1+EXP(-V904))</f>
        <v/>
      </c>
      <c r="X904" s="9">
        <f>-IF(C904=1,LN(W904),LN(1-W904))</f>
        <v/>
      </c>
      <c r="Y904" s="10">
        <f>IF(W904&gt;$AC$33,1,0)</f>
        <v/>
      </c>
      <c r="Z904">
        <f>IF(Y904=C904,1,0)</f>
        <v/>
      </c>
    </row>
    <row r="905">
      <c r="A905">
        <f>'1 datos preparados'!A898</f>
        <v/>
      </c>
      <c r="B905" s="5">
        <f>'1 datos preparados'!U898</f>
        <v/>
      </c>
      <c r="C905">
        <f>'1 datos preparados'!B898</f>
        <v/>
      </c>
      <c r="D905" s="7">
        <f>'1 datos preparados'!C898</f>
        <v/>
      </c>
      <c r="E905" s="7">
        <f>'1 datos preparados'!D898</f>
        <v/>
      </c>
      <c r="F905" s="7">
        <f>'1 datos preparados'!E898</f>
        <v/>
      </c>
      <c r="G905" s="7">
        <f>'1 datos preparados'!F898</f>
        <v/>
      </c>
      <c r="H905" s="7">
        <f>'1 datos preparados'!G898</f>
        <v/>
      </c>
      <c r="I905" s="7">
        <f>'1 datos preparados'!H898</f>
        <v/>
      </c>
      <c r="J905" s="7">
        <f>'1 datos preparados'!I898</f>
        <v/>
      </c>
      <c r="K905" s="7">
        <f>'1 datos preparados'!J898</f>
        <v/>
      </c>
      <c r="L905" s="7">
        <f>'1 datos preparados'!K898</f>
        <v/>
      </c>
      <c r="M905" s="7">
        <f>'1 datos preparados'!L898</f>
        <v/>
      </c>
      <c r="N905" s="7">
        <f>'1 datos preparados'!M898</f>
        <v/>
      </c>
      <c r="O905" s="7">
        <f>'1 datos preparados'!N898</f>
        <v/>
      </c>
      <c r="P905" s="7">
        <f>'1 datos preparados'!O898</f>
        <v/>
      </c>
      <c r="Q905" s="7">
        <f>'1 datos preparados'!P898</f>
        <v/>
      </c>
      <c r="R905" s="7">
        <f>'1 datos preparados'!Q898</f>
        <v/>
      </c>
      <c r="S905" s="7">
        <f>'1 datos preparados'!R898</f>
        <v/>
      </c>
      <c r="T905" s="7">
        <f>'1 datos preparados'!S898</f>
        <v/>
      </c>
      <c r="U905" s="7">
        <f>'1 datos preparados'!T898</f>
        <v/>
      </c>
      <c r="V905" s="8">
        <f>$AC$12+D905*$AC$13+E905*$AC$14+F905*$AC$15+G905*$AC$16+H905*$AC$17+I905*$AC$18+J905*$AC$19+K905*$AC$20+L905*$AC$21+M905*$AC$22+N905*$AC$23+O905*$AC$24+P905*$AC$25+Q905*$AC$26+R905*$AC$27+S905*$AC$28+T905*$AC$29+U905*$AC$30</f>
        <v/>
      </c>
      <c r="W905" s="8">
        <f>1/(1+EXP(-V905))</f>
        <v/>
      </c>
      <c r="X905" s="9">
        <f>-IF(C905=1,LN(W905),LN(1-W905))</f>
        <v/>
      </c>
      <c r="Y905" s="10">
        <f>IF(W905&gt;$AC$33,1,0)</f>
        <v/>
      </c>
      <c r="Z905">
        <f>IF(Y905=C905,1,0)</f>
        <v/>
      </c>
    </row>
    <row r="906">
      <c r="A906">
        <f>'1 datos preparados'!A899</f>
        <v/>
      </c>
      <c r="B906" s="5">
        <f>'1 datos preparados'!U899</f>
        <v/>
      </c>
      <c r="C906">
        <f>'1 datos preparados'!B899</f>
        <v/>
      </c>
      <c r="D906" s="7">
        <f>'1 datos preparados'!C899</f>
        <v/>
      </c>
      <c r="E906" s="7">
        <f>'1 datos preparados'!D899</f>
        <v/>
      </c>
      <c r="F906" s="7">
        <f>'1 datos preparados'!E899</f>
        <v/>
      </c>
      <c r="G906" s="7">
        <f>'1 datos preparados'!F899</f>
        <v/>
      </c>
      <c r="H906" s="7">
        <f>'1 datos preparados'!G899</f>
        <v/>
      </c>
      <c r="I906" s="7">
        <f>'1 datos preparados'!H899</f>
        <v/>
      </c>
      <c r="J906" s="7">
        <f>'1 datos preparados'!I899</f>
        <v/>
      </c>
      <c r="K906" s="7">
        <f>'1 datos preparados'!J899</f>
        <v/>
      </c>
      <c r="L906" s="7">
        <f>'1 datos preparados'!K899</f>
        <v/>
      </c>
      <c r="M906" s="7">
        <f>'1 datos preparados'!L899</f>
        <v/>
      </c>
      <c r="N906" s="7">
        <f>'1 datos preparados'!M899</f>
        <v/>
      </c>
      <c r="O906" s="7">
        <f>'1 datos preparados'!N899</f>
        <v/>
      </c>
      <c r="P906" s="7">
        <f>'1 datos preparados'!O899</f>
        <v/>
      </c>
      <c r="Q906" s="7">
        <f>'1 datos preparados'!P899</f>
        <v/>
      </c>
      <c r="R906" s="7">
        <f>'1 datos preparados'!Q899</f>
        <v/>
      </c>
      <c r="S906" s="7">
        <f>'1 datos preparados'!R899</f>
        <v/>
      </c>
      <c r="T906" s="7">
        <f>'1 datos preparados'!S899</f>
        <v/>
      </c>
      <c r="U906" s="7">
        <f>'1 datos preparados'!T899</f>
        <v/>
      </c>
      <c r="V906" s="8">
        <f>$AC$12+D906*$AC$13+E906*$AC$14+F906*$AC$15+G906*$AC$16+H906*$AC$17+I906*$AC$18+J906*$AC$19+K906*$AC$20+L906*$AC$21+M906*$AC$22+N906*$AC$23+O906*$AC$24+P906*$AC$25+Q906*$AC$26+R906*$AC$27+S906*$AC$28+T906*$AC$29+U906*$AC$30</f>
        <v/>
      </c>
      <c r="W906" s="8">
        <f>1/(1+EXP(-V906))</f>
        <v/>
      </c>
      <c r="X906" s="9">
        <f>-IF(C906=1,LN(W906),LN(1-W906))</f>
        <v/>
      </c>
      <c r="Y906" s="10">
        <f>IF(W906&gt;$AC$33,1,0)</f>
        <v/>
      </c>
      <c r="Z906">
        <f>IF(Y906=C906,1,0)</f>
        <v/>
      </c>
    </row>
    <row r="907">
      <c r="A907">
        <f>'1 datos preparados'!A900</f>
        <v/>
      </c>
      <c r="B907" s="5">
        <f>'1 datos preparados'!U900</f>
        <v/>
      </c>
      <c r="C907">
        <f>'1 datos preparados'!B900</f>
        <v/>
      </c>
      <c r="D907" s="7">
        <f>'1 datos preparados'!C900</f>
        <v/>
      </c>
      <c r="E907" s="7">
        <f>'1 datos preparados'!D900</f>
        <v/>
      </c>
      <c r="F907" s="7">
        <f>'1 datos preparados'!E900</f>
        <v/>
      </c>
      <c r="G907" s="7">
        <f>'1 datos preparados'!F900</f>
        <v/>
      </c>
      <c r="H907" s="7">
        <f>'1 datos preparados'!G900</f>
        <v/>
      </c>
      <c r="I907" s="7">
        <f>'1 datos preparados'!H900</f>
        <v/>
      </c>
      <c r="J907" s="7">
        <f>'1 datos preparados'!I900</f>
        <v/>
      </c>
      <c r="K907" s="7">
        <f>'1 datos preparados'!J900</f>
        <v/>
      </c>
      <c r="L907" s="7">
        <f>'1 datos preparados'!K900</f>
        <v/>
      </c>
      <c r="M907" s="7">
        <f>'1 datos preparados'!L900</f>
        <v/>
      </c>
      <c r="N907" s="7">
        <f>'1 datos preparados'!M900</f>
        <v/>
      </c>
      <c r="O907" s="7">
        <f>'1 datos preparados'!N900</f>
        <v/>
      </c>
      <c r="P907" s="7">
        <f>'1 datos preparados'!O900</f>
        <v/>
      </c>
      <c r="Q907" s="7">
        <f>'1 datos preparados'!P900</f>
        <v/>
      </c>
      <c r="R907" s="7">
        <f>'1 datos preparados'!Q900</f>
        <v/>
      </c>
      <c r="S907" s="7">
        <f>'1 datos preparados'!R900</f>
        <v/>
      </c>
      <c r="T907" s="7">
        <f>'1 datos preparados'!S900</f>
        <v/>
      </c>
      <c r="U907" s="7">
        <f>'1 datos preparados'!T900</f>
        <v/>
      </c>
      <c r="V907" s="8">
        <f>$AC$12+D907*$AC$13+E907*$AC$14+F907*$AC$15+G907*$AC$16+H907*$AC$17+I907*$AC$18+J907*$AC$19+K907*$AC$20+L907*$AC$21+M907*$AC$22+N907*$AC$23+O907*$AC$24+P907*$AC$25+Q907*$AC$26+R907*$AC$27+S907*$AC$28+T907*$AC$29+U907*$AC$30</f>
        <v/>
      </c>
      <c r="W907" s="8">
        <f>1/(1+EXP(-V907))</f>
        <v/>
      </c>
      <c r="X907" s="9">
        <f>-IF(C907=1,LN(W907),LN(1-W907))</f>
        <v/>
      </c>
      <c r="Y907" s="10">
        <f>IF(W907&gt;$AC$33,1,0)</f>
        <v/>
      </c>
      <c r="Z907">
        <f>IF(Y907=C907,1,0)</f>
        <v/>
      </c>
    </row>
    <row r="908">
      <c r="A908">
        <f>'1 datos preparados'!A901</f>
        <v/>
      </c>
      <c r="B908" s="5">
        <f>'1 datos preparados'!U901</f>
        <v/>
      </c>
      <c r="C908">
        <f>'1 datos preparados'!B901</f>
        <v/>
      </c>
      <c r="D908" s="7">
        <f>'1 datos preparados'!C901</f>
        <v/>
      </c>
      <c r="E908" s="7">
        <f>'1 datos preparados'!D901</f>
        <v/>
      </c>
      <c r="F908" s="7">
        <f>'1 datos preparados'!E901</f>
        <v/>
      </c>
      <c r="G908" s="7">
        <f>'1 datos preparados'!F901</f>
        <v/>
      </c>
      <c r="H908" s="7">
        <f>'1 datos preparados'!G901</f>
        <v/>
      </c>
      <c r="I908" s="7">
        <f>'1 datos preparados'!H901</f>
        <v/>
      </c>
      <c r="J908" s="7">
        <f>'1 datos preparados'!I901</f>
        <v/>
      </c>
      <c r="K908" s="7">
        <f>'1 datos preparados'!J901</f>
        <v/>
      </c>
      <c r="L908" s="7">
        <f>'1 datos preparados'!K901</f>
        <v/>
      </c>
      <c r="M908" s="7">
        <f>'1 datos preparados'!L901</f>
        <v/>
      </c>
      <c r="N908" s="7">
        <f>'1 datos preparados'!M901</f>
        <v/>
      </c>
      <c r="O908" s="7">
        <f>'1 datos preparados'!N901</f>
        <v/>
      </c>
      <c r="P908" s="7">
        <f>'1 datos preparados'!O901</f>
        <v/>
      </c>
      <c r="Q908" s="7">
        <f>'1 datos preparados'!P901</f>
        <v/>
      </c>
      <c r="R908" s="7">
        <f>'1 datos preparados'!Q901</f>
        <v/>
      </c>
      <c r="S908" s="7">
        <f>'1 datos preparados'!R901</f>
        <v/>
      </c>
      <c r="T908" s="7">
        <f>'1 datos preparados'!S901</f>
        <v/>
      </c>
      <c r="U908" s="7">
        <f>'1 datos preparados'!T901</f>
        <v/>
      </c>
      <c r="V908" s="8">
        <f>$AC$12+D908*$AC$13+E908*$AC$14+F908*$AC$15+G908*$AC$16+H908*$AC$17+I908*$AC$18+J908*$AC$19+K908*$AC$20+L908*$AC$21+M908*$AC$22+N908*$AC$23+O908*$AC$24+P908*$AC$25+Q908*$AC$26+R908*$AC$27+S908*$AC$28+T908*$AC$29+U908*$AC$30</f>
        <v/>
      </c>
      <c r="W908" s="8">
        <f>1/(1+EXP(-V908))</f>
        <v/>
      </c>
      <c r="X908" s="9">
        <f>-IF(C908=1,LN(W908),LN(1-W908))</f>
        <v/>
      </c>
      <c r="Y908" s="10">
        <f>IF(W908&gt;$AC$33,1,0)</f>
        <v/>
      </c>
      <c r="Z908">
        <f>IF(Y908=C908,1,0)</f>
        <v/>
      </c>
    </row>
    <row r="909">
      <c r="A909">
        <f>'1 datos preparados'!A902</f>
        <v/>
      </c>
      <c r="B909" s="5">
        <f>'1 datos preparados'!U902</f>
        <v/>
      </c>
      <c r="C909">
        <f>'1 datos preparados'!B902</f>
        <v/>
      </c>
      <c r="D909" s="7">
        <f>'1 datos preparados'!C902</f>
        <v/>
      </c>
      <c r="E909" s="7">
        <f>'1 datos preparados'!D902</f>
        <v/>
      </c>
      <c r="F909" s="7">
        <f>'1 datos preparados'!E902</f>
        <v/>
      </c>
      <c r="G909" s="7">
        <f>'1 datos preparados'!F902</f>
        <v/>
      </c>
      <c r="H909" s="7">
        <f>'1 datos preparados'!G902</f>
        <v/>
      </c>
      <c r="I909" s="7">
        <f>'1 datos preparados'!H902</f>
        <v/>
      </c>
      <c r="J909" s="7">
        <f>'1 datos preparados'!I902</f>
        <v/>
      </c>
      <c r="K909" s="7">
        <f>'1 datos preparados'!J902</f>
        <v/>
      </c>
      <c r="L909" s="7">
        <f>'1 datos preparados'!K902</f>
        <v/>
      </c>
      <c r="M909" s="7">
        <f>'1 datos preparados'!L902</f>
        <v/>
      </c>
      <c r="N909" s="7">
        <f>'1 datos preparados'!M902</f>
        <v/>
      </c>
      <c r="O909" s="7">
        <f>'1 datos preparados'!N902</f>
        <v/>
      </c>
      <c r="P909" s="7">
        <f>'1 datos preparados'!O902</f>
        <v/>
      </c>
      <c r="Q909" s="7">
        <f>'1 datos preparados'!P902</f>
        <v/>
      </c>
      <c r="R909" s="7">
        <f>'1 datos preparados'!Q902</f>
        <v/>
      </c>
      <c r="S909" s="7">
        <f>'1 datos preparados'!R902</f>
        <v/>
      </c>
      <c r="T909" s="7">
        <f>'1 datos preparados'!S902</f>
        <v/>
      </c>
      <c r="U909" s="7">
        <f>'1 datos preparados'!T902</f>
        <v/>
      </c>
      <c r="V909" s="8">
        <f>$AC$12+D909*$AC$13+E909*$AC$14+F909*$AC$15+G909*$AC$16+H909*$AC$17+I909*$AC$18+J909*$AC$19+K909*$AC$20+L909*$AC$21+M909*$AC$22+N909*$AC$23+O909*$AC$24+P909*$AC$25+Q909*$AC$26+R909*$AC$27+S909*$AC$28+T909*$AC$29+U909*$AC$30</f>
        <v/>
      </c>
      <c r="W909" s="8">
        <f>1/(1+EXP(-V909))</f>
        <v/>
      </c>
      <c r="X909" s="9">
        <f>-IF(C909=1,LN(W909),LN(1-W909))</f>
        <v/>
      </c>
      <c r="Y909" s="10">
        <f>IF(W909&gt;$AC$33,1,0)</f>
        <v/>
      </c>
      <c r="Z909">
        <f>IF(Y909=C909,1,0)</f>
        <v/>
      </c>
    </row>
    <row r="910">
      <c r="A910">
        <f>'1 datos preparados'!A903</f>
        <v/>
      </c>
      <c r="B910" s="5">
        <f>'1 datos preparados'!U903</f>
        <v/>
      </c>
      <c r="C910">
        <f>'1 datos preparados'!B903</f>
        <v/>
      </c>
      <c r="D910" s="7">
        <f>'1 datos preparados'!C903</f>
        <v/>
      </c>
      <c r="E910" s="7">
        <f>'1 datos preparados'!D903</f>
        <v/>
      </c>
      <c r="F910" s="7">
        <f>'1 datos preparados'!E903</f>
        <v/>
      </c>
      <c r="G910" s="7">
        <f>'1 datos preparados'!F903</f>
        <v/>
      </c>
      <c r="H910" s="7">
        <f>'1 datos preparados'!G903</f>
        <v/>
      </c>
      <c r="I910" s="7">
        <f>'1 datos preparados'!H903</f>
        <v/>
      </c>
      <c r="J910" s="7">
        <f>'1 datos preparados'!I903</f>
        <v/>
      </c>
      <c r="K910" s="7">
        <f>'1 datos preparados'!J903</f>
        <v/>
      </c>
      <c r="L910" s="7">
        <f>'1 datos preparados'!K903</f>
        <v/>
      </c>
      <c r="M910" s="7">
        <f>'1 datos preparados'!L903</f>
        <v/>
      </c>
      <c r="N910" s="7">
        <f>'1 datos preparados'!M903</f>
        <v/>
      </c>
      <c r="O910" s="7">
        <f>'1 datos preparados'!N903</f>
        <v/>
      </c>
      <c r="P910" s="7">
        <f>'1 datos preparados'!O903</f>
        <v/>
      </c>
      <c r="Q910" s="7">
        <f>'1 datos preparados'!P903</f>
        <v/>
      </c>
      <c r="R910" s="7">
        <f>'1 datos preparados'!Q903</f>
        <v/>
      </c>
      <c r="S910" s="7">
        <f>'1 datos preparados'!R903</f>
        <v/>
      </c>
      <c r="T910" s="7">
        <f>'1 datos preparados'!S903</f>
        <v/>
      </c>
      <c r="U910" s="7">
        <f>'1 datos preparados'!T903</f>
        <v/>
      </c>
      <c r="V910" s="8">
        <f>$AC$12+D910*$AC$13+E910*$AC$14+F910*$AC$15+G910*$AC$16+H910*$AC$17+I910*$AC$18+J910*$AC$19+K910*$AC$20+L910*$AC$21+M910*$AC$22+N910*$AC$23+O910*$AC$24+P910*$AC$25+Q910*$AC$26+R910*$AC$27+S910*$AC$28+T910*$AC$29+U910*$AC$30</f>
        <v/>
      </c>
      <c r="W910" s="8">
        <f>1/(1+EXP(-V910))</f>
        <v/>
      </c>
      <c r="X910" s="9">
        <f>-IF(C910=1,LN(W910),LN(1-W910))</f>
        <v/>
      </c>
      <c r="Y910" s="10">
        <f>IF(W910&gt;$AC$33,1,0)</f>
        <v/>
      </c>
      <c r="Z910">
        <f>IF(Y910=C910,1,0)</f>
        <v/>
      </c>
    </row>
    <row r="911">
      <c r="A911">
        <f>'1 datos preparados'!A904</f>
        <v/>
      </c>
      <c r="B911" s="5">
        <f>'1 datos preparados'!U904</f>
        <v/>
      </c>
      <c r="C911">
        <f>'1 datos preparados'!B904</f>
        <v/>
      </c>
      <c r="D911" s="7">
        <f>'1 datos preparados'!C904</f>
        <v/>
      </c>
      <c r="E911" s="7">
        <f>'1 datos preparados'!D904</f>
        <v/>
      </c>
      <c r="F911" s="7">
        <f>'1 datos preparados'!E904</f>
        <v/>
      </c>
      <c r="G911" s="7">
        <f>'1 datos preparados'!F904</f>
        <v/>
      </c>
      <c r="H911" s="7">
        <f>'1 datos preparados'!G904</f>
        <v/>
      </c>
      <c r="I911" s="7">
        <f>'1 datos preparados'!H904</f>
        <v/>
      </c>
      <c r="J911" s="7">
        <f>'1 datos preparados'!I904</f>
        <v/>
      </c>
      <c r="K911" s="7">
        <f>'1 datos preparados'!J904</f>
        <v/>
      </c>
      <c r="L911" s="7">
        <f>'1 datos preparados'!K904</f>
        <v/>
      </c>
      <c r="M911" s="7">
        <f>'1 datos preparados'!L904</f>
        <v/>
      </c>
      <c r="N911" s="7">
        <f>'1 datos preparados'!M904</f>
        <v/>
      </c>
      <c r="O911" s="7">
        <f>'1 datos preparados'!N904</f>
        <v/>
      </c>
      <c r="P911" s="7">
        <f>'1 datos preparados'!O904</f>
        <v/>
      </c>
      <c r="Q911" s="7">
        <f>'1 datos preparados'!P904</f>
        <v/>
      </c>
      <c r="R911" s="7">
        <f>'1 datos preparados'!Q904</f>
        <v/>
      </c>
      <c r="S911" s="7">
        <f>'1 datos preparados'!R904</f>
        <v/>
      </c>
      <c r="T911" s="7">
        <f>'1 datos preparados'!S904</f>
        <v/>
      </c>
      <c r="U911" s="7">
        <f>'1 datos preparados'!T904</f>
        <v/>
      </c>
      <c r="V911" s="8">
        <f>$AC$12+D911*$AC$13+E911*$AC$14+F911*$AC$15+G911*$AC$16+H911*$AC$17+I911*$AC$18+J911*$AC$19+K911*$AC$20+L911*$AC$21+M911*$AC$22+N911*$AC$23+O911*$AC$24+P911*$AC$25+Q911*$AC$26+R911*$AC$27+S911*$AC$28+T911*$AC$29+U911*$AC$30</f>
        <v/>
      </c>
      <c r="W911" s="8">
        <f>1/(1+EXP(-V911))</f>
        <v/>
      </c>
      <c r="X911" s="9">
        <f>-IF(C911=1,LN(W911),LN(1-W911))</f>
        <v/>
      </c>
      <c r="Y911" s="10">
        <f>IF(W911&gt;$AC$33,1,0)</f>
        <v/>
      </c>
      <c r="Z911">
        <f>IF(Y911=C911,1,0)</f>
        <v/>
      </c>
    </row>
    <row r="912">
      <c r="A912">
        <f>'1 datos preparados'!A905</f>
        <v/>
      </c>
      <c r="B912" s="5">
        <f>'1 datos preparados'!U905</f>
        <v/>
      </c>
      <c r="C912">
        <f>'1 datos preparados'!B905</f>
        <v/>
      </c>
      <c r="D912" s="7">
        <f>'1 datos preparados'!C905</f>
        <v/>
      </c>
      <c r="E912" s="7">
        <f>'1 datos preparados'!D905</f>
        <v/>
      </c>
      <c r="F912" s="7">
        <f>'1 datos preparados'!E905</f>
        <v/>
      </c>
      <c r="G912" s="7">
        <f>'1 datos preparados'!F905</f>
        <v/>
      </c>
      <c r="H912" s="7">
        <f>'1 datos preparados'!G905</f>
        <v/>
      </c>
      <c r="I912" s="7">
        <f>'1 datos preparados'!H905</f>
        <v/>
      </c>
      <c r="J912" s="7">
        <f>'1 datos preparados'!I905</f>
        <v/>
      </c>
      <c r="K912" s="7">
        <f>'1 datos preparados'!J905</f>
        <v/>
      </c>
      <c r="L912" s="7">
        <f>'1 datos preparados'!K905</f>
        <v/>
      </c>
      <c r="M912" s="7">
        <f>'1 datos preparados'!L905</f>
        <v/>
      </c>
      <c r="N912" s="7">
        <f>'1 datos preparados'!M905</f>
        <v/>
      </c>
      <c r="O912" s="7">
        <f>'1 datos preparados'!N905</f>
        <v/>
      </c>
      <c r="P912" s="7">
        <f>'1 datos preparados'!O905</f>
        <v/>
      </c>
      <c r="Q912" s="7">
        <f>'1 datos preparados'!P905</f>
        <v/>
      </c>
      <c r="R912" s="7">
        <f>'1 datos preparados'!Q905</f>
        <v/>
      </c>
      <c r="S912" s="7">
        <f>'1 datos preparados'!R905</f>
        <v/>
      </c>
      <c r="T912" s="7">
        <f>'1 datos preparados'!S905</f>
        <v/>
      </c>
      <c r="U912" s="7">
        <f>'1 datos preparados'!T905</f>
        <v/>
      </c>
      <c r="V912" s="8">
        <f>$AC$12+D912*$AC$13+E912*$AC$14+F912*$AC$15+G912*$AC$16+H912*$AC$17+I912*$AC$18+J912*$AC$19+K912*$AC$20+L912*$AC$21+M912*$AC$22+N912*$AC$23+O912*$AC$24+P912*$AC$25+Q912*$AC$26+R912*$AC$27+S912*$AC$28+T912*$AC$29+U912*$AC$30</f>
        <v/>
      </c>
      <c r="W912" s="8">
        <f>1/(1+EXP(-V912))</f>
        <v/>
      </c>
      <c r="X912" s="9">
        <f>-IF(C912=1,LN(W912),LN(1-W912))</f>
        <v/>
      </c>
      <c r="Y912" s="10">
        <f>IF(W912&gt;$AC$33,1,0)</f>
        <v/>
      </c>
      <c r="Z912">
        <f>IF(Y912=C912,1,0)</f>
        <v/>
      </c>
    </row>
    <row r="913">
      <c r="A913">
        <f>'1 datos preparados'!A906</f>
        <v/>
      </c>
      <c r="B913" s="5">
        <f>'1 datos preparados'!U906</f>
        <v/>
      </c>
      <c r="C913">
        <f>'1 datos preparados'!B906</f>
        <v/>
      </c>
      <c r="D913" s="7">
        <f>'1 datos preparados'!C906</f>
        <v/>
      </c>
      <c r="E913" s="7">
        <f>'1 datos preparados'!D906</f>
        <v/>
      </c>
      <c r="F913" s="7">
        <f>'1 datos preparados'!E906</f>
        <v/>
      </c>
      <c r="G913" s="7">
        <f>'1 datos preparados'!F906</f>
        <v/>
      </c>
      <c r="H913" s="7">
        <f>'1 datos preparados'!G906</f>
        <v/>
      </c>
      <c r="I913" s="7">
        <f>'1 datos preparados'!H906</f>
        <v/>
      </c>
      <c r="J913" s="7">
        <f>'1 datos preparados'!I906</f>
        <v/>
      </c>
      <c r="K913" s="7">
        <f>'1 datos preparados'!J906</f>
        <v/>
      </c>
      <c r="L913" s="7">
        <f>'1 datos preparados'!K906</f>
        <v/>
      </c>
      <c r="M913" s="7">
        <f>'1 datos preparados'!L906</f>
        <v/>
      </c>
      <c r="N913" s="7">
        <f>'1 datos preparados'!M906</f>
        <v/>
      </c>
      <c r="O913" s="7">
        <f>'1 datos preparados'!N906</f>
        <v/>
      </c>
      <c r="P913" s="7">
        <f>'1 datos preparados'!O906</f>
        <v/>
      </c>
      <c r="Q913" s="7">
        <f>'1 datos preparados'!P906</f>
        <v/>
      </c>
      <c r="R913" s="7">
        <f>'1 datos preparados'!Q906</f>
        <v/>
      </c>
      <c r="S913" s="7">
        <f>'1 datos preparados'!R906</f>
        <v/>
      </c>
      <c r="T913" s="7">
        <f>'1 datos preparados'!S906</f>
        <v/>
      </c>
      <c r="U913" s="7">
        <f>'1 datos preparados'!T906</f>
        <v/>
      </c>
      <c r="V913" s="8">
        <f>$AC$12+D913*$AC$13+E913*$AC$14+F913*$AC$15+G913*$AC$16+H913*$AC$17+I913*$AC$18+J913*$AC$19+K913*$AC$20+L913*$AC$21+M913*$AC$22+N913*$AC$23+O913*$AC$24+P913*$AC$25+Q913*$AC$26+R913*$AC$27+S913*$AC$28+T913*$AC$29+U913*$AC$30</f>
        <v/>
      </c>
      <c r="W913" s="8">
        <f>1/(1+EXP(-V913))</f>
        <v/>
      </c>
      <c r="X913" s="9">
        <f>-IF(C913=1,LN(W913),LN(1-W913))</f>
        <v/>
      </c>
      <c r="Y913" s="10">
        <f>IF(W913&gt;$AC$33,1,0)</f>
        <v/>
      </c>
      <c r="Z913">
        <f>IF(Y913=C913,1,0)</f>
        <v/>
      </c>
    </row>
    <row r="914">
      <c r="A914">
        <f>'1 datos preparados'!A907</f>
        <v/>
      </c>
      <c r="B914" s="5">
        <f>'1 datos preparados'!U907</f>
        <v/>
      </c>
      <c r="C914">
        <f>'1 datos preparados'!B907</f>
        <v/>
      </c>
      <c r="D914" s="7">
        <f>'1 datos preparados'!C907</f>
        <v/>
      </c>
      <c r="E914" s="7">
        <f>'1 datos preparados'!D907</f>
        <v/>
      </c>
      <c r="F914" s="7">
        <f>'1 datos preparados'!E907</f>
        <v/>
      </c>
      <c r="G914" s="7">
        <f>'1 datos preparados'!F907</f>
        <v/>
      </c>
      <c r="H914" s="7">
        <f>'1 datos preparados'!G907</f>
        <v/>
      </c>
      <c r="I914" s="7">
        <f>'1 datos preparados'!H907</f>
        <v/>
      </c>
      <c r="J914" s="7">
        <f>'1 datos preparados'!I907</f>
        <v/>
      </c>
      <c r="K914" s="7">
        <f>'1 datos preparados'!J907</f>
        <v/>
      </c>
      <c r="L914" s="7">
        <f>'1 datos preparados'!K907</f>
        <v/>
      </c>
      <c r="M914" s="7">
        <f>'1 datos preparados'!L907</f>
        <v/>
      </c>
      <c r="N914" s="7">
        <f>'1 datos preparados'!M907</f>
        <v/>
      </c>
      <c r="O914" s="7">
        <f>'1 datos preparados'!N907</f>
        <v/>
      </c>
      <c r="P914" s="7">
        <f>'1 datos preparados'!O907</f>
        <v/>
      </c>
      <c r="Q914" s="7">
        <f>'1 datos preparados'!P907</f>
        <v/>
      </c>
      <c r="R914" s="7">
        <f>'1 datos preparados'!Q907</f>
        <v/>
      </c>
      <c r="S914" s="7">
        <f>'1 datos preparados'!R907</f>
        <v/>
      </c>
      <c r="T914" s="7">
        <f>'1 datos preparados'!S907</f>
        <v/>
      </c>
      <c r="U914" s="7">
        <f>'1 datos preparados'!T907</f>
        <v/>
      </c>
      <c r="V914" s="8">
        <f>$AC$12+D914*$AC$13+E914*$AC$14+F914*$AC$15+G914*$AC$16+H914*$AC$17+I914*$AC$18+J914*$AC$19+K914*$AC$20+L914*$AC$21+M914*$AC$22+N914*$AC$23+O914*$AC$24+P914*$AC$25+Q914*$AC$26+R914*$AC$27+S914*$AC$28+T914*$AC$29+U914*$AC$30</f>
        <v/>
      </c>
      <c r="W914" s="8">
        <f>1/(1+EXP(-V914))</f>
        <v/>
      </c>
      <c r="X914" s="9">
        <f>-IF(C914=1,LN(W914),LN(1-W914))</f>
        <v/>
      </c>
      <c r="Y914" s="10">
        <f>IF(W914&gt;$AC$33,1,0)</f>
        <v/>
      </c>
      <c r="Z914">
        <f>IF(Y914=C914,1,0)</f>
        <v/>
      </c>
    </row>
    <row r="915">
      <c r="A915">
        <f>'1 datos preparados'!A908</f>
        <v/>
      </c>
      <c r="B915" s="5">
        <f>'1 datos preparados'!U908</f>
        <v/>
      </c>
      <c r="C915">
        <f>'1 datos preparados'!B908</f>
        <v/>
      </c>
      <c r="D915" s="7">
        <f>'1 datos preparados'!C908</f>
        <v/>
      </c>
      <c r="E915" s="7">
        <f>'1 datos preparados'!D908</f>
        <v/>
      </c>
      <c r="F915" s="7">
        <f>'1 datos preparados'!E908</f>
        <v/>
      </c>
      <c r="G915" s="7">
        <f>'1 datos preparados'!F908</f>
        <v/>
      </c>
      <c r="H915" s="7">
        <f>'1 datos preparados'!G908</f>
        <v/>
      </c>
      <c r="I915" s="7">
        <f>'1 datos preparados'!H908</f>
        <v/>
      </c>
      <c r="J915" s="7">
        <f>'1 datos preparados'!I908</f>
        <v/>
      </c>
      <c r="K915" s="7">
        <f>'1 datos preparados'!J908</f>
        <v/>
      </c>
      <c r="L915" s="7">
        <f>'1 datos preparados'!K908</f>
        <v/>
      </c>
      <c r="M915" s="7">
        <f>'1 datos preparados'!L908</f>
        <v/>
      </c>
      <c r="N915" s="7">
        <f>'1 datos preparados'!M908</f>
        <v/>
      </c>
      <c r="O915" s="7">
        <f>'1 datos preparados'!N908</f>
        <v/>
      </c>
      <c r="P915" s="7">
        <f>'1 datos preparados'!O908</f>
        <v/>
      </c>
      <c r="Q915" s="7">
        <f>'1 datos preparados'!P908</f>
        <v/>
      </c>
      <c r="R915" s="7">
        <f>'1 datos preparados'!Q908</f>
        <v/>
      </c>
      <c r="S915" s="7">
        <f>'1 datos preparados'!R908</f>
        <v/>
      </c>
      <c r="T915" s="7">
        <f>'1 datos preparados'!S908</f>
        <v/>
      </c>
      <c r="U915" s="7">
        <f>'1 datos preparados'!T908</f>
        <v/>
      </c>
      <c r="V915" s="8">
        <f>$AC$12+D915*$AC$13+E915*$AC$14+F915*$AC$15+G915*$AC$16+H915*$AC$17+I915*$AC$18+J915*$AC$19+K915*$AC$20+L915*$AC$21+M915*$AC$22+N915*$AC$23+O915*$AC$24+P915*$AC$25+Q915*$AC$26+R915*$AC$27+S915*$AC$28+T915*$AC$29+U915*$AC$30</f>
        <v/>
      </c>
      <c r="W915" s="8">
        <f>1/(1+EXP(-V915))</f>
        <v/>
      </c>
      <c r="X915" s="9">
        <f>-IF(C915=1,LN(W915),LN(1-W915))</f>
        <v/>
      </c>
      <c r="Y915" s="10">
        <f>IF(W915&gt;$AC$33,1,0)</f>
        <v/>
      </c>
      <c r="Z915">
        <f>IF(Y915=C915,1,0)</f>
        <v/>
      </c>
    </row>
    <row r="916">
      <c r="A916">
        <f>'1 datos preparados'!A909</f>
        <v/>
      </c>
      <c r="B916" s="5">
        <f>'1 datos preparados'!U909</f>
        <v/>
      </c>
      <c r="C916">
        <f>'1 datos preparados'!B909</f>
        <v/>
      </c>
      <c r="D916" s="7">
        <f>'1 datos preparados'!C909</f>
        <v/>
      </c>
      <c r="E916" s="7">
        <f>'1 datos preparados'!D909</f>
        <v/>
      </c>
      <c r="F916" s="7">
        <f>'1 datos preparados'!E909</f>
        <v/>
      </c>
      <c r="G916" s="7">
        <f>'1 datos preparados'!F909</f>
        <v/>
      </c>
      <c r="H916" s="7">
        <f>'1 datos preparados'!G909</f>
        <v/>
      </c>
      <c r="I916" s="7">
        <f>'1 datos preparados'!H909</f>
        <v/>
      </c>
      <c r="J916" s="7">
        <f>'1 datos preparados'!I909</f>
        <v/>
      </c>
      <c r="K916" s="7">
        <f>'1 datos preparados'!J909</f>
        <v/>
      </c>
      <c r="L916" s="7">
        <f>'1 datos preparados'!K909</f>
        <v/>
      </c>
      <c r="M916" s="7">
        <f>'1 datos preparados'!L909</f>
        <v/>
      </c>
      <c r="N916" s="7">
        <f>'1 datos preparados'!M909</f>
        <v/>
      </c>
      <c r="O916" s="7">
        <f>'1 datos preparados'!N909</f>
        <v/>
      </c>
      <c r="P916" s="7">
        <f>'1 datos preparados'!O909</f>
        <v/>
      </c>
      <c r="Q916" s="7">
        <f>'1 datos preparados'!P909</f>
        <v/>
      </c>
      <c r="R916" s="7">
        <f>'1 datos preparados'!Q909</f>
        <v/>
      </c>
      <c r="S916" s="7">
        <f>'1 datos preparados'!R909</f>
        <v/>
      </c>
      <c r="T916" s="7">
        <f>'1 datos preparados'!S909</f>
        <v/>
      </c>
      <c r="U916" s="7">
        <f>'1 datos preparados'!T909</f>
        <v/>
      </c>
      <c r="V916" s="8">
        <f>$AC$12+D916*$AC$13+E916*$AC$14+F916*$AC$15+G916*$AC$16+H916*$AC$17+I916*$AC$18+J916*$AC$19+K916*$AC$20+L916*$AC$21+M916*$AC$22+N916*$AC$23+O916*$AC$24+P916*$AC$25+Q916*$AC$26+R916*$AC$27+S916*$AC$28+T916*$AC$29+U916*$AC$30</f>
        <v/>
      </c>
      <c r="W916" s="8">
        <f>1/(1+EXP(-V916))</f>
        <v/>
      </c>
      <c r="X916" s="9">
        <f>-IF(C916=1,LN(W916),LN(1-W916))</f>
        <v/>
      </c>
      <c r="Y916" s="10">
        <f>IF(W916&gt;$AC$33,1,0)</f>
        <v/>
      </c>
      <c r="Z916">
        <f>IF(Y916=C916,1,0)</f>
        <v/>
      </c>
    </row>
    <row r="917">
      <c r="A917">
        <f>'1 datos preparados'!A910</f>
        <v/>
      </c>
      <c r="B917" s="5">
        <f>'1 datos preparados'!U910</f>
        <v/>
      </c>
      <c r="C917">
        <f>'1 datos preparados'!B910</f>
        <v/>
      </c>
      <c r="D917" s="7">
        <f>'1 datos preparados'!C910</f>
        <v/>
      </c>
      <c r="E917" s="7">
        <f>'1 datos preparados'!D910</f>
        <v/>
      </c>
      <c r="F917" s="7">
        <f>'1 datos preparados'!E910</f>
        <v/>
      </c>
      <c r="G917" s="7">
        <f>'1 datos preparados'!F910</f>
        <v/>
      </c>
      <c r="H917" s="7">
        <f>'1 datos preparados'!G910</f>
        <v/>
      </c>
      <c r="I917" s="7">
        <f>'1 datos preparados'!H910</f>
        <v/>
      </c>
      <c r="J917" s="7">
        <f>'1 datos preparados'!I910</f>
        <v/>
      </c>
      <c r="K917" s="7">
        <f>'1 datos preparados'!J910</f>
        <v/>
      </c>
      <c r="L917" s="7">
        <f>'1 datos preparados'!K910</f>
        <v/>
      </c>
      <c r="M917" s="7">
        <f>'1 datos preparados'!L910</f>
        <v/>
      </c>
      <c r="N917" s="7">
        <f>'1 datos preparados'!M910</f>
        <v/>
      </c>
      <c r="O917" s="7">
        <f>'1 datos preparados'!N910</f>
        <v/>
      </c>
      <c r="P917" s="7">
        <f>'1 datos preparados'!O910</f>
        <v/>
      </c>
      <c r="Q917" s="7">
        <f>'1 datos preparados'!P910</f>
        <v/>
      </c>
      <c r="R917" s="7">
        <f>'1 datos preparados'!Q910</f>
        <v/>
      </c>
      <c r="S917" s="7">
        <f>'1 datos preparados'!R910</f>
        <v/>
      </c>
      <c r="T917" s="7">
        <f>'1 datos preparados'!S910</f>
        <v/>
      </c>
      <c r="U917" s="7">
        <f>'1 datos preparados'!T910</f>
        <v/>
      </c>
      <c r="V917" s="8">
        <f>$AC$12+D917*$AC$13+E917*$AC$14+F917*$AC$15+G917*$AC$16+H917*$AC$17+I917*$AC$18+J917*$AC$19+K917*$AC$20+L917*$AC$21+M917*$AC$22+N917*$AC$23+O917*$AC$24+P917*$AC$25+Q917*$AC$26+R917*$AC$27+S917*$AC$28+T917*$AC$29+U917*$AC$30</f>
        <v/>
      </c>
      <c r="W917" s="8">
        <f>1/(1+EXP(-V917))</f>
        <v/>
      </c>
      <c r="X917" s="9">
        <f>-IF(C917=1,LN(W917),LN(1-W917))</f>
        <v/>
      </c>
      <c r="Y917" s="10">
        <f>IF(W917&gt;$AC$33,1,0)</f>
        <v/>
      </c>
      <c r="Z917">
        <f>IF(Y917=C917,1,0)</f>
        <v/>
      </c>
    </row>
    <row r="918">
      <c r="A918">
        <f>'1 datos preparados'!A911</f>
        <v/>
      </c>
      <c r="B918" s="5">
        <f>'1 datos preparados'!U911</f>
        <v/>
      </c>
      <c r="C918">
        <f>'1 datos preparados'!B911</f>
        <v/>
      </c>
      <c r="D918" s="7">
        <f>'1 datos preparados'!C911</f>
        <v/>
      </c>
      <c r="E918" s="7">
        <f>'1 datos preparados'!D911</f>
        <v/>
      </c>
      <c r="F918" s="7">
        <f>'1 datos preparados'!E911</f>
        <v/>
      </c>
      <c r="G918" s="7">
        <f>'1 datos preparados'!F911</f>
        <v/>
      </c>
      <c r="H918" s="7">
        <f>'1 datos preparados'!G911</f>
        <v/>
      </c>
      <c r="I918" s="7">
        <f>'1 datos preparados'!H911</f>
        <v/>
      </c>
      <c r="J918" s="7">
        <f>'1 datos preparados'!I911</f>
        <v/>
      </c>
      <c r="K918" s="7">
        <f>'1 datos preparados'!J911</f>
        <v/>
      </c>
      <c r="L918" s="7">
        <f>'1 datos preparados'!K911</f>
        <v/>
      </c>
      <c r="M918" s="7">
        <f>'1 datos preparados'!L911</f>
        <v/>
      </c>
      <c r="N918" s="7">
        <f>'1 datos preparados'!M911</f>
        <v/>
      </c>
      <c r="O918" s="7">
        <f>'1 datos preparados'!N911</f>
        <v/>
      </c>
      <c r="P918" s="7">
        <f>'1 datos preparados'!O911</f>
        <v/>
      </c>
      <c r="Q918" s="7">
        <f>'1 datos preparados'!P911</f>
        <v/>
      </c>
      <c r="R918" s="7">
        <f>'1 datos preparados'!Q911</f>
        <v/>
      </c>
      <c r="S918" s="7">
        <f>'1 datos preparados'!R911</f>
        <v/>
      </c>
      <c r="T918" s="7">
        <f>'1 datos preparados'!S911</f>
        <v/>
      </c>
      <c r="U918" s="7">
        <f>'1 datos preparados'!T911</f>
        <v/>
      </c>
      <c r="V918" s="8">
        <f>$AC$12+D918*$AC$13+E918*$AC$14+F918*$AC$15+G918*$AC$16+H918*$AC$17+I918*$AC$18+J918*$AC$19+K918*$AC$20+L918*$AC$21+M918*$AC$22+N918*$AC$23+O918*$AC$24+P918*$AC$25+Q918*$AC$26+R918*$AC$27+S918*$AC$28+T918*$AC$29+U918*$AC$30</f>
        <v/>
      </c>
      <c r="W918" s="8">
        <f>1/(1+EXP(-V918))</f>
        <v/>
      </c>
      <c r="X918" s="9">
        <f>-IF(C918=1,LN(W918),LN(1-W918))</f>
        <v/>
      </c>
      <c r="Y918" s="10">
        <f>IF(W918&gt;$AC$33,1,0)</f>
        <v/>
      </c>
      <c r="Z918">
        <f>IF(Y918=C918,1,0)</f>
        <v/>
      </c>
    </row>
    <row r="919">
      <c r="A919">
        <f>'1 datos preparados'!A912</f>
        <v/>
      </c>
      <c r="B919" s="5">
        <f>'1 datos preparados'!U912</f>
        <v/>
      </c>
      <c r="C919">
        <f>'1 datos preparados'!B912</f>
        <v/>
      </c>
      <c r="D919" s="7">
        <f>'1 datos preparados'!C912</f>
        <v/>
      </c>
      <c r="E919" s="7">
        <f>'1 datos preparados'!D912</f>
        <v/>
      </c>
      <c r="F919" s="7">
        <f>'1 datos preparados'!E912</f>
        <v/>
      </c>
      <c r="G919" s="7">
        <f>'1 datos preparados'!F912</f>
        <v/>
      </c>
      <c r="H919" s="7">
        <f>'1 datos preparados'!G912</f>
        <v/>
      </c>
      <c r="I919" s="7">
        <f>'1 datos preparados'!H912</f>
        <v/>
      </c>
      <c r="J919" s="7">
        <f>'1 datos preparados'!I912</f>
        <v/>
      </c>
      <c r="K919" s="7">
        <f>'1 datos preparados'!J912</f>
        <v/>
      </c>
      <c r="L919" s="7">
        <f>'1 datos preparados'!K912</f>
        <v/>
      </c>
      <c r="M919" s="7">
        <f>'1 datos preparados'!L912</f>
        <v/>
      </c>
      <c r="N919" s="7">
        <f>'1 datos preparados'!M912</f>
        <v/>
      </c>
      <c r="O919" s="7">
        <f>'1 datos preparados'!N912</f>
        <v/>
      </c>
      <c r="P919" s="7">
        <f>'1 datos preparados'!O912</f>
        <v/>
      </c>
      <c r="Q919" s="7">
        <f>'1 datos preparados'!P912</f>
        <v/>
      </c>
      <c r="R919" s="7">
        <f>'1 datos preparados'!Q912</f>
        <v/>
      </c>
      <c r="S919" s="7">
        <f>'1 datos preparados'!R912</f>
        <v/>
      </c>
      <c r="T919" s="7">
        <f>'1 datos preparados'!S912</f>
        <v/>
      </c>
      <c r="U919" s="7">
        <f>'1 datos preparados'!T912</f>
        <v/>
      </c>
      <c r="V919" s="8">
        <f>$AC$12+D919*$AC$13+E919*$AC$14+F919*$AC$15+G919*$AC$16+H919*$AC$17+I919*$AC$18+J919*$AC$19+K919*$AC$20+L919*$AC$21+M919*$AC$22+N919*$AC$23+O919*$AC$24+P919*$AC$25+Q919*$AC$26+R919*$AC$27+S919*$AC$28+T919*$AC$29+U919*$AC$30</f>
        <v/>
      </c>
      <c r="W919" s="8">
        <f>1/(1+EXP(-V919))</f>
        <v/>
      </c>
      <c r="X919" s="9">
        <f>-IF(C919=1,LN(W919),LN(1-W919))</f>
        <v/>
      </c>
      <c r="Y919" s="10">
        <f>IF(W919&gt;$AC$33,1,0)</f>
        <v/>
      </c>
      <c r="Z919">
        <f>IF(Y919=C919,1,0)</f>
        <v/>
      </c>
    </row>
    <row r="920">
      <c r="A920">
        <f>'1 datos preparados'!A913</f>
        <v/>
      </c>
      <c r="B920" s="5">
        <f>'1 datos preparados'!U913</f>
        <v/>
      </c>
      <c r="C920">
        <f>'1 datos preparados'!B913</f>
        <v/>
      </c>
      <c r="D920" s="7">
        <f>'1 datos preparados'!C913</f>
        <v/>
      </c>
      <c r="E920" s="7">
        <f>'1 datos preparados'!D913</f>
        <v/>
      </c>
      <c r="F920" s="7">
        <f>'1 datos preparados'!E913</f>
        <v/>
      </c>
      <c r="G920" s="7">
        <f>'1 datos preparados'!F913</f>
        <v/>
      </c>
      <c r="H920" s="7">
        <f>'1 datos preparados'!G913</f>
        <v/>
      </c>
      <c r="I920" s="7">
        <f>'1 datos preparados'!H913</f>
        <v/>
      </c>
      <c r="J920" s="7">
        <f>'1 datos preparados'!I913</f>
        <v/>
      </c>
      <c r="K920" s="7">
        <f>'1 datos preparados'!J913</f>
        <v/>
      </c>
      <c r="L920" s="7">
        <f>'1 datos preparados'!K913</f>
        <v/>
      </c>
      <c r="M920" s="7">
        <f>'1 datos preparados'!L913</f>
        <v/>
      </c>
      <c r="N920" s="7">
        <f>'1 datos preparados'!M913</f>
        <v/>
      </c>
      <c r="O920" s="7">
        <f>'1 datos preparados'!N913</f>
        <v/>
      </c>
      <c r="P920" s="7">
        <f>'1 datos preparados'!O913</f>
        <v/>
      </c>
      <c r="Q920" s="7">
        <f>'1 datos preparados'!P913</f>
        <v/>
      </c>
      <c r="R920" s="7">
        <f>'1 datos preparados'!Q913</f>
        <v/>
      </c>
      <c r="S920" s="7">
        <f>'1 datos preparados'!R913</f>
        <v/>
      </c>
      <c r="T920" s="7">
        <f>'1 datos preparados'!S913</f>
        <v/>
      </c>
      <c r="U920" s="7">
        <f>'1 datos preparados'!T913</f>
        <v/>
      </c>
      <c r="V920" s="8">
        <f>$AC$12+D920*$AC$13+E920*$AC$14+F920*$AC$15+G920*$AC$16+H920*$AC$17+I920*$AC$18+J920*$AC$19+K920*$AC$20+L920*$AC$21+M920*$AC$22+N920*$AC$23+O920*$AC$24+P920*$AC$25+Q920*$AC$26+R920*$AC$27+S920*$AC$28+T920*$AC$29+U920*$AC$30</f>
        <v/>
      </c>
      <c r="W920" s="8">
        <f>1/(1+EXP(-V920))</f>
        <v/>
      </c>
      <c r="X920" s="9">
        <f>-IF(C920=1,LN(W920),LN(1-W920))</f>
        <v/>
      </c>
      <c r="Y920" s="10">
        <f>IF(W920&gt;$AC$33,1,0)</f>
        <v/>
      </c>
      <c r="Z920">
        <f>IF(Y920=C920,1,0)</f>
        <v/>
      </c>
    </row>
    <row r="921">
      <c r="A921">
        <f>'1 datos preparados'!A914</f>
        <v/>
      </c>
      <c r="B921" s="5">
        <f>'1 datos preparados'!U914</f>
        <v/>
      </c>
      <c r="C921">
        <f>'1 datos preparados'!B914</f>
        <v/>
      </c>
      <c r="D921" s="7">
        <f>'1 datos preparados'!C914</f>
        <v/>
      </c>
      <c r="E921" s="7">
        <f>'1 datos preparados'!D914</f>
        <v/>
      </c>
      <c r="F921" s="7">
        <f>'1 datos preparados'!E914</f>
        <v/>
      </c>
      <c r="G921" s="7">
        <f>'1 datos preparados'!F914</f>
        <v/>
      </c>
      <c r="H921" s="7">
        <f>'1 datos preparados'!G914</f>
        <v/>
      </c>
      <c r="I921" s="7">
        <f>'1 datos preparados'!H914</f>
        <v/>
      </c>
      <c r="J921" s="7">
        <f>'1 datos preparados'!I914</f>
        <v/>
      </c>
      <c r="K921" s="7">
        <f>'1 datos preparados'!J914</f>
        <v/>
      </c>
      <c r="L921" s="7">
        <f>'1 datos preparados'!K914</f>
        <v/>
      </c>
      <c r="M921" s="7">
        <f>'1 datos preparados'!L914</f>
        <v/>
      </c>
      <c r="N921" s="7">
        <f>'1 datos preparados'!M914</f>
        <v/>
      </c>
      <c r="O921" s="7">
        <f>'1 datos preparados'!N914</f>
        <v/>
      </c>
      <c r="P921" s="7">
        <f>'1 datos preparados'!O914</f>
        <v/>
      </c>
      <c r="Q921" s="7">
        <f>'1 datos preparados'!P914</f>
        <v/>
      </c>
      <c r="R921" s="7">
        <f>'1 datos preparados'!Q914</f>
        <v/>
      </c>
      <c r="S921" s="7">
        <f>'1 datos preparados'!R914</f>
        <v/>
      </c>
      <c r="T921" s="7">
        <f>'1 datos preparados'!S914</f>
        <v/>
      </c>
      <c r="U921" s="7">
        <f>'1 datos preparados'!T914</f>
        <v/>
      </c>
      <c r="V921" s="8">
        <f>$AC$12+D921*$AC$13+E921*$AC$14+F921*$AC$15+G921*$AC$16+H921*$AC$17+I921*$AC$18+J921*$AC$19+K921*$AC$20+L921*$AC$21+M921*$AC$22+N921*$AC$23+O921*$AC$24+P921*$AC$25+Q921*$AC$26+R921*$AC$27+S921*$AC$28+T921*$AC$29+U921*$AC$30</f>
        <v/>
      </c>
      <c r="W921" s="8">
        <f>1/(1+EXP(-V921))</f>
        <v/>
      </c>
      <c r="X921" s="9">
        <f>-IF(C921=1,LN(W921),LN(1-W921))</f>
        <v/>
      </c>
      <c r="Y921" s="10">
        <f>IF(W921&gt;$AC$33,1,0)</f>
        <v/>
      </c>
      <c r="Z921">
        <f>IF(Y921=C921,1,0)</f>
        <v/>
      </c>
    </row>
    <row r="922">
      <c r="A922">
        <f>'1 datos preparados'!A915</f>
        <v/>
      </c>
      <c r="B922" s="5">
        <f>'1 datos preparados'!U915</f>
        <v/>
      </c>
      <c r="C922">
        <f>'1 datos preparados'!B915</f>
        <v/>
      </c>
      <c r="D922" s="7">
        <f>'1 datos preparados'!C915</f>
        <v/>
      </c>
      <c r="E922" s="7">
        <f>'1 datos preparados'!D915</f>
        <v/>
      </c>
      <c r="F922" s="7">
        <f>'1 datos preparados'!E915</f>
        <v/>
      </c>
      <c r="G922" s="7">
        <f>'1 datos preparados'!F915</f>
        <v/>
      </c>
      <c r="H922" s="7">
        <f>'1 datos preparados'!G915</f>
        <v/>
      </c>
      <c r="I922" s="7">
        <f>'1 datos preparados'!H915</f>
        <v/>
      </c>
      <c r="J922" s="7">
        <f>'1 datos preparados'!I915</f>
        <v/>
      </c>
      <c r="K922" s="7">
        <f>'1 datos preparados'!J915</f>
        <v/>
      </c>
      <c r="L922" s="7">
        <f>'1 datos preparados'!K915</f>
        <v/>
      </c>
      <c r="M922" s="7">
        <f>'1 datos preparados'!L915</f>
        <v/>
      </c>
      <c r="N922" s="7">
        <f>'1 datos preparados'!M915</f>
        <v/>
      </c>
      <c r="O922" s="7">
        <f>'1 datos preparados'!N915</f>
        <v/>
      </c>
      <c r="P922" s="7">
        <f>'1 datos preparados'!O915</f>
        <v/>
      </c>
      <c r="Q922" s="7">
        <f>'1 datos preparados'!P915</f>
        <v/>
      </c>
      <c r="R922" s="7">
        <f>'1 datos preparados'!Q915</f>
        <v/>
      </c>
      <c r="S922" s="7">
        <f>'1 datos preparados'!R915</f>
        <v/>
      </c>
      <c r="T922" s="7">
        <f>'1 datos preparados'!S915</f>
        <v/>
      </c>
      <c r="U922" s="7">
        <f>'1 datos preparados'!T915</f>
        <v/>
      </c>
      <c r="V922" s="8">
        <f>$AC$12+D922*$AC$13+E922*$AC$14+F922*$AC$15+G922*$AC$16+H922*$AC$17+I922*$AC$18+J922*$AC$19+K922*$AC$20+L922*$AC$21+M922*$AC$22+N922*$AC$23+O922*$AC$24+P922*$AC$25+Q922*$AC$26+R922*$AC$27+S922*$AC$28+T922*$AC$29+U922*$AC$30</f>
        <v/>
      </c>
      <c r="W922" s="8">
        <f>1/(1+EXP(-V922))</f>
        <v/>
      </c>
      <c r="X922" s="9">
        <f>-IF(C922=1,LN(W922),LN(1-W922))</f>
        <v/>
      </c>
      <c r="Y922" s="10">
        <f>IF(W922&gt;$AC$33,1,0)</f>
        <v/>
      </c>
      <c r="Z922">
        <f>IF(Y922=C922,1,0)</f>
        <v/>
      </c>
    </row>
    <row r="923">
      <c r="A923">
        <f>'1 datos preparados'!A916</f>
        <v/>
      </c>
      <c r="B923" s="5">
        <f>'1 datos preparados'!U916</f>
        <v/>
      </c>
      <c r="C923">
        <f>'1 datos preparados'!B916</f>
        <v/>
      </c>
      <c r="D923" s="7">
        <f>'1 datos preparados'!C916</f>
        <v/>
      </c>
      <c r="E923" s="7">
        <f>'1 datos preparados'!D916</f>
        <v/>
      </c>
      <c r="F923" s="7">
        <f>'1 datos preparados'!E916</f>
        <v/>
      </c>
      <c r="G923" s="7">
        <f>'1 datos preparados'!F916</f>
        <v/>
      </c>
      <c r="H923" s="7">
        <f>'1 datos preparados'!G916</f>
        <v/>
      </c>
      <c r="I923" s="7">
        <f>'1 datos preparados'!H916</f>
        <v/>
      </c>
      <c r="J923" s="7">
        <f>'1 datos preparados'!I916</f>
        <v/>
      </c>
      <c r="K923" s="7">
        <f>'1 datos preparados'!J916</f>
        <v/>
      </c>
      <c r="L923" s="7">
        <f>'1 datos preparados'!K916</f>
        <v/>
      </c>
      <c r="M923" s="7">
        <f>'1 datos preparados'!L916</f>
        <v/>
      </c>
      <c r="N923" s="7">
        <f>'1 datos preparados'!M916</f>
        <v/>
      </c>
      <c r="O923" s="7">
        <f>'1 datos preparados'!N916</f>
        <v/>
      </c>
      <c r="P923" s="7">
        <f>'1 datos preparados'!O916</f>
        <v/>
      </c>
      <c r="Q923" s="7">
        <f>'1 datos preparados'!P916</f>
        <v/>
      </c>
      <c r="R923" s="7">
        <f>'1 datos preparados'!Q916</f>
        <v/>
      </c>
      <c r="S923" s="7">
        <f>'1 datos preparados'!R916</f>
        <v/>
      </c>
      <c r="T923" s="7">
        <f>'1 datos preparados'!S916</f>
        <v/>
      </c>
      <c r="U923" s="7">
        <f>'1 datos preparados'!T916</f>
        <v/>
      </c>
      <c r="V923" s="8">
        <f>$AC$12+D923*$AC$13+E923*$AC$14+F923*$AC$15+G923*$AC$16+H923*$AC$17+I923*$AC$18+J923*$AC$19+K923*$AC$20+L923*$AC$21+M923*$AC$22+N923*$AC$23+O923*$AC$24+P923*$AC$25+Q923*$AC$26+R923*$AC$27+S923*$AC$28+T923*$AC$29+U923*$AC$30</f>
        <v/>
      </c>
      <c r="W923" s="8">
        <f>1/(1+EXP(-V923))</f>
        <v/>
      </c>
      <c r="X923" s="9">
        <f>-IF(C923=1,LN(W923),LN(1-W923))</f>
        <v/>
      </c>
      <c r="Y923" s="10">
        <f>IF(W923&gt;$AC$33,1,0)</f>
        <v/>
      </c>
      <c r="Z923">
        <f>IF(Y923=C923,1,0)</f>
        <v/>
      </c>
    </row>
    <row r="924">
      <c r="A924">
        <f>'1 datos preparados'!A917</f>
        <v/>
      </c>
      <c r="B924" s="5">
        <f>'1 datos preparados'!U917</f>
        <v/>
      </c>
      <c r="C924">
        <f>'1 datos preparados'!B917</f>
        <v/>
      </c>
      <c r="D924" s="7">
        <f>'1 datos preparados'!C917</f>
        <v/>
      </c>
      <c r="E924" s="7">
        <f>'1 datos preparados'!D917</f>
        <v/>
      </c>
      <c r="F924" s="7">
        <f>'1 datos preparados'!E917</f>
        <v/>
      </c>
      <c r="G924" s="7">
        <f>'1 datos preparados'!F917</f>
        <v/>
      </c>
      <c r="H924" s="7">
        <f>'1 datos preparados'!G917</f>
        <v/>
      </c>
      <c r="I924" s="7">
        <f>'1 datos preparados'!H917</f>
        <v/>
      </c>
      <c r="J924" s="7">
        <f>'1 datos preparados'!I917</f>
        <v/>
      </c>
      <c r="K924" s="7">
        <f>'1 datos preparados'!J917</f>
        <v/>
      </c>
      <c r="L924" s="7">
        <f>'1 datos preparados'!K917</f>
        <v/>
      </c>
      <c r="M924" s="7">
        <f>'1 datos preparados'!L917</f>
        <v/>
      </c>
      <c r="N924" s="7">
        <f>'1 datos preparados'!M917</f>
        <v/>
      </c>
      <c r="O924" s="7">
        <f>'1 datos preparados'!N917</f>
        <v/>
      </c>
      <c r="P924" s="7">
        <f>'1 datos preparados'!O917</f>
        <v/>
      </c>
      <c r="Q924" s="7">
        <f>'1 datos preparados'!P917</f>
        <v/>
      </c>
      <c r="R924" s="7">
        <f>'1 datos preparados'!Q917</f>
        <v/>
      </c>
      <c r="S924" s="7">
        <f>'1 datos preparados'!R917</f>
        <v/>
      </c>
      <c r="T924" s="7">
        <f>'1 datos preparados'!S917</f>
        <v/>
      </c>
      <c r="U924" s="7">
        <f>'1 datos preparados'!T917</f>
        <v/>
      </c>
      <c r="V924" s="8">
        <f>$AC$12+D924*$AC$13+E924*$AC$14+F924*$AC$15+G924*$AC$16+H924*$AC$17+I924*$AC$18+J924*$AC$19+K924*$AC$20+L924*$AC$21+M924*$AC$22+N924*$AC$23+O924*$AC$24+P924*$AC$25+Q924*$AC$26+R924*$AC$27+S924*$AC$28+T924*$AC$29+U924*$AC$30</f>
        <v/>
      </c>
      <c r="W924" s="8">
        <f>1/(1+EXP(-V924))</f>
        <v/>
      </c>
      <c r="X924" s="9">
        <f>-IF(C924=1,LN(W924),LN(1-W924))</f>
        <v/>
      </c>
      <c r="Y924" s="10">
        <f>IF(W924&gt;$AC$33,1,0)</f>
        <v/>
      </c>
      <c r="Z924">
        <f>IF(Y924=C924,1,0)</f>
        <v/>
      </c>
    </row>
    <row r="925">
      <c r="A925">
        <f>'1 datos preparados'!A918</f>
        <v/>
      </c>
      <c r="B925" s="5">
        <f>'1 datos preparados'!U918</f>
        <v/>
      </c>
      <c r="C925">
        <f>'1 datos preparados'!B918</f>
        <v/>
      </c>
      <c r="D925" s="7">
        <f>'1 datos preparados'!C918</f>
        <v/>
      </c>
      <c r="E925" s="7">
        <f>'1 datos preparados'!D918</f>
        <v/>
      </c>
      <c r="F925" s="7">
        <f>'1 datos preparados'!E918</f>
        <v/>
      </c>
      <c r="G925" s="7">
        <f>'1 datos preparados'!F918</f>
        <v/>
      </c>
      <c r="H925" s="7">
        <f>'1 datos preparados'!G918</f>
        <v/>
      </c>
      <c r="I925" s="7">
        <f>'1 datos preparados'!H918</f>
        <v/>
      </c>
      <c r="J925" s="7">
        <f>'1 datos preparados'!I918</f>
        <v/>
      </c>
      <c r="K925" s="7">
        <f>'1 datos preparados'!J918</f>
        <v/>
      </c>
      <c r="L925" s="7">
        <f>'1 datos preparados'!K918</f>
        <v/>
      </c>
      <c r="M925" s="7">
        <f>'1 datos preparados'!L918</f>
        <v/>
      </c>
      <c r="N925" s="7">
        <f>'1 datos preparados'!M918</f>
        <v/>
      </c>
      <c r="O925" s="7">
        <f>'1 datos preparados'!N918</f>
        <v/>
      </c>
      <c r="P925" s="7">
        <f>'1 datos preparados'!O918</f>
        <v/>
      </c>
      <c r="Q925" s="7">
        <f>'1 datos preparados'!P918</f>
        <v/>
      </c>
      <c r="R925" s="7">
        <f>'1 datos preparados'!Q918</f>
        <v/>
      </c>
      <c r="S925" s="7">
        <f>'1 datos preparados'!R918</f>
        <v/>
      </c>
      <c r="T925" s="7">
        <f>'1 datos preparados'!S918</f>
        <v/>
      </c>
      <c r="U925" s="7">
        <f>'1 datos preparados'!T918</f>
        <v/>
      </c>
      <c r="V925" s="8">
        <f>$AC$12+D925*$AC$13+E925*$AC$14+F925*$AC$15+G925*$AC$16+H925*$AC$17+I925*$AC$18+J925*$AC$19+K925*$AC$20+L925*$AC$21+M925*$AC$22+N925*$AC$23+O925*$AC$24+P925*$AC$25+Q925*$AC$26+R925*$AC$27+S925*$AC$28+T925*$AC$29+U925*$AC$30</f>
        <v/>
      </c>
      <c r="W925" s="8">
        <f>1/(1+EXP(-V925))</f>
        <v/>
      </c>
      <c r="X925" s="9">
        <f>-IF(C925=1,LN(W925),LN(1-W925))</f>
        <v/>
      </c>
      <c r="Y925" s="10">
        <f>IF(W925&gt;$AC$33,1,0)</f>
        <v/>
      </c>
      <c r="Z925">
        <f>IF(Y925=C925,1,0)</f>
        <v/>
      </c>
    </row>
    <row r="926">
      <c r="A926">
        <f>'1 datos preparados'!A919</f>
        <v/>
      </c>
      <c r="B926" s="5">
        <f>'1 datos preparados'!U919</f>
        <v/>
      </c>
      <c r="C926">
        <f>'1 datos preparados'!B919</f>
        <v/>
      </c>
      <c r="D926" s="7">
        <f>'1 datos preparados'!C919</f>
        <v/>
      </c>
      <c r="E926" s="7">
        <f>'1 datos preparados'!D919</f>
        <v/>
      </c>
      <c r="F926" s="7">
        <f>'1 datos preparados'!E919</f>
        <v/>
      </c>
      <c r="G926" s="7">
        <f>'1 datos preparados'!F919</f>
        <v/>
      </c>
      <c r="H926" s="7">
        <f>'1 datos preparados'!G919</f>
        <v/>
      </c>
      <c r="I926" s="7">
        <f>'1 datos preparados'!H919</f>
        <v/>
      </c>
      <c r="J926" s="7">
        <f>'1 datos preparados'!I919</f>
        <v/>
      </c>
      <c r="K926" s="7">
        <f>'1 datos preparados'!J919</f>
        <v/>
      </c>
      <c r="L926" s="7">
        <f>'1 datos preparados'!K919</f>
        <v/>
      </c>
      <c r="M926" s="7">
        <f>'1 datos preparados'!L919</f>
        <v/>
      </c>
      <c r="N926" s="7">
        <f>'1 datos preparados'!M919</f>
        <v/>
      </c>
      <c r="O926" s="7">
        <f>'1 datos preparados'!N919</f>
        <v/>
      </c>
      <c r="P926" s="7">
        <f>'1 datos preparados'!O919</f>
        <v/>
      </c>
      <c r="Q926" s="7">
        <f>'1 datos preparados'!P919</f>
        <v/>
      </c>
      <c r="R926" s="7">
        <f>'1 datos preparados'!Q919</f>
        <v/>
      </c>
      <c r="S926" s="7">
        <f>'1 datos preparados'!R919</f>
        <v/>
      </c>
      <c r="T926" s="7">
        <f>'1 datos preparados'!S919</f>
        <v/>
      </c>
      <c r="U926" s="7">
        <f>'1 datos preparados'!T919</f>
        <v/>
      </c>
      <c r="V926" s="8">
        <f>$AC$12+D926*$AC$13+E926*$AC$14+F926*$AC$15+G926*$AC$16+H926*$AC$17+I926*$AC$18+J926*$AC$19+K926*$AC$20+L926*$AC$21+M926*$AC$22+N926*$AC$23+O926*$AC$24+P926*$AC$25+Q926*$AC$26+R926*$AC$27+S926*$AC$28+T926*$AC$29+U926*$AC$30</f>
        <v/>
      </c>
      <c r="W926" s="8">
        <f>1/(1+EXP(-V926))</f>
        <v/>
      </c>
      <c r="X926" s="9">
        <f>-IF(C926=1,LN(W926),LN(1-W926))</f>
        <v/>
      </c>
      <c r="Y926" s="10">
        <f>IF(W926&gt;$AC$33,1,0)</f>
        <v/>
      </c>
      <c r="Z926">
        <f>IF(Y926=C926,1,0)</f>
        <v/>
      </c>
    </row>
    <row r="927">
      <c r="A927">
        <f>'1 datos preparados'!A920</f>
        <v/>
      </c>
      <c r="B927" s="5">
        <f>'1 datos preparados'!U920</f>
        <v/>
      </c>
      <c r="C927">
        <f>'1 datos preparados'!B920</f>
        <v/>
      </c>
      <c r="D927" s="7">
        <f>'1 datos preparados'!C920</f>
        <v/>
      </c>
      <c r="E927" s="7">
        <f>'1 datos preparados'!D920</f>
        <v/>
      </c>
      <c r="F927" s="7">
        <f>'1 datos preparados'!E920</f>
        <v/>
      </c>
      <c r="G927" s="7">
        <f>'1 datos preparados'!F920</f>
        <v/>
      </c>
      <c r="H927" s="7">
        <f>'1 datos preparados'!G920</f>
        <v/>
      </c>
      <c r="I927" s="7">
        <f>'1 datos preparados'!H920</f>
        <v/>
      </c>
      <c r="J927" s="7">
        <f>'1 datos preparados'!I920</f>
        <v/>
      </c>
      <c r="K927" s="7">
        <f>'1 datos preparados'!J920</f>
        <v/>
      </c>
      <c r="L927" s="7">
        <f>'1 datos preparados'!K920</f>
        <v/>
      </c>
      <c r="M927" s="7">
        <f>'1 datos preparados'!L920</f>
        <v/>
      </c>
      <c r="N927" s="7">
        <f>'1 datos preparados'!M920</f>
        <v/>
      </c>
      <c r="O927" s="7">
        <f>'1 datos preparados'!N920</f>
        <v/>
      </c>
      <c r="P927" s="7">
        <f>'1 datos preparados'!O920</f>
        <v/>
      </c>
      <c r="Q927" s="7">
        <f>'1 datos preparados'!P920</f>
        <v/>
      </c>
      <c r="R927" s="7">
        <f>'1 datos preparados'!Q920</f>
        <v/>
      </c>
      <c r="S927" s="7">
        <f>'1 datos preparados'!R920</f>
        <v/>
      </c>
      <c r="T927" s="7">
        <f>'1 datos preparados'!S920</f>
        <v/>
      </c>
      <c r="U927" s="7">
        <f>'1 datos preparados'!T920</f>
        <v/>
      </c>
      <c r="V927" s="8">
        <f>$AC$12+D927*$AC$13+E927*$AC$14+F927*$AC$15+G927*$AC$16+H927*$AC$17+I927*$AC$18+J927*$AC$19+K927*$AC$20+L927*$AC$21+M927*$AC$22+N927*$AC$23+O927*$AC$24+P927*$AC$25+Q927*$AC$26+R927*$AC$27+S927*$AC$28+T927*$AC$29+U927*$AC$30</f>
        <v/>
      </c>
      <c r="W927" s="8">
        <f>1/(1+EXP(-V927))</f>
        <v/>
      </c>
      <c r="X927" s="9">
        <f>-IF(C927=1,LN(W927),LN(1-W927))</f>
        <v/>
      </c>
      <c r="Y927" s="10">
        <f>IF(W927&gt;$AC$33,1,0)</f>
        <v/>
      </c>
      <c r="Z927">
        <f>IF(Y927=C927,1,0)</f>
        <v/>
      </c>
    </row>
    <row r="928">
      <c r="A928">
        <f>'1 datos preparados'!A921</f>
        <v/>
      </c>
      <c r="B928" s="5">
        <f>'1 datos preparados'!U921</f>
        <v/>
      </c>
      <c r="C928">
        <f>'1 datos preparados'!B921</f>
        <v/>
      </c>
      <c r="D928" s="7">
        <f>'1 datos preparados'!C921</f>
        <v/>
      </c>
      <c r="E928" s="7">
        <f>'1 datos preparados'!D921</f>
        <v/>
      </c>
      <c r="F928" s="7">
        <f>'1 datos preparados'!E921</f>
        <v/>
      </c>
      <c r="G928" s="7">
        <f>'1 datos preparados'!F921</f>
        <v/>
      </c>
      <c r="H928" s="7">
        <f>'1 datos preparados'!G921</f>
        <v/>
      </c>
      <c r="I928" s="7">
        <f>'1 datos preparados'!H921</f>
        <v/>
      </c>
      <c r="J928" s="7">
        <f>'1 datos preparados'!I921</f>
        <v/>
      </c>
      <c r="K928" s="7">
        <f>'1 datos preparados'!J921</f>
        <v/>
      </c>
      <c r="L928" s="7">
        <f>'1 datos preparados'!K921</f>
        <v/>
      </c>
      <c r="M928" s="7">
        <f>'1 datos preparados'!L921</f>
        <v/>
      </c>
      <c r="N928" s="7">
        <f>'1 datos preparados'!M921</f>
        <v/>
      </c>
      <c r="O928" s="7">
        <f>'1 datos preparados'!N921</f>
        <v/>
      </c>
      <c r="P928" s="7">
        <f>'1 datos preparados'!O921</f>
        <v/>
      </c>
      <c r="Q928" s="7">
        <f>'1 datos preparados'!P921</f>
        <v/>
      </c>
      <c r="R928" s="7">
        <f>'1 datos preparados'!Q921</f>
        <v/>
      </c>
      <c r="S928" s="7">
        <f>'1 datos preparados'!R921</f>
        <v/>
      </c>
      <c r="T928" s="7">
        <f>'1 datos preparados'!S921</f>
        <v/>
      </c>
      <c r="U928" s="7">
        <f>'1 datos preparados'!T921</f>
        <v/>
      </c>
      <c r="V928" s="8">
        <f>$AC$12+D928*$AC$13+E928*$AC$14+F928*$AC$15+G928*$AC$16+H928*$AC$17+I928*$AC$18+J928*$AC$19+K928*$AC$20+L928*$AC$21+M928*$AC$22+N928*$AC$23+O928*$AC$24+P928*$AC$25+Q928*$AC$26+R928*$AC$27+S928*$AC$28+T928*$AC$29+U928*$AC$30</f>
        <v/>
      </c>
      <c r="W928" s="8">
        <f>1/(1+EXP(-V928))</f>
        <v/>
      </c>
      <c r="X928" s="9">
        <f>-IF(C928=1,LN(W928),LN(1-W928))</f>
        <v/>
      </c>
      <c r="Y928" s="10">
        <f>IF(W928&gt;$AC$33,1,0)</f>
        <v/>
      </c>
      <c r="Z928">
        <f>IF(Y928=C928,1,0)</f>
        <v/>
      </c>
    </row>
    <row r="929">
      <c r="A929">
        <f>'1 datos preparados'!A922</f>
        <v/>
      </c>
      <c r="B929" s="5">
        <f>'1 datos preparados'!U922</f>
        <v/>
      </c>
      <c r="C929">
        <f>'1 datos preparados'!B922</f>
        <v/>
      </c>
      <c r="D929" s="7">
        <f>'1 datos preparados'!C922</f>
        <v/>
      </c>
      <c r="E929" s="7">
        <f>'1 datos preparados'!D922</f>
        <v/>
      </c>
      <c r="F929" s="7">
        <f>'1 datos preparados'!E922</f>
        <v/>
      </c>
      <c r="G929" s="7">
        <f>'1 datos preparados'!F922</f>
        <v/>
      </c>
      <c r="H929" s="7">
        <f>'1 datos preparados'!G922</f>
        <v/>
      </c>
      <c r="I929" s="7">
        <f>'1 datos preparados'!H922</f>
        <v/>
      </c>
      <c r="J929" s="7">
        <f>'1 datos preparados'!I922</f>
        <v/>
      </c>
      <c r="K929" s="7">
        <f>'1 datos preparados'!J922</f>
        <v/>
      </c>
      <c r="L929" s="7">
        <f>'1 datos preparados'!K922</f>
        <v/>
      </c>
      <c r="M929" s="7">
        <f>'1 datos preparados'!L922</f>
        <v/>
      </c>
      <c r="N929" s="7">
        <f>'1 datos preparados'!M922</f>
        <v/>
      </c>
      <c r="O929" s="7">
        <f>'1 datos preparados'!N922</f>
        <v/>
      </c>
      <c r="P929" s="7">
        <f>'1 datos preparados'!O922</f>
        <v/>
      </c>
      <c r="Q929" s="7">
        <f>'1 datos preparados'!P922</f>
        <v/>
      </c>
      <c r="R929" s="7">
        <f>'1 datos preparados'!Q922</f>
        <v/>
      </c>
      <c r="S929" s="7">
        <f>'1 datos preparados'!R922</f>
        <v/>
      </c>
      <c r="T929" s="7">
        <f>'1 datos preparados'!S922</f>
        <v/>
      </c>
      <c r="U929" s="7">
        <f>'1 datos preparados'!T922</f>
        <v/>
      </c>
      <c r="V929" s="8">
        <f>$AC$12+D929*$AC$13+E929*$AC$14+F929*$AC$15+G929*$AC$16+H929*$AC$17+I929*$AC$18+J929*$AC$19+K929*$AC$20+L929*$AC$21+M929*$AC$22+N929*$AC$23+O929*$AC$24+P929*$AC$25+Q929*$AC$26+R929*$AC$27+S929*$AC$28+T929*$AC$29+U929*$AC$30</f>
        <v/>
      </c>
      <c r="W929" s="8">
        <f>1/(1+EXP(-V929))</f>
        <v/>
      </c>
      <c r="X929" s="9">
        <f>-IF(C929=1,LN(W929),LN(1-W929))</f>
        <v/>
      </c>
      <c r="Y929" s="10">
        <f>IF(W929&gt;$AC$33,1,0)</f>
        <v/>
      </c>
      <c r="Z929">
        <f>IF(Y929=C929,1,0)</f>
        <v/>
      </c>
    </row>
    <row r="930">
      <c r="A930">
        <f>'1 datos preparados'!A923</f>
        <v/>
      </c>
      <c r="B930" s="5">
        <f>'1 datos preparados'!U923</f>
        <v/>
      </c>
      <c r="C930">
        <f>'1 datos preparados'!B923</f>
        <v/>
      </c>
      <c r="D930" s="7">
        <f>'1 datos preparados'!C923</f>
        <v/>
      </c>
      <c r="E930" s="7">
        <f>'1 datos preparados'!D923</f>
        <v/>
      </c>
      <c r="F930" s="7">
        <f>'1 datos preparados'!E923</f>
        <v/>
      </c>
      <c r="G930" s="7">
        <f>'1 datos preparados'!F923</f>
        <v/>
      </c>
      <c r="H930" s="7">
        <f>'1 datos preparados'!G923</f>
        <v/>
      </c>
      <c r="I930" s="7">
        <f>'1 datos preparados'!H923</f>
        <v/>
      </c>
      <c r="J930" s="7">
        <f>'1 datos preparados'!I923</f>
        <v/>
      </c>
      <c r="K930" s="7">
        <f>'1 datos preparados'!J923</f>
        <v/>
      </c>
      <c r="L930" s="7">
        <f>'1 datos preparados'!K923</f>
        <v/>
      </c>
      <c r="M930" s="7">
        <f>'1 datos preparados'!L923</f>
        <v/>
      </c>
      <c r="N930" s="7">
        <f>'1 datos preparados'!M923</f>
        <v/>
      </c>
      <c r="O930" s="7">
        <f>'1 datos preparados'!N923</f>
        <v/>
      </c>
      <c r="P930" s="7">
        <f>'1 datos preparados'!O923</f>
        <v/>
      </c>
      <c r="Q930" s="7">
        <f>'1 datos preparados'!P923</f>
        <v/>
      </c>
      <c r="R930" s="7">
        <f>'1 datos preparados'!Q923</f>
        <v/>
      </c>
      <c r="S930" s="7">
        <f>'1 datos preparados'!R923</f>
        <v/>
      </c>
      <c r="T930" s="7">
        <f>'1 datos preparados'!S923</f>
        <v/>
      </c>
      <c r="U930" s="7">
        <f>'1 datos preparados'!T923</f>
        <v/>
      </c>
      <c r="V930" s="8">
        <f>$AC$12+D930*$AC$13+E930*$AC$14+F930*$AC$15+G930*$AC$16+H930*$AC$17+I930*$AC$18+J930*$AC$19+K930*$AC$20+L930*$AC$21+M930*$AC$22+N930*$AC$23+O930*$AC$24+P930*$AC$25+Q930*$AC$26+R930*$AC$27+S930*$AC$28+T930*$AC$29+U930*$AC$30</f>
        <v/>
      </c>
      <c r="W930" s="8">
        <f>1/(1+EXP(-V930))</f>
        <v/>
      </c>
      <c r="X930" s="9">
        <f>-IF(C930=1,LN(W930),LN(1-W930))</f>
        <v/>
      </c>
      <c r="Y930" s="10">
        <f>IF(W930&gt;$AC$33,1,0)</f>
        <v/>
      </c>
      <c r="Z930">
        <f>IF(Y930=C930,1,0)</f>
        <v/>
      </c>
    </row>
    <row r="931">
      <c r="A931">
        <f>'1 datos preparados'!A924</f>
        <v/>
      </c>
      <c r="B931" s="5">
        <f>'1 datos preparados'!U924</f>
        <v/>
      </c>
      <c r="C931">
        <f>'1 datos preparados'!B924</f>
        <v/>
      </c>
      <c r="D931" s="7">
        <f>'1 datos preparados'!C924</f>
        <v/>
      </c>
      <c r="E931" s="7">
        <f>'1 datos preparados'!D924</f>
        <v/>
      </c>
      <c r="F931" s="7">
        <f>'1 datos preparados'!E924</f>
        <v/>
      </c>
      <c r="G931" s="7">
        <f>'1 datos preparados'!F924</f>
        <v/>
      </c>
      <c r="H931" s="7">
        <f>'1 datos preparados'!G924</f>
        <v/>
      </c>
      <c r="I931" s="7">
        <f>'1 datos preparados'!H924</f>
        <v/>
      </c>
      <c r="J931" s="7">
        <f>'1 datos preparados'!I924</f>
        <v/>
      </c>
      <c r="K931" s="7">
        <f>'1 datos preparados'!J924</f>
        <v/>
      </c>
      <c r="L931" s="7">
        <f>'1 datos preparados'!K924</f>
        <v/>
      </c>
      <c r="M931" s="7">
        <f>'1 datos preparados'!L924</f>
        <v/>
      </c>
      <c r="N931" s="7">
        <f>'1 datos preparados'!M924</f>
        <v/>
      </c>
      <c r="O931" s="7">
        <f>'1 datos preparados'!N924</f>
        <v/>
      </c>
      <c r="P931" s="7">
        <f>'1 datos preparados'!O924</f>
        <v/>
      </c>
      <c r="Q931" s="7">
        <f>'1 datos preparados'!P924</f>
        <v/>
      </c>
      <c r="R931" s="7">
        <f>'1 datos preparados'!Q924</f>
        <v/>
      </c>
      <c r="S931" s="7">
        <f>'1 datos preparados'!R924</f>
        <v/>
      </c>
      <c r="T931" s="7">
        <f>'1 datos preparados'!S924</f>
        <v/>
      </c>
      <c r="U931" s="7">
        <f>'1 datos preparados'!T924</f>
        <v/>
      </c>
      <c r="V931" s="8">
        <f>$AC$12+D931*$AC$13+E931*$AC$14+F931*$AC$15+G931*$AC$16+H931*$AC$17+I931*$AC$18+J931*$AC$19+K931*$AC$20+L931*$AC$21+M931*$AC$22+N931*$AC$23+O931*$AC$24+P931*$AC$25+Q931*$AC$26+R931*$AC$27+S931*$AC$28+T931*$AC$29+U931*$AC$30</f>
        <v/>
      </c>
      <c r="W931" s="8">
        <f>1/(1+EXP(-V931))</f>
        <v/>
      </c>
      <c r="X931" s="9">
        <f>-IF(C931=1,LN(W931),LN(1-W931))</f>
        <v/>
      </c>
      <c r="Y931" s="10">
        <f>IF(W931&gt;$AC$33,1,0)</f>
        <v/>
      </c>
      <c r="Z931">
        <f>IF(Y931=C931,1,0)</f>
        <v/>
      </c>
    </row>
    <row r="932">
      <c r="A932">
        <f>'1 datos preparados'!A925</f>
        <v/>
      </c>
      <c r="B932" s="5">
        <f>'1 datos preparados'!U925</f>
        <v/>
      </c>
      <c r="C932">
        <f>'1 datos preparados'!B925</f>
        <v/>
      </c>
      <c r="D932" s="7">
        <f>'1 datos preparados'!C925</f>
        <v/>
      </c>
      <c r="E932" s="7">
        <f>'1 datos preparados'!D925</f>
        <v/>
      </c>
      <c r="F932" s="7">
        <f>'1 datos preparados'!E925</f>
        <v/>
      </c>
      <c r="G932" s="7">
        <f>'1 datos preparados'!F925</f>
        <v/>
      </c>
      <c r="H932" s="7">
        <f>'1 datos preparados'!G925</f>
        <v/>
      </c>
      <c r="I932" s="7">
        <f>'1 datos preparados'!H925</f>
        <v/>
      </c>
      <c r="J932" s="7">
        <f>'1 datos preparados'!I925</f>
        <v/>
      </c>
      <c r="K932" s="7">
        <f>'1 datos preparados'!J925</f>
        <v/>
      </c>
      <c r="L932" s="7">
        <f>'1 datos preparados'!K925</f>
        <v/>
      </c>
      <c r="M932" s="7">
        <f>'1 datos preparados'!L925</f>
        <v/>
      </c>
      <c r="N932" s="7">
        <f>'1 datos preparados'!M925</f>
        <v/>
      </c>
      <c r="O932" s="7">
        <f>'1 datos preparados'!N925</f>
        <v/>
      </c>
      <c r="P932" s="7">
        <f>'1 datos preparados'!O925</f>
        <v/>
      </c>
      <c r="Q932" s="7">
        <f>'1 datos preparados'!P925</f>
        <v/>
      </c>
      <c r="R932" s="7">
        <f>'1 datos preparados'!Q925</f>
        <v/>
      </c>
      <c r="S932" s="7">
        <f>'1 datos preparados'!R925</f>
        <v/>
      </c>
      <c r="T932" s="7">
        <f>'1 datos preparados'!S925</f>
        <v/>
      </c>
      <c r="U932" s="7">
        <f>'1 datos preparados'!T925</f>
        <v/>
      </c>
      <c r="V932" s="8">
        <f>$AC$12+D932*$AC$13+E932*$AC$14+F932*$AC$15+G932*$AC$16+H932*$AC$17+I932*$AC$18+J932*$AC$19+K932*$AC$20+L932*$AC$21+M932*$AC$22+N932*$AC$23+O932*$AC$24+P932*$AC$25+Q932*$AC$26+R932*$AC$27+S932*$AC$28+T932*$AC$29+U932*$AC$30</f>
        <v/>
      </c>
      <c r="W932" s="8">
        <f>1/(1+EXP(-V932))</f>
        <v/>
      </c>
      <c r="X932" s="9">
        <f>-IF(C932=1,LN(W932),LN(1-W932))</f>
        <v/>
      </c>
      <c r="Y932" s="10">
        <f>IF(W932&gt;$AC$33,1,0)</f>
        <v/>
      </c>
      <c r="Z932">
        <f>IF(Y932=C932,1,0)</f>
        <v/>
      </c>
    </row>
    <row r="933">
      <c r="A933">
        <f>'1 datos preparados'!A926</f>
        <v/>
      </c>
      <c r="B933" s="5">
        <f>'1 datos preparados'!U926</f>
        <v/>
      </c>
      <c r="C933">
        <f>'1 datos preparados'!B926</f>
        <v/>
      </c>
      <c r="D933" s="7">
        <f>'1 datos preparados'!C926</f>
        <v/>
      </c>
      <c r="E933" s="7">
        <f>'1 datos preparados'!D926</f>
        <v/>
      </c>
      <c r="F933" s="7">
        <f>'1 datos preparados'!E926</f>
        <v/>
      </c>
      <c r="G933" s="7">
        <f>'1 datos preparados'!F926</f>
        <v/>
      </c>
      <c r="H933" s="7">
        <f>'1 datos preparados'!G926</f>
        <v/>
      </c>
      <c r="I933" s="7">
        <f>'1 datos preparados'!H926</f>
        <v/>
      </c>
      <c r="J933" s="7">
        <f>'1 datos preparados'!I926</f>
        <v/>
      </c>
      <c r="K933" s="7">
        <f>'1 datos preparados'!J926</f>
        <v/>
      </c>
      <c r="L933" s="7">
        <f>'1 datos preparados'!K926</f>
        <v/>
      </c>
      <c r="M933" s="7">
        <f>'1 datos preparados'!L926</f>
        <v/>
      </c>
      <c r="N933" s="7">
        <f>'1 datos preparados'!M926</f>
        <v/>
      </c>
      <c r="O933" s="7">
        <f>'1 datos preparados'!N926</f>
        <v/>
      </c>
      <c r="P933" s="7">
        <f>'1 datos preparados'!O926</f>
        <v/>
      </c>
      <c r="Q933" s="7">
        <f>'1 datos preparados'!P926</f>
        <v/>
      </c>
      <c r="R933" s="7">
        <f>'1 datos preparados'!Q926</f>
        <v/>
      </c>
      <c r="S933" s="7">
        <f>'1 datos preparados'!R926</f>
        <v/>
      </c>
      <c r="T933" s="7">
        <f>'1 datos preparados'!S926</f>
        <v/>
      </c>
      <c r="U933" s="7">
        <f>'1 datos preparados'!T926</f>
        <v/>
      </c>
      <c r="V933" s="8">
        <f>$AC$12+D933*$AC$13+E933*$AC$14+F933*$AC$15+G933*$AC$16+H933*$AC$17+I933*$AC$18+J933*$AC$19+K933*$AC$20+L933*$AC$21+M933*$AC$22+N933*$AC$23+O933*$AC$24+P933*$AC$25+Q933*$AC$26+R933*$AC$27+S933*$AC$28+T933*$AC$29+U933*$AC$30</f>
        <v/>
      </c>
      <c r="W933" s="8">
        <f>1/(1+EXP(-V933))</f>
        <v/>
      </c>
      <c r="X933" s="9">
        <f>-IF(C933=1,LN(W933),LN(1-W933))</f>
        <v/>
      </c>
      <c r="Y933" s="10">
        <f>IF(W933&gt;$AC$33,1,0)</f>
        <v/>
      </c>
      <c r="Z933">
        <f>IF(Y933=C933,1,0)</f>
        <v/>
      </c>
    </row>
    <row r="934">
      <c r="A934">
        <f>'1 datos preparados'!A927</f>
        <v/>
      </c>
      <c r="B934" s="5">
        <f>'1 datos preparados'!U927</f>
        <v/>
      </c>
      <c r="C934">
        <f>'1 datos preparados'!B927</f>
        <v/>
      </c>
      <c r="D934" s="7">
        <f>'1 datos preparados'!C927</f>
        <v/>
      </c>
      <c r="E934" s="7">
        <f>'1 datos preparados'!D927</f>
        <v/>
      </c>
      <c r="F934" s="7">
        <f>'1 datos preparados'!E927</f>
        <v/>
      </c>
      <c r="G934" s="7">
        <f>'1 datos preparados'!F927</f>
        <v/>
      </c>
      <c r="H934" s="7">
        <f>'1 datos preparados'!G927</f>
        <v/>
      </c>
      <c r="I934" s="7">
        <f>'1 datos preparados'!H927</f>
        <v/>
      </c>
      <c r="J934" s="7">
        <f>'1 datos preparados'!I927</f>
        <v/>
      </c>
      <c r="K934" s="7">
        <f>'1 datos preparados'!J927</f>
        <v/>
      </c>
      <c r="L934" s="7">
        <f>'1 datos preparados'!K927</f>
        <v/>
      </c>
      <c r="M934" s="7">
        <f>'1 datos preparados'!L927</f>
        <v/>
      </c>
      <c r="N934" s="7">
        <f>'1 datos preparados'!M927</f>
        <v/>
      </c>
      <c r="O934" s="7">
        <f>'1 datos preparados'!N927</f>
        <v/>
      </c>
      <c r="P934" s="7">
        <f>'1 datos preparados'!O927</f>
        <v/>
      </c>
      <c r="Q934" s="7">
        <f>'1 datos preparados'!P927</f>
        <v/>
      </c>
      <c r="R934" s="7">
        <f>'1 datos preparados'!Q927</f>
        <v/>
      </c>
      <c r="S934" s="7">
        <f>'1 datos preparados'!R927</f>
        <v/>
      </c>
      <c r="T934" s="7">
        <f>'1 datos preparados'!S927</f>
        <v/>
      </c>
      <c r="U934" s="7">
        <f>'1 datos preparados'!T927</f>
        <v/>
      </c>
      <c r="V934" s="8">
        <f>$AC$12+D934*$AC$13+E934*$AC$14+F934*$AC$15+G934*$AC$16+H934*$AC$17+I934*$AC$18+J934*$AC$19+K934*$AC$20+L934*$AC$21+M934*$AC$22+N934*$AC$23+O934*$AC$24+P934*$AC$25+Q934*$AC$26+R934*$AC$27+S934*$AC$28+T934*$AC$29+U934*$AC$30</f>
        <v/>
      </c>
      <c r="W934" s="8">
        <f>1/(1+EXP(-V934))</f>
        <v/>
      </c>
      <c r="X934" s="9">
        <f>-IF(C934=1,LN(W934),LN(1-W934))</f>
        <v/>
      </c>
      <c r="Y934" s="10">
        <f>IF(W934&gt;$AC$33,1,0)</f>
        <v/>
      </c>
      <c r="Z934">
        <f>IF(Y934=C934,1,0)</f>
        <v/>
      </c>
    </row>
    <row r="935">
      <c r="A935">
        <f>'1 datos preparados'!A928</f>
        <v/>
      </c>
      <c r="B935" s="5">
        <f>'1 datos preparados'!U928</f>
        <v/>
      </c>
      <c r="C935">
        <f>'1 datos preparados'!B928</f>
        <v/>
      </c>
      <c r="D935" s="7">
        <f>'1 datos preparados'!C928</f>
        <v/>
      </c>
      <c r="E935" s="7">
        <f>'1 datos preparados'!D928</f>
        <v/>
      </c>
      <c r="F935" s="7">
        <f>'1 datos preparados'!E928</f>
        <v/>
      </c>
      <c r="G935" s="7">
        <f>'1 datos preparados'!F928</f>
        <v/>
      </c>
      <c r="H935" s="7">
        <f>'1 datos preparados'!G928</f>
        <v/>
      </c>
      <c r="I935" s="7">
        <f>'1 datos preparados'!H928</f>
        <v/>
      </c>
      <c r="J935" s="7">
        <f>'1 datos preparados'!I928</f>
        <v/>
      </c>
      <c r="K935" s="7">
        <f>'1 datos preparados'!J928</f>
        <v/>
      </c>
      <c r="L935" s="7">
        <f>'1 datos preparados'!K928</f>
        <v/>
      </c>
      <c r="M935" s="7">
        <f>'1 datos preparados'!L928</f>
        <v/>
      </c>
      <c r="N935" s="7">
        <f>'1 datos preparados'!M928</f>
        <v/>
      </c>
      <c r="O935" s="7">
        <f>'1 datos preparados'!N928</f>
        <v/>
      </c>
      <c r="P935" s="7">
        <f>'1 datos preparados'!O928</f>
        <v/>
      </c>
      <c r="Q935" s="7">
        <f>'1 datos preparados'!P928</f>
        <v/>
      </c>
      <c r="R935" s="7">
        <f>'1 datos preparados'!Q928</f>
        <v/>
      </c>
      <c r="S935" s="7">
        <f>'1 datos preparados'!R928</f>
        <v/>
      </c>
      <c r="T935" s="7">
        <f>'1 datos preparados'!S928</f>
        <v/>
      </c>
      <c r="U935" s="7">
        <f>'1 datos preparados'!T928</f>
        <v/>
      </c>
      <c r="V935" s="8">
        <f>$AC$12+D935*$AC$13+E935*$AC$14+F935*$AC$15+G935*$AC$16+H935*$AC$17+I935*$AC$18+J935*$AC$19+K935*$AC$20+L935*$AC$21+M935*$AC$22+N935*$AC$23+O935*$AC$24+P935*$AC$25+Q935*$AC$26+R935*$AC$27+S935*$AC$28+T935*$AC$29+U935*$AC$30</f>
        <v/>
      </c>
      <c r="W935" s="8">
        <f>1/(1+EXP(-V935))</f>
        <v/>
      </c>
      <c r="X935" s="9">
        <f>-IF(C935=1,LN(W935),LN(1-W935))</f>
        <v/>
      </c>
      <c r="Y935" s="10">
        <f>IF(W935&gt;$AC$33,1,0)</f>
        <v/>
      </c>
      <c r="Z935">
        <f>IF(Y935=C935,1,0)</f>
        <v/>
      </c>
    </row>
    <row r="936">
      <c r="A936">
        <f>'1 datos preparados'!A929</f>
        <v/>
      </c>
      <c r="B936" s="5">
        <f>'1 datos preparados'!U929</f>
        <v/>
      </c>
      <c r="C936">
        <f>'1 datos preparados'!B929</f>
        <v/>
      </c>
      <c r="D936" s="7">
        <f>'1 datos preparados'!C929</f>
        <v/>
      </c>
      <c r="E936" s="7">
        <f>'1 datos preparados'!D929</f>
        <v/>
      </c>
      <c r="F936" s="7">
        <f>'1 datos preparados'!E929</f>
        <v/>
      </c>
      <c r="G936" s="7">
        <f>'1 datos preparados'!F929</f>
        <v/>
      </c>
      <c r="H936" s="7">
        <f>'1 datos preparados'!G929</f>
        <v/>
      </c>
      <c r="I936" s="7">
        <f>'1 datos preparados'!H929</f>
        <v/>
      </c>
      <c r="J936" s="7">
        <f>'1 datos preparados'!I929</f>
        <v/>
      </c>
      <c r="K936" s="7">
        <f>'1 datos preparados'!J929</f>
        <v/>
      </c>
      <c r="L936" s="7">
        <f>'1 datos preparados'!K929</f>
        <v/>
      </c>
      <c r="M936" s="7">
        <f>'1 datos preparados'!L929</f>
        <v/>
      </c>
      <c r="N936" s="7">
        <f>'1 datos preparados'!M929</f>
        <v/>
      </c>
      <c r="O936" s="7">
        <f>'1 datos preparados'!N929</f>
        <v/>
      </c>
      <c r="P936" s="7">
        <f>'1 datos preparados'!O929</f>
        <v/>
      </c>
      <c r="Q936" s="7">
        <f>'1 datos preparados'!P929</f>
        <v/>
      </c>
      <c r="R936" s="7">
        <f>'1 datos preparados'!Q929</f>
        <v/>
      </c>
      <c r="S936" s="7">
        <f>'1 datos preparados'!R929</f>
        <v/>
      </c>
      <c r="T936" s="7">
        <f>'1 datos preparados'!S929</f>
        <v/>
      </c>
      <c r="U936" s="7">
        <f>'1 datos preparados'!T929</f>
        <v/>
      </c>
      <c r="V936" s="8">
        <f>$AC$12+D936*$AC$13+E936*$AC$14+F936*$AC$15+G936*$AC$16+H936*$AC$17+I936*$AC$18+J936*$AC$19+K936*$AC$20+L936*$AC$21+M936*$AC$22+N936*$AC$23+O936*$AC$24+P936*$AC$25+Q936*$AC$26+R936*$AC$27+S936*$AC$28+T936*$AC$29+U936*$AC$30</f>
        <v/>
      </c>
      <c r="W936" s="8">
        <f>1/(1+EXP(-V936))</f>
        <v/>
      </c>
      <c r="X936" s="9">
        <f>-IF(C936=1,LN(W936),LN(1-W936))</f>
        <v/>
      </c>
      <c r="Y936" s="10">
        <f>IF(W936&gt;$AC$33,1,0)</f>
        <v/>
      </c>
      <c r="Z936">
        <f>IF(Y936=C936,1,0)</f>
        <v/>
      </c>
    </row>
    <row r="937">
      <c r="A937">
        <f>'1 datos preparados'!A930</f>
        <v/>
      </c>
      <c r="B937" s="5">
        <f>'1 datos preparados'!U930</f>
        <v/>
      </c>
      <c r="C937">
        <f>'1 datos preparados'!B930</f>
        <v/>
      </c>
      <c r="D937" s="7">
        <f>'1 datos preparados'!C930</f>
        <v/>
      </c>
      <c r="E937" s="7">
        <f>'1 datos preparados'!D930</f>
        <v/>
      </c>
      <c r="F937" s="7">
        <f>'1 datos preparados'!E930</f>
        <v/>
      </c>
      <c r="G937" s="7">
        <f>'1 datos preparados'!F930</f>
        <v/>
      </c>
      <c r="H937" s="7">
        <f>'1 datos preparados'!G930</f>
        <v/>
      </c>
      <c r="I937" s="7">
        <f>'1 datos preparados'!H930</f>
        <v/>
      </c>
      <c r="J937" s="7">
        <f>'1 datos preparados'!I930</f>
        <v/>
      </c>
      <c r="K937" s="7">
        <f>'1 datos preparados'!J930</f>
        <v/>
      </c>
      <c r="L937" s="7">
        <f>'1 datos preparados'!K930</f>
        <v/>
      </c>
      <c r="M937" s="7">
        <f>'1 datos preparados'!L930</f>
        <v/>
      </c>
      <c r="N937" s="7">
        <f>'1 datos preparados'!M930</f>
        <v/>
      </c>
      <c r="O937" s="7">
        <f>'1 datos preparados'!N930</f>
        <v/>
      </c>
      <c r="P937" s="7">
        <f>'1 datos preparados'!O930</f>
        <v/>
      </c>
      <c r="Q937" s="7">
        <f>'1 datos preparados'!P930</f>
        <v/>
      </c>
      <c r="R937" s="7">
        <f>'1 datos preparados'!Q930</f>
        <v/>
      </c>
      <c r="S937" s="7">
        <f>'1 datos preparados'!R930</f>
        <v/>
      </c>
      <c r="T937" s="7">
        <f>'1 datos preparados'!S930</f>
        <v/>
      </c>
      <c r="U937" s="7">
        <f>'1 datos preparados'!T930</f>
        <v/>
      </c>
      <c r="V937" s="8">
        <f>$AC$12+D937*$AC$13+E937*$AC$14+F937*$AC$15+G937*$AC$16+H937*$AC$17+I937*$AC$18+J937*$AC$19+K937*$AC$20+L937*$AC$21+M937*$AC$22+N937*$AC$23+O937*$AC$24+P937*$AC$25+Q937*$AC$26+R937*$AC$27+S937*$AC$28+T937*$AC$29+U937*$AC$30</f>
        <v/>
      </c>
      <c r="W937" s="8">
        <f>1/(1+EXP(-V937))</f>
        <v/>
      </c>
      <c r="X937" s="9">
        <f>-IF(C937=1,LN(W937),LN(1-W937))</f>
        <v/>
      </c>
      <c r="Y937" s="10">
        <f>IF(W937&gt;$AC$33,1,0)</f>
        <v/>
      </c>
      <c r="Z937">
        <f>IF(Y937=C937,1,0)</f>
        <v/>
      </c>
    </row>
    <row r="938">
      <c r="A938">
        <f>'1 datos preparados'!A931</f>
        <v/>
      </c>
      <c r="B938" s="5">
        <f>'1 datos preparados'!U931</f>
        <v/>
      </c>
      <c r="C938">
        <f>'1 datos preparados'!B931</f>
        <v/>
      </c>
      <c r="D938" s="7">
        <f>'1 datos preparados'!C931</f>
        <v/>
      </c>
      <c r="E938" s="7">
        <f>'1 datos preparados'!D931</f>
        <v/>
      </c>
      <c r="F938" s="7">
        <f>'1 datos preparados'!E931</f>
        <v/>
      </c>
      <c r="G938" s="7">
        <f>'1 datos preparados'!F931</f>
        <v/>
      </c>
      <c r="H938" s="7">
        <f>'1 datos preparados'!G931</f>
        <v/>
      </c>
      <c r="I938" s="7">
        <f>'1 datos preparados'!H931</f>
        <v/>
      </c>
      <c r="J938" s="7">
        <f>'1 datos preparados'!I931</f>
        <v/>
      </c>
      <c r="K938" s="7">
        <f>'1 datos preparados'!J931</f>
        <v/>
      </c>
      <c r="L938" s="7">
        <f>'1 datos preparados'!K931</f>
        <v/>
      </c>
      <c r="M938" s="7">
        <f>'1 datos preparados'!L931</f>
        <v/>
      </c>
      <c r="N938" s="7">
        <f>'1 datos preparados'!M931</f>
        <v/>
      </c>
      <c r="O938" s="7">
        <f>'1 datos preparados'!N931</f>
        <v/>
      </c>
      <c r="P938" s="7">
        <f>'1 datos preparados'!O931</f>
        <v/>
      </c>
      <c r="Q938" s="7">
        <f>'1 datos preparados'!P931</f>
        <v/>
      </c>
      <c r="R938" s="7">
        <f>'1 datos preparados'!Q931</f>
        <v/>
      </c>
      <c r="S938" s="7">
        <f>'1 datos preparados'!R931</f>
        <v/>
      </c>
      <c r="T938" s="7">
        <f>'1 datos preparados'!S931</f>
        <v/>
      </c>
      <c r="U938" s="7">
        <f>'1 datos preparados'!T931</f>
        <v/>
      </c>
      <c r="V938" s="8">
        <f>$AC$12+D938*$AC$13+E938*$AC$14+F938*$AC$15+G938*$AC$16+H938*$AC$17+I938*$AC$18+J938*$AC$19+K938*$AC$20+L938*$AC$21+M938*$AC$22+N938*$AC$23+O938*$AC$24+P938*$AC$25+Q938*$AC$26+R938*$AC$27+S938*$AC$28+T938*$AC$29+U938*$AC$30</f>
        <v/>
      </c>
      <c r="W938" s="8">
        <f>1/(1+EXP(-V938))</f>
        <v/>
      </c>
      <c r="X938" s="9">
        <f>-IF(C938=1,LN(W938),LN(1-W938))</f>
        <v/>
      </c>
      <c r="Y938" s="10">
        <f>IF(W938&gt;$AC$33,1,0)</f>
        <v/>
      </c>
      <c r="Z938">
        <f>IF(Y938=C938,1,0)</f>
        <v/>
      </c>
    </row>
    <row r="939">
      <c r="A939">
        <f>'1 datos preparados'!A932</f>
        <v/>
      </c>
      <c r="B939" s="5">
        <f>'1 datos preparados'!U932</f>
        <v/>
      </c>
      <c r="C939">
        <f>'1 datos preparados'!B932</f>
        <v/>
      </c>
      <c r="D939" s="7">
        <f>'1 datos preparados'!C932</f>
        <v/>
      </c>
      <c r="E939" s="7">
        <f>'1 datos preparados'!D932</f>
        <v/>
      </c>
      <c r="F939" s="7">
        <f>'1 datos preparados'!E932</f>
        <v/>
      </c>
      <c r="G939" s="7">
        <f>'1 datos preparados'!F932</f>
        <v/>
      </c>
      <c r="H939" s="7">
        <f>'1 datos preparados'!G932</f>
        <v/>
      </c>
      <c r="I939" s="7">
        <f>'1 datos preparados'!H932</f>
        <v/>
      </c>
      <c r="J939" s="7">
        <f>'1 datos preparados'!I932</f>
        <v/>
      </c>
      <c r="K939" s="7">
        <f>'1 datos preparados'!J932</f>
        <v/>
      </c>
      <c r="L939" s="7">
        <f>'1 datos preparados'!K932</f>
        <v/>
      </c>
      <c r="M939" s="7">
        <f>'1 datos preparados'!L932</f>
        <v/>
      </c>
      <c r="N939" s="7">
        <f>'1 datos preparados'!M932</f>
        <v/>
      </c>
      <c r="O939" s="7">
        <f>'1 datos preparados'!N932</f>
        <v/>
      </c>
      <c r="P939" s="7">
        <f>'1 datos preparados'!O932</f>
        <v/>
      </c>
      <c r="Q939" s="7">
        <f>'1 datos preparados'!P932</f>
        <v/>
      </c>
      <c r="R939" s="7">
        <f>'1 datos preparados'!Q932</f>
        <v/>
      </c>
      <c r="S939" s="7">
        <f>'1 datos preparados'!R932</f>
        <v/>
      </c>
      <c r="T939" s="7">
        <f>'1 datos preparados'!S932</f>
        <v/>
      </c>
      <c r="U939" s="7">
        <f>'1 datos preparados'!T932</f>
        <v/>
      </c>
      <c r="V939" s="8">
        <f>$AC$12+D939*$AC$13+E939*$AC$14+F939*$AC$15+G939*$AC$16+H939*$AC$17+I939*$AC$18+J939*$AC$19+K939*$AC$20+L939*$AC$21+M939*$AC$22+N939*$AC$23+O939*$AC$24+P939*$AC$25+Q939*$AC$26+R939*$AC$27+S939*$AC$28+T939*$AC$29+U939*$AC$30</f>
        <v/>
      </c>
      <c r="W939" s="8">
        <f>1/(1+EXP(-V939))</f>
        <v/>
      </c>
      <c r="X939" s="9">
        <f>-IF(C939=1,LN(W939),LN(1-W939))</f>
        <v/>
      </c>
      <c r="Y939" s="10">
        <f>IF(W939&gt;$AC$33,1,0)</f>
        <v/>
      </c>
      <c r="Z939">
        <f>IF(Y939=C939,1,0)</f>
        <v/>
      </c>
    </row>
    <row r="940">
      <c r="A940">
        <f>'1 datos preparados'!A933</f>
        <v/>
      </c>
      <c r="B940" s="5">
        <f>'1 datos preparados'!U933</f>
        <v/>
      </c>
      <c r="C940">
        <f>'1 datos preparados'!B933</f>
        <v/>
      </c>
      <c r="D940" s="7">
        <f>'1 datos preparados'!C933</f>
        <v/>
      </c>
      <c r="E940" s="7">
        <f>'1 datos preparados'!D933</f>
        <v/>
      </c>
      <c r="F940" s="7">
        <f>'1 datos preparados'!E933</f>
        <v/>
      </c>
      <c r="G940" s="7">
        <f>'1 datos preparados'!F933</f>
        <v/>
      </c>
      <c r="H940" s="7">
        <f>'1 datos preparados'!G933</f>
        <v/>
      </c>
      <c r="I940" s="7">
        <f>'1 datos preparados'!H933</f>
        <v/>
      </c>
      <c r="J940" s="7">
        <f>'1 datos preparados'!I933</f>
        <v/>
      </c>
      <c r="K940" s="7">
        <f>'1 datos preparados'!J933</f>
        <v/>
      </c>
      <c r="L940" s="7">
        <f>'1 datos preparados'!K933</f>
        <v/>
      </c>
      <c r="M940" s="7">
        <f>'1 datos preparados'!L933</f>
        <v/>
      </c>
      <c r="N940" s="7">
        <f>'1 datos preparados'!M933</f>
        <v/>
      </c>
      <c r="O940" s="7">
        <f>'1 datos preparados'!N933</f>
        <v/>
      </c>
      <c r="P940" s="7">
        <f>'1 datos preparados'!O933</f>
        <v/>
      </c>
      <c r="Q940" s="7">
        <f>'1 datos preparados'!P933</f>
        <v/>
      </c>
      <c r="R940" s="7">
        <f>'1 datos preparados'!Q933</f>
        <v/>
      </c>
      <c r="S940" s="7">
        <f>'1 datos preparados'!R933</f>
        <v/>
      </c>
      <c r="T940" s="7">
        <f>'1 datos preparados'!S933</f>
        <v/>
      </c>
      <c r="U940" s="7">
        <f>'1 datos preparados'!T933</f>
        <v/>
      </c>
      <c r="V940" s="8">
        <f>$AC$12+D940*$AC$13+E940*$AC$14+F940*$AC$15+G940*$AC$16+H940*$AC$17+I940*$AC$18+J940*$AC$19+K940*$AC$20+L940*$AC$21+M940*$AC$22+N940*$AC$23+O940*$AC$24+P940*$AC$25+Q940*$AC$26+R940*$AC$27+S940*$AC$28+T940*$AC$29+U940*$AC$30</f>
        <v/>
      </c>
      <c r="W940" s="8">
        <f>1/(1+EXP(-V940))</f>
        <v/>
      </c>
      <c r="X940" s="9">
        <f>-IF(C940=1,LN(W940),LN(1-W940))</f>
        <v/>
      </c>
      <c r="Y940" s="10">
        <f>IF(W940&gt;$AC$33,1,0)</f>
        <v/>
      </c>
      <c r="Z940">
        <f>IF(Y940=C940,1,0)</f>
        <v/>
      </c>
    </row>
    <row r="941">
      <c r="A941">
        <f>'1 datos preparados'!A934</f>
        <v/>
      </c>
      <c r="B941" s="5">
        <f>'1 datos preparados'!U934</f>
        <v/>
      </c>
      <c r="C941">
        <f>'1 datos preparados'!B934</f>
        <v/>
      </c>
      <c r="D941" s="7">
        <f>'1 datos preparados'!C934</f>
        <v/>
      </c>
      <c r="E941" s="7">
        <f>'1 datos preparados'!D934</f>
        <v/>
      </c>
      <c r="F941" s="7">
        <f>'1 datos preparados'!E934</f>
        <v/>
      </c>
      <c r="G941" s="7">
        <f>'1 datos preparados'!F934</f>
        <v/>
      </c>
      <c r="H941" s="7">
        <f>'1 datos preparados'!G934</f>
        <v/>
      </c>
      <c r="I941" s="7">
        <f>'1 datos preparados'!H934</f>
        <v/>
      </c>
      <c r="J941" s="7">
        <f>'1 datos preparados'!I934</f>
        <v/>
      </c>
      <c r="K941" s="7">
        <f>'1 datos preparados'!J934</f>
        <v/>
      </c>
      <c r="L941" s="7">
        <f>'1 datos preparados'!K934</f>
        <v/>
      </c>
      <c r="M941" s="7">
        <f>'1 datos preparados'!L934</f>
        <v/>
      </c>
      <c r="N941" s="7">
        <f>'1 datos preparados'!M934</f>
        <v/>
      </c>
      <c r="O941" s="7">
        <f>'1 datos preparados'!N934</f>
        <v/>
      </c>
      <c r="P941" s="7">
        <f>'1 datos preparados'!O934</f>
        <v/>
      </c>
      <c r="Q941" s="7">
        <f>'1 datos preparados'!P934</f>
        <v/>
      </c>
      <c r="R941" s="7">
        <f>'1 datos preparados'!Q934</f>
        <v/>
      </c>
      <c r="S941" s="7">
        <f>'1 datos preparados'!R934</f>
        <v/>
      </c>
      <c r="T941" s="7">
        <f>'1 datos preparados'!S934</f>
        <v/>
      </c>
      <c r="U941" s="7">
        <f>'1 datos preparados'!T934</f>
        <v/>
      </c>
      <c r="V941" s="8">
        <f>$AC$12+D941*$AC$13+E941*$AC$14+F941*$AC$15+G941*$AC$16+H941*$AC$17+I941*$AC$18+J941*$AC$19+K941*$AC$20+L941*$AC$21+M941*$AC$22+N941*$AC$23+O941*$AC$24+P941*$AC$25+Q941*$AC$26+R941*$AC$27+S941*$AC$28+T941*$AC$29+U941*$AC$30</f>
        <v/>
      </c>
      <c r="W941" s="8">
        <f>1/(1+EXP(-V941))</f>
        <v/>
      </c>
      <c r="X941" s="9">
        <f>-IF(C941=1,LN(W941),LN(1-W941))</f>
        <v/>
      </c>
      <c r="Y941" s="10">
        <f>IF(W941&gt;$AC$33,1,0)</f>
        <v/>
      </c>
      <c r="Z941">
        <f>IF(Y941=C941,1,0)</f>
        <v/>
      </c>
    </row>
    <row r="942">
      <c r="A942">
        <f>'1 datos preparados'!A935</f>
        <v/>
      </c>
      <c r="B942" s="5">
        <f>'1 datos preparados'!U935</f>
        <v/>
      </c>
      <c r="C942">
        <f>'1 datos preparados'!B935</f>
        <v/>
      </c>
      <c r="D942" s="7">
        <f>'1 datos preparados'!C935</f>
        <v/>
      </c>
      <c r="E942" s="7">
        <f>'1 datos preparados'!D935</f>
        <v/>
      </c>
      <c r="F942" s="7">
        <f>'1 datos preparados'!E935</f>
        <v/>
      </c>
      <c r="G942" s="7">
        <f>'1 datos preparados'!F935</f>
        <v/>
      </c>
      <c r="H942" s="7">
        <f>'1 datos preparados'!G935</f>
        <v/>
      </c>
      <c r="I942" s="7">
        <f>'1 datos preparados'!H935</f>
        <v/>
      </c>
      <c r="J942" s="7">
        <f>'1 datos preparados'!I935</f>
        <v/>
      </c>
      <c r="K942" s="7">
        <f>'1 datos preparados'!J935</f>
        <v/>
      </c>
      <c r="L942" s="7">
        <f>'1 datos preparados'!K935</f>
        <v/>
      </c>
      <c r="M942" s="7">
        <f>'1 datos preparados'!L935</f>
        <v/>
      </c>
      <c r="N942" s="7">
        <f>'1 datos preparados'!M935</f>
        <v/>
      </c>
      <c r="O942" s="7">
        <f>'1 datos preparados'!N935</f>
        <v/>
      </c>
      <c r="P942" s="7">
        <f>'1 datos preparados'!O935</f>
        <v/>
      </c>
      <c r="Q942" s="7">
        <f>'1 datos preparados'!P935</f>
        <v/>
      </c>
      <c r="R942" s="7">
        <f>'1 datos preparados'!Q935</f>
        <v/>
      </c>
      <c r="S942" s="7">
        <f>'1 datos preparados'!R935</f>
        <v/>
      </c>
      <c r="T942" s="7">
        <f>'1 datos preparados'!S935</f>
        <v/>
      </c>
      <c r="U942" s="7">
        <f>'1 datos preparados'!T935</f>
        <v/>
      </c>
      <c r="V942" s="8">
        <f>$AC$12+D942*$AC$13+E942*$AC$14+F942*$AC$15+G942*$AC$16+H942*$AC$17+I942*$AC$18+J942*$AC$19+K942*$AC$20+L942*$AC$21+M942*$AC$22+N942*$AC$23+O942*$AC$24+P942*$AC$25+Q942*$AC$26+R942*$AC$27+S942*$AC$28+T942*$AC$29+U942*$AC$30</f>
        <v/>
      </c>
      <c r="W942" s="8">
        <f>1/(1+EXP(-V942))</f>
        <v/>
      </c>
      <c r="X942" s="9">
        <f>-IF(C942=1,LN(W942),LN(1-W942))</f>
        <v/>
      </c>
      <c r="Y942" s="10">
        <f>IF(W942&gt;$AC$33,1,0)</f>
        <v/>
      </c>
      <c r="Z942">
        <f>IF(Y942=C942,1,0)</f>
        <v/>
      </c>
    </row>
    <row r="943">
      <c r="A943">
        <f>'1 datos preparados'!A936</f>
        <v/>
      </c>
      <c r="B943" s="5">
        <f>'1 datos preparados'!U936</f>
        <v/>
      </c>
      <c r="C943">
        <f>'1 datos preparados'!B936</f>
        <v/>
      </c>
      <c r="D943" s="7">
        <f>'1 datos preparados'!C936</f>
        <v/>
      </c>
      <c r="E943" s="7">
        <f>'1 datos preparados'!D936</f>
        <v/>
      </c>
      <c r="F943" s="7">
        <f>'1 datos preparados'!E936</f>
        <v/>
      </c>
      <c r="G943" s="7">
        <f>'1 datos preparados'!F936</f>
        <v/>
      </c>
      <c r="H943" s="7">
        <f>'1 datos preparados'!G936</f>
        <v/>
      </c>
      <c r="I943" s="7">
        <f>'1 datos preparados'!H936</f>
        <v/>
      </c>
      <c r="J943" s="7">
        <f>'1 datos preparados'!I936</f>
        <v/>
      </c>
      <c r="K943" s="7">
        <f>'1 datos preparados'!J936</f>
        <v/>
      </c>
      <c r="L943" s="7">
        <f>'1 datos preparados'!K936</f>
        <v/>
      </c>
      <c r="M943" s="7">
        <f>'1 datos preparados'!L936</f>
        <v/>
      </c>
      <c r="N943" s="7">
        <f>'1 datos preparados'!M936</f>
        <v/>
      </c>
      <c r="O943" s="7">
        <f>'1 datos preparados'!N936</f>
        <v/>
      </c>
      <c r="P943" s="7">
        <f>'1 datos preparados'!O936</f>
        <v/>
      </c>
      <c r="Q943" s="7">
        <f>'1 datos preparados'!P936</f>
        <v/>
      </c>
      <c r="R943" s="7">
        <f>'1 datos preparados'!Q936</f>
        <v/>
      </c>
      <c r="S943" s="7">
        <f>'1 datos preparados'!R936</f>
        <v/>
      </c>
      <c r="T943" s="7">
        <f>'1 datos preparados'!S936</f>
        <v/>
      </c>
      <c r="U943" s="7">
        <f>'1 datos preparados'!T936</f>
        <v/>
      </c>
      <c r="V943" s="8">
        <f>$AC$12+D943*$AC$13+E943*$AC$14+F943*$AC$15+G943*$AC$16+H943*$AC$17+I943*$AC$18+J943*$AC$19+K943*$AC$20+L943*$AC$21+M943*$AC$22+N943*$AC$23+O943*$AC$24+P943*$AC$25+Q943*$AC$26+R943*$AC$27+S943*$AC$28+T943*$AC$29+U943*$AC$30</f>
        <v/>
      </c>
      <c r="W943" s="8">
        <f>1/(1+EXP(-V943))</f>
        <v/>
      </c>
      <c r="X943" s="9">
        <f>-IF(C943=1,LN(W943),LN(1-W943))</f>
        <v/>
      </c>
      <c r="Y943" s="10">
        <f>IF(W943&gt;$AC$33,1,0)</f>
        <v/>
      </c>
      <c r="Z943">
        <f>IF(Y943=C943,1,0)</f>
        <v/>
      </c>
    </row>
    <row r="944">
      <c r="A944">
        <f>'1 datos preparados'!A937</f>
        <v/>
      </c>
      <c r="B944" s="5">
        <f>'1 datos preparados'!U937</f>
        <v/>
      </c>
      <c r="C944">
        <f>'1 datos preparados'!B937</f>
        <v/>
      </c>
      <c r="D944" s="7">
        <f>'1 datos preparados'!C937</f>
        <v/>
      </c>
      <c r="E944" s="7">
        <f>'1 datos preparados'!D937</f>
        <v/>
      </c>
      <c r="F944" s="7">
        <f>'1 datos preparados'!E937</f>
        <v/>
      </c>
      <c r="G944" s="7">
        <f>'1 datos preparados'!F937</f>
        <v/>
      </c>
      <c r="H944" s="7">
        <f>'1 datos preparados'!G937</f>
        <v/>
      </c>
      <c r="I944" s="7">
        <f>'1 datos preparados'!H937</f>
        <v/>
      </c>
      <c r="J944" s="7">
        <f>'1 datos preparados'!I937</f>
        <v/>
      </c>
      <c r="K944" s="7">
        <f>'1 datos preparados'!J937</f>
        <v/>
      </c>
      <c r="L944" s="7">
        <f>'1 datos preparados'!K937</f>
        <v/>
      </c>
      <c r="M944" s="7">
        <f>'1 datos preparados'!L937</f>
        <v/>
      </c>
      <c r="N944" s="7">
        <f>'1 datos preparados'!M937</f>
        <v/>
      </c>
      <c r="O944" s="7">
        <f>'1 datos preparados'!N937</f>
        <v/>
      </c>
      <c r="P944" s="7">
        <f>'1 datos preparados'!O937</f>
        <v/>
      </c>
      <c r="Q944" s="7">
        <f>'1 datos preparados'!P937</f>
        <v/>
      </c>
      <c r="R944" s="7">
        <f>'1 datos preparados'!Q937</f>
        <v/>
      </c>
      <c r="S944" s="7">
        <f>'1 datos preparados'!R937</f>
        <v/>
      </c>
      <c r="T944" s="7">
        <f>'1 datos preparados'!S937</f>
        <v/>
      </c>
      <c r="U944" s="7">
        <f>'1 datos preparados'!T937</f>
        <v/>
      </c>
      <c r="V944" s="8">
        <f>$AC$12+D944*$AC$13+E944*$AC$14+F944*$AC$15+G944*$AC$16+H944*$AC$17+I944*$AC$18+J944*$AC$19+K944*$AC$20+L944*$AC$21+M944*$AC$22+N944*$AC$23+O944*$AC$24+P944*$AC$25+Q944*$AC$26+R944*$AC$27+S944*$AC$28+T944*$AC$29+U944*$AC$30</f>
        <v/>
      </c>
      <c r="W944" s="8">
        <f>1/(1+EXP(-V944))</f>
        <v/>
      </c>
      <c r="X944" s="9">
        <f>-IF(C944=1,LN(W944),LN(1-W944))</f>
        <v/>
      </c>
      <c r="Y944" s="10">
        <f>IF(W944&gt;$AC$33,1,0)</f>
        <v/>
      </c>
      <c r="Z944">
        <f>IF(Y944=C944,1,0)</f>
        <v/>
      </c>
    </row>
    <row r="945">
      <c r="A945">
        <f>'1 datos preparados'!A938</f>
        <v/>
      </c>
      <c r="B945" s="5">
        <f>'1 datos preparados'!U938</f>
        <v/>
      </c>
      <c r="C945">
        <f>'1 datos preparados'!B938</f>
        <v/>
      </c>
      <c r="D945" s="7">
        <f>'1 datos preparados'!C938</f>
        <v/>
      </c>
      <c r="E945" s="7">
        <f>'1 datos preparados'!D938</f>
        <v/>
      </c>
      <c r="F945" s="7">
        <f>'1 datos preparados'!E938</f>
        <v/>
      </c>
      <c r="G945" s="7">
        <f>'1 datos preparados'!F938</f>
        <v/>
      </c>
      <c r="H945" s="7">
        <f>'1 datos preparados'!G938</f>
        <v/>
      </c>
      <c r="I945" s="7">
        <f>'1 datos preparados'!H938</f>
        <v/>
      </c>
      <c r="J945" s="7">
        <f>'1 datos preparados'!I938</f>
        <v/>
      </c>
      <c r="K945" s="7">
        <f>'1 datos preparados'!J938</f>
        <v/>
      </c>
      <c r="L945" s="7">
        <f>'1 datos preparados'!K938</f>
        <v/>
      </c>
      <c r="M945" s="7">
        <f>'1 datos preparados'!L938</f>
        <v/>
      </c>
      <c r="N945" s="7">
        <f>'1 datos preparados'!M938</f>
        <v/>
      </c>
      <c r="O945" s="7">
        <f>'1 datos preparados'!N938</f>
        <v/>
      </c>
      <c r="P945" s="7">
        <f>'1 datos preparados'!O938</f>
        <v/>
      </c>
      <c r="Q945" s="7">
        <f>'1 datos preparados'!P938</f>
        <v/>
      </c>
      <c r="R945" s="7">
        <f>'1 datos preparados'!Q938</f>
        <v/>
      </c>
      <c r="S945" s="7">
        <f>'1 datos preparados'!R938</f>
        <v/>
      </c>
      <c r="T945" s="7">
        <f>'1 datos preparados'!S938</f>
        <v/>
      </c>
      <c r="U945" s="7">
        <f>'1 datos preparados'!T938</f>
        <v/>
      </c>
      <c r="V945" s="8">
        <f>$AC$12+D945*$AC$13+E945*$AC$14+F945*$AC$15+G945*$AC$16+H945*$AC$17+I945*$AC$18+J945*$AC$19+K945*$AC$20+L945*$AC$21+M945*$AC$22+N945*$AC$23+O945*$AC$24+P945*$AC$25+Q945*$AC$26+R945*$AC$27+S945*$AC$28+T945*$AC$29+U945*$AC$30</f>
        <v/>
      </c>
      <c r="W945" s="8">
        <f>1/(1+EXP(-V945))</f>
        <v/>
      </c>
      <c r="X945" s="9">
        <f>-IF(C945=1,LN(W945),LN(1-W945))</f>
        <v/>
      </c>
      <c r="Y945" s="10">
        <f>IF(W945&gt;$AC$33,1,0)</f>
        <v/>
      </c>
      <c r="Z945">
        <f>IF(Y945=C945,1,0)</f>
        <v/>
      </c>
    </row>
    <row r="946">
      <c r="A946">
        <f>'1 datos preparados'!A939</f>
        <v/>
      </c>
      <c r="B946" s="5">
        <f>'1 datos preparados'!U939</f>
        <v/>
      </c>
      <c r="C946">
        <f>'1 datos preparados'!B939</f>
        <v/>
      </c>
      <c r="D946" s="7">
        <f>'1 datos preparados'!C939</f>
        <v/>
      </c>
      <c r="E946" s="7">
        <f>'1 datos preparados'!D939</f>
        <v/>
      </c>
      <c r="F946" s="7">
        <f>'1 datos preparados'!E939</f>
        <v/>
      </c>
      <c r="G946" s="7">
        <f>'1 datos preparados'!F939</f>
        <v/>
      </c>
      <c r="H946" s="7">
        <f>'1 datos preparados'!G939</f>
        <v/>
      </c>
      <c r="I946" s="7">
        <f>'1 datos preparados'!H939</f>
        <v/>
      </c>
      <c r="J946" s="7">
        <f>'1 datos preparados'!I939</f>
        <v/>
      </c>
      <c r="K946" s="7">
        <f>'1 datos preparados'!J939</f>
        <v/>
      </c>
      <c r="L946" s="7">
        <f>'1 datos preparados'!K939</f>
        <v/>
      </c>
      <c r="M946" s="7">
        <f>'1 datos preparados'!L939</f>
        <v/>
      </c>
      <c r="N946" s="7">
        <f>'1 datos preparados'!M939</f>
        <v/>
      </c>
      <c r="O946" s="7">
        <f>'1 datos preparados'!N939</f>
        <v/>
      </c>
      <c r="P946" s="7">
        <f>'1 datos preparados'!O939</f>
        <v/>
      </c>
      <c r="Q946" s="7">
        <f>'1 datos preparados'!P939</f>
        <v/>
      </c>
      <c r="R946" s="7">
        <f>'1 datos preparados'!Q939</f>
        <v/>
      </c>
      <c r="S946" s="7">
        <f>'1 datos preparados'!R939</f>
        <v/>
      </c>
      <c r="T946" s="7">
        <f>'1 datos preparados'!S939</f>
        <v/>
      </c>
      <c r="U946" s="7">
        <f>'1 datos preparados'!T939</f>
        <v/>
      </c>
      <c r="V946" s="8">
        <f>$AC$12+D946*$AC$13+E946*$AC$14+F946*$AC$15+G946*$AC$16+H946*$AC$17+I946*$AC$18+J946*$AC$19+K946*$AC$20+L946*$AC$21+M946*$AC$22+N946*$AC$23+O946*$AC$24+P946*$AC$25+Q946*$AC$26+R946*$AC$27+S946*$AC$28+T946*$AC$29+U946*$AC$30</f>
        <v/>
      </c>
      <c r="W946" s="8">
        <f>1/(1+EXP(-V946))</f>
        <v/>
      </c>
      <c r="X946" s="9">
        <f>-IF(C946=1,LN(W946),LN(1-W946))</f>
        <v/>
      </c>
      <c r="Y946" s="10">
        <f>IF(W946&gt;$AC$33,1,0)</f>
        <v/>
      </c>
      <c r="Z946">
        <f>IF(Y946=C946,1,0)</f>
        <v/>
      </c>
    </row>
    <row r="947">
      <c r="A947">
        <f>'1 datos preparados'!A940</f>
        <v/>
      </c>
      <c r="B947" s="5">
        <f>'1 datos preparados'!U940</f>
        <v/>
      </c>
      <c r="C947">
        <f>'1 datos preparados'!B940</f>
        <v/>
      </c>
      <c r="D947" s="7">
        <f>'1 datos preparados'!C940</f>
        <v/>
      </c>
      <c r="E947" s="7">
        <f>'1 datos preparados'!D940</f>
        <v/>
      </c>
      <c r="F947" s="7">
        <f>'1 datos preparados'!E940</f>
        <v/>
      </c>
      <c r="G947" s="7">
        <f>'1 datos preparados'!F940</f>
        <v/>
      </c>
      <c r="H947" s="7">
        <f>'1 datos preparados'!G940</f>
        <v/>
      </c>
      <c r="I947" s="7">
        <f>'1 datos preparados'!H940</f>
        <v/>
      </c>
      <c r="J947" s="7">
        <f>'1 datos preparados'!I940</f>
        <v/>
      </c>
      <c r="K947" s="7">
        <f>'1 datos preparados'!J940</f>
        <v/>
      </c>
      <c r="L947" s="7">
        <f>'1 datos preparados'!K940</f>
        <v/>
      </c>
      <c r="M947" s="7">
        <f>'1 datos preparados'!L940</f>
        <v/>
      </c>
      <c r="N947" s="7">
        <f>'1 datos preparados'!M940</f>
        <v/>
      </c>
      <c r="O947" s="7">
        <f>'1 datos preparados'!N940</f>
        <v/>
      </c>
      <c r="P947" s="7">
        <f>'1 datos preparados'!O940</f>
        <v/>
      </c>
      <c r="Q947" s="7">
        <f>'1 datos preparados'!P940</f>
        <v/>
      </c>
      <c r="R947" s="7">
        <f>'1 datos preparados'!Q940</f>
        <v/>
      </c>
      <c r="S947" s="7">
        <f>'1 datos preparados'!R940</f>
        <v/>
      </c>
      <c r="T947" s="7">
        <f>'1 datos preparados'!S940</f>
        <v/>
      </c>
      <c r="U947" s="7">
        <f>'1 datos preparados'!T940</f>
        <v/>
      </c>
      <c r="V947" s="8">
        <f>$AC$12+D947*$AC$13+E947*$AC$14+F947*$AC$15+G947*$AC$16+H947*$AC$17+I947*$AC$18+J947*$AC$19+K947*$AC$20+L947*$AC$21+M947*$AC$22+N947*$AC$23+O947*$AC$24+P947*$AC$25+Q947*$AC$26+R947*$AC$27+S947*$AC$28+T947*$AC$29+U947*$AC$30</f>
        <v/>
      </c>
      <c r="W947" s="8">
        <f>1/(1+EXP(-V947))</f>
        <v/>
      </c>
      <c r="X947" s="9">
        <f>-IF(C947=1,LN(W947),LN(1-W947))</f>
        <v/>
      </c>
      <c r="Y947" s="10">
        <f>IF(W947&gt;$AC$33,1,0)</f>
        <v/>
      </c>
      <c r="Z947">
        <f>IF(Y947=C947,1,0)</f>
        <v/>
      </c>
    </row>
    <row r="948">
      <c r="A948">
        <f>'1 datos preparados'!A941</f>
        <v/>
      </c>
      <c r="B948" s="5">
        <f>'1 datos preparados'!U941</f>
        <v/>
      </c>
      <c r="C948">
        <f>'1 datos preparados'!B941</f>
        <v/>
      </c>
      <c r="D948" s="7">
        <f>'1 datos preparados'!C941</f>
        <v/>
      </c>
      <c r="E948" s="7">
        <f>'1 datos preparados'!D941</f>
        <v/>
      </c>
      <c r="F948" s="7">
        <f>'1 datos preparados'!E941</f>
        <v/>
      </c>
      <c r="G948" s="7">
        <f>'1 datos preparados'!F941</f>
        <v/>
      </c>
      <c r="H948" s="7">
        <f>'1 datos preparados'!G941</f>
        <v/>
      </c>
      <c r="I948" s="7">
        <f>'1 datos preparados'!H941</f>
        <v/>
      </c>
      <c r="J948" s="7">
        <f>'1 datos preparados'!I941</f>
        <v/>
      </c>
      <c r="K948" s="7">
        <f>'1 datos preparados'!J941</f>
        <v/>
      </c>
      <c r="L948" s="7">
        <f>'1 datos preparados'!K941</f>
        <v/>
      </c>
      <c r="M948" s="7">
        <f>'1 datos preparados'!L941</f>
        <v/>
      </c>
      <c r="N948" s="7">
        <f>'1 datos preparados'!M941</f>
        <v/>
      </c>
      <c r="O948" s="7">
        <f>'1 datos preparados'!N941</f>
        <v/>
      </c>
      <c r="P948" s="7">
        <f>'1 datos preparados'!O941</f>
        <v/>
      </c>
      <c r="Q948" s="7">
        <f>'1 datos preparados'!P941</f>
        <v/>
      </c>
      <c r="R948" s="7">
        <f>'1 datos preparados'!Q941</f>
        <v/>
      </c>
      <c r="S948" s="7">
        <f>'1 datos preparados'!R941</f>
        <v/>
      </c>
      <c r="T948" s="7">
        <f>'1 datos preparados'!S941</f>
        <v/>
      </c>
      <c r="U948" s="7">
        <f>'1 datos preparados'!T941</f>
        <v/>
      </c>
      <c r="V948" s="8">
        <f>$AC$12+D948*$AC$13+E948*$AC$14+F948*$AC$15+G948*$AC$16+H948*$AC$17+I948*$AC$18+J948*$AC$19+K948*$AC$20+L948*$AC$21+M948*$AC$22+N948*$AC$23+O948*$AC$24+P948*$AC$25+Q948*$AC$26+R948*$AC$27+S948*$AC$28+T948*$AC$29+U948*$AC$30</f>
        <v/>
      </c>
      <c r="W948" s="8">
        <f>1/(1+EXP(-V948))</f>
        <v/>
      </c>
      <c r="X948" s="9">
        <f>-IF(C948=1,LN(W948),LN(1-W948))</f>
        <v/>
      </c>
      <c r="Y948" s="10">
        <f>IF(W948&gt;$AC$33,1,0)</f>
        <v/>
      </c>
      <c r="Z948">
        <f>IF(Y948=C948,1,0)</f>
        <v/>
      </c>
    </row>
    <row r="949">
      <c r="A949">
        <f>'1 datos preparados'!A942</f>
        <v/>
      </c>
      <c r="B949" s="5">
        <f>'1 datos preparados'!U942</f>
        <v/>
      </c>
      <c r="C949">
        <f>'1 datos preparados'!B942</f>
        <v/>
      </c>
      <c r="D949" s="7">
        <f>'1 datos preparados'!C942</f>
        <v/>
      </c>
      <c r="E949" s="7">
        <f>'1 datos preparados'!D942</f>
        <v/>
      </c>
      <c r="F949" s="7">
        <f>'1 datos preparados'!E942</f>
        <v/>
      </c>
      <c r="G949" s="7">
        <f>'1 datos preparados'!F942</f>
        <v/>
      </c>
      <c r="H949" s="7">
        <f>'1 datos preparados'!G942</f>
        <v/>
      </c>
      <c r="I949" s="7">
        <f>'1 datos preparados'!H942</f>
        <v/>
      </c>
      <c r="J949" s="7">
        <f>'1 datos preparados'!I942</f>
        <v/>
      </c>
      <c r="K949" s="7">
        <f>'1 datos preparados'!J942</f>
        <v/>
      </c>
      <c r="L949" s="7">
        <f>'1 datos preparados'!K942</f>
        <v/>
      </c>
      <c r="M949" s="7">
        <f>'1 datos preparados'!L942</f>
        <v/>
      </c>
      <c r="N949" s="7">
        <f>'1 datos preparados'!M942</f>
        <v/>
      </c>
      <c r="O949" s="7">
        <f>'1 datos preparados'!N942</f>
        <v/>
      </c>
      <c r="P949" s="7">
        <f>'1 datos preparados'!O942</f>
        <v/>
      </c>
      <c r="Q949" s="7">
        <f>'1 datos preparados'!P942</f>
        <v/>
      </c>
      <c r="R949" s="7">
        <f>'1 datos preparados'!Q942</f>
        <v/>
      </c>
      <c r="S949" s="7">
        <f>'1 datos preparados'!R942</f>
        <v/>
      </c>
      <c r="T949" s="7">
        <f>'1 datos preparados'!S942</f>
        <v/>
      </c>
      <c r="U949" s="7">
        <f>'1 datos preparados'!T942</f>
        <v/>
      </c>
      <c r="V949" s="8">
        <f>$AC$12+D949*$AC$13+E949*$AC$14+F949*$AC$15+G949*$AC$16+H949*$AC$17+I949*$AC$18+J949*$AC$19+K949*$AC$20+L949*$AC$21+M949*$AC$22+N949*$AC$23+O949*$AC$24+P949*$AC$25+Q949*$AC$26+R949*$AC$27+S949*$AC$28+T949*$AC$29+U949*$AC$30</f>
        <v/>
      </c>
      <c r="W949" s="8">
        <f>1/(1+EXP(-V949))</f>
        <v/>
      </c>
      <c r="X949" s="9">
        <f>-IF(C949=1,LN(W949),LN(1-W949))</f>
        <v/>
      </c>
      <c r="Y949" s="10">
        <f>IF(W949&gt;$AC$33,1,0)</f>
        <v/>
      </c>
      <c r="Z949">
        <f>IF(Y949=C949,1,0)</f>
        <v/>
      </c>
    </row>
    <row r="950">
      <c r="A950">
        <f>'1 datos preparados'!A943</f>
        <v/>
      </c>
      <c r="B950" s="5">
        <f>'1 datos preparados'!U943</f>
        <v/>
      </c>
      <c r="C950">
        <f>'1 datos preparados'!B943</f>
        <v/>
      </c>
      <c r="D950" s="7">
        <f>'1 datos preparados'!C943</f>
        <v/>
      </c>
      <c r="E950" s="7">
        <f>'1 datos preparados'!D943</f>
        <v/>
      </c>
      <c r="F950" s="7">
        <f>'1 datos preparados'!E943</f>
        <v/>
      </c>
      <c r="G950" s="7">
        <f>'1 datos preparados'!F943</f>
        <v/>
      </c>
      <c r="H950" s="7">
        <f>'1 datos preparados'!G943</f>
        <v/>
      </c>
      <c r="I950" s="7">
        <f>'1 datos preparados'!H943</f>
        <v/>
      </c>
      <c r="J950" s="7">
        <f>'1 datos preparados'!I943</f>
        <v/>
      </c>
      <c r="K950" s="7">
        <f>'1 datos preparados'!J943</f>
        <v/>
      </c>
      <c r="L950" s="7">
        <f>'1 datos preparados'!K943</f>
        <v/>
      </c>
      <c r="M950" s="7">
        <f>'1 datos preparados'!L943</f>
        <v/>
      </c>
      <c r="N950" s="7">
        <f>'1 datos preparados'!M943</f>
        <v/>
      </c>
      <c r="O950" s="7">
        <f>'1 datos preparados'!N943</f>
        <v/>
      </c>
      <c r="P950" s="7">
        <f>'1 datos preparados'!O943</f>
        <v/>
      </c>
      <c r="Q950" s="7">
        <f>'1 datos preparados'!P943</f>
        <v/>
      </c>
      <c r="R950" s="7">
        <f>'1 datos preparados'!Q943</f>
        <v/>
      </c>
      <c r="S950" s="7">
        <f>'1 datos preparados'!R943</f>
        <v/>
      </c>
      <c r="T950" s="7">
        <f>'1 datos preparados'!S943</f>
        <v/>
      </c>
      <c r="U950" s="7">
        <f>'1 datos preparados'!T943</f>
        <v/>
      </c>
      <c r="V950" s="8">
        <f>$AC$12+D950*$AC$13+E950*$AC$14+F950*$AC$15+G950*$AC$16+H950*$AC$17+I950*$AC$18+J950*$AC$19+K950*$AC$20+L950*$AC$21+M950*$AC$22+N950*$AC$23+O950*$AC$24+P950*$AC$25+Q950*$AC$26+R950*$AC$27+S950*$AC$28+T950*$AC$29+U950*$AC$30</f>
        <v/>
      </c>
      <c r="W950" s="8">
        <f>1/(1+EXP(-V950))</f>
        <v/>
      </c>
      <c r="X950" s="9">
        <f>-IF(C950=1,LN(W950),LN(1-W950))</f>
        <v/>
      </c>
      <c r="Y950" s="10">
        <f>IF(W950&gt;$AC$33,1,0)</f>
        <v/>
      </c>
      <c r="Z950">
        <f>IF(Y950=C950,1,0)</f>
        <v/>
      </c>
    </row>
    <row r="951">
      <c r="A951">
        <f>'1 datos preparados'!A944</f>
        <v/>
      </c>
      <c r="B951" s="5">
        <f>'1 datos preparados'!U944</f>
        <v/>
      </c>
      <c r="C951">
        <f>'1 datos preparados'!B944</f>
        <v/>
      </c>
      <c r="D951" s="7">
        <f>'1 datos preparados'!C944</f>
        <v/>
      </c>
      <c r="E951" s="7">
        <f>'1 datos preparados'!D944</f>
        <v/>
      </c>
      <c r="F951" s="7">
        <f>'1 datos preparados'!E944</f>
        <v/>
      </c>
      <c r="G951" s="7">
        <f>'1 datos preparados'!F944</f>
        <v/>
      </c>
      <c r="H951" s="7">
        <f>'1 datos preparados'!G944</f>
        <v/>
      </c>
      <c r="I951" s="7">
        <f>'1 datos preparados'!H944</f>
        <v/>
      </c>
      <c r="J951" s="7">
        <f>'1 datos preparados'!I944</f>
        <v/>
      </c>
      <c r="K951" s="7">
        <f>'1 datos preparados'!J944</f>
        <v/>
      </c>
      <c r="L951" s="7">
        <f>'1 datos preparados'!K944</f>
        <v/>
      </c>
      <c r="M951" s="7">
        <f>'1 datos preparados'!L944</f>
        <v/>
      </c>
      <c r="N951" s="7">
        <f>'1 datos preparados'!M944</f>
        <v/>
      </c>
      <c r="O951" s="7">
        <f>'1 datos preparados'!N944</f>
        <v/>
      </c>
      <c r="P951" s="7">
        <f>'1 datos preparados'!O944</f>
        <v/>
      </c>
      <c r="Q951" s="7">
        <f>'1 datos preparados'!P944</f>
        <v/>
      </c>
      <c r="R951" s="7">
        <f>'1 datos preparados'!Q944</f>
        <v/>
      </c>
      <c r="S951" s="7">
        <f>'1 datos preparados'!R944</f>
        <v/>
      </c>
      <c r="T951" s="7">
        <f>'1 datos preparados'!S944</f>
        <v/>
      </c>
      <c r="U951" s="7">
        <f>'1 datos preparados'!T944</f>
        <v/>
      </c>
      <c r="V951" s="8">
        <f>$AC$12+D951*$AC$13+E951*$AC$14+F951*$AC$15+G951*$AC$16+H951*$AC$17+I951*$AC$18+J951*$AC$19+K951*$AC$20+L951*$AC$21+M951*$AC$22+N951*$AC$23+O951*$AC$24+P951*$AC$25+Q951*$AC$26+R951*$AC$27+S951*$AC$28+T951*$AC$29+U951*$AC$30</f>
        <v/>
      </c>
      <c r="W951" s="8">
        <f>1/(1+EXP(-V951))</f>
        <v/>
      </c>
      <c r="X951" s="9">
        <f>-IF(C951=1,LN(W951),LN(1-W951))</f>
        <v/>
      </c>
      <c r="Y951" s="10">
        <f>IF(W951&gt;$AC$33,1,0)</f>
        <v/>
      </c>
      <c r="Z951">
        <f>IF(Y951=C951,1,0)</f>
        <v/>
      </c>
    </row>
    <row r="952">
      <c r="A952">
        <f>'1 datos preparados'!A945</f>
        <v/>
      </c>
      <c r="B952" s="5">
        <f>'1 datos preparados'!U945</f>
        <v/>
      </c>
      <c r="C952">
        <f>'1 datos preparados'!B945</f>
        <v/>
      </c>
      <c r="D952" s="7">
        <f>'1 datos preparados'!C945</f>
        <v/>
      </c>
      <c r="E952" s="7">
        <f>'1 datos preparados'!D945</f>
        <v/>
      </c>
      <c r="F952" s="7">
        <f>'1 datos preparados'!E945</f>
        <v/>
      </c>
      <c r="G952" s="7">
        <f>'1 datos preparados'!F945</f>
        <v/>
      </c>
      <c r="H952" s="7">
        <f>'1 datos preparados'!G945</f>
        <v/>
      </c>
      <c r="I952" s="7">
        <f>'1 datos preparados'!H945</f>
        <v/>
      </c>
      <c r="J952" s="7">
        <f>'1 datos preparados'!I945</f>
        <v/>
      </c>
      <c r="K952" s="7">
        <f>'1 datos preparados'!J945</f>
        <v/>
      </c>
      <c r="L952" s="7">
        <f>'1 datos preparados'!K945</f>
        <v/>
      </c>
      <c r="M952" s="7">
        <f>'1 datos preparados'!L945</f>
        <v/>
      </c>
      <c r="N952" s="7">
        <f>'1 datos preparados'!M945</f>
        <v/>
      </c>
      <c r="O952" s="7">
        <f>'1 datos preparados'!N945</f>
        <v/>
      </c>
      <c r="P952" s="7">
        <f>'1 datos preparados'!O945</f>
        <v/>
      </c>
      <c r="Q952" s="7">
        <f>'1 datos preparados'!P945</f>
        <v/>
      </c>
      <c r="R952" s="7">
        <f>'1 datos preparados'!Q945</f>
        <v/>
      </c>
      <c r="S952" s="7">
        <f>'1 datos preparados'!R945</f>
        <v/>
      </c>
      <c r="T952" s="7">
        <f>'1 datos preparados'!S945</f>
        <v/>
      </c>
      <c r="U952" s="7">
        <f>'1 datos preparados'!T945</f>
        <v/>
      </c>
      <c r="V952" s="8">
        <f>$AC$12+D952*$AC$13+E952*$AC$14+F952*$AC$15+G952*$AC$16+H952*$AC$17+I952*$AC$18+J952*$AC$19+K952*$AC$20+L952*$AC$21+M952*$AC$22+N952*$AC$23+O952*$AC$24+P952*$AC$25+Q952*$AC$26+R952*$AC$27+S952*$AC$28+T952*$AC$29+U952*$AC$30</f>
        <v/>
      </c>
      <c r="W952" s="8">
        <f>1/(1+EXP(-V952))</f>
        <v/>
      </c>
      <c r="X952" s="9">
        <f>-IF(C952=1,LN(W952),LN(1-W952))</f>
        <v/>
      </c>
      <c r="Y952" s="10">
        <f>IF(W952&gt;$AC$33,1,0)</f>
        <v/>
      </c>
      <c r="Z952">
        <f>IF(Y952=C952,1,0)</f>
        <v/>
      </c>
    </row>
    <row r="953">
      <c r="A953">
        <f>'1 datos preparados'!A946</f>
        <v/>
      </c>
      <c r="B953" s="5">
        <f>'1 datos preparados'!U946</f>
        <v/>
      </c>
      <c r="C953">
        <f>'1 datos preparados'!B946</f>
        <v/>
      </c>
      <c r="D953" s="7">
        <f>'1 datos preparados'!C946</f>
        <v/>
      </c>
      <c r="E953" s="7">
        <f>'1 datos preparados'!D946</f>
        <v/>
      </c>
      <c r="F953" s="7">
        <f>'1 datos preparados'!E946</f>
        <v/>
      </c>
      <c r="G953" s="7">
        <f>'1 datos preparados'!F946</f>
        <v/>
      </c>
      <c r="H953" s="7">
        <f>'1 datos preparados'!G946</f>
        <v/>
      </c>
      <c r="I953" s="7">
        <f>'1 datos preparados'!H946</f>
        <v/>
      </c>
      <c r="J953" s="7">
        <f>'1 datos preparados'!I946</f>
        <v/>
      </c>
      <c r="K953" s="7">
        <f>'1 datos preparados'!J946</f>
        <v/>
      </c>
      <c r="L953" s="7">
        <f>'1 datos preparados'!K946</f>
        <v/>
      </c>
      <c r="M953" s="7">
        <f>'1 datos preparados'!L946</f>
        <v/>
      </c>
      <c r="N953" s="7">
        <f>'1 datos preparados'!M946</f>
        <v/>
      </c>
      <c r="O953" s="7">
        <f>'1 datos preparados'!N946</f>
        <v/>
      </c>
      <c r="P953" s="7">
        <f>'1 datos preparados'!O946</f>
        <v/>
      </c>
      <c r="Q953" s="7">
        <f>'1 datos preparados'!P946</f>
        <v/>
      </c>
      <c r="R953" s="7">
        <f>'1 datos preparados'!Q946</f>
        <v/>
      </c>
      <c r="S953" s="7">
        <f>'1 datos preparados'!R946</f>
        <v/>
      </c>
      <c r="T953" s="7">
        <f>'1 datos preparados'!S946</f>
        <v/>
      </c>
      <c r="U953" s="7">
        <f>'1 datos preparados'!T946</f>
        <v/>
      </c>
      <c r="V953" s="8">
        <f>$AC$12+D953*$AC$13+E953*$AC$14+F953*$AC$15+G953*$AC$16+H953*$AC$17+I953*$AC$18+J953*$AC$19+K953*$AC$20+L953*$AC$21+M953*$AC$22+N953*$AC$23+O953*$AC$24+P953*$AC$25+Q953*$AC$26+R953*$AC$27+S953*$AC$28+T953*$AC$29+U953*$AC$30</f>
        <v/>
      </c>
      <c r="W953" s="8">
        <f>1/(1+EXP(-V953))</f>
        <v/>
      </c>
      <c r="X953" s="9">
        <f>-IF(C953=1,LN(W953),LN(1-W953))</f>
        <v/>
      </c>
      <c r="Y953" s="10">
        <f>IF(W953&gt;$AC$33,1,0)</f>
        <v/>
      </c>
      <c r="Z953">
        <f>IF(Y953=C953,1,0)</f>
        <v/>
      </c>
    </row>
    <row r="954">
      <c r="A954">
        <f>'1 datos preparados'!A947</f>
        <v/>
      </c>
      <c r="B954" s="5">
        <f>'1 datos preparados'!U947</f>
        <v/>
      </c>
      <c r="C954">
        <f>'1 datos preparados'!B947</f>
        <v/>
      </c>
      <c r="D954" s="7">
        <f>'1 datos preparados'!C947</f>
        <v/>
      </c>
      <c r="E954" s="7">
        <f>'1 datos preparados'!D947</f>
        <v/>
      </c>
      <c r="F954" s="7">
        <f>'1 datos preparados'!E947</f>
        <v/>
      </c>
      <c r="G954" s="7">
        <f>'1 datos preparados'!F947</f>
        <v/>
      </c>
      <c r="H954" s="7">
        <f>'1 datos preparados'!G947</f>
        <v/>
      </c>
      <c r="I954" s="7">
        <f>'1 datos preparados'!H947</f>
        <v/>
      </c>
      <c r="J954" s="7">
        <f>'1 datos preparados'!I947</f>
        <v/>
      </c>
      <c r="K954" s="7">
        <f>'1 datos preparados'!J947</f>
        <v/>
      </c>
      <c r="L954" s="7">
        <f>'1 datos preparados'!K947</f>
        <v/>
      </c>
      <c r="M954" s="7">
        <f>'1 datos preparados'!L947</f>
        <v/>
      </c>
      <c r="N954" s="7">
        <f>'1 datos preparados'!M947</f>
        <v/>
      </c>
      <c r="O954" s="7">
        <f>'1 datos preparados'!N947</f>
        <v/>
      </c>
      <c r="P954" s="7">
        <f>'1 datos preparados'!O947</f>
        <v/>
      </c>
      <c r="Q954" s="7">
        <f>'1 datos preparados'!P947</f>
        <v/>
      </c>
      <c r="R954" s="7">
        <f>'1 datos preparados'!Q947</f>
        <v/>
      </c>
      <c r="S954" s="7">
        <f>'1 datos preparados'!R947</f>
        <v/>
      </c>
      <c r="T954" s="7">
        <f>'1 datos preparados'!S947</f>
        <v/>
      </c>
      <c r="U954" s="7">
        <f>'1 datos preparados'!T947</f>
        <v/>
      </c>
      <c r="V954" s="8">
        <f>$AC$12+D954*$AC$13+E954*$AC$14+F954*$AC$15+G954*$AC$16+H954*$AC$17+I954*$AC$18+J954*$AC$19+K954*$AC$20+L954*$AC$21+M954*$AC$22+N954*$AC$23+O954*$AC$24+P954*$AC$25+Q954*$AC$26+R954*$AC$27+S954*$AC$28+T954*$AC$29+U954*$AC$30</f>
        <v/>
      </c>
      <c r="W954" s="8">
        <f>1/(1+EXP(-V954))</f>
        <v/>
      </c>
      <c r="X954" s="9">
        <f>-IF(C954=1,LN(W954),LN(1-W954))</f>
        <v/>
      </c>
      <c r="Y954" s="10">
        <f>IF(W954&gt;$AC$33,1,0)</f>
        <v/>
      </c>
      <c r="Z954">
        <f>IF(Y954=C954,1,0)</f>
        <v/>
      </c>
    </row>
    <row r="955">
      <c r="A955">
        <f>'1 datos preparados'!A948</f>
        <v/>
      </c>
      <c r="B955" s="5">
        <f>'1 datos preparados'!U948</f>
        <v/>
      </c>
      <c r="C955">
        <f>'1 datos preparados'!B948</f>
        <v/>
      </c>
      <c r="D955" s="7">
        <f>'1 datos preparados'!C948</f>
        <v/>
      </c>
      <c r="E955" s="7">
        <f>'1 datos preparados'!D948</f>
        <v/>
      </c>
      <c r="F955" s="7">
        <f>'1 datos preparados'!E948</f>
        <v/>
      </c>
      <c r="G955" s="7">
        <f>'1 datos preparados'!F948</f>
        <v/>
      </c>
      <c r="H955" s="7">
        <f>'1 datos preparados'!G948</f>
        <v/>
      </c>
      <c r="I955" s="7">
        <f>'1 datos preparados'!H948</f>
        <v/>
      </c>
      <c r="J955" s="7">
        <f>'1 datos preparados'!I948</f>
        <v/>
      </c>
      <c r="K955" s="7">
        <f>'1 datos preparados'!J948</f>
        <v/>
      </c>
      <c r="L955" s="7">
        <f>'1 datos preparados'!K948</f>
        <v/>
      </c>
      <c r="M955" s="7">
        <f>'1 datos preparados'!L948</f>
        <v/>
      </c>
      <c r="N955" s="7">
        <f>'1 datos preparados'!M948</f>
        <v/>
      </c>
      <c r="O955" s="7">
        <f>'1 datos preparados'!N948</f>
        <v/>
      </c>
      <c r="P955" s="7">
        <f>'1 datos preparados'!O948</f>
        <v/>
      </c>
      <c r="Q955" s="7">
        <f>'1 datos preparados'!P948</f>
        <v/>
      </c>
      <c r="R955" s="7">
        <f>'1 datos preparados'!Q948</f>
        <v/>
      </c>
      <c r="S955" s="7">
        <f>'1 datos preparados'!R948</f>
        <v/>
      </c>
      <c r="T955" s="7">
        <f>'1 datos preparados'!S948</f>
        <v/>
      </c>
      <c r="U955" s="7">
        <f>'1 datos preparados'!T948</f>
        <v/>
      </c>
      <c r="V955" s="8">
        <f>$AC$12+D955*$AC$13+E955*$AC$14+F955*$AC$15+G955*$AC$16+H955*$AC$17+I955*$AC$18+J955*$AC$19+K955*$AC$20+L955*$AC$21+M955*$AC$22+N955*$AC$23+O955*$AC$24+P955*$AC$25+Q955*$AC$26+R955*$AC$27+S955*$AC$28+T955*$AC$29+U955*$AC$30</f>
        <v/>
      </c>
      <c r="W955" s="8">
        <f>1/(1+EXP(-V955))</f>
        <v/>
      </c>
      <c r="X955" s="9">
        <f>-IF(C955=1,LN(W955),LN(1-W955))</f>
        <v/>
      </c>
      <c r="Y955" s="10">
        <f>IF(W955&gt;$AC$33,1,0)</f>
        <v/>
      </c>
      <c r="Z955">
        <f>IF(Y955=C955,1,0)</f>
        <v/>
      </c>
    </row>
    <row r="956">
      <c r="A956">
        <f>'1 datos preparados'!A949</f>
        <v/>
      </c>
      <c r="B956" s="5">
        <f>'1 datos preparados'!U949</f>
        <v/>
      </c>
      <c r="C956">
        <f>'1 datos preparados'!B949</f>
        <v/>
      </c>
      <c r="D956" s="7">
        <f>'1 datos preparados'!C949</f>
        <v/>
      </c>
      <c r="E956" s="7">
        <f>'1 datos preparados'!D949</f>
        <v/>
      </c>
      <c r="F956" s="7">
        <f>'1 datos preparados'!E949</f>
        <v/>
      </c>
      <c r="G956" s="7">
        <f>'1 datos preparados'!F949</f>
        <v/>
      </c>
      <c r="H956" s="7">
        <f>'1 datos preparados'!G949</f>
        <v/>
      </c>
      <c r="I956" s="7">
        <f>'1 datos preparados'!H949</f>
        <v/>
      </c>
      <c r="J956" s="7">
        <f>'1 datos preparados'!I949</f>
        <v/>
      </c>
      <c r="K956" s="7">
        <f>'1 datos preparados'!J949</f>
        <v/>
      </c>
      <c r="L956" s="7">
        <f>'1 datos preparados'!K949</f>
        <v/>
      </c>
      <c r="M956" s="7">
        <f>'1 datos preparados'!L949</f>
        <v/>
      </c>
      <c r="N956" s="7">
        <f>'1 datos preparados'!M949</f>
        <v/>
      </c>
      <c r="O956" s="7">
        <f>'1 datos preparados'!N949</f>
        <v/>
      </c>
      <c r="P956" s="7">
        <f>'1 datos preparados'!O949</f>
        <v/>
      </c>
      <c r="Q956" s="7">
        <f>'1 datos preparados'!P949</f>
        <v/>
      </c>
      <c r="R956" s="7">
        <f>'1 datos preparados'!Q949</f>
        <v/>
      </c>
      <c r="S956" s="7">
        <f>'1 datos preparados'!R949</f>
        <v/>
      </c>
      <c r="T956" s="7">
        <f>'1 datos preparados'!S949</f>
        <v/>
      </c>
      <c r="U956" s="7">
        <f>'1 datos preparados'!T949</f>
        <v/>
      </c>
      <c r="V956" s="8">
        <f>$AC$12+D956*$AC$13+E956*$AC$14+F956*$AC$15+G956*$AC$16+H956*$AC$17+I956*$AC$18+J956*$AC$19+K956*$AC$20+L956*$AC$21+M956*$AC$22+N956*$AC$23+O956*$AC$24+P956*$AC$25+Q956*$AC$26+R956*$AC$27+S956*$AC$28+T956*$AC$29+U956*$AC$30</f>
        <v/>
      </c>
      <c r="W956" s="8">
        <f>1/(1+EXP(-V956))</f>
        <v/>
      </c>
      <c r="X956" s="9">
        <f>-IF(C956=1,LN(W956),LN(1-W956))</f>
        <v/>
      </c>
      <c r="Y956" s="10">
        <f>IF(W956&gt;$AC$33,1,0)</f>
        <v/>
      </c>
      <c r="Z956">
        <f>IF(Y956=C956,1,0)</f>
        <v/>
      </c>
    </row>
    <row r="957">
      <c r="A957">
        <f>'1 datos preparados'!A950</f>
        <v/>
      </c>
      <c r="B957" s="5">
        <f>'1 datos preparados'!U950</f>
        <v/>
      </c>
      <c r="C957">
        <f>'1 datos preparados'!B950</f>
        <v/>
      </c>
      <c r="D957" s="7">
        <f>'1 datos preparados'!C950</f>
        <v/>
      </c>
      <c r="E957" s="7">
        <f>'1 datos preparados'!D950</f>
        <v/>
      </c>
      <c r="F957" s="7">
        <f>'1 datos preparados'!E950</f>
        <v/>
      </c>
      <c r="G957" s="7">
        <f>'1 datos preparados'!F950</f>
        <v/>
      </c>
      <c r="H957" s="7">
        <f>'1 datos preparados'!G950</f>
        <v/>
      </c>
      <c r="I957" s="7">
        <f>'1 datos preparados'!H950</f>
        <v/>
      </c>
      <c r="J957" s="7">
        <f>'1 datos preparados'!I950</f>
        <v/>
      </c>
      <c r="K957" s="7">
        <f>'1 datos preparados'!J950</f>
        <v/>
      </c>
      <c r="L957" s="7">
        <f>'1 datos preparados'!K950</f>
        <v/>
      </c>
      <c r="M957" s="7">
        <f>'1 datos preparados'!L950</f>
        <v/>
      </c>
      <c r="N957" s="7">
        <f>'1 datos preparados'!M950</f>
        <v/>
      </c>
      <c r="O957" s="7">
        <f>'1 datos preparados'!N950</f>
        <v/>
      </c>
      <c r="P957" s="7">
        <f>'1 datos preparados'!O950</f>
        <v/>
      </c>
      <c r="Q957" s="7">
        <f>'1 datos preparados'!P950</f>
        <v/>
      </c>
      <c r="R957" s="7">
        <f>'1 datos preparados'!Q950</f>
        <v/>
      </c>
      <c r="S957" s="7">
        <f>'1 datos preparados'!R950</f>
        <v/>
      </c>
      <c r="T957" s="7">
        <f>'1 datos preparados'!S950</f>
        <v/>
      </c>
      <c r="U957" s="7">
        <f>'1 datos preparados'!T950</f>
        <v/>
      </c>
      <c r="V957" s="8">
        <f>$AC$12+D957*$AC$13+E957*$AC$14+F957*$AC$15+G957*$AC$16+H957*$AC$17+I957*$AC$18+J957*$AC$19+K957*$AC$20+L957*$AC$21+M957*$AC$22+N957*$AC$23+O957*$AC$24+P957*$AC$25+Q957*$AC$26+R957*$AC$27+S957*$AC$28+T957*$AC$29+U957*$AC$30</f>
        <v/>
      </c>
      <c r="W957" s="8">
        <f>1/(1+EXP(-V957))</f>
        <v/>
      </c>
      <c r="X957" s="9">
        <f>-IF(C957=1,LN(W957),LN(1-W957))</f>
        <v/>
      </c>
      <c r="Y957" s="10">
        <f>IF(W957&gt;$AC$33,1,0)</f>
        <v/>
      </c>
      <c r="Z957">
        <f>IF(Y957=C957,1,0)</f>
        <v/>
      </c>
    </row>
    <row r="958">
      <c r="A958">
        <f>'1 datos preparados'!A951</f>
        <v/>
      </c>
      <c r="B958" s="5">
        <f>'1 datos preparados'!U951</f>
        <v/>
      </c>
      <c r="C958">
        <f>'1 datos preparados'!B951</f>
        <v/>
      </c>
      <c r="D958" s="7">
        <f>'1 datos preparados'!C951</f>
        <v/>
      </c>
      <c r="E958" s="7">
        <f>'1 datos preparados'!D951</f>
        <v/>
      </c>
      <c r="F958" s="7">
        <f>'1 datos preparados'!E951</f>
        <v/>
      </c>
      <c r="G958" s="7">
        <f>'1 datos preparados'!F951</f>
        <v/>
      </c>
      <c r="H958" s="7">
        <f>'1 datos preparados'!G951</f>
        <v/>
      </c>
      <c r="I958" s="7">
        <f>'1 datos preparados'!H951</f>
        <v/>
      </c>
      <c r="J958" s="7">
        <f>'1 datos preparados'!I951</f>
        <v/>
      </c>
      <c r="K958" s="7">
        <f>'1 datos preparados'!J951</f>
        <v/>
      </c>
      <c r="L958" s="7">
        <f>'1 datos preparados'!K951</f>
        <v/>
      </c>
      <c r="M958" s="7">
        <f>'1 datos preparados'!L951</f>
        <v/>
      </c>
      <c r="N958" s="7">
        <f>'1 datos preparados'!M951</f>
        <v/>
      </c>
      <c r="O958" s="7">
        <f>'1 datos preparados'!N951</f>
        <v/>
      </c>
      <c r="P958" s="7">
        <f>'1 datos preparados'!O951</f>
        <v/>
      </c>
      <c r="Q958" s="7">
        <f>'1 datos preparados'!P951</f>
        <v/>
      </c>
      <c r="R958" s="7">
        <f>'1 datos preparados'!Q951</f>
        <v/>
      </c>
      <c r="S958" s="7">
        <f>'1 datos preparados'!R951</f>
        <v/>
      </c>
      <c r="T958" s="7">
        <f>'1 datos preparados'!S951</f>
        <v/>
      </c>
      <c r="U958" s="7">
        <f>'1 datos preparados'!T951</f>
        <v/>
      </c>
      <c r="V958" s="8">
        <f>$AC$12+D958*$AC$13+E958*$AC$14+F958*$AC$15+G958*$AC$16+H958*$AC$17+I958*$AC$18+J958*$AC$19+K958*$AC$20+L958*$AC$21+M958*$AC$22+N958*$AC$23+O958*$AC$24+P958*$AC$25+Q958*$AC$26+R958*$AC$27+S958*$AC$28+T958*$AC$29+U958*$AC$30</f>
        <v/>
      </c>
      <c r="W958" s="8">
        <f>1/(1+EXP(-V958))</f>
        <v/>
      </c>
      <c r="X958" s="9">
        <f>-IF(C958=1,LN(W958),LN(1-W958))</f>
        <v/>
      </c>
      <c r="Y958" s="10">
        <f>IF(W958&gt;$AC$33,1,0)</f>
        <v/>
      </c>
      <c r="Z958">
        <f>IF(Y958=C958,1,0)</f>
        <v/>
      </c>
    </row>
    <row r="959">
      <c r="A959">
        <f>'1 datos preparados'!A952</f>
        <v/>
      </c>
      <c r="B959" s="5">
        <f>'1 datos preparados'!U952</f>
        <v/>
      </c>
      <c r="C959">
        <f>'1 datos preparados'!B952</f>
        <v/>
      </c>
      <c r="D959" s="7">
        <f>'1 datos preparados'!C952</f>
        <v/>
      </c>
      <c r="E959" s="7">
        <f>'1 datos preparados'!D952</f>
        <v/>
      </c>
      <c r="F959" s="7">
        <f>'1 datos preparados'!E952</f>
        <v/>
      </c>
      <c r="G959" s="7">
        <f>'1 datos preparados'!F952</f>
        <v/>
      </c>
      <c r="H959" s="7">
        <f>'1 datos preparados'!G952</f>
        <v/>
      </c>
      <c r="I959" s="7">
        <f>'1 datos preparados'!H952</f>
        <v/>
      </c>
      <c r="J959" s="7">
        <f>'1 datos preparados'!I952</f>
        <v/>
      </c>
      <c r="K959" s="7">
        <f>'1 datos preparados'!J952</f>
        <v/>
      </c>
      <c r="L959" s="7">
        <f>'1 datos preparados'!K952</f>
        <v/>
      </c>
      <c r="M959" s="7">
        <f>'1 datos preparados'!L952</f>
        <v/>
      </c>
      <c r="N959" s="7">
        <f>'1 datos preparados'!M952</f>
        <v/>
      </c>
      <c r="O959" s="7">
        <f>'1 datos preparados'!N952</f>
        <v/>
      </c>
      <c r="P959" s="7">
        <f>'1 datos preparados'!O952</f>
        <v/>
      </c>
      <c r="Q959" s="7">
        <f>'1 datos preparados'!P952</f>
        <v/>
      </c>
      <c r="R959" s="7">
        <f>'1 datos preparados'!Q952</f>
        <v/>
      </c>
      <c r="S959" s="7">
        <f>'1 datos preparados'!R952</f>
        <v/>
      </c>
      <c r="T959" s="7">
        <f>'1 datos preparados'!S952</f>
        <v/>
      </c>
      <c r="U959" s="7">
        <f>'1 datos preparados'!T952</f>
        <v/>
      </c>
      <c r="V959" s="8">
        <f>$AC$12+D959*$AC$13+E959*$AC$14+F959*$AC$15+G959*$AC$16+H959*$AC$17+I959*$AC$18+J959*$AC$19+K959*$AC$20+L959*$AC$21+M959*$AC$22+N959*$AC$23+O959*$AC$24+P959*$AC$25+Q959*$AC$26+R959*$AC$27+S959*$AC$28+T959*$AC$29+U959*$AC$30</f>
        <v/>
      </c>
      <c r="W959" s="8">
        <f>1/(1+EXP(-V959))</f>
        <v/>
      </c>
      <c r="X959" s="9">
        <f>-IF(C959=1,LN(W959),LN(1-W959))</f>
        <v/>
      </c>
      <c r="Y959" s="10">
        <f>IF(W959&gt;$AC$33,1,0)</f>
        <v/>
      </c>
      <c r="Z959">
        <f>IF(Y959=C959,1,0)</f>
        <v/>
      </c>
    </row>
    <row r="960">
      <c r="A960">
        <f>'1 datos preparados'!A953</f>
        <v/>
      </c>
      <c r="B960" s="5">
        <f>'1 datos preparados'!U953</f>
        <v/>
      </c>
      <c r="C960">
        <f>'1 datos preparados'!B953</f>
        <v/>
      </c>
      <c r="D960" s="7">
        <f>'1 datos preparados'!C953</f>
        <v/>
      </c>
      <c r="E960" s="7">
        <f>'1 datos preparados'!D953</f>
        <v/>
      </c>
      <c r="F960" s="7">
        <f>'1 datos preparados'!E953</f>
        <v/>
      </c>
      <c r="G960" s="7">
        <f>'1 datos preparados'!F953</f>
        <v/>
      </c>
      <c r="H960" s="7">
        <f>'1 datos preparados'!G953</f>
        <v/>
      </c>
      <c r="I960" s="7">
        <f>'1 datos preparados'!H953</f>
        <v/>
      </c>
      <c r="J960" s="7">
        <f>'1 datos preparados'!I953</f>
        <v/>
      </c>
      <c r="K960" s="7">
        <f>'1 datos preparados'!J953</f>
        <v/>
      </c>
      <c r="L960" s="7">
        <f>'1 datos preparados'!K953</f>
        <v/>
      </c>
      <c r="M960" s="7">
        <f>'1 datos preparados'!L953</f>
        <v/>
      </c>
      <c r="N960" s="7">
        <f>'1 datos preparados'!M953</f>
        <v/>
      </c>
      <c r="O960" s="7">
        <f>'1 datos preparados'!N953</f>
        <v/>
      </c>
      <c r="P960" s="7">
        <f>'1 datos preparados'!O953</f>
        <v/>
      </c>
      <c r="Q960" s="7">
        <f>'1 datos preparados'!P953</f>
        <v/>
      </c>
      <c r="R960" s="7">
        <f>'1 datos preparados'!Q953</f>
        <v/>
      </c>
      <c r="S960" s="7">
        <f>'1 datos preparados'!R953</f>
        <v/>
      </c>
      <c r="T960" s="7">
        <f>'1 datos preparados'!S953</f>
        <v/>
      </c>
      <c r="U960" s="7">
        <f>'1 datos preparados'!T953</f>
        <v/>
      </c>
      <c r="V960" s="8">
        <f>$AC$12+D960*$AC$13+E960*$AC$14+F960*$AC$15+G960*$AC$16+H960*$AC$17+I960*$AC$18+J960*$AC$19+K960*$AC$20+L960*$AC$21+M960*$AC$22+N960*$AC$23+O960*$AC$24+P960*$AC$25+Q960*$AC$26+R960*$AC$27+S960*$AC$28+T960*$AC$29+U960*$AC$30</f>
        <v/>
      </c>
      <c r="W960" s="8">
        <f>1/(1+EXP(-V960))</f>
        <v/>
      </c>
      <c r="X960" s="9">
        <f>-IF(C960=1,LN(W960),LN(1-W960))</f>
        <v/>
      </c>
      <c r="Y960" s="10">
        <f>IF(W960&gt;$AC$33,1,0)</f>
        <v/>
      </c>
      <c r="Z960">
        <f>IF(Y960=C960,1,0)</f>
        <v/>
      </c>
    </row>
    <row r="961">
      <c r="A961">
        <f>'1 datos preparados'!A954</f>
        <v/>
      </c>
      <c r="B961" s="5">
        <f>'1 datos preparados'!U954</f>
        <v/>
      </c>
      <c r="C961">
        <f>'1 datos preparados'!B954</f>
        <v/>
      </c>
      <c r="D961" s="7">
        <f>'1 datos preparados'!C954</f>
        <v/>
      </c>
      <c r="E961" s="7">
        <f>'1 datos preparados'!D954</f>
        <v/>
      </c>
      <c r="F961" s="7">
        <f>'1 datos preparados'!E954</f>
        <v/>
      </c>
      <c r="G961" s="7">
        <f>'1 datos preparados'!F954</f>
        <v/>
      </c>
      <c r="H961" s="7">
        <f>'1 datos preparados'!G954</f>
        <v/>
      </c>
      <c r="I961" s="7">
        <f>'1 datos preparados'!H954</f>
        <v/>
      </c>
      <c r="J961" s="7">
        <f>'1 datos preparados'!I954</f>
        <v/>
      </c>
      <c r="K961" s="7">
        <f>'1 datos preparados'!J954</f>
        <v/>
      </c>
      <c r="L961" s="7">
        <f>'1 datos preparados'!K954</f>
        <v/>
      </c>
      <c r="M961" s="7">
        <f>'1 datos preparados'!L954</f>
        <v/>
      </c>
      <c r="N961" s="7">
        <f>'1 datos preparados'!M954</f>
        <v/>
      </c>
      <c r="O961" s="7">
        <f>'1 datos preparados'!N954</f>
        <v/>
      </c>
      <c r="P961" s="7">
        <f>'1 datos preparados'!O954</f>
        <v/>
      </c>
      <c r="Q961" s="7">
        <f>'1 datos preparados'!P954</f>
        <v/>
      </c>
      <c r="R961" s="7">
        <f>'1 datos preparados'!Q954</f>
        <v/>
      </c>
      <c r="S961" s="7">
        <f>'1 datos preparados'!R954</f>
        <v/>
      </c>
      <c r="T961" s="7">
        <f>'1 datos preparados'!S954</f>
        <v/>
      </c>
      <c r="U961" s="7">
        <f>'1 datos preparados'!T954</f>
        <v/>
      </c>
      <c r="V961" s="8">
        <f>$AC$12+D961*$AC$13+E961*$AC$14+F961*$AC$15+G961*$AC$16+H961*$AC$17+I961*$AC$18+J961*$AC$19+K961*$AC$20+L961*$AC$21+M961*$AC$22+N961*$AC$23+O961*$AC$24+P961*$AC$25+Q961*$AC$26+R961*$AC$27+S961*$AC$28+T961*$AC$29+U961*$AC$30</f>
        <v/>
      </c>
      <c r="W961" s="8">
        <f>1/(1+EXP(-V961))</f>
        <v/>
      </c>
      <c r="X961" s="9">
        <f>-IF(C961=1,LN(W961),LN(1-W961))</f>
        <v/>
      </c>
      <c r="Y961" s="10">
        <f>IF(W961&gt;$AC$33,1,0)</f>
        <v/>
      </c>
      <c r="Z961">
        <f>IF(Y961=C961,1,0)</f>
        <v/>
      </c>
    </row>
    <row r="962">
      <c r="A962">
        <f>'1 datos preparados'!A955</f>
        <v/>
      </c>
      <c r="B962" s="5">
        <f>'1 datos preparados'!U955</f>
        <v/>
      </c>
      <c r="C962">
        <f>'1 datos preparados'!B955</f>
        <v/>
      </c>
      <c r="D962" s="7">
        <f>'1 datos preparados'!C955</f>
        <v/>
      </c>
      <c r="E962" s="7">
        <f>'1 datos preparados'!D955</f>
        <v/>
      </c>
      <c r="F962" s="7">
        <f>'1 datos preparados'!E955</f>
        <v/>
      </c>
      <c r="G962" s="7">
        <f>'1 datos preparados'!F955</f>
        <v/>
      </c>
      <c r="H962" s="7">
        <f>'1 datos preparados'!G955</f>
        <v/>
      </c>
      <c r="I962" s="7">
        <f>'1 datos preparados'!H955</f>
        <v/>
      </c>
      <c r="J962" s="7">
        <f>'1 datos preparados'!I955</f>
        <v/>
      </c>
      <c r="K962" s="7">
        <f>'1 datos preparados'!J955</f>
        <v/>
      </c>
      <c r="L962" s="7">
        <f>'1 datos preparados'!K955</f>
        <v/>
      </c>
      <c r="M962" s="7">
        <f>'1 datos preparados'!L955</f>
        <v/>
      </c>
      <c r="N962" s="7">
        <f>'1 datos preparados'!M955</f>
        <v/>
      </c>
      <c r="O962" s="7">
        <f>'1 datos preparados'!N955</f>
        <v/>
      </c>
      <c r="P962" s="7">
        <f>'1 datos preparados'!O955</f>
        <v/>
      </c>
      <c r="Q962" s="7">
        <f>'1 datos preparados'!P955</f>
        <v/>
      </c>
      <c r="R962" s="7">
        <f>'1 datos preparados'!Q955</f>
        <v/>
      </c>
      <c r="S962" s="7">
        <f>'1 datos preparados'!R955</f>
        <v/>
      </c>
      <c r="T962" s="7">
        <f>'1 datos preparados'!S955</f>
        <v/>
      </c>
      <c r="U962" s="7">
        <f>'1 datos preparados'!T955</f>
        <v/>
      </c>
      <c r="V962" s="8">
        <f>$AC$12+D962*$AC$13+E962*$AC$14+F962*$AC$15+G962*$AC$16+H962*$AC$17+I962*$AC$18+J962*$AC$19+K962*$AC$20+L962*$AC$21+M962*$AC$22+N962*$AC$23+O962*$AC$24+P962*$AC$25+Q962*$AC$26+R962*$AC$27+S962*$AC$28+T962*$AC$29+U962*$AC$30</f>
        <v/>
      </c>
      <c r="W962" s="8">
        <f>1/(1+EXP(-V962))</f>
        <v/>
      </c>
      <c r="X962" s="9">
        <f>-IF(C962=1,LN(W962),LN(1-W962))</f>
        <v/>
      </c>
      <c r="Y962" s="10">
        <f>IF(W962&gt;$AC$33,1,0)</f>
        <v/>
      </c>
      <c r="Z962">
        <f>IF(Y962=C962,1,0)</f>
        <v/>
      </c>
    </row>
    <row r="963">
      <c r="A963">
        <f>'1 datos preparados'!A956</f>
        <v/>
      </c>
      <c r="B963" s="5">
        <f>'1 datos preparados'!U956</f>
        <v/>
      </c>
      <c r="C963">
        <f>'1 datos preparados'!B956</f>
        <v/>
      </c>
      <c r="D963" s="7">
        <f>'1 datos preparados'!C956</f>
        <v/>
      </c>
      <c r="E963" s="7">
        <f>'1 datos preparados'!D956</f>
        <v/>
      </c>
      <c r="F963" s="7">
        <f>'1 datos preparados'!E956</f>
        <v/>
      </c>
      <c r="G963" s="7">
        <f>'1 datos preparados'!F956</f>
        <v/>
      </c>
      <c r="H963" s="7">
        <f>'1 datos preparados'!G956</f>
        <v/>
      </c>
      <c r="I963" s="7">
        <f>'1 datos preparados'!H956</f>
        <v/>
      </c>
      <c r="J963" s="7">
        <f>'1 datos preparados'!I956</f>
        <v/>
      </c>
      <c r="K963" s="7">
        <f>'1 datos preparados'!J956</f>
        <v/>
      </c>
      <c r="L963" s="7">
        <f>'1 datos preparados'!K956</f>
        <v/>
      </c>
      <c r="M963" s="7">
        <f>'1 datos preparados'!L956</f>
        <v/>
      </c>
      <c r="N963" s="7">
        <f>'1 datos preparados'!M956</f>
        <v/>
      </c>
      <c r="O963" s="7">
        <f>'1 datos preparados'!N956</f>
        <v/>
      </c>
      <c r="P963" s="7">
        <f>'1 datos preparados'!O956</f>
        <v/>
      </c>
      <c r="Q963" s="7">
        <f>'1 datos preparados'!P956</f>
        <v/>
      </c>
      <c r="R963" s="7">
        <f>'1 datos preparados'!Q956</f>
        <v/>
      </c>
      <c r="S963" s="7">
        <f>'1 datos preparados'!R956</f>
        <v/>
      </c>
      <c r="T963" s="7">
        <f>'1 datos preparados'!S956</f>
        <v/>
      </c>
      <c r="U963" s="7">
        <f>'1 datos preparados'!T956</f>
        <v/>
      </c>
      <c r="V963" s="8">
        <f>$AC$12+D963*$AC$13+E963*$AC$14+F963*$AC$15+G963*$AC$16+H963*$AC$17+I963*$AC$18+J963*$AC$19+K963*$AC$20+L963*$AC$21+M963*$AC$22+N963*$AC$23+O963*$AC$24+P963*$AC$25+Q963*$AC$26+R963*$AC$27+S963*$AC$28+T963*$AC$29+U963*$AC$30</f>
        <v/>
      </c>
      <c r="W963" s="8">
        <f>1/(1+EXP(-V963))</f>
        <v/>
      </c>
      <c r="X963" s="9">
        <f>-IF(C963=1,LN(W963),LN(1-W963))</f>
        <v/>
      </c>
      <c r="Y963" s="10">
        <f>IF(W963&gt;$AC$33,1,0)</f>
        <v/>
      </c>
      <c r="Z963">
        <f>IF(Y963=C963,1,0)</f>
        <v/>
      </c>
    </row>
    <row r="964">
      <c r="A964">
        <f>'1 datos preparados'!A957</f>
        <v/>
      </c>
      <c r="B964" s="5">
        <f>'1 datos preparados'!U957</f>
        <v/>
      </c>
      <c r="C964">
        <f>'1 datos preparados'!B957</f>
        <v/>
      </c>
      <c r="D964" s="7">
        <f>'1 datos preparados'!C957</f>
        <v/>
      </c>
      <c r="E964" s="7">
        <f>'1 datos preparados'!D957</f>
        <v/>
      </c>
      <c r="F964" s="7">
        <f>'1 datos preparados'!E957</f>
        <v/>
      </c>
      <c r="G964" s="7">
        <f>'1 datos preparados'!F957</f>
        <v/>
      </c>
      <c r="H964" s="7">
        <f>'1 datos preparados'!G957</f>
        <v/>
      </c>
      <c r="I964" s="7">
        <f>'1 datos preparados'!H957</f>
        <v/>
      </c>
      <c r="J964" s="7">
        <f>'1 datos preparados'!I957</f>
        <v/>
      </c>
      <c r="K964" s="7">
        <f>'1 datos preparados'!J957</f>
        <v/>
      </c>
      <c r="L964" s="7">
        <f>'1 datos preparados'!K957</f>
        <v/>
      </c>
      <c r="M964" s="7">
        <f>'1 datos preparados'!L957</f>
        <v/>
      </c>
      <c r="N964" s="7">
        <f>'1 datos preparados'!M957</f>
        <v/>
      </c>
      <c r="O964" s="7">
        <f>'1 datos preparados'!N957</f>
        <v/>
      </c>
      <c r="P964" s="7">
        <f>'1 datos preparados'!O957</f>
        <v/>
      </c>
      <c r="Q964" s="7">
        <f>'1 datos preparados'!P957</f>
        <v/>
      </c>
      <c r="R964" s="7">
        <f>'1 datos preparados'!Q957</f>
        <v/>
      </c>
      <c r="S964" s="7">
        <f>'1 datos preparados'!R957</f>
        <v/>
      </c>
      <c r="T964" s="7">
        <f>'1 datos preparados'!S957</f>
        <v/>
      </c>
      <c r="U964" s="7">
        <f>'1 datos preparados'!T957</f>
        <v/>
      </c>
      <c r="V964" s="8">
        <f>$AC$12+D964*$AC$13+E964*$AC$14+F964*$AC$15+G964*$AC$16+H964*$AC$17+I964*$AC$18+J964*$AC$19+K964*$AC$20+L964*$AC$21+M964*$AC$22+N964*$AC$23+O964*$AC$24+P964*$AC$25+Q964*$AC$26+R964*$AC$27+S964*$AC$28+T964*$AC$29+U964*$AC$30</f>
        <v/>
      </c>
      <c r="W964" s="8">
        <f>1/(1+EXP(-V964))</f>
        <v/>
      </c>
      <c r="X964" s="9">
        <f>-IF(C964=1,LN(W964),LN(1-W964))</f>
        <v/>
      </c>
      <c r="Y964" s="10">
        <f>IF(W964&gt;$AC$33,1,0)</f>
        <v/>
      </c>
      <c r="Z964">
        <f>IF(Y964=C964,1,0)</f>
        <v/>
      </c>
    </row>
    <row r="965">
      <c r="A965">
        <f>'1 datos preparados'!A958</f>
        <v/>
      </c>
      <c r="B965" s="5">
        <f>'1 datos preparados'!U958</f>
        <v/>
      </c>
      <c r="C965">
        <f>'1 datos preparados'!B958</f>
        <v/>
      </c>
      <c r="D965" s="7">
        <f>'1 datos preparados'!C958</f>
        <v/>
      </c>
      <c r="E965" s="7">
        <f>'1 datos preparados'!D958</f>
        <v/>
      </c>
      <c r="F965" s="7">
        <f>'1 datos preparados'!E958</f>
        <v/>
      </c>
      <c r="G965" s="7">
        <f>'1 datos preparados'!F958</f>
        <v/>
      </c>
      <c r="H965" s="7">
        <f>'1 datos preparados'!G958</f>
        <v/>
      </c>
      <c r="I965" s="7">
        <f>'1 datos preparados'!H958</f>
        <v/>
      </c>
      <c r="J965" s="7">
        <f>'1 datos preparados'!I958</f>
        <v/>
      </c>
      <c r="K965" s="7">
        <f>'1 datos preparados'!J958</f>
        <v/>
      </c>
      <c r="L965" s="7">
        <f>'1 datos preparados'!K958</f>
        <v/>
      </c>
      <c r="M965" s="7">
        <f>'1 datos preparados'!L958</f>
        <v/>
      </c>
      <c r="N965" s="7">
        <f>'1 datos preparados'!M958</f>
        <v/>
      </c>
      <c r="O965" s="7">
        <f>'1 datos preparados'!N958</f>
        <v/>
      </c>
      <c r="P965" s="7">
        <f>'1 datos preparados'!O958</f>
        <v/>
      </c>
      <c r="Q965" s="7">
        <f>'1 datos preparados'!P958</f>
        <v/>
      </c>
      <c r="R965" s="7">
        <f>'1 datos preparados'!Q958</f>
        <v/>
      </c>
      <c r="S965" s="7">
        <f>'1 datos preparados'!R958</f>
        <v/>
      </c>
      <c r="T965" s="7">
        <f>'1 datos preparados'!S958</f>
        <v/>
      </c>
      <c r="U965" s="7">
        <f>'1 datos preparados'!T958</f>
        <v/>
      </c>
      <c r="V965" s="8">
        <f>$AC$12+D965*$AC$13+E965*$AC$14+F965*$AC$15+G965*$AC$16+H965*$AC$17+I965*$AC$18+J965*$AC$19+K965*$AC$20+L965*$AC$21+M965*$AC$22+N965*$AC$23+O965*$AC$24+P965*$AC$25+Q965*$AC$26+R965*$AC$27+S965*$AC$28+T965*$AC$29+U965*$AC$30</f>
        <v/>
      </c>
      <c r="W965" s="8">
        <f>1/(1+EXP(-V965))</f>
        <v/>
      </c>
      <c r="X965" s="9">
        <f>-IF(C965=1,LN(W965),LN(1-W965))</f>
        <v/>
      </c>
      <c r="Y965" s="10">
        <f>IF(W965&gt;$AC$33,1,0)</f>
        <v/>
      </c>
      <c r="Z965">
        <f>IF(Y965=C965,1,0)</f>
        <v/>
      </c>
    </row>
    <row r="966">
      <c r="A966">
        <f>'1 datos preparados'!A959</f>
        <v/>
      </c>
      <c r="B966" s="5">
        <f>'1 datos preparados'!U959</f>
        <v/>
      </c>
      <c r="C966">
        <f>'1 datos preparados'!B959</f>
        <v/>
      </c>
      <c r="D966" s="7">
        <f>'1 datos preparados'!C959</f>
        <v/>
      </c>
      <c r="E966" s="7">
        <f>'1 datos preparados'!D959</f>
        <v/>
      </c>
      <c r="F966" s="7">
        <f>'1 datos preparados'!E959</f>
        <v/>
      </c>
      <c r="G966" s="7">
        <f>'1 datos preparados'!F959</f>
        <v/>
      </c>
      <c r="H966" s="7">
        <f>'1 datos preparados'!G959</f>
        <v/>
      </c>
      <c r="I966" s="7">
        <f>'1 datos preparados'!H959</f>
        <v/>
      </c>
      <c r="J966" s="7">
        <f>'1 datos preparados'!I959</f>
        <v/>
      </c>
      <c r="K966" s="7">
        <f>'1 datos preparados'!J959</f>
        <v/>
      </c>
      <c r="L966" s="7">
        <f>'1 datos preparados'!K959</f>
        <v/>
      </c>
      <c r="M966" s="7">
        <f>'1 datos preparados'!L959</f>
        <v/>
      </c>
      <c r="N966" s="7">
        <f>'1 datos preparados'!M959</f>
        <v/>
      </c>
      <c r="O966" s="7">
        <f>'1 datos preparados'!N959</f>
        <v/>
      </c>
      <c r="P966" s="7">
        <f>'1 datos preparados'!O959</f>
        <v/>
      </c>
      <c r="Q966" s="7">
        <f>'1 datos preparados'!P959</f>
        <v/>
      </c>
      <c r="R966" s="7">
        <f>'1 datos preparados'!Q959</f>
        <v/>
      </c>
      <c r="S966" s="7">
        <f>'1 datos preparados'!R959</f>
        <v/>
      </c>
      <c r="T966" s="7">
        <f>'1 datos preparados'!S959</f>
        <v/>
      </c>
      <c r="U966" s="7">
        <f>'1 datos preparados'!T959</f>
        <v/>
      </c>
      <c r="V966" s="8">
        <f>$AC$12+D966*$AC$13+E966*$AC$14+F966*$AC$15+G966*$AC$16+H966*$AC$17+I966*$AC$18+J966*$AC$19+K966*$AC$20+L966*$AC$21+M966*$AC$22+N966*$AC$23+O966*$AC$24+P966*$AC$25+Q966*$AC$26+R966*$AC$27+S966*$AC$28+T966*$AC$29+U966*$AC$30</f>
        <v/>
      </c>
      <c r="W966" s="8">
        <f>1/(1+EXP(-V966))</f>
        <v/>
      </c>
      <c r="X966" s="9">
        <f>-IF(C966=1,LN(W966),LN(1-W966))</f>
        <v/>
      </c>
      <c r="Y966" s="10">
        <f>IF(W966&gt;$AC$33,1,0)</f>
        <v/>
      </c>
      <c r="Z966">
        <f>IF(Y966=C966,1,0)</f>
        <v/>
      </c>
    </row>
    <row r="967">
      <c r="A967">
        <f>'1 datos preparados'!A960</f>
        <v/>
      </c>
      <c r="B967" s="5">
        <f>'1 datos preparados'!U960</f>
        <v/>
      </c>
      <c r="C967">
        <f>'1 datos preparados'!B960</f>
        <v/>
      </c>
      <c r="D967" s="7">
        <f>'1 datos preparados'!C960</f>
        <v/>
      </c>
      <c r="E967" s="7">
        <f>'1 datos preparados'!D960</f>
        <v/>
      </c>
      <c r="F967" s="7">
        <f>'1 datos preparados'!E960</f>
        <v/>
      </c>
      <c r="G967" s="7">
        <f>'1 datos preparados'!F960</f>
        <v/>
      </c>
      <c r="H967" s="7">
        <f>'1 datos preparados'!G960</f>
        <v/>
      </c>
      <c r="I967" s="7">
        <f>'1 datos preparados'!H960</f>
        <v/>
      </c>
      <c r="J967" s="7">
        <f>'1 datos preparados'!I960</f>
        <v/>
      </c>
      <c r="K967" s="7">
        <f>'1 datos preparados'!J960</f>
        <v/>
      </c>
      <c r="L967" s="7">
        <f>'1 datos preparados'!K960</f>
        <v/>
      </c>
      <c r="M967" s="7">
        <f>'1 datos preparados'!L960</f>
        <v/>
      </c>
      <c r="N967" s="7">
        <f>'1 datos preparados'!M960</f>
        <v/>
      </c>
      <c r="O967" s="7">
        <f>'1 datos preparados'!N960</f>
        <v/>
      </c>
      <c r="P967" s="7">
        <f>'1 datos preparados'!O960</f>
        <v/>
      </c>
      <c r="Q967" s="7">
        <f>'1 datos preparados'!P960</f>
        <v/>
      </c>
      <c r="R967" s="7">
        <f>'1 datos preparados'!Q960</f>
        <v/>
      </c>
      <c r="S967" s="7">
        <f>'1 datos preparados'!R960</f>
        <v/>
      </c>
      <c r="T967" s="7">
        <f>'1 datos preparados'!S960</f>
        <v/>
      </c>
      <c r="U967" s="7">
        <f>'1 datos preparados'!T960</f>
        <v/>
      </c>
      <c r="V967" s="8">
        <f>$AC$12+D967*$AC$13+E967*$AC$14+F967*$AC$15+G967*$AC$16+H967*$AC$17+I967*$AC$18+J967*$AC$19+K967*$AC$20+L967*$AC$21+M967*$AC$22+N967*$AC$23+O967*$AC$24+P967*$AC$25+Q967*$AC$26+R967*$AC$27+S967*$AC$28+T967*$AC$29+U967*$AC$30</f>
        <v/>
      </c>
      <c r="W967" s="8">
        <f>1/(1+EXP(-V967))</f>
        <v/>
      </c>
      <c r="X967" s="9">
        <f>-IF(C967=1,LN(W967),LN(1-W967))</f>
        <v/>
      </c>
      <c r="Y967" s="10">
        <f>IF(W967&gt;$AC$33,1,0)</f>
        <v/>
      </c>
      <c r="Z967">
        <f>IF(Y967=C967,1,0)</f>
        <v/>
      </c>
    </row>
    <row r="968">
      <c r="A968">
        <f>'1 datos preparados'!A961</f>
        <v/>
      </c>
      <c r="B968" s="5">
        <f>'1 datos preparados'!U961</f>
        <v/>
      </c>
      <c r="C968">
        <f>'1 datos preparados'!B961</f>
        <v/>
      </c>
      <c r="D968" s="7">
        <f>'1 datos preparados'!C961</f>
        <v/>
      </c>
      <c r="E968" s="7">
        <f>'1 datos preparados'!D961</f>
        <v/>
      </c>
      <c r="F968" s="7">
        <f>'1 datos preparados'!E961</f>
        <v/>
      </c>
      <c r="G968" s="7">
        <f>'1 datos preparados'!F961</f>
        <v/>
      </c>
      <c r="H968" s="7">
        <f>'1 datos preparados'!G961</f>
        <v/>
      </c>
      <c r="I968" s="7">
        <f>'1 datos preparados'!H961</f>
        <v/>
      </c>
      <c r="J968" s="7">
        <f>'1 datos preparados'!I961</f>
        <v/>
      </c>
      <c r="K968" s="7">
        <f>'1 datos preparados'!J961</f>
        <v/>
      </c>
      <c r="L968" s="7">
        <f>'1 datos preparados'!K961</f>
        <v/>
      </c>
      <c r="M968" s="7">
        <f>'1 datos preparados'!L961</f>
        <v/>
      </c>
      <c r="N968" s="7">
        <f>'1 datos preparados'!M961</f>
        <v/>
      </c>
      <c r="O968" s="7">
        <f>'1 datos preparados'!N961</f>
        <v/>
      </c>
      <c r="P968" s="7">
        <f>'1 datos preparados'!O961</f>
        <v/>
      </c>
      <c r="Q968" s="7">
        <f>'1 datos preparados'!P961</f>
        <v/>
      </c>
      <c r="R968" s="7">
        <f>'1 datos preparados'!Q961</f>
        <v/>
      </c>
      <c r="S968" s="7">
        <f>'1 datos preparados'!R961</f>
        <v/>
      </c>
      <c r="T968" s="7">
        <f>'1 datos preparados'!S961</f>
        <v/>
      </c>
      <c r="U968" s="7">
        <f>'1 datos preparados'!T961</f>
        <v/>
      </c>
      <c r="V968" s="8">
        <f>$AC$12+D968*$AC$13+E968*$AC$14+F968*$AC$15+G968*$AC$16+H968*$AC$17+I968*$AC$18+J968*$AC$19+K968*$AC$20+L968*$AC$21+M968*$AC$22+N968*$AC$23+O968*$AC$24+P968*$AC$25+Q968*$AC$26+R968*$AC$27+S968*$AC$28+T968*$AC$29+U968*$AC$30</f>
        <v/>
      </c>
      <c r="W968" s="8">
        <f>1/(1+EXP(-V968))</f>
        <v/>
      </c>
      <c r="X968" s="9">
        <f>-IF(C968=1,LN(W968),LN(1-W968))</f>
        <v/>
      </c>
      <c r="Y968" s="10">
        <f>IF(W968&gt;$AC$33,1,0)</f>
        <v/>
      </c>
      <c r="Z968">
        <f>IF(Y968=C968,1,0)</f>
        <v/>
      </c>
    </row>
    <row r="969">
      <c r="A969">
        <f>'1 datos preparados'!A962</f>
        <v/>
      </c>
      <c r="B969" s="5">
        <f>'1 datos preparados'!U962</f>
        <v/>
      </c>
      <c r="C969">
        <f>'1 datos preparados'!B962</f>
        <v/>
      </c>
      <c r="D969" s="7">
        <f>'1 datos preparados'!C962</f>
        <v/>
      </c>
      <c r="E969" s="7">
        <f>'1 datos preparados'!D962</f>
        <v/>
      </c>
      <c r="F969" s="7">
        <f>'1 datos preparados'!E962</f>
        <v/>
      </c>
      <c r="G969" s="7">
        <f>'1 datos preparados'!F962</f>
        <v/>
      </c>
      <c r="H969" s="7">
        <f>'1 datos preparados'!G962</f>
        <v/>
      </c>
      <c r="I969" s="7">
        <f>'1 datos preparados'!H962</f>
        <v/>
      </c>
      <c r="J969" s="7">
        <f>'1 datos preparados'!I962</f>
        <v/>
      </c>
      <c r="K969" s="7">
        <f>'1 datos preparados'!J962</f>
        <v/>
      </c>
      <c r="L969" s="7">
        <f>'1 datos preparados'!K962</f>
        <v/>
      </c>
      <c r="M969" s="7">
        <f>'1 datos preparados'!L962</f>
        <v/>
      </c>
      <c r="N969" s="7">
        <f>'1 datos preparados'!M962</f>
        <v/>
      </c>
      <c r="O969" s="7">
        <f>'1 datos preparados'!N962</f>
        <v/>
      </c>
      <c r="P969" s="7">
        <f>'1 datos preparados'!O962</f>
        <v/>
      </c>
      <c r="Q969" s="7">
        <f>'1 datos preparados'!P962</f>
        <v/>
      </c>
      <c r="R969" s="7">
        <f>'1 datos preparados'!Q962</f>
        <v/>
      </c>
      <c r="S969" s="7">
        <f>'1 datos preparados'!R962</f>
        <v/>
      </c>
      <c r="T969" s="7">
        <f>'1 datos preparados'!S962</f>
        <v/>
      </c>
      <c r="U969" s="7">
        <f>'1 datos preparados'!T962</f>
        <v/>
      </c>
      <c r="V969" s="8">
        <f>$AC$12+D969*$AC$13+E969*$AC$14+F969*$AC$15+G969*$AC$16+H969*$AC$17+I969*$AC$18+J969*$AC$19+K969*$AC$20+L969*$AC$21+M969*$AC$22+N969*$AC$23+O969*$AC$24+P969*$AC$25+Q969*$AC$26+R969*$AC$27+S969*$AC$28+T969*$AC$29+U969*$AC$30</f>
        <v/>
      </c>
      <c r="W969" s="8">
        <f>1/(1+EXP(-V969))</f>
        <v/>
      </c>
      <c r="X969" s="9">
        <f>-IF(C969=1,LN(W969),LN(1-W969))</f>
        <v/>
      </c>
      <c r="Y969" s="10">
        <f>IF(W969&gt;$AC$33,1,0)</f>
        <v/>
      </c>
      <c r="Z969">
        <f>IF(Y969=C969,1,0)</f>
        <v/>
      </c>
    </row>
    <row r="970">
      <c r="A970">
        <f>'1 datos preparados'!A963</f>
        <v/>
      </c>
      <c r="B970" s="5">
        <f>'1 datos preparados'!U963</f>
        <v/>
      </c>
      <c r="C970">
        <f>'1 datos preparados'!B963</f>
        <v/>
      </c>
      <c r="D970" s="7">
        <f>'1 datos preparados'!C963</f>
        <v/>
      </c>
      <c r="E970" s="7">
        <f>'1 datos preparados'!D963</f>
        <v/>
      </c>
      <c r="F970" s="7">
        <f>'1 datos preparados'!E963</f>
        <v/>
      </c>
      <c r="G970" s="7">
        <f>'1 datos preparados'!F963</f>
        <v/>
      </c>
      <c r="H970" s="7">
        <f>'1 datos preparados'!G963</f>
        <v/>
      </c>
      <c r="I970" s="7">
        <f>'1 datos preparados'!H963</f>
        <v/>
      </c>
      <c r="J970" s="7">
        <f>'1 datos preparados'!I963</f>
        <v/>
      </c>
      <c r="K970" s="7">
        <f>'1 datos preparados'!J963</f>
        <v/>
      </c>
      <c r="L970" s="7">
        <f>'1 datos preparados'!K963</f>
        <v/>
      </c>
      <c r="M970" s="7">
        <f>'1 datos preparados'!L963</f>
        <v/>
      </c>
      <c r="N970" s="7">
        <f>'1 datos preparados'!M963</f>
        <v/>
      </c>
      <c r="O970" s="7">
        <f>'1 datos preparados'!N963</f>
        <v/>
      </c>
      <c r="P970" s="7">
        <f>'1 datos preparados'!O963</f>
        <v/>
      </c>
      <c r="Q970" s="7">
        <f>'1 datos preparados'!P963</f>
        <v/>
      </c>
      <c r="R970" s="7">
        <f>'1 datos preparados'!Q963</f>
        <v/>
      </c>
      <c r="S970" s="7">
        <f>'1 datos preparados'!R963</f>
        <v/>
      </c>
      <c r="T970" s="7">
        <f>'1 datos preparados'!S963</f>
        <v/>
      </c>
      <c r="U970" s="7">
        <f>'1 datos preparados'!T963</f>
        <v/>
      </c>
      <c r="V970" s="8">
        <f>$AC$12+D970*$AC$13+E970*$AC$14+F970*$AC$15+G970*$AC$16+H970*$AC$17+I970*$AC$18+J970*$AC$19+K970*$AC$20+L970*$AC$21+M970*$AC$22+N970*$AC$23+O970*$AC$24+P970*$AC$25+Q970*$AC$26+R970*$AC$27+S970*$AC$28+T970*$AC$29+U970*$AC$30</f>
        <v/>
      </c>
      <c r="W970" s="8">
        <f>1/(1+EXP(-V970))</f>
        <v/>
      </c>
      <c r="X970" s="9">
        <f>-IF(C970=1,LN(W970),LN(1-W970))</f>
        <v/>
      </c>
      <c r="Y970" s="10">
        <f>IF(W970&gt;$AC$33,1,0)</f>
        <v/>
      </c>
      <c r="Z970">
        <f>IF(Y970=C970,1,0)</f>
        <v/>
      </c>
    </row>
    <row r="971">
      <c r="A971">
        <f>'1 datos preparados'!A964</f>
        <v/>
      </c>
      <c r="B971" s="5">
        <f>'1 datos preparados'!U964</f>
        <v/>
      </c>
      <c r="C971">
        <f>'1 datos preparados'!B964</f>
        <v/>
      </c>
      <c r="D971" s="7">
        <f>'1 datos preparados'!C964</f>
        <v/>
      </c>
      <c r="E971" s="7">
        <f>'1 datos preparados'!D964</f>
        <v/>
      </c>
      <c r="F971" s="7">
        <f>'1 datos preparados'!E964</f>
        <v/>
      </c>
      <c r="G971" s="7">
        <f>'1 datos preparados'!F964</f>
        <v/>
      </c>
      <c r="H971" s="7">
        <f>'1 datos preparados'!G964</f>
        <v/>
      </c>
      <c r="I971" s="7">
        <f>'1 datos preparados'!H964</f>
        <v/>
      </c>
      <c r="J971" s="7">
        <f>'1 datos preparados'!I964</f>
        <v/>
      </c>
      <c r="K971" s="7">
        <f>'1 datos preparados'!J964</f>
        <v/>
      </c>
      <c r="L971" s="7">
        <f>'1 datos preparados'!K964</f>
        <v/>
      </c>
      <c r="M971" s="7">
        <f>'1 datos preparados'!L964</f>
        <v/>
      </c>
      <c r="N971" s="7">
        <f>'1 datos preparados'!M964</f>
        <v/>
      </c>
      <c r="O971" s="7">
        <f>'1 datos preparados'!N964</f>
        <v/>
      </c>
      <c r="P971" s="7">
        <f>'1 datos preparados'!O964</f>
        <v/>
      </c>
      <c r="Q971" s="7">
        <f>'1 datos preparados'!P964</f>
        <v/>
      </c>
      <c r="R971" s="7">
        <f>'1 datos preparados'!Q964</f>
        <v/>
      </c>
      <c r="S971" s="7">
        <f>'1 datos preparados'!R964</f>
        <v/>
      </c>
      <c r="T971" s="7">
        <f>'1 datos preparados'!S964</f>
        <v/>
      </c>
      <c r="U971" s="7">
        <f>'1 datos preparados'!T964</f>
        <v/>
      </c>
      <c r="V971" s="8">
        <f>$AC$12+D971*$AC$13+E971*$AC$14+F971*$AC$15+G971*$AC$16+H971*$AC$17+I971*$AC$18+J971*$AC$19+K971*$AC$20+L971*$AC$21+M971*$AC$22+N971*$AC$23+O971*$AC$24+P971*$AC$25+Q971*$AC$26+R971*$AC$27+S971*$AC$28+T971*$AC$29+U971*$AC$30</f>
        <v/>
      </c>
      <c r="W971" s="8">
        <f>1/(1+EXP(-V971))</f>
        <v/>
      </c>
      <c r="X971" s="9">
        <f>-IF(C971=1,LN(W971),LN(1-W971))</f>
        <v/>
      </c>
      <c r="Y971" s="10">
        <f>IF(W971&gt;$AC$33,1,0)</f>
        <v/>
      </c>
      <c r="Z971">
        <f>IF(Y971=C971,1,0)</f>
        <v/>
      </c>
    </row>
    <row r="972">
      <c r="A972">
        <f>'1 datos preparados'!A965</f>
        <v/>
      </c>
      <c r="B972" s="5">
        <f>'1 datos preparados'!U965</f>
        <v/>
      </c>
      <c r="C972">
        <f>'1 datos preparados'!B965</f>
        <v/>
      </c>
      <c r="D972" s="7">
        <f>'1 datos preparados'!C965</f>
        <v/>
      </c>
      <c r="E972" s="7">
        <f>'1 datos preparados'!D965</f>
        <v/>
      </c>
      <c r="F972" s="7">
        <f>'1 datos preparados'!E965</f>
        <v/>
      </c>
      <c r="G972" s="7">
        <f>'1 datos preparados'!F965</f>
        <v/>
      </c>
      <c r="H972" s="7">
        <f>'1 datos preparados'!G965</f>
        <v/>
      </c>
      <c r="I972" s="7">
        <f>'1 datos preparados'!H965</f>
        <v/>
      </c>
      <c r="J972" s="7">
        <f>'1 datos preparados'!I965</f>
        <v/>
      </c>
      <c r="K972" s="7">
        <f>'1 datos preparados'!J965</f>
        <v/>
      </c>
      <c r="L972" s="7">
        <f>'1 datos preparados'!K965</f>
        <v/>
      </c>
      <c r="M972" s="7">
        <f>'1 datos preparados'!L965</f>
        <v/>
      </c>
      <c r="N972" s="7">
        <f>'1 datos preparados'!M965</f>
        <v/>
      </c>
      <c r="O972" s="7">
        <f>'1 datos preparados'!N965</f>
        <v/>
      </c>
      <c r="P972" s="7">
        <f>'1 datos preparados'!O965</f>
        <v/>
      </c>
      <c r="Q972" s="7">
        <f>'1 datos preparados'!P965</f>
        <v/>
      </c>
      <c r="R972" s="7">
        <f>'1 datos preparados'!Q965</f>
        <v/>
      </c>
      <c r="S972" s="7">
        <f>'1 datos preparados'!R965</f>
        <v/>
      </c>
      <c r="T972" s="7">
        <f>'1 datos preparados'!S965</f>
        <v/>
      </c>
      <c r="U972" s="7">
        <f>'1 datos preparados'!T965</f>
        <v/>
      </c>
      <c r="V972" s="8">
        <f>$AC$12+D972*$AC$13+E972*$AC$14+F972*$AC$15+G972*$AC$16+H972*$AC$17+I972*$AC$18+J972*$AC$19+K972*$AC$20+L972*$AC$21+M972*$AC$22+N972*$AC$23+O972*$AC$24+P972*$AC$25+Q972*$AC$26+R972*$AC$27+S972*$AC$28+T972*$AC$29+U972*$AC$30</f>
        <v/>
      </c>
      <c r="W972" s="8">
        <f>1/(1+EXP(-V972))</f>
        <v/>
      </c>
      <c r="X972" s="9">
        <f>-IF(C972=1,LN(W972),LN(1-W972))</f>
        <v/>
      </c>
      <c r="Y972" s="10">
        <f>IF(W972&gt;$AC$33,1,0)</f>
        <v/>
      </c>
      <c r="Z972">
        <f>IF(Y972=C972,1,0)</f>
        <v/>
      </c>
    </row>
    <row r="973">
      <c r="A973">
        <f>'1 datos preparados'!A966</f>
        <v/>
      </c>
      <c r="B973" s="5">
        <f>'1 datos preparados'!U966</f>
        <v/>
      </c>
      <c r="C973">
        <f>'1 datos preparados'!B966</f>
        <v/>
      </c>
      <c r="D973" s="7">
        <f>'1 datos preparados'!C966</f>
        <v/>
      </c>
      <c r="E973" s="7">
        <f>'1 datos preparados'!D966</f>
        <v/>
      </c>
      <c r="F973" s="7">
        <f>'1 datos preparados'!E966</f>
        <v/>
      </c>
      <c r="G973" s="7">
        <f>'1 datos preparados'!F966</f>
        <v/>
      </c>
      <c r="H973" s="7">
        <f>'1 datos preparados'!G966</f>
        <v/>
      </c>
      <c r="I973" s="7">
        <f>'1 datos preparados'!H966</f>
        <v/>
      </c>
      <c r="J973" s="7">
        <f>'1 datos preparados'!I966</f>
        <v/>
      </c>
      <c r="K973" s="7">
        <f>'1 datos preparados'!J966</f>
        <v/>
      </c>
      <c r="L973" s="7">
        <f>'1 datos preparados'!K966</f>
        <v/>
      </c>
      <c r="M973" s="7">
        <f>'1 datos preparados'!L966</f>
        <v/>
      </c>
      <c r="N973" s="7">
        <f>'1 datos preparados'!M966</f>
        <v/>
      </c>
      <c r="O973" s="7">
        <f>'1 datos preparados'!N966</f>
        <v/>
      </c>
      <c r="P973" s="7">
        <f>'1 datos preparados'!O966</f>
        <v/>
      </c>
      <c r="Q973" s="7">
        <f>'1 datos preparados'!P966</f>
        <v/>
      </c>
      <c r="R973" s="7">
        <f>'1 datos preparados'!Q966</f>
        <v/>
      </c>
      <c r="S973" s="7">
        <f>'1 datos preparados'!R966</f>
        <v/>
      </c>
      <c r="T973" s="7">
        <f>'1 datos preparados'!S966</f>
        <v/>
      </c>
      <c r="U973" s="7">
        <f>'1 datos preparados'!T966</f>
        <v/>
      </c>
      <c r="V973" s="8">
        <f>$AC$12+D973*$AC$13+E973*$AC$14+F973*$AC$15+G973*$AC$16+H973*$AC$17+I973*$AC$18+J973*$AC$19+K973*$AC$20+L973*$AC$21+M973*$AC$22+N973*$AC$23+O973*$AC$24+P973*$AC$25+Q973*$AC$26+R973*$AC$27+S973*$AC$28+T973*$AC$29+U973*$AC$30</f>
        <v/>
      </c>
      <c r="W973" s="8">
        <f>1/(1+EXP(-V973))</f>
        <v/>
      </c>
      <c r="X973" s="9">
        <f>-IF(C973=1,LN(W973),LN(1-W973))</f>
        <v/>
      </c>
      <c r="Y973" s="10">
        <f>IF(W973&gt;$AC$33,1,0)</f>
        <v/>
      </c>
      <c r="Z973">
        <f>IF(Y973=C973,1,0)</f>
        <v/>
      </c>
    </row>
    <row r="974">
      <c r="A974">
        <f>'1 datos preparados'!A967</f>
        <v/>
      </c>
      <c r="B974" s="5">
        <f>'1 datos preparados'!U967</f>
        <v/>
      </c>
      <c r="C974">
        <f>'1 datos preparados'!B967</f>
        <v/>
      </c>
      <c r="D974" s="7">
        <f>'1 datos preparados'!C967</f>
        <v/>
      </c>
      <c r="E974" s="7">
        <f>'1 datos preparados'!D967</f>
        <v/>
      </c>
      <c r="F974" s="7">
        <f>'1 datos preparados'!E967</f>
        <v/>
      </c>
      <c r="G974" s="7">
        <f>'1 datos preparados'!F967</f>
        <v/>
      </c>
      <c r="H974" s="7">
        <f>'1 datos preparados'!G967</f>
        <v/>
      </c>
      <c r="I974" s="7">
        <f>'1 datos preparados'!H967</f>
        <v/>
      </c>
      <c r="J974" s="7">
        <f>'1 datos preparados'!I967</f>
        <v/>
      </c>
      <c r="K974" s="7">
        <f>'1 datos preparados'!J967</f>
        <v/>
      </c>
      <c r="L974" s="7">
        <f>'1 datos preparados'!K967</f>
        <v/>
      </c>
      <c r="M974" s="7">
        <f>'1 datos preparados'!L967</f>
        <v/>
      </c>
      <c r="N974" s="7">
        <f>'1 datos preparados'!M967</f>
        <v/>
      </c>
      <c r="O974" s="7">
        <f>'1 datos preparados'!N967</f>
        <v/>
      </c>
      <c r="P974" s="7">
        <f>'1 datos preparados'!O967</f>
        <v/>
      </c>
      <c r="Q974" s="7">
        <f>'1 datos preparados'!P967</f>
        <v/>
      </c>
      <c r="R974" s="7">
        <f>'1 datos preparados'!Q967</f>
        <v/>
      </c>
      <c r="S974" s="7">
        <f>'1 datos preparados'!R967</f>
        <v/>
      </c>
      <c r="T974" s="7">
        <f>'1 datos preparados'!S967</f>
        <v/>
      </c>
      <c r="U974" s="7">
        <f>'1 datos preparados'!T967</f>
        <v/>
      </c>
      <c r="V974" s="8">
        <f>$AC$12+D974*$AC$13+E974*$AC$14+F974*$AC$15+G974*$AC$16+H974*$AC$17+I974*$AC$18+J974*$AC$19+K974*$AC$20+L974*$AC$21+M974*$AC$22+N974*$AC$23+O974*$AC$24+P974*$AC$25+Q974*$AC$26+R974*$AC$27+S974*$AC$28+T974*$AC$29+U974*$AC$30</f>
        <v/>
      </c>
      <c r="W974" s="8">
        <f>1/(1+EXP(-V974))</f>
        <v/>
      </c>
      <c r="X974" s="9">
        <f>-IF(C974=1,LN(W974),LN(1-W974))</f>
        <v/>
      </c>
      <c r="Y974" s="10">
        <f>IF(W974&gt;$AC$33,1,0)</f>
        <v/>
      </c>
      <c r="Z974">
        <f>IF(Y974=C974,1,0)</f>
        <v/>
      </c>
    </row>
    <row r="975">
      <c r="A975">
        <f>'1 datos preparados'!A968</f>
        <v/>
      </c>
      <c r="B975" s="5">
        <f>'1 datos preparados'!U968</f>
        <v/>
      </c>
      <c r="C975">
        <f>'1 datos preparados'!B968</f>
        <v/>
      </c>
      <c r="D975" s="7">
        <f>'1 datos preparados'!C968</f>
        <v/>
      </c>
      <c r="E975" s="7">
        <f>'1 datos preparados'!D968</f>
        <v/>
      </c>
      <c r="F975" s="7">
        <f>'1 datos preparados'!E968</f>
        <v/>
      </c>
      <c r="G975" s="7">
        <f>'1 datos preparados'!F968</f>
        <v/>
      </c>
      <c r="H975" s="7">
        <f>'1 datos preparados'!G968</f>
        <v/>
      </c>
      <c r="I975" s="7">
        <f>'1 datos preparados'!H968</f>
        <v/>
      </c>
      <c r="J975" s="7">
        <f>'1 datos preparados'!I968</f>
        <v/>
      </c>
      <c r="K975" s="7">
        <f>'1 datos preparados'!J968</f>
        <v/>
      </c>
      <c r="L975" s="7">
        <f>'1 datos preparados'!K968</f>
        <v/>
      </c>
      <c r="M975" s="7">
        <f>'1 datos preparados'!L968</f>
        <v/>
      </c>
      <c r="N975" s="7">
        <f>'1 datos preparados'!M968</f>
        <v/>
      </c>
      <c r="O975" s="7">
        <f>'1 datos preparados'!N968</f>
        <v/>
      </c>
      <c r="P975" s="7">
        <f>'1 datos preparados'!O968</f>
        <v/>
      </c>
      <c r="Q975" s="7">
        <f>'1 datos preparados'!P968</f>
        <v/>
      </c>
      <c r="R975" s="7">
        <f>'1 datos preparados'!Q968</f>
        <v/>
      </c>
      <c r="S975" s="7">
        <f>'1 datos preparados'!R968</f>
        <v/>
      </c>
      <c r="T975" s="7">
        <f>'1 datos preparados'!S968</f>
        <v/>
      </c>
      <c r="U975" s="7">
        <f>'1 datos preparados'!T968</f>
        <v/>
      </c>
      <c r="V975" s="8">
        <f>$AC$12+D975*$AC$13+E975*$AC$14+F975*$AC$15+G975*$AC$16+H975*$AC$17+I975*$AC$18+J975*$AC$19+K975*$AC$20+L975*$AC$21+M975*$AC$22+N975*$AC$23+O975*$AC$24+P975*$AC$25+Q975*$AC$26+R975*$AC$27+S975*$AC$28+T975*$AC$29+U975*$AC$30</f>
        <v/>
      </c>
      <c r="W975" s="8">
        <f>1/(1+EXP(-V975))</f>
        <v/>
      </c>
      <c r="X975" s="9">
        <f>-IF(C975=1,LN(W975),LN(1-W975))</f>
        <v/>
      </c>
      <c r="Y975" s="10">
        <f>IF(W975&gt;$AC$33,1,0)</f>
        <v/>
      </c>
      <c r="Z975">
        <f>IF(Y975=C975,1,0)</f>
        <v/>
      </c>
    </row>
    <row r="976">
      <c r="A976">
        <f>'1 datos preparados'!A969</f>
        <v/>
      </c>
      <c r="B976" s="5">
        <f>'1 datos preparados'!U969</f>
        <v/>
      </c>
      <c r="C976">
        <f>'1 datos preparados'!B969</f>
        <v/>
      </c>
      <c r="D976" s="7">
        <f>'1 datos preparados'!C969</f>
        <v/>
      </c>
      <c r="E976" s="7">
        <f>'1 datos preparados'!D969</f>
        <v/>
      </c>
      <c r="F976" s="7">
        <f>'1 datos preparados'!E969</f>
        <v/>
      </c>
      <c r="G976" s="7">
        <f>'1 datos preparados'!F969</f>
        <v/>
      </c>
      <c r="H976" s="7">
        <f>'1 datos preparados'!G969</f>
        <v/>
      </c>
      <c r="I976" s="7">
        <f>'1 datos preparados'!H969</f>
        <v/>
      </c>
      <c r="J976" s="7">
        <f>'1 datos preparados'!I969</f>
        <v/>
      </c>
      <c r="K976" s="7">
        <f>'1 datos preparados'!J969</f>
        <v/>
      </c>
      <c r="L976" s="7">
        <f>'1 datos preparados'!K969</f>
        <v/>
      </c>
      <c r="M976" s="7">
        <f>'1 datos preparados'!L969</f>
        <v/>
      </c>
      <c r="N976" s="7">
        <f>'1 datos preparados'!M969</f>
        <v/>
      </c>
      <c r="O976" s="7">
        <f>'1 datos preparados'!N969</f>
        <v/>
      </c>
      <c r="P976" s="7">
        <f>'1 datos preparados'!O969</f>
        <v/>
      </c>
      <c r="Q976" s="7">
        <f>'1 datos preparados'!P969</f>
        <v/>
      </c>
      <c r="R976" s="7">
        <f>'1 datos preparados'!Q969</f>
        <v/>
      </c>
      <c r="S976" s="7">
        <f>'1 datos preparados'!R969</f>
        <v/>
      </c>
      <c r="T976" s="7">
        <f>'1 datos preparados'!S969</f>
        <v/>
      </c>
      <c r="U976" s="7">
        <f>'1 datos preparados'!T969</f>
        <v/>
      </c>
      <c r="V976" s="8">
        <f>$AC$12+D976*$AC$13+E976*$AC$14+F976*$AC$15+G976*$AC$16+H976*$AC$17+I976*$AC$18+J976*$AC$19+K976*$AC$20+L976*$AC$21+M976*$AC$22+N976*$AC$23+O976*$AC$24+P976*$AC$25+Q976*$AC$26+R976*$AC$27+S976*$AC$28+T976*$AC$29+U976*$AC$30</f>
        <v/>
      </c>
      <c r="W976" s="8">
        <f>1/(1+EXP(-V976))</f>
        <v/>
      </c>
      <c r="X976" s="9">
        <f>-IF(C976=1,LN(W976),LN(1-W976))</f>
        <v/>
      </c>
      <c r="Y976" s="10">
        <f>IF(W976&gt;$AC$33,1,0)</f>
        <v/>
      </c>
      <c r="Z976">
        <f>IF(Y976=C976,1,0)</f>
        <v/>
      </c>
    </row>
    <row r="977">
      <c r="A977">
        <f>'1 datos preparados'!A970</f>
        <v/>
      </c>
      <c r="B977" s="5">
        <f>'1 datos preparados'!U970</f>
        <v/>
      </c>
      <c r="C977">
        <f>'1 datos preparados'!B970</f>
        <v/>
      </c>
      <c r="D977" s="7">
        <f>'1 datos preparados'!C970</f>
        <v/>
      </c>
      <c r="E977" s="7">
        <f>'1 datos preparados'!D970</f>
        <v/>
      </c>
      <c r="F977" s="7">
        <f>'1 datos preparados'!E970</f>
        <v/>
      </c>
      <c r="G977" s="7">
        <f>'1 datos preparados'!F970</f>
        <v/>
      </c>
      <c r="H977" s="7">
        <f>'1 datos preparados'!G970</f>
        <v/>
      </c>
      <c r="I977" s="7">
        <f>'1 datos preparados'!H970</f>
        <v/>
      </c>
      <c r="J977" s="7">
        <f>'1 datos preparados'!I970</f>
        <v/>
      </c>
      <c r="K977" s="7">
        <f>'1 datos preparados'!J970</f>
        <v/>
      </c>
      <c r="L977" s="7">
        <f>'1 datos preparados'!K970</f>
        <v/>
      </c>
      <c r="M977" s="7">
        <f>'1 datos preparados'!L970</f>
        <v/>
      </c>
      <c r="N977" s="7">
        <f>'1 datos preparados'!M970</f>
        <v/>
      </c>
      <c r="O977" s="7">
        <f>'1 datos preparados'!N970</f>
        <v/>
      </c>
      <c r="P977" s="7">
        <f>'1 datos preparados'!O970</f>
        <v/>
      </c>
      <c r="Q977" s="7">
        <f>'1 datos preparados'!P970</f>
        <v/>
      </c>
      <c r="R977" s="7">
        <f>'1 datos preparados'!Q970</f>
        <v/>
      </c>
      <c r="S977" s="7">
        <f>'1 datos preparados'!R970</f>
        <v/>
      </c>
      <c r="T977" s="7">
        <f>'1 datos preparados'!S970</f>
        <v/>
      </c>
      <c r="U977" s="7">
        <f>'1 datos preparados'!T970</f>
        <v/>
      </c>
      <c r="V977" s="8">
        <f>$AC$12+D977*$AC$13+E977*$AC$14+F977*$AC$15+G977*$AC$16+H977*$AC$17+I977*$AC$18+J977*$AC$19+K977*$AC$20+L977*$AC$21+M977*$AC$22+N977*$AC$23+O977*$AC$24+P977*$AC$25+Q977*$AC$26+R977*$AC$27+S977*$AC$28+T977*$AC$29+U977*$AC$30</f>
        <v/>
      </c>
      <c r="W977" s="8">
        <f>1/(1+EXP(-V977))</f>
        <v/>
      </c>
      <c r="X977" s="9">
        <f>-IF(C977=1,LN(W977),LN(1-W977))</f>
        <v/>
      </c>
      <c r="Y977" s="10">
        <f>IF(W977&gt;$AC$33,1,0)</f>
        <v/>
      </c>
      <c r="Z977">
        <f>IF(Y977=C977,1,0)</f>
        <v/>
      </c>
    </row>
    <row r="978">
      <c r="A978">
        <f>'1 datos preparados'!A971</f>
        <v/>
      </c>
      <c r="B978" s="5">
        <f>'1 datos preparados'!U971</f>
        <v/>
      </c>
      <c r="C978">
        <f>'1 datos preparados'!B971</f>
        <v/>
      </c>
      <c r="D978" s="7">
        <f>'1 datos preparados'!C971</f>
        <v/>
      </c>
      <c r="E978" s="7">
        <f>'1 datos preparados'!D971</f>
        <v/>
      </c>
      <c r="F978" s="7">
        <f>'1 datos preparados'!E971</f>
        <v/>
      </c>
      <c r="G978" s="7">
        <f>'1 datos preparados'!F971</f>
        <v/>
      </c>
      <c r="H978" s="7">
        <f>'1 datos preparados'!G971</f>
        <v/>
      </c>
      <c r="I978" s="7">
        <f>'1 datos preparados'!H971</f>
        <v/>
      </c>
      <c r="J978" s="7">
        <f>'1 datos preparados'!I971</f>
        <v/>
      </c>
      <c r="K978" s="7">
        <f>'1 datos preparados'!J971</f>
        <v/>
      </c>
      <c r="L978" s="7">
        <f>'1 datos preparados'!K971</f>
        <v/>
      </c>
      <c r="M978" s="7">
        <f>'1 datos preparados'!L971</f>
        <v/>
      </c>
      <c r="N978" s="7">
        <f>'1 datos preparados'!M971</f>
        <v/>
      </c>
      <c r="O978" s="7">
        <f>'1 datos preparados'!N971</f>
        <v/>
      </c>
      <c r="P978" s="7">
        <f>'1 datos preparados'!O971</f>
        <v/>
      </c>
      <c r="Q978" s="7">
        <f>'1 datos preparados'!P971</f>
        <v/>
      </c>
      <c r="R978" s="7">
        <f>'1 datos preparados'!Q971</f>
        <v/>
      </c>
      <c r="S978" s="7">
        <f>'1 datos preparados'!R971</f>
        <v/>
      </c>
      <c r="T978" s="7">
        <f>'1 datos preparados'!S971</f>
        <v/>
      </c>
      <c r="U978" s="7">
        <f>'1 datos preparados'!T971</f>
        <v/>
      </c>
      <c r="V978" s="8">
        <f>$AC$12+D978*$AC$13+E978*$AC$14+F978*$AC$15+G978*$AC$16+H978*$AC$17+I978*$AC$18+J978*$AC$19+K978*$AC$20+L978*$AC$21+M978*$AC$22+N978*$AC$23+O978*$AC$24+P978*$AC$25+Q978*$AC$26+R978*$AC$27+S978*$AC$28+T978*$AC$29+U978*$AC$30</f>
        <v/>
      </c>
      <c r="W978" s="8">
        <f>1/(1+EXP(-V978))</f>
        <v/>
      </c>
      <c r="X978" s="9">
        <f>-IF(C978=1,LN(W978),LN(1-W978))</f>
        <v/>
      </c>
      <c r="Y978" s="10">
        <f>IF(W978&gt;$AC$33,1,0)</f>
        <v/>
      </c>
      <c r="Z978">
        <f>IF(Y978=C978,1,0)</f>
        <v/>
      </c>
    </row>
    <row r="979">
      <c r="A979">
        <f>'1 datos preparados'!A972</f>
        <v/>
      </c>
      <c r="B979" s="5">
        <f>'1 datos preparados'!U972</f>
        <v/>
      </c>
      <c r="C979">
        <f>'1 datos preparados'!B972</f>
        <v/>
      </c>
      <c r="D979" s="7">
        <f>'1 datos preparados'!C972</f>
        <v/>
      </c>
      <c r="E979" s="7">
        <f>'1 datos preparados'!D972</f>
        <v/>
      </c>
      <c r="F979" s="7">
        <f>'1 datos preparados'!E972</f>
        <v/>
      </c>
      <c r="G979" s="7">
        <f>'1 datos preparados'!F972</f>
        <v/>
      </c>
      <c r="H979" s="7">
        <f>'1 datos preparados'!G972</f>
        <v/>
      </c>
      <c r="I979" s="7">
        <f>'1 datos preparados'!H972</f>
        <v/>
      </c>
      <c r="J979" s="7">
        <f>'1 datos preparados'!I972</f>
        <v/>
      </c>
      <c r="K979" s="7">
        <f>'1 datos preparados'!J972</f>
        <v/>
      </c>
      <c r="L979" s="7">
        <f>'1 datos preparados'!K972</f>
        <v/>
      </c>
      <c r="M979" s="7">
        <f>'1 datos preparados'!L972</f>
        <v/>
      </c>
      <c r="N979" s="7">
        <f>'1 datos preparados'!M972</f>
        <v/>
      </c>
      <c r="O979" s="7">
        <f>'1 datos preparados'!N972</f>
        <v/>
      </c>
      <c r="P979" s="7">
        <f>'1 datos preparados'!O972</f>
        <v/>
      </c>
      <c r="Q979" s="7">
        <f>'1 datos preparados'!P972</f>
        <v/>
      </c>
      <c r="R979" s="7">
        <f>'1 datos preparados'!Q972</f>
        <v/>
      </c>
      <c r="S979" s="7">
        <f>'1 datos preparados'!R972</f>
        <v/>
      </c>
      <c r="T979" s="7">
        <f>'1 datos preparados'!S972</f>
        <v/>
      </c>
      <c r="U979" s="7">
        <f>'1 datos preparados'!T972</f>
        <v/>
      </c>
      <c r="V979" s="8">
        <f>$AC$12+D979*$AC$13+E979*$AC$14+F979*$AC$15+G979*$AC$16+H979*$AC$17+I979*$AC$18+J979*$AC$19+K979*$AC$20+L979*$AC$21+M979*$AC$22+N979*$AC$23+O979*$AC$24+P979*$AC$25+Q979*$AC$26+R979*$AC$27+S979*$AC$28+T979*$AC$29+U979*$AC$30</f>
        <v/>
      </c>
      <c r="W979" s="8">
        <f>1/(1+EXP(-V979))</f>
        <v/>
      </c>
      <c r="X979" s="9">
        <f>-IF(C979=1,LN(W979),LN(1-W979))</f>
        <v/>
      </c>
      <c r="Y979" s="10">
        <f>IF(W979&gt;$AC$33,1,0)</f>
        <v/>
      </c>
      <c r="Z979">
        <f>IF(Y979=C979,1,0)</f>
        <v/>
      </c>
    </row>
    <row r="980">
      <c r="A980">
        <f>'1 datos preparados'!A973</f>
        <v/>
      </c>
      <c r="B980" s="5">
        <f>'1 datos preparados'!U973</f>
        <v/>
      </c>
      <c r="C980">
        <f>'1 datos preparados'!B973</f>
        <v/>
      </c>
      <c r="D980" s="7">
        <f>'1 datos preparados'!C973</f>
        <v/>
      </c>
      <c r="E980" s="7">
        <f>'1 datos preparados'!D973</f>
        <v/>
      </c>
      <c r="F980" s="7">
        <f>'1 datos preparados'!E973</f>
        <v/>
      </c>
      <c r="G980" s="7">
        <f>'1 datos preparados'!F973</f>
        <v/>
      </c>
      <c r="H980" s="7">
        <f>'1 datos preparados'!G973</f>
        <v/>
      </c>
      <c r="I980" s="7">
        <f>'1 datos preparados'!H973</f>
        <v/>
      </c>
      <c r="J980" s="7">
        <f>'1 datos preparados'!I973</f>
        <v/>
      </c>
      <c r="K980" s="7">
        <f>'1 datos preparados'!J973</f>
        <v/>
      </c>
      <c r="L980" s="7">
        <f>'1 datos preparados'!K973</f>
        <v/>
      </c>
      <c r="M980" s="7">
        <f>'1 datos preparados'!L973</f>
        <v/>
      </c>
      <c r="N980" s="7">
        <f>'1 datos preparados'!M973</f>
        <v/>
      </c>
      <c r="O980" s="7">
        <f>'1 datos preparados'!N973</f>
        <v/>
      </c>
      <c r="P980" s="7">
        <f>'1 datos preparados'!O973</f>
        <v/>
      </c>
      <c r="Q980" s="7">
        <f>'1 datos preparados'!P973</f>
        <v/>
      </c>
      <c r="R980" s="7">
        <f>'1 datos preparados'!Q973</f>
        <v/>
      </c>
      <c r="S980" s="7">
        <f>'1 datos preparados'!R973</f>
        <v/>
      </c>
      <c r="T980" s="7">
        <f>'1 datos preparados'!S973</f>
        <v/>
      </c>
      <c r="U980" s="7">
        <f>'1 datos preparados'!T973</f>
        <v/>
      </c>
      <c r="V980" s="8">
        <f>$AC$12+D980*$AC$13+E980*$AC$14+F980*$AC$15+G980*$AC$16+H980*$AC$17+I980*$AC$18+J980*$AC$19+K980*$AC$20+L980*$AC$21+M980*$AC$22+N980*$AC$23+O980*$AC$24+P980*$AC$25+Q980*$AC$26+R980*$AC$27+S980*$AC$28+T980*$AC$29+U980*$AC$30</f>
        <v/>
      </c>
      <c r="W980" s="8">
        <f>1/(1+EXP(-V980))</f>
        <v/>
      </c>
      <c r="X980" s="9">
        <f>-IF(C980=1,LN(W980),LN(1-W980))</f>
        <v/>
      </c>
      <c r="Y980" s="10">
        <f>IF(W980&gt;$AC$33,1,0)</f>
        <v/>
      </c>
      <c r="Z980">
        <f>IF(Y980=C980,1,0)</f>
        <v/>
      </c>
    </row>
    <row r="981">
      <c r="A981">
        <f>'1 datos preparados'!A974</f>
        <v/>
      </c>
      <c r="B981" s="5">
        <f>'1 datos preparados'!U974</f>
        <v/>
      </c>
      <c r="C981">
        <f>'1 datos preparados'!B974</f>
        <v/>
      </c>
      <c r="D981" s="7">
        <f>'1 datos preparados'!C974</f>
        <v/>
      </c>
      <c r="E981" s="7">
        <f>'1 datos preparados'!D974</f>
        <v/>
      </c>
      <c r="F981" s="7">
        <f>'1 datos preparados'!E974</f>
        <v/>
      </c>
      <c r="G981" s="7">
        <f>'1 datos preparados'!F974</f>
        <v/>
      </c>
      <c r="H981" s="7">
        <f>'1 datos preparados'!G974</f>
        <v/>
      </c>
      <c r="I981" s="7">
        <f>'1 datos preparados'!H974</f>
        <v/>
      </c>
      <c r="J981" s="7">
        <f>'1 datos preparados'!I974</f>
        <v/>
      </c>
      <c r="K981" s="7">
        <f>'1 datos preparados'!J974</f>
        <v/>
      </c>
      <c r="L981" s="7">
        <f>'1 datos preparados'!K974</f>
        <v/>
      </c>
      <c r="M981" s="7">
        <f>'1 datos preparados'!L974</f>
        <v/>
      </c>
      <c r="N981" s="7">
        <f>'1 datos preparados'!M974</f>
        <v/>
      </c>
      <c r="O981" s="7">
        <f>'1 datos preparados'!N974</f>
        <v/>
      </c>
      <c r="P981" s="7">
        <f>'1 datos preparados'!O974</f>
        <v/>
      </c>
      <c r="Q981" s="7">
        <f>'1 datos preparados'!P974</f>
        <v/>
      </c>
      <c r="R981" s="7">
        <f>'1 datos preparados'!Q974</f>
        <v/>
      </c>
      <c r="S981" s="7">
        <f>'1 datos preparados'!R974</f>
        <v/>
      </c>
      <c r="T981" s="7">
        <f>'1 datos preparados'!S974</f>
        <v/>
      </c>
      <c r="U981" s="7">
        <f>'1 datos preparados'!T974</f>
        <v/>
      </c>
      <c r="V981" s="8">
        <f>$AC$12+D981*$AC$13+E981*$AC$14+F981*$AC$15+G981*$AC$16+H981*$AC$17+I981*$AC$18+J981*$AC$19+K981*$AC$20+L981*$AC$21+M981*$AC$22+N981*$AC$23+O981*$AC$24+P981*$AC$25+Q981*$AC$26+R981*$AC$27+S981*$AC$28+T981*$AC$29+U981*$AC$30</f>
        <v/>
      </c>
      <c r="W981" s="8">
        <f>1/(1+EXP(-V981))</f>
        <v/>
      </c>
      <c r="X981" s="9">
        <f>-IF(C981=1,LN(W981),LN(1-W981))</f>
        <v/>
      </c>
      <c r="Y981" s="10">
        <f>IF(W981&gt;$AC$33,1,0)</f>
        <v/>
      </c>
      <c r="Z981">
        <f>IF(Y981=C981,1,0)</f>
        <v/>
      </c>
    </row>
    <row r="982">
      <c r="A982">
        <f>'1 datos preparados'!A975</f>
        <v/>
      </c>
      <c r="B982" s="5">
        <f>'1 datos preparados'!U975</f>
        <v/>
      </c>
      <c r="C982">
        <f>'1 datos preparados'!B975</f>
        <v/>
      </c>
      <c r="D982" s="7">
        <f>'1 datos preparados'!C975</f>
        <v/>
      </c>
      <c r="E982" s="7">
        <f>'1 datos preparados'!D975</f>
        <v/>
      </c>
      <c r="F982" s="7">
        <f>'1 datos preparados'!E975</f>
        <v/>
      </c>
      <c r="G982" s="7">
        <f>'1 datos preparados'!F975</f>
        <v/>
      </c>
      <c r="H982" s="7">
        <f>'1 datos preparados'!G975</f>
        <v/>
      </c>
      <c r="I982" s="7">
        <f>'1 datos preparados'!H975</f>
        <v/>
      </c>
      <c r="J982" s="7">
        <f>'1 datos preparados'!I975</f>
        <v/>
      </c>
      <c r="K982" s="7">
        <f>'1 datos preparados'!J975</f>
        <v/>
      </c>
      <c r="L982" s="7">
        <f>'1 datos preparados'!K975</f>
        <v/>
      </c>
      <c r="M982" s="7">
        <f>'1 datos preparados'!L975</f>
        <v/>
      </c>
      <c r="N982" s="7">
        <f>'1 datos preparados'!M975</f>
        <v/>
      </c>
      <c r="O982" s="7">
        <f>'1 datos preparados'!N975</f>
        <v/>
      </c>
      <c r="P982" s="7">
        <f>'1 datos preparados'!O975</f>
        <v/>
      </c>
      <c r="Q982" s="7">
        <f>'1 datos preparados'!P975</f>
        <v/>
      </c>
      <c r="R982" s="7">
        <f>'1 datos preparados'!Q975</f>
        <v/>
      </c>
      <c r="S982" s="7">
        <f>'1 datos preparados'!R975</f>
        <v/>
      </c>
      <c r="T982" s="7">
        <f>'1 datos preparados'!S975</f>
        <v/>
      </c>
      <c r="U982" s="7">
        <f>'1 datos preparados'!T975</f>
        <v/>
      </c>
      <c r="V982" s="8">
        <f>$AC$12+D982*$AC$13+E982*$AC$14+F982*$AC$15+G982*$AC$16+H982*$AC$17+I982*$AC$18+J982*$AC$19+K982*$AC$20+L982*$AC$21+M982*$AC$22+N982*$AC$23+O982*$AC$24+P982*$AC$25+Q982*$AC$26+R982*$AC$27+S982*$AC$28+T982*$AC$29+U982*$AC$30</f>
        <v/>
      </c>
      <c r="W982" s="8">
        <f>1/(1+EXP(-V982))</f>
        <v/>
      </c>
      <c r="X982" s="9">
        <f>-IF(C982=1,LN(W982),LN(1-W982))</f>
        <v/>
      </c>
      <c r="Y982" s="10">
        <f>IF(W982&gt;$AC$33,1,0)</f>
        <v/>
      </c>
      <c r="Z982">
        <f>IF(Y982=C982,1,0)</f>
        <v/>
      </c>
    </row>
    <row r="983">
      <c r="A983">
        <f>'1 datos preparados'!A976</f>
        <v/>
      </c>
      <c r="B983" s="5">
        <f>'1 datos preparados'!U976</f>
        <v/>
      </c>
      <c r="C983">
        <f>'1 datos preparados'!B976</f>
        <v/>
      </c>
      <c r="D983" s="7">
        <f>'1 datos preparados'!C976</f>
        <v/>
      </c>
      <c r="E983" s="7">
        <f>'1 datos preparados'!D976</f>
        <v/>
      </c>
      <c r="F983" s="7">
        <f>'1 datos preparados'!E976</f>
        <v/>
      </c>
      <c r="G983" s="7">
        <f>'1 datos preparados'!F976</f>
        <v/>
      </c>
      <c r="H983" s="7">
        <f>'1 datos preparados'!G976</f>
        <v/>
      </c>
      <c r="I983" s="7">
        <f>'1 datos preparados'!H976</f>
        <v/>
      </c>
      <c r="J983" s="7">
        <f>'1 datos preparados'!I976</f>
        <v/>
      </c>
      <c r="K983" s="7">
        <f>'1 datos preparados'!J976</f>
        <v/>
      </c>
      <c r="L983" s="7">
        <f>'1 datos preparados'!K976</f>
        <v/>
      </c>
      <c r="M983" s="7">
        <f>'1 datos preparados'!L976</f>
        <v/>
      </c>
      <c r="N983" s="7">
        <f>'1 datos preparados'!M976</f>
        <v/>
      </c>
      <c r="O983" s="7">
        <f>'1 datos preparados'!N976</f>
        <v/>
      </c>
      <c r="P983" s="7">
        <f>'1 datos preparados'!O976</f>
        <v/>
      </c>
      <c r="Q983" s="7">
        <f>'1 datos preparados'!P976</f>
        <v/>
      </c>
      <c r="R983" s="7">
        <f>'1 datos preparados'!Q976</f>
        <v/>
      </c>
      <c r="S983" s="7">
        <f>'1 datos preparados'!R976</f>
        <v/>
      </c>
      <c r="T983" s="7">
        <f>'1 datos preparados'!S976</f>
        <v/>
      </c>
      <c r="U983" s="7">
        <f>'1 datos preparados'!T976</f>
        <v/>
      </c>
      <c r="V983" s="8">
        <f>$AC$12+D983*$AC$13+E983*$AC$14+F983*$AC$15+G983*$AC$16+H983*$AC$17+I983*$AC$18+J983*$AC$19+K983*$AC$20+L983*$AC$21+M983*$AC$22+N983*$AC$23+O983*$AC$24+P983*$AC$25+Q983*$AC$26+R983*$AC$27+S983*$AC$28+T983*$AC$29+U983*$AC$30</f>
        <v/>
      </c>
      <c r="W983" s="8">
        <f>1/(1+EXP(-V983))</f>
        <v/>
      </c>
      <c r="X983" s="9">
        <f>-IF(C983=1,LN(W983),LN(1-W983))</f>
        <v/>
      </c>
      <c r="Y983" s="10">
        <f>IF(W983&gt;$AC$33,1,0)</f>
        <v/>
      </c>
      <c r="Z983">
        <f>IF(Y983=C983,1,0)</f>
        <v/>
      </c>
    </row>
    <row r="984">
      <c r="A984">
        <f>'1 datos preparados'!A977</f>
        <v/>
      </c>
      <c r="B984" s="5">
        <f>'1 datos preparados'!U977</f>
        <v/>
      </c>
      <c r="C984">
        <f>'1 datos preparados'!B977</f>
        <v/>
      </c>
      <c r="D984" s="7">
        <f>'1 datos preparados'!C977</f>
        <v/>
      </c>
      <c r="E984" s="7">
        <f>'1 datos preparados'!D977</f>
        <v/>
      </c>
      <c r="F984" s="7">
        <f>'1 datos preparados'!E977</f>
        <v/>
      </c>
      <c r="G984" s="7">
        <f>'1 datos preparados'!F977</f>
        <v/>
      </c>
      <c r="H984" s="7">
        <f>'1 datos preparados'!G977</f>
        <v/>
      </c>
      <c r="I984" s="7">
        <f>'1 datos preparados'!H977</f>
        <v/>
      </c>
      <c r="J984" s="7">
        <f>'1 datos preparados'!I977</f>
        <v/>
      </c>
      <c r="K984" s="7">
        <f>'1 datos preparados'!J977</f>
        <v/>
      </c>
      <c r="L984" s="7">
        <f>'1 datos preparados'!K977</f>
        <v/>
      </c>
      <c r="M984" s="7">
        <f>'1 datos preparados'!L977</f>
        <v/>
      </c>
      <c r="N984" s="7">
        <f>'1 datos preparados'!M977</f>
        <v/>
      </c>
      <c r="O984" s="7">
        <f>'1 datos preparados'!N977</f>
        <v/>
      </c>
      <c r="P984" s="7">
        <f>'1 datos preparados'!O977</f>
        <v/>
      </c>
      <c r="Q984" s="7">
        <f>'1 datos preparados'!P977</f>
        <v/>
      </c>
      <c r="R984" s="7">
        <f>'1 datos preparados'!Q977</f>
        <v/>
      </c>
      <c r="S984" s="7">
        <f>'1 datos preparados'!R977</f>
        <v/>
      </c>
      <c r="T984" s="7">
        <f>'1 datos preparados'!S977</f>
        <v/>
      </c>
      <c r="U984" s="7">
        <f>'1 datos preparados'!T977</f>
        <v/>
      </c>
      <c r="V984" s="8">
        <f>$AC$12+D984*$AC$13+E984*$AC$14+F984*$AC$15+G984*$AC$16+H984*$AC$17+I984*$AC$18+J984*$AC$19+K984*$AC$20+L984*$AC$21+M984*$AC$22+N984*$AC$23+O984*$AC$24+P984*$AC$25+Q984*$AC$26+R984*$AC$27+S984*$AC$28+T984*$AC$29+U984*$AC$30</f>
        <v/>
      </c>
      <c r="W984" s="8">
        <f>1/(1+EXP(-V984))</f>
        <v/>
      </c>
      <c r="X984" s="9">
        <f>-IF(C984=1,LN(W984),LN(1-W984))</f>
        <v/>
      </c>
      <c r="Y984" s="10">
        <f>IF(W984&gt;$AC$33,1,0)</f>
        <v/>
      </c>
      <c r="Z984">
        <f>IF(Y984=C984,1,0)</f>
        <v/>
      </c>
    </row>
    <row r="985">
      <c r="A985">
        <f>'1 datos preparados'!A978</f>
        <v/>
      </c>
      <c r="B985" s="5">
        <f>'1 datos preparados'!U978</f>
        <v/>
      </c>
      <c r="C985">
        <f>'1 datos preparados'!B978</f>
        <v/>
      </c>
      <c r="D985" s="7">
        <f>'1 datos preparados'!C978</f>
        <v/>
      </c>
      <c r="E985" s="7">
        <f>'1 datos preparados'!D978</f>
        <v/>
      </c>
      <c r="F985" s="7">
        <f>'1 datos preparados'!E978</f>
        <v/>
      </c>
      <c r="G985" s="7">
        <f>'1 datos preparados'!F978</f>
        <v/>
      </c>
      <c r="H985" s="7">
        <f>'1 datos preparados'!G978</f>
        <v/>
      </c>
      <c r="I985" s="7">
        <f>'1 datos preparados'!H978</f>
        <v/>
      </c>
      <c r="J985" s="7">
        <f>'1 datos preparados'!I978</f>
        <v/>
      </c>
      <c r="K985" s="7">
        <f>'1 datos preparados'!J978</f>
        <v/>
      </c>
      <c r="L985" s="7">
        <f>'1 datos preparados'!K978</f>
        <v/>
      </c>
      <c r="M985" s="7">
        <f>'1 datos preparados'!L978</f>
        <v/>
      </c>
      <c r="N985" s="7">
        <f>'1 datos preparados'!M978</f>
        <v/>
      </c>
      <c r="O985" s="7">
        <f>'1 datos preparados'!N978</f>
        <v/>
      </c>
      <c r="P985" s="7">
        <f>'1 datos preparados'!O978</f>
        <v/>
      </c>
      <c r="Q985" s="7">
        <f>'1 datos preparados'!P978</f>
        <v/>
      </c>
      <c r="R985" s="7">
        <f>'1 datos preparados'!Q978</f>
        <v/>
      </c>
      <c r="S985" s="7">
        <f>'1 datos preparados'!R978</f>
        <v/>
      </c>
      <c r="T985" s="7">
        <f>'1 datos preparados'!S978</f>
        <v/>
      </c>
      <c r="U985" s="7">
        <f>'1 datos preparados'!T978</f>
        <v/>
      </c>
      <c r="V985" s="8">
        <f>$AC$12+D985*$AC$13+E985*$AC$14+F985*$AC$15+G985*$AC$16+H985*$AC$17+I985*$AC$18+J985*$AC$19+K985*$AC$20+L985*$AC$21+M985*$AC$22+N985*$AC$23+O985*$AC$24+P985*$AC$25+Q985*$AC$26+R985*$AC$27+S985*$AC$28+T985*$AC$29+U985*$AC$30</f>
        <v/>
      </c>
      <c r="W985" s="8">
        <f>1/(1+EXP(-V985))</f>
        <v/>
      </c>
      <c r="X985" s="9">
        <f>-IF(C985=1,LN(W985),LN(1-W985))</f>
        <v/>
      </c>
      <c r="Y985" s="10">
        <f>IF(W985&gt;$AC$33,1,0)</f>
        <v/>
      </c>
      <c r="Z985">
        <f>IF(Y985=C985,1,0)</f>
        <v/>
      </c>
    </row>
    <row r="986">
      <c r="A986">
        <f>'1 datos preparados'!A979</f>
        <v/>
      </c>
      <c r="B986" s="5">
        <f>'1 datos preparados'!U979</f>
        <v/>
      </c>
      <c r="C986">
        <f>'1 datos preparados'!B979</f>
        <v/>
      </c>
      <c r="D986" s="7">
        <f>'1 datos preparados'!C979</f>
        <v/>
      </c>
      <c r="E986" s="7">
        <f>'1 datos preparados'!D979</f>
        <v/>
      </c>
      <c r="F986" s="7">
        <f>'1 datos preparados'!E979</f>
        <v/>
      </c>
      <c r="G986" s="7">
        <f>'1 datos preparados'!F979</f>
        <v/>
      </c>
      <c r="H986" s="7">
        <f>'1 datos preparados'!G979</f>
        <v/>
      </c>
      <c r="I986" s="7">
        <f>'1 datos preparados'!H979</f>
        <v/>
      </c>
      <c r="J986" s="7">
        <f>'1 datos preparados'!I979</f>
        <v/>
      </c>
      <c r="K986" s="7">
        <f>'1 datos preparados'!J979</f>
        <v/>
      </c>
      <c r="L986" s="7">
        <f>'1 datos preparados'!K979</f>
        <v/>
      </c>
      <c r="M986" s="7">
        <f>'1 datos preparados'!L979</f>
        <v/>
      </c>
      <c r="N986" s="7">
        <f>'1 datos preparados'!M979</f>
        <v/>
      </c>
      <c r="O986" s="7">
        <f>'1 datos preparados'!N979</f>
        <v/>
      </c>
      <c r="P986" s="7">
        <f>'1 datos preparados'!O979</f>
        <v/>
      </c>
      <c r="Q986" s="7">
        <f>'1 datos preparados'!P979</f>
        <v/>
      </c>
      <c r="R986" s="7">
        <f>'1 datos preparados'!Q979</f>
        <v/>
      </c>
      <c r="S986" s="7">
        <f>'1 datos preparados'!R979</f>
        <v/>
      </c>
      <c r="T986" s="7">
        <f>'1 datos preparados'!S979</f>
        <v/>
      </c>
      <c r="U986" s="7">
        <f>'1 datos preparados'!T979</f>
        <v/>
      </c>
      <c r="V986" s="8">
        <f>$AC$12+D986*$AC$13+E986*$AC$14+F986*$AC$15+G986*$AC$16+H986*$AC$17+I986*$AC$18+J986*$AC$19+K986*$AC$20+L986*$AC$21+M986*$AC$22+N986*$AC$23+O986*$AC$24+P986*$AC$25+Q986*$AC$26+R986*$AC$27+S986*$AC$28+T986*$AC$29+U986*$AC$30</f>
        <v/>
      </c>
      <c r="W986" s="8">
        <f>1/(1+EXP(-V986))</f>
        <v/>
      </c>
      <c r="X986" s="9">
        <f>-IF(C986=1,LN(W986),LN(1-W986))</f>
        <v/>
      </c>
      <c r="Y986" s="10">
        <f>IF(W986&gt;$AC$33,1,0)</f>
        <v/>
      </c>
      <c r="Z986">
        <f>IF(Y986=C986,1,0)</f>
        <v/>
      </c>
    </row>
    <row r="987">
      <c r="A987">
        <f>'1 datos preparados'!A980</f>
        <v/>
      </c>
      <c r="B987" s="5">
        <f>'1 datos preparados'!U980</f>
        <v/>
      </c>
      <c r="C987">
        <f>'1 datos preparados'!B980</f>
        <v/>
      </c>
      <c r="D987" s="7">
        <f>'1 datos preparados'!C980</f>
        <v/>
      </c>
      <c r="E987" s="7">
        <f>'1 datos preparados'!D980</f>
        <v/>
      </c>
      <c r="F987" s="7">
        <f>'1 datos preparados'!E980</f>
        <v/>
      </c>
      <c r="G987" s="7">
        <f>'1 datos preparados'!F980</f>
        <v/>
      </c>
      <c r="H987" s="7">
        <f>'1 datos preparados'!G980</f>
        <v/>
      </c>
      <c r="I987" s="7">
        <f>'1 datos preparados'!H980</f>
        <v/>
      </c>
      <c r="J987" s="7">
        <f>'1 datos preparados'!I980</f>
        <v/>
      </c>
      <c r="K987" s="7">
        <f>'1 datos preparados'!J980</f>
        <v/>
      </c>
      <c r="L987" s="7">
        <f>'1 datos preparados'!K980</f>
        <v/>
      </c>
      <c r="M987" s="7">
        <f>'1 datos preparados'!L980</f>
        <v/>
      </c>
      <c r="N987" s="7">
        <f>'1 datos preparados'!M980</f>
        <v/>
      </c>
      <c r="O987" s="7">
        <f>'1 datos preparados'!N980</f>
        <v/>
      </c>
      <c r="P987" s="7">
        <f>'1 datos preparados'!O980</f>
        <v/>
      </c>
      <c r="Q987" s="7">
        <f>'1 datos preparados'!P980</f>
        <v/>
      </c>
      <c r="R987" s="7">
        <f>'1 datos preparados'!Q980</f>
        <v/>
      </c>
      <c r="S987" s="7">
        <f>'1 datos preparados'!R980</f>
        <v/>
      </c>
      <c r="T987" s="7">
        <f>'1 datos preparados'!S980</f>
        <v/>
      </c>
      <c r="U987" s="7">
        <f>'1 datos preparados'!T980</f>
        <v/>
      </c>
      <c r="V987" s="8">
        <f>$AC$12+D987*$AC$13+E987*$AC$14+F987*$AC$15+G987*$AC$16+H987*$AC$17+I987*$AC$18+J987*$AC$19+K987*$AC$20+L987*$AC$21+M987*$AC$22+N987*$AC$23+O987*$AC$24+P987*$AC$25+Q987*$AC$26+R987*$AC$27+S987*$AC$28+T987*$AC$29+U987*$AC$30</f>
        <v/>
      </c>
      <c r="W987" s="8">
        <f>1/(1+EXP(-V987))</f>
        <v/>
      </c>
      <c r="X987" s="9">
        <f>-IF(C987=1,LN(W987),LN(1-W987))</f>
        <v/>
      </c>
      <c r="Y987" s="10">
        <f>IF(W987&gt;$AC$33,1,0)</f>
        <v/>
      </c>
      <c r="Z987">
        <f>IF(Y987=C987,1,0)</f>
        <v/>
      </c>
    </row>
    <row r="988">
      <c r="A988">
        <f>'1 datos preparados'!A981</f>
        <v/>
      </c>
      <c r="B988" s="5">
        <f>'1 datos preparados'!U981</f>
        <v/>
      </c>
      <c r="C988">
        <f>'1 datos preparados'!B981</f>
        <v/>
      </c>
      <c r="D988" s="7">
        <f>'1 datos preparados'!C981</f>
        <v/>
      </c>
      <c r="E988" s="7">
        <f>'1 datos preparados'!D981</f>
        <v/>
      </c>
      <c r="F988" s="7">
        <f>'1 datos preparados'!E981</f>
        <v/>
      </c>
      <c r="G988" s="7">
        <f>'1 datos preparados'!F981</f>
        <v/>
      </c>
      <c r="H988" s="7">
        <f>'1 datos preparados'!G981</f>
        <v/>
      </c>
      <c r="I988" s="7">
        <f>'1 datos preparados'!H981</f>
        <v/>
      </c>
      <c r="J988" s="7">
        <f>'1 datos preparados'!I981</f>
        <v/>
      </c>
      <c r="K988" s="7">
        <f>'1 datos preparados'!J981</f>
        <v/>
      </c>
      <c r="L988" s="7">
        <f>'1 datos preparados'!K981</f>
        <v/>
      </c>
      <c r="M988" s="7">
        <f>'1 datos preparados'!L981</f>
        <v/>
      </c>
      <c r="N988" s="7">
        <f>'1 datos preparados'!M981</f>
        <v/>
      </c>
      <c r="O988" s="7">
        <f>'1 datos preparados'!N981</f>
        <v/>
      </c>
      <c r="P988" s="7">
        <f>'1 datos preparados'!O981</f>
        <v/>
      </c>
      <c r="Q988" s="7">
        <f>'1 datos preparados'!P981</f>
        <v/>
      </c>
      <c r="R988" s="7">
        <f>'1 datos preparados'!Q981</f>
        <v/>
      </c>
      <c r="S988" s="7">
        <f>'1 datos preparados'!R981</f>
        <v/>
      </c>
      <c r="T988" s="7">
        <f>'1 datos preparados'!S981</f>
        <v/>
      </c>
      <c r="U988" s="7">
        <f>'1 datos preparados'!T981</f>
        <v/>
      </c>
      <c r="V988" s="8">
        <f>$AC$12+D988*$AC$13+E988*$AC$14+F988*$AC$15+G988*$AC$16+H988*$AC$17+I988*$AC$18+J988*$AC$19+K988*$AC$20+L988*$AC$21+M988*$AC$22+N988*$AC$23+O988*$AC$24+P988*$AC$25+Q988*$AC$26+R988*$AC$27+S988*$AC$28+T988*$AC$29+U988*$AC$30</f>
        <v/>
      </c>
      <c r="W988" s="8">
        <f>1/(1+EXP(-V988))</f>
        <v/>
      </c>
      <c r="X988" s="9">
        <f>-IF(C988=1,LN(W988),LN(1-W988))</f>
        <v/>
      </c>
      <c r="Y988" s="10">
        <f>IF(W988&gt;$AC$33,1,0)</f>
        <v/>
      </c>
      <c r="Z988">
        <f>IF(Y988=C988,1,0)</f>
        <v/>
      </c>
    </row>
    <row r="989">
      <c r="A989">
        <f>'1 datos preparados'!A982</f>
        <v/>
      </c>
      <c r="B989" s="5">
        <f>'1 datos preparados'!U982</f>
        <v/>
      </c>
      <c r="C989">
        <f>'1 datos preparados'!B982</f>
        <v/>
      </c>
      <c r="D989" s="7">
        <f>'1 datos preparados'!C982</f>
        <v/>
      </c>
      <c r="E989" s="7">
        <f>'1 datos preparados'!D982</f>
        <v/>
      </c>
      <c r="F989" s="7">
        <f>'1 datos preparados'!E982</f>
        <v/>
      </c>
      <c r="G989" s="7">
        <f>'1 datos preparados'!F982</f>
        <v/>
      </c>
      <c r="H989" s="7">
        <f>'1 datos preparados'!G982</f>
        <v/>
      </c>
      <c r="I989" s="7">
        <f>'1 datos preparados'!H982</f>
        <v/>
      </c>
      <c r="J989" s="7">
        <f>'1 datos preparados'!I982</f>
        <v/>
      </c>
      <c r="K989" s="7">
        <f>'1 datos preparados'!J982</f>
        <v/>
      </c>
      <c r="L989" s="7">
        <f>'1 datos preparados'!K982</f>
        <v/>
      </c>
      <c r="M989" s="7">
        <f>'1 datos preparados'!L982</f>
        <v/>
      </c>
      <c r="N989" s="7">
        <f>'1 datos preparados'!M982</f>
        <v/>
      </c>
      <c r="O989" s="7">
        <f>'1 datos preparados'!N982</f>
        <v/>
      </c>
      <c r="P989" s="7">
        <f>'1 datos preparados'!O982</f>
        <v/>
      </c>
      <c r="Q989" s="7">
        <f>'1 datos preparados'!P982</f>
        <v/>
      </c>
      <c r="R989" s="7">
        <f>'1 datos preparados'!Q982</f>
        <v/>
      </c>
      <c r="S989" s="7">
        <f>'1 datos preparados'!R982</f>
        <v/>
      </c>
      <c r="T989" s="7">
        <f>'1 datos preparados'!S982</f>
        <v/>
      </c>
      <c r="U989" s="7">
        <f>'1 datos preparados'!T982</f>
        <v/>
      </c>
      <c r="V989" s="8">
        <f>$AC$12+D989*$AC$13+E989*$AC$14+F989*$AC$15+G989*$AC$16+H989*$AC$17+I989*$AC$18+J989*$AC$19+K989*$AC$20+L989*$AC$21+M989*$AC$22+N989*$AC$23+O989*$AC$24+P989*$AC$25+Q989*$AC$26+R989*$AC$27+S989*$AC$28+T989*$AC$29+U989*$AC$30</f>
        <v/>
      </c>
      <c r="W989" s="8">
        <f>1/(1+EXP(-V989))</f>
        <v/>
      </c>
      <c r="X989" s="9">
        <f>-IF(C989=1,LN(W989),LN(1-W989))</f>
        <v/>
      </c>
      <c r="Y989" s="10">
        <f>IF(W989&gt;$AC$33,1,0)</f>
        <v/>
      </c>
      <c r="Z989">
        <f>IF(Y989=C989,1,0)</f>
        <v/>
      </c>
    </row>
    <row r="990">
      <c r="A990">
        <f>'1 datos preparados'!A983</f>
        <v/>
      </c>
      <c r="B990" s="5">
        <f>'1 datos preparados'!U983</f>
        <v/>
      </c>
      <c r="C990">
        <f>'1 datos preparados'!B983</f>
        <v/>
      </c>
      <c r="D990" s="7">
        <f>'1 datos preparados'!C983</f>
        <v/>
      </c>
      <c r="E990" s="7">
        <f>'1 datos preparados'!D983</f>
        <v/>
      </c>
      <c r="F990" s="7">
        <f>'1 datos preparados'!E983</f>
        <v/>
      </c>
      <c r="G990" s="7">
        <f>'1 datos preparados'!F983</f>
        <v/>
      </c>
      <c r="H990" s="7">
        <f>'1 datos preparados'!G983</f>
        <v/>
      </c>
      <c r="I990" s="7">
        <f>'1 datos preparados'!H983</f>
        <v/>
      </c>
      <c r="J990" s="7">
        <f>'1 datos preparados'!I983</f>
        <v/>
      </c>
      <c r="K990" s="7">
        <f>'1 datos preparados'!J983</f>
        <v/>
      </c>
      <c r="L990" s="7">
        <f>'1 datos preparados'!K983</f>
        <v/>
      </c>
      <c r="M990" s="7">
        <f>'1 datos preparados'!L983</f>
        <v/>
      </c>
      <c r="N990" s="7">
        <f>'1 datos preparados'!M983</f>
        <v/>
      </c>
      <c r="O990" s="7">
        <f>'1 datos preparados'!N983</f>
        <v/>
      </c>
      <c r="P990" s="7">
        <f>'1 datos preparados'!O983</f>
        <v/>
      </c>
      <c r="Q990" s="7">
        <f>'1 datos preparados'!P983</f>
        <v/>
      </c>
      <c r="R990" s="7">
        <f>'1 datos preparados'!Q983</f>
        <v/>
      </c>
      <c r="S990" s="7">
        <f>'1 datos preparados'!R983</f>
        <v/>
      </c>
      <c r="T990" s="7">
        <f>'1 datos preparados'!S983</f>
        <v/>
      </c>
      <c r="U990" s="7">
        <f>'1 datos preparados'!T983</f>
        <v/>
      </c>
      <c r="V990" s="8">
        <f>$AC$12+D990*$AC$13+E990*$AC$14+F990*$AC$15+G990*$AC$16+H990*$AC$17+I990*$AC$18+J990*$AC$19+K990*$AC$20+L990*$AC$21+M990*$AC$22+N990*$AC$23+O990*$AC$24+P990*$AC$25+Q990*$AC$26+R990*$AC$27+S990*$AC$28+T990*$AC$29+U990*$AC$30</f>
        <v/>
      </c>
      <c r="W990" s="8">
        <f>1/(1+EXP(-V990))</f>
        <v/>
      </c>
      <c r="X990" s="9">
        <f>-IF(C990=1,LN(W990),LN(1-W990))</f>
        <v/>
      </c>
      <c r="Y990" s="10">
        <f>IF(W990&gt;$AC$33,1,0)</f>
        <v/>
      </c>
      <c r="Z990">
        <f>IF(Y990=C990,1,0)</f>
        <v/>
      </c>
    </row>
    <row r="991">
      <c r="A991">
        <f>'1 datos preparados'!A984</f>
        <v/>
      </c>
      <c r="B991" s="5">
        <f>'1 datos preparados'!U984</f>
        <v/>
      </c>
      <c r="C991">
        <f>'1 datos preparados'!B984</f>
        <v/>
      </c>
      <c r="D991" s="7">
        <f>'1 datos preparados'!C984</f>
        <v/>
      </c>
      <c r="E991" s="7">
        <f>'1 datos preparados'!D984</f>
        <v/>
      </c>
      <c r="F991" s="7">
        <f>'1 datos preparados'!E984</f>
        <v/>
      </c>
      <c r="G991" s="7">
        <f>'1 datos preparados'!F984</f>
        <v/>
      </c>
      <c r="H991" s="7">
        <f>'1 datos preparados'!G984</f>
        <v/>
      </c>
      <c r="I991" s="7">
        <f>'1 datos preparados'!H984</f>
        <v/>
      </c>
      <c r="J991" s="7">
        <f>'1 datos preparados'!I984</f>
        <v/>
      </c>
      <c r="K991" s="7">
        <f>'1 datos preparados'!J984</f>
        <v/>
      </c>
      <c r="L991" s="7">
        <f>'1 datos preparados'!K984</f>
        <v/>
      </c>
      <c r="M991" s="7">
        <f>'1 datos preparados'!L984</f>
        <v/>
      </c>
      <c r="N991" s="7">
        <f>'1 datos preparados'!M984</f>
        <v/>
      </c>
      <c r="O991" s="7">
        <f>'1 datos preparados'!N984</f>
        <v/>
      </c>
      <c r="P991" s="7">
        <f>'1 datos preparados'!O984</f>
        <v/>
      </c>
      <c r="Q991" s="7">
        <f>'1 datos preparados'!P984</f>
        <v/>
      </c>
      <c r="R991" s="7">
        <f>'1 datos preparados'!Q984</f>
        <v/>
      </c>
      <c r="S991" s="7">
        <f>'1 datos preparados'!R984</f>
        <v/>
      </c>
      <c r="T991" s="7">
        <f>'1 datos preparados'!S984</f>
        <v/>
      </c>
      <c r="U991" s="7">
        <f>'1 datos preparados'!T984</f>
        <v/>
      </c>
      <c r="V991" s="8">
        <f>$AC$12+D991*$AC$13+E991*$AC$14+F991*$AC$15+G991*$AC$16+H991*$AC$17+I991*$AC$18+J991*$AC$19+K991*$AC$20+L991*$AC$21+M991*$AC$22+N991*$AC$23+O991*$AC$24+P991*$AC$25+Q991*$AC$26+R991*$AC$27+S991*$AC$28+T991*$AC$29+U991*$AC$30</f>
        <v/>
      </c>
      <c r="W991" s="8">
        <f>1/(1+EXP(-V991))</f>
        <v/>
      </c>
      <c r="X991" s="9">
        <f>-IF(C991=1,LN(W991),LN(1-W991))</f>
        <v/>
      </c>
      <c r="Y991" s="10">
        <f>IF(W991&gt;$AC$33,1,0)</f>
        <v/>
      </c>
      <c r="Z991">
        <f>IF(Y991=C991,1,0)</f>
        <v/>
      </c>
    </row>
    <row r="992">
      <c r="A992">
        <f>'1 datos preparados'!A985</f>
        <v/>
      </c>
      <c r="B992" s="5">
        <f>'1 datos preparados'!U985</f>
        <v/>
      </c>
      <c r="C992">
        <f>'1 datos preparados'!B985</f>
        <v/>
      </c>
      <c r="D992" s="7">
        <f>'1 datos preparados'!C985</f>
        <v/>
      </c>
      <c r="E992" s="7">
        <f>'1 datos preparados'!D985</f>
        <v/>
      </c>
      <c r="F992" s="7">
        <f>'1 datos preparados'!E985</f>
        <v/>
      </c>
      <c r="G992" s="7">
        <f>'1 datos preparados'!F985</f>
        <v/>
      </c>
      <c r="H992" s="7">
        <f>'1 datos preparados'!G985</f>
        <v/>
      </c>
      <c r="I992" s="7">
        <f>'1 datos preparados'!H985</f>
        <v/>
      </c>
      <c r="J992" s="7">
        <f>'1 datos preparados'!I985</f>
        <v/>
      </c>
      <c r="K992" s="7">
        <f>'1 datos preparados'!J985</f>
        <v/>
      </c>
      <c r="L992" s="7">
        <f>'1 datos preparados'!K985</f>
        <v/>
      </c>
      <c r="M992" s="7">
        <f>'1 datos preparados'!L985</f>
        <v/>
      </c>
      <c r="N992" s="7">
        <f>'1 datos preparados'!M985</f>
        <v/>
      </c>
      <c r="O992" s="7">
        <f>'1 datos preparados'!N985</f>
        <v/>
      </c>
      <c r="P992" s="7">
        <f>'1 datos preparados'!O985</f>
        <v/>
      </c>
      <c r="Q992" s="7">
        <f>'1 datos preparados'!P985</f>
        <v/>
      </c>
      <c r="R992" s="7">
        <f>'1 datos preparados'!Q985</f>
        <v/>
      </c>
      <c r="S992" s="7">
        <f>'1 datos preparados'!R985</f>
        <v/>
      </c>
      <c r="T992" s="7">
        <f>'1 datos preparados'!S985</f>
        <v/>
      </c>
      <c r="U992" s="7">
        <f>'1 datos preparados'!T985</f>
        <v/>
      </c>
      <c r="V992" s="8">
        <f>$AC$12+D992*$AC$13+E992*$AC$14+F992*$AC$15+G992*$AC$16+H992*$AC$17+I992*$AC$18+J992*$AC$19+K992*$AC$20+L992*$AC$21+M992*$AC$22+N992*$AC$23+O992*$AC$24+P992*$AC$25+Q992*$AC$26+R992*$AC$27+S992*$AC$28+T992*$AC$29+U992*$AC$30</f>
        <v/>
      </c>
      <c r="W992" s="8">
        <f>1/(1+EXP(-V992))</f>
        <v/>
      </c>
      <c r="X992" s="9">
        <f>-IF(C992=1,LN(W992),LN(1-W992))</f>
        <v/>
      </c>
      <c r="Y992" s="10">
        <f>IF(W992&gt;$AC$33,1,0)</f>
        <v/>
      </c>
      <c r="Z992">
        <f>IF(Y992=C992,1,0)</f>
        <v/>
      </c>
    </row>
    <row r="993">
      <c r="A993">
        <f>'1 datos preparados'!A986</f>
        <v/>
      </c>
      <c r="B993" s="5">
        <f>'1 datos preparados'!U986</f>
        <v/>
      </c>
      <c r="C993">
        <f>'1 datos preparados'!B986</f>
        <v/>
      </c>
      <c r="D993" s="7">
        <f>'1 datos preparados'!C986</f>
        <v/>
      </c>
      <c r="E993" s="7">
        <f>'1 datos preparados'!D986</f>
        <v/>
      </c>
      <c r="F993" s="7">
        <f>'1 datos preparados'!E986</f>
        <v/>
      </c>
      <c r="G993" s="7">
        <f>'1 datos preparados'!F986</f>
        <v/>
      </c>
      <c r="H993" s="7">
        <f>'1 datos preparados'!G986</f>
        <v/>
      </c>
      <c r="I993" s="7">
        <f>'1 datos preparados'!H986</f>
        <v/>
      </c>
      <c r="J993" s="7">
        <f>'1 datos preparados'!I986</f>
        <v/>
      </c>
      <c r="K993" s="7">
        <f>'1 datos preparados'!J986</f>
        <v/>
      </c>
      <c r="L993" s="7">
        <f>'1 datos preparados'!K986</f>
        <v/>
      </c>
      <c r="M993" s="7">
        <f>'1 datos preparados'!L986</f>
        <v/>
      </c>
      <c r="N993" s="7">
        <f>'1 datos preparados'!M986</f>
        <v/>
      </c>
      <c r="O993" s="7">
        <f>'1 datos preparados'!N986</f>
        <v/>
      </c>
      <c r="P993" s="7">
        <f>'1 datos preparados'!O986</f>
        <v/>
      </c>
      <c r="Q993" s="7">
        <f>'1 datos preparados'!P986</f>
        <v/>
      </c>
      <c r="R993" s="7">
        <f>'1 datos preparados'!Q986</f>
        <v/>
      </c>
      <c r="S993" s="7">
        <f>'1 datos preparados'!R986</f>
        <v/>
      </c>
      <c r="T993" s="7">
        <f>'1 datos preparados'!S986</f>
        <v/>
      </c>
      <c r="U993" s="7">
        <f>'1 datos preparados'!T986</f>
        <v/>
      </c>
      <c r="V993" s="8">
        <f>$AC$12+D993*$AC$13+E993*$AC$14+F993*$AC$15+G993*$AC$16+H993*$AC$17+I993*$AC$18+J993*$AC$19+K993*$AC$20+L993*$AC$21+M993*$AC$22+N993*$AC$23+O993*$AC$24+P993*$AC$25+Q993*$AC$26+R993*$AC$27+S993*$AC$28+T993*$AC$29+U993*$AC$30</f>
        <v/>
      </c>
      <c r="W993" s="8">
        <f>1/(1+EXP(-V993))</f>
        <v/>
      </c>
      <c r="X993" s="9">
        <f>-IF(C993=1,LN(W993),LN(1-W993))</f>
        <v/>
      </c>
      <c r="Y993" s="10">
        <f>IF(W993&gt;$AC$33,1,0)</f>
        <v/>
      </c>
      <c r="Z993">
        <f>IF(Y993=C993,1,0)</f>
        <v/>
      </c>
    </row>
    <row r="994">
      <c r="A994">
        <f>'1 datos preparados'!A987</f>
        <v/>
      </c>
      <c r="B994" s="5">
        <f>'1 datos preparados'!U987</f>
        <v/>
      </c>
      <c r="C994">
        <f>'1 datos preparados'!B987</f>
        <v/>
      </c>
      <c r="D994" s="7">
        <f>'1 datos preparados'!C987</f>
        <v/>
      </c>
      <c r="E994" s="7">
        <f>'1 datos preparados'!D987</f>
        <v/>
      </c>
      <c r="F994" s="7">
        <f>'1 datos preparados'!E987</f>
        <v/>
      </c>
      <c r="G994" s="7">
        <f>'1 datos preparados'!F987</f>
        <v/>
      </c>
      <c r="H994" s="7">
        <f>'1 datos preparados'!G987</f>
        <v/>
      </c>
      <c r="I994" s="7">
        <f>'1 datos preparados'!H987</f>
        <v/>
      </c>
      <c r="J994" s="7">
        <f>'1 datos preparados'!I987</f>
        <v/>
      </c>
      <c r="K994" s="7">
        <f>'1 datos preparados'!J987</f>
        <v/>
      </c>
      <c r="L994" s="7">
        <f>'1 datos preparados'!K987</f>
        <v/>
      </c>
      <c r="M994" s="7">
        <f>'1 datos preparados'!L987</f>
        <v/>
      </c>
      <c r="N994" s="7">
        <f>'1 datos preparados'!M987</f>
        <v/>
      </c>
      <c r="O994" s="7">
        <f>'1 datos preparados'!N987</f>
        <v/>
      </c>
      <c r="P994" s="7">
        <f>'1 datos preparados'!O987</f>
        <v/>
      </c>
      <c r="Q994" s="7">
        <f>'1 datos preparados'!P987</f>
        <v/>
      </c>
      <c r="R994" s="7">
        <f>'1 datos preparados'!Q987</f>
        <v/>
      </c>
      <c r="S994" s="7">
        <f>'1 datos preparados'!R987</f>
        <v/>
      </c>
      <c r="T994" s="7">
        <f>'1 datos preparados'!S987</f>
        <v/>
      </c>
      <c r="U994" s="7">
        <f>'1 datos preparados'!T987</f>
        <v/>
      </c>
      <c r="V994" s="8">
        <f>$AC$12+D994*$AC$13+E994*$AC$14+F994*$AC$15+G994*$AC$16+H994*$AC$17+I994*$AC$18+J994*$AC$19+K994*$AC$20+L994*$AC$21+M994*$AC$22+N994*$AC$23+O994*$AC$24+P994*$AC$25+Q994*$AC$26+R994*$AC$27+S994*$AC$28+T994*$AC$29+U994*$AC$30</f>
        <v/>
      </c>
      <c r="W994" s="8">
        <f>1/(1+EXP(-V994))</f>
        <v/>
      </c>
      <c r="X994" s="9">
        <f>-IF(C994=1,LN(W994),LN(1-W994))</f>
        <v/>
      </c>
      <c r="Y994" s="10">
        <f>IF(W994&gt;$AC$33,1,0)</f>
        <v/>
      </c>
      <c r="Z994">
        <f>IF(Y994=C994,1,0)</f>
        <v/>
      </c>
    </row>
    <row r="995">
      <c r="A995">
        <f>'1 datos preparados'!A988</f>
        <v/>
      </c>
      <c r="B995" s="5">
        <f>'1 datos preparados'!U988</f>
        <v/>
      </c>
      <c r="C995">
        <f>'1 datos preparados'!B988</f>
        <v/>
      </c>
      <c r="D995" s="7">
        <f>'1 datos preparados'!C988</f>
        <v/>
      </c>
      <c r="E995" s="7">
        <f>'1 datos preparados'!D988</f>
        <v/>
      </c>
      <c r="F995" s="7">
        <f>'1 datos preparados'!E988</f>
        <v/>
      </c>
      <c r="G995" s="7">
        <f>'1 datos preparados'!F988</f>
        <v/>
      </c>
      <c r="H995" s="7">
        <f>'1 datos preparados'!G988</f>
        <v/>
      </c>
      <c r="I995" s="7">
        <f>'1 datos preparados'!H988</f>
        <v/>
      </c>
      <c r="J995" s="7">
        <f>'1 datos preparados'!I988</f>
        <v/>
      </c>
      <c r="K995" s="7">
        <f>'1 datos preparados'!J988</f>
        <v/>
      </c>
      <c r="L995" s="7">
        <f>'1 datos preparados'!K988</f>
        <v/>
      </c>
      <c r="M995" s="7">
        <f>'1 datos preparados'!L988</f>
        <v/>
      </c>
      <c r="N995" s="7">
        <f>'1 datos preparados'!M988</f>
        <v/>
      </c>
      <c r="O995" s="7">
        <f>'1 datos preparados'!N988</f>
        <v/>
      </c>
      <c r="P995" s="7">
        <f>'1 datos preparados'!O988</f>
        <v/>
      </c>
      <c r="Q995" s="7">
        <f>'1 datos preparados'!P988</f>
        <v/>
      </c>
      <c r="R995" s="7">
        <f>'1 datos preparados'!Q988</f>
        <v/>
      </c>
      <c r="S995" s="7">
        <f>'1 datos preparados'!R988</f>
        <v/>
      </c>
      <c r="T995" s="7">
        <f>'1 datos preparados'!S988</f>
        <v/>
      </c>
      <c r="U995" s="7">
        <f>'1 datos preparados'!T988</f>
        <v/>
      </c>
      <c r="V995" s="8">
        <f>$AC$12+D995*$AC$13+E995*$AC$14+F995*$AC$15+G995*$AC$16+H995*$AC$17+I995*$AC$18+J995*$AC$19+K995*$AC$20+L995*$AC$21+M995*$AC$22+N995*$AC$23+O995*$AC$24+P995*$AC$25+Q995*$AC$26+R995*$AC$27+S995*$AC$28+T995*$AC$29+U995*$AC$30</f>
        <v/>
      </c>
      <c r="W995" s="8">
        <f>1/(1+EXP(-V995))</f>
        <v/>
      </c>
      <c r="X995" s="9">
        <f>-IF(C995=1,LN(W995),LN(1-W995))</f>
        <v/>
      </c>
      <c r="Y995" s="10">
        <f>IF(W995&gt;$AC$33,1,0)</f>
        <v/>
      </c>
      <c r="Z995">
        <f>IF(Y995=C995,1,0)</f>
        <v/>
      </c>
    </row>
    <row r="996">
      <c r="A996">
        <f>'1 datos preparados'!A989</f>
        <v/>
      </c>
      <c r="B996" s="5">
        <f>'1 datos preparados'!U989</f>
        <v/>
      </c>
      <c r="C996">
        <f>'1 datos preparados'!B989</f>
        <v/>
      </c>
      <c r="D996" s="7">
        <f>'1 datos preparados'!C989</f>
        <v/>
      </c>
      <c r="E996" s="7">
        <f>'1 datos preparados'!D989</f>
        <v/>
      </c>
      <c r="F996" s="7">
        <f>'1 datos preparados'!E989</f>
        <v/>
      </c>
      <c r="G996" s="7">
        <f>'1 datos preparados'!F989</f>
        <v/>
      </c>
      <c r="H996" s="7">
        <f>'1 datos preparados'!G989</f>
        <v/>
      </c>
      <c r="I996" s="7">
        <f>'1 datos preparados'!H989</f>
        <v/>
      </c>
      <c r="J996" s="7">
        <f>'1 datos preparados'!I989</f>
        <v/>
      </c>
      <c r="K996" s="7">
        <f>'1 datos preparados'!J989</f>
        <v/>
      </c>
      <c r="L996" s="7">
        <f>'1 datos preparados'!K989</f>
        <v/>
      </c>
      <c r="M996" s="7">
        <f>'1 datos preparados'!L989</f>
        <v/>
      </c>
      <c r="N996" s="7">
        <f>'1 datos preparados'!M989</f>
        <v/>
      </c>
      <c r="O996" s="7">
        <f>'1 datos preparados'!N989</f>
        <v/>
      </c>
      <c r="P996" s="7">
        <f>'1 datos preparados'!O989</f>
        <v/>
      </c>
      <c r="Q996" s="7">
        <f>'1 datos preparados'!P989</f>
        <v/>
      </c>
      <c r="R996" s="7">
        <f>'1 datos preparados'!Q989</f>
        <v/>
      </c>
      <c r="S996" s="7">
        <f>'1 datos preparados'!R989</f>
        <v/>
      </c>
      <c r="T996" s="7">
        <f>'1 datos preparados'!S989</f>
        <v/>
      </c>
      <c r="U996" s="7">
        <f>'1 datos preparados'!T989</f>
        <v/>
      </c>
      <c r="V996" s="8">
        <f>$AC$12+D996*$AC$13+E996*$AC$14+F996*$AC$15+G996*$AC$16+H996*$AC$17+I996*$AC$18+J996*$AC$19+K996*$AC$20+L996*$AC$21+M996*$AC$22+N996*$AC$23+O996*$AC$24+P996*$AC$25+Q996*$AC$26+R996*$AC$27+S996*$AC$28+T996*$AC$29+U996*$AC$30</f>
        <v/>
      </c>
      <c r="W996" s="8">
        <f>1/(1+EXP(-V996))</f>
        <v/>
      </c>
      <c r="X996" s="9">
        <f>-IF(C996=1,LN(W996),LN(1-W996))</f>
        <v/>
      </c>
      <c r="Y996" s="10">
        <f>IF(W996&gt;$AC$33,1,0)</f>
        <v/>
      </c>
      <c r="Z996">
        <f>IF(Y996=C996,1,0)</f>
        <v/>
      </c>
    </row>
    <row r="997">
      <c r="A997">
        <f>'1 datos preparados'!A990</f>
        <v/>
      </c>
      <c r="B997" s="5">
        <f>'1 datos preparados'!U990</f>
        <v/>
      </c>
      <c r="C997">
        <f>'1 datos preparados'!B990</f>
        <v/>
      </c>
      <c r="D997" s="7">
        <f>'1 datos preparados'!C990</f>
        <v/>
      </c>
      <c r="E997" s="7">
        <f>'1 datos preparados'!D990</f>
        <v/>
      </c>
      <c r="F997" s="7">
        <f>'1 datos preparados'!E990</f>
        <v/>
      </c>
      <c r="G997" s="7">
        <f>'1 datos preparados'!F990</f>
        <v/>
      </c>
      <c r="H997" s="7">
        <f>'1 datos preparados'!G990</f>
        <v/>
      </c>
      <c r="I997" s="7">
        <f>'1 datos preparados'!H990</f>
        <v/>
      </c>
      <c r="J997" s="7">
        <f>'1 datos preparados'!I990</f>
        <v/>
      </c>
      <c r="K997" s="7">
        <f>'1 datos preparados'!J990</f>
        <v/>
      </c>
      <c r="L997" s="7">
        <f>'1 datos preparados'!K990</f>
        <v/>
      </c>
      <c r="M997" s="7">
        <f>'1 datos preparados'!L990</f>
        <v/>
      </c>
      <c r="N997" s="7">
        <f>'1 datos preparados'!M990</f>
        <v/>
      </c>
      <c r="O997" s="7">
        <f>'1 datos preparados'!N990</f>
        <v/>
      </c>
      <c r="P997" s="7">
        <f>'1 datos preparados'!O990</f>
        <v/>
      </c>
      <c r="Q997" s="7">
        <f>'1 datos preparados'!P990</f>
        <v/>
      </c>
      <c r="R997" s="7">
        <f>'1 datos preparados'!Q990</f>
        <v/>
      </c>
      <c r="S997" s="7">
        <f>'1 datos preparados'!R990</f>
        <v/>
      </c>
      <c r="T997" s="7">
        <f>'1 datos preparados'!S990</f>
        <v/>
      </c>
      <c r="U997" s="7">
        <f>'1 datos preparados'!T990</f>
        <v/>
      </c>
      <c r="V997" s="8">
        <f>$AC$12+D997*$AC$13+E997*$AC$14+F997*$AC$15+G997*$AC$16+H997*$AC$17+I997*$AC$18+J997*$AC$19+K997*$AC$20+L997*$AC$21+M997*$AC$22+N997*$AC$23+O997*$AC$24+P997*$AC$25+Q997*$AC$26+R997*$AC$27+S997*$AC$28+T997*$AC$29+U997*$AC$30</f>
        <v/>
      </c>
      <c r="W997" s="8">
        <f>1/(1+EXP(-V997))</f>
        <v/>
      </c>
      <c r="X997" s="9">
        <f>-IF(C997=1,LN(W997),LN(1-W997))</f>
        <v/>
      </c>
      <c r="Y997" s="10">
        <f>IF(W997&gt;$AC$33,1,0)</f>
        <v/>
      </c>
      <c r="Z997">
        <f>IF(Y997=C997,1,0)</f>
        <v/>
      </c>
    </row>
    <row r="998">
      <c r="A998">
        <f>'1 datos preparados'!A991</f>
        <v/>
      </c>
      <c r="B998" s="5">
        <f>'1 datos preparados'!U991</f>
        <v/>
      </c>
      <c r="C998">
        <f>'1 datos preparados'!B991</f>
        <v/>
      </c>
      <c r="D998" s="7">
        <f>'1 datos preparados'!C991</f>
        <v/>
      </c>
      <c r="E998" s="7">
        <f>'1 datos preparados'!D991</f>
        <v/>
      </c>
      <c r="F998" s="7">
        <f>'1 datos preparados'!E991</f>
        <v/>
      </c>
      <c r="G998" s="7">
        <f>'1 datos preparados'!F991</f>
        <v/>
      </c>
      <c r="H998" s="7">
        <f>'1 datos preparados'!G991</f>
        <v/>
      </c>
      <c r="I998" s="7">
        <f>'1 datos preparados'!H991</f>
        <v/>
      </c>
      <c r="J998" s="7">
        <f>'1 datos preparados'!I991</f>
        <v/>
      </c>
      <c r="K998" s="7">
        <f>'1 datos preparados'!J991</f>
        <v/>
      </c>
      <c r="L998" s="7">
        <f>'1 datos preparados'!K991</f>
        <v/>
      </c>
      <c r="M998" s="7">
        <f>'1 datos preparados'!L991</f>
        <v/>
      </c>
      <c r="N998" s="7">
        <f>'1 datos preparados'!M991</f>
        <v/>
      </c>
      <c r="O998" s="7">
        <f>'1 datos preparados'!N991</f>
        <v/>
      </c>
      <c r="P998" s="7">
        <f>'1 datos preparados'!O991</f>
        <v/>
      </c>
      <c r="Q998" s="7">
        <f>'1 datos preparados'!P991</f>
        <v/>
      </c>
      <c r="R998" s="7">
        <f>'1 datos preparados'!Q991</f>
        <v/>
      </c>
      <c r="S998" s="7">
        <f>'1 datos preparados'!R991</f>
        <v/>
      </c>
      <c r="T998" s="7">
        <f>'1 datos preparados'!S991</f>
        <v/>
      </c>
      <c r="U998" s="7">
        <f>'1 datos preparados'!T991</f>
        <v/>
      </c>
      <c r="V998" s="8">
        <f>$AC$12+D998*$AC$13+E998*$AC$14+F998*$AC$15+G998*$AC$16+H998*$AC$17+I998*$AC$18+J998*$AC$19+K998*$AC$20+L998*$AC$21+M998*$AC$22+N998*$AC$23+O998*$AC$24+P998*$AC$25+Q998*$AC$26+R998*$AC$27+S998*$AC$28+T998*$AC$29+U998*$AC$30</f>
        <v/>
      </c>
      <c r="W998" s="8">
        <f>1/(1+EXP(-V998))</f>
        <v/>
      </c>
      <c r="X998" s="9">
        <f>-IF(C998=1,LN(W998),LN(1-W998))</f>
        <v/>
      </c>
      <c r="Y998" s="10">
        <f>IF(W998&gt;$AC$33,1,0)</f>
        <v/>
      </c>
      <c r="Z998">
        <f>IF(Y998=C998,1,0)</f>
        <v/>
      </c>
    </row>
    <row r="999">
      <c r="A999">
        <f>'1 datos preparados'!A992</f>
        <v/>
      </c>
      <c r="B999" s="5">
        <f>'1 datos preparados'!U992</f>
        <v/>
      </c>
      <c r="C999">
        <f>'1 datos preparados'!B992</f>
        <v/>
      </c>
      <c r="D999" s="7">
        <f>'1 datos preparados'!C992</f>
        <v/>
      </c>
      <c r="E999" s="7">
        <f>'1 datos preparados'!D992</f>
        <v/>
      </c>
      <c r="F999" s="7">
        <f>'1 datos preparados'!E992</f>
        <v/>
      </c>
      <c r="G999" s="7">
        <f>'1 datos preparados'!F992</f>
        <v/>
      </c>
      <c r="H999" s="7">
        <f>'1 datos preparados'!G992</f>
        <v/>
      </c>
      <c r="I999" s="7">
        <f>'1 datos preparados'!H992</f>
        <v/>
      </c>
      <c r="J999" s="7">
        <f>'1 datos preparados'!I992</f>
        <v/>
      </c>
      <c r="K999" s="7">
        <f>'1 datos preparados'!J992</f>
        <v/>
      </c>
      <c r="L999" s="7">
        <f>'1 datos preparados'!K992</f>
        <v/>
      </c>
      <c r="M999" s="7">
        <f>'1 datos preparados'!L992</f>
        <v/>
      </c>
      <c r="N999" s="7">
        <f>'1 datos preparados'!M992</f>
        <v/>
      </c>
      <c r="O999" s="7">
        <f>'1 datos preparados'!N992</f>
        <v/>
      </c>
      <c r="P999" s="7">
        <f>'1 datos preparados'!O992</f>
        <v/>
      </c>
      <c r="Q999" s="7">
        <f>'1 datos preparados'!P992</f>
        <v/>
      </c>
      <c r="R999" s="7">
        <f>'1 datos preparados'!Q992</f>
        <v/>
      </c>
      <c r="S999" s="7">
        <f>'1 datos preparados'!R992</f>
        <v/>
      </c>
      <c r="T999" s="7">
        <f>'1 datos preparados'!S992</f>
        <v/>
      </c>
      <c r="U999" s="7">
        <f>'1 datos preparados'!T992</f>
        <v/>
      </c>
      <c r="V999" s="8">
        <f>$AC$12+D999*$AC$13+E999*$AC$14+F999*$AC$15+G999*$AC$16+H999*$AC$17+I999*$AC$18+J999*$AC$19+K999*$AC$20+L999*$AC$21+M999*$AC$22+N999*$AC$23+O999*$AC$24+P999*$AC$25+Q999*$AC$26+R999*$AC$27+S999*$AC$28+T999*$AC$29+U999*$AC$30</f>
        <v/>
      </c>
      <c r="W999" s="8">
        <f>1/(1+EXP(-V999))</f>
        <v/>
      </c>
      <c r="X999" s="9">
        <f>-IF(C999=1,LN(W999),LN(1-W999))</f>
        <v/>
      </c>
      <c r="Y999" s="10">
        <f>IF(W999&gt;$AC$33,1,0)</f>
        <v/>
      </c>
      <c r="Z999">
        <f>IF(Y999=C999,1,0)</f>
        <v/>
      </c>
    </row>
    <row r="1000">
      <c r="A1000">
        <f>'1 datos preparados'!A993</f>
        <v/>
      </c>
      <c r="B1000" s="5">
        <f>'1 datos preparados'!U993</f>
        <v/>
      </c>
      <c r="C1000">
        <f>'1 datos preparados'!B993</f>
        <v/>
      </c>
      <c r="D1000" s="7">
        <f>'1 datos preparados'!C993</f>
        <v/>
      </c>
      <c r="E1000" s="7">
        <f>'1 datos preparados'!D993</f>
        <v/>
      </c>
      <c r="F1000" s="7">
        <f>'1 datos preparados'!E993</f>
        <v/>
      </c>
      <c r="G1000" s="7">
        <f>'1 datos preparados'!F993</f>
        <v/>
      </c>
      <c r="H1000" s="7">
        <f>'1 datos preparados'!G993</f>
        <v/>
      </c>
      <c r="I1000" s="7">
        <f>'1 datos preparados'!H993</f>
        <v/>
      </c>
      <c r="J1000" s="7">
        <f>'1 datos preparados'!I993</f>
        <v/>
      </c>
      <c r="K1000" s="7">
        <f>'1 datos preparados'!J993</f>
        <v/>
      </c>
      <c r="L1000" s="7">
        <f>'1 datos preparados'!K993</f>
        <v/>
      </c>
      <c r="M1000" s="7">
        <f>'1 datos preparados'!L993</f>
        <v/>
      </c>
      <c r="N1000" s="7">
        <f>'1 datos preparados'!M993</f>
        <v/>
      </c>
      <c r="O1000" s="7">
        <f>'1 datos preparados'!N993</f>
        <v/>
      </c>
      <c r="P1000" s="7">
        <f>'1 datos preparados'!O993</f>
        <v/>
      </c>
      <c r="Q1000" s="7">
        <f>'1 datos preparados'!P993</f>
        <v/>
      </c>
      <c r="R1000" s="7">
        <f>'1 datos preparados'!Q993</f>
        <v/>
      </c>
      <c r="S1000" s="7">
        <f>'1 datos preparados'!R993</f>
        <v/>
      </c>
      <c r="T1000" s="7">
        <f>'1 datos preparados'!S993</f>
        <v/>
      </c>
      <c r="U1000" s="7">
        <f>'1 datos preparados'!T993</f>
        <v/>
      </c>
      <c r="V1000" s="8">
        <f>$AC$12+D1000*$AC$13+E1000*$AC$14+F1000*$AC$15+G1000*$AC$16+H1000*$AC$17+I1000*$AC$18+J1000*$AC$19+K1000*$AC$20+L1000*$AC$21+M1000*$AC$22+N1000*$AC$23+O1000*$AC$24+P1000*$AC$25+Q1000*$AC$26+R1000*$AC$27+S1000*$AC$28+T1000*$AC$29+U1000*$AC$30</f>
        <v/>
      </c>
      <c r="W1000" s="8">
        <f>1/(1+EXP(-V1000))</f>
        <v/>
      </c>
      <c r="X1000" s="9">
        <f>-IF(C1000=1,LN(W1000),LN(1-W1000))</f>
        <v/>
      </c>
      <c r="Y1000" s="10">
        <f>IF(W1000&gt;$AC$33,1,0)</f>
        <v/>
      </c>
      <c r="Z1000">
        <f>IF(Y1000=C1000,1,0)</f>
        <v/>
      </c>
    </row>
    <row r="1001">
      <c r="A1001">
        <f>'1 datos preparados'!A994</f>
        <v/>
      </c>
      <c r="B1001" s="5">
        <f>'1 datos preparados'!U994</f>
        <v/>
      </c>
      <c r="C1001">
        <f>'1 datos preparados'!B994</f>
        <v/>
      </c>
      <c r="D1001" s="7">
        <f>'1 datos preparados'!C994</f>
        <v/>
      </c>
      <c r="E1001" s="7">
        <f>'1 datos preparados'!D994</f>
        <v/>
      </c>
      <c r="F1001" s="7">
        <f>'1 datos preparados'!E994</f>
        <v/>
      </c>
      <c r="G1001" s="7">
        <f>'1 datos preparados'!F994</f>
        <v/>
      </c>
      <c r="H1001" s="7">
        <f>'1 datos preparados'!G994</f>
        <v/>
      </c>
      <c r="I1001" s="7">
        <f>'1 datos preparados'!H994</f>
        <v/>
      </c>
      <c r="J1001" s="7">
        <f>'1 datos preparados'!I994</f>
        <v/>
      </c>
      <c r="K1001" s="7">
        <f>'1 datos preparados'!J994</f>
        <v/>
      </c>
      <c r="L1001" s="7">
        <f>'1 datos preparados'!K994</f>
        <v/>
      </c>
      <c r="M1001" s="7">
        <f>'1 datos preparados'!L994</f>
        <v/>
      </c>
      <c r="N1001" s="7">
        <f>'1 datos preparados'!M994</f>
        <v/>
      </c>
      <c r="O1001" s="7">
        <f>'1 datos preparados'!N994</f>
        <v/>
      </c>
      <c r="P1001" s="7">
        <f>'1 datos preparados'!O994</f>
        <v/>
      </c>
      <c r="Q1001" s="7">
        <f>'1 datos preparados'!P994</f>
        <v/>
      </c>
      <c r="R1001" s="7">
        <f>'1 datos preparados'!Q994</f>
        <v/>
      </c>
      <c r="S1001" s="7">
        <f>'1 datos preparados'!R994</f>
        <v/>
      </c>
      <c r="T1001" s="7">
        <f>'1 datos preparados'!S994</f>
        <v/>
      </c>
      <c r="U1001" s="7">
        <f>'1 datos preparados'!T994</f>
        <v/>
      </c>
      <c r="V1001" s="8">
        <f>$AC$12+D1001*$AC$13+E1001*$AC$14+F1001*$AC$15+G1001*$AC$16+H1001*$AC$17+I1001*$AC$18+J1001*$AC$19+K1001*$AC$20+L1001*$AC$21+M1001*$AC$22+N1001*$AC$23+O1001*$AC$24+P1001*$AC$25+Q1001*$AC$26+R1001*$AC$27+S1001*$AC$28+T1001*$AC$29+U1001*$AC$30</f>
        <v/>
      </c>
      <c r="W1001" s="8">
        <f>1/(1+EXP(-V1001))</f>
        <v/>
      </c>
      <c r="X1001" s="9">
        <f>-IF(C1001=1,LN(W1001),LN(1-W1001))</f>
        <v/>
      </c>
      <c r="Y1001" s="10">
        <f>IF(W1001&gt;$AC$33,1,0)</f>
        <v/>
      </c>
      <c r="Z1001">
        <f>IF(Y1001=C1001,1,0)</f>
        <v/>
      </c>
    </row>
    <row r="1002">
      <c r="A1002">
        <f>'1 datos preparados'!A995</f>
        <v/>
      </c>
      <c r="B1002" s="5">
        <f>'1 datos preparados'!U995</f>
        <v/>
      </c>
      <c r="C1002">
        <f>'1 datos preparados'!B995</f>
        <v/>
      </c>
      <c r="D1002" s="7">
        <f>'1 datos preparados'!C995</f>
        <v/>
      </c>
      <c r="E1002" s="7">
        <f>'1 datos preparados'!D995</f>
        <v/>
      </c>
      <c r="F1002" s="7">
        <f>'1 datos preparados'!E995</f>
        <v/>
      </c>
      <c r="G1002" s="7">
        <f>'1 datos preparados'!F995</f>
        <v/>
      </c>
      <c r="H1002" s="7">
        <f>'1 datos preparados'!G995</f>
        <v/>
      </c>
      <c r="I1002" s="7">
        <f>'1 datos preparados'!H995</f>
        <v/>
      </c>
      <c r="J1002" s="7">
        <f>'1 datos preparados'!I995</f>
        <v/>
      </c>
      <c r="K1002" s="7">
        <f>'1 datos preparados'!J995</f>
        <v/>
      </c>
      <c r="L1002" s="7">
        <f>'1 datos preparados'!K995</f>
        <v/>
      </c>
      <c r="M1002" s="7">
        <f>'1 datos preparados'!L995</f>
        <v/>
      </c>
      <c r="N1002" s="7">
        <f>'1 datos preparados'!M995</f>
        <v/>
      </c>
      <c r="O1002" s="7">
        <f>'1 datos preparados'!N995</f>
        <v/>
      </c>
      <c r="P1002" s="7">
        <f>'1 datos preparados'!O995</f>
        <v/>
      </c>
      <c r="Q1002" s="7">
        <f>'1 datos preparados'!P995</f>
        <v/>
      </c>
      <c r="R1002" s="7">
        <f>'1 datos preparados'!Q995</f>
        <v/>
      </c>
      <c r="S1002" s="7">
        <f>'1 datos preparados'!R995</f>
        <v/>
      </c>
      <c r="T1002" s="7">
        <f>'1 datos preparados'!S995</f>
        <v/>
      </c>
      <c r="U1002" s="7">
        <f>'1 datos preparados'!T995</f>
        <v/>
      </c>
      <c r="V1002" s="8">
        <f>$AC$12+D1002*$AC$13+E1002*$AC$14+F1002*$AC$15+G1002*$AC$16+H1002*$AC$17+I1002*$AC$18+J1002*$AC$19+K1002*$AC$20+L1002*$AC$21+M1002*$AC$22+N1002*$AC$23+O1002*$AC$24+P1002*$AC$25+Q1002*$AC$26+R1002*$AC$27+S1002*$AC$28+T1002*$AC$29+U1002*$AC$30</f>
        <v/>
      </c>
      <c r="W1002" s="8">
        <f>1/(1+EXP(-V1002))</f>
        <v/>
      </c>
      <c r="X1002" s="9">
        <f>-IF(C1002=1,LN(W1002),LN(1-W1002))</f>
        <v/>
      </c>
      <c r="Y1002" s="10">
        <f>IF(W1002&gt;$AC$33,1,0)</f>
        <v/>
      </c>
      <c r="Z1002">
        <f>IF(Y1002=C1002,1,0)</f>
        <v/>
      </c>
    </row>
    <row r="1003">
      <c r="A1003">
        <f>'1 datos preparados'!A996</f>
        <v/>
      </c>
      <c r="B1003" s="5">
        <f>'1 datos preparados'!U996</f>
        <v/>
      </c>
      <c r="C1003">
        <f>'1 datos preparados'!B996</f>
        <v/>
      </c>
      <c r="D1003" s="7">
        <f>'1 datos preparados'!C996</f>
        <v/>
      </c>
      <c r="E1003" s="7">
        <f>'1 datos preparados'!D996</f>
        <v/>
      </c>
      <c r="F1003" s="7">
        <f>'1 datos preparados'!E996</f>
        <v/>
      </c>
      <c r="G1003" s="7">
        <f>'1 datos preparados'!F996</f>
        <v/>
      </c>
      <c r="H1003" s="7">
        <f>'1 datos preparados'!G996</f>
        <v/>
      </c>
      <c r="I1003" s="7">
        <f>'1 datos preparados'!H996</f>
        <v/>
      </c>
      <c r="J1003" s="7">
        <f>'1 datos preparados'!I996</f>
        <v/>
      </c>
      <c r="K1003" s="7">
        <f>'1 datos preparados'!J996</f>
        <v/>
      </c>
      <c r="L1003" s="7">
        <f>'1 datos preparados'!K996</f>
        <v/>
      </c>
      <c r="M1003" s="7">
        <f>'1 datos preparados'!L996</f>
        <v/>
      </c>
      <c r="N1003" s="7">
        <f>'1 datos preparados'!M996</f>
        <v/>
      </c>
      <c r="O1003" s="7">
        <f>'1 datos preparados'!N996</f>
        <v/>
      </c>
      <c r="P1003" s="7">
        <f>'1 datos preparados'!O996</f>
        <v/>
      </c>
      <c r="Q1003" s="7">
        <f>'1 datos preparados'!P996</f>
        <v/>
      </c>
      <c r="R1003" s="7">
        <f>'1 datos preparados'!Q996</f>
        <v/>
      </c>
      <c r="S1003" s="7">
        <f>'1 datos preparados'!R996</f>
        <v/>
      </c>
      <c r="T1003" s="7">
        <f>'1 datos preparados'!S996</f>
        <v/>
      </c>
      <c r="U1003" s="7">
        <f>'1 datos preparados'!T996</f>
        <v/>
      </c>
      <c r="V1003" s="8">
        <f>$AC$12+D1003*$AC$13+E1003*$AC$14+F1003*$AC$15+G1003*$AC$16+H1003*$AC$17+I1003*$AC$18+J1003*$AC$19+K1003*$AC$20+L1003*$AC$21+M1003*$AC$22+N1003*$AC$23+O1003*$AC$24+P1003*$AC$25+Q1003*$AC$26+R1003*$AC$27+S1003*$AC$28+T1003*$AC$29+U1003*$AC$30</f>
        <v/>
      </c>
      <c r="W1003" s="8">
        <f>1/(1+EXP(-V1003))</f>
        <v/>
      </c>
      <c r="X1003" s="9">
        <f>-IF(C1003=1,LN(W1003),LN(1-W1003))</f>
        <v/>
      </c>
      <c r="Y1003" s="10">
        <f>IF(W1003&gt;$AC$33,1,0)</f>
        <v/>
      </c>
      <c r="Z1003">
        <f>IF(Y1003=C1003,1,0)</f>
        <v/>
      </c>
    </row>
    <row r="1004">
      <c r="A1004">
        <f>'1 datos preparados'!A997</f>
        <v/>
      </c>
      <c r="B1004" s="5">
        <f>'1 datos preparados'!U997</f>
        <v/>
      </c>
      <c r="C1004">
        <f>'1 datos preparados'!B997</f>
        <v/>
      </c>
      <c r="D1004" s="7">
        <f>'1 datos preparados'!C997</f>
        <v/>
      </c>
      <c r="E1004" s="7">
        <f>'1 datos preparados'!D997</f>
        <v/>
      </c>
      <c r="F1004" s="7">
        <f>'1 datos preparados'!E997</f>
        <v/>
      </c>
      <c r="G1004" s="7">
        <f>'1 datos preparados'!F997</f>
        <v/>
      </c>
      <c r="H1004" s="7">
        <f>'1 datos preparados'!G997</f>
        <v/>
      </c>
      <c r="I1004" s="7">
        <f>'1 datos preparados'!H997</f>
        <v/>
      </c>
      <c r="J1004" s="7">
        <f>'1 datos preparados'!I997</f>
        <v/>
      </c>
      <c r="K1004" s="7">
        <f>'1 datos preparados'!J997</f>
        <v/>
      </c>
      <c r="L1004" s="7">
        <f>'1 datos preparados'!K997</f>
        <v/>
      </c>
      <c r="M1004" s="7">
        <f>'1 datos preparados'!L997</f>
        <v/>
      </c>
      <c r="N1004" s="7">
        <f>'1 datos preparados'!M997</f>
        <v/>
      </c>
      <c r="O1004" s="7">
        <f>'1 datos preparados'!N997</f>
        <v/>
      </c>
      <c r="P1004" s="7">
        <f>'1 datos preparados'!O997</f>
        <v/>
      </c>
      <c r="Q1004" s="7">
        <f>'1 datos preparados'!P997</f>
        <v/>
      </c>
      <c r="R1004" s="7">
        <f>'1 datos preparados'!Q997</f>
        <v/>
      </c>
      <c r="S1004" s="7">
        <f>'1 datos preparados'!R997</f>
        <v/>
      </c>
      <c r="T1004" s="7">
        <f>'1 datos preparados'!S997</f>
        <v/>
      </c>
      <c r="U1004" s="7">
        <f>'1 datos preparados'!T997</f>
        <v/>
      </c>
      <c r="V1004" s="8">
        <f>$AC$12+D1004*$AC$13+E1004*$AC$14+F1004*$AC$15+G1004*$AC$16+H1004*$AC$17+I1004*$AC$18+J1004*$AC$19+K1004*$AC$20+L1004*$AC$21+M1004*$AC$22+N1004*$AC$23+O1004*$AC$24+P1004*$AC$25+Q1004*$AC$26+R1004*$AC$27+S1004*$AC$28+T1004*$AC$29+U1004*$AC$30</f>
        <v/>
      </c>
      <c r="W1004" s="8">
        <f>1/(1+EXP(-V1004))</f>
        <v/>
      </c>
      <c r="X1004" s="9">
        <f>-IF(C1004=1,LN(W1004),LN(1-W1004))</f>
        <v/>
      </c>
      <c r="Y1004" s="10">
        <f>IF(W1004&gt;$AC$33,1,0)</f>
        <v/>
      </c>
      <c r="Z1004">
        <f>IF(Y1004=C1004,1,0)</f>
        <v/>
      </c>
    </row>
    <row r="1005">
      <c r="A1005">
        <f>'1 datos preparados'!A998</f>
        <v/>
      </c>
      <c r="B1005" s="5">
        <f>'1 datos preparados'!U998</f>
        <v/>
      </c>
      <c r="C1005">
        <f>'1 datos preparados'!B998</f>
        <v/>
      </c>
      <c r="D1005" s="7">
        <f>'1 datos preparados'!C998</f>
        <v/>
      </c>
      <c r="E1005" s="7">
        <f>'1 datos preparados'!D998</f>
        <v/>
      </c>
      <c r="F1005" s="7">
        <f>'1 datos preparados'!E998</f>
        <v/>
      </c>
      <c r="G1005" s="7">
        <f>'1 datos preparados'!F998</f>
        <v/>
      </c>
      <c r="H1005" s="7">
        <f>'1 datos preparados'!G998</f>
        <v/>
      </c>
      <c r="I1005" s="7">
        <f>'1 datos preparados'!H998</f>
        <v/>
      </c>
      <c r="J1005" s="7">
        <f>'1 datos preparados'!I998</f>
        <v/>
      </c>
      <c r="K1005" s="7">
        <f>'1 datos preparados'!J998</f>
        <v/>
      </c>
      <c r="L1005" s="7">
        <f>'1 datos preparados'!K998</f>
        <v/>
      </c>
      <c r="M1005" s="7">
        <f>'1 datos preparados'!L998</f>
        <v/>
      </c>
      <c r="N1005" s="7">
        <f>'1 datos preparados'!M998</f>
        <v/>
      </c>
      <c r="O1005" s="7">
        <f>'1 datos preparados'!N998</f>
        <v/>
      </c>
      <c r="P1005" s="7">
        <f>'1 datos preparados'!O998</f>
        <v/>
      </c>
      <c r="Q1005" s="7">
        <f>'1 datos preparados'!P998</f>
        <v/>
      </c>
      <c r="R1005" s="7">
        <f>'1 datos preparados'!Q998</f>
        <v/>
      </c>
      <c r="S1005" s="7">
        <f>'1 datos preparados'!R998</f>
        <v/>
      </c>
      <c r="T1005" s="7">
        <f>'1 datos preparados'!S998</f>
        <v/>
      </c>
      <c r="U1005" s="7">
        <f>'1 datos preparados'!T998</f>
        <v/>
      </c>
      <c r="V1005" s="8">
        <f>$AC$12+D1005*$AC$13+E1005*$AC$14+F1005*$AC$15+G1005*$AC$16+H1005*$AC$17+I1005*$AC$18+J1005*$AC$19+K1005*$AC$20+L1005*$AC$21+M1005*$AC$22+N1005*$AC$23+O1005*$AC$24+P1005*$AC$25+Q1005*$AC$26+R1005*$AC$27+S1005*$AC$28+T1005*$AC$29+U1005*$AC$30</f>
        <v/>
      </c>
      <c r="W1005" s="8">
        <f>1/(1+EXP(-V1005))</f>
        <v/>
      </c>
      <c r="X1005" s="9">
        <f>-IF(C1005=1,LN(W1005),LN(1-W1005))</f>
        <v/>
      </c>
      <c r="Y1005" s="10">
        <f>IF(W1005&gt;$AC$33,1,0)</f>
        <v/>
      </c>
      <c r="Z1005">
        <f>IF(Y1005=C1005,1,0)</f>
        <v/>
      </c>
    </row>
    <row r="1006">
      <c r="A1006">
        <f>'1 datos preparados'!A999</f>
        <v/>
      </c>
      <c r="B1006" s="5">
        <f>'1 datos preparados'!U999</f>
        <v/>
      </c>
      <c r="C1006">
        <f>'1 datos preparados'!B999</f>
        <v/>
      </c>
      <c r="D1006" s="7">
        <f>'1 datos preparados'!C999</f>
        <v/>
      </c>
      <c r="E1006" s="7">
        <f>'1 datos preparados'!D999</f>
        <v/>
      </c>
      <c r="F1006" s="7">
        <f>'1 datos preparados'!E999</f>
        <v/>
      </c>
      <c r="G1006" s="7">
        <f>'1 datos preparados'!F999</f>
        <v/>
      </c>
      <c r="H1006" s="7">
        <f>'1 datos preparados'!G999</f>
        <v/>
      </c>
      <c r="I1006" s="7">
        <f>'1 datos preparados'!H999</f>
        <v/>
      </c>
      <c r="J1006" s="7">
        <f>'1 datos preparados'!I999</f>
        <v/>
      </c>
      <c r="K1006" s="7">
        <f>'1 datos preparados'!J999</f>
        <v/>
      </c>
      <c r="L1006" s="7">
        <f>'1 datos preparados'!K999</f>
        <v/>
      </c>
      <c r="M1006" s="7">
        <f>'1 datos preparados'!L999</f>
        <v/>
      </c>
      <c r="N1006" s="7">
        <f>'1 datos preparados'!M999</f>
        <v/>
      </c>
      <c r="O1006" s="7">
        <f>'1 datos preparados'!N999</f>
        <v/>
      </c>
      <c r="P1006" s="7">
        <f>'1 datos preparados'!O999</f>
        <v/>
      </c>
      <c r="Q1006" s="7">
        <f>'1 datos preparados'!P999</f>
        <v/>
      </c>
      <c r="R1006" s="7">
        <f>'1 datos preparados'!Q999</f>
        <v/>
      </c>
      <c r="S1006" s="7">
        <f>'1 datos preparados'!R999</f>
        <v/>
      </c>
      <c r="T1006" s="7">
        <f>'1 datos preparados'!S999</f>
        <v/>
      </c>
      <c r="U1006" s="7">
        <f>'1 datos preparados'!T999</f>
        <v/>
      </c>
      <c r="V1006" s="8">
        <f>$AC$12+D1006*$AC$13+E1006*$AC$14+F1006*$AC$15+G1006*$AC$16+H1006*$AC$17+I1006*$AC$18+J1006*$AC$19+K1006*$AC$20+L1006*$AC$21+M1006*$AC$22+N1006*$AC$23+O1006*$AC$24+P1006*$AC$25+Q1006*$AC$26+R1006*$AC$27+S1006*$AC$28+T1006*$AC$29+U1006*$AC$30</f>
        <v/>
      </c>
      <c r="W1006" s="8">
        <f>1/(1+EXP(-V1006))</f>
        <v/>
      </c>
      <c r="X1006" s="9">
        <f>-IF(C1006=1,LN(W1006),LN(1-W1006))</f>
        <v/>
      </c>
      <c r="Y1006" s="10">
        <f>IF(W1006&gt;$AC$33,1,0)</f>
        <v/>
      </c>
      <c r="Z1006">
        <f>IF(Y1006=C1006,1,0)</f>
        <v/>
      </c>
    </row>
    <row r="1007">
      <c r="A1007">
        <f>'1 datos preparados'!A1000</f>
        <v/>
      </c>
      <c r="B1007" s="5">
        <f>'1 datos preparados'!U1000</f>
        <v/>
      </c>
      <c r="C1007">
        <f>'1 datos preparados'!B1000</f>
        <v/>
      </c>
      <c r="D1007" s="7">
        <f>'1 datos preparados'!C1000</f>
        <v/>
      </c>
      <c r="E1007" s="7">
        <f>'1 datos preparados'!D1000</f>
        <v/>
      </c>
      <c r="F1007" s="7">
        <f>'1 datos preparados'!E1000</f>
        <v/>
      </c>
      <c r="G1007" s="7">
        <f>'1 datos preparados'!F1000</f>
        <v/>
      </c>
      <c r="H1007" s="7">
        <f>'1 datos preparados'!G1000</f>
        <v/>
      </c>
      <c r="I1007" s="7">
        <f>'1 datos preparados'!H1000</f>
        <v/>
      </c>
      <c r="J1007" s="7">
        <f>'1 datos preparados'!I1000</f>
        <v/>
      </c>
      <c r="K1007" s="7">
        <f>'1 datos preparados'!J1000</f>
        <v/>
      </c>
      <c r="L1007" s="7">
        <f>'1 datos preparados'!K1000</f>
        <v/>
      </c>
      <c r="M1007" s="7">
        <f>'1 datos preparados'!L1000</f>
        <v/>
      </c>
      <c r="N1007" s="7">
        <f>'1 datos preparados'!M1000</f>
        <v/>
      </c>
      <c r="O1007" s="7">
        <f>'1 datos preparados'!N1000</f>
        <v/>
      </c>
      <c r="P1007" s="7">
        <f>'1 datos preparados'!O1000</f>
        <v/>
      </c>
      <c r="Q1007" s="7">
        <f>'1 datos preparados'!P1000</f>
        <v/>
      </c>
      <c r="R1007" s="7">
        <f>'1 datos preparados'!Q1000</f>
        <v/>
      </c>
      <c r="S1007" s="7">
        <f>'1 datos preparados'!R1000</f>
        <v/>
      </c>
      <c r="T1007" s="7">
        <f>'1 datos preparados'!S1000</f>
        <v/>
      </c>
      <c r="U1007" s="7">
        <f>'1 datos preparados'!T1000</f>
        <v/>
      </c>
      <c r="V1007" s="8">
        <f>$AC$12+D1007*$AC$13+E1007*$AC$14+F1007*$AC$15+G1007*$AC$16+H1007*$AC$17+I1007*$AC$18+J1007*$AC$19+K1007*$AC$20+L1007*$AC$21+M1007*$AC$22+N1007*$AC$23+O1007*$AC$24+P1007*$AC$25+Q1007*$AC$26+R1007*$AC$27+S1007*$AC$28+T1007*$AC$29+U1007*$AC$30</f>
        <v/>
      </c>
      <c r="W1007" s="8">
        <f>1/(1+EXP(-V1007))</f>
        <v/>
      </c>
      <c r="X1007" s="9">
        <f>-IF(C1007=1,LN(W1007),LN(1-W1007))</f>
        <v/>
      </c>
      <c r="Y1007" s="10">
        <f>IF(W1007&gt;$AC$33,1,0)</f>
        <v/>
      </c>
      <c r="Z1007">
        <f>IF(Y1007=C1007,1,0)</f>
        <v/>
      </c>
    </row>
    <row r="1008">
      <c r="A1008">
        <f>'1 datos preparados'!A1001</f>
        <v/>
      </c>
      <c r="B1008" s="5">
        <f>'1 datos preparados'!U1001</f>
        <v/>
      </c>
      <c r="C1008">
        <f>'1 datos preparados'!B1001</f>
        <v/>
      </c>
      <c r="D1008" s="7">
        <f>'1 datos preparados'!C1001</f>
        <v/>
      </c>
      <c r="E1008" s="7">
        <f>'1 datos preparados'!D1001</f>
        <v/>
      </c>
      <c r="F1008" s="7">
        <f>'1 datos preparados'!E1001</f>
        <v/>
      </c>
      <c r="G1008" s="7">
        <f>'1 datos preparados'!F1001</f>
        <v/>
      </c>
      <c r="H1008" s="7">
        <f>'1 datos preparados'!G1001</f>
        <v/>
      </c>
      <c r="I1008" s="7">
        <f>'1 datos preparados'!H1001</f>
        <v/>
      </c>
      <c r="J1008" s="7">
        <f>'1 datos preparados'!I1001</f>
        <v/>
      </c>
      <c r="K1008" s="7">
        <f>'1 datos preparados'!J1001</f>
        <v/>
      </c>
      <c r="L1008" s="7">
        <f>'1 datos preparados'!K1001</f>
        <v/>
      </c>
      <c r="M1008" s="7">
        <f>'1 datos preparados'!L1001</f>
        <v/>
      </c>
      <c r="N1008" s="7">
        <f>'1 datos preparados'!M1001</f>
        <v/>
      </c>
      <c r="O1008" s="7">
        <f>'1 datos preparados'!N1001</f>
        <v/>
      </c>
      <c r="P1008" s="7">
        <f>'1 datos preparados'!O1001</f>
        <v/>
      </c>
      <c r="Q1008" s="7">
        <f>'1 datos preparados'!P1001</f>
        <v/>
      </c>
      <c r="R1008" s="7">
        <f>'1 datos preparados'!Q1001</f>
        <v/>
      </c>
      <c r="S1008" s="7">
        <f>'1 datos preparados'!R1001</f>
        <v/>
      </c>
      <c r="T1008" s="7">
        <f>'1 datos preparados'!S1001</f>
        <v/>
      </c>
      <c r="U1008" s="7">
        <f>'1 datos preparados'!T1001</f>
        <v/>
      </c>
      <c r="V1008" s="8">
        <f>$AC$12+D1008*$AC$13+E1008*$AC$14+F1008*$AC$15+G1008*$AC$16+H1008*$AC$17+I1008*$AC$18+J1008*$AC$19+K1008*$AC$20+L1008*$AC$21+M1008*$AC$22+N1008*$AC$23+O1008*$AC$24+P1008*$AC$25+Q1008*$AC$26+R1008*$AC$27+S1008*$AC$28+T1008*$AC$29+U1008*$AC$30</f>
        <v/>
      </c>
      <c r="W1008" s="8">
        <f>1/(1+EXP(-V1008))</f>
        <v/>
      </c>
      <c r="X1008" s="9">
        <f>-IF(C1008=1,LN(W1008),LN(1-W1008))</f>
        <v/>
      </c>
      <c r="Y1008" s="10">
        <f>IF(W1008&gt;$AC$33,1,0)</f>
        <v/>
      </c>
      <c r="Z1008">
        <f>IF(Y1008=C1008,1,0)</f>
        <v/>
      </c>
    </row>
    <row r="1009">
      <c r="A1009">
        <f>'1 datos preparados'!A1002</f>
        <v/>
      </c>
      <c r="B1009" s="5">
        <f>'1 datos preparados'!U1002</f>
        <v/>
      </c>
      <c r="C1009">
        <f>'1 datos preparados'!B1002</f>
        <v/>
      </c>
      <c r="D1009" s="7">
        <f>'1 datos preparados'!C1002</f>
        <v/>
      </c>
      <c r="E1009" s="7">
        <f>'1 datos preparados'!D1002</f>
        <v/>
      </c>
      <c r="F1009" s="7">
        <f>'1 datos preparados'!E1002</f>
        <v/>
      </c>
      <c r="G1009" s="7">
        <f>'1 datos preparados'!F1002</f>
        <v/>
      </c>
      <c r="H1009" s="7">
        <f>'1 datos preparados'!G1002</f>
        <v/>
      </c>
      <c r="I1009" s="7">
        <f>'1 datos preparados'!H1002</f>
        <v/>
      </c>
      <c r="J1009" s="7">
        <f>'1 datos preparados'!I1002</f>
        <v/>
      </c>
      <c r="K1009" s="7">
        <f>'1 datos preparados'!J1002</f>
        <v/>
      </c>
      <c r="L1009" s="7">
        <f>'1 datos preparados'!K1002</f>
        <v/>
      </c>
      <c r="M1009" s="7">
        <f>'1 datos preparados'!L1002</f>
        <v/>
      </c>
      <c r="N1009" s="7">
        <f>'1 datos preparados'!M1002</f>
        <v/>
      </c>
      <c r="O1009" s="7">
        <f>'1 datos preparados'!N1002</f>
        <v/>
      </c>
      <c r="P1009" s="7">
        <f>'1 datos preparados'!O1002</f>
        <v/>
      </c>
      <c r="Q1009" s="7">
        <f>'1 datos preparados'!P1002</f>
        <v/>
      </c>
      <c r="R1009" s="7">
        <f>'1 datos preparados'!Q1002</f>
        <v/>
      </c>
      <c r="S1009" s="7">
        <f>'1 datos preparados'!R1002</f>
        <v/>
      </c>
      <c r="T1009" s="7">
        <f>'1 datos preparados'!S1002</f>
        <v/>
      </c>
      <c r="U1009" s="7">
        <f>'1 datos preparados'!T1002</f>
        <v/>
      </c>
      <c r="V1009" s="8">
        <f>$AC$12+D1009*$AC$13+E1009*$AC$14+F1009*$AC$15+G1009*$AC$16+H1009*$AC$17+I1009*$AC$18+J1009*$AC$19+K1009*$AC$20+L1009*$AC$21+M1009*$AC$22+N1009*$AC$23+O1009*$AC$24+P1009*$AC$25+Q1009*$AC$26+R1009*$AC$27+S1009*$AC$28+T1009*$AC$29+U1009*$AC$30</f>
        <v/>
      </c>
      <c r="W1009" s="8">
        <f>1/(1+EXP(-V1009))</f>
        <v/>
      </c>
      <c r="X1009" s="9">
        <f>-IF(C1009=1,LN(W1009),LN(1-W1009))</f>
        <v/>
      </c>
      <c r="Y1009" s="10">
        <f>IF(W1009&gt;$AC$33,1,0)</f>
        <v/>
      </c>
      <c r="Z1009">
        <f>IF(Y1009=C1009,1,0)</f>
        <v/>
      </c>
    </row>
    <row r="1010">
      <c r="A1010">
        <f>'1 datos preparados'!A1003</f>
        <v/>
      </c>
      <c r="B1010" s="5">
        <f>'1 datos preparados'!U1003</f>
        <v/>
      </c>
      <c r="C1010">
        <f>'1 datos preparados'!B1003</f>
        <v/>
      </c>
      <c r="D1010" s="7">
        <f>'1 datos preparados'!C1003</f>
        <v/>
      </c>
      <c r="E1010" s="7">
        <f>'1 datos preparados'!D1003</f>
        <v/>
      </c>
      <c r="F1010" s="7">
        <f>'1 datos preparados'!E1003</f>
        <v/>
      </c>
      <c r="G1010" s="7">
        <f>'1 datos preparados'!F1003</f>
        <v/>
      </c>
      <c r="H1010" s="7">
        <f>'1 datos preparados'!G1003</f>
        <v/>
      </c>
      <c r="I1010" s="7">
        <f>'1 datos preparados'!H1003</f>
        <v/>
      </c>
      <c r="J1010" s="7">
        <f>'1 datos preparados'!I1003</f>
        <v/>
      </c>
      <c r="K1010" s="7">
        <f>'1 datos preparados'!J1003</f>
        <v/>
      </c>
      <c r="L1010" s="7">
        <f>'1 datos preparados'!K1003</f>
        <v/>
      </c>
      <c r="M1010" s="7">
        <f>'1 datos preparados'!L1003</f>
        <v/>
      </c>
      <c r="N1010" s="7">
        <f>'1 datos preparados'!M1003</f>
        <v/>
      </c>
      <c r="O1010" s="7">
        <f>'1 datos preparados'!N1003</f>
        <v/>
      </c>
      <c r="P1010" s="7">
        <f>'1 datos preparados'!O1003</f>
        <v/>
      </c>
      <c r="Q1010" s="7">
        <f>'1 datos preparados'!P1003</f>
        <v/>
      </c>
      <c r="R1010" s="7">
        <f>'1 datos preparados'!Q1003</f>
        <v/>
      </c>
      <c r="S1010" s="7">
        <f>'1 datos preparados'!R1003</f>
        <v/>
      </c>
      <c r="T1010" s="7">
        <f>'1 datos preparados'!S1003</f>
        <v/>
      </c>
      <c r="U1010" s="7">
        <f>'1 datos preparados'!T1003</f>
        <v/>
      </c>
      <c r="V1010" s="8">
        <f>$AC$12+D1010*$AC$13+E1010*$AC$14+F1010*$AC$15+G1010*$AC$16+H1010*$AC$17+I1010*$AC$18+J1010*$AC$19+K1010*$AC$20+L1010*$AC$21+M1010*$AC$22+N1010*$AC$23+O1010*$AC$24+P1010*$AC$25+Q1010*$AC$26+R1010*$AC$27+S1010*$AC$28+T1010*$AC$29+U1010*$AC$30</f>
        <v/>
      </c>
      <c r="W1010" s="8">
        <f>1/(1+EXP(-V1010))</f>
        <v/>
      </c>
      <c r="X1010" s="9">
        <f>-IF(C1010=1,LN(W1010),LN(1-W1010))</f>
        <v/>
      </c>
      <c r="Y1010" s="10">
        <f>IF(W1010&gt;$AC$33,1,0)</f>
        <v/>
      </c>
      <c r="Z1010">
        <f>IF(Y1010=C1010,1,0)</f>
        <v/>
      </c>
    </row>
    <row r="1011">
      <c r="A1011">
        <f>'1 datos preparados'!A1004</f>
        <v/>
      </c>
      <c r="B1011" s="5">
        <f>'1 datos preparados'!U1004</f>
        <v/>
      </c>
      <c r="C1011">
        <f>'1 datos preparados'!B1004</f>
        <v/>
      </c>
      <c r="D1011" s="7">
        <f>'1 datos preparados'!C1004</f>
        <v/>
      </c>
      <c r="E1011" s="7">
        <f>'1 datos preparados'!D1004</f>
        <v/>
      </c>
      <c r="F1011" s="7">
        <f>'1 datos preparados'!E1004</f>
        <v/>
      </c>
      <c r="G1011" s="7">
        <f>'1 datos preparados'!F1004</f>
        <v/>
      </c>
      <c r="H1011" s="7">
        <f>'1 datos preparados'!G1004</f>
        <v/>
      </c>
      <c r="I1011" s="7">
        <f>'1 datos preparados'!H1004</f>
        <v/>
      </c>
      <c r="J1011" s="7">
        <f>'1 datos preparados'!I1004</f>
        <v/>
      </c>
      <c r="K1011" s="7">
        <f>'1 datos preparados'!J1004</f>
        <v/>
      </c>
      <c r="L1011" s="7">
        <f>'1 datos preparados'!K1004</f>
        <v/>
      </c>
      <c r="M1011" s="7">
        <f>'1 datos preparados'!L1004</f>
        <v/>
      </c>
      <c r="N1011" s="7">
        <f>'1 datos preparados'!M1004</f>
        <v/>
      </c>
      <c r="O1011" s="7">
        <f>'1 datos preparados'!N1004</f>
        <v/>
      </c>
      <c r="P1011" s="7">
        <f>'1 datos preparados'!O1004</f>
        <v/>
      </c>
      <c r="Q1011" s="7">
        <f>'1 datos preparados'!P1004</f>
        <v/>
      </c>
      <c r="R1011" s="7">
        <f>'1 datos preparados'!Q1004</f>
        <v/>
      </c>
      <c r="S1011" s="7">
        <f>'1 datos preparados'!R1004</f>
        <v/>
      </c>
      <c r="T1011" s="7">
        <f>'1 datos preparados'!S1004</f>
        <v/>
      </c>
      <c r="U1011" s="7">
        <f>'1 datos preparados'!T1004</f>
        <v/>
      </c>
      <c r="V1011" s="8">
        <f>$AC$12+D1011*$AC$13+E1011*$AC$14+F1011*$AC$15+G1011*$AC$16+H1011*$AC$17+I1011*$AC$18+J1011*$AC$19+K1011*$AC$20+L1011*$AC$21+M1011*$AC$22+N1011*$AC$23+O1011*$AC$24+P1011*$AC$25+Q1011*$AC$26+R1011*$AC$27+S1011*$AC$28+T1011*$AC$29+U1011*$AC$30</f>
        <v/>
      </c>
      <c r="W1011" s="8">
        <f>1/(1+EXP(-V1011))</f>
        <v/>
      </c>
      <c r="X1011" s="9">
        <f>-IF(C1011=1,LN(W1011),LN(1-W1011))</f>
        <v/>
      </c>
      <c r="Y1011" s="10">
        <f>IF(W1011&gt;$AC$33,1,0)</f>
        <v/>
      </c>
      <c r="Z1011">
        <f>IF(Y1011=C1011,1,0)</f>
        <v/>
      </c>
    </row>
  </sheetData>
  <mergeCells count="4">
    <mergeCell ref="A3:R3"/>
    <mergeCell ref="A2:R2"/>
    <mergeCell ref="AB49:AE49"/>
    <mergeCell ref="AB48:AE48"/>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18" customWidth="1" min="7" max="7"/>
    <col width="13" customWidth="1" min="8" max="8"/>
    <col width="10" customWidth="1" min="9" max="9"/>
    <col width="14" customWidth="1" min="10" max="10"/>
    <col width="13" customWidth="1" min="11" max="11"/>
    <col width="13" customWidth="1" min="12" max="12"/>
    <col width="18" customWidth="1" min="13" max="13"/>
    <col width="16" customWidth="1" min="14" max="14"/>
    <col width="18" customWidth="1" min="15" max="15"/>
    <col width="19" customWidth="1" min="16" max="16"/>
    <col width="18" customWidth="1" min="17" max="17"/>
    <col width="16" customWidth="1" min="18" max="18"/>
    <col width="15" customWidth="1" min="19" max="19"/>
    <col width="19" customWidth="1" min="20" max="20"/>
    <col width="18" customWidth="1" min="21" max="21"/>
    <col width="10" customWidth="1" min="22" max="22"/>
    <col width="14" customWidth="1" min="23" max="23"/>
    <col width="10" customWidth="1" min="24" max="24"/>
    <col width="11" customWidth="1" min="25" max="25"/>
    <col width="10" customWidth="1" min="26" max="26"/>
    <col width="52" customWidth="1" min="28" max="28"/>
    <col width="21" customWidth="1" min="29" max="29"/>
    <col width="27" customWidth="1" min="30" max="30"/>
    <col width="17" customWidth="1" min="31" max="31"/>
    <col width="10" customWidth="1" min="32" max="32"/>
    <col width="24" customWidth="1" min="34" max="34"/>
    <col width="10" customWidth="1" min="35" max="35"/>
    <col width="11" customWidth="1" min="36" max="36"/>
    <col width="11" customWidth="1" min="37" max="37"/>
    <col width="10" customWidth="1" min="38" max="38"/>
  </cols>
  <sheetData>
    <row r="1">
      <c r="A1" s="3" t="inlineStr">
        <is>
          <t>Elastic net: una mezcla de las dos, con α para repartir</t>
        </is>
      </c>
    </row>
    <row r="2" ht="65" customHeight="1">
      <c r="A2" s="2" t="inlineStr">
        <is>
          <t>Elastic net. J = Σ pérdidas + λ · [α Σ|theta| + (1 − α)/2 Σ theta²]: una mezcla de las dos anteriores, donde α dice qué fracción del castigo es L1. Con α = 1 es lasso, con α = 0 es ridge; el valor 0,5 reparte. Por qué existe: lasso, cuando dos variables están muy correlacionadas, tiende a quedarse con una y botar la otra al azar; el pedazo L2 las hace compartir el peso. Y ridge nunca elimina; el pedazo L1 sí. En scikit-learn es penalty='elasticnet' con l1_ratio = α y C = 1/λ.</t>
        </is>
      </c>
    </row>
    <row r="3" ht="34" customHeight="1">
      <c r="A3" s="2" t="inlineStr">
        <is>
          <t>Las columnas amarillas son |theta| y theta², una para cada pedazo del castigo. Juega con λ y α y observa dos cosas: cuántos pesos se van a cero (eso lo gobierna α) y cuánto se encogen los que quedan (eso lo gobierna λ).</t>
        </is>
      </c>
    </row>
    <row r="4"/>
    <row r="5"/>
    <row r="6"/>
    <row r="7"/>
    <row r="8"/>
    <row r="9"/>
    <row r="10">
      <c r="AB10" s="3" t="inlineStr">
        <is>
          <t>Pesos (theta): parten de la solución sin regularizar del Excel base</t>
        </is>
      </c>
      <c r="AH10" s="3" t="inlineStr">
        <is>
          <t>EVALUACIÓN EN TESTING (con el umbral celeste)</t>
        </is>
      </c>
    </row>
    <row r="11">
      <c r="A11" s="4" t="inlineStr">
        <is>
          <t>id</t>
        </is>
      </c>
      <c r="B11" s="4" t="inlineStr">
        <is>
          <t>conjunto</t>
        </is>
      </c>
      <c r="C11" s="4" t="inlineStr">
        <is>
          <t>y</t>
        </is>
      </c>
      <c r="D11" s="4" t="inlineStr">
        <is>
          <t>duracion</t>
        </is>
      </c>
      <c r="E11" s="4" t="inlineStr">
        <is>
          <t>monto</t>
        </is>
      </c>
      <c r="F11" s="4" t="inlineStr">
        <is>
          <t>edad</t>
        </is>
      </c>
      <c r="G11" s="4" t="inlineStr">
        <is>
          <t>cuota_pct_ingreso</t>
        </is>
      </c>
      <c r="H11" s="4" t="inlineStr">
        <is>
          <t>cta_negativa</t>
        </is>
      </c>
      <c r="I11" s="4" t="inlineStr">
        <is>
          <t>cta_0_200</t>
        </is>
      </c>
      <c r="J11" s="4" t="inlineStr">
        <is>
          <t>cta_sobre_200</t>
        </is>
      </c>
      <c r="K11" s="4" t="inlineStr">
        <is>
          <t>hist_critico</t>
        </is>
      </c>
      <c r="L11" s="4" t="inlineStr">
        <is>
          <t>hist_atrasos</t>
        </is>
      </c>
      <c r="M11" s="4" t="inlineStr">
        <is>
          <t>hist_sin_creditos</t>
        </is>
      </c>
      <c r="N11" s="4" t="inlineStr">
        <is>
          <t>ahorro_100_1000</t>
        </is>
      </c>
      <c r="O11" s="4" t="inlineStr">
        <is>
          <t>ahorro_sobre_1000</t>
        </is>
      </c>
      <c r="P11" s="4" t="inlineStr">
        <is>
          <t>ahorro_desconocido</t>
        </is>
      </c>
      <c r="Q11" s="4" t="inlineStr">
        <is>
          <t>vivienda_arriendo</t>
        </is>
      </c>
      <c r="R11" s="4" t="inlineStr">
        <is>
          <t>vivienda_gratis</t>
        </is>
      </c>
      <c r="S11" s="4" t="inlineStr">
        <is>
          <t>proposito_auto</t>
        </is>
      </c>
      <c r="T11" s="4" t="inlineStr">
        <is>
          <t>proposito_radio_tv</t>
        </is>
      </c>
      <c r="U11" s="4" t="inlineStr">
        <is>
          <t>proposito_muebles</t>
        </is>
      </c>
      <c r="V11" s="4" t="inlineStr">
        <is>
          <t>Z (recta)</t>
        </is>
      </c>
      <c r="W11" s="4" t="inlineStr">
        <is>
          <t>p (logística)</t>
        </is>
      </c>
      <c r="X11" s="4" t="inlineStr">
        <is>
          <t>pérdida</t>
        </is>
      </c>
      <c r="Y11" s="4" t="inlineStr">
        <is>
          <t>predicción</t>
        </is>
      </c>
      <c r="Z11" s="4" t="inlineStr">
        <is>
          <t>acierto</t>
        </is>
      </c>
      <c r="AB11" s="4" t="inlineStr">
        <is>
          <t>variable</t>
        </is>
      </c>
      <c r="AC11" s="4" t="inlineStr">
        <is>
          <t>theta (celeste)</t>
        </is>
      </c>
      <c r="AD11" s="4" t="inlineStr">
        <is>
          <t>referencia scikit-learn, λ = 10</t>
        </is>
      </c>
      <c r="AE11" s="4" t="inlineStr">
        <is>
          <t>|theta|</t>
        </is>
      </c>
      <c r="AF11" s="4" t="inlineStr">
        <is>
          <t>theta²</t>
        </is>
      </c>
    </row>
    <row r="12">
      <c r="A12">
        <f>'1 datos preparados'!A5</f>
        <v/>
      </c>
      <c r="B12" s="5">
        <f>'1 datos preparados'!U5</f>
        <v/>
      </c>
      <c r="C12">
        <f>'1 datos preparados'!B5</f>
        <v/>
      </c>
      <c r="D12" s="7">
        <f>'1 datos preparados'!C5</f>
        <v/>
      </c>
      <c r="E12" s="7">
        <f>'1 datos preparados'!D5</f>
        <v/>
      </c>
      <c r="F12" s="7">
        <f>'1 datos preparados'!E5</f>
        <v/>
      </c>
      <c r="G12" s="7">
        <f>'1 datos preparados'!F5</f>
        <v/>
      </c>
      <c r="H12" s="7">
        <f>'1 datos preparados'!G5</f>
        <v/>
      </c>
      <c r="I12" s="7">
        <f>'1 datos preparados'!H5</f>
        <v/>
      </c>
      <c r="J12" s="7">
        <f>'1 datos preparados'!I5</f>
        <v/>
      </c>
      <c r="K12" s="7">
        <f>'1 datos preparados'!J5</f>
        <v/>
      </c>
      <c r="L12" s="7">
        <f>'1 datos preparados'!K5</f>
        <v/>
      </c>
      <c r="M12" s="7">
        <f>'1 datos preparados'!L5</f>
        <v/>
      </c>
      <c r="N12" s="7">
        <f>'1 datos preparados'!M5</f>
        <v/>
      </c>
      <c r="O12" s="7">
        <f>'1 datos preparados'!N5</f>
        <v/>
      </c>
      <c r="P12" s="7">
        <f>'1 datos preparados'!O5</f>
        <v/>
      </c>
      <c r="Q12" s="7">
        <f>'1 datos preparados'!P5</f>
        <v/>
      </c>
      <c r="R12" s="7">
        <f>'1 datos preparados'!Q5</f>
        <v/>
      </c>
      <c r="S12" s="7">
        <f>'1 datos preparados'!R5</f>
        <v/>
      </c>
      <c r="T12" s="7">
        <f>'1 datos preparados'!S5</f>
        <v/>
      </c>
      <c r="U12" s="7">
        <f>'1 datos preparados'!T5</f>
        <v/>
      </c>
      <c r="V12" s="8">
        <f>$AC$12+D12*$AC$13+E12*$AC$14+F12*$AC$15+G12*$AC$16+H12*$AC$17+I12*$AC$18+J12*$AC$19+K12*$AC$20+L12*$AC$21+M12*$AC$22+N12*$AC$23+O12*$AC$24+P12*$AC$25+Q12*$AC$26+R12*$AC$27+S12*$AC$28+T12*$AC$29+U12*$AC$30</f>
        <v/>
      </c>
      <c r="W12" s="8">
        <f>1/(1+EXP(-V12))</f>
        <v/>
      </c>
      <c r="X12" s="9">
        <f>-IF(C12=1,LN(W12),LN(1-W12))</f>
        <v/>
      </c>
      <c r="Y12" s="10">
        <f>IF(W12&gt;$AC$34,1,0)</f>
        <v/>
      </c>
      <c r="Z12">
        <f>IF(Y12=C12,1,0)</f>
        <v/>
      </c>
      <c r="AB12" t="inlineStr">
        <is>
          <t>intercepto</t>
        </is>
      </c>
      <c r="AC12" s="11" t="n">
        <v>-1.341270962110326</v>
      </c>
      <c r="AD12" s="12" t="n">
        <v>-1.164708464587308</v>
      </c>
      <c r="AE12" t="inlineStr">
        <is>
          <t>(no se penaliza)</t>
        </is>
      </c>
    </row>
    <row r="13">
      <c r="A13">
        <f>'1 datos preparados'!A6</f>
        <v/>
      </c>
      <c r="B13" s="5">
        <f>'1 datos preparados'!U6</f>
        <v/>
      </c>
      <c r="C13">
        <f>'1 datos preparados'!B6</f>
        <v/>
      </c>
      <c r="D13" s="7">
        <f>'1 datos preparados'!C6</f>
        <v/>
      </c>
      <c r="E13" s="7">
        <f>'1 datos preparados'!D6</f>
        <v/>
      </c>
      <c r="F13" s="7">
        <f>'1 datos preparados'!E6</f>
        <v/>
      </c>
      <c r="G13" s="7">
        <f>'1 datos preparados'!F6</f>
        <v/>
      </c>
      <c r="H13" s="7">
        <f>'1 datos preparados'!G6</f>
        <v/>
      </c>
      <c r="I13" s="7">
        <f>'1 datos preparados'!H6</f>
        <v/>
      </c>
      <c r="J13" s="7">
        <f>'1 datos preparados'!I6</f>
        <v/>
      </c>
      <c r="K13" s="7">
        <f>'1 datos preparados'!J6</f>
        <v/>
      </c>
      <c r="L13" s="7">
        <f>'1 datos preparados'!K6</f>
        <v/>
      </c>
      <c r="M13" s="7">
        <f>'1 datos preparados'!L6</f>
        <v/>
      </c>
      <c r="N13" s="7">
        <f>'1 datos preparados'!M6</f>
        <v/>
      </c>
      <c r="O13" s="7">
        <f>'1 datos preparados'!N6</f>
        <v/>
      </c>
      <c r="P13" s="7">
        <f>'1 datos preparados'!O6</f>
        <v/>
      </c>
      <c r="Q13" s="7">
        <f>'1 datos preparados'!P6</f>
        <v/>
      </c>
      <c r="R13" s="7">
        <f>'1 datos preparados'!Q6</f>
        <v/>
      </c>
      <c r="S13" s="7">
        <f>'1 datos preparados'!R6</f>
        <v/>
      </c>
      <c r="T13" s="7">
        <f>'1 datos preparados'!S6</f>
        <v/>
      </c>
      <c r="U13" s="7">
        <f>'1 datos preparados'!T6</f>
        <v/>
      </c>
      <c r="V13" s="8">
        <f>$AC$12+D13*$AC$13+E13*$AC$14+F13*$AC$15+G13*$AC$16+H13*$AC$17+I13*$AC$18+J13*$AC$19+K13*$AC$20+L13*$AC$21+M13*$AC$22+N13*$AC$23+O13*$AC$24+P13*$AC$25+Q13*$AC$26+R13*$AC$27+S13*$AC$28+T13*$AC$29+U13*$AC$30</f>
        <v/>
      </c>
      <c r="W13" s="8">
        <f>1/(1+EXP(-V13))</f>
        <v/>
      </c>
      <c r="X13" s="9">
        <f>-IF(C13=1,LN(W13),LN(1-W13))</f>
        <v/>
      </c>
      <c r="Y13" s="10">
        <f>IF(W13&gt;$AC$34,1,0)</f>
        <v/>
      </c>
      <c r="Z13">
        <f>IF(Y13=C13,1,0)</f>
        <v/>
      </c>
      <c r="AB13" t="inlineStr">
        <is>
          <t>duracion</t>
        </is>
      </c>
      <c r="AC13" s="11" t="n">
        <v>0.3247012549391071</v>
      </c>
      <c r="AD13" s="12" t="n">
        <v>0.2883263936988416</v>
      </c>
      <c r="AE13" s="9">
        <f>ABS(AC13)</f>
        <v/>
      </c>
      <c r="AF13" s="9">
        <f>AC13^2</f>
        <v/>
      </c>
      <c r="AJ13" s="3" t="inlineStr">
        <is>
          <t>predicho 0</t>
        </is>
      </c>
      <c r="AK13" s="3" t="inlineStr">
        <is>
          <t>predicho 1</t>
        </is>
      </c>
      <c r="AL13" s="3" t="inlineStr">
        <is>
          <t>total</t>
        </is>
      </c>
    </row>
    <row r="14">
      <c r="A14">
        <f>'1 datos preparados'!A7</f>
        <v/>
      </c>
      <c r="B14" s="5">
        <f>'1 datos preparados'!U7</f>
        <v/>
      </c>
      <c r="C14">
        <f>'1 datos preparados'!B7</f>
        <v/>
      </c>
      <c r="D14" s="7">
        <f>'1 datos preparados'!C7</f>
        <v/>
      </c>
      <c r="E14" s="7">
        <f>'1 datos preparados'!D7</f>
        <v/>
      </c>
      <c r="F14" s="7">
        <f>'1 datos preparados'!E7</f>
        <v/>
      </c>
      <c r="G14" s="7">
        <f>'1 datos preparados'!F7</f>
        <v/>
      </c>
      <c r="H14" s="7">
        <f>'1 datos preparados'!G7</f>
        <v/>
      </c>
      <c r="I14" s="7">
        <f>'1 datos preparados'!H7</f>
        <v/>
      </c>
      <c r="J14" s="7">
        <f>'1 datos preparados'!I7</f>
        <v/>
      </c>
      <c r="K14" s="7">
        <f>'1 datos preparados'!J7</f>
        <v/>
      </c>
      <c r="L14" s="7">
        <f>'1 datos preparados'!K7</f>
        <v/>
      </c>
      <c r="M14" s="7">
        <f>'1 datos preparados'!L7</f>
        <v/>
      </c>
      <c r="N14" s="7">
        <f>'1 datos preparados'!M7</f>
        <v/>
      </c>
      <c r="O14" s="7">
        <f>'1 datos preparados'!N7</f>
        <v/>
      </c>
      <c r="P14" s="7">
        <f>'1 datos preparados'!O7</f>
        <v/>
      </c>
      <c r="Q14" s="7">
        <f>'1 datos preparados'!P7</f>
        <v/>
      </c>
      <c r="R14" s="7">
        <f>'1 datos preparados'!Q7</f>
        <v/>
      </c>
      <c r="S14" s="7">
        <f>'1 datos preparados'!R7</f>
        <v/>
      </c>
      <c r="T14" s="7">
        <f>'1 datos preparados'!S7</f>
        <v/>
      </c>
      <c r="U14" s="7">
        <f>'1 datos preparados'!T7</f>
        <v/>
      </c>
      <c r="V14" s="8">
        <f>$AC$12+D14*$AC$13+E14*$AC$14+F14*$AC$15+G14*$AC$16+H14*$AC$17+I14*$AC$18+J14*$AC$19+K14*$AC$20+L14*$AC$21+M14*$AC$22+N14*$AC$23+O14*$AC$24+P14*$AC$25+Q14*$AC$26+R14*$AC$27+S14*$AC$28+T14*$AC$29+U14*$AC$30</f>
        <v/>
      </c>
      <c r="W14" s="8">
        <f>1/(1+EXP(-V14))</f>
        <v/>
      </c>
      <c r="X14" s="9">
        <f>-IF(C14=1,LN(W14),LN(1-W14))</f>
        <v/>
      </c>
      <c r="Y14" s="10">
        <f>IF(W14&gt;$AC$34,1,0)</f>
        <v/>
      </c>
      <c r="Z14">
        <f>IF(Y14=C14,1,0)</f>
        <v/>
      </c>
      <c r="AB14" t="inlineStr">
        <is>
          <t>monto</t>
        </is>
      </c>
      <c r="AC14" s="11" t="n">
        <v>0.1163535941884676</v>
      </c>
      <c r="AD14" s="12" t="n">
        <v>0.06449985654074139</v>
      </c>
      <c r="AE14" s="9">
        <f>ABS(AC14)</f>
        <v/>
      </c>
      <c r="AF14" s="9">
        <f>AC14^2</f>
        <v/>
      </c>
      <c r="AH14" s="3" t="inlineStr">
        <is>
          <t>real 0 (buen pagador)</t>
        </is>
      </c>
      <c r="AI14" t="inlineStr">
        <is>
          <t>TN | FP</t>
        </is>
      </c>
      <c r="AJ14" s="13">
        <f>COUNTIFS($B$12:$B$1011,"testing",$C$12:$C$1011,0,$Y$12:$Y$1011,0)</f>
        <v/>
      </c>
      <c r="AK14" s="13">
        <f>COUNTIFS($B$12:$B$1011,"testing",$C$12:$C$1011,0,$Y$12:$Y$1011,1)</f>
        <v/>
      </c>
      <c r="AL14">
        <f>AJ14+AK14</f>
        <v/>
      </c>
    </row>
    <row r="15">
      <c r="A15">
        <f>'1 datos preparados'!A8</f>
        <v/>
      </c>
      <c r="B15" s="5">
        <f>'1 datos preparados'!U8</f>
        <v/>
      </c>
      <c r="C15">
        <f>'1 datos preparados'!B8</f>
        <v/>
      </c>
      <c r="D15" s="7">
        <f>'1 datos preparados'!C8</f>
        <v/>
      </c>
      <c r="E15" s="7">
        <f>'1 datos preparados'!D8</f>
        <v/>
      </c>
      <c r="F15" s="7">
        <f>'1 datos preparados'!E8</f>
        <v/>
      </c>
      <c r="G15" s="7">
        <f>'1 datos preparados'!F8</f>
        <v/>
      </c>
      <c r="H15" s="7">
        <f>'1 datos preparados'!G8</f>
        <v/>
      </c>
      <c r="I15" s="7">
        <f>'1 datos preparados'!H8</f>
        <v/>
      </c>
      <c r="J15" s="7">
        <f>'1 datos preparados'!I8</f>
        <v/>
      </c>
      <c r="K15" s="7">
        <f>'1 datos preparados'!J8</f>
        <v/>
      </c>
      <c r="L15" s="7">
        <f>'1 datos preparados'!K8</f>
        <v/>
      </c>
      <c r="M15" s="7">
        <f>'1 datos preparados'!L8</f>
        <v/>
      </c>
      <c r="N15" s="7">
        <f>'1 datos preparados'!M8</f>
        <v/>
      </c>
      <c r="O15" s="7">
        <f>'1 datos preparados'!N8</f>
        <v/>
      </c>
      <c r="P15" s="7">
        <f>'1 datos preparados'!O8</f>
        <v/>
      </c>
      <c r="Q15" s="7">
        <f>'1 datos preparados'!P8</f>
        <v/>
      </c>
      <c r="R15" s="7">
        <f>'1 datos preparados'!Q8</f>
        <v/>
      </c>
      <c r="S15" s="7">
        <f>'1 datos preparados'!R8</f>
        <v/>
      </c>
      <c r="T15" s="7">
        <f>'1 datos preparados'!S8</f>
        <v/>
      </c>
      <c r="U15" s="7">
        <f>'1 datos preparados'!T8</f>
        <v/>
      </c>
      <c r="V15" s="8">
        <f>$AC$12+D15*$AC$13+E15*$AC$14+F15*$AC$15+G15*$AC$16+H15*$AC$17+I15*$AC$18+J15*$AC$19+K15*$AC$20+L15*$AC$21+M15*$AC$22+N15*$AC$23+O15*$AC$24+P15*$AC$25+Q15*$AC$26+R15*$AC$27+S15*$AC$28+T15*$AC$29+U15*$AC$30</f>
        <v/>
      </c>
      <c r="W15" s="8">
        <f>1/(1+EXP(-V15))</f>
        <v/>
      </c>
      <c r="X15" s="9">
        <f>-IF(C15=1,LN(W15),LN(1-W15))</f>
        <v/>
      </c>
      <c r="Y15" s="10">
        <f>IF(W15&gt;$AC$34,1,0)</f>
        <v/>
      </c>
      <c r="Z15">
        <f>IF(Y15=C15,1,0)</f>
        <v/>
      </c>
      <c r="AB15" t="inlineStr">
        <is>
          <t>edad</t>
        </is>
      </c>
      <c r="AC15" s="11" t="n">
        <v>-0.09914522482627074</v>
      </c>
      <c r="AD15" s="12" t="n">
        <v>-0.07104034045858372</v>
      </c>
      <c r="AE15" s="9">
        <f>ABS(AC15)</f>
        <v/>
      </c>
      <c r="AF15" s="9">
        <f>AC15^2</f>
        <v/>
      </c>
      <c r="AH15" s="3" t="inlineStr">
        <is>
          <t>real 1 (mal pagador)</t>
        </is>
      </c>
      <c r="AI15" t="inlineStr">
        <is>
          <t>FN | TP</t>
        </is>
      </c>
      <c r="AJ15" s="13">
        <f>COUNTIFS($B$12:$B$1011,"testing",$C$12:$C$1011,1,$Y$12:$Y$1011,0)</f>
        <v/>
      </c>
      <c r="AK15" s="13">
        <f>COUNTIFS($B$12:$B$1011,"testing",$C$12:$C$1011,1,$Y$12:$Y$1011,1)</f>
        <v/>
      </c>
      <c r="AL15">
        <f>AJ15+AK15</f>
        <v/>
      </c>
    </row>
    <row r="16">
      <c r="A16">
        <f>'1 datos preparados'!A9</f>
        <v/>
      </c>
      <c r="B16" s="5">
        <f>'1 datos preparados'!U9</f>
        <v/>
      </c>
      <c r="C16">
        <f>'1 datos preparados'!B9</f>
        <v/>
      </c>
      <c r="D16" s="7">
        <f>'1 datos preparados'!C9</f>
        <v/>
      </c>
      <c r="E16" s="7">
        <f>'1 datos preparados'!D9</f>
        <v/>
      </c>
      <c r="F16" s="7">
        <f>'1 datos preparados'!E9</f>
        <v/>
      </c>
      <c r="G16" s="7">
        <f>'1 datos preparados'!F9</f>
        <v/>
      </c>
      <c r="H16" s="7">
        <f>'1 datos preparados'!G9</f>
        <v/>
      </c>
      <c r="I16" s="7">
        <f>'1 datos preparados'!H9</f>
        <v/>
      </c>
      <c r="J16" s="7">
        <f>'1 datos preparados'!I9</f>
        <v/>
      </c>
      <c r="K16" s="7">
        <f>'1 datos preparados'!J9</f>
        <v/>
      </c>
      <c r="L16" s="7">
        <f>'1 datos preparados'!K9</f>
        <v/>
      </c>
      <c r="M16" s="7">
        <f>'1 datos preparados'!L9</f>
        <v/>
      </c>
      <c r="N16" s="7">
        <f>'1 datos preparados'!M9</f>
        <v/>
      </c>
      <c r="O16" s="7">
        <f>'1 datos preparados'!N9</f>
        <v/>
      </c>
      <c r="P16" s="7">
        <f>'1 datos preparados'!O9</f>
        <v/>
      </c>
      <c r="Q16" s="7">
        <f>'1 datos preparados'!P9</f>
        <v/>
      </c>
      <c r="R16" s="7">
        <f>'1 datos preparados'!Q9</f>
        <v/>
      </c>
      <c r="S16" s="7">
        <f>'1 datos preparados'!R9</f>
        <v/>
      </c>
      <c r="T16" s="7">
        <f>'1 datos preparados'!S9</f>
        <v/>
      </c>
      <c r="U16" s="7">
        <f>'1 datos preparados'!T9</f>
        <v/>
      </c>
      <c r="V16" s="8">
        <f>$AC$12+D16*$AC$13+E16*$AC$14+F16*$AC$15+G16*$AC$16+H16*$AC$17+I16*$AC$18+J16*$AC$19+K16*$AC$20+L16*$AC$21+M16*$AC$22+N16*$AC$23+O16*$AC$24+P16*$AC$25+Q16*$AC$26+R16*$AC$27+S16*$AC$28+T16*$AC$29+U16*$AC$30</f>
        <v/>
      </c>
      <c r="W16" s="8">
        <f>1/(1+EXP(-V16))</f>
        <v/>
      </c>
      <c r="X16" s="9">
        <f>-IF(C16=1,LN(W16),LN(1-W16))</f>
        <v/>
      </c>
      <c r="Y16" s="10">
        <f>IF(W16&gt;$AC$34,1,0)</f>
        <v/>
      </c>
      <c r="Z16">
        <f>IF(Y16=C16,1,0)</f>
        <v/>
      </c>
      <c r="AB16" t="inlineStr">
        <is>
          <t>cuota_pct_ingreso</t>
        </is>
      </c>
      <c r="AC16" s="11" t="n">
        <v>0.2872157655933926</v>
      </c>
      <c r="AD16" s="12" t="n">
        <v>0.1606240180613443</v>
      </c>
      <c r="AE16" s="9">
        <f>ABS(AC16)</f>
        <v/>
      </c>
      <c r="AF16" s="9">
        <f>AC16^2</f>
        <v/>
      </c>
      <c r="AH16" s="3" t="inlineStr">
        <is>
          <t>total</t>
        </is>
      </c>
      <c r="AJ16">
        <f>AJ14+AJ15</f>
        <v/>
      </c>
      <c r="AK16">
        <f>AK14+AK15</f>
        <v/>
      </c>
      <c r="AL16">
        <f>AL14+AL15</f>
        <v/>
      </c>
    </row>
    <row r="17">
      <c r="A17">
        <f>'1 datos preparados'!A10</f>
        <v/>
      </c>
      <c r="B17" s="5">
        <f>'1 datos preparados'!U10</f>
        <v/>
      </c>
      <c r="C17">
        <f>'1 datos preparados'!B10</f>
        <v/>
      </c>
      <c r="D17" s="7">
        <f>'1 datos preparados'!C10</f>
        <v/>
      </c>
      <c r="E17" s="7">
        <f>'1 datos preparados'!D10</f>
        <v/>
      </c>
      <c r="F17" s="7">
        <f>'1 datos preparados'!E10</f>
        <v/>
      </c>
      <c r="G17" s="7">
        <f>'1 datos preparados'!F10</f>
        <v/>
      </c>
      <c r="H17" s="7">
        <f>'1 datos preparados'!G10</f>
        <v/>
      </c>
      <c r="I17" s="7">
        <f>'1 datos preparados'!H10</f>
        <v/>
      </c>
      <c r="J17" s="7">
        <f>'1 datos preparados'!I10</f>
        <v/>
      </c>
      <c r="K17" s="7">
        <f>'1 datos preparados'!J10</f>
        <v/>
      </c>
      <c r="L17" s="7">
        <f>'1 datos preparados'!K10</f>
        <v/>
      </c>
      <c r="M17" s="7">
        <f>'1 datos preparados'!L10</f>
        <v/>
      </c>
      <c r="N17" s="7">
        <f>'1 datos preparados'!M10</f>
        <v/>
      </c>
      <c r="O17" s="7">
        <f>'1 datos preparados'!N10</f>
        <v/>
      </c>
      <c r="P17" s="7">
        <f>'1 datos preparados'!O10</f>
        <v/>
      </c>
      <c r="Q17" s="7">
        <f>'1 datos preparados'!P10</f>
        <v/>
      </c>
      <c r="R17" s="7">
        <f>'1 datos preparados'!Q10</f>
        <v/>
      </c>
      <c r="S17" s="7">
        <f>'1 datos preparados'!R10</f>
        <v/>
      </c>
      <c r="T17" s="7">
        <f>'1 datos preparados'!S10</f>
        <v/>
      </c>
      <c r="U17" s="7">
        <f>'1 datos preparados'!T10</f>
        <v/>
      </c>
      <c r="V17" s="8">
        <f>$AC$12+D17*$AC$13+E17*$AC$14+F17*$AC$15+G17*$AC$16+H17*$AC$17+I17*$AC$18+J17*$AC$19+K17*$AC$20+L17*$AC$21+M17*$AC$22+N17*$AC$23+O17*$AC$24+P17*$AC$25+Q17*$AC$26+R17*$AC$27+S17*$AC$28+T17*$AC$29+U17*$AC$30</f>
        <v/>
      </c>
      <c r="W17" s="8">
        <f>1/(1+EXP(-V17))</f>
        <v/>
      </c>
      <c r="X17" s="9">
        <f>-IF(C17=1,LN(W17),LN(1-W17))</f>
        <v/>
      </c>
      <c r="Y17" s="10">
        <f>IF(W17&gt;$AC$34,1,0)</f>
        <v/>
      </c>
      <c r="Z17">
        <f>IF(Y17=C17,1,0)</f>
        <v/>
      </c>
      <c r="AB17" t="inlineStr">
        <is>
          <t>cta_negativa</t>
        </is>
      </c>
      <c r="AC17" s="11" t="n">
        <v>1.546402670396991</v>
      </c>
      <c r="AD17" s="12" t="n">
        <v>0.9472921583286515</v>
      </c>
      <c r="AE17" s="9">
        <f>ABS(AC17)</f>
        <v/>
      </c>
      <c r="AF17" s="9">
        <f>AC17^2</f>
        <v/>
      </c>
    </row>
    <row r="18">
      <c r="A18">
        <f>'1 datos preparados'!A11</f>
        <v/>
      </c>
      <c r="B18" s="5">
        <f>'1 datos preparados'!U11</f>
        <v/>
      </c>
      <c r="C18">
        <f>'1 datos preparados'!B11</f>
        <v/>
      </c>
      <c r="D18" s="7">
        <f>'1 datos preparados'!C11</f>
        <v/>
      </c>
      <c r="E18" s="7">
        <f>'1 datos preparados'!D11</f>
        <v/>
      </c>
      <c r="F18" s="7">
        <f>'1 datos preparados'!E11</f>
        <v/>
      </c>
      <c r="G18" s="7">
        <f>'1 datos preparados'!F11</f>
        <v/>
      </c>
      <c r="H18" s="7">
        <f>'1 datos preparados'!G11</f>
        <v/>
      </c>
      <c r="I18" s="7">
        <f>'1 datos preparados'!H11</f>
        <v/>
      </c>
      <c r="J18" s="7">
        <f>'1 datos preparados'!I11</f>
        <v/>
      </c>
      <c r="K18" s="7">
        <f>'1 datos preparados'!J11</f>
        <v/>
      </c>
      <c r="L18" s="7">
        <f>'1 datos preparados'!K11</f>
        <v/>
      </c>
      <c r="M18" s="7">
        <f>'1 datos preparados'!L11</f>
        <v/>
      </c>
      <c r="N18" s="7">
        <f>'1 datos preparados'!M11</f>
        <v/>
      </c>
      <c r="O18" s="7">
        <f>'1 datos preparados'!N11</f>
        <v/>
      </c>
      <c r="P18" s="7">
        <f>'1 datos preparados'!O11</f>
        <v/>
      </c>
      <c r="Q18" s="7">
        <f>'1 datos preparados'!P11</f>
        <v/>
      </c>
      <c r="R18" s="7">
        <f>'1 datos preparados'!Q11</f>
        <v/>
      </c>
      <c r="S18" s="7">
        <f>'1 datos preparados'!R11</f>
        <v/>
      </c>
      <c r="T18" s="7">
        <f>'1 datos preparados'!S11</f>
        <v/>
      </c>
      <c r="U18" s="7">
        <f>'1 datos preparados'!T11</f>
        <v/>
      </c>
      <c r="V18" s="8">
        <f>$AC$12+D18*$AC$13+E18*$AC$14+F18*$AC$15+G18*$AC$16+H18*$AC$17+I18*$AC$18+J18*$AC$19+K18*$AC$20+L18*$AC$21+M18*$AC$22+N18*$AC$23+O18*$AC$24+P18*$AC$25+Q18*$AC$26+R18*$AC$27+S18*$AC$28+T18*$AC$29+U18*$AC$30</f>
        <v/>
      </c>
      <c r="W18" s="8">
        <f>1/(1+EXP(-V18))</f>
        <v/>
      </c>
      <c r="X18" s="9">
        <f>-IF(C18=1,LN(W18),LN(1-W18))</f>
        <v/>
      </c>
      <c r="Y18" s="10">
        <f>IF(W18&gt;$AC$34,1,0)</f>
        <v/>
      </c>
      <c r="Z18">
        <f>IF(Y18=C18,1,0)</f>
        <v/>
      </c>
      <c r="AB18" t="inlineStr">
        <is>
          <t>cta_0_200</t>
        </is>
      </c>
      <c r="AC18" s="11" t="n">
        <v>1.294997779791349</v>
      </c>
      <c r="AD18" s="12" t="n">
        <v>0.6456191647824898</v>
      </c>
      <c r="AE18" s="9">
        <f>ABS(AC18)</f>
        <v/>
      </c>
      <c r="AF18" s="9">
        <f>AC18^2</f>
        <v/>
      </c>
      <c r="AH18" s="4" t="inlineStr"/>
      <c r="AI18" s="4" t="inlineStr">
        <is>
          <t>precision</t>
        </is>
      </c>
      <c r="AJ18" s="4" t="inlineStr">
        <is>
          <t>recall</t>
        </is>
      </c>
      <c r="AK18" s="4" t="inlineStr">
        <is>
          <t>f1-score</t>
        </is>
      </c>
      <c r="AL18" s="4" t="inlineStr">
        <is>
          <t>support</t>
        </is>
      </c>
    </row>
    <row r="19">
      <c r="A19">
        <f>'1 datos preparados'!A12</f>
        <v/>
      </c>
      <c r="B19" s="5">
        <f>'1 datos preparados'!U12</f>
        <v/>
      </c>
      <c r="C19">
        <f>'1 datos preparados'!B12</f>
        <v/>
      </c>
      <c r="D19" s="7">
        <f>'1 datos preparados'!C12</f>
        <v/>
      </c>
      <c r="E19" s="7">
        <f>'1 datos preparados'!D12</f>
        <v/>
      </c>
      <c r="F19" s="7">
        <f>'1 datos preparados'!E12</f>
        <v/>
      </c>
      <c r="G19" s="7">
        <f>'1 datos preparados'!F12</f>
        <v/>
      </c>
      <c r="H19" s="7">
        <f>'1 datos preparados'!G12</f>
        <v/>
      </c>
      <c r="I19" s="7">
        <f>'1 datos preparados'!H12</f>
        <v/>
      </c>
      <c r="J19" s="7">
        <f>'1 datos preparados'!I12</f>
        <v/>
      </c>
      <c r="K19" s="7">
        <f>'1 datos preparados'!J12</f>
        <v/>
      </c>
      <c r="L19" s="7">
        <f>'1 datos preparados'!K12</f>
        <v/>
      </c>
      <c r="M19" s="7">
        <f>'1 datos preparados'!L12</f>
        <v/>
      </c>
      <c r="N19" s="7">
        <f>'1 datos preparados'!M12</f>
        <v/>
      </c>
      <c r="O19" s="7">
        <f>'1 datos preparados'!N12</f>
        <v/>
      </c>
      <c r="P19" s="7">
        <f>'1 datos preparados'!O12</f>
        <v/>
      </c>
      <c r="Q19" s="7">
        <f>'1 datos preparados'!P12</f>
        <v/>
      </c>
      <c r="R19" s="7">
        <f>'1 datos preparados'!Q12</f>
        <v/>
      </c>
      <c r="S19" s="7">
        <f>'1 datos preparados'!R12</f>
        <v/>
      </c>
      <c r="T19" s="7">
        <f>'1 datos preparados'!S12</f>
        <v/>
      </c>
      <c r="U19" s="7">
        <f>'1 datos preparados'!T12</f>
        <v/>
      </c>
      <c r="V19" s="8">
        <f>$AC$12+D19*$AC$13+E19*$AC$14+F19*$AC$15+G19*$AC$16+H19*$AC$17+I19*$AC$18+J19*$AC$19+K19*$AC$20+L19*$AC$21+M19*$AC$22+N19*$AC$23+O19*$AC$24+P19*$AC$25+Q19*$AC$26+R19*$AC$27+S19*$AC$28+T19*$AC$29+U19*$AC$30</f>
        <v/>
      </c>
      <c r="W19" s="8">
        <f>1/(1+EXP(-V19))</f>
        <v/>
      </c>
      <c r="X19" s="9">
        <f>-IF(C19=1,LN(W19),LN(1-W19))</f>
        <v/>
      </c>
      <c r="Y19" s="10">
        <f>IF(W19&gt;$AC$34,1,0)</f>
        <v/>
      </c>
      <c r="Z19">
        <f>IF(Y19=C19,1,0)</f>
        <v/>
      </c>
      <c r="AB19" t="inlineStr">
        <is>
          <t>cta_sobre_200</t>
        </is>
      </c>
      <c r="AC19" s="11" t="n">
        <v>0.6683615861023957</v>
      </c>
      <c r="AD19" s="12" t="n">
        <v>0</v>
      </c>
      <c r="AE19" s="9">
        <f>ABS(AC19)</f>
        <v/>
      </c>
      <c r="AF19" s="9">
        <f>AC19^2</f>
        <v/>
      </c>
      <c r="AH19" s="3" t="inlineStr">
        <is>
          <t>clase 0 (paga)</t>
        </is>
      </c>
      <c r="AI19" s="14">
        <f>IF(AJ14+AJ15=0,0,AJ14/(AJ14+AJ15))</f>
        <v/>
      </c>
      <c r="AJ19" s="14">
        <f>IF(AJ14+AK14=0,0,AJ14/(AJ14+AK14))</f>
        <v/>
      </c>
      <c r="AK19" s="14">
        <f>IF(AI19+AJ19=0,0,2*AI19*AJ19/(AI19+AJ19))</f>
        <v/>
      </c>
      <c r="AL19">
        <f>AL14</f>
        <v/>
      </c>
    </row>
    <row r="20">
      <c r="A20">
        <f>'1 datos preparados'!A13</f>
        <v/>
      </c>
      <c r="B20" s="5">
        <f>'1 datos preparados'!U13</f>
        <v/>
      </c>
      <c r="C20">
        <f>'1 datos preparados'!B13</f>
        <v/>
      </c>
      <c r="D20" s="7">
        <f>'1 datos preparados'!C13</f>
        <v/>
      </c>
      <c r="E20" s="7">
        <f>'1 datos preparados'!D13</f>
        <v/>
      </c>
      <c r="F20" s="7">
        <f>'1 datos preparados'!E13</f>
        <v/>
      </c>
      <c r="G20" s="7">
        <f>'1 datos preparados'!F13</f>
        <v/>
      </c>
      <c r="H20" s="7">
        <f>'1 datos preparados'!G13</f>
        <v/>
      </c>
      <c r="I20" s="7">
        <f>'1 datos preparados'!H13</f>
        <v/>
      </c>
      <c r="J20" s="7">
        <f>'1 datos preparados'!I13</f>
        <v/>
      </c>
      <c r="K20" s="7">
        <f>'1 datos preparados'!J13</f>
        <v/>
      </c>
      <c r="L20" s="7">
        <f>'1 datos preparados'!K13</f>
        <v/>
      </c>
      <c r="M20" s="7">
        <f>'1 datos preparados'!L13</f>
        <v/>
      </c>
      <c r="N20" s="7">
        <f>'1 datos preparados'!M13</f>
        <v/>
      </c>
      <c r="O20" s="7">
        <f>'1 datos preparados'!N13</f>
        <v/>
      </c>
      <c r="P20" s="7">
        <f>'1 datos preparados'!O13</f>
        <v/>
      </c>
      <c r="Q20" s="7">
        <f>'1 datos preparados'!P13</f>
        <v/>
      </c>
      <c r="R20" s="7">
        <f>'1 datos preparados'!Q13</f>
        <v/>
      </c>
      <c r="S20" s="7">
        <f>'1 datos preparados'!R13</f>
        <v/>
      </c>
      <c r="T20" s="7">
        <f>'1 datos preparados'!S13</f>
        <v/>
      </c>
      <c r="U20" s="7">
        <f>'1 datos preparados'!T13</f>
        <v/>
      </c>
      <c r="V20" s="8">
        <f>$AC$12+D20*$AC$13+E20*$AC$14+F20*$AC$15+G20*$AC$16+H20*$AC$17+I20*$AC$18+J20*$AC$19+K20*$AC$20+L20*$AC$21+M20*$AC$22+N20*$AC$23+O20*$AC$24+P20*$AC$25+Q20*$AC$26+R20*$AC$27+S20*$AC$28+T20*$AC$29+U20*$AC$30</f>
        <v/>
      </c>
      <c r="W20" s="8">
        <f>1/(1+EXP(-V20))</f>
        <v/>
      </c>
      <c r="X20" s="9">
        <f>-IF(C20=1,LN(W20),LN(1-W20))</f>
        <v/>
      </c>
      <c r="Y20" s="10">
        <f>IF(W20&gt;$AC$34,1,0)</f>
        <v/>
      </c>
      <c r="Z20">
        <f>IF(Y20=C20,1,0)</f>
        <v/>
      </c>
      <c r="AB20" t="inlineStr">
        <is>
          <t>hist_critico</t>
        </is>
      </c>
      <c r="AC20" s="11" t="n">
        <v>-0.6573449373610837</v>
      </c>
      <c r="AD20" s="12" t="n">
        <v>-0.4300165376260652</v>
      </c>
      <c r="AE20" s="9">
        <f>ABS(AC20)</f>
        <v/>
      </c>
      <c r="AF20" s="9">
        <f>AC20^2</f>
        <v/>
      </c>
      <c r="AH20" s="3" t="inlineStr">
        <is>
          <t>clase 1 (no paga)</t>
        </is>
      </c>
      <c r="AI20" s="14">
        <f>IF(AK15+AK14=0,0,AK15/(AK15+AK14))</f>
        <v/>
      </c>
      <c r="AJ20" s="14">
        <f>IF(AK15+AJ15=0,0,AK15/(AK15+AJ15))</f>
        <v/>
      </c>
      <c r="AK20" s="14">
        <f>IF(AI20+AJ20=0,0,2*AI20*AJ20/(AI20+AJ20))</f>
        <v/>
      </c>
      <c r="AL20">
        <f>AL15</f>
        <v/>
      </c>
    </row>
    <row r="21">
      <c r="A21">
        <f>'1 datos preparados'!A14</f>
        <v/>
      </c>
      <c r="B21" s="5">
        <f>'1 datos preparados'!U14</f>
        <v/>
      </c>
      <c r="C21">
        <f>'1 datos preparados'!B14</f>
        <v/>
      </c>
      <c r="D21" s="7">
        <f>'1 datos preparados'!C14</f>
        <v/>
      </c>
      <c r="E21" s="7">
        <f>'1 datos preparados'!D14</f>
        <v/>
      </c>
      <c r="F21" s="7">
        <f>'1 datos preparados'!E14</f>
        <v/>
      </c>
      <c r="G21" s="7">
        <f>'1 datos preparados'!F14</f>
        <v/>
      </c>
      <c r="H21" s="7">
        <f>'1 datos preparados'!G14</f>
        <v/>
      </c>
      <c r="I21" s="7">
        <f>'1 datos preparados'!H14</f>
        <v/>
      </c>
      <c r="J21" s="7">
        <f>'1 datos preparados'!I14</f>
        <v/>
      </c>
      <c r="K21" s="7">
        <f>'1 datos preparados'!J14</f>
        <v/>
      </c>
      <c r="L21" s="7">
        <f>'1 datos preparados'!K14</f>
        <v/>
      </c>
      <c r="M21" s="7">
        <f>'1 datos preparados'!L14</f>
        <v/>
      </c>
      <c r="N21" s="7">
        <f>'1 datos preparados'!M14</f>
        <v/>
      </c>
      <c r="O21" s="7">
        <f>'1 datos preparados'!N14</f>
        <v/>
      </c>
      <c r="P21" s="7">
        <f>'1 datos preparados'!O14</f>
        <v/>
      </c>
      <c r="Q21" s="7">
        <f>'1 datos preparados'!P14</f>
        <v/>
      </c>
      <c r="R21" s="7">
        <f>'1 datos preparados'!Q14</f>
        <v/>
      </c>
      <c r="S21" s="7">
        <f>'1 datos preparados'!R14</f>
        <v/>
      </c>
      <c r="T21" s="7">
        <f>'1 datos preparados'!S14</f>
        <v/>
      </c>
      <c r="U21" s="7">
        <f>'1 datos preparados'!T14</f>
        <v/>
      </c>
      <c r="V21" s="8">
        <f>$AC$12+D21*$AC$13+E21*$AC$14+F21*$AC$15+G21*$AC$16+H21*$AC$17+I21*$AC$18+J21*$AC$19+K21*$AC$20+L21*$AC$21+M21*$AC$22+N21*$AC$23+O21*$AC$24+P21*$AC$25+Q21*$AC$26+R21*$AC$27+S21*$AC$28+T21*$AC$29+U21*$AC$30</f>
        <v/>
      </c>
      <c r="W21" s="8">
        <f>1/(1+EXP(-V21))</f>
        <v/>
      </c>
      <c r="X21" s="9">
        <f>-IF(C21=1,LN(W21),LN(1-W21))</f>
        <v/>
      </c>
      <c r="Y21" s="10">
        <f>IF(W21&gt;$AC$34,1,0)</f>
        <v/>
      </c>
      <c r="Z21">
        <f>IF(Y21=C21,1,0)</f>
        <v/>
      </c>
      <c r="AB21" t="inlineStr">
        <is>
          <t>hist_atrasos</t>
        </is>
      </c>
      <c r="AC21" s="11" t="n">
        <v>-0.04019551911120235</v>
      </c>
      <c r="AD21" s="12" t="n">
        <v>0</v>
      </c>
      <c r="AE21" s="9">
        <f>ABS(AC21)</f>
        <v/>
      </c>
      <c r="AF21" s="9">
        <f>AC21^2</f>
        <v/>
      </c>
      <c r="AH21" s="3" t="inlineStr">
        <is>
          <t>accuracy</t>
        </is>
      </c>
      <c r="AK21" s="14">
        <f>(AK15+AJ14)/AL16</f>
        <v/>
      </c>
    </row>
    <row r="22">
      <c r="A22">
        <f>'1 datos preparados'!A15</f>
        <v/>
      </c>
      <c r="B22" s="5">
        <f>'1 datos preparados'!U15</f>
        <v/>
      </c>
      <c r="C22">
        <f>'1 datos preparados'!B15</f>
        <v/>
      </c>
      <c r="D22" s="7">
        <f>'1 datos preparados'!C15</f>
        <v/>
      </c>
      <c r="E22" s="7">
        <f>'1 datos preparados'!D15</f>
        <v/>
      </c>
      <c r="F22" s="7">
        <f>'1 datos preparados'!E15</f>
        <v/>
      </c>
      <c r="G22" s="7">
        <f>'1 datos preparados'!F15</f>
        <v/>
      </c>
      <c r="H22" s="7">
        <f>'1 datos preparados'!G15</f>
        <v/>
      </c>
      <c r="I22" s="7">
        <f>'1 datos preparados'!H15</f>
        <v/>
      </c>
      <c r="J22" s="7">
        <f>'1 datos preparados'!I15</f>
        <v/>
      </c>
      <c r="K22" s="7">
        <f>'1 datos preparados'!J15</f>
        <v/>
      </c>
      <c r="L22" s="7">
        <f>'1 datos preparados'!K15</f>
        <v/>
      </c>
      <c r="M22" s="7">
        <f>'1 datos preparados'!L15</f>
        <v/>
      </c>
      <c r="N22" s="7">
        <f>'1 datos preparados'!M15</f>
        <v/>
      </c>
      <c r="O22" s="7">
        <f>'1 datos preparados'!N15</f>
        <v/>
      </c>
      <c r="P22" s="7">
        <f>'1 datos preparados'!O15</f>
        <v/>
      </c>
      <c r="Q22" s="7">
        <f>'1 datos preparados'!P15</f>
        <v/>
      </c>
      <c r="R22" s="7">
        <f>'1 datos preparados'!Q15</f>
        <v/>
      </c>
      <c r="S22" s="7">
        <f>'1 datos preparados'!R15</f>
        <v/>
      </c>
      <c r="T22" s="7">
        <f>'1 datos preparados'!S15</f>
        <v/>
      </c>
      <c r="U22" s="7">
        <f>'1 datos preparados'!T15</f>
        <v/>
      </c>
      <c r="V22" s="8">
        <f>$AC$12+D22*$AC$13+E22*$AC$14+F22*$AC$15+G22*$AC$16+H22*$AC$17+I22*$AC$18+J22*$AC$19+K22*$AC$20+L22*$AC$21+M22*$AC$22+N22*$AC$23+O22*$AC$24+P22*$AC$25+Q22*$AC$26+R22*$AC$27+S22*$AC$28+T22*$AC$29+U22*$AC$30</f>
        <v/>
      </c>
      <c r="W22" s="8">
        <f>1/(1+EXP(-V22))</f>
        <v/>
      </c>
      <c r="X22" s="9">
        <f>-IF(C22=1,LN(W22),LN(1-W22))</f>
        <v/>
      </c>
      <c r="Y22" s="10">
        <f>IF(W22&gt;$AC$34,1,0)</f>
        <v/>
      </c>
      <c r="Z22">
        <f>IF(Y22=C22,1,0)</f>
        <v/>
      </c>
      <c r="AB22" t="inlineStr">
        <is>
          <t>hist_sin_creditos</t>
        </is>
      </c>
      <c r="AC22" s="11" t="n">
        <v>0.6690656278784681</v>
      </c>
      <c r="AD22" s="12" t="n">
        <v>0.3416636970884498</v>
      </c>
      <c r="AE22" s="9">
        <f>ABS(AC22)</f>
        <v/>
      </c>
      <c r="AF22" s="9">
        <f>AC22^2</f>
        <v/>
      </c>
    </row>
    <row r="23">
      <c r="A23">
        <f>'1 datos preparados'!A16</f>
        <v/>
      </c>
      <c r="B23" s="5">
        <f>'1 datos preparados'!U16</f>
        <v/>
      </c>
      <c r="C23">
        <f>'1 datos preparados'!B16</f>
        <v/>
      </c>
      <c r="D23" s="7">
        <f>'1 datos preparados'!C16</f>
        <v/>
      </c>
      <c r="E23" s="7">
        <f>'1 datos preparados'!D16</f>
        <v/>
      </c>
      <c r="F23" s="7">
        <f>'1 datos preparados'!E16</f>
        <v/>
      </c>
      <c r="G23" s="7">
        <f>'1 datos preparados'!F16</f>
        <v/>
      </c>
      <c r="H23" s="7">
        <f>'1 datos preparados'!G16</f>
        <v/>
      </c>
      <c r="I23" s="7">
        <f>'1 datos preparados'!H16</f>
        <v/>
      </c>
      <c r="J23" s="7">
        <f>'1 datos preparados'!I16</f>
        <v/>
      </c>
      <c r="K23" s="7">
        <f>'1 datos preparados'!J16</f>
        <v/>
      </c>
      <c r="L23" s="7">
        <f>'1 datos preparados'!K16</f>
        <v/>
      </c>
      <c r="M23" s="7">
        <f>'1 datos preparados'!L16</f>
        <v/>
      </c>
      <c r="N23" s="7">
        <f>'1 datos preparados'!M16</f>
        <v/>
      </c>
      <c r="O23" s="7">
        <f>'1 datos preparados'!N16</f>
        <v/>
      </c>
      <c r="P23" s="7">
        <f>'1 datos preparados'!O16</f>
        <v/>
      </c>
      <c r="Q23" s="7">
        <f>'1 datos preparados'!P16</f>
        <v/>
      </c>
      <c r="R23" s="7">
        <f>'1 datos preparados'!Q16</f>
        <v/>
      </c>
      <c r="S23" s="7">
        <f>'1 datos preparados'!R16</f>
        <v/>
      </c>
      <c r="T23" s="7">
        <f>'1 datos preparados'!S16</f>
        <v/>
      </c>
      <c r="U23" s="7">
        <f>'1 datos preparados'!T16</f>
        <v/>
      </c>
      <c r="V23" s="8">
        <f>$AC$12+D23*$AC$13+E23*$AC$14+F23*$AC$15+G23*$AC$16+H23*$AC$17+I23*$AC$18+J23*$AC$19+K23*$AC$20+L23*$AC$21+M23*$AC$22+N23*$AC$23+O23*$AC$24+P23*$AC$25+Q23*$AC$26+R23*$AC$27+S23*$AC$28+T23*$AC$29+U23*$AC$30</f>
        <v/>
      </c>
      <c r="W23" s="8">
        <f>1/(1+EXP(-V23))</f>
        <v/>
      </c>
      <c r="X23" s="9">
        <f>-IF(C23=1,LN(W23),LN(1-W23))</f>
        <v/>
      </c>
      <c r="Y23" s="10">
        <f>IF(W23&gt;$AC$34,1,0)</f>
        <v/>
      </c>
      <c r="Z23">
        <f>IF(Y23=C23,1,0)</f>
        <v/>
      </c>
      <c r="AB23" t="inlineStr">
        <is>
          <t>ahorro_100_1000</t>
        </is>
      </c>
      <c r="AC23" s="11" t="n">
        <v>-0.3895834298458181</v>
      </c>
      <c r="AD23" s="12" t="n">
        <v>0</v>
      </c>
      <c r="AE23" s="9">
        <f>ABS(AC23)</f>
        <v/>
      </c>
      <c r="AF23" s="9">
        <f>AC23^2</f>
        <v/>
      </c>
    </row>
    <row r="24">
      <c r="A24">
        <f>'1 datos preparados'!A17</f>
        <v/>
      </c>
      <c r="B24" s="5">
        <f>'1 datos preparados'!U17</f>
        <v/>
      </c>
      <c r="C24">
        <f>'1 datos preparados'!B17</f>
        <v/>
      </c>
      <c r="D24" s="7">
        <f>'1 datos preparados'!C17</f>
        <v/>
      </c>
      <c r="E24" s="7">
        <f>'1 datos preparados'!D17</f>
        <v/>
      </c>
      <c r="F24" s="7">
        <f>'1 datos preparados'!E17</f>
        <v/>
      </c>
      <c r="G24" s="7">
        <f>'1 datos preparados'!F17</f>
        <v/>
      </c>
      <c r="H24" s="7">
        <f>'1 datos preparados'!G17</f>
        <v/>
      </c>
      <c r="I24" s="7">
        <f>'1 datos preparados'!H17</f>
        <v/>
      </c>
      <c r="J24" s="7">
        <f>'1 datos preparados'!I17</f>
        <v/>
      </c>
      <c r="K24" s="7">
        <f>'1 datos preparados'!J17</f>
        <v/>
      </c>
      <c r="L24" s="7">
        <f>'1 datos preparados'!K17</f>
        <v/>
      </c>
      <c r="M24" s="7">
        <f>'1 datos preparados'!L17</f>
        <v/>
      </c>
      <c r="N24" s="7">
        <f>'1 datos preparados'!M17</f>
        <v/>
      </c>
      <c r="O24" s="7">
        <f>'1 datos preparados'!N17</f>
        <v/>
      </c>
      <c r="P24" s="7">
        <f>'1 datos preparados'!O17</f>
        <v/>
      </c>
      <c r="Q24" s="7">
        <f>'1 datos preparados'!P17</f>
        <v/>
      </c>
      <c r="R24" s="7">
        <f>'1 datos preparados'!Q17</f>
        <v/>
      </c>
      <c r="S24" s="7">
        <f>'1 datos preparados'!R17</f>
        <v/>
      </c>
      <c r="T24" s="7">
        <f>'1 datos preparados'!S17</f>
        <v/>
      </c>
      <c r="U24" s="7">
        <f>'1 datos preparados'!T17</f>
        <v/>
      </c>
      <c r="V24" s="8">
        <f>$AC$12+D24*$AC$13+E24*$AC$14+F24*$AC$15+G24*$AC$16+H24*$AC$17+I24*$AC$18+J24*$AC$19+K24*$AC$20+L24*$AC$21+M24*$AC$22+N24*$AC$23+O24*$AC$24+P24*$AC$25+Q24*$AC$26+R24*$AC$27+S24*$AC$28+T24*$AC$29+U24*$AC$30</f>
        <v/>
      </c>
      <c r="W24" s="8">
        <f>1/(1+EXP(-V24))</f>
        <v/>
      </c>
      <c r="X24" s="9">
        <f>-IF(C24=1,LN(W24),LN(1-W24))</f>
        <v/>
      </c>
      <c r="Y24" s="10">
        <f>IF(W24&gt;$AC$34,1,0)</f>
        <v/>
      </c>
      <c r="Z24">
        <f>IF(Y24=C24,1,0)</f>
        <v/>
      </c>
      <c r="AB24" t="inlineStr">
        <is>
          <t>ahorro_sobre_1000</t>
        </is>
      </c>
      <c r="AC24" s="11" t="n">
        <v>-0.8892238593761824</v>
      </c>
      <c r="AD24" s="12" t="n">
        <v>0</v>
      </c>
      <c r="AE24" s="9">
        <f>ABS(AC24)</f>
        <v/>
      </c>
      <c r="AF24" s="9">
        <f>AC24^2</f>
        <v/>
      </c>
    </row>
    <row r="25">
      <c r="A25">
        <f>'1 datos preparados'!A18</f>
        <v/>
      </c>
      <c r="B25" s="5">
        <f>'1 datos preparados'!U18</f>
        <v/>
      </c>
      <c r="C25">
        <f>'1 datos preparados'!B18</f>
        <v/>
      </c>
      <c r="D25" s="7">
        <f>'1 datos preparados'!C18</f>
        <v/>
      </c>
      <c r="E25" s="7">
        <f>'1 datos preparados'!D18</f>
        <v/>
      </c>
      <c r="F25" s="7">
        <f>'1 datos preparados'!E18</f>
        <v/>
      </c>
      <c r="G25" s="7">
        <f>'1 datos preparados'!F18</f>
        <v/>
      </c>
      <c r="H25" s="7">
        <f>'1 datos preparados'!G18</f>
        <v/>
      </c>
      <c r="I25" s="7">
        <f>'1 datos preparados'!H18</f>
        <v/>
      </c>
      <c r="J25" s="7">
        <f>'1 datos preparados'!I18</f>
        <v/>
      </c>
      <c r="K25" s="7">
        <f>'1 datos preparados'!J18</f>
        <v/>
      </c>
      <c r="L25" s="7">
        <f>'1 datos preparados'!K18</f>
        <v/>
      </c>
      <c r="M25" s="7">
        <f>'1 datos preparados'!L18</f>
        <v/>
      </c>
      <c r="N25" s="7">
        <f>'1 datos preparados'!M18</f>
        <v/>
      </c>
      <c r="O25" s="7">
        <f>'1 datos preparados'!N18</f>
        <v/>
      </c>
      <c r="P25" s="7">
        <f>'1 datos preparados'!O18</f>
        <v/>
      </c>
      <c r="Q25" s="7">
        <f>'1 datos preparados'!P18</f>
        <v/>
      </c>
      <c r="R25" s="7">
        <f>'1 datos preparados'!Q18</f>
        <v/>
      </c>
      <c r="S25" s="7">
        <f>'1 datos preparados'!R18</f>
        <v/>
      </c>
      <c r="T25" s="7">
        <f>'1 datos preparados'!S18</f>
        <v/>
      </c>
      <c r="U25" s="7">
        <f>'1 datos preparados'!T18</f>
        <v/>
      </c>
      <c r="V25" s="8">
        <f>$AC$12+D25*$AC$13+E25*$AC$14+F25*$AC$15+G25*$AC$16+H25*$AC$17+I25*$AC$18+J25*$AC$19+K25*$AC$20+L25*$AC$21+M25*$AC$22+N25*$AC$23+O25*$AC$24+P25*$AC$25+Q25*$AC$26+R25*$AC$27+S25*$AC$28+T25*$AC$29+U25*$AC$30</f>
        <v/>
      </c>
      <c r="W25" s="8">
        <f>1/(1+EXP(-V25))</f>
        <v/>
      </c>
      <c r="X25" s="9">
        <f>-IF(C25=1,LN(W25),LN(1-W25))</f>
        <v/>
      </c>
      <c r="Y25" s="10">
        <f>IF(W25&gt;$AC$34,1,0)</f>
        <v/>
      </c>
      <c r="Z25">
        <f>IF(Y25=C25,1,0)</f>
        <v/>
      </c>
      <c r="AB25" t="inlineStr">
        <is>
          <t>ahorro_desconocido</t>
        </is>
      </c>
      <c r="AC25" s="11" t="n">
        <v>-1.076092926242446</v>
      </c>
      <c r="AD25" s="12" t="n">
        <v>-0.42068937052162</v>
      </c>
      <c r="AE25" s="9">
        <f>ABS(AC25)</f>
        <v/>
      </c>
      <c r="AF25" s="9">
        <f>AC25^2</f>
        <v/>
      </c>
    </row>
    <row r="26">
      <c r="A26">
        <f>'1 datos preparados'!A19</f>
        <v/>
      </c>
      <c r="B26" s="5">
        <f>'1 datos preparados'!U19</f>
        <v/>
      </c>
      <c r="C26">
        <f>'1 datos preparados'!B19</f>
        <v/>
      </c>
      <c r="D26" s="7">
        <f>'1 datos preparados'!C19</f>
        <v/>
      </c>
      <c r="E26" s="7">
        <f>'1 datos preparados'!D19</f>
        <v/>
      </c>
      <c r="F26" s="7">
        <f>'1 datos preparados'!E19</f>
        <v/>
      </c>
      <c r="G26" s="7">
        <f>'1 datos preparados'!F19</f>
        <v/>
      </c>
      <c r="H26" s="7">
        <f>'1 datos preparados'!G19</f>
        <v/>
      </c>
      <c r="I26" s="7">
        <f>'1 datos preparados'!H19</f>
        <v/>
      </c>
      <c r="J26" s="7">
        <f>'1 datos preparados'!I19</f>
        <v/>
      </c>
      <c r="K26" s="7">
        <f>'1 datos preparados'!J19</f>
        <v/>
      </c>
      <c r="L26" s="7">
        <f>'1 datos preparados'!K19</f>
        <v/>
      </c>
      <c r="M26" s="7">
        <f>'1 datos preparados'!L19</f>
        <v/>
      </c>
      <c r="N26" s="7">
        <f>'1 datos preparados'!M19</f>
        <v/>
      </c>
      <c r="O26" s="7">
        <f>'1 datos preparados'!N19</f>
        <v/>
      </c>
      <c r="P26" s="7">
        <f>'1 datos preparados'!O19</f>
        <v/>
      </c>
      <c r="Q26" s="7">
        <f>'1 datos preparados'!P19</f>
        <v/>
      </c>
      <c r="R26" s="7">
        <f>'1 datos preparados'!Q19</f>
        <v/>
      </c>
      <c r="S26" s="7">
        <f>'1 datos preparados'!R19</f>
        <v/>
      </c>
      <c r="T26" s="7">
        <f>'1 datos preparados'!S19</f>
        <v/>
      </c>
      <c r="U26" s="7">
        <f>'1 datos preparados'!T19</f>
        <v/>
      </c>
      <c r="V26" s="8">
        <f>$AC$12+D26*$AC$13+E26*$AC$14+F26*$AC$15+G26*$AC$16+H26*$AC$17+I26*$AC$18+J26*$AC$19+K26*$AC$20+L26*$AC$21+M26*$AC$22+N26*$AC$23+O26*$AC$24+P26*$AC$25+Q26*$AC$26+R26*$AC$27+S26*$AC$28+T26*$AC$29+U26*$AC$30</f>
        <v/>
      </c>
      <c r="W26" s="8">
        <f>1/(1+EXP(-V26))</f>
        <v/>
      </c>
      <c r="X26" s="9">
        <f>-IF(C26=1,LN(W26),LN(1-W26))</f>
        <v/>
      </c>
      <c r="Y26" s="10">
        <f>IF(W26&gt;$AC$34,1,0)</f>
        <v/>
      </c>
      <c r="Z26">
        <f>IF(Y26=C26,1,0)</f>
        <v/>
      </c>
      <c r="AB26" t="inlineStr">
        <is>
          <t>vivienda_arriendo</t>
        </is>
      </c>
      <c r="AC26" s="11" t="n">
        <v>0.6538371780658356</v>
      </c>
      <c r="AD26" s="12" t="n">
        <v>0.25233396953933</v>
      </c>
      <c r="AE26" s="9">
        <f>ABS(AC26)</f>
        <v/>
      </c>
      <c r="AF26" s="9">
        <f>AC26^2</f>
        <v/>
      </c>
    </row>
    <row r="27">
      <c r="A27">
        <f>'1 datos preparados'!A20</f>
        <v/>
      </c>
      <c r="B27" s="5">
        <f>'1 datos preparados'!U20</f>
        <v/>
      </c>
      <c r="C27">
        <f>'1 datos preparados'!B20</f>
        <v/>
      </c>
      <c r="D27" s="7">
        <f>'1 datos preparados'!C20</f>
        <v/>
      </c>
      <c r="E27" s="7">
        <f>'1 datos preparados'!D20</f>
        <v/>
      </c>
      <c r="F27" s="7">
        <f>'1 datos preparados'!E20</f>
        <v/>
      </c>
      <c r="G27" s="7">
        <f>'1 datos preparados'!F20</f>
        <v/>
      </c>
      <c r="H27" s="7">
        <f>'1 datos preparados'!G20</f>
        <v/>
      </c>
      <c r="I27" s="7">
        <f>'1 datos preparados'!H20</f>
        <v/>
      </c>
      <c r="J27" s="7">
        <f>'1 datos preparados'!I20</f>
        <v/>
      </c>
      <c r="K27" s="7">
        <f>'1 datos preparados'!J20</f>
        <v/>
      </c>
      <c r="L27" s="7">
        <f>'1 datos preparados'!K20</f>
        <v/>
      </c>
      <c r="M27" s="7">
        <f>'1 datos preparados'!L20</f>
        <v/>
      </c>
      <c r="N27" s="7">
        <f>'1 datos preparados'!M20</f>
        <v/>
      </c>
      <c r="O27" s="7">
        <f>'1 datos preparados'!N20</f>
        <v/>
      </c>
      <c r="P27" s="7">
        <f>'1 datos preparados'!O20</f>
        <v/>
      </c>
      <c r="Q27" s="7">
        <f>'1 datos preparados'!P20</f>
        <v/>
      </c>
      <c r="R27" s="7">
        <f>'1 datos preparados'!Q20</f>
        <v/>
      </c>
      <c r="S27" s="7">
        <f>'1 datos preparados'!R20</f>
        <v/>
      </c>
      <c r="T27" s="7">
        <f>'1 datos preparados'!S20</f>
        <v/>
      </c>
      <c r="U27" s="7">
        <f>'1 datos preparados'!T20</f>
        <v/>
      </c>
      <c r="V27" s="8">
        <f>$AC$12+D27*$AC$13+E27*$AC$14+F27*$AC$15+G27*$AC$16+H27*$AC$17+I27*$AC$18+J27*$AC$19+K27*$AC$20+L27*$AC$21+M27*$AC$22+N27*$AC$23+O27*$AC$24+P27*$AC$25+Q27*$AC$26+R27*$AC$27+S27*$AC$28+T27*$AC$29+U27*$AC$30</f>
        <v/>
      </c>
      <c r="W27" s="8">
        <f>1/(1+EXP(-V27))</f>
        <v/>
      </c>
      <c r="X27" s="9">
        <f>-IF(C27=1,LN(W27),LN(1-W27))</f>
        <v/>
      </c>
      <c r="Y27" s="10">
        <f>IF(W27&gt;$AC$34,1,0)</f>
        <v/>
      </c>
      <c r="Z27">
        <f>IF(Y27=C27,1,0)</f>
        <v/>
      </c>
      <c r="AB27" t="inlineStr">
        <is>
          <t>vivienda_gratis</t>
        </is>
      </c>
      <c r="AC27" s="11" t="n">
        <v>0.1953653579159878</v>
      </c>
      <c r="AD27" s="12" t="n">
        <v>0</v>
      </c>
      <c r="AE27" s="9">
        <f>ABS(AC27)</f>
        <v/>
      </c>
      <c r="AF27" s="9">
        <f>AC27^2</f>
        <v/>
      </c>
    </row>
    <row r="28">
      <c r="A28">
        <f>'1 datos preparados'!A21</f>
        <v/>
      </c>
      <c r="B28" s="5">
        <f>'1 datos preparados'!U21</f>
        <v/>
      </c>
      <c r="C28">
        <f>'1 datos preparados'!B21</f>
        <v/>
      </c>
      <c r="D28" s="7">
        <f>'1 datos preparados'!C21</f>
        <v/>
      </c>
      <c r="E28" s="7">
        <f>'1 datos preparados'!D21</f>
        <v/>
      </c>
      <c r="F28" s="7">
        <f>'1 datos preparados'!E21</f>
        <v/>
      </c>
      <c r="G28" s="7">
        <f>'1 datos preparados'!F21</f>
        <v/>
      </c>
      <c r="H28" s="7">
        <f>'1 datos preparados'!G21</f>
        <v/>
      </c>
      <c r="I28" s="7">
        <f>'1 datos preparados'!H21</f>
        <v/>
      </c>
      <c r="J28" s="7">
        <f>'1 datos preparados'!I21</f>
        <v/>
      </c>
      <c r="K28" s="7">
        <f>'1 datos preparados'!J21</f>
        <v/>
      </c>
      <c r="L28" s="7">
        <f>'1 datos preparados'!K21</f>
        <v/>
      </c>
      <c r="M28" s="7">
        <f>'1 datos preparados'!L21</f>
        <v/>
      </c>
      <c r="N28" s="7">
        <f>'1 datos preparados'!M21</f>
        <v/>
      </c>
      <c r="O28" s="7">
        <f>'1 datos preparados'!N21</f>
        <v/>
      </c>
      <c r="P28" s="7">
        <f>'1 datos preparados'!O21</f>
        <v/>
      </c>
      <c r="Q28" s="7">
        <f>'1 datos preparados'!P21</f>
        <v/>
      </c>
      <c r="R28" s="7">
        <f>'1 datos preparados'!Q21</f>
        <v/>
      </c>
      <c r="S28" s="7">
        <f>'1 datos preparados'!R21</f>
        <v/>
      </c>
      <c r="T28" s="7">
        <f>'1 datos preparados'!S21</f>
        <v/>
      </c>
      <c r="U28" s="7">
        <f>'1 datos preparados'!T21</f>
        <v/>
      </c>
      <c r="V28" s="8">
        <f>$AC$12+D28*$AC$13+E28*$AC$14+F28*$AC$15+G28*$AC$16+H28*$AC$17+I28*$AC$18+J28*$AC$19+K28*$AC$20+L28*$AC$21+M28*$AC$22+N28*$AC$23+O28*$AC$24+P28*$AC$25+Q28*$AC$26+R28*$AC$27+S28*$AC$28+T28*$AC$29+U28*$AC$30</f>
        <v/>
      </c>
      <c r="W28" s="8">
        <f>1/(1+EXP(-V28))</f>
        <v/>
      </c>
      <c r="X28" s="9">
        <f>-IF(C28=1,LN(W28),LN(1-W28))</f>
        <v/>
      </c>
      <c r="Y28" s="10">
        <f>IF(W28&gt;$AC$34,1,0)</f>
        <v/>
      </c>
      <c r="Z28">
        <f>IF(Y28=C28,1,0)</f>
        <v/>
      </c>
      <c r="AB28" t="inlineStr">
        <is>
          <t>proposito_auto</t>
        </is>
      </c>
      <c r="AC28" s="11" t="n">
        <v>-0.08016547581790479</v>
      </c>
      <c r="AD28" s="12" t="n">
        <v>0</v>
      </c>
      <c r="AE28" s="9">
        <f>ABS(AC28)</f>
        <v/>
      </c>
      <c r="AF28" s="9">
        <f>AC28^2</f>
        <v/>
      </c>
    </row>
    <row r="29">
      <c r="A29">
        <f>'1 datos preparados'!A22</f>
        <v/>
      </c>
      <c r="B29" s="5">
        <f>'1 datos preparados'!U22</f>
        <v/>
      </c>
      <c r="C29">
        <f>'1 datos preparados'!B22</f>
        <v/>
      </c>
      <c r="D29" s="7">
        <f>'1 datos preparados'!C22</f>
        <v/>
      </c>
      <c r="E29" s="7">
        <f>'1 datos preparados'!D22</f>
        <v/>
      </c>
      <c r="F29" s="7">
        <f>'1 datos preparados'!E22</f>
        <v/>
      </c>
      <c r="G29" s="7">
        <f>'1 datos preparados'!F22</f>
        <v/>
      </c>
      <c r="H29" s="7">
        <f>'1 datos preparados'!G22</f>
        <v/>
      </c>
      <c r="I29" s="7">
        <f>'1 datos preparados'!H22</f>
        <v/>
      </c>
      <c r="J29" s="7">
        <f>'1 datos preparados'!I22</f>
        <v/>
      </c>
      <c r="K29" s="7">
        <f>'1 datos preparados'!J22</f>
        <v/>
      </c>
      <c r="L29" s="7">
        <f>'1 datos preparados'!K22</f>
        <v/>
      </c>
      <c r="M29" s="7">
        <f>'1 datos preparados'!L22</f>
        <v/>
      </c>
      <c r="N29" s="7">
        <f>'1 datos preparados'!M22</f>
        <v/>
      </c>
      <c r="O29" s="7">
        <f>'1 datos preparados'!N22</f>
        <v/>
      </c>
      <c r="P29" s="7">
        <f>'1 datos preparados'!O22</f>
        <v/>
      </c>
      <c r="Q29" s="7">
        <f>'1 datos preparados'!P22</f>
        <v/>
      </c>
      <c r="R29" s="7">
        <f>'1 datos preparados'!Q22</f>
        <v/>
      </c>
      <c r="S29" s="7">
        <f>'1 datos preparados'!R22</f>
        <v/>
      </c>
      <c r="T29" s="7">
        <f>'1 datos preparados'!S22</f>
        <v/>
      </c>
      <c r="U29" s="7">
        <f>'1 datos preparados'!T22</f>
        <v/>
      </c>
      <c r="V29" s="8">
        <f>$AC$12+D29*$AC$13+E29*$AC$14+F29*$AC$15+G29*$AC$16+H29*$AC$17+I29*$AC$18+J29*$AC$19+K29*$AC$20+L29*$AC$21+M29*$AC$22+N29*$AC$23+O29*$AC$24+P29*$AC$25+Q29*$AC$26+R29*$AC$27+S29*$AC$28+T29*$AC$29+U29*$AC$30</f>
        <v/>
      </c>
      <c r="W29" s="8">
        <f>1/(1+EXP(-V29))</f>
        <v/>
      </c>
      <c r="X29" s="9">
        <f>-IF(C29=1,LN(W29),LN(1-W29))</f>
        <v/>
      </c>
      <c r="Y29" s="10">
        <f>IF(W29&gt;$AC$34,1,0)</f>
        <v/>
      </c>
      <c r="Z29">
        <f>IF(Y29=C29,1,0)</f>
        <v/>
      </c>
      <c r="AB29" t="inlineStr">
        <is>
          <t>proposito_radio_tv</t>
        </is>
      </c>
      <c r="AC29" s="11" t="n">
        <v>-0.5202106472417524</v>
      </c>
      <c r="AD29" s="12" t="n">
        <v>-0.2047431118800908</v>
      </c>
      <c r="AE29" s="9">
        <f>ABS(AC29)</f>
        <v/>
      </c>
      <c r="AF29" s="9">
        <f>AC29^2</f>
        <v/>
      </c>
    </row>
    <row r="30">
      <c r="A30">
        <f>'1 datos preparados'!A23</f>
        <v/>
      </c>
      <c r="B30" s="5">
        <f>'1 datos preparados'!U23</f>
        <v/>
      </c>
      <c r="C30">
        <f>'1 datos preparados'!B23</f>
        <v/>
      </c>
      <c r="D30" s="7">
        <f>'1 datos preparados'!C23</f>
        <v/>
      </c>
      <c r="E30" s="7">
        <f>'1 datos preparados'!D23</f>
        <v/>
      </c>
      <c r="F30" s="7">
        <f>'1 datos preparados'!E23</f>
        <v/>
      </c>
      <c r="G30" s="7">
        <f>'1 datos preparados'!F23</f>
        <v/>
      </c>
      <c r="H30" s="7">
        <f>'1 datos preparados'!G23</f>
        <v/>
      </c>
      <c r="I30" s="7">
        <f>'1 datos preparados'!H23</f>
        <v/>
      </c>
      <c r="J30" s="7">
        <f>'1 datos preparados'!I23</f>
        <v/>
      </c>
      <c r="K30" s="7">
        <f>'1 datos preparados'!J23</f>
        <v/>
      </c>
      <c r="L30" s="7">
        <f>'1 datos preparados'!K23</f>
        <v/>
      </c>
      <c r="M30" s="7">
        <f>'1 datos preparados'!L23</f>
        <v/>
      </c>
      <c r="N30" s="7">
        <f>'1 datos preparados'!M23</f>
        <v/>
      </c>
      <c r="O30" s="7">
        <f>'1 datos preparados'!N23</f>
        <v/>
      </c>
      <c r="P30" s="7">
        <f>'1 datos preparados'!O23</f>
        <v/>
      </c>
      <c r="Q30" s="7">
        <f>'1 datos preparados'!P23</f>
        <v/>
      </c>
      <c r="R30" s="7">
        <f>'1 datos preparados'!Q23</f>
        <v/>
      </c>
      <c r="S30" s="7">
        <f>'1 datos preparados'!R23</f>
        <v/>
      </c>
      <c r="T30" s="7">
        <f>'1 datos preparados'!S23</f>
        <v/>
      </c>
      <c r="U30" s="7">
        <f>'1 datos preparados'!T23</f>
        <v/>
      </c>
      <c r="V30" s="8">
        <f>$AC$12+D30*$AC$13+E30*$AC$14+F30*$AC$15+G30*$AC$16+H30*$AC$17+I30*$AC$18+J30*$AC$19+K30*$AC$20+L30*$AC$21+M30*$AC$22+N30*$AC$23+O30*$AC$24+P30*$AC$25+Q30*$AC$26+R30*$AC$27+S30*$AC$28+T30*$AC$29+U30*$AC$30</f>
        <v/>
      </c>
      <c r="W30" s="8">
        <f>1/(1+EXP(-V30))</f>
        <v/>
      </c>
      <c r="X30" s="9">
        <f>-IF(C30=1,LN(W30),LN(1-W30))</f>
        <v/>
      </c>
      <c r="Y30" s="10">
        <f>IF(W30&gt;$AC$34,1,0)</f>
        <v/>
      </c>
      <c r="Z30">
        <f>IF(Y30=C30,1,0)</f>
        <v/>
      </c>
      <c r="AB30" t="inlineStr">
        <is>
          <t>proposito_muebles</t>
        </is>
      </c>
      <c r="AC30" s="11" t="n">
        <v>-0.2818027438096851</v>
      </c>
      <c r="AD30" s="12" t="n">
        <v>0</v>
      </c>
      <c r="AE30" s="9">
        <f>ABS(AC30)</f>
        <v/>
      </c>
      <c r="AF30" s="9">
        <f>AC30^2</f>
        <v/>
      </c>
    </row>
    <row r="31">
      <c r="A31">
        <f>'1 datos preparados'!A24</f>
        <v/>
      </c>
      <c r="B31" s="5">
        <f>'1 datos preparados'!U24</f>
        <v/>
      </c>
      <c r="C31">
        <f>'1 datos preparados'!B24</f>
        <v/>
      </c>
      <c r="D31" s="7">
        <f>'1 datos preparados'!C24</f>
        <v/>
      </c>
      <c r="E31" s="7">
        <f>'1 datos preparados'!D24</f>
        <v/>
      </c>
      <c r="F31" s="7">
        <f>'1 datos preparados'!E24</f>
        <v/>
      </c>
      <c r="G31" s="7">
        <f>'1 datos preparados'!F24</f>
        <v/>
      </c>
      <c r="H31" s="7">
        <f>'1 datos preparados'!G24</f>
        <v/>
      </c>
      <c r="I31" s="7">
        <f>'1 datos preparados'!H24</f>
        <v/>
      </c>
      <c r="J31" s="7">
        <f>'1 datos preparados'!I24</f>
        <v/>
      </c>
      <c r="K31" s="7">
        <f>'1 datos preparados'!J24</f>
        <v/>
      </c>
      <c r="L31" s="7">
        <f>'1 datos preparados'!K24</f>
        <v/>
      </c>
      <c r="M31" s="7">
        <f>'1 datos preparados'!L24</f>
        <v/>
      </c>
      <c r="N31" s="7">
        <f>'1 datos preparados'!M24</f>
        <v/>
      </c>
      <c r="O31" s="7">
        <f>'1 datos preparados'!N24</f>
        <v/>
      </c>
      <c r="P31" s="7">
        <f>'1 datos preparados'!O24</f>
        <v/>
      </c>
      <c r="Q31" s="7">
        <f>'1 datos preparados'!P24</f>
        <v/>
      </c>
      <c r="R31" s="7">
        <f>'1 datos preparados'!Q24</f>
        <v/>
      </c>
      <c r="S31" s="7">
        <f>'1 datos preparados'!R24</f>
        <v/>
      </c>
      <c r="T31" s="7">
        <f>'1 datos preparados'!S24</f>
        <v/>
      </c>
      <c r="U31" s="7">
        <f>'1 datos preparados'!T24</f>
        <v/>
      </c>
      <c r="V31" s="8">
        <f>$AC$12+D31*$AC$13+E31*$AC$14+F31*$AC$15+G31*$AC$16+H31*$AC$17+I31*$AC$18+J31*$AC$19+K31*$AC$20+L31*$AC$21+M31*$AC$22+N31*$AC$23+O31*$AC$24+P31*$AC$25+Q31*$AC$26+R31*$AC$27+S31*$AC$28+T31*$AC$29+U31*$AC$30</f>
        <v/>
      </c>
      <c r="W31" s="8">
        <f>1/(1+EXP(-V31))</f>
        <v/>
      </c>
      <c r="X31" s="9">
        <f>-IF(C31=1,LN(W31),LN(1-W31))</f>
        <v/>
      </c>
      <c r="Y31" s="10">
        <f>IF(W31&gt;$AC$34,1,0)</f>
        <v/>
      </c>
      <c r="Z31">
        <f>IF(Y31=C31,1,0)</f>
        <v/>
      </c>
    </row>
    <row r="32">
      <c r="A32">
        <f>'1 datos preparados'!A25</f>
        <v/>
      </c>
      <c r="B32" s="5">
        <f>'1 datos preparados'!U25</f>
        <v/>
      </c>
      <c r="C32">
        <f>'1 datos preparados'!B25</f>
        <v/>
      </c>
      <c r="D32" s="7">
        <f>'1 datos preparados'!C25</f>
        <v/>
      </c>
      <c r="E32" s="7">
        <f>'1 datos preparados'!D25</f>
        <v/>
      </c>
      <c r="F32" s="7">
        <f>'1 datos preparados'!E25</f>
        <v/>
      </c>
      <c r="G32" s="7">
        <f>'1 datos preparados'!F25</f>
        <v/>
      </c>
      <c r="H32" s="7">
        <f>'1 datos preparados'!G25</f>
        <v/>
      </c>
      <c r="I32" s="7">
        <f>'1 datos preparados'!H25</f>
        <v/>
      </c>
      <c r="J32" s="7">
        <f>'1 datos preparados'!I25</f>
        <v/>
      </c>
      <c r="K32" s="7">
        <f>'1 datos preparados'!J25</f>
        <v/>
      </c>
      <c r="L32" s="7">
        <f>'1 datos preparados'!K25</f>
        <v/>
      </c>
      <c r="M32" s="7">
        <f>'1 datos preparados'!L25</f>
        <v/>
      </c>
      <c r="N32" s="7">
        <f>'1 datos preparados'!M25</f>
        <v/>
      </c>
      <c r="O32" s="7">
        <f>'1 datos preparados'!N25</f>
        <v/>
      </c>
      <c r="P32" s="7">
        <f>'1 datos preparados'!O25</f>
        <v/>
      </c>
      <c r="Q32" s="7">
        <f>'1 datos preparados'!P25</f>
        <v/>
      </c>
      <c r="R32" s="7">
        <f>'1 datos preparados'!Q25</f>
        <v/>
      </c>
      <c r="S32" s="7">
        <f>'1 datos preparados'!R25</f>
        <v/>
      </c>
      <c r="T32" s="7">
        <f>'1 datos preparados'!S25</f>
        <v/>
      </c>
      <c r="U32" s="7">
        <f>'1 datos preparados'!T25</f>
        <v/>
      </c>
      <c r="V32" s="8">
        <f>$AC$12+D32*$AC$13+E32*$AC$14+F32*$AC$15+G32*$AC$16+H32*$AC$17+I32*$AC$18+J32*$AC$19+K32*$AC$20+L32*$AC$21+M32*$AC$22+N32*$AC$23+O32*$AC$24+P32*$AC$25+Q32*$AC$26+R32*$AC$27+S32*$AC$28+T32*$AC$29+U32*$AC$30</f>
        <v/>
      </c>
      <c r="W32" s="8">
        <f>1/(1+EXP(-V32))</f>
        <v/>
      </c>
      <c r="X32" s="9">
        <f>-IF(C32=1,LN(W32),LN(1-W32))</f>
        <v/>
      </c>
      <c r="Y32" s="10">
        <f>IF(W32&gt;$AC$34,1,0)</f>
        <v/>
      </c>
      <c r="Z32">
        <f>IF(Y32=C32,1,0)</f>
        <v/>
      </c>
      <c r="AB32" s="3" t="inlineStr">
        <is>
          <t>λ (lambda): cuánto cuesta el tamaño de los pesos</t>
        </is>
      </c>
      <c r="AC32" s="15" t="n">
        <v>10</v>
      </c>
    </row>
    <row r="33">
      <c r="A33">
        <f>'1 datos preparados'!A26</f>
        <v/>
      </c>
      <c r="B33" s="5">
        <f>'1 datos preparados'!U26</f>
        <v/>
      </c>
      <c r="C33">
        <f>'1 datos preparados'!B26</f>
        <v/>
      </c>
      <c r="D33" s="7">
        <f>'1 datos preparados'!C26</f>
        <v/>
      </c>
      <c r="E33" s="7">
        <f>'1 datos preparados'!D26</f>
        <v/>
      </c>
      <c r="F33" s="7">
        <f>'1 datos preparados'!E26</f>
        <v/>
      </c>
      <c r="G33" s="7">
        <f>'1 datos preparados'!F26</f>
        <v/>
      </c>
      <c r="H33" s="7">
        <f>'1 datos preparados'!G26</f>
        <v/>
      </c>
      <c r="I33" s="7">
        <f>'1 datos preparados'!H26</f>
        <v/>
      </c>
      <c r="J33" s="7">
        <f>'1 datos preparados'!I26</f>
        <v/>
      </c>
      <c r="K33" s="7">
        <f>'1 datos preparados'!J26</f>
        <v/>
      </c>
      <c r="L33" s="7">
        <f>'1 datos preparados'!K26</f>
        <v/>
      </c>
      <c r="M33" s="7">
        <f>'1 datos preparados'!L26</f>
        <v/>
      </c>
      <c r="N33" s="7">
        <f>'1 datos preparados'!M26</f>
        <v/>
      </c>
      <c r="O33" s="7">
        <f>'1 datos preparados'!N26</f>
        <v/>
      </c>
      <c r="P33" s="7">
        <f>'1 datos preparados'!O26</f>
        <v/>
      </c>
      <c r="Q33" s="7">
        <f>'1 datos preparados'!P26</f>
        <v/>
      </c>
      <c r="R33" s="7">
        <f>'1 datos preparados'!Q26</f>
        <v/>
      </c>
      <c r="S33" s="7">
        <f>'1 datos preparados'!R26</f>
        <v/>
      </c>
      <c r="T33" s="7">
        <f>'1 datos preparados'!S26</f>
        <v/>
      </c>
      <c r="U33" s="7">
        <f>'1 datos preparados'!T26</f>
        <v/>
      </c>
      <c r="V33" s="8">
        <f>$AC$12+D33*$AC$13+E33*$AC$14+F33*$AC$15+G33*$AC$16+H33*$AC$17+I33*$AC$18+J33*$AC$19+K33*$AC$20+L33*$AC$21+M33*$AC$22+N33*$AC$23+O33*$AC$24+P33*$AC$25+Q33*$AC$26+R33*$AC$27+S33*$AC$28+T33*$AC$29+U33*$AC$30</f>
        <v/>
      </c>
      <c r="W33" s="8">
        <f>1/(1+EXP(-V33))</f>
        <v/>
      </c>
      <c r="X33" s="9">
        <f>-IF(C33=1,LN(W33),LN(1-W33))</f>
        <v/>
      </c>
      <c r="Y33" s="10">
        <f>IF(W33&gt;$AC$34,1,0)</f>
        <v/>
      </c>
      <c r="Z33">
        <f>IF(Y33=C33,1,0)</f>
        <v/>
      </c>
      <c r="AB33" s="3" t="inlineStr">
        <is>
          <t>α (alpha): fracción L1 de la mezcla (0 = ridge puro, 1 = lasso puro)</t>
        </is>
      </c>
      <c r="AC33" s="16" t="n">
        <v>0.5</v>
      </c>
    </row>
    <row r="34">
      <c r="A34">
        <f>'1 datos preparados'!A27</f>
        <v/>
      </c>
      <c r="B34" s="5">
        <f>'1 datos preparados'!U27</f>
        <v/>
      </c>
      <c r="C34">
        <f>'1 datos preparados'!B27</f>
        <v/>
      </c>
      <c r="D34" s="7">
        <f>'1 datos preparados'!C27</f>
        <v/>
      </c>
      <c r="E34" s="7">
        <f>'1 datos preparados'!D27</f>
        <v/>
      </c>
      <c r="F34" s="7">
        <f>'1 datos preparados'!E27</f>
        <v/>
      </c>
      <c r="G34" s="7">
        <f>'1 datos preparados'!F27</f>
        <v/>
      </c>
      <c r="H34" s="7">
        <f>'1 datos preparados'!G27</f>
        <v/>
      </c>
      <c r="I34" s="7">
        <f>'1 datos preparados'!H27</f>
        <v/>
      </c>
      <c r="J34" s="7">
        <f>'1 datos preparados'!I27</f>
        <v/>
      </c>
      <c r="K34" s="7">
        <f>'1 datos preparados'!J27</f>
        <v/>
      </c>
      <c r="L34" s="7">
        <f>'1 datos preparados'!K27</f>
        <v/>
      </c>
      <c r="M34" s="7">
        <f>'1 datos preparados'!L27</f>
        <v/>
      </c>
      <c r="N34" s="7">
        <f>'1 datos preparados'!M27</f>
        <v/>
      </c>
      <c r="O34" s="7">
        <f>'1 datos preparados'!N27</f>
        <v/>
      </c>
      <c r="P34" s="7">
        <f>'1 datos preparados'!O27</f>
        <v/>
      </c>
      <c r="Q34" s="7">
        <f>'1 datos preparados'!P27</f>
        <v/>
      </c>
      <c r="R34" s="7">
        <f>'1 datos preparados'!Q27</f>
        <v/>
      </c>
      <c r="S34" s="7">
        <f>'1 datos preparados'!R27</f>
        <v/>
      </c>
      <c r="T34" s="7">
        <f>'1 datos preparados'!S27</f>
        <v/>
      </c>
      <c r="U34" s="7">
        <f>'1 datos preparados'!T27</f>
        <v/>
      </c>
      <c r="V34" s="8">
        <f>$AC$12+D34*$AC$13+E34*$AC$14+F34*$AC$15+G34*$AC$16+H34*$AC$17+I34*$AC$18+J34*$AC$19+K34*$AC$20+L34*$AC$21+M34*$AC$22+N34*$AC$23+O34*$AC$24+P34*$AC$25+Q34*$AC$26+R34*$AC$27+S34*$AC$28+T34*$AC$29+U34*$AC$30</f>
        <v/>
      </c>
      <c r="W34" s="8">
        <f>1/(1+EXP(-V34))</f>
        <v/>
      </c>
      <c r="X34" s="9">
        <f>-IF(C34=1,LN(W34),LN(1-W34))</f>
        <v/>
      </c>
      <c r="Y34" s="10">
        <f>IF(W34&gt;$AC$34,1,0)</f>
        <v/>
      </c>
      <c r="Z34">
        <f>IF(Y34=C34,1,0)</f>
        <v/>
      </c>
      <c r="AB34" s="3" t="inlineStr">
        <is>
          <t>umbral</t>
        </is>
      </c>
      <c r="AC34" s="16" t="n">
        <v>0.5</v>
      </c>
    </row>
    <row r="35">
      <c r="A35">
        <f>'1 datos preparados'!A28</f>
        <v/>
      </c>
      <c r="B35" s="5">
        <f>'1 datos preparados'!U28</f>
        <v/>
      </c>
      <c r="C35">
        <f>'1 datos preparados'!B28</f>
        <v/>
      </c>
      <c r="D35" s="7">
        <f>'1 datos preparados'!C28</f>
        <v/>
      </c>
      <c r="E35" s="7">
        <f>'1 datos preparados'!D28</f>
        <v/>
      </c>
      <c r="F35" s="7">
        <f>'1 datos preparados'!E28</f>
        <v/>
      </c>
      <c r="G35" s="7">
        <f>'1 datos preparados'!F28</f>
        <v/>
      </c>
      <c r="H35" s="7">
        <f>'1 datos preparados'!G28</f>
        <v/>
      </c>
      <c r="I35" s="7">
        <f>'1 datos preparados'!H28</f>
        <v/>
      </c>
      <c r="J35" s="7">
        <f>'1 datos preparados'!I28</f>
        <v/>
      </c>
      <c r="K35" s="7">
        <f>'1 datos preparados'!J28</f>
        <v/>
      </c>
      <c r="L35" s="7">
        <f>'1 datos preparados'!K28</f>
        <v/>
      </c>
      <c r="M35" s="7">
        <f>'1 datos preparados'!L28</f>
        <v/>
      </c>
      <c r="N35" s="7">
        <f>'1 datos preparados'!M28</f>
        <v/>
      </c>
      <c r="O35" s="7">
        <f>'1 datos preparados'!N28</f>
        <v/>
      </c>
      <c r="P35" s="7">
        <f>'1 datos preparados'!O28</f>
        <v/>
      </c>
      <c r="Q35" s="7">
        <f>'1 datos preparados'!P28</f>
        <v/>
      </c>
      <c r="R35" s="7">
        <f>'1 datos preparados'!Q28</f>
        <v/>
      </c>
      <c r="S35" s="7">
        <f>'1 datos preparados'!R28</f>
        <v/>
      </c>
      <c r="T35" s="7">
        <f>'1 datos preparados'!S28</f>
        <v/>
      </c>
      <c r="U35" s="7">
        <f>'1 datos preparados'!T28</f>
        <v/>
      </c>
      <c r="V35" s="8">
        <f>$AC$12+D35*$AC$13+E35*$AC$14+F35*$AC$15+G35*$AC$16+H35*$AC$17+I35*$AC$18+J35*$AC$19+K35*$AC$20+L35*$AC$21+M35*$AC$22+N35*$AC$23+O35*$AC$24+P35*$AC$25+Q35*$AC$26+R35*$AC$27+S35*$AC$28+T35*$AC$29+U35*$AC$30</f>
        <v/>
      </c>
      <c r="W35" s="8">
        <f>1/(1+EXP(-V35))</f>
        <v/>
      </c>
      <c r="X35" s="9">
        <f>-IF(C35=1,LN(W35),LN(1-W35))</f>
        <v/>
      </c>
      <c r="Y35" s="10">
        <f>IF(W35&gt;$AC$34,1,0)</f>
        <v/>
      </c>
      <c r="Z35">
        <f>IF(Y35=C35,1,0)</f>
        <v/>
      </c>
    </row>
    <row r="36">
      <c r="A36">
        <f>'1 datos preparados'!A29</f>
        <v/>
      </c>
      <c r="B36" s="5">
        <f>'1 datos preparados'!U29</f>
        <v/>
      </c>
      <c r="C36">
        <f>'1 datos preparados'!B29</f>
        <v/>
      </c>
      <c r="D36" s="7">
        <f>'1 datos preparados'!C29</f>
        <v/>
      </c>
      <c r="E36" s="7">
        <f>'1 datos preparados'!D29</f>
        <v/>
      </c>
      <c r="F36" s="7">
        <f>'1 datos preparados'!E29</f>
        <v/>
      </c>
      <c r="G36" s="7">
        <f>'1 datos preparados'!F29</f>
        <v/>
      </c>
      <c r="H36" s="7">
        <f>'1 datos preparados'!G29</f>
        <v/>
      </c>
      <c r="I36" s="7">
        <f>'1 datos preparados'!H29</f>
        <v/>
      </c>
      <c r="J36" s="7">
        <f>'1 datos preparados'!I29</f>
        <v/>
      </c>
      <c r="K36" s="7">
        <f>'1 datos preparados'!J29</f>
        <v/>
      </c>
      <c r="L36" s="7">
        <f>'1 datos preparados'!K29</f>
        <v/>
      </c>
      <c r="M36" s="7">
        <f>'1 datos preparados'!L29</f>
        <v/>
      </c>
      <c r="N36" s="7">
        <f>'1 datos preparados'!M29</f>
        <v/>
      </c>
      <c r="O36" s="7">
        <f>'1 datos preparados'!N29</f>
        <v/>
      </c>
      <c r="P36" s="7">
        <f>'1 datos preparados'!O29</f>
        <v/>
      </c>
      <c r="Q36" s="7">
        <f>'1 datos preparados'!P29</f>
        <v/>
      </c>
      <c r="R36" s="7">
        <f>'1 datos preparados'!Q29</f>
        <v/>
      </c>
      <c r="S36" s="7">
        <f>'1 datos preparados'!R29</f>
        <v/>
      </c>
      <c r="T36" s="7">
        <f>'1 datos preparados'!S29</f>
        <v/>
      </c>
      <c r="U36" s="7">
        <f>'1 datos preparados'!T29</f>
        <v/>
      </c>
      <c r="V36" s="8">
        <f>$AC$12+D36*$AC$13+E36*$AC$14+F36*$AC$15+G36*$AC$16+H36*$AC$17+I36*$AC$18+J36*$AC$19+K36*$AC$20+L36*$AC$21+M36*$AC$22+N36*$AC$23+O36*$AC$24+P36*$AC$25+Q36*$AC$26+R36*$AC$27+S36*$AC$28+T36*$AC$29+U36*$AC$30</f>
        <v/>
      </c>
      <c r="W36" s="8">
        <f>1/(1+EXP(-V36))</f>
        <v/>
      </c>
      <c r="X36" s="9">
        <f>-IF(C36=1,LN(W36),LN(1-W36))</f>
        <v/>
      </c>
      <c r="Y36" s="10">
        <f>IF(W36&gt;$AC$34,1,0)</f>
        <v/>
      </c>
      <c r="Z36">
        <f>IF(Y36=C36,1,0)</f>
        <v/>
      </c>
      <c r="AB36" s="3" t="inlineStr">
        <is>
          <t>RESULTADOS</t>
        </is>
      </c>
    </row>
    <row r="37">
      <c r="A37">
        <f>'1 datos preparados'!A30</f>
        <v/>
      </c>
      <c r="B37" s="5">
        <f>'1 datos preparados'!U30</f>
        <v/>
      </c>
      <c r="C37">
        <f>'1 datos preparados'!B30</f>
        <v/>
      </c>
      <c r="D37" s="7">
        <f>'1 datos preparados'!C30</f>
        <v/>
      </c>
      <c r="E37" s="7">
        <f>'1 datos preparados'!D30</f>
        <v/>
      </c>
      <c r="F37" s="7">
        <f>'1 datos preparados'!E30</f>
        <v/>
      </c>
      <c r="G37" s="7">
        <f>'1 datos preparados'!F30</f>
        <v/>
      </c>
      <c r="H37" s="7">
        <f>'1 datos preparados'!G30</f>
        <v/>
      </c>
      <c r="I37" s="7">
        <f>'1 datos preparados'!H30</f>
        <v/>
      </c>
      <c r="J37" s="7">
        <f>'1 datos preparados'!I30</f>
        <v/>
      </c>
      <c r="K37" s="7">
        <f>'1 datos preparados'!J30</f>
        <v/>
      </c>
      <c r="L37" s="7">
        <f>'1 datos preparados'!K30</f>
        <v/>
      </c>
      <c r="M37" s="7">
        <f>'1 datos preparados'!L30</f>
        <v/>
      </c>
      <c r="N37" s="7">
        <f>'1 datos preparados'!M30</f>
        <v/>
      </c>
      <c r="O37" s="7">
        <f>'1 datos preparados'!N30</f>
        <v/>
      </c>
      <c r="P37" s="7">
        <f>'1 datos preparados'!O30</f>
        <v/>
      </c>
      <c r="Q37" s="7">
        <f>'1 datos preparados'!P30</f>
        <v/>
      </c>
      <c r="R37" s="7">
        <f>'1 datos preparados'!Q30</f>
        <v/>
      </c>
      <c r="S37" s="7">
        <f>'1 datos preparados'!R30</f>
        <v/>
      </c>
      <c r="T37" s="7">
        <f>'1 datos preparados'!S30</f>
        <v/>
      </c>
      <c r="U37" s="7">
        <f>'1 datos preparados'!T30</f>
        <v/>
      </c>
      <c r="V37" s="8">
        <f>$AC$12+D37*$AC$13+E37*$AC$14+F37*$AC$15+G37*$AC$16+H37*$AC$17+I37*$AC$18+J37*$AC$19+K37*$AC$20+L37*$AC$21+M37*$AC$22+N37*$AC$23+O37*$AC$24+P37*$AC$25+Q37*$AC$26+R37*$AC$27+S37*$AC$28+T37*$AC$29+U37*$AC$30</f>
        <v/>
      </c>
      <c r="W37" s="8">
        <f>1/(1+EXP(-V37))</f>
        <v/>
      </c>
      <c r="X37" s="9">
        <f>-IF(C37=1,LN(W37),LN(1-W37))</f>
        <v/>
      </c>
      <c r="Y37" s="10">
        <f>IF(W37&gt;$AC$34,1,0)</f>
        <v/>
      </c>
      <c r="Z37">
        <f>IF(Y37=C37,1,0)</f>
        <v/>
      </c>
      <c r="AB37" t="inlineStr">
        <is>
          <t>suma de pérdidas en training</t>
        </is>
      </c>
      <c r="AC37" s="17">
        <f>SUMPRODUCT(($B$12:$B$1011="training")*$X$12:$X$1011)</f>
        <v/>
      </c>
    </row>
    <row r="38">
      <c r="A38">
        <f>'1 datos preparados'!A31</f>
        <v/>
      </c>
      <c r="B38" s="5">
        <f>'1 datos preparados'!U31</f>
        <v/>
      </c>
      <c r="C38">
        <f>'1 datos preparados'!B31</f>
        <v/>
      </c>
      <c r="D38" s="7">
        <f>'1 datos preparados'!C31</f>
        <v/>
      </c>
      <c r="E38" s="7">
        <f>'1 datos preparados'!D31</f>
        <v/>
      </c>
      <c r="F38" s="7">
        <f>'1 datos preparados'!E31</f>
        <v/>
      </c>
      <c r="G38" s="7">
        <f>'1 datos preparados'!F31</f>
        <v/>
      </c>
      <c r="H38" s="7">
        <f>'1 datos preparados'!G31</f>
        <v/>
      </c>
      <c r="I38" s="7">
        <f>'1 datos preparados'!H31</f>
        <v/>
      </c>
      <c r="J38" s="7">
        <f>'1 datos preparados'!I31</f>
        <v/>
      </c>
      <c r="K38" s="7">
        <f>'1 datos preparados'!J31</f>
        <v/>
      </c>
      <c r="L38" s="7">
        <f>'1 datos preparados'!K31</f>
        <v/>
      </c>
      <c r="M38" s="7">
        <f>'1 datos preparados'!L31</f>
        <v/>
      </c>
      <c r="N38" s="7">
        <f>'1 datos preparados'!M31</f>
        <v/>
      </c>
      <c r="O38" s="7">
        <f>'1 datos preparados'!N31</f>
        <v/>
      </c>
      <c r="P38" s="7">
        <f>'1 datos preparados'!O31</f>
        <v/>
      </c>
      <c r="Q38" s="7">
        <f>'1 datos preparados'!P31</f>
        <v/>
      </c>
      <c r="R38" s="7">
        <f>'1 datos preparados'!Q31</f>
        <v/>
      </c>
      <c r="S38" s="7">
        <f>'1 datos preparados'!R31</f>
        <v/>
      </c>
      <c r="T38" s="7">
        <f>'1 datos preparados'!S31</f>
        <v/>
      </c>
      <c r="U38" s="7">
        <f>'1 datos preparados'!T31</f>
        <v/>
      </c>
      <c r="V38" s="8">
        <f>$AC$12+D38*$AC$13+E38*$AC$14+F38*$AC$15+G38*$AC$16+H38*$AC$17+I38*$AC$18+J38*$AC$19+K38*$AC$20+L38*$AC$21+M38*$AC$22+N38*$AC$23+O38*$AC$24+P38*$AC$25+Q38*$AC$26+R38*$AC$27+S38*$AC$28+T38*$AC$29+U38*$AC$30</f>
        <v/>
      </c>
      <c r="W38" s="8">
        <f>1/(1+EXP(-V38))</f>
        <v/>
      </c>
      <c r="X38" s="9">
        <f>-IF(C38=1,LN(W38),LN(1-W38))</f>
        <v/>
      </c>
      <c r="Y38" s="10">
        <f>IF(W38&gt;$AC$34,1,0)</f>
        <v/>
      </c>
      <c r="Z38">
        <f>IF(Y38=C38,1,0)</f>
        <v/>
      </c>
      <c r="AB38" t="inlineStr">
        <is>
          <t>penalización elastic net = λ · [α Σ|theta| + (1 − α)/2 Σ theta²]</t>
        </is>
      </c>
      <c r="AC38" s="18">
        <f>$AC$32*($AC$33*SUM($AE$13:$AE$30)+(1-$AC$33)/2*SUM($AF$13:$AF$30))</f>
        <v/>
      </c>
    </row>
    <row r="39">
      <c r="A39">
        <f>'1 datos preparados'!A32</f>
        <v/>
      </c>
      <c r="B39" s="5">
        <f>'1 datos preparados'!U32</f>
        <v/>
      </c>
      <c r="C39">
        <f>'1 datos preparados'!B32</f>
        <v/>
      </c>
      <c r="D39" s="7">
        <f>'1 datos preparados'!C32</f>
        <v/>
      </c>
      <c r="E39" s="7">
        <f>'1 datos preparados'!D32</f>
        <v/>
      </c>
      <c r="F39" s="7">
        <f>'1 datos preparados'!E32</f>
        <v/>
      </c>
      <c r="G39" s="7">
        <f>'1 datos preparados'!F32</f>
        <v/>
      </c>
      <c r="H39" s="7">
        <f>'1 datos preparados'!G32</f>
        <v/>
      </c>
      <c r="I39" s="7">
        <f>'1 datos preparados'!H32</f>
        <v/>
      </c>
      <c r="J39" s="7">
        <f>'1 datos preparados'!I32</f>
        <v/>
      </c>
      <c r="K39" s="7">
        <f>'1 datos preparados'!J32</f>
        <v/>
      </c>
      <c r="L39" s="7">
        <f>'1 datos preparados'!K32</f>
        <v/>
      </c>
      <c r="M39" s="7">
        <f>'1 datos preparados'!L32</f>
        <v/>
      </c>
      <c r="N39" s="7">
        <f>'1 datos preparados'!M32</f>
        <v/>
      </c>
      <c r="O39" s="7">
        <f>'1 datos preparados'!N32</f>
        <v/>
      </c>
      <c r="P39" s="7">
        <f>'1 datos preparados'!O32</f>
        <v/>
      </c>
      <c r="Q39" s="7">
        <f>'1 datos preparados'!P32</f>
        <v/>
      </c>
      <c r="R39" s="7">
        <f>'1 datos preparados'!Q32</f>
        <v/>
      </c>
      <c r="S39" s="7">
        <f>'1 datos preparados'!R32</f>
        <v/>
      </c>
      <c r="T39" s="7">
        <f>'1 datos preparados'!S32</f>
        <v/>
      </c>
      <c r="U39" s="7">
        <f>'1 datos preparados'!T32</f>
        <v/>
      </c>
      <c r="V39" s="8">
        <f>$AC$12+D39*$AC$13+E39*$AC$14+F39*$AC$15+G39*$AC$16+H39*$AC$17+I39*$AC$18+J39*$AC$19+K39*$AC$20+L39*$AC$21+M39*$AC$22+N39*$AC$23+O39*$AC$24+P39*$AC$25+Q39*$AC$26+R39*$AC$27+S39*$AC$28+T39*$AC$29+U39*$AC$30</f>
        <v/>
      </c>
      <c r="W39" s="8">
        <f>1/(1+EXP(-V39))</f>
        <v/>
      </c>
      <c r="X39" s="9">
        <f>-IF(C39=1,LN(W39),LN(1-W39))</f>
        <v/>
      </c>
      <c r="Y39" s="10">
        <f>IF(W39&gt;$AC$34,1,0)</f>
        <v/>
      </c>
      <c r="Z39">
        <f>IF(Y39=C39,1,0)</f>
        <v/>
      </c>
      <c r="AB39" t="inlineStr">
        <is>
          <t>J = suma de pérdidas + penalización (OBJETIVO DE SOLVER)</t>
        </is>
      </c>
      <c r="AC39" s="17">
        <f>AC37+AC38</f>
        <v/>
      </c>
    </row>
    <row r="40">
      <c r="A40">
        <f>'1 datos preparados'!A33</f>
        <v/>
      </c>
      <c r="B40" s="5">
        <f>'1 datos preparados'!U33</f>
        <v/>
      </c>
      <c r="C40">
        <f>'1 datos preparados'!B33</f>
        <v/>
      </c>
      <c r="D40" s="7">
        <f>'1 datos preparados'!C33</f>
        <v/>
      </c>
      <c r="E40" s="7">
        <f>'1 datos preparados'!D33</f>
        <v/>
      </c>
      <c r="F40" s="7">
        <f>'1 datos preparados'!E33</f>
        <v/>
      </c>
      <c r="G40" s="7">
        <f>'1 datos preparados'!F33</f>
        <v/>
      </c>
      <c r="H40" s="7">
        <f>'1 datos preparados'!G33</f>
        <v/>
      </c>
      <c r="I40" s="7">
        <f>'1 datos preparados'!H33</f>
        <v/>
      </c>
      <c r="J40" s="7">
        <f>'1 datos preparados'!I33</f>
        <v/>
      </c>
      <c r="K40" s="7">
        <f>'1 datos preparados'!J33</f>
        <v/>
      </c>
      <c r="L40" s="7">
        <f>'1 datos preparados'!K33</f>
        <v/>
      </c>
      <c r="M40" s="7">
        <f>'1 datos preparados'!L33</f>
        <v/>
      </c>
      <c r="N40" s="7">
        <f>'1 datos preparados'!M33</f>
        <v/>
      </c>
      <c r="O40" s="7">
        <f>'1 datos preparados'!N33</f>
        <v/>
      </c>
      <c r="P40" s="7">
        <f>'1 datos preparados'!O33</f>
        <v/>
      </c>
      <c r="Q40" s="7">
        <f>'1 datos preparados'!P33</f>
        <v/>
      </c>
      <c r="R40" s="7">
        <f>'1 datos preparados'!Q33</f>
        <v/>
      </c>
      <c r="S40" s="7">
        <f>'1 datos preparados'!R33</f>
        <v/>
      </c>
      <c r="T40" s="7">
        <f>'1 datos preparados'!S33</f>
        <v/>
      </c>
      <c r="U40" s="7">
        <f>'1 datos preparados'!T33</f>
        <v/>
      </c>
      <c r="V40" s="8">
        <f>$AC$12+D40*$AC$13+E40*$AC$14+F40*$AC$15+G40*$AC$16+H40*$AC$17+I40*$AC$18+J40*$AC$19+K40*$AC$20+L40*$AC$21+M40*$AC$22+N40*$AC$23+O40*$AC$24+P40*$AC$25+Q40*$AC$26+R40*$AC$27+S40*$AC$28+T40*$AC$29+U40*$AC$30</f>
        <v/>
      </c>
      <c r="W40" s="8">
        <f>1/(1+EXP(-V40))</f>
        <v/>
      </c>
      <c r="X40" s="9">
        <f>-IF(C40=1,LN(W40),LN(1-W40))</f>
        <v/>
      </c>
      <c r="Y40" s="10">
        <f>IF(W40&gt;$AC$34,1,0)</f>
        <v/>
      </c>
      <c r="Z40">
        <f>IF(Y40=C40,1,0)</f>
        <v/>
      </c>
      <c r="AB40" t="inlineStr">
        <is>
          <t>pérdida promedio training</t>
        </is>
      </c>
      <c r="AC40" s="19">
        <f>AC37/COUNTIF($B$12:$B$1011,"training")</f>
        <v/>
      </c>
    </row>
    <row r="41">
      <c r="A41">
        <f>'1 datos preparados'!A34</f>
        <v/>
      </c>
      <c r="B41" s="5">
        <f>'1 datos preparados'!U34</f>
        <v/>
      </c>
      <c r="C41">
        <f>'1 datos preparados'!B34</f>
        <v/>
      </c>
      <c r="D41" s="7">
        <f>'1 datos preparados'!C34</f>
        <v/>
      </c>
      <c r="E41" s="7">
        <f>'1 datos preparados'!D34</f>
        <v/>
      </c>
      <c r="F41" s="7">
        <f>'1 datos preparados'!E34</f>
        <v/>
      </c>
      <c r="G41" s="7">
        <f>'1 datos preparados'!F34</f>
        <v/>
      </c>
      <c r="H41" s="7">
        <f>'1 datos preparados'!G34</f>
        <v/>
      </c>
      <c r="I41" s="7">
        <f>'1 datos preparados'!H34</f>
        <v/>
      </c>
      <c r="J41" s="7">
        <f>'1 datos preparados'!I34</f>
        <v/>
      </c>
      <c r="K41" s="7">
        <f>'1 datos preparados'!J34</f>
        <v/>
      </c>
      <c r="L41" s="7">
        <f>'1 datos preparados'!K34</f>
        <v/>
      </c>
      <c r="M41" s="7">
        <f>'1 datos preparados'!L34</f>
        <v/>
      </c>
      <c r="N41" s="7">
        <f>'1 datos preparados'!M34</f>
        <v/>
      </c>
      <c r="O41" s="7">
        <f>'1 datos preparados'!N34</f>
        <v/>
      </c>
      <c r="P41" s="7">
        <f>'1 datos preparados'!O34</f>
        <v/>
      </c>
      <c r="Q41" s="7">
        <f>'1 datos preparados'!P34</f>
        <v/>
      </c>
      <c r="R41" s="7">
        <f>'1 datos preparados'!Q34</f>
        <v/>
      </c>
      <c r="S41" s="7">
        <f>'1 datos preparados'!R34</f>
        <v/>
      </c>
      <c r="T41" s="7">
        <f>'1 datos preparados'!S34</f>
        <v/>
      </c>
      <c r="U41" s="7">
        <f>'1 datos preparados'!T34</f>
        <v/>
      </c>
      <c r="V41" s="8">
        <f>$AC$12+D41*$AC$13+E41*$AC$14+F41*$AC$15+G41*$AC$16+H41*$AC$17+I41*$AC$18+J41*$AC$19+K41*$AC$20+L41*$AC$21+M41*$AC$22+N41*$AC$23+O41*$AC$24+P41*$AC$25+Q41*$AC$26+R41*$AC$27+S41*$AC$28+T41*$AC$29+U41*$AC$30</f>
        <v/>
      </c>
      <c r="W41" s="8">
        <f>1/(1+EXP(-V41))</f>
        <v/>
      </c>
      <c r="X41" s="9">
        <f>-IF(C41=1,LN(W41),LN(1-W41))</f>
        <v/>
      </c>
      <c r="Y41" s="10">
        <f>IF(W41&gt;$AC$34,1,0)</f>
        <v/>
      </c>
      <c r="Z41">
        <f>IF(Y41=C41,1,0)</f>
        <v/>
      </c>
      <c r="AB41" t="inlineStr">
        <is>
          <t>pérdida promedio testing</t>
        </is>
      </c>
      <c r="AC41" s="19">
        <f>SUMPRODUCT(($B$12:$B$1011="testing")*$X$12:$X$1011)/COUNTIF($B$12:$B$1011,"testing")</f>
        <v/>
      </c>
    </row>
    <row r="42">
      <c r="A42">
        <f>'1 datos preparados'!A35</f>
        <v/>
      </c>
      <c r="B42" s="5">
        <f>'1 datos preparados'!U35</f>
        <v/>
      </c>
      <c r="C42">
        <f>'1 datos preparados'!B35</f>
        <v/>
      </c>
      <c r="D42" s="7">
        <f>'1 datos preparados'!C35</f>
        <v/>
      </c>
      <c r="E42" s="7">
        <f>'1 datos preparados'!D35</f>
        <v/>
      </c>
      <c r="F42" s="7">
        <f>'1 datos preparados'!E35</f>
        <v/>
      </c>
      <c r="G42" s="7">
        <f>'1 datos preparados'!F35</f>
        <v/>
      </c>
      <c r="H42" s="7">
        <f>'1 datos preparados'!G35</f>
        <v/>
      </c>
      <c r="I42" s="7">
        <f>'1 datos preparados'!H35</f>
        <v/>
      </c>
      <c r="J42" s="7">
        <f>'1 datos preparados'!I35</f>
        <v/>
      </c>
      <c r="K42" s="7">
        <f>'1 datos preparados'!J35</f>
        <v/>
      </c>
      <c r="L42" s="7">
        <f>'1 datos preparados'!K35</f>
        <v/>
      </c>
      <c r="M42" s="7">
        <f>'1 datos preparados'!L35</f>
        <v/>
      </c>
      <c r="N42" s="7">
        <f>'1 datos preparados'!M35</f>
        <v/>
      </c>
      <c r="O42" s="7">
        <f>'1 datos preparados'!N35</f>
        <v/>
      </c>
      <c r="P42" s="7">
        <f>'1 datos preparados'!O35</f>
        <v/>
      </c>
      <c r="Q42" s="7">
        <f>'1 datos preparados'!P35</f>
        <v/>
      </c>
      <c r="R42" s="7">
        <f>'1 datos preparados'!Q35</f>
        <v/>
      </c>
      <c r="S42" s="7">
        <f>'1 datos preparados'!R35</f>
        <v/>
      </c>
      <c r="T42" s="7">
        <f>'1 datos preparados'!S35</f>
        <v/>
      </c>
      <c r="U42" s="7">
        <f>'1 datos preparados'!T35</f>
        <v/>
      </c>
      <c r="V42" s="8">
        <f>$AC$12+D42*$AC$13+E42*$AC$14+F42*$AC$15+G42*$AC$16+H42*$AC$17+I42*$AC$18+J42*$AC$19+K42*$AC$20+L42*$AC$21+M42*$AC$22+N42*$AC$23+O42*$AC$24+P42*$AC$25+Q42*$AC$26+R42*$AC$27+S42*$AC$28+T42*$AC$29+U42*$AC$30</f>
        <v/>
      </c>
      <c r="W42" s="8">
        <f>1/(1+EXP(-V42))</f>
        <v/>
      </c>
      <c r="X42" s="9">
        <f>-IF(C42=1,LN(W42),LN(1-W42))</f>
        <v/>
      </c>
      <c r="Y42" s="10">
        <f>IF(W42&gt;$AC$34,1,0)</f>
        <v/>
      </c>
      <c r="Z42">
        <f>IF(Y42=C42,1,0)</f>
        <v/>
      </c>
      <c r="AB42" t="inlineStr">
        <is>
          <t>acierto testing</t>
        </is>
      </c>
      <c r="AC42" s="20">
        <f>SUMPRODUCT(($B$12:$B$1011="testing")*$Z$12:$Z$1011)/COUNTIF($B$12:$B$1011,"testing")</f>
        <v/>
      </c>
    </row>
    <row r="43">
      <c r="A43">
        <f>'1 datos preparados'!A36</f>
        <v/>
      </c>
      <c r="B43" s="5">
        <f>'1 datos preparados'!U36</f>
        <v/>
      </c>
      <c r="C43">
        <f>'1 datos preparados'!B36</f>
        <v/>
      </c>
      <c r="D43" s="7">
        <f>'1 datos preparados'!C36</f>
        <v/>
      </c>
      <c r="E43" s="7">
        <f>'1 datos preparados'!D36</f>
        <v/>
      </c>
      <c r="F43" s="7">
        <f>'1 datos preparados'!E36</f>
        <v/>
      </c>
      <c r="G43" s="7">
        <f>'1 datos preparados'!F36</f>
        <v/>
      </c>
      <c r="H43" s="7">
        <f>'1 datos preparados'!G36</f>
        <v/>
      </c>
      <c r="I43" s="7">
        <f>'1 datos preparados'!H36</f>
        <v/>
      </c>
      <c r="J43" s="7">
        <f>'1 datos preparados'!I36</f>
        <v/>
      </c>
      <c r="K43" s="7">
        <f>'1 datos preparados'!J36</f>
        <v/>
      </c>
      <c r="L43" s="7">
        <f>'1 datos preparados'!K36</f>
        <v/>
      </c>
      <c r="M43" s="7">
        <f>'1 datos preparados'!L36</f>
        <v/>
      </c>
      <c r="N43" s="7">
        <f>'1 datos preparados'!M36</f>
        <v/>
      </c>
      <c r="O43" s="7">
        <f>'1 datos preparados'!N36</f>
        <v/>
      </c>
      <c r="P43" s="7">
        <f>'1 datos preparados'!O36</f>
        <v/>
      </c>
      <c r="Q43" s="7">
        <f>'1 datos preparados'!P36</f>
        <v/>
      </c>
      <c r="R43" s="7">
        <f>'1 datos preparados'!Q36</f>
        <v/>
      </c>
      <c r="S43" s="7">
        <f>'1 datos preparados'!R36</f>
        <v/>
      </c>
      <c r="T43" s="7">
        <f>'1 datos preparados'!S36</f>
        <v/>
      </c>
      <c r="U43" s="7">
        <f>'1 datos preparados'!T36</f>
        <v/>
      </c>
      <c r="V43" s="8">
        <f>$AC$12+D43*$AC$13+E43*$AC$14+F43*$AC$15+G43*$AC$16+H43*$AC$17+I43*$AC$18+J43*$AC$19+K43*$AC$20+L43*$AC$21+M43*$AC$22+N43*$AC$23+O43*$AC$24+P43*$AC$25+Q43*$AC$26+R43*$AC$27+S43*$AC$28+T43*$AC$29+U43*$AC$30</f>
        <v/>
      </c>
      <c r="W43" s="8">
        <f>1/(1+EXP(-V43))</f>
        <v/>
      </c>
      <c r="X43" s="9">
        <f>-IF(C43=1,LN(W43),LN(1-W43))</f>
        <v/>
      </c>
      <c r="Y43" s="10">
        <f>IF(W43&gt;$AC$34,1,0)</f>
        <v/>
      </c>
      <c r="Z43">
        <f>IF(Y43=C43,1,0)</f>
        <v/>
      </c>
      <c r="AB43" t="inlineStr">
        <is>
          <t>pesos (sin intercepto) con |theta| &lt; 0,01</t>
        </is>
      </c>
      <c r="AC43" s="21">
        <f>COUNTIF(AC13:AC30,"&lt;0.01")-COUNTIF(AC13:AC30,"&lt;-0.01")</f>
        <v/>
      </c>
    </row>
    <row r="44">
      <c r="A44">
        <f>'1 datos preparados'!A37</f>
        <v/>
      </c>
      <c r="B44" s="5">
        <f>'1 datos preparados'!U37</f>
        <v/>
      </c>
      <c r="C44">
        <f>'1 datos preparados'!B37</f>
        <v/>
      </c>
      <c r="D44" s="7">
        <f>'1 datos preparados'!C37</f>
        <v/>
      </c>
      <c r="E44" s="7">
        <f>'1 datos preparados'!D37</f>
        <v/>
      </c>
      <c r="F44" s="7">
        <f>'1 datos preparados'!E37</f>
        <v/>
      </c>
      <c r="G44" s="7">
        <f>'1 datos preparados'!F37</f>
        <v/>
      </c>
      <c r="H44" s="7">
        <f>'1 datos preparados'!G37</f>
        <v/>
      </c>
      <c r="I44" s="7">
        <f>'1 datos preparados'!H37</f>
        <v/>
      </c>
      <c r="J44" s="7">
        <f>'1 datos preparados'!I37</f>
        <v/>
      </c>
      <c r="K44" s="7">
        <f>'1 datos preparados'!J37</f>
        <v/>
      </c>
      <c r="L44" s="7">
        <f>'1 datos preparados'!K37</f>
        <v/>
      </c>
      <c r="M44" s="7">
        <f>'1 datos preparados'!L37</f>
        <v/>
      </c>
      <c r="N44" s="7">
        <f>'1 datos preparados'!M37</f>
        <v/>
      </c>
      <c r="O44" s="7">
        <f>'1 datos preparados'!N37</f>
        <v/>
      </c>
      <c r="P44" s="7">
        <f>'1 datos preparados'!O37</f>
        <v/>
      </c>
      <c r="Q44" s="7">
        <f>'1 datos preparados'!P37</f>
        <v/>
      </c>
      <c r="R44" s="7">
        <f>'1 datos preparados'!Q37</f>
        <v/>
      </c>
      <c r="S44" s="7">
        <f>'1 datos preparados'!R37</f>
        <v/>
      </c>
      <c r="T44" s="7">
        <f>'1 datos preparados'!S37</f>
        <v/>
      </c>
      <c r="U44" s="7">
        <f>'1 datos preparados'!T37</f>
        <v/>
      </c>
      <c r="V44" s="8">
        <f>$AC$12+D44*$AC$13+E44*$AC$14+F44*$AC$15+G44*$AC$16+H44*$AC$17+I44*$AC$18+J44*$AC$19+K44*$AC$20+L44*$AC$21+M44*$AC$22+N44*$AC$23+O44*$AC$24+P44*$AC$25+Q44*$AC$26+R44*$AC$27+S44*$AC$28+T44*$AC$29+U44*$AC$30</f>
        <v/>
      </c>
      <c r="W44" s="8">
        <f>1/(1+EXP(-V44))</f>
        <v/>
      </c>
      <c r="X44" s="9">
        <f>-IF(C44=1,LN(W44),LN(1-W44))</f>
        <v/>
      </c>
      <c r="Y44" s="10">
        <f>IF(W44&gt;$AC$34,1,0)</f>
        <v/>
      </c>
      <c r="Z44">
        <f>IF(Y44=C44,1,0)</f>
        <v/>
      </c>
      <c r="AB44" t="inlineStr">
        <is>
          <t>referencia scikit-learn (λ = 10): J</t>
        </is>
      </c>
      <c r="AC44" s="22" t="n">
        <v>389.234983705933</v>
      </c>
    </row>
    <row r="45">
      <c r="A45">
        <f>'1 datos preparados'!A38</f>
        <v/>
      </c>
      <c r="B45" s="5">
        <f>'1 datos preparados'!U38</f>
        <v/>
      </c>
      <c r="C45">
        <f>'1 datos preparados'!B38</f>
        <v/>
      </c>
      <c r="D45" s="7">
        <f>'1 datos preparados'!C38</f>
        <v/>
      </c>
      <c r="E45" s="7">
        <f>'1 datos preparados'!D38</f>
        <v/>
      </c>
      <c r="F45" s="7">
        <f>'1 datos preparados'!E38</f>
        <v/>
      </c>
      <c r="G45" s="7">
        <f>'1 datos preparados'!F38</f>
        <v/>
      </c>
      <c r="H45" s="7">
        <f>'1 datos preparados'!G38</f>
        <v/>
      </c>
      <c r="I45" s="7">
        <f>'1 datos preparados'!H38</f>
        <v/>
      </c>
      <c r="J45" s="7">
        <f>'1 datos preparados'!I38</f>
        <v/>
      </c>
      <c r="K45" s="7">
        <f>'1 datos preparados'!J38</f>
        <v/>
      </c>
      <c r="L45" s="7">
        <f>'1 datos preparados'!K38</f>
        <v/>
      </c>
      <c r="M45" s="7">
        <f>'1 datos preparados'!L38</f>
        <v/>
      </c>
      <c r="N45" s="7">
        <f>'1 datos preparados'!M38</f>
        <v/>
      </c>
      <c r="O45" s="7">
        <f>'1 datos preparados'!N38</f>
        <v/>
      </c>
      <c r="P45" s="7">
        <f>'1 datos preparados'!O38</f>
        <v/>
      </c>
      <c r="Q45" s="7">
        <f>'1 datos preparados'!P38</f>
        <v/>
      </c>
      <c r="R45" s="7">
        <f>'1 datos preparados'!Q38</f>
        <v/>
      </c>
      <c r="S45" s="7">
        <f>'1 datos preparados'!R38</f>
        <v/>
      </c>
      <c r="T45" s="7">
        <f>'1 datos preparados'!S38</f>
        <v/>
      </c>
      <c r="U45" s="7">
        <f>'1 datos preparados'!T38</f>
        <v/>
      </c>
      <c r="V45" s="8">
        <f>$AC$12+D45*$AC$13+E45*$AC$14+F45*$AC$15+G45*$AC$16+H45*$AC$17+I45*$AC$18+J45*$AC$19+K45*$AC$20+L45*$AC$21+M45*$AC$22+N45*$AC$23+O45*$AC$24+P45*$AC$25+Q45*$AC$26+R45*$AC$27+S45*$AC$28+T45*$AC$29+U45*$AC$30</f>
        <v/>
      </c>
      <c r="W45" s="8">
        <f>1/(1+EXP(-V45))</f>
        <v/>
      </c>
      <c r="X45" s="9">
        <f>-IF(C45=1,LN(W45),LN(1-W45))</f>
        <v/>
      </c>
      <c r="Y45" s="10">
        <f>IF(W45&gt;$AC$34,1,0)</f>
        <v/>
      </c>
      <c r="Z45">
        <f>IF(Y45=C45,1,0)</f>
        <v/>
      </c>
      <c r="AB45" t="inlineStr">
        <is>
          <t>referencia scikit-learn (λ = 10): pérdida promedio testing</t>
        </is>
      </c>
      <c r="AC45" s="12" t="n">
        <v>0.4952635365039805</v>
      </c>
    </row>
    <row r="46">
      <c r="A46">
        <f>'1 datos preparados'!A39</f>
        <v/>
      </c>
      <c r="B46" s="5">
        <f>'1 datos preparados'!U39</f>
        <v/>
      </c>
      <c r="C46">
        <f>'1 datos preparados'!B39</f>
        <v/>
      </c>
      <c r="D46" s="7">
        <f>'1 datos preparados'!C39</f>
        <v/>
      </c>
      <c r="E46" s="7">
        <f>'1 datos preparados'!D39</f>
        <v/>
      </c>
      <c r="F46" s="7">
        <f>'1 datos preparados'!E39</f>
        <v/>
      </c>
      <c r="G46" s="7">
        <f>'1 datos preparados'!F39</f>
        <v/>
      </c>
      <c r="H46" s="7">
        <f>'1 datos preparados'!G39</f>
        <v/>
      </c>
      <c r="I46" s="7">
        <f>'1 datos preparados'!H39</f>
        <v/>
      </c>
      <c r="J46" s="7">
        <f>'1 datos preparados'!I39</f>
        <v/>
      </c>
      <c r="K46" s="7">
        <f>'1 datos preparados'!J39</f>
        <v/>
      </c>
      <c r="L46" s="7">
        <f>'1 datos preparados'!K39</f>
        <v/>
      </c>
      <c r="M46" s="7">
        <f>'1 datos preparados'!L39</f>
        <v/>
      </c>
      <c r="N46" s="7">
        <f>'1 datos preparados'!M39</f>
        <v/>
      </c>
      <c r="O46" s="7">
        <f>'1 datos preparados'!N39</f>
        <v/>
      </c>
      <c r="P46" s="7">
        <f>'1 datos preparados'!O39</f>
        <v/>
      </c>
      <c r="Q46" s="7">
        <f>'1 datos preparados'!P39</f>
        <v/>
      </c>
      <c r="R46" s="7">
        <f>'1 datos preparados'!Q39</f>
        <v/>
      </c>
      <c r="S46" s="7">
        <f>'1 datos preparados'!R39</f>
        <v/>
      </c>
      <c r="T46" s="7">
        <f>'1 datos preparados'!S39</f>
        <v/>
      </c>
      <c r="U46" s="7">
        <f>'1 datos preparados'!T39</f>
        <v/>
      </c>
      <c r="V46" s="8">
        <f>$AC$12+D46*$AC$13+E46*$AC$14+F46*$AC$15+G46*$AC$16+H46*$AC$17+I46*$AC$18+J46*$AC$19+K46*$AC$20+L46*$AC$21+M46*$AC$22+N46*$AC$23+O46*$AC$24+P46*$AC$25+Q46*$AC$26+R46*$AC$27+S46*$AC$28+T46*$AC$29+U46*$AC$30</f>
        <v/>
      </c>
      <c r="W46" s="8">
        <f>1/(1+EXP(-V46))</f>
        <v/>
      </c>
      <c r="X46" s="9">
        <f>-IF(C46=1,LN(W46),LN(1-W46))</f>
        <v/>
      </c>
      <c r="Y46" s="10">
        <f>IF(W46&gt;$AC$34,1,0)</f>
        <v/>
      </c>
      <c r="Z46">
        <f>IF(Y46=C46,1,0)</f>
        <v/>
      </c>
      <c r="AB46" t="inlineStr">
        <is>
          <t>referencia scikit-learn (λ = 10): pesos en cero</t>
        </is>
      </c>
      <c r="AC46" s="23" t="n">
        <v>7</v>
      </c>
    </row>
    <row r="47">
      <c r="A47">
        <f>'1 datos preparados'!A40</f>
        <v/>
      </c>
      <c r="B47" s="5">
        <f>'1 datos preparados'!U40</f>
        <v/>
      </c>
      <c r="C47">
        <f>'1 datos preparados'!B40</f>
        <v/>
      </c>
      <c r="D47" s="7">
        <f>'1 datos preparados'!C40</f>
        <v/>
      </c>
      <c r="E47" s="7">
        <f>'1 datos preparados'!D40</f>
        <v/>
      </c>
      <c r="F47" s="7">
        <f>'1 datos preparados'!E40</f>
        <v/>
      </c>
      <c r="G47" s="7">
        <f>'1 datos preparados'!F40</f>
        <v/>
      </c>
      <c r="H47" s="7">
        <f>'1 datos preparados'!G40</f>
        <v/>
      </c>
      <c r="I47" s="7">
        <f>'1 datos preparados'!H40</f>
        <v/>
      </c>
      <c r="J47" s="7">
        <f>'1 datos preparados'!I40</f>
        <v/>
      </c>
      <c r="K47" s="7">
        <f>'1 datos preparados'!J40</f>
        <v/>
      </c>
      <c r="L47" s="7">
        <f>'1 datos preparados'!K40</f>
        <v/>
      </c>
      <c r="M47" s="7">
        <f>'1 datos preparados'!L40</f>
        <v/>
      </c>
      <c r="N47" s="7">
        <f>'1 datos preparados'!M40</f>
        <v/>
      </c>
      <c r="O47" s="7">
        <f>'1 datos preparados'!N40</f>
        <v/>
      </c>
      <c r="P47" s="7">
        <f>'1 datos preparados'!O40</f>
        <v/>
      </c>
      <c r="Q47" s="7">
        <f>'1 datos preparados'!P40</f>
        <v/>
      </c>
      <c r="R47" s="7">
        <f>'1 datos preparados'!Q40</f>
        <v/>
      </c>
      <c r="S47" s="7">
        <f>'1 datos preparados'!R40</f>
        <v/>
      </c>
      <c r="T47" s="7">
        <f>'1 datos preparados'!S40</f>
        <v/>
      </c>
      <c r="U47" s="7">
        <f>'1 datos preparados'!T40</f>
        <v/>
      </c>
      <c r="V47" s="8">
        <f>$AC$12+D47*$AC$13+E47*$AC$14+F47*$AC$15+G47*$AC$16+H47*$AC$17+I47*$AC$18+J47*$AC$19+K47*$AC$20+L47*$AC$21+M47*$AC$22+N47*$AC$23+O47*$AC$24+P47*$AC$25+Q47*$AC$26+R47*$AC$27+S47*$AC$28+T47*$AC$29+U47*$AC$30</f>
        <v/>
      </c>
      <c r="W47" s="8">
        <f>1/(1+EXP(-V47))</f>
        <v/>
      </c>
      <c r="X47" s="9">
        <f>-IF(C47=1,LN(W47),LN(1-W47))</f>
        <v/>
      </c>
      <c r="Y47" s="10">
        <f>IF(W47&gt;$AC$34,1,0)</f>
        <v/>
      </c>
      <c r="Z47">
        <f>IF(Y47=C47,1,0)</f>
        <v/>
      </c>
      <c r="AB47" t="inlineStr">
        <is>
          <t>referencia sin regularizar (Excel base): pérdida promedio testing</t>
        </is>
      </c>
      <c r="AC47" s="12" t="n">
        <v>0.4690599152735907</v>
      </c>
    </row>
    <row r="48">
      <c r="A48">
        <f>'1 datos preparados'!A41</f>
        <v/>
      </c>
      <c r="B48" s="5">
        <f>'1 datos preparados'!U41</f>
        <v/>
      </c>
      <c r="C48">
        <f>'1 datos preparados'!B41</f>
        <v/>
      </c>
      <c r="D48" s="7">
        <f>'1 datos preparados'!C41</f>
        <v/>
      </c>
      <c r="E48" s="7">
        <f>'1 datos preparados'!D41</f>
        <v/>
      </c>
      <c r="F48" s="7">
        <f>'1 datos preparados'!E41</f>
        <v/>
      </c>
      <c r="G48" s="7">
        <f>'1 datos preparados'!F41</f>
        <v/>
      </c>
      <c r="H48" s="7">
        <f>'1 datos preparados'!G41</f>
        <v/>
      </c>
      <c r="I48" s="7">
        <f>'1 datos preparados'!H41</f>
        <v/>
      </c>
      <c r="J48" s="7">
        <f>'1 datos preparados'!I41</f>
        <v/>
      </c>
      <c r="K48" s="7">
        <f>'1 datos preparados'!J41</f>
        <v/>
      </c>
      <c r="L48" s="7">
        <f>'1 datos preparados'!K41</f>
        <v/>
      </c>
      <c r="M48" s="7">
        <f>'1 datos preparados'!L41</f>
        <v/>
      </c>
      <c r="N48" s="7">
        <f>'1 datos preparados'!M41</f>
        <v/>
      </c>
      <c r="O48" s="7">
        <f>'1 datos preparados'!N41</f>
        <v/>
      </c>
      <c r="P48" s="7">
        <f>'1 datos preparados'!O41</f>
        <v/>
      </c>
      <c r="Q48" s="7">
        <f>'1 datos preparados'!P41</f>
        <v/>
      </c>
      <c r="R48" s="7">
        <f>'1 datos preparados'!Q41</f>
        <v/>
      </c>
      <c r="S48" s="7">
        <f>'1 datos preparados'!R41</f>
        <v/>
      </c>
      <c r="T48" s="7">
        <f>'1 datos preparados'!S41</f>
        <v/>
      </c>
      <c r="U48" s="7">
        <f>'1 datos preparados'!T41</f>
        <v/>
      </c>
      <c r="V48" s="8">
        <f>$AC$12+D48*$AC$13+E48*$AC$14+F48*$AC$15+G48*$AC$16+H48*$AC$17+I48*$AC$18+J48*$AC$19+K48*$AC$20+L48*$AC$21+M48*$AC$22+N48*$AC$23+O48*$AC$24+P48*$AC$25+Q48*$AC$26+R48*$AC$27+S48*$AC$28+T48*$AC$29+U48*$AC$30</f>
        <v/>
      </c>
      <c r="W48" s="8">
        <f>1/(1+EXP(-V48))</f>
        <v/>
      </c>
      <c r="X48" s="9">
        <f>-IF(C48=1,LN(W48),LN(1-W48))</f>
        <v/>
      </c>
      <c r="Y48" s="10">
        <f>IF(W48&gt;$AC$34,1,0)</f>
        <v/>
      </c>
      <c r="Z48">
        <f>IF(Y48=C48,1,0)</f>
        <v/>
      </c>
    </row>
    <row r="49" ht="48" customHeight="1">
      <c r="A49">
        <f>'1 datos preparados'!A42</f>
        <v/>
      </c>
      <c r="B49" s="5">
        <f>'1 datos preparados'!U42</f>
        <v/>
      </c>
      <c r="C49">
        <f>'1 datos preparados'!B42</f>
        <v/>
      </c>
      <c r="D49" s="7">
        <f>'1 datos preparados'!C42</f>
        <v/>
      </c>
      <c r="E49" s="7">
        <f>'1 datos preparados'!D42</f>
        <v/>
      </c>
      <c r="F49" s="7">
        <f>'1 datos preparados'!E42</f>
        <v/>
      </c>
      <c r="G49" s="7">
        <f>'1 datos preparados'!F42</f>
        <v/>
      </c>
      <c r="H49" s="7">
        <f>'1 datos preparados'!G42</f>
        <v/>
      </c>
      <c r="I49" s="7">
        <f>'1 datos preparados'!H42</f>
        <v/>
      </c>
      <c r="J49" s="7">
        <f>'1 datos preparados'!I42</f>
        <v/>
      </c>
      <c r="K49" s="7">
        <f>'1 datos preparados'!J42</f>
        <v/>
      </c>
      <c r="L49" s="7">
        <f>'1 datos preparados'!K42</f>
        <v/>
      </c>
      <c r="M49" s="7">
        <f>'1 datos preparados'!L42</f>
        <v/>
      </c>
      <c r="N49" s="7">
        <f>'1 datos preparados'!M42</f>
        <v/>
      </c>
      <c r="O49" s="7">
        <f>'1 datos preparados'!N42</f>
        <v/>
      </c>
      <c r="P49" s="7">
        <f>'1 datos preparados'!O42</f>
        <v/>
      </c>
      <c r="Q49" s="7">
        <f>'1 datos preparados'!P42</f>
        <v/>
      </c>
      <c r="R49" s="7">
        <f>'1 datos preparados'!Q42</f>
        <v/>
      </c>
      <c r="S49" s="7">
        <f>'1 datos preparados'!R42</f>
        <v/>
      </c>
      <c r="T49" s="7">
        <f>'1 datos preparados'!S42</f>
        <v/>
      </c>
      <c r="U49" s="7">
        <f>'1 datos preparados'!T42</f>
        <v/>
      </c>
      <c r="V49" s="8">
        <f>$AC$12+D49*$AC$13+E49*$AC$14+F49*$AC$15+G49*$AC$16+H49*$AC$17+I49*$AC$18+J49*$AC$19+K49*$AC$20+L49*$AC$21+M49*$AC$22+N49*$AC$23+O49*$AC$24+P49*$AC$25+Q49*$AC$26+R49*$AC$27+S49*$AC$28+T49*$AC$29+U49*$AC$30</f>
        <v/>
      </c>
      <c r="W49" s="8">
        <f>1/(1+EXP(-V49))</f>
        <v/>
      </c>
      <c r="X49" s="9">
        <f>-IF(C49=1,LN(W49),LN(1-W49))</f>
        <v/>
      </c>
      <c r="Y49" s="10">
        <f>IF(W49&gt;$AC$34,1,0)</f>
        <v/>
      </c>
      <c r="Z49">
        <f>IF(Y49=C49,1,0)</f>
        <v/>
      </c>
      <c r="AB49" s="2" t="inlineStr">
        <is>
          <t>Solver: minimizar J (celda del objetivo) cambiando las celdas celestes de los pesos, GRG no lineal, derivadas centrales, convergencia 0,000001, sin restricciones y con la casilla 'Convertir variables sin restricciones en no negativas' DESMARCADA. Correr dos veces si se detiene antes.</t>
        </is>
      </c>
    </row>
    <row r="50" ht="48" customHeight="1">
      <c r="A50">
        <f>'1 datos preparados'!A43</f>
        <v/>
      </c>
      <c r="B50" s="5">
        <f>'1 datos preparados'!U43</f>
        <v/>
      </c>
      <c r="C50">
        <f>'1 datos preparados'!B43</f>
        <v/>
      </c>
      <c r="D50" s="7">
        <f>'1 datos preparados'!C43</f>
        <v/>
      </c>
      <c r="E50" s="7">
        <f>'1 datos preparados'!D43</f>
        <v/>
      </c>
      <c r="F50" s="7">
        <f>'1 datos preparados'!E43</f>
        <v/>
      </c>
      <c r="G50" s="7">
        <f>'1 datos preparados'!F43</f>
        <v/>
      </c>
      <c r="H50" s="7">
        <f>'1 datos preparados'!G43</f>
        <v/>
      </c>
      <c r="I50" s="7">
        <f>'1 datos preparados'!H43</f>
        <v/>
      </c>
      <c r="J50" s="7">
        <f>'1 datos preparados'!I43</f>
        <v/>
      </c>
      <c r="K50" s="7">
        <f>'1 datos preparados'!J43</f>
        <v/>
      </c>
      <c r="L50" s="7">
        <f>'1 datos preparados'!K43</f>
        <v/>
      </c>
      <c r="M50" s="7">
        <f>'1 datos preparados'!L43</f>
        <v/>
      </c>
      <c r="N50" s="7">
        <f>'1 datos preparados'!M43</f>
        <v/>
      </c>
      <c r="O50" s="7">
        <f>'1 datos preparados'!N43</f>
        <v/>
      </c>
      <c r="P50" s="7">
        <f>'1 datos preparados'!O43</f>
        <v/>
      </c>
      <c r="Q50" s="7">
        <f>'1 datos preparados'!P43</f>
        <v/>
      </c>
      <c r="R50" s="7">
        <f>'1 datos preparados'!Q43</f>
        <v/>
      </c>
      <c r="S50" s="7">
        <f>'1 datos preparados'!R43</f>
        <v/>
      </c>
      <c r="T50" s="7">
        <f>'1 datos preparados'!S43</f>
        <v/>
      </c>
      <c r="U50" s="7">
        <f>'1 datos preparados'!T43</f>
        <v/>
      </c>
      <c r="V50" s="8">
        <f>$AC$12+D50*$AC$13+E50*$AC$14+F50*$AC$15+G50*$AC$16+H50*$AC$17+I50*$AC$18+J50*$AC$19+K50*$AC$20+L50*$AC$21+M50*$AC$22+N50*$AC$23+O50*$AC$24+P50*$AC$25+Q50*$AC$26+R50*$AC$27+S50*$AC$28+T50*$AC$29+U50*$AC$30</f>
        <v/>
      </c>
      <c r="W50" s="8">
        <f>1/(1+EXP(-V50))</f>
        <v/>
      </c>
      <c r="X50" s="9">
        <f>-IF(C50=1,LN(W50),LN(1-W50))</f>
        <v/>
      </c>
      <c r="Y50" s="10">
        <f>IF(W50&gt;$AC$34,1,0)</f>
        <v/>
      </c>
      <c r="Z50">
        <f>IF(Y50=C50,1,0)</f>
        <v/>
      </c>
      <c r="AB50" s="2" t="inlineStr">
        <is>
          <t>Con L1 el valor absoluto no tiene derivada en cero y GRG puede dejar pesos en 0,003 en vez de 0: léelos como cero. scikit-learn usa un algoritmo (saga) que sí los deja exactamente en cero.</t>
        </is>
      </c>
    </row>
    <row r="51">
      <c r="A51">
        <f>'1 datos preparados'!A44</f>
        <v/>
      </c>
      <c r="B51" s="5">
        <f>'1 datos preparados'!U44</f>
        <v/>
      </c>
      <c r="C51">
        <f>'1 datos preparados'!B44</f>
        <v/>
      </c>
      <c r="D51" s="7">
        <f>'1 datos preparados'!C44</f>
        <v/>
      </c>
      <c r="E51" s="7">
        <f>'1 datos preparados'!D44</f>
        <v/>
      </c>
      <c r="F51" s="7">
        <f>'1 datos preparados'!E44</f>
        <v/>
      </c>
      <c r="G51" s="7">
        <f>'1 datos preparados'!F44</f>
        <v/>
      </c>
      <c r="H51" s="7">
        <f>'1 datos preparados'!G44</f>
        <v/>
      </c>
      <c r="I51" s="7">
        <f>'1 datos preparados'!H44</f>
        <v/>
      </c>
      <c r="J51" s="7">
        <f>'1 datos preparados'!I44</f>
        <v/>
      </c>
      <c r="K51" s="7">
        <f>'1 datos preparados'!J44</f>
        <v/>
      </c>
      <c r="L51" s="7">
        <f>'1 datos preparados'!K44</f>
        <v/>
      </c>
      <c r="M51" s="7">
        <f>'1 datos preparados'!L44</f>
        <v/>
      </c>
      <c r="N51" s="7">
        <f>'1 datos preparados'!M44</f>
        <v/>
      </c>
      <c r="O51" s="7">
        <f>'1 datos preparados'!N44</f>
        <v/>
      </c>
      <c r="P51" s="7">
        <f>'1 datos preparados'!O44</f>
        <v/>
      </c>
      <c r="Q51" s="7">
        <f>'1 datos preparados'!P44</f>
        <v/>
      </c>
      <c r="R51" s="7">
        <f>'1 datos preparados'!Q44</f>
        <v/>
      </c>
      <c r="S51" s="7">
        <f>'1 datos preparados'!R44</f>
        <v/>
      </c>
      <c r="T51" s="7">
        <f>'1 datos preparados'!S44</f>
        <v/>
      </c>
      <c r="U51" s="7">
        <f>'1 datos preparados'!T44</f>
        <v/>
      </c>
      <c r="V51" s="8">
        <f>$AC$12+D51*$AC$13+E51*$AC$14+F51*$AC$15+G51*$AC$16+H51*$AC$17+I51*$AC$18+J51*$AC$19+K51*$AC$20+L51*$AC$21+M51*$AC$22+N51*$AC$23+O51*$AC$24+P51*$AC$25+Q51*$AC$26+R51*$AC$27+S51*$AC$28+T51*$AC$29+U51*$AC$30</f>
        <v/>
      </c>
      <c r="W51" s="8">
        <f>1/(1+EXP(-V51))</f>
        <v/>
      </c>
      <c r="X51" s="9">
        <f>-IF(C51=1,LN(W51),LN(1-W51))</f>
        <v/>
      </c>
      <c r="Y51" s="10">
        <f>IF(W51&gt;$AC$34,1,0)</f>
        <v/>
      </c>
      <c r="Z51">
        <f>IF(Y51=C51,1,0)</f>
        <v/>
      </c>
    </row>
    <row r="52">
      <c r="A52">
        <f>'1 datos preparados'!A45</f>
        <v/>
      </c>
      <c r="B52" s="5">
        <f>'1 datos preparados'!U45</f>
        <v/>
      </c>
      <c r="C52">
        <f>'1 datos preparados'!B45</f>
        <v/>
      </c>
      <c r="D52" s="7">
        <f>'1 datos preparados'!C45</f>
        <v/>
      </c>
      <c r="E52" s="7">
        <f>'1 datos preparados'!D45</f>
        <v/>
      </c>
      <c r="F52" s="7">
        <f>'1 datos preparados'!E45</f>
        <v/>
      </c>
      <c r="G52" s="7">
        <f>'1 datos preparados'!F45</f>
        <v/>
      </c>
      <c r="H52" s="7">
        <f>'1 datos preparados'!G45</f>
        <v/>
      </c>
      <c r="I52" s="7">
        <f>'1 datos preparados'!H45</f>
        <v/>
      </c>
      <c r="J52" s="7">
        <f>'1 datos preparados'!I45</f>
        <v/>
      </c>
      <c r="K52" s="7">
        <f>'1 datos preparados'!J45</f>
        <v/>
      </c>
      <c r="L52" s="7">
        <f>'1 datos preparados'!K45</f>
        <v/>
      </c>
      <c r="M52" s="7">
        <f>'1 datos preparados'!L45</f>
        <v/>
      </c>
      <c r="N52" s="7">
        <f>'1 datos preparados'!M45</f>
        <v/>
      </c>
      <c r="O52" s="7">
        <f>'1 datos preparados'!N45</f>
        <v/>
      </c>
      <c r="P52" s="7">
        <f>'1 datos preparados'!O45</f>
        <v/>
      </c>
      <c r="Q52" s="7">
        <f>'1 datos preparados'!P45</f>
        <v/>
      </c>
      <c r="R52" s="7">
        <f>'1 datos preparados'!Q45</f>
        <v/>
      </c>
      <c r="S52" s="7">
        <f>'1 datos preparados'!R45</f>
        <v/>
      </c>
      <c r="T52" s="7">
        <f>'1 datos preparados'!S45</f>
        <v/>
      </c>
      <c r="U52" s="7">
        <f>'1 datos preparados'!T45</f>
        <v/>
      </c>
      <c r="V52" s="8">
        <f>$AC$12+D52*$AC$13+E52*$AC$14+F52*$AC$15+G52*$AC$16+H52*$AC$17+I52*$AC$18+J52*$AC$19+K52*$AC$20+L52*$AC$21+M52*$AC$22+N52*$AC$23+O52*$AC$24+P52*$AC$25+Q52*$AC$26+R52*$AC$27+S52*$AC$28+T52*$AC$29+U52*$AC$30</f>
        <v/>
      </c>
      <c r="W52" s="8">
        <f>1/(1+EXP(-V52))</f>
        <v/>
      </c>
      <c r="X52" s="9">
        <f>-IF(C52=1,LN(W52),LN(1-W52))</f>
        <v/>
      </c>
      <c r="Y52" s="10">
        <f>IF(W52&gt;$AC$34,1,0)</f>
        <v/>
      </c>
      <c r="Z52">
        <f>IF(Y52=C52,1,0)</f>
        <v/>
      </c>
    </row>
    <row r="53">
      <c r="A53">
        <f>'1 datos preparados'!A46</f>
        <v/>
      </c>
      <c r="B53" s="5">
        <f>'1 datos preparados'!U46</f>
        <v/>
      </c>
      <c r="C53">
        <f>'1 datos preparados'!B46</f>
        <v/>
      </c>
      <c r="D53" s="7">
        <f>'1 datos preparados'!C46</f>
        <v/>
      </c>
      <c r="E53" s="7">
        <f>'1 datos preparados'!D46</f>
        <v/>
      </c>
      <c r="F53" s="7">
        <f>'1 datos preparados'!E46</f>
        <v/>
      </c>
      <c r="G53" s="7">
        <f>'1 datos preparados'!F46</f>
        <v/>
      </c>
      <c r="H53" s="7">
        <f>'1 datos preparados'!G46</f>
        <v/>
      </c>
      <c r="I53" s="7">
        <f>'1 datos preparados'!H46</f>
        <v/>
      </c>
      <c r="J53" s="7">
        <f>'1 datos preparados'!I46</f>
        <v/>
      </c>
      <c r="K53" s="7">
        <f>'1 datos preparados'!J46</f>
        <v/>
      </c>
      <c r="L53" s="7">
        <f>'1 datos preparados'!K46</f>
        <v/>
      </c>
      <c r="M53" s="7">
        <f>'1 datos preparados'!L46</f>
        <v/>
      </c>
      <c r="N53" s="7">
        <f>'1 datos preparados'!M46</f>
        <v/>
      </c>
      <c r="O53" s="7">
        <f>'1 datos preparados'!N46</f>
        <v/>
      </c>
      <c r="P53" s="7">
        <f>'1 datos preparados'!O46</f>
        <v/>
      </c>
      <c r="Q53" s="7">
        <f>'1 datos preparados'!P46</f>
        <v/>
      </c>
      <c r="R53" s="7">
        <f>'1 datos preparados'!Q46</f>
        <v/>
      </c>
      <c r="S53" s="7">
        <f>'1 datos preparados'!R46</f>
        <v/>
      </c>
      <c r="T53" s="7">
        <f>'1 datos preparados'!S46</f>
        <v/>
      </c>
      <c r="U53" s="7">
        <f>'1 datos preparados'!T46</f>
        <v/>
      </c>
      <c r="V53" s="8">
        <f>$AC$12+D53*$AC$13+E53*$AC$14+F53*$AC$15+G53*$AC$16+H53*$AC$17+I53*$AC$18+J53*$AC$19+K53*$AC$20+L53*$AC$21+M53*$AC$22+N53*$AC$23+O53*$AC$24+P53*$AC$25+Q53*$AC$26+R53*$AC$27+S53*$AC$28+T53*$AC$29+U53*$AC$30</f>
        <v/>
      </c>
      <c r="W53" s="8">
        <f>1/(1+EXP(-V53))</f>
        <v/>
      </c>
      <c r="X53" s="9">
        <f>-IF(C53=1,LN(W53),LN(1-W53))</f>
        <v/>
      </c>
      <c r="Y53" s="10">
        <f>IF(W53&gt;$AC$34,1,0)</f>
        <v/>
      </c>
      <c r="Z53">
        <f>IF(Y53=C53,1,0)</f>
        <v/>
      </c>
    </row>
    <row r="54">
      <c r="A54">
        <f>'1 datos preparados'!A47</f>
        <v/>
      </c>
      <c r="B54" s="5">
        <f>'1 datos preparados'!U47</f>
        <v/>
      </c>
      <c r="C54">
        <f>'1 datos preparados'!B47</f>
        <v/>
      </c>
      <c r="D54" s="7">
        <f>'1 datos preparados'!C47</f>
        <v/>
      </c>
      <c r="E54" s="7">
        <f>'1 datos preparados'!D47</f>
        <v/>
      </c>
      <c r="F54" s="7">
        <f>'1 datos preparados'!E47</f>
        <v/>
      </c>
      <c r="G54" s="7">
        <f>'1 datos preparados'!F47</f>
        <v/>
      </c>
      <c r="H54" s="7">
        <f>'1 datos preparados'!G47</f>
        <v/>
      </c>
      <c r="I54" s="7">
        <f>'1 datos preparados'!H47</f>
        <v/>
      </c>
      <c r="J54" s="7">
        <f>'1 datos preparados'!I47</f>
        <v/>
      </c>
      <c r="K54" s="7">
        <f>'1 datos preparados'!J47</f>
        <v/>
      </c>
      <c r="L54" s="7">
        <f>'1 datos preparados'!K47</f>
        <v/>
      </c>
      <c r="M54" s="7">
        <f>'1 datos preparados'!L47</f>
        <v/>
      </c>
      <c r="N54" s="7">
        <f>'1 datos preparados'!M47</f>
        <v/>
      </c>
      <c r="O54" s="7">
        <f>'1 datos preparados'!N47</f>
        <v/>
      </c>
      <c r="P54" s="7">
        <f>'1 datos preparados'!O47</f>
        <v/>
      </c>
      <c r="Q54" s="7">
        <f>'1 datos preparados'!P47</f>
        <v/>
      </c>
      <c r="R54" s="7">
        <f>'1 datos preparados'!Q47</f>
        <v/>
      </c>
      <c r="S54" s="7">
        <f>'1 datos preparados'!R47</f>
        <v/>
      </c>
      <c r="T54" s="7">
        <f>'1 datos preparados'!S47</f>
        <v/>
      </c>
      <c r="U54" s="7">
        <f>'1 datos preparados'!T47</f>
        <v/>
      </c>
      <c r="V54" s="8">
        <f>$AC$12+D54*$AC$13+E54*$AC$14+F54*$AC$15+G54*$AC$16+H54*$AC$17+I54*$AC$18+J54*$AC$19+K54*$AC$20+L54*$AC$21+M54*$AC$22+N54*$AC$23+O54*$AC$24+P54*$AC$25+Q54*$AC$26+R54*$AC$27+S54*$AC$28+T54*$AC$29+U54*$AC$30</f>
        <v/>
      </c>
      <c r="W54" s="8">
        <f>1/(1+EXP(-V54))</f>
        <v/>
      </c>
      <c r="X54" s="9">
        <f>-IF(C54=1,LN(W54),LN(1-W54))</f>
        <v/>
      </c>
      <c r="Y54" s="10">
        <f>IF(W54&gt;$AC$34,1,0)</f>
        <v/>
      </c>
      <c r="Z54">
        <f>IF(Y54=C54,1,0)</f>
        <v/>
      </c>
    </row>
    <row r="55">
      <c r="A55">
        <f>'1 datos preparados'!A48</f>
        <v/>
      </c>
      <c r="B55" s="5">
        <f>'1 datos preparados'!U48</f>
        <v/>
      </c>
      <c r="C55">
        <f>'1 datos preparados'!B48</f>
        <v/>
      </c>
      <c r="D55" s="7">
        <f>'1 datos preparados'!C48</f>
        <v/>
      </c>
      <c r="E55" s="7">
        <f>'1 datos preparados'!D48</f>
        <v/>
      </c>
      <c r="F55" s="7">
        <f>'1 datos preparados'!E48</f>
        <v/>
      </c>
      <c r="G55" s="7">
        <f>'1 datos preparados'!F48</f>
        <v/>
      </c>
      <c r="H55" s="7">
        <f>'1 datos preparados'!G48</f>
        <v/>
      </c>
      <c r="I55" s="7">
        <f>'1 datos preparados'!H48</f>
        <v/>
      </c>
      <c r="J55" s="7">
        <f>'1 datos preparados'!I48</f>
        <v/>
      </c>
      <c r="K55" s="7">
        <f>'1 datos preparados'!J48</f>
        <v/>
      </c>
      <c r="L55" s="7">
        <f>'1 datos preparados'!K48</f>
        <v/>
      </c>
      <c r="M55" s="7">
        <f>'1 datos preparados'!L48</f>
        <v/>
      </c>
      <c r="N55" s="7">
        <f>'1 datos preparados'!M48</f>
        <v/>
      </c>
      <c r="O55" s="7">
        <f>'1 datos preparados'!N48</f>
        <v/>
      </c>
      <c r="P55" s="7">
        <f>'1 datos preparados'!O48</f>
        <v/>
      </c>
      <c r="Q55" s="7">
        <f>'1 datos preparados'!P48</f>
        <v/>
      </c>
      <c r="R55" s="7">
        <f>'1 datos preparados'!Q48</f>
        <v/>
      </c>
      <c r="S55" s="7">
        <f>'1 datos preparados'!R48</f>
        <v/>
      </c>
      <c r="T55" s="7">
        <f>'1 datos preparados'!S48</f>
        <v/>
      </c>
      <c r="U55" s="7">
        <f>'1 datos preparados'!T48</f>
        <v/>
      </c>
      <c r="V55" s="8">
        <f>$AC$12+D55*$AC$13+E55*$AC$14+F55*$AC$15+G55*$AC$16+H55*$AC$17+I55*$AC$18+J55*$AC$19+K55*$AC$20+L55*$AC$21+M55*$AC$22+N55*$AC$23+O55*$AC$24+P55*$AC$25+Q55*$AC$26+R55*$AC$27+S55*$AC$28+T55*$AC$29+U55*$AC$30</f>
        <v/>
      </c>
      <c r="W55" s="8">
        <f>1/(1+EXP(-V55))</f>
        <v/>
      </c>
      <c r="X55" s="9">
        <f>-IF(C55=1,LN(W55),LN(1-W55))</f>
        <v/>
      </c>
      <c r="Y55" s="10">
        <f>IF(W55&gt;$AC$34,1,0)</f>
        <v/>
      </c>
      <c r="Z55">
        <f>IF(Y55=C55,1,0)</f>
        <v/>
      </c>
    </row>
    <row r="56">
      <c r="A56">
        <f>'1 datos preparados'!A49</f>
        <v/>
      </c>
      <c r="B56" s="5">
        <f>'1 datos preparados'!U49</f>
        <v/>
      </c>
      <c r="C56">
        <f>'1 datos preparados'!B49</f>
        <v/>
      </c>
      <c r="D56" s="7">
        <f>'1 datos preparados'!C49</f>
        <v/>
      </c>
      <c r="E56" s="7">
        <f>'1 datos preparados'!D49</f>
        <v/>
      </c>
      <c r="F56" s="7">
        <f>'1 datos preparados'!E49</f>
        <v/>
      </c>
      <c r="G56" s="7">
        <f>'1 datos preparados'!F49</f>
        <v/>
      </c>
      <c r="H56" s="7">
        <f>'1 datos preparados'!G49</f>
        <v/>
      </c>
      <c r="I56" s="7">
        <f>'1 datos preparados'!H49</f>
        <v/>
      </c>
      <c r="J56" s="7">
        <f>'1 datos preparados'!I49</f>
        <v/>
      </c>
      <c r="K56" s="7">
        <f>'1 datos preparados'!J49</f>
        <v/>
      </c>
      <c r="L56" s="7">
        <f>'1 datos preparados'!K49</f>
        <v/>
      </c>
      <c r="M56" s="7">
        <f>'1 datos preparados'!L49</f>
        <v/>
      </c>
      <c r="N56" s="7">
        <f>'1 datos preparados'!M49</f>
        <v/>
      </c>
      <c r="O56" s="7">
        <f>'1 datos preparados'!N49</f>
        <v/>
      </c>
      <c r="P56" s="7">
        <f>'1 datos preparados'!O49</f>
        <v/>
      </c>
      <c r="Q56" s="7">
        <f>'1 datos preparados'!P49</f>
        <v/>
      </c>
      <c r="R56" s="7">
        <f>'1 datos preparados'!Q49</f>
        <v/>
      </c>
      <c r="S56" s="7">
        <f>'1 datos preparados'!R49</f>
        <v/>
      </c>
      <c r="T56" s="7">
        <f>'1 datos preparados'!S49</f>
        <v/>
      </c>
      <c r="U56" s="7">
        <f>'1 datos preparados'!T49</f>
        <v/>
      </c>
      <c r="V56" s="8">
        <f>$AC$12+D56*$AC$13+E56*$AC$14+F56*$AC$15+G56*$AC$16+H56*$AC$17+I56*$AC$18+J56*$AC$19+K56*$AC$20+L56*$AC$21+M56*$AC$22+N56*$AC$23+O56*$AC$24+P56*$AC$25+Q56*$AC$26+R56*$AC$27+S56*$AC$28+T56*$AC$29+U56*$AC$30</f>
        <v/>
      </c>
      <c r="W56" s="8">
        <f>1/(1+EXP(-V56))</f>
        <v/>
      </c>
      <c r="X56" s="9">
        <f>-IF(C56=1,LN(W56),LN(1-W56))</f>
        <v/>
      </c>
      <c r="Y56" s="10">
        <f>IF(W56&gt;$AC$34,1,0)</f>
        <v/>
      </c>
      <c r="Z56">
        <f>IF(Y56=C56,1,0)</f>
        <v/>
      </c>
    </row>
    <row r="57">
      <c r="A57">
        <f>'1 datos preparados'!A50</f>
        <v/>
      </c>
      <c r="B57" s="5">
        <f>'1 datos preparados'!U50</f>
        <v/>
      </c>
      <c r="C57">
        <f>'1 datos preparados'!B50</f>
        <v/>
      </c>
      <c r="D57" s="7">
        <f>'1 datos preparados'!C50</f>
        <v/>
      </c>
      <c r="E57" s="7">
        <f>'1 datos preparados'!D50</f>
        <v/>
      </c>
      <c r="F57" s="7">
        <f>'1 datos preparados'!E50</f>
        <v/>
      </c>
      <c r="G57" s="7">
        <f>'1 datos preparados'!F50</f>
        <v/>
      </c>
      <c r="H57" s="7">
        <f>'1 datos preparados'!G50</f>
        <v/>
      </c>
      <c r="I57" s="7">
        <f>'1 datos preparados'!H50</f>
        <v/>
      </c>
      <c r="J57" s="7">
        <f>'1 datos preparados'!I50</f>
        <v/>
      </c>
      <c r="K57" s="7">
        <f>'1 datos preparados'!J50</f>
        <v/>
      </c>
      <c r="L57" s="7">
        <f>'1 datos preparados'!K50</f>
        <v/>
      </c>
      <c r="M57" s="7">
        <f>'1 datos preparados'!L50</f>
        <v/>
      </c>
      <c r="N57" s="7">
        <f>'1 datos preparados'!M50</f>
        <v/>
      </c>
      <c r="O57" s="7">
        <f>'1 datos preparados'!N50</f>
        <v/>
      </c>
      <c r="P57" s="7">
        <f>'1 datos preparados'!O50</f>
        <v/>
      </c>
      <c r="Q57" s="7">
        <f>'1 datos preparados'!P50</f>
        <v/>
      </c>
      <c r="R57" s="7">
        <f>'1 datos preparados'!Q50</f>
        <v/>
      </c>
      <c r="S57" s="7">
        <f>'1 datos preparados'!R50</f>
        <v/>
      </c>
      <c r="T57" s="7">
        <f>'1 datos preparados'!S50</f>
        <v/>
      </c>
      <c r="U57" s="7">
        <f>'1 datos preparados'!T50</f>
        <v/>
      </c>
      <c r="V57" s="8">
        <f>$AC$12+D57*$AC$13+E57*$AC$14+F57*$AC$15+G57*$AC$16+H57*$AC$17+I57*$AC$18+J57*$AC$19+K57*$AC$20+L57*$AC$21+M57*$AC$22+N57*$AC$23+O57*$AC$24+P57*$AC$25+Q57*$AC$26+R57*$AC$27+S57*$AC$28+T57*$AC$29+U57*$AC$30</f>
        <v/>
      </c>
      <c r="W57" s="8">
        <f>1/(1+EXP(-V57))</f>
        <v/>
      </c>
      <c r="X57" s="9">
        <f>-IF(C57=1,LN(W57),LN(1-W57))</f>
        <v/>
      </c>
      <c r="Y57" s="10">
        <f>IF(W57&gt;$AC$34,1,0)</f>
        <v/>
      </c>
      <c r="Z57">
        <f>IF(Y57=C57,1,0)</f>
        <v/>
      </c>
    </row>
    <row r="58">
      <c r="A58">
        <f>'1 datos preparados'!A51</f>
        <v/>
      </c>
      <c r="B58" s="5">
        <f>'1 datos preparados'!U51</f>
        <v/>
      </c>
      <c r="C58">
        <f>'1 datos preparados'!B51</f>
        <v/>
      </c>
      <c r="D58" s="7">
        <f>'1 datos preparados'!C51</f>
        <v/>
      </c>
      <c r="E58" s="7">
        <f>'1 datos preparados'!D51</f>
        <v/>
      </c>
      <c r="F58" s="7">
        <f>'1 datos preparados'!E51</f>
        <v/>
      </c>
      <c r="G58" s="7">
        <f>'1 datos preparados'!F51</f>
        <v/>
      </c>
      <c r="H58" s="7">
        <f>'1 datos preparados'!G51</f>
        <v/>
      </c>
      <c r="I58" s="7">
        <f>'1 datos preparados'!H51</f>
        <v/>
      </c>
      <c r="J58" s="7">
        <f>'1 datos preparados'!I51</f>
        <v/>
      </c>
      <c r="K58" s="7">
        <f>'1 datos preparados'!J51</f>
        <v/>
      </c>
      <c r="L58" s="7">
        <f>'1 datos preparados'!K51</f>
        <v/>
      </c>
      <c r="M58" s="7">
        <f>'1 datos preparados'!L51</f>
        <v/>
      </c>
      <c r="N58" s="7">
        <f>'1 datos preparados'!M51</f>
        <v/>
      </c>
      <c r="O58" s="7">
        <f>'1 datos preparados'!N51</f>
        <v/>
      </c>
      <c r="P58" s="7">
        <f>'1 datos preparados'!O51</f>
        <v/>
      </c>
      <c r="Q58" s="7">
        <f>'1 datos preparados'!P51</f>
        <v/>
      </c>
      <c r="R58" s="7">
        <f>'1 datos preparados'!Q51</f>
        <v/>
      </c>
      <c r="S58" s="7">
        <f>'1 datos preparados'!R51</f>
        <v/>
      </c>
      <c r="T58" s="7">
        <f>'1 datos preparados'!S51</f>
        <v/>
      </c>
      <c r="U58" s="7">
        <f>'1 datos preparados'!T51</f>
        <v/>
      </c>
      <c r="V58" s="8">
        <f>$AC$12+D58*$AC$13+E58*$AC$14+F58*$AC$15+G58*$AC$16+H58*$AC$17+I58*$AC$18+J58*$AC$19+K58*$AC$20+L58*$AC$21+M58*$AC$22+N58*$AC$23+O58*$AC$24+P58*$AC$25+Q58*$AC$26+R58*$AC$27+S58*$AC$28+T58*$AC$29+U58*$AC$30</f>
        <v/>
      </c>
      <c r="W58" s="8">
        <f>1/(1+EXP(-V58))</f>
        <v/>
      </c>
      <c r="X58" s="9">
        <f>-IF(C58=1,LN(W58),LN(1-W58))</f>
        <v/>
      </c>
      <c r="Y58" s="10">
        <f>IF(W58&gt;$AC$34,1,0)</f>
        <v/>
      </c>
      <c r="Z58">
        <f>IF(Y58=C58,1,0)</f>
        <v/>
      </c>
    </row>
    <row r="59">
      <c r="A59">
        <f>'1 datos preparados'!A52</f>
        <v/>
      </c>
      <c r="B59" s="5">
        <f>'1 datos preparados'!U52</f>
        <v/>
      </c>
      <c r="C59">
        <f>'1 datos preparados'!B52</f>
        <v/>
      </c>
      <c r="D59" s="7">
        <f>'1 datos preparados'!C52</f>
        <v/>
      </c>
      <c r="E59" s="7">
        <f>'1 datos preparados'!D52</f>
        <v/>
      </c>
      <c r="F59" s="7">
        <f>'1 datos preparados'!E52</f>
        <v/>
      </c>
      <c r="G59" s="7">
        <f>'1 datos preparados'!F52</f>
        <v/>
      </c>
      <c r="H59" s="7">
        <f>'1 datos preparados'!G52</f>
        <v/>
      </c>
      <c r="I59" s="7">
        <f>'1 datos preparados'!H52</f>
        <v/>
      </c>
      <c r="J59" s="7">
        <f>'1 datos preparados'!I52</f>
        <v/>
      </c>
      <c r="K59" s="7">
        <f>'1 datos preparados'!J52</f>
        <v/>
      </c>
      <c r="L59" s="7">
        <f>'1 datos preparados'!K52</f>
        <v/>
      </c>
      <c r="M59" s="7">
        <f>'1 datos preparados'!L52</f>
        <v/>
      </c>
      <c r="N59" s="7">
        <f>'1 datos preparados'!M52</f>
        <v/>
      </c>
      <c r="O59" s="7">
        <f>'1 datos preparados'!N52</f>
        <v/>
      </c>
      <c r="P59" s="7">
        <f>'1 datos preparados'!O52</f>
        <v/>
      </c>
      <c r="Q59" s="7">
        <f>'1 datos preparados'!P52</f>
        <v/>
      </c>
      <c r="R59" s="7">
        <f>'1 datos preparados'!Q52</f>
        <v/>
      </c>
      <c r="S59" s="7">
        <f>'1 datos preparados'!R52</f>
        <v/>
      </c>
      <c r="T59" s="7">
        <f>'1 datos preparados'!S52</f>
        <v/>
      </c>
      <c r="U59" s="7">
        <f>'1 datos preparados'!T52</f>
        <v/>
      </c>
      <c r="V59" s="8">
        <f>$AC$12+D59*$AC$13+E59*$AC$14+F59*$AC$15+G59*$AC$16+H59*$AC$17+I59*$AC$18+J59*$AC$19+K59*$AC$20+L59*$AC$21+M59*$AC$22+N59*$AC$23+O59*$AC$24+P59*$AC$25+Q59*$AC$26+R59*$AC$27+S59*$AC$28+T59*$AC$29+U59*$AC$30</f>
        <v/>
      </c>
      <c r="W59" s="8">
        <f>1/(1+EXP(-V59))</f>
        <v/>
      </c>
      <c r="X59" s="9">
        <f>-IF(C59=1,LN(W59),LN(1-W59))</f>
        <v/>
      </c>
      <c r="Y59" s="10">
        <f>IF(W59&gt;$AC$34,1,0)</f>
        <v/>
      </c>
      <c r="Z59">
        <f>IF(Y59=C59,1,0)</f>
        <v/>
      </c>
    </row>
    <row r="60">
      <c r="A60">
        <f>'1 datos preparados'!A53</f>
        <v/>
      </c>
      <c r="B60" s="5">
        <f>'1 datos preparados'!U53</f>
        <v/>
      </c>
      <c r="C60">
        <f>'1 datos preparados'!B53</f>
        <v/>
      </c>
      <c r="D60" s="7">
        <f>'1 datos preparados'!C53</f>
        <v/>
      </c>
      <c r="E60" s="7">
        <f>'1 datos preparados'!D53</f>
        <v/>
      </c>
      <c r="F60" s="7">
        <f>'1 datos preparados'!E53</f>
        <v/>
      </c>
      <c r="G60" s="7">
        <f>'1 datos preparados'!F53</f>
        <v/>
      </c>
      <c r="H60" s="7">
        <f>'1 datos preparados'!G53</f>
        <v/>
      </c>
      <c r="I60" s="7">
        <f>'1 datos preparados'!H53</f>
        <v/>
      </c>
      <c r="J60" s="7">
        <f>'1 datos preparados'!I53</f>
        <v/>
      </c>
      <c r="K60" s="7">
        <f>'1 datos preparados'!J53</f>
        <v/>
      </c>
      <c r="L60" s="7">
        <f>'1 datos preparados'!K53</f>
        <v/>
      </c>
      <c r="M60" s="7">
        <f>'1 datos preparados'!L53</f>
        <v/>
      </c>
      <c r="N60" s="7">
        <f>'1 datos preparados'!M53</f>
        <v/>
      </c>
      <c r="O60" s="7">
        <f>'1 datos preparados'!N53</f>
        <v/>
      </c>
      <c r="P60" s="7">
        <f>'1 datos preparados'!O53</f>
        <v/>
      </c>
      <c r="Q60" s="7">
        <f>'1 datos preparados'!P53</f>
        <v/>
      </c>
      <c r="R60" s="7">
        <f>'1 datos preparados'!Q53</f>
        <v/>
      </c>
      <c r="S60" s="7">
        <f>'1 datos preparados'!R53</f>
        <v/>
      </c>
      <c r="T60" s="7">
        <f>'1 datos preparados'!S53</f>
        <v/>
      </c>
      <c r="U60" s="7">
        <f>'1 datos preparados'!T53</f>
        <v/>
      </c>
      <c r="V60" s="8">
        <f>$AC$12+D60*$AC$13+E60*$AC$14+F60*$AC$15+G60*$AC$16+H60*$AC$17+I60*$AC$18+J60*$AC$19+K60*$AC$20+L60*$AC$21+M60*$AC$22+N60*$AC$23+O60*$AC$24+P60*$AC$25+Q60*$AC$26+R60*$AC$27+S60*$AC$28+T60*$AC$29+U60*$AC$30</f>
        <v/>
      </c>
      <c r="W60" s="8">
        <f>1/(1+EXP(-V60))</f>
        <v/>
      </c>
      <c r="X60" s="9">
        <f>-IF(C60=1,LN(W60),LN(1-W60))</f>
        <v/>
      </c>
      <c r="Y60" s="10">
        <f>IF(W60&gt;$AC$34,1,0)</f>
        <v/>
      </c>
      <c r="Z60">
        <f>IF(Y60=C60,1,0)</f>
        <v/>
      </c>
    </row>
    <row r="61">
      <c r="A61">
        <f>'1 datos preparados'!A54</f>
        <v/>
      </c>
      <c r="B61" s="5">
        <f>'1 datos preparados'!U54</f>
        <v/>
      </c>
      <c r="C61">
        <f>'1 datos preparados'!B54</f>
        <v/>
      </c>
      <c r="D61" s="7">
        <f>'1 datos preparados'!C54</f>
        <v/>
      </c>
      <c r="E61" s="7">
        <f>'1 datos preparados'!D54</f>
        <v/>
      </c>
      <c r="F61" s="7">
        <f>'1 datos preparados'!E54</f>
        <v/>
      </c>
      <c r="G61" s="7">
        <f>'1 datos preparados'!F54</f>
        <v/>
      </c>
      <c r="H61" s="7">
        <f>'1 datos preparados'!G54</f>
        <v/>
      </c>
      <c r="I61" s="7">
        <f>'1 datos preparados'!H54</f>
        <v/>
      </c>
      <c r="J61" s="7">
        <f>'1 datos preparados'!I54</f>
        <v/>
      </c>
      <c r="K61" s="7">
        <f>'1 datos preparados'!J54</f>
        <v/>
      </c>
      <c r="L61" s="7">
        <f>'1 datos preparados'!K54</f>
        <v/>
      </c>
      <c r="M61" s="7">
        <f>'1 datos preparados'!L54</f>
        <v/>
      </c>
      <c r="N61" s="7">
        <f>'1 datos preparados'!M54</f>
        <v/>
      </c>
      <c r="O61" s="7">
        <f>'1 datos preparados'!N54</f>
        <v/>
      </c>
      <c r="P61" s="7">
        <f>'1 datos preparados'!O54</f>
        <v/>
      </c>
      <c r="Q61" s="7">
        <f>'1 datos preparados'!P54</f>
        <v/>
      </c>
      <c r="R61" s="7">
        <f>'1 datos preparados'!Q54</f>
        <v/>
      </c>
      <c r="S61" s="7">
        <f>'1 datos preparados'!R54</f>
        <v/>
      </c>
      <c r="T61" s="7">
        <f>'1 datos preparados'!S54</f>
        <v/>
      </c>
      <c r="U61" s="7">
        <f>'1 datos preparados'!T54</f>
        <v/>
      </c>
      <c r="V61" s="8">
        <f>$AC$12+D61*$AC$13+E61*$AC$14+F61*$AC$15+G61*$AC$16+H61*$AC$17+I61*$AC$18+J61*$AC$19+K61*$AC$20+L61*$AC$21+M61*$AC$22+N61*$AC$23+O61*$AC$24+P61*$AC$25+Q61*$AC$26+R61*$AC$27+S61*$AC$28+T61*$AC$29+U61*$AC$30</f>
        <v/>
      </c>
      <c r="W61" s="8">
        <f>1/(1+EXP(-V61))</f>
        <v/>
      </c>
      <c r="X61" s="9">
        <f>-IF(C61=1,LN(W61),LN(1-W61))</f>
        <v/>
      </c>
      <c r="Y61" s="10">
        <f>IF(W61&gt;$AC$34,1,0)</f>
        <v/>
      </c>
      <c r="Z61">
        <f>IF(Y61=C61,1,0)</f>
        <v/>
      </c>
    </row>
    <row r="62">
      <c r="A62">
        <f>'1 datos preparados'!A55</f>
        <v/>
      </c>
      <c r="B62" s="5">
        <f>'1 datos preparados'!U55</f>
        <v/>
      </c>
      <c r="C62">
        <f>'1 datos preparados'!B55</f>
        <v/>
      </c>
      <c r="D62" s="7">
        <f>'1 datos preparados'!C55</f>
        <v/>
      </c>
      <c r="E62" s="7">
        <f>'1 datos preparados'!D55</f>
        <v/>
      </c>
      <c r="F62" s="7">
        <f>'1 datos preparados'!E55</f>
        <v/>
      </c>
      <c r="G62" s="7">
        <f>'1 datos preparados'!F55</f>
        <v/>
      </c>
      <c r="H62" s="7">
        <f>'1 datos preparados'!G55</f>
        <v/>
      </c>
      <c r="I62" s="7">
        <f>'1 datos preparados'!H55</f>
        <v/>
      </c>
      <c r="J62" s="7">
        <f>'1 datos preparados'!I55</f>
        <v/>
      </c>
      <c r="K62" s="7">
        <f>'1 datos preparados'!J55</f>
        <v/>
      </c>
      <c r="L62" s="7">
        <f>'1 datos preparados'!K55</f>
        <v/>
      </c>
      <c r="M62" s="7">
        <f>'1 datos preparados'!L55</f>
        <v/>
      </c>
      <c r="N62" s="7">
        <f>'1 datos preparados'!M55</f>
        <v/>
      </c>
      <c r="O62" s="7">
        <f>'1 datos preparados'!N55</f>
        <v/>
      </c>
      <c r="P62" s="7">
        <f>'1 datos preparados'!O55</f>
        <v/>
      </c>
      <c r="Q62" s="7">
        <f>'1 datos preparados'!P55</f>
        <v/>
      </c>
      <c r="R62" s="7">
        <f>'1 datos preparados'!Q55</f>
        <v/>
      </c>
      <c r="S62" s="7">
        <f>'1 datos preparados'!R55</f>
        <v/>
      </c>
      <c r="T62" s="7">
        <f>'1 datos preparados'!S55</f>
        <v/>
      </c>
      <c r="U62" s="7">
        <f>'1 datos preparados'!T55</f>
        <v/>
      </c>
      <c r="V62" s="8">
        <f>$AC$12+D62*$AC$13+E62*$AC$14+F62*$AC$15+G62*$AC$16+H62*$AC$17+I62*$AC$18+J62*$AC$19+K62*$AC$20+L62*$AC$21+M62*$AC$22+N62*$AC$23+O62*$AC$24+P62*$AC$25+Q62*$AC$26+R62*$AC$27+S62*$AC$28+T62*$AC$29+U62*$AC$30</f>
        <v/>
      </c>
      <c r="W62" s="8">
        <f>1/(1+EXP(-V62))</f>
        <v/>
      </c>
      <c r="X62" s="9">
        <f>-IF(C62=1,LN(W62),LN(1-W62))</f>
        <v/>
      </c>
      <c r="Y62" s="10">
        <f>IF(W62&gt;$AC$34,1,0)</f>
        <v/>
      </c>
      <c r="Z62">
        <f>IF(Y62=C62,1,0)</f>
        <v/>
      </c>
    </row>
    <row r="63">
      <c r="A63">
        <f>'1 datos preparados'!A56</f>
        <v/>
      </c>
      <c r="B63" s="5">
        <f>'1 datos preparados'!U56</f>
        <v/>
      </c>
      <c r="C63">
        <f>'1 datos preparados'!B56</f>
        <v/>
      </c>
      <c r="D63" s="7">
        <f>'1 datos preparados'!C56</f>
        <v/>
      </c>
      <c r="E63" s="7">
        <f>'1 datos preparados'!D56</f>
        <v/>
      </c>
      <c r="F63" s="7">
        <f>'1 datos preparados'!E56</f>
        <v/>
      </c>
      <c r="G63" s="7">
        <f>'1 datos preparados'!F56</f>
        <v/>
      </c>
      <c r="H63" s="7">
        <f>'1 datos preparados'!G56</f>
        <v/>
      </c>
      <c r="I63" s="7">
        <f>'1 datos preparados'!H56</f>
        <v/>
      </c>
      <c r="J63" s="7">
        <f>'1 datos preparados'!I56</f>
        <v/>
      </c>
      <c r="K63" s="7">
        <f>'1 datos preparados'!J56</f>
        <v/>
      </c>
      <c r="L63" s="7">
        <f>'1 datos preparados'!K56</f>
        <v/>
      </c>
      <c r="M63" s="7">
        <f>'1 datos preparados'!L56</f>
        <v/>
      </c>
      <c r="N63" s="7">
        <f>'1 datos preparados'!M56</f>
        <v/>
      </c>
      <c r="O63" s="7">
        <f>'1 datos preparados'!N56</f>
        <v/>
      </c>
      <c r="P63" s="7">
        <f>'1 datos preparados'!O56</f>
        <v/>
      </c>
      <c r="Q63" s="7">
        <f>'1 datos preparados'!P56</f>
        <v/>
      </c>
      <c r="R63" s="7">
        <f>'1 datos preparados'!Q56</f>
        <v/>
      </c>
      <c r="S63" s="7">
        <f>'1 datos preparados'!R56</f>
        <v/>
      </c>
      <c r="T63" s="7">
        <f>'1 datos preparados'!S56</f>
        <v/>
      </c>
      <c r="U63" s="7">
        <f>'1 datos preparados'!T56</f>
        <v/>
      </c>
      <c r="V63" s="8">
        <f>$AC$12+D63*$AC$13+E63*$AC$14+F63*$AC$15+G63*$AC$16+H63*$AC$17+I63*$AC$18+J63*$AC$19+K63*$AC$20+L63*$AC$21+M63*$AC$22+N63*$AC$23+O63*$AC$24+P63*$AC$25+Q63*$AC$26+R63*$AC$27+S63*$AC$28+T63*$AC$29+U63*$AC$30</f>
        <v/>
      </c>
      <c r="W63" s="8">
        <f>1/(1+EXP(-V63))</f>
        <v/>
      </c>
      <c r="X63" s="9">
        <f>-IF(C63=1,LN(W63),LN(1-W63))</f>
        <v/>
      </c>
      <c r="Y63" s="10">
        <f>IF(W63&gt;$AC$34,1,0)</f>
        <v/>
      </c>
      <c r="Z63">
        <f>IF(Y63=C63,1,0)</f>
        <v/>
      </c>
    </row>
    <row r="64">
      <c r="A64">
        <f>'1 datos preparados'!A57</f>
        <v/>
      </c>
      <c r="B64" s="5">
        <f>'1 datos preparados'!U57</f>
        <v/>
      </c>
      <c r="C64">
        <f>'1 datos preparados'!B57</f>
        <v/>
      </c>
      <c r="D64" s="7">
        <f>'1 datos preparados'!C57</f>
        <v/>
      </c>
      <c r="E64" s="7">
        <f>'1 datos preparados'!D57</f>
        <v/>
      </c>
      <c r="F64" s="7">
        <f>'1 datos preparados'!E57</f>
        <v/>
      </c>
      <c r="G64" s="7">
        <f>'1 datos preparados'!F57</f>
        <v/>
      </c>
      <c r="H64" s="7">
        <f>'1 datos preparados'!G57</f>
        <v/>
      </c>
      <c r="I64" s="7">
        <f>'1 datos preparados'!H57</f>
        <v/>
      </c>
      <c r="J64" s="7">
        <f>'1 datos preparados'!I57</f>
        <v/>
      </c>
      <c r="K64" s="7">
        <f>'1 datos preparados'!J57</f>
        <v/>
      </c>
      <c r="L64" s="7">
        <f>'1 datos preparados'!K57</f>
        <v/>
      </c>
      <c r="M64" s="7">
        <f>'1 datos preparados'!L57</f>
        <v/>
      </c>
      <c r="N64" s="7">
        <f>'1 datos preparados'!M57</f>
        <v/>
      </c>
      <c r="O64" s="7">
        <f>'1 datos preparados'!N57</f>
        <v/>
      </c>
      <c r="P64" s="7">
        <f>'1 datos preparados'!O57</f>
        <v/>
      </c>
      <c r="Q64" s="7">
        <f>'1 datos preparados'!P57</f>
        <v/>
      </c>
      <c r="R64" s="7">
        <f>'1 datos preparados'!Q57</f>
        <v/>
      </c>
      <c r="S64" s="7">
        <f>'1 datos preparados'!R57</f>
        <v/>
      </c>
      <c r="T64" s="7">
        <f>'1 datos preparados'!S57</f>
        <v/>
      </c>
      <c r="U64" s="7">
        <f>'1 datos preparados'!T57</f>
        <v/>
      </c>
      <c r="V64" s="8">
        <f>$AC$12+D64*$AC$13+E64*$AC$14+F64*$AC$15+G64*$AC$16+H64*$AC$17+I64*$AC$18+J64*$AC$19+K64*$AC$20+L64*$AC$21+M64*$AC$22+N64*$AC$23+O64*$AC$24+P64*$AC$25+Q64*$AC$26+R64*$AC$27+S64*$AC$28+T64*$AC$29+U64*$AC$30</f>
        <v/>
      </c>
      <c r="W64" s="8">
        <f>1/(1+EXP(-V64))</f>
        <v/>
      </c>
      <c r="X64" s="9">
        <f>-IF(C64=1,LN(W64),LN(1-W64))</f>
        <v/>
      </c>
      <c r="Y64" s="10">
        <f>IF(W64&gt;$AC$34,1,0)</f>
        <v/>
      </c>
      <c r="Z64">
        <f>IF(Y64=C64,1,0)</f>
        <v/>
      </c>
    </row>
    <row r="65">
      <c r="A65">
        <f>'1 datos preparados'!A58</f>
        <v/>
      </c>
      <c r="B65" s="5">
        <f>'1 datos preparados'!U58</f>
        <v/>
      </c>
      <c r="C65">
        <f>'1 datos preparados'!B58</f>
        <v/>
      </c>
      <c r="D65" s="7">
        <f>'1 datos preparados'!C58</f>
        <v/>
      </c>
      <c r="E65" s="7">
        <f>'1 datos preparados'!D58</f>
        <v/>
      </c>
      <c r="F65" s="7">
        <f>'1 datos preparados'!E58</f>
        <v/>
      </c>
      <c r="G65" s="7">
        <f>'1 datos preparados'!F58</f>
        <v/>
      </c>
      <c r="H65" s="7">
        <f>'1 datos preparados'!G58</f>
        <v/>
      </c>
      <c r="I65" s="7">
        <f>'1 datos preparados'!H58</f>
        <v/>
      </c>
      <c r="J65" s="7">
        <f>'1 datos preparados'!I58</f>
        <v/>
      </c>
      <c r="K65" s="7">
        <f>'1 datos preparados'!J58</f>
        <v/>
      </c>
      <c r="L65" s="7">
        <f>'1 datos preparados'!K58</f>
        <v/>
      </c>
      <c r="M65" s="7">
        <f>'1 datos preparados'!L58</f>
        <v/>
      </c>
      <c r="N65" s="7">
        <f>'1 datos preparados'!M58</f>
        <v/>
      </c>
      <c r="O65" s="7">
        <f>'1 datos preparados'!N58</f>
        <v/>
      </c>
      <c r="P65" s="7">
        <f>'1 datos preparados'!O58</f>
        <v/>
      </c>
      <c r="Q65" s="7">
        <f>'1 datos preparados'!P58</f>
        <v/>
      </c>
      <c r="R65" s="7">
        <f>'1 datos preparados'!Q58</f>
        <v/>
      </c>
      <c r="S65" s="7">
        <f>'1 datos preparados'!R58</f>
        <v/>
      </c>
      <c r="T65" s="7">
        <f>'1 datos preparados'!S58</f>
        <v/>
      </c>
      <c r="U65" s="7">
        <f>'1 datos preparados'!T58</f>
        <v/>
      </c>
      <c r="V65" s="8">
        <f>$AC$12+D65*$AC$13+E65*$AC$14+F65*$AC$15+G65*$AC$16+H65*$AC$17+I65*$AC$18+J65*$AC$19+K65*$AC$20+L65*$AC$21+M65*$AC$22+N65*$AC$23+O65*$AC$24+P65*$AC$25+Q65*$AC$26+R65*$AC$27+S65*$AC$28+T65*$AC$29+U65*$AC$30</f>
        <v/>
      </c>
      <c r="W65" s="8">
        <f>1/(1+EXP(-V65))</f>
        <v/>
      </c>
      <c r="X65" s="9">
        <f>-IF(C65=1,LN(W65),LN(1-W65))</f>
        <v/>
      </c>
      <c r="Y65" s="10">
        <f>IF(W65&gt;$AC$34,1,0)</f>
        <v/>
      </c>
      <c r="Z65">
        <f>IF(Y65=C65,1,0)</f>
        <v/>
      </c>
    </row>
    <row r="66">
      <c r="A66">
        <f>'1 datos preparados'!A59</f>
        <v/>
      </c>
      <c r="B66" s="5">
        <f>'1 datos preparados'!U59</f>
        <v/>
      </c>
      <c r="C66">
        <f>'1 datos preparados'!B59</f>
        <v/>
      </c>
      <c r="D66" s="7">
        <f>'1 datos preparados'!C59</f>
        <v/>
      </c>
      <c r="E66" s="7">
        <f>'1 datos preparados'!D59</f>
        <v/>
      </c>
      <c r="F66" s="7">
        <f>'1 datos preparados'!E59</f>
        <v/>
      </c>
      <c r="G66" s="7">
        <f>'1 datos preparados'!F59</f>
        <v/>
      </c>
      <c r="H66" s="7">
        <f>'1 datos preparados'!G59</f>
        <v/>
      </c>
      <c r="I66" s="7">
        <f>'1 datos preparados'!H59</f>
        <v/>
      </c>
      <c r="J66" s="7">
        <f>'1 datos preparados'!I59</f>
        <v/>
      </c>
      <c r="K66" s="7">
        <f>'1 datos preparados'!J59</f>
        <v/>
      </c>
      <c r="L66" s="7">
        <f>'1 datos preparados'!K59</f>
        <v/>
      </c>
      <c r="M66" s="7">
        <f>'1 datos preparados'!L59</f>
        <v/>
      </c>
      <c r="N66" s="7">
        <f>'1 datos preparados'!M59</f>
        <v/>
      </c>
      <c r="O66" s="7">
        <f>'1 datos preparados'!N59</f>
        <v/>
      </c>
      <c r="P66" s="7">
        <f>'1 datos preparados'!O59</f>
        <v/>
      </c>
      <c r="Q66" s="7">
        <f>'1 datos preparados'!P59</f>
        <v/>
      </c>
      <c r="R66" s="7">
        <f>'1 datos preparados'!Q59</f>
        <v/>
      </c>
      <c r="S66" s="7">
        <f>'1 datos preparados'!R59</f>
        <v/>
      </c>
      <c r="T66" s="7">
        <f>'1 datos preparados'!S59</f>
        <v/>
      </c>
      <c r="U66" s="7">
        <f>'1 datos preparados'!T59</f>
        <v/>
      </c>
      <c r="V66" s="8">
        <f>$AC$12+D66*$AC$13+E66*$AC$14+F66*$AC$15+G66*$AC$16+H66*$AC$17+I66*$AC$18+J66*$AC$19+K66*$AC$20+L66*$AC$21+M66*$AC$22+N66*$AC$23+O66*$AC$24+P66*$AC$25+Q66*$AC$26+R66*$AC$27+S66*$AC$28+T66*$AC$29+U66*$AC$30</f>
        <v/>
      </c>
      <c r="W66" s="8">
        <f>1/(1+EXP(-V66))</f>
        <v/>
      </c>
      <c r="X66" s="9">
        <f>-IF(C66=1,LN(W66),LN(1-W66))</f>
        <v/>
      </c>
      <c r="Y66" s="10">
        <f>IF(W66&gt;$AC$34,1,0)</f>
        <v/>
      </c>
      <c r="Z66">
        <f>IF(Y66=C66,1,0)</f>
        <v/>
      </c>
    </row>
    <row r="67">
      <c r="A67">
        <f>'1 datos preparados'!A60</f>
        <v/>
      </c>
      <c r="B67" s="5">
        <f>'1 datos preparados'!U60</f>
        <v/>
      </c>
      <c r="C67">
        <f>'1 datos preparados'!B60</f>
        <v/>
      </c>
      <c r="D67" s="7">
        <f>'1 datos preparados'!C60</f>
        <v/>
      </c>
      <c r="E67" s="7">
        <f>'1 datos preparados'!D60</f>
        <v/>
      </c>
      <c r="F67" s="7">
        <f>'1 datos preparados'!E60</f>
        <v/>
      </c>
      <c r="G67" s="7">
        <f>'1 datos preparados'!F60</f>
        <v/>
      </c>
      <c r="H67" s="7">
        <f>'1 datos preparados'!G60</f>
        <v/>
      </c>
      <c r="I67" s="7">
        <f>'1 datos preparados'!H60</f>
        <v/>
      </c>
      <c r="J67" s="7">
        <f>'1 datos preparados'!I60</f>
        <v/>
      </c>
      <c r="K67" s="7">
        <f>'1 datos preparados'!J60</f>
        <v/>
      </c>
      <c r="L67" s="7">
        <f>'1 datos preparados'!K60</f>
        <v/>
      </c>
      <c r="M67" s="7">
        <f>'1 datos preparados'!L60</f>
        <v/>
      </c>
      <c r="N67" s="7">
        <f>'1 datos preparados'!M60</f>
        <v/>
      </c>
      <c r="O67" s="7">
        <f>'1 datos preparados'!N60</f>
        <v/>
      </c>
      <c r="P67" s="7">
        <f>'1 datos preparados'!O60</f>
        <v/>
      </c>
      <c r="Q67" s="7">
        <f>'1 datos preparados'!P60</f>
        <v/>
      </c>
      <c r="R67" s="7">
        <f>'1 datos preparados'!Q60</f>
        <v/>
      </c>
      <c r="S67" s="7">
        <f>'1 datos preparados'!R60</f>
        <v/>
      </c>
      <c r="T67" s="7">
        <f>'1 datos preparados'!S60</f>
        <v/>
      </c>
      <c r="U67" s="7">
        <f>'1 datos preparados'!T60</f>
        <v/>
      </c>
      <c r="V67" s="8">
        <f>$AC$12+D67*$AC$13+E67*$AC$14+F67*$AC$15+G67*$AC$16+H67*$AC$17+I67*$AC$18+J67*$AC$19+K67*$AC$20+L67*$AC$21+M67*$AC$22+N67*$AC$23+O67*$AC$24+P67*$AC$25+Q67*$AC$26+R67*$AC$27+S67*$AC$28+T67*$AC$29+U67*$AC$30</f>
        <v/>
      </c>
      <c r="W67" s="8">
        <f>1/(1+EXP(-V67))</f>
        <v/>
      </c>
      <c r="X67" s="9">
        <f>-IF(C67=1,LN(W67),LN(1-W67))</f>
        <v/>
      </c>
      <c r="Y67" s="10">
        <f>IF(W67&gt;$AC$34,1,0)</f>
        <v/>
      </c>
      <c r="Z67">
        <f>IF(Y67=C67,1,0)</f>
        <v/>
      </c>
    </row>
    <row r="68">
      <c r="A68">
        <f>'1 datos preparados'!A61</f>
        <v/>
      </c>
      <c r="B68" s="5">
        <f>'1 datos preparados'!U61</f>
        <v/>
      </c>
      <c r="C68">
        <f>'1 datos preparados'!B61</f>
        <v/>
      </c>
      <c r="D68" s="7">
        <f>'1 datos preparados'!C61</f>
        <v/>
      </c>
      <c r="E68" s="7">
        <f>'1 datos preparados'!D61</f>
        <v/>
      </c>
      <c r="F68" s="7">
        <f>'1 datos preparados'!E61</f>
        <v/>
      </c>
      <c r="G68" s="7">
        <f>'1 datos preparados'!F61</f>
        <v/>
      </c>
      <c r="H68" s="7">
        <f>'1 datos preparados'!G61</f>
        <v/>
      </c>
      <c r="I68" s="7">
        <f>'1 datos preparados'!H61</f>
        <v/>
      </c>
      <c r="J68" s="7">
        <f>'1 datos preparados'!I61</f>
        <v/>
      </c>
      <c r="K68" s="7">
        <f>'1 datos preparados'!J61</f>
        <v/>
      </c>
      <c r="L68" s="7">
        <f>'1 datos preparados'!K61</f>
        <v/>
      </c>
      <c r="M68" s="7">
        <f>'1 datos preparados'!L61</f>
        <v/>
      </c>
      <c r="N68" s="7">
        <f>'1 datos preparados'!M61</f>
        <v/>
      </c>
      <c r="O68" s="7">
        <f>'1 datos preparados'!N61</f>
        <v/>
      </c>
      <c r="P68" s="7">
        <f>'1 datos preparados'!O61</f>
        <v/>
      </c>
      <c r="Q68" s="7">
        <f>'1 datos preparados'!P61</f>
        <v/>
      </c>
      <c r="R68" s="7">
        <f>'1 datos preparados'!Q61</f>
        <v/>
      </c>
      <c r="S68" s="7">
        <f>'1 datos preparados'!R61</f>
        <v/>
      </c>
      <c r="T68" s="7">
        <f>'1 datos preparados'!S61</f>
        <v/>
      </c>
      <c r="U68" s="7">
        <f>'1 datos preparados'!T61</f>
        <v/>
      </c>
      <c r="V68" s="8">
        <f>$AC$12+D68*$AC$13+E68*$AC$14+F68*$AC$15+G68*$AC$16+H68*$AC$17+I68*$AC$18+J68*$AC$19+K68*$AC$20+L68*$AC$21+M68*$AC$22+N68*$AC$23+O68*$AC$24+P68*$AC$25+Q68*$AC$26+R68*$AC$27+S68*$AC$28+T68*$AC$29+U68*$AC$30</f>
        <v/>
      </c>
      <c r="W68" s="8">
        <f>1/(1+EXP(-V68))</f>
        <v/>
      </c>
      <c r="X68" s="9">
        <f>-IF(C68=1,LN(W68),LN(1-W68))</f>
        <v/>
      </c>
      <c r="Y68" s="10">
        <f>IF(W68&gt;$AC$34,1,0)</f>
        <v/>
      </c>
      <c r="Z68">
        <f>IF(Y68=C68,1,0)</f>
        <v/>
      </c>
    </row>
    <row r="69">
      <c r="A69">
        <f>'1 datos preparados'!A62</f>
        <v/>
      </c>
      <c r="B69" s="5">
        <f>'1 datos preparados'!U62</f>
        <v/>
      </c>
      <c r="C69">
        <f>'1 datos preparados'!B62</f>
        <v/>
      </c>
      <c r="D69" s="7">
        <f>'1 datos preparados'!C62</f>
        <v/>
      </c>
      <c r="E69" s="7">
        <f>'1 datos preparados'!D62</f>
        <v/>
      </c>
      <c r="F69" s="7">
        <f>'1 datos preparados'!E62</f>
        <v/>
      </c>
      <c r="G69" s="7">
        <f>'1 datos preparados'!F62</f>
        <v/>
      </c>
      <c r="H69" s="7">
        <f>'1 datos preparados'!G62</f>
        <v/>
      </c>
      <c r="I69" s="7">
        <f>'1 datos preparados'!H62</f>
        <v/>
      </c>
      <c r="J69" s="7">
        <f>'1 datos preparados'!I62</f>
        <v/>
      </c>
      <c r="K69" s="7">
        <f>'1 datos preparados'!J62</f>
        <v/>
      </c>
      <c r="L69" s="7">
        <f>'1 datos preparados'!K62</f>
        <v/>
      </c>
      <c r="M69" s="7">
        <f>'1 datos preparados'!L62</f>
        <v/>
      </c>
      <c r="N69" s="7">
        <f>'1 datos preparados'!M62</f>
        <v/>
      </c>
      <c r="O69" s="7">
        <f>'1 datos preparados'!N62</f>
        <v/>
      </c>
      <c r="P69" s="7">
        <f>'1 datos preparados'!O62</f>
        <v/>
      </c>
      <c r="Q69" s="7">
        <f>'1 datos preparados'!P62</f>
        <v/>
      </c>
      <c r="R69" s="7">
        <f>'1 datos preparados'!Q62</f>
        <v/>
      </c>
      <c r="S69" s="7">
        <f>'1 datos preparados'!R62</f>
        <v/>
      </c>
      <c r="T69" s="7">
        <f>'1 datos preparados'!S62</f>
        <v/>
      </c>
      <c r="U69" s="7">
        <f>'1 datos preparados'!T62</f>
        <v/>
      </c>
      <c r="V69" s="8">
        <f>$AC$12+D69*$AC$13+E69*$AC$14+F69*$AC$15+G69*$AC$16+H69*$AC$17+I69*$AC$18+J69*$AC$19+K69*$AC$20+L69*$AC$21+M69*$AC$22+N69*$AC$23+O69*$AC$24+P69*$AC$25+Q69*$AC$26+R69*$AC$27+S69*$AC$28+T69*$AC$29+U69*$AC$30</f>
        <v/>
      </c>
      <c r="W69" s="8">
        <f>1/(1+EXP(-V69))</f>
        <v/>
      </c>
      <c r="X69" s="9">
        <f>-IF(C69=1,LN(W69),LN(1-W69))</f>
        <v/>
      </c>
      <c r="Y69" s="10">
        <f>IF(W69&gt;$AC$34,1,0)</f>
        <v/>
      </c>
      <c r="Z69">
        <f>IF(Y69=C69,1,0)</f>
        <v/>
      </c>
    </row>
    <row r="70">
      <c r="A70">
        <f>'1 datos preparados'!A63</f>
        <v/>
      </c>
      <c r="B70" s="5">
        <f>'1 datos preparados'!U63</f>
        <v/>
      </c>
      <c r="C70">
        <f>'1 datos preparados'!B63</f>
        <v/>
      </c>
      <c r="D70" s="7">
        <f>'1 datos preparados'!C63</f>
        <v/>
      </c>
      <c r="E70" s="7">
        <f>'1 datos preparados'!D63</f>
        <v/>
      </c>
      <c r="F70" s="7">
        <f>'1 datos preparados'!E63</f>
        <v/>
      </c>
      <c r="G70" s="7">
        <f>'1 datos preparados'!F63</f>
        <v/>
      </c>
      <c r="H70" s="7">
        <f>'1 datos preparados'!G63</f>
        <v/>
      </c>
      <c r="I70" s="7">
        <f>'1 datos preparados'!H63</f>
        <v/>
      </c>
      <c r="J70" s="7">
        <f>'1 datos preparados'!I63</f>
        <v/>
      </c>
      <c r="K70" s="7">
        <f>'1 datos preparados'!J63</f>
        <v/>
      </c>
      <c r="L70" s="7">
        <f>'1 datos preparados'!K63</f>
        <v/>
      </c>
      <c r="M70" s="7">
        <f>'1 datos preparados'!L63</f>
        <v/>
      </c>
      <c r="N70" s="7">
        <f>'1 datos preparados'!M63</f>
        <v/>
      </c>
      <c r="O70" s="7">
        <f>'1 datos preparados'!N63</f>
        <v/>
      </c>
      <c r="P70" s="7">
        <f>'1 datos preparados'!O63</f>
        <v/>
      </c>
      <c r="Q70" s="7">
        <f>'1 datos preparados'!P63</f>
        <v/>
      </c>
      <c r="R70" s="7">
        <f>'1 datos preparados'!Q63</f>
        <v/>
      </c>
      <c r="S70" s="7">
        <f>'1 datos preparados'!R63</f>
        <v/>
      </c>
      <c r="T70" s="7">
        <f>'1 datos preparados'!S63</f>
        <v/>
      </c>
      <c r="U70" s="7">
        <f>'1 datos preparados'!T63</f>
        <v/>
      </c>
      <c r="V70" s="8">
        <f>$AC$12+D70*$AC$13+E70*$AC$14+F70*$AC$15+G70*$AC$16+H70*$AC$17+I70*$AC$18+J70*$AC$19+K70*$AC$20+L70*$AC$21+M70*$AC$22+N70*$AC$23+O70*$AC$24+P70*$AC$25+Q70*$AC$26+R70*$AC$27+S70*$AC$28+T70*$AC$29+U70*$AC$30</f>
        <v/>
      </c>
      <c r="W70" s="8">
        <f>1/(1+EXP(-V70))</f>
        <v/>
      </c>
      <c r="X70" s="9">
        <f>-IF(C70=1,LN(W70),LN(1-W70))</f>
        <v/>
      </c>
      <c r="Y70" s="10">
        <f>IF(W70&gt;$AC$34,1,0)</f>
        <v/>
      </c>
      <c r="Z70">
        <f>IF(Y70=C70,1,0)</f>
        <v/>
      </c>
    </row>
    <row r="71">
      <c r="A71">
        <f>'1 datos preparados'!A64</f>
        <v/>
      </c>
      <c r="B71" s="5">
        <f>'1 datos preparados'!U64</f>
        <v/>
      </c>
      <c r="C71">
        <f>'1 datos preparados'!B64</f>
        <v/>
      </c>
      <c r="D71" s="7">
        <f>'1 datos preparados'!C64</f>
        <v/>
      </c>
      <c r="E71" s="7">
        <f>'1 datos preparados'!D64</f>
        <v/>
      </c>
      <c r="F71" s="7">
        <f>'1 datos preparados'!E64</f>
        <v/>
      </c>
      <c r="G71" s="7">
        <f>'1 datos preparados'!F64</f>
        <v/>
      </c>
      <c r="H71" s="7">
        <f>'1 datos preparados'!G64</f>
        <v/>
      </c>
      <c r="I71" s="7">
        <f>'1 datos preparados'!H64</f>
        <v/>
      </c>
      <c r="J71" s="7">
        <f>'1 datos preparados'!I64</f>
        <v/>
      </c>
      <c r="K71" s="7">
        <f>'1 datos preparados'!J64</f>
        <v/>
      </c>
      <c r="L71" s="7">
        <f>'1 datos preparados'!K64</f>
        <v/>
      </c>
      <c r="M71" s="7">
        <f>'1 datos preparados'!L64</f>
        <v/>
      </c>
      <c r="N71" s="7">
        <f>'1 datos preparados'!M64</f>
        <v/>
      </c>
      <c r="O71" s="7">
        <f>'1 datos preparados'!N64</f>
        <v/>
      </c>
      <c r="P71" s="7">
        <f>'1 datos preparados'!O64</f>
        <v/>
      </c>
      <c r="Q71" s="7">
        <f>'1 datos preparados'!P64</f>
        <v/>
      </c>
      <c r="R71" s="7">
        <f>'1 datos preparados'!Q64</f>
        <v/>
      </c>
      <c r="S71" s="7">
        <f>'1 datos preparados'!R64</f>
        <v/>
      </c>
      <c r="T71" s="7">
        <f>'1 datos preparados'!S64</f>
        <v/>
      </c>
      <c r="U71" s="7">
        <f>'1 datos preparados'!T64</f>
        <v/>
      </c>
      <c r="V71" s="8">
        <f>$AC$12+D71*$AC$13+E71*$AC$14+F71*$AC$15+G71*$AC$16+H71*$AC$17+I71*$AC$18+J71*$AC$19+K71*$AC$20+L71*$AC$21+M71*$AC$22+N71*$AC$23+O71*$AC$24+P71*$AC$25+Q71*$AC$26+R71*$AC$27+S71*$AC$28+T71*$AC$29+U71*$AC$30</f>
        <v/>
      </c>
      <c r="W71" s="8">
        <f>1/(1+EXP(-V71))</f>
        <v/>
      </c>
      <c r="X71" s="9">
        <f>-IF(C71=1,LN(W71),LN(1-W71))</f>
        <v/>
      </c>
      <c r="Y71" s="10">
        <f>IF(W71&gt;$AC$34,1,0)</f>
        <v/>
      </c>
      <c r="Z71">
        <f>IF(Y71=C71,1,0)</f>
        <v/>
      </c>
    </row>
    <row r="72">
      <c r="A72">
        <f>'1 datos preparados'!A65</f>
        <v/>
      </c>
      <c r="B72" s="5">
        <f>'1 datos preparados'!U65</f>
        <v/>
      </c>
      <c r="C72">
        <f>'1 datos preparados'!B65</f>
        <v/>
      </c>
      <c r="D72" s="7">
        <f>'1 datos preparados'!C65</f>
        <v/>
      </c>
      <c r="E72" s="7">
        <f>'1 datos preparados'!D65</f>
        <v/>
      </c>
      <c r="F72" s="7">
        <f>'1 datos preparados'!E65</f>
        <v/>
      </c>
      <c r="G72" s="7">
        <f>'1 datos preparados'!F65</f>
        <v/>
      </c>
      <c r="H72" s="7">
        <f>'1 datos preparados'!G65</f>
        <v/>
      </c>
      <c r="I72" s="7">
        <f>'1 datos preparados'!H65</f>
        <v/>
      </c>
      <c r="J72" s="7">
        <f>'1 datos preparados'!I65</f>
        <v/>
      </c>
      <c r="K72" s="7">
        <f>'1 datos preparados'!J65</f>
        <v/>
      </c>
      <c r="L72" s="7">
        <f>'1 datos preparados'!K65</f>
        <v/>
      </c>
      <c r="M72" s="7">
        <f>'1 datos preparados'!L65</f>
        <v/>
      </c>
      <c r="N72" s="7">
        <f>'1 datos preparados'!M65</f>
        <v/>
      </c>
      <c r="O72" s="7">
        <f>'1 datos preparados'!N65</f>
        <v/>
      </c>
      <c r="P72" s="7">
        <f>'1 datos preparados'!O65</f>
        <v/>
      </c>
      <c r="Q72" s="7">
        <f>'1 datos preparados'!P65</f>
        <v/>
      </c>
      <c r="R72" s="7">
        <f>'1 datos preparados'!Q65</f>
        <v/>
      </c>
      <c r="S72" s="7">
        <f>'1 datos preparados'!R65</f>
        <v/>
      </c>
      <c r="T72" s="7">
        <f>'1 datos preparados'!S65</f>
        <v/>
      </c>
      <c r="U72" s="7">
        <f>'1 datos preparados'!T65</f>
        <v/>
      </c>
      <c r="V72" s="8">
        <f>$AC$12+D72*$AC$13+E72*$AC$14+F72*$AC$15+G72*$AC$16+H72*$AC$17+I72*$AC$18+J72*$AC$19+K72*$AC$20+L72*$AC$21+M72*$AC$22+N72*$AC$23+O72*$AC$24+P72*$AC$25+Q72*$AC$26+R72*$AC$27+S72*$AC$28+T72*$AC$29+U72*$AC$30</f>
        <v/>
      </c>
      <c r="W72" s="8">
        <f>1/(1+EXP(-V72))</f>
        <v/>
      </c>
      <c r="X72" s="9">
        <f>-IF(C72=1,LN(W72),LN(1-W72))</f>
        <v/>
      </c>
      <c r="Y72" s="10">
        <f>IF(W72&gt;$AC$34,1,0)</f>
        <v/>
      </c>
      <c r="Z72">
        <f>IF(Y72=C72,1,0)</f>
        <v/>
      </c>
    </row>
    <row r="73">
      <c r="A73">
        <f>'1 datos preparados'!A66</f>
        <v/>
      </c>
      <c r="B73" s="5">
        <f>'1 datos preparados'!U66</f>
        <v/>
      </c>
      <c r="C73">
        <f>'1 datos preparados'!B66</f>
        <v/>
      </c>
      <c r="D73" s="7">
        <f>'1 datos preparados'!C66</f>
        <v/>
      </c>
      <c r="E73" s="7">
        <f>'1 datos preparados'!D66</f>
        <v/>
      </c>
      <c r="F73" s="7">
        <f>'1 datos preparados'!E66</f>
        <v/>
      </c>
      <c r="G73" s="7">
        <f>'1 datos preparados'!F66</f>
        <v/>
      </c>
      <c r="H73" s="7">
        <f>'1 datos preparados'!G66</f>
        <v/>
      </c>
      <c r="I73" s="7">
        <f>'1 datos preparados'!H66</f>
        <v/>
      </c>
      <c r="J73" s="7">
        <f>'1 datos preparados'!I66</f>
        <v/>
      </c>
      <c r="K73" s="7">
        <f>'1 datos preparados'!J66</f>
        <v/>
      </c>
      <c r="L73" s="7">
        <f>'1 datos preparados'!K66</f>
        <v/>
      </c>
      <c r="M73" s="7">
        <f>'1 datos preparados'!L66</f>
        <v/>
      </c>
      <c r="N73" s="7">
        <f>'1 datos preparados'!M66</f>
        <v/>
      </c>
      <c r="O73" s="7">
        <f>'1 datos preparados'!N66</f>
        <v/>
      </c>
      <c r="P73" s="7">
        <f>'1 datos preparados'!O66</f>
        <v/>
      </c>
      <c r="Q73" s="7">
        <f>'1 datos preparados'!P66</f>
        <v/>
      </c>
      <c r="R73" s="7">
        <f>'1 datos preparados'!Q66</f>
        <v/>
      </c>
      <c r="S73" s="7">
        <f>'1 datos preparados'!R66</f>
        <v/>
      </c>
      <c r="T73" s="7">
        <f>'1 datos preparados'!S66</f>
        <v/>
      </c>
      <c r="U73" s="7">
        <f>'1 datos preparados'!T66</f>
        <v/>
      </c>
      <c r="V73" s="8">
        <f>$AC$12+D73*$AC$13+E73*$AC$14+F73*$AC$15+G73*$AC$16+H73*$AC$17+I73*$AC$18+J73*$AC$19+K73*$AC$20+L73*$AC$21+M73*$AC$22+N73*$AC$23+O73*$AC$24+P73*$AC$25+Q73*$AC$26+R73*$AC$27+S73*$AC$28+T73*$AC$29+U73*$AC$30</f>
        <v/>
      </c>
      <c r="W73" s="8">
        <f>1/(1+EXP(-V73))</f>
        <v/>
      </c>
      <c r="X73" s="9">
        <f>-IF(C73=1,LN(W73),LN(1-W73))</f>
        <v/>
      </c>
      <c r="Y73" s="10">
        <f>IF(W73&gt;$AC$34,1,0)</f>
        <v/>
      </c>
      <c r="Z73">
        <f>IF(Y73=C73,1,0)</f>
        <v/>
      </c>
    </row>
    <row r="74">
      <c r="A74">
        <f>'1 datos preparados'!A67</f>
        <v/>
      </c>
      <c r="B74" s="5">
        <f>'1 datos preparados'!U67</f>
        <v/>
      </c>
      <c r="C74">
        <f>'1 datos preparados'!B67</f>
        <v/>
      </c>
      <c r="D74" s="7">
        <f>'1 datos preparados'!C67</f>
        <v/>
      </c>
      <c r="E74" s="7">
        <f>'1 datos preparados'!D67</f>
        <v/>
      </c>
      <c r="F74" s="7">
        <f>'1 datos preparados'!E67</f>
        <v/>
      </c>
      <c r="G74" s="7">
        <f>'1 datos preparados'!F67</f>
        <v/>
      </c>
      <c r="H74" s="7">
        <f>'1 datos preparados'!G67</f>
        <v/>
      </c>
      <c r="I74" s="7">
        <f>'1 datos preparados'!H67</f>
        <v/>
      </c>
      <c r="J74" s="7">
        <f>'1 datos preparados'!I67</f>
        <v/>
      </c>
      <c r="K74" s="7">
        <f>'1 datos preparados'!J67</f>
        <v/>
      </c>
      <c r="L74" s="7">
        <f>'1 datos preparados'!K67</f>
        <v/>
      </c>
      <c r="M74" s="7">
        <f>'1 datos preparados'!L67</f>
        <v/>
      </c>
      <c r="N74" s="7">
        <f>'1 datos preparados'!M67</f>
        <v/>
      </c>
      <c r="O74" s="7">
        <f>'1 datos preparados'!N67</f>
        <v/>
      </c>
      <c r="P74" s="7">
        <f>'1 datos preparados'!O67</f>
        <v/>
      </c>
      <c r="Q74" s="7">
        <f>'1 datos preparados'!P67</f>
        <v/>
      </c>
      <c r="R74" s="7">
        <f>'1 datos preparados'!Q67</f>
        <v/>
      </c>
      <c r="S74" s="7">
        <f>'1 datos preparados'!R67</f>
        <v/>
      </c>
      <c r="T74" s="7">
        <f>'1 datos preparados'!S67</f>
        <v/>
      </c>
      <c r="U74" s="7">
        <f>'1 datos preparados'!T67</f>
        <v/>
      </c>
      <c r="V74" s="8">
        <f>$AC$12+D74*$AC$13+E74*$AC$14+F74*$AC$15+G74*$AC$16+H74*$AC$17+I74*$AC$18+J74*$AC$19+K74*$AC$20+L74*$AC$21+M74*$AC$22+N74*$AC$23+O74*$AC$24+P74*$AC$25+Q74*$AC$26+R74*$AC$27+S74*$AC$28+T74*$AC$29+U74*$AC$30</f>
        <v/>
      </c>
      <c r="W74" s="8">
        <f>1/(1+EXP(-V74))</f>
        <v/>
      </c>
      <c r="X74" s="9">
        <f>-IF(C74=1,LN(W74),LN(1-W74))</f>
        <v/>
      </c>
      <c r="Y74" s="10">
        <f>IF(W74&gt;$AC$34,1,0)</f>
        <v/>
      </c>
      <c r="Z74">
        <f>IF(Y74=C74,1,0)</f>
        <v/>
      </c>
    </row>
    <row r="75">
      <c r="A75">
        <f>'1 datos preparados'!A68</f>
        <v/>
      </c>
      <c r="B75" s="5">
        <f>'1 datos preparados'!U68</f>
        <v/>
      </c>
      <c r="C75">
        <f>'1 datos preparados'!B68</f>
        <v/>
      </c>
      <c r="D75" s="7">
        <f>'1 datos preparados'!C68</f>
        <v/>
      </c>
      <c r="E75" s="7">
        <f>'1 datos preparados'!D68</f>
        <v/>
      </c>
      <c r="F75" s="7">
        <f>'1 datos preparados'!E68</f>
        <v/>
      </c>
      <c r="G75" s="7">
        <f>'1 datos preparados'!F68</f>
        <v/>
      </c>
      <c r="H75" s="7">
        <f>'1 datos preparados'!G68</f>
        <v/>
      </c>
      <c r="I75" s="7">
        <f>'1 datos preparados'!H68</f>
        <v/>
      </c>
      <c r="J75" s="7">
        <f>'1 datos preparados'!I68</f>
        <v/>
      </c>
      <c r="K75" s="7">
        <f>'1 datos preparados'!J68</f>
        <v/>
      </c>
      <c r="L75" s="7">
        <f>'1 datos preparados'!K68</f>
        <v/>
      </c>
      <c r="M75" s="7">
        <f>'1 datos preparados'!L68</f>
        <v/>
      </c>
      <c r="N75" s="7">
        <f>'1 datos preparados'!M68</f>
        <v/>
      </c>
      <c r="O75" s="7">
        <f>'1 datos preparados'!N68</f>
        <v/>
      </c>
      <c r="P75" s="7">
        <f>'1 datos preparados'!O68</f>
        <v/>
      </c>
      <c r="Q75" s="7">
        <f>'1 datos preparados'!P68</f>
        <v/>
      </c>
      <c r="R75" s="7">
        <f>'1 datos preparados'!Q68</f>
        <v/>
      </c>
      <c r="S75" s="7">
        <f>'1 datos preparados'!R68</f>
        <v/>
      </c>
      <c r="T75" s="7">
        <f>'1 datos preparados'!S68</f>
        <v/>
      </c>
      <c r="U75" s="7">
        <f>'1 datos preparados'!T68</f>
        <v/>
      </c>
      <c r="V75" s="8">
        <f>$AC$12+D75*$AC$13+E75*$AC$14+F75*$AC$15+G75*$AC$16+H75*$AC$17+I75*$AC$18+J75*$AC$19+K75*$AC$20+L75*$AC$21+M75*$AC$22+N75*$AC$23+O75*$AC$24+P75*$AC$25+Q75*$AC$26+R75*$AC$27+S75*$AC$28+T75*$AC$29+U75*$AC$30</f>
        <v/>
      </c>
      <c r="W75" s="8">
        <f>1/(1+EXP(-V75))</f>
        <v/>
      </c>
      <c r="X75" s="9">
        <f>-IF(C75=1,LN(W75),LN(1-W75))</f>
        <v/>
      </c>
      <c r="Y75" s="10">
        <f>IF(W75&gt;$AC$34,1,0)</f>
        <v/>
      </c>
      <c r="Z75">
        <f>IF(Y75=C75,1,0)</f>
        <v/>
      </c>
    </row>
    <row r="76">
      <c r="A76">
        <f>'1 datos preparados'!A69</f>
        <v/>
      </c>
      <c r="B76" s="5">
        <f>'1 datos preparados'!U69</f>
        <v/>
      </c>
      <c r="C76">
        <f>'1 datos preparados'!B69</f>
        <v/>
      </c>
      <c r="D76" s="7">
        <f>'1 datos preparados'!C69</f>
        <v/>
      </c>
      <c r="E76" s="7">
        <f>'1 datos preparados'!D69</f>
        <v/>
      </c>
      <c r="F76" s="7">
        <f>'1 datos preparados'!E69</f>
        <v/>
      </c>
      <c r="G76" s="7">
        <f>'1 datos preparados'!F69</f>
        <v/>
      </c>
      <c r="H76" s="7">
        <f>'1 datos preparados'!G69</f>
        <v/>
      </c>
      <c r="I76" s="7">
        <f>'1 datos preparados'!H69</f>
        <v/>
      </c>
      <c r="J76" s="7">
        <f>'1 datos preparados'!I69</f>
        <v/>
      </c>
      <c r="K76" s="7">
        <f>'1 datos preparados'!J69</f>
        <v/>
      </c>
      <c r="L76" s="7">
        <f>'1 datos preparados'!K69</f>
        <v/>
      </c>
      <c r="M76" s="7">
        <f>'1 datos preparados'!L69</f>
        <v/>
      </c>
      <c r="N76" s="7">
        <f>'1 datos preparados'!M69</f>
        <v/>
      </c>
      <c r="O76" s="7">
        <f>'1 datos preparados'!N69</f>
        <v/>
      </c>
      <c r="P76" s="7">
        <f>'1 datos preparados'!O69</f>
        <v/>
      </c>
      <c r="Q76" s="7">
        <f>'1 datos preparados'!P69</f>
        <v/>
      </c>
      <c r="R76" s="7">
        <f>'1 datos preparados'!Q69</f>
        <v/>
      </c>
      <c r="S76" s="7">
        <f>'1 datos preparados'!R69</f>
        <v/>
      </c>
      <c r="T76" s="7">
        <f>'1 datos preparados'!S69</f>
        <v/>
      </c>
      <c r="U76" s="7">
        <f>'1 datos preparados'!T69</f>
        <v/>
      </c>
      <c r="V76" s="8">
        <f>$AC$12+D76*$AC$13+E76*$AC$14+F76*$AC$15+G76*$AC$16+H76*$AC$17+I76*$AC$18+J76*$AC$19+K76*$AC$20+L76*$AC$21+M76*$AC$22+N76*$AC$23+O76*$AC$24+P76*$AC$25+Q76*$AC$26+R76*$AC$27+S76*$AC$28+T76*$AC$29+U76*$AC$30</f>
        <v/>
      </c>
      <c r="W76" s="8">
        <f>1/(1+EXP(-V76))</f>
        <v/>
      </c>
      <c r="X76" s="9">
        <f>-IF(C76=1,LN(W76),LN(1-W76))</f>
        <v/>
      </c>
      <c r="Y76" s="10">
        <f>IF(W76&gt;$AC$34,1,0)</f>
        <v/>
      </c>
      <c r="Z76">
        <f>IF(Y76=C76,1,0)</f>
        <v/>
      </c>
    </row>
    <row r="77">
      <c r="A77">
        <f>'1 datos preparados'!A70</f>
        <v/>
      </c>
      <c r="B77" s="5">
        <f>'1 datos preparados'!U70</f>
        <v/>
      </c>
      <c r="C77">
        <f>'1 datos preparados'!B70</f>
        <v/>
      </c>
      <c r="D77" s="7">
        <f>'1 datos preparados'!C70</f>
        <v/>
      </c>
      <c r="E77" s="7">
        <f>'1 datos preparados'!D70</f>
        <v/>
      </c>
      <c r="F77" s="7">
        <f>'1 datos preparados'!E70</f>
        <v/>
      </c>
      <c r="G77" s="7">
        <f>'1 datos preparados'!F70</f>
        <v/>
      </c>
      <c r="H77" s="7">
        <f>'1 datos preparados'!G70</f>
        <v/>
      </c>
      <c r="I77" s="7">
        <f>'1 datos preparados'!H70</f>
        <v/>
      </c>
      <c r="J77" s="7">
        <f>'1 datos preparados'!I70</f>
        <v/>
      </c>
      <c r="K77" s="7">
        <f>'1 datos preparados'!J70</f>
        <v/>
      </c>
      <c r="L77" s="7">
        <f>'1 datos preparados'!K70</f>
        <v/>
      </c>
      <c r="M77" s="7">
        <f>'1 datos preparados'!L70</f>
        <v/>
      </c>
      <c r="N77" s="7">
        <f>'1 datos preparados'!M70</f>
        <v/>
      </c>
      <c r="O77" s="7">
        <f>'1 datos preparados'!N70</f>
        <v/>
      </c>
      <c r="P77" s="7">
        <f>'1 datos preparados'!O70</f>
        <v/>
      </c>
      <c r="Q77" s="7">
        <f>'1 datos preparados'!P70</f>
        <v/>
      </c>
      <c r="R77" s="7">
        <f>'1 datos preparados'!Q70</f>
        <v/>
      </c>
      <c r="S77" s="7">
        <f>'1 datos preparados'!R70</f>
        <v/>
      </c>
      <c r="T77" s="7">
        <f>'1 datos preparados'!S70</f>
        <v/>
      </c>
      <c r="U77" s="7">
        <f>'1 datos preparados'!T70</f>
        <v/>
      </c>
      <c r="V77" s="8">
        <f>$AC$12+D77*$AC$13+E77*$AC$14+F77*$AC$15+G77*$AC$16+H77*$AC$17+I77*$AC$18+J77*$AC$19+K77*$AC$20+L77*$AC$21+M77*$AC$22+N77*$AC$23+O77*$AC$24+P77*$AC$25+Q77*$AC$26+R77*$AC$27+S77*$AC$28+T77*$AC$29+U77*$AC$30</f>
        <v/>
      </c>
      <c r="W77" s="8">
        <f>1/(1+EXP(-V77))</f>
        <v/>
      </c>
      <c r="X77" s="9">
        <f>-IF(C77=1,LN(W77),LN(1-W77))</f>
        <v/>
      </c>
      <c r="Y77" s="10">
        <f>IF(W77&gt;$AC$34,1,0)</f>
        <v/>
      </c>
      <c r="Z77">
        <f>IF(Y77=C77,1,0)</f>
        <v/>
      </c>
    </row>
    <row r="78">
      <c r="A78">
        <f>'1 datos preparados'!A71</f>
        <v/>
      </c>
      <c r="B78" s="5">
        <f>'1 datos preparados'!U71</f>
        <v/>
      </c>
      <c r="C78">
        <f>'1 datos preparados'!B71</f>
        <v/>
      </c>
      <c r="D78" s="7">
        <f>'1 datos preparados'!C71</f>
        <v/>
      </c>
      <c r="E78" s="7">
        <f>'1 datos preparados'!D71</f>
        <v/>
      </c>
      <c r="F78" s="7">
        <f>'1 datos preparados'!E71</f>
        <v/>
      </c>
      <c r="G78" s="7">
        <f>'1 datos preparados'!F71</f>
        <v/>
      </c>
      <c r="H78" s="7">
        <f>'1 datos preparados'!G71</f>
        <v/>
      </c>
      <c r="I78" s="7">
        <f>'1 datos preparados'!H71</f>
        <v/>
      </c>
      <c r="J78" s="7">
        <f>'1 datos preparados'!I71</f>
        <v/>
      </c>
      <c r="K78" s="7">
        <f>'1 datos preparados'!J71</f>
        <v/>
      </c>
      <c r="L78" s="7">
        <f>'1 datos preparados'!K71</f>
        <v/>
      </c>
      <c r="M78" s="7">
        <f>'1 datos preparados'!L71</f>
        <v/>
      </c>
      <c r="N78" s="7">
        <f>'1 datos preparados'!M71</f>
        <v/>
      </c>
      <c r="O78" s="7">
        <f>'1 datos preparados'!N71</f>
        <v/>
      </c>
      <c r="P78" s="7">
        <f>'1 datos preparados'!O71</f>
        <v/>
      </c>
      <c r="Q78" s="7">
        <f>'1 datos preparados'!P71</f>
        <v/>
      </c>
      <c r="R78" s="7">
        <f>'1 datos preparados'!Q71</f>
        <v/>
      </c>
      <c r="S78" s="7">
        <f>'1 datos preparados'!R71</f>
        <v/>
      </c>
      <c r="T78" s="7">
        <f>'1 datos preparados'!S71</f>
        <v/>
      </c>
      <c r="U78" s="7">
        <f>'1 datos preparados'!T71</f>
        <v/>
      </c>
      <c r="V78" s="8">
        <f>$AC$12+D78*$AC$13+E78*$AC$14+F78*$AC$15+G78*$AC$16+H78*$AC$17+I78*$AC$18+J78*$AC$19+K78*$AC$20+L78*$AC$21+M78*$AC$22+N78*$AC$23+O78*$AC$24+P78*$AC$25+Q78*$AC$26+R78*$AC$27+S78*$AC$28+T78*$AC$29+U78*$AC$30</f>
        <v/>
      </c>
      <c r="W78" s="8">
        <f>1/(1+EXP(-V78))</f>
        <v/>
      </c>
      <c r="X78" s="9">
        <f>-IF(C78=1,LN(W78),LN(1-W78))</f>
        <v/>
      </c>
      <c r="Y78" s="10">
        <f>IF(W78&gt;$AC$34,1,0)</f>
        <v/>
      </c>
      <c r="Z78">
        <f>IF(Y78=C78,1,0)</f>
        <v/>
      </c>
    </row>
    <row r="79">
      <c r="A79">
        <f>'1 datos preparados'!A72</f>
        <v/>
      </c>
      <c r="B79" s="5">
        <f>'1 datos preparados'!U72</f>
        <v/>
      </c>
      <c r="C79">
        <f>'1 datos preparados'!B72</f>
        <v/>
      </c>
      <c r="D79" s="7">
        <f>'1 datos preparados'!C72</f>
        <v/>
      </c>
      <c r="E79" s="7">
        <f>'1 datos preparados'!D72</f>
        <v/>
      </c>
      <c r="F79" s="7">
        <f>'1 datos preparados'!E72</f>
        <v/>
      </c>
      <c r="G79" s="7">
        <f>'1 datos preparados'!F72</f>
        <v/>
      </c>
      <c r="H79" s="7">
        <f>'1 datos preparados'!G72</f>
        <v/>
      </c>
      <c r="I79" s="7">
        <f>'1 datos preparados'!H72</f>
        <v/>
      </c>
      <c r="J79" s="7">
        <f>'1 datos preparados'!I72</f>
        <v/>
      </c>
      <c r="K79" s="7">
        <f>'1 datos preparados'!J72</f>
        <v/>
      </c>
      <c r="L79" s="7">
        <f>'1 datos preparados'!K72</f>
        <v/>
      </c>
      <c r="M79" s="7">
        <f>'1 datos preparados'!L72</f>
        <v/>
      </c>
      <c r="N79" s="7">
        <f>'1 datos preparados'!M72</f>
        <v/>
      </c>
      <c r="O79" s="7">
        <f>'1 datos preparados'!N72</f>
        <v/>
      </c>
      <c r="P79" s="7">
        <f>'1 datos preparados'!O72</f>
        <v/>
      </c>
      <c r="Q79" s="7">
        <f>'1 datos preparados'!P72</f>
        <v/>
      </c>
      <c r="R79" s="7">
        <f>'1 datos preparados'!Q72</f>
        <v/>
      </c>
      <c r="S79" s="7">
        <f>'1 datos preparados'!R72</f>
        <v/>
      </c>
      <c r="T79" s="7">
        <f>'1 datos preparados'!S72</f>
        <v/>
      </c>
      <c r="U79" s="7">
        <f>'1 datos preparados'!T72</f>
        <v/>
      </c>
      <c r="V79" s="8">
        <f>$AC$12+D79*$AC$13+E79*$AC$14+F79*$AC$15+G79*$AC$16+H79*$AC$17+I79*$AC$18+J79*$AC$19+K79*$AC$20+L79*$AC$21+M79*$AC$22+N79*$AC$23+O79*$AC$24+P79*$AC$25+Q79*$AC$26+R79*$AC$27+S79*$AC$28+T79*$AC$29+U79*$AC$30</f>
        <v/>
      </c>
      <c r="W79" s="8">
        <f>1/(1+EXP(-V79))</f>
        <v/>
      </c>
      <c r="X79" s="9">
        <f>-IF(C79=1,LN(W79),LN(1-W79))</f>
        <v/>
      </c>
      <c r="Y79" s="10">
        <f>IF(W79&gt;$AC$34,1,0)</f>
        <v/>
      </c>
      <c r="Z79">
        <f>IF(Y79=C79,1,0)</f>
        <v/>
      </c>
    </row>
    <row r="80">
      <c r="A80">
        <f>'1 datos preparados'!A73</f>
        <v/>
      </c>
      <c r="B80" s="5">
        <f>'1 datos preparados'!U73</f>
        <v/>
      </c>
      <c r="C80">
        <f>'1 datos preparados'!B73</f>
        <v/>
      </c>
      <c r="D80" s="7">
        <f>'1 datos preparados'!C73</f>
        <v/>
      </c>
      <c r="E80" s="7">
        <f>'1 datos preparados'!D73</f>
        <v/>
      </c>
      <c r="F80" s="7">
        <f>'1 datos preparados'!E73</f>
        <v/>
      </c>
      <c r="G80" s="7">
        <f>'1 datos preparados'!F73</f>
        <v/>
      </c>
      <c r="H80" s="7">
        <f>'1 datos preparados'!G73</f>
        <v/>
      </c>
      <c r="I80" s="7">
        <f>'1 datos preparados'!H73</f>
        <v/>
      </c>
      <c r="J80" s="7">
        <f>'1 datos preparados'!I73</f>
        <v/>
      </c>
      <c r="K80" s="7">
        <f>'1 datos preparados'!J73</f>
        <v/>
      </c>
      <c r="L80" s="7">
        <f>'1 datos preparados'!K73</f>
        <v/>
      </c>
      <c r="M80" s="7">
        <f>'1 datos preparados'!L73</f>
        <v/>
      </c>
      <c r="N80" s="7">
        <f>'1 datos preparados'!M73</f>
        <v/>
      </c>
      <c r="O80" s="7">
        <f>'1 datos preparados'!N73</f>
        <v/>
      </c>
      <c r="P80" s="7">
        <f>'1 datos preparados'!O73</f>
        <v/>
      </c>
      <c r="Q80" s="7">
        <f>'1 datos preparados'!P73</f>
        <v/>
      </c>
      <c r="R80" s="7">
        <f>'1 datos preparados'!Q73</f>
        <v/>
      </c>
      <c r="S80" s="7">
        <f>'1 datos preparados'!R73</f>
        <v/>
      </c>
      <c r="T80" s="7">
        <f>'1 datos preparados'!S73</f>
        <v/>
      </c>
      <c r="U80" s="7">
        <f>'1 datos preparados'!T73</f>
        <v/>
      </c>
      <c r="V80" s="8">
        <f>$AC$12+D80*$AC$13+E80*$AC$14+F80*$AC$15+G80*$AC$16+H80*$AC$17+I80*$AC$18+J80*$AC$19+K80*$AC$20+L80*$AC$21+M80*$AC$22+N80*$AC$23+O80*$AC$24+P80*$AC$25+Q80*$AC$26+R80*$AC$27+S80*$AC$28+T80*$AC$29+U80*$AC$30</f>
        <v/>
      </c>
      <c r="W80" s="8">
        <f>1/(1+EXP(-V80))</f>
        <v/>
      </c>
      <c r="X80" s="9">
        <f>-IF(C80=1,LN(W80),LN(1-W80))</f>
        <v/>
      </c>
      <c r="Y80" s="10">
        <f>IF(W80&gt;$AC$34,1,0)</f>
        <v/>
      </c>
      <c r="Z80">
        <f>IF(Y80=C80,1,0)</f>
        <v/>
      </c>
    </row>
    <row r="81">
      <c r="A81">
        <f>'1 datos preparados'!A74</f>
        <v/>
      </c>
      <c r="B81" s="5">
        <f>'1 datos preparados'!U74</f>
        <v/>
      </c>
      <c r="C81">
        <f>'1 datos preparados'!B74</f>
        <v/>
      </c>
      <c r="D81" s="7">
        <f>'1 datos preparados'!C74</f>
        <v/>
      </c>
      <c r="E81" s="7">
        <f>'1 datos preparados'!D74</f>
        <v/>
      </c>
      <c r="F81" s="7">
        <f>'1 datos preparados'!E74</f>
        <v/>
      </c>
      <c r="G81" s="7">
        <f>'1 datos preparados'!F74</f>
        <v/>
      </c>
      <c r="H81" s="7">
        <f>'1 datos preparados'!G74</f>
        <v/>
      </c>
      <c r="I81" s="7">
        <f>'1 datos preparados'!H74</f>
        <v/>
      </c>
      <c r="J81" s="7">
        <f>'1 datos preparados'!I74</f>
        <v/>
      </c>
      <c r="K81" s="7">
        <f>'1 datos preparados'!J74</f>
        <v/>
      </c>
      <c r="L81" s="7">
        <f>'1 datos preparados'!K74</f>
        <v/>
      </c>
      <c r="M81" s="7">
        <f>'1 datos preparados'!L74</f>
        <v/>
      </c>
      <c r="N81" s="7">
        <f>'1 datos preparados'!M74</f>
        <v/>
      </c>
      <c r="O81" s="7">
        <f>'1 datos preparados'!N74</f>
        <v/>
      </c>
      <c r="P81" s="7">
        <f>'1 datos preparados'!O74</f>
        <v/>
      </c>
      <c r="Q81" s="7">
        <f>'1 datos preparados'!P74</f>
        <v/>
      </c>
      <c r="R81" s="7">
        <f>'1 datos preparados'!Q74</f>
        <v/>
      </c>
      <c r="S81" s="7">
        <f>'1 datos preparados'!R74</f>
        <v/>
      </c>
      <c r="T81" s="7">
        <f>'1 datos preparados'!S74</f>
        <v/>
      </c>
      <c r="U81" s="7">
        <f>'1 datos preparados'!T74</f>
        <v/>
      </c>
      <c r="V81" s="8">
        <f>$AC$12+D81*$AC$13+E81*$AC$14+F81*$AC$15+G81*$AC$16+H81*$AC$17+I81*$AC$18+J81*$AC$19+K81*$AC$20+L81*$AC$21+M81*$AC$22+N81*$AC$23+O81*$AC$24+P81*$AC$25+Q81*$AC$26+R81*$AC$27+S81*$AC$28+T81*$AC$29+U81*$AC$30</f>
        <v/>
      </c>
      <c r="W81" s="8">
        <f>1/(1+EXP(-V81))</f>
        <v/>
      </c>
      <c r="X81" s="9">
        <f>-IF(C81=1,LN(W81),LN(1-W81))</f>
        <v/>
      </c>
      <c r="Y81" s="10">
        <f>IF(W81&gt;$AC$34,1,0)</f>
        <v/>
      </c>
      <c r="Z81">
        <f>IF(Y81=C81,1,0)</f>
        <v/>
      </c>
    </row>
    <row r="82">
      <c r="A82">
        <f>'1 datos preparados'!A75</f>
        <v/>
      </c>
      <c r="B82" s="5">
        <f>'1 datos preparados'!U75</f>
        <v/>
      </c>
      <c r="C82">
        <f>'1 datos preparados'!B75</f>
        <v/>
      </c>
      <c r="D82" s="7">
        <f>'1 datos preparados'!C75</f>
        <v/>
      </c>
      <c r="E82" s="7">
        <f>'1 datos preparados'!D75</f>
        <v/>
      </c>
      <c r="F82" s="7">
        <f>'1 datos preparados'!E75</f>
        <v/>
      </c>
      <c r="G82" s="7">
        <f>'1 datos preparados'!F75</f>
        <v/>
      </c>
      <c r="H82" s="7">
        <f>'1 datos preparados'!G75</f>
        <v/>
      </c>
      <c r="I82" s="7">
        <f>'1 datos preparados'!H75</f>
        <v/>
      </c>
      <c r="J82" s="7">
        <f>'1 datos preparados'!I75</f>
        <v/>
      </c>
      <c r="K82" s="7">
        <f>'1 datos preparados'!J75</f>
        <v/>
      </c>
      <c r="L82" s="7">
        <f>'1 datos preparados'!K75</f>
        <v/>
      </c>
      <c r="M82" s="7">
        <f>'1 datos preparados'!L75</f>
        <v/>
      </c>
      <c r="N82" s="7">
        <f>'1 datos preparados'!M75</f>
        <v/>
      </c>
      <c r="O82" s="7">
        <f>'1 datos preparados'!N75</f>
        <v/>
      </c>
      <c r="P82" s="7">
        <f>'1 datos preparados'!O75</f>
        <v/>
      </c>
      <c r="Q82" s="7">
        <f>'1 datos preparados'!P75</f>
        <v/>
      </c>
      <c r="R82" s="7">
        <f>'1 datos preparados'!Q75</f>
        <v/>
      </c>
      <c r="S82" s="7">
        <f>'1 datos preparados'!R75</f>
        <v/>
      </c>
      <c r="T82" s="7">
        <f>'1 datos preparados'!S75</f>
        <v/>
      </c>
      <c r="U82" s="7">
        <f>'1 datos preparados'!T75</f>
        <v/>
      </c>
      <c r="V82" s="8">
        <f>$AC$12+D82*$AC$13+E82*$AC$14+F82*$AC$15+G82*$AC$16+H82*$AC$17+I82*$AC$18+J82*$AC$19+K82*$AC$20+L82*$AC$21+M82*$AC$22+N82*$AC$23+O82*$AC$24+P82*$AC$25+Q82*$AC$26+R82*$AC$27+S82*$AC$28+T82*$AC$29+U82*$AC$30</f>
        <v/>
      </c>
      <c r="W82" s="8">
        <f>1/(1+EXP(-V82))</f>
        <v/>
      </c>
      <c r="X82" s="9">
        <f>-IF(C82=1,LN(W82),LN(1-W82))</f>
        <v/>
      </c>
      <c r="Y82" s="10">
        <f>IF(W82&gt;$AC$34,1,0)</f>
        <v/>
      </c>
      <c r="Z82">
        <f>IF(Y82=C82,1,0)</f>
        <v/>
      </c>
    </row>
    <row r="83">
      <c r="A83">
        <f>'1 datos preparados'!A76</f>
        <v/>
      </c>
      <c r="B83" s="5">
        <f>'1 datos preparados'!U76</f>
        <v/>
      </c>
      <c r="C83">
        <f>'1 datos preparados'!B76</f>
        <v/>
      </c>
      <c r="D83" s="7">
        <f>'1 datos preparados'!C76</f>
        <v/>
      </c>
      <c r="E83" s="7">
        <f>'1 datos preparados'!D76</f>
        <v/>
      </c>
      <c r="F83" s="7">
        <f>'1 datos preparados'!E76</f>
        <v/>
      </c>
      <c r="G83" s="7">
        <f>'1 datos preparados'!F76</f>
        <v/>
      </c>
      <c r="H83" s="7">
        <f>'1 datos preparados'!G76</f>
        <v/>
      </c>
      <c r="I83" s="7">
        <f>'1 datos preparados'!H76</f>
        <v/>
      </c>
      <c r="J83" s="7">
        <f>'1 datos preparados'!I76</f>
        <v/>
      </c>
      <c r="K83" s="7">
        <f>'1 datos preparados'!J76</f>
        <v/>
      </c>
      <c r="L83" s="7">
        <f>'1 datos preparados'!K76</f>
        <v/>
      </c>
      <c r="M83" s="7">
        <f>'1 datos preparados'!L76</f>
        <v/>
      </c>
      <c r="N83" s="7">
        <f>'1 datos preparados'!M76</f>
        <v/>
      </c>
      <c r="O83" s="7">
        <f>'1 datos preparados'!N76</f>
        <v/>
      </c>
      <c r="P83" s="7">
        <f>'1 datos preparados'!O76</f>
        <v/>
      </c>
      <c r="Q83" s="7">
        <f>'1 datos preparados'!P76</f>
        <v/>
      </c>
      <c r="R83" s="7">
        <f>'1 datos preparados'!Q76</f>
        <v/>
      </c>
      <c r="S83" s="7">
        <f>'1 datos preparados'!R76</f>
        <v/>
      </c>
      <c r="T83" s="7">
        <f>'1 datos preparados'!S76</f>
        <v/>
      </c>
      <c r="U83" s="7">
        <f>'1 datos preparados'!T76</f>
        <v/>
      </c>
      <c r="V83" s="8">
        <f>$AC$12+D83*$AC$13+E83*$AC$14+F83*$AC$15+G83*$AC$16+H83*$AC$17+I83*$AC$18+J83*$AC$19+K83*$AC$20+L83*$AC$21+M83*$AC$22+N83*$AC$23+O83*$AC$24+P83*$AC$25+Q83*$AC$26+R83*$AC$27+S83*$AC$28+T83*$AC$29+U83*$AC$30</f>
        <v/>
      </c>
      <c r="W83" s="8">
        <f>1/(1+EXP(-V83))</f>
        <v/>
      </c>
      <c r="X83" s="9">
        <f>-IF(C83=1,LN(W83),LN(1-W83))</f>
        <v/>
      </c>
      <c r="Y83" s="10">
        <f>IF(W83&gt;$AC$34,1,0)</f>
        <v/>
      </c>
      <c r="Z83">
        <f>IF(Y83=C83,1,0)</f>
        <v/>
      </c>
    </row>
    <row r="84">
      <c r="A84">
        <f>'1 datos preparados'!A77</f>
        <v/>
      </c>
      <c r="B84" s="5">
        <f>'1 datos preparados'!U77</f>
        <v/>
      </c>
      <c r="C84">
        <f>'1 datos preparados'!B77</f>
        <v/>
      </c>
      <c r="D84" s="7">
        <f>'1 datos preparados'!C77</f>
        <v/>
      </c>
      <c r="E84" s="7">
        <f>'1 datos preparados'!D77</f>
        <v/>
      </c>
      <c r="F84" s="7">
        <f>'1 datos preparados'!E77</f>
        <v/>
      </c>
      <c r="G84" s="7">
        <f>'1 datos preparados'!F77</f>
        <v/>
      </c>
      <c r="H84" s="7">
        <f>'1 datos preparados'!G77</f>
        <v/>
      </c>
      <c r="I84" s="7">
        <f>'1 datos preparados'!H77</f>
        <v/>
      </c>
      <c r="J84" s="7">
        <f>'1 datos preparados'!I77</f>
        <v/>
      </c>
      <c r="K84" s="7">
        <f>'1 datos preparados'!J77</f>
        <v/>
      </c>
      <c r="L84" s="7">
        <f>'1 datos preparados'!K77</f>
        <v/>
      </c>
      <c r="M84" s="7">
        <f>'1 datos preparados'!L77</f>
        <v/>
      </c>
      <c r="N84" s="7">
        <f>'1 datos preparados'!M77</f>
        <v/>
      </c>
      <c r="O84" s="7">
        <f>'1 datos preparados'!N77</f>
        <v/>
      </c>
      <c r="P84" s="7">
        <f>'1 datos preparados'!O77</f>
        <v/>
      </c>
      <c r="Q84" s="7">
        <f>'1 datos preparados'!P77</f>
        <v/>
      </c>
      <c r="R84" s="7">
        <f>'1 datos preparados'!Q77</f>
        <v/>
      </c>
      <c r="S84" s="7">
        <f>'1 datos preparados'!R77</f>
        <v/>
      </c>
      <c r="T84" s="7">
        <f>'1 datos preparados'!S77</f>
        <v/>
      </c>
      <c r="U84" s="7">
        <f>'1 datos preparados'!T77</f>
        <v/>
      </c>
      <c r="V84" s="8">
        <f>$AC$12+D84*$AC$13+E84*$AC$14+F84*$AC$15+G84*$AC$16+H84*$AC$17+I84*$AC$18+J84*$AC$19+K84*$AC$20+L84*$AC$21+M84*$AC$22+N84*$AC$23+O84*$AC$24+P84*$AC$25+Q84*$AC$26+R84*$AC$27+S84*$AC$28+T84*$AC$29+U84*$AC$30</f>
        <v/>
      </c>
      <c r="W84" s="8">
        <f>1/(1+EXP(-V84))</f>
        <v/>
      </c>
      <c r="X84" s="9">
        <f>-IF(C84=1,LN(W84),LN(1-W84))</f>
        <v/>
      </c>
      <c r="Y84" s="10">
        <f>IF(W84&gt;$AC$34,1,0)</f>
        <v/>
      </c>
      <c r="Z84">
        <f>IF(Y84=C84,1,0)</f>
        <v/>
      </c>
    </row>
    <row r="85">
      <c r="A85">
        <f>'1 datos preparados'!A78</f>
        <v/>
      </c>
      <c r="B85" s="5">
        <f>'1 datos preparados'!U78</f>
        <v/>
      </c>
      <c r="C85">
        <f>'1 datos preparados'!B78</f>
        <v/>
      </c>
      <c r="D85" s="7">
        <f>'1 datos preparados'!C78</f>
        <v/>
      </c>
      <c r="E85" s="7">
        <f>'1 datos preparados'!D78</f>
        <v/>
      </c>
      <c r="F85" s="7">
        <f>'1 datos preparados'!E78</f>
        <v/>
      </c>
      <c r="G85" s="7">
        <f>'1 datos preparados'!F78</f>
        <v/>
      </c>
      <c r="H85" s="7">
        <f>'1 datos preparados'!G78</f>
        <v/>
      </c>
      <c r="I85" s="7">
        <f>'1 datos preparados'!H78</f>
        <v/>
      </c>
      <c r="J85" s="7">
        <f>'1 datos preparados'!I78</f>
        <v/>
      </c>
      <c r="K85" s="7">
        <f>'1 datos preparados'!J78</f>
        <v/>
      </c>
      <c r="L85" s="7">
        <f>'1 datos preparados'!K78</f>
        <v/>
      </c>
      <c r="M85" s="7">
        <f>'1 datos preparados'!L78</f>
        <v/>
      </c>
      <c r="N85" s="7">
        <f>'1 datos preparados'!M78</f>
        <v/>
      </c>
      <c r="O85" s="7">
        <f>'1 datos preparados'!N78</f>
        <v/>
      </c>
      <c r="P85" s="7">
        <f>'1 datos preparados'!O78</f>
        <v/>
      </c>
      <c r="Q85" s="7">
        <f>'1 datos preparados'!P78</f>
        <v/>
      </c>
      <c r="R85" s="7">
        <f>'1 datos preparados'!Q78</f>
        <v/>
      </c>
      <c r="S85" s="7">
        <f>'1 datos preparados'!R78</f>
        <v/>
      </c>
      <c r="T85" s="7">
        <f>'1 datos preparados'!S78</f>
        <v/>
      </c>
      <c r="U85" s="7">
        <f>'1 datos preparados'!T78</f>
        <v/>
      </c>
      <c r="V85" s="8">
        <f>$AC$12+D85*$AC$13+E85*$AC$14+F85*$AC$15+G85*$AC$16+H85*$AC$17+I85*$AC$18+J85*$AC$19+K85*$AC$20+L85*$AC$21+M85*$AC$22+N85*$AC$23+O85*$AC$24+P85*$AC$25+Q85*$AC$26+R85*$AC$27+S85*$AC$28+T85*$AC$29+U85*$AC$30</f>
        <v/>
      </c>
      <c r="W85" s="8">
        <f>1/(1+EXP(-V85))</f>
        <v/>
      </c>
      <c r="X85" s="9">
        <f>-IF(C85=1,LN(W85),LN(1-W85))</f>
        <v/>
      </c>
      <c r="Y85" s="10">
        <f>IF(W85&gt;$AC$34,1,0)</f>
        <v/>
      </c>
      <c r="Z85">
        <f>IF(Y85=C85,1,0)</f>
        <v/>
      </c>
    </row>
    <row r="86">
      <c r="A86">
        <f>'1 datos preparados'!A79</f>
        <v/>
      </c>
      <c r="B86" s="5">
        <f>'1 datos preparados'!U79</f>
        <v/>
      </c>
      <c r="C86">
        <f>'1 datos preparados'!B79</f>
        <v/>
      </c>
      <c r="D86" s="7">
        <f>'1 datos preparados'!C79</f>
        <v/>
      </c>
      <c r="E86" s="7">
        <f>'1 datos preparados'!D79</f>
        <v/>
      </c>
      <c r="F86" s="7">
        <f>'1 datos preparados'!E79</f>
        <v/>
      </c>
      <c r="G86" s="7">
        <f>'1 datos preparados'!F79</f>
        <v/>
      </c>
      <c r="H86" s="7">
        <f>'1 datos preparados'!G79</f>
        <v/>
      </c>
      <c r="I86" s="7">
        <f>'1 datos preparados'!H79</f>
        <v/>
      </c>
      <c r="J86" s="7">
        <f>'1 datos preparados'!I79</f>
        <v/>
      </c>
      <c r="K86" s="7">
        <f>'1 datos preparados'!J79</f>
        <v/>
      </c>
      <c r="L86" s="7">
        <f>'1 datos preparados'!K79</f>
        <v/>
      </c>
      <c r="M86" s="7">
        <f>'1 datos preparados'!L79</f>
        <v/>
      </c>
      <c r="N86" s="7">
        <f>'1 datos preparados'!M79</f>
        <v/>
      </c>
      <c r="O86" s="7">
        <f>'1 datos preparados'!N79</f>
        <v/>
      </c>
      <c r="P86" s="7">
        <f>'1 datos preparados'!O79</f>
        <v/>
      </c>
      <c r="Q86" s="7">
        <f>'1 datos preparados'!P79</f>
        <v/>
      </c>
      <c r="R86" s="7">
        <f>'1 datos preparados'!Q79</f>
        <v/>
      </c>
      <c r="S86" s="7">
        <f>'1 datos preparados'!R79</f>
        <v/>
      </c>
      <c r="T86" s="7">
        <f>'1 datos preparados'!S79</f>
        <v/>
      </c>
      <c r="U86" s="7">
        <f>'1 datos preparados'!T79</f>
        <v/>
      </c>
      <c r="V86" s="8">
        <f>$AC$12+D86*$AC$13+E86*$AC$14+F86*$AC$15+G86*$AC$16+H86*$AC$17+I86*$AC$18+J86*$AC$19+K86*$AC$20+L86*$AC$21+M86*$AC$22+N86*$AC$23+O86*$AC$24+P86*$AC$25+Q86*$AC$26+R86*$AC$27+S86*$AC$28+T86*$AC$29+U86*$AC$30</f>
        <v/>
      </c>
      <c r="W86" s="8">
        <f>1/(1+EXP(-V86))</f>
        <v/>
      </c>
      <c r="X86" s="9">
        <f>-IF(C86=1,LN(W86),LN(1-W86))</f>
        <v/>
      </c>
      <c r="Y86" s="10">
        <f>IF(W86&gt;$AC$34,1,0)</f>
        <v/>
      </c>
      <c r="Z86">
        <f>IF(Y86=C86,1,0)</f>
        <v/>
      </c>
    </row>
    <row r="87">
      <c r="A87">
        <f>'1 datos preparados'!A80</f>
        <v/>
      </c>
      <c r="B87" s="5">
        <f>'1 datos preparados'!U80</f>
        <v/>
      </c>
      <c r="C87">
        <f>'1 datos preparados'!B80</f>
        <v/>
      </c>
      <c r="D87" s="7">
        <f>'1 datos preparados'!C80</f>
        <v/>
      </c>
      <c r="E87" s="7">
        <f>'1 datos preparados'!D80</f>
        <v/>
      </c>
      <c r="F87" s="7">
        <f>'1 datos preparados'!E80</f>
        <v/>
      </c>
      <c r="G87" s="7">
        <f>'1 datos preparados'!F80</f>
        <v/>
      </c>
      <c r="H87" s="7">
        <f>'1 datos preparados'!G80</f>
        <v/>
      </c>
      <c r="I87" s="7">
        <f>'1 datos preparados'!H80</f>
        <v/>
      </c>
      <c r="J87" s="7">
        <f>'1 datos preparados'!I80</f>
        <v/>
      </c>
      <c r="K87" s="7">
        <f>'1 datos preparados'!J80</f>
        <v/>
      </c>
      <c r="L87" s="7">
        <f>'1 datos preparados'!K80</f>
        <v/>
      </c>
      <c r="M87" s="7">
        <f>'1 datos preparados'!L80</f>
        <v/>
      </c>
      <c r="N87" s="7">
        <f>'1 datos preparados'!M80</f>
        <v/>
      </c>
      <c r="O87" s="7">
        <f>'1 datos preparados'!N80</f>
        <v/>
      </c>
      <c r="P87" s="7">
        <f>'1 datos preparados'!O80</f>
        <v/>
      </c>
      <c r="Q87" s="7">
        <f>'1 datos preparados'!P80</f>
        <v/>
      </c>
      <c r="R87" s="7">
        <f>'1 datos preparados'!Q80</f>
        <v/>
      </c>
      <c r="S87" s="7">
        <f>'1 datos preparados'!R80</f>
        <v/>
      </c>
      <c r="T87" s="7">
        <f>'1 datos preparados'!S80</f>
        <v/>
      </c>
      <c r="U87" s="7">
        <f>'1 datos preparados'!T80</f>
        <v/>
      </c>
      <c r="V87" s="8">
        <f>$AC$12+D87*$AC$13+E87*$AC$14+F87*$AC$15+G87*$AC$16+H87*$AC$17+I87*$AC$18+J87*$AC$19+K87*$AC$20+L87*$AC$21+M87*$AC$22+N87*$AC$23+O87*$AC$24+P87*$AC$25+Q87*$AC$26+R87*$AC$27+S87*$AC$28+T87*$AC$29+U87*$AC$30</f>
        <v/>
      </c>
      <c r="W87" s="8">
        <f>1/(1+EXP(-V87))</f>
        <v/>
      </c>
      <c r="X87" s="9">
        <f>-IF(C87=1,LN(W87),LN(1-W87))</f>
        <v/>
      </c>
      <c r="Y87" s="10">
        <f>IF(W87&gt;$AC$34,1,0)</f>
        <v/>
      </c>
      <c r="Z87">
        <f>IF(Y87=C87,1,0)</f>
        <v/>
      </c>
    </row>
    <row r="88">
      <c r="A88">
        <f>'1 datos preparados'!A81</f>
        <v/>
      </c>
      <c r="B88" s="5">
        <f>'1 datos preparados'!U81</f>
        <v/>
      </c>
      <c r="C88">
        <f>'1 datos preparados'!B81</f>
        <v/>
      </c>
      <c r="D88" s="7">
        <f>'1 datos preparados'!C81</f>
        <v/>
      </c>
      <c r="E88" s="7">
        <f>'1 datos preparados'!D81</f>
        <v/>
      </c>
      <c r="F88" s="7">
        <f>'1 datos preparados'!E81</f>
        <v/>
      </c>
      <c r="G88" s="7">
        <f>'1 datos preparados'!F81</f>
        <v/>
      </c>
      <c r="H88" s="7">
        <f>'1 datos preparados'!G81</f>
        <v/>
      </c>
      <c r="I88" s="7">
        <f>'1 datos preparados'!H81</f>
        <v/>
      </c>
      <c r="J88" s="7">
        <f>'1 datos preparados'!I81</f>
        <v/>
      </c>
      <c r="K88" s="7">
        <f>'1 datos preparados'!J81</f>
        <v/>
      </c>
      <c r="L88" s="7">
        <f>'1 datos preparados'!K81</f>
        <v/>
      </c>
      <c r="M88" s="7">
        <f>'1 datos preparados'!L81</f>
        <v/>
      </c>
      <c r="N88" s="7">
        <f>'1 datos preparados'!M81</f>
        <v/>
      </c>
      <c r="O88" s="7">
        <f>'1 datos preparados'!N81</f>
        <v/>
      </c>
      <c r="P88" s="7">
        <f>'1 datos preparados'!O81</f>
        <v/>
      </c>
      <c r="Q88" s="7">
        <f>'1 datos preparados'!P81</f>
        <v/>
      </c>
      <c r="R88" s="7">
        <f>'1 datos preparados'!Q81</f>
        <v/>
      </c>
      <c r="S88" s="7">
        <f>'1 datos preparados'!R81</f>
        <v/>
      </c>
      <c r="T88" s="7">
        <f>'1 datos preparados'!S81</f>
        <v/>
      </c>
      <c r="U88" s="7">
        <f>'1 datos preparados'!T81</f>
        <v/>
      </c>
      <c r="V88" s="8">
        <f>$AC$12+D88*$AC$13+E88*$AC$14+F88*$AC$15+G88*$AC$16+H88*$AC$17+I88*$AC$18+J88*$AC$19+K88*$AC$20+L88*$AC$21+M88*$AC$22+N88*$AC$23+O88*$AC$24+P88*$AC$25+Q88*$AC$26+R88*$AC$27+S88*$AC$28+T88*$AC$29+U88*$AC$30</f>
        <v/>
      </c>
      <c r="W88" s="8">
        <f>1/(1+EXP(-V88))</f>
        <v/>
      </c>
      <c r="X88" s="9">
        <f>-IF(C88=1,LN(W88),LN(1-W88))</f>
        <v/>
      </c>
      <c r="Y88" s="10">
        <f>IF(W88&gt;$AC$34,1,0)</f>
        <v/>
      </c>
      <c r="Z88">
        <f>IF(Y88=C88,1,0)</f>
        <v/>
      </c>
    </row>
    <row r="89">
      <c r="A89">
        <f>'1 datos preparados'!A82</f>
        <v/>
      </c>
      <c r="B89" s="5">
        <f>'1 datos preparados'!U82</f>
        <v/>
      </c>
      <c r="C89">
        <f>'1 datos preparados'!B82</f>
        <v/>
      </c>
      <c r="D89" s="7">
        <f>'1 datos preparados'!C82</f>
        <v/>
      </c>
      <c r="E89" s="7">
        <f>'1 datos preparados'!D82</f>
        <v/>
      </c>
      <c r="F89" s="7">
        <f>'1 datos preparados'!E82</f>
        <v/>
      </c>
      <c r="G89" s="7">
        <f>'1 datos preparados'!F82</f>
        <v/>
      </c>
      <c r="H89" s="7">
        <f>'1 datos preparados'!G82</f>
        <v/>
      </c>
      <c r="I89" s="7">
        <f>'1 datos preparados'!H82</f>
        <v/>
      </c>
      <c r="J89" s="7">
        <f>'1 datos preparados'!I82</f>
        <v/>
      </c>
      <c r="K89" s="7">
        <f>'1 datos preparados'!J82</f>
        <v/>
      </c>
      <c r="L89" s="7">
        <f>'1 datos preparados'!K82</f>
        <v/>
      </c>
      <c r="M89" s="7">
        <f>'1 datos preparados'!L82</f>
        <v/>
      </c>
      <c r="N89" s="7">
        <f>'1 datos preparados'!M82</f>
        <v/>
      </c>
      <c r="O89" s="7">
        <f>'1 datos preparados'!N82</f>
        <v/>
      </c>
      <c r="P89" s="7">
        <f>'1 datos preparados'!O82</f>
        <v/>
      </c>
      <c r="Q89" s="7">
        <f>'1 datos preparados'!P82</f>
        <v/>
      </c>
      <c r="R89" s="7">
        <f>'1 datos preparados'!Q82</f>
        <v/>
      </c>
      <c r="S89" s="7">
        <f>'1 datos preparados'!R82</f>
        <v/>
      </c>
      <c r="T89" s="7">
        <f>'1 datos preparados'!S82</f>
        <v/>
      </c>
      <c r="U89" s="7">
        <f>'1 datos preparados'!T82</f>
        <v/>
      </c>
      <c r="V89" s="8">
        <f>$AC$12+D89*$AC$13+E89*$AC$14+F89*$AC$15+G89*$AC$16+H89*$AC$17+I89*$AC$18+J89*$AC$19+K89*$AC$20+L89*$AC$21+M89*$AC$22+N89*$AC$23+O89*$AC$24+P89*$AC$25+Q89*$AC$26+R89*$AC$27+S89*$AC$28+T89*$AC$29+U89*$AC$30</f>
        <v/>
      </c>
      <c r="W89" s="8">
        <f>1/(1+EXP(-V89))</f>
        <v/>
      </c>
      <c r="X89" s="9">
        <f>-IF(C89=1,LN(W89),LN(1-W89))</f>
        <v/>
      </c>
      <c r="Y89" s="10">
        <f>IF(W89&gt;$AC$34,1,0)</f>
        <v/>
      </c>
      <c r="Z89">
        <f>IF(Y89=C89,1,0)</f>
        <v/>
      </c>
    </row>
    <row r="90">
      <c r="A90">
        <f>'1 datos preparados'!A83</f>
        <v/>
      </c>
      <c r="B90" s="5">
        <f>'1 datos preparados'!U83</f>
        <v/>
      </c>
      <c r="C90">
        <f>'1 datos preparados'!B83</f>
        <v/>
      </c>
      <c r="D90" s="7">
        <f>'1 datos preparados'!C83</f>
        <v/>
      </c>
      <c r="E90" s="7">
        <f>'1 datos preparados'!D83</f>
        <v/>
      </c>
      <c r="F90" s="7">
        <f>'1 datos preparados'!E83</f>
        <v/>
      </c>
      <c r="G90" s="7">
        <f>'1 datos preparados'!F83</f>
        <v/>
      </c>
      <c r="H90" s="7">
        <f>'1 datos preparados'!G83</f>
        <v/>
      </c>
      <c r="I90" s="7">
        <f>'1 datos preparados'!H83</f>
        <v/>
      </c>
      <c r="J90" s="7">
        <f>'1 datos preparados'!I83</f>
        <v/>
      </c>
      <c r="K90" s="7">
        <f>'1 datos preparados'!J83</f>
        <v/>
      </c>
      <c r="L90" s="7">
        <f>'1 datos preparados'!K83</f>
        <v/>
      </c>
      <c r="M90" s="7">
        <f>'1 datos preparados'!L83</f>
        <v/>
      </c>
      <c r="N90" s="7">
        <f>'1 datos preparados'!M83</f>
        <v/>
      </c>
      <c r="O90" s="7">
        <f>'1 datos preparados'!N83</f>
        <v/>
      </c>
      <c r="P90" s="7">
        <f>'1 datos preparados'!O83</f>
        <v/>
      </c>
      <c r="Q90" s="7">
        <f>'1 datos preparados'!P83</f>
        <v/>
      </c>
      <c r="R90" s="7">
        <f>'1 datos preparados'!Q83</f>
        <v/>
      </c>
      <c r="S90" s="7">
        <f>'1 datos preparados'!R83</f>
        <v/>
      </c>
      <c r="T90" s="7">
        <f>'1 datos preparados'!S83</f>
        <v/>
      </c>
      <c r="U90" s="7">
        <f>'1 datos preparados'!T83</f>
        <v/>
      </c>
      <c r="V90" s="8">
        <f>$AC$12+D90*$AC$13+E90*$AC$14+F90*$AC$15+G90*$AC$16+H90*$AC$17+I90*$AC$18+J90*$AC$19+K90*$AC$20+L90*$AC$21+M90*$AC$22+N90*$AC$23+O90*$AC$24+P90*$AC$25+Q90*$AC$26+R90*$AC$27+S90*$AC$28+T90*$AC$29+U90*$AC$30</f>
        <v/>
      </c>
      <c r="W90" s="8">
        <f>1/(1+EXP(-V90))</f>
        <v/>
      </c>
      <c r="X90" s="9">
        <f>-IF(C90=1,LN(W90),LN(1-W90))</f>
        <v/>
      </c>
      <c r="Y90" s="10">
        <f>IF(W90&gt;$AC$34,1,0)</f>
        <v/>
      </c>
      <c r="Z90">
        <f>IF(Y90=C90,1,0)</f>
        <v/>
      </c>
    </row>
    <row r="91">
      <c r="A91">
        <f>'1 datos preparados'!A84</f>
        <v/>
      </c>
      <c r="B91" s="5">
        <f>'1 datos preparados'!U84</f>
        <v/>
      </c>
      <c r="C91">
        <f>'1 datos preparados'!B84</f>
        <v/>
      </c>
      <c r="D91" s="7">
        <f>'1 datos preparados'!C84</f>
        <v/>
      </c>
      <c r="E91" s="7">
        <f>'1 datos preparados'!D84</f>
        <v/>
      </c>
      <c r="F91" s="7">
        <f>'1 datos preparados'!E84</f>
        <v/>
      </c>
      <c r="G91" s="7">
        <f>'1 datos preparados'!F84</f>
        <v/>
      </c>
      <c r="H91" s="7">
        <f>'1 datos preparados'!G84</f>
        <v/>
      </c>
      <c r="I91" s="7">
        <f>'1 datos preparados'!H84</f>
        <v/>
      </c>
      <c r="J91" s="7">
        <f>'1 datos preparados'!I84</f>
        <v/>
      </c>
      <c r="K91" s="7">
        <f>'1 datos preparados'!J84</f>
        <v/>
      </c>
      <c r="L91" s="7">
        <f>'1 datos preparados'!K84</f>
        <v/>
      </c>
      <c r="M91" s="7">
        <f>'1 datos preparados'!L84</f>
        <v/>
      </c>
      <c r="N91" s="7">
        <f>'1 datos preparados'!M84</f>
        <v/>
      </c>
      <c r="O91" s="7">
        <f>'1 datos preparados'!N84</f>
        <v/>
      </c>
      <c r="P91" s="7">
        <f>'1 datos preparados'!O84</f>
        <v/>
      </c>
      <c r="Q91" s="7">
        <f>'1 datos preparados'!P84</f>
        <v/>
      </c>
      <c r="R91" s="7">
        <f>'1 datos preparados'!Q84</f>
        <v/>
      </c>
      <c r="S91" s="7">
        <f>'1 datos preparados'!R84</f>
        <v/>
      </c>
      <c r="T91" s="7">
        <f>'1 datos preparados'!S84</f>
        <v/>
      </c>
      <c r="U91" s="7">
        <f>'1 datos preparados'!T84</f>
        <v/>
      </c>
      <c r="V91" s="8">
        <f>$AC$12+D91*$AC$13+E91*$AC$14+F91*$AC$15+G91*$AC$16+H91*$AC$17+I91*$AC$18+J91*$AC$19+K91*$AC$20+L91*$AC$21+M91*$AC$22+N91*$AC$23+O91*$AC$24+P91*$AC$25+Q91*$AC$26+R91*$AC$27+S91*$AC$28+T91*$AC$29+U91*$AC$30</f>
        <v/>
      </c>
      <c r="W91" s="8">
        <f>1/(1+EXP(-V91))</f>
        <v/>
      </c>
      <c r="X91" s="9">
        <f>-IF(C91=1,LN(W91),LN(1-W91))</f>
        <v/>
      </c>
      <c r="Y91" s="10">
        <f>IF(W91&gt;$AC$34,1,0)</f>
        <v/>
      </c>
      <c r="Z91">
        <f>IF(Y91=C91,1,0)</f>
        <v/>
      </c>
    </row>
    <row r="92">
      <c r="A92">
        <f>'1 datos preparados'!A85</f>
        <v/>
      </c>
      <c r="B92" s="5">
        <f>'1 datos preparados'!U85</f>
        <v/>
      </c>
      <c r="C92">
        <f>'1 datos preparados'!B85</f>
        <v/>
      </c>
      <c r="D92" s="7">
        <f>'1 datos preparados'!C85</f>
        <v/>
      </c>
      <c r="E92" s="7">
        <f>'1 datos preparados'!D85</f>
        <v/>
      </c>
      <c r="F92" s="7">
        <f>'1 datos preparados'!E85</f>
        <v/>
      </c>
      <c r="G92" s="7">
        <f>'1 datos preparados'!F85</f>
        <v/>
      </c>
      <c r="H92" s="7">
        <f>'1 datos preparados'!G85</f>
        <v/>
      </c>
      <c r="I92" s="7">
        <f>'1 datos preparados'!H85</f>
        <v/>
      </c>
      <c r="J92" s="7">
        <f>'1 datos preparados'!I85</f>
        <v/>
      </c>
      <c r="K92" s="7">
        <f>'1 datos preparados'!J85</f>
        <v/>
      </c>
      <c r="L92" s="7">
        <f>'1 datos preparados'!K85</f>
        <v/>
      </c>
      <c r="M92" s="7">
        <f>'1 datos preparados'!L85</f>
        <v/>
      </c>
      <c r="N92" s="7">
        <f>'1 datos preparados'!M85</f>
        <v/>
      </c>
      <c r="O92" s="7">
        <f>'1 datos preparados'!N85</f>
        <v/>
      </c>
      <c r="P92" s="7">
        <f>'1 datos preparados'!O85</f>
        <v/>
      </c>
      <c r="Q92" s="7">
        <f>'1 datos preparados'!P85</f>
        <v/>
      </c>
      <c r="R92" s="7">
        <f>'1 datos preparados'!Q85</f>
        <v/>
      </c>
      <c r="S92" s="7">
        <f>'1 datos preparados'!R85</f>
        <v/>
      </c>
      <c r="T92" s="7">
        <f>'1 datos preparados'!S85</f>
        <v/>
      </c>
      <c r="U92" s="7">
        <f>'1 datos preparados'!T85</f>
        <v/>
      </c>
      <c r="V92" s="8">
        <f>$AC$12+D92*$AC$13+E92*$AC$14+F92*$AC$15+G92*$AC$16+H92*$AC$17+I92*$AC$18+J92*$AC$19+K92*$AC$20+L92*$AC$21+M92*$AC$22+N92*$AC$23+O92*$AC$24+P92*$AC$25+Q92*$AC$26+R92*$AC$27+S92*$AC$28+T92*$AC$29+U92*$AC$30</f>
        <v/>
      </c>
      <c r="W92" s="8">
        <f>1/(1+EXP(-V92))</f>
        <v/>
      </c>
      <c r="X92" s="9">
        <f>-IF(C92=1,LN(W92),LN(1-W92))</f>
        <v/>
      </c>
      <c r="Y92" s="10">
        <f>IF(W92&gt;$AC$34,1,0)</f>
        <v/>
      </c>
      <c r="Z92">
        <f>IF(Y92=C92,1,0)</f>
        <v/>
      </c>
    </row>
    <row r="93">
      <c r="A93">
        <f>'1 datos preparados'!A86</f>
        <v/>
      </c>
      <c r="B93" s="5">
        <f>'1 datos preparados'!U86</f>
        <v/>
      </c>
      <c r="C93">
        <f>'1 datos preparados'!B86</f>
        <v/>
      </c>
      <c r="D93" s="7">
        <f>'1 datos preparados'!C86</f>
        <v/>
      </c>
      <c r="E93" s="7">
        <f>'1 datos preparados'!D86</f>
        <v/>
      </c>
      <c r="F93" s="7">
        <f>'1 datos preparados'!E86</f>
        <v/>
      </c>
      <c r="G93" s="7">
        <f>'1 datos preparados'!F86</f>
        <v/>
      </c>
      <c r="H93" s="7">
        <f>'1 datos preparados'!G86</f>
        <v/>
      </c>
      <c r="I93" s="7">
        <f>'1 datos preparados'!H86</f>
        <v/>
      </c>
      <c r="J93" s="7">
        <f>'1 datos preparados'!I86</f>
        <v/>
      </c>
      <c r="K93" s="7">
        <f>'1 datos preparados'!J86</f>
        <v/>
      </c>
      <c r="L93" s="7">
        <f>'1 datos preparados'!K86</f>
        <v/>
      </c>
      <c r="M93" s="7">
        <f>'1 datos preparados'!L86</f>
        <v/>
      </c>
      <c r="N93" s="7">
        <f>'1 datos preparados'!M86</f>
        <v/>
      </c>
      <c r="O93" s="7">
        <f>'1 datos preparados'!N86</f>
        <v/>
      </c>
      <c r="P93" s="7">
        <f>'1 datos preparados'!O86</f>
        <v/>
      </c>
      <c r="Q93" s="7">
        <f>'1 datos preparados'!P86</f>
        <v/>
      </c>
      <c r="R93" s="7">
        <f>'1 datos preparados'!Q86</f>
        <v/>
      </c>
      <c r="S93" s="7">
        <f>'1 datos preparados'!R86</f>
        <v/>
      </c>
      <c r="T93" s="7">
        <f>'1 datos preparados'!S86</f>
        <v/>
      </c>
      <c r="U93" s="7">
        <f>'1 datos preparados'!T86</f>
        <v/>
      </c>
      <c r="V93" s="8">
        <f>$AC$12+D93*$AC$13+E93*$AC$14+F93*$AC$15+G93*$AC$16+H93*$AC$17+I93*$AC$18+J93*$AC$19+K93*$AC$20+L93*$AC$21+M93*$AC$22+N93*$AC$23+O93*$AC$24+P93*$AC$25+Q93*$AC$26+R93*$AC$27+S93*$AC$28+T93*$AC$29+U93*$AC$30</f>
        <v/>
      </c>
      <c r="W93" s="8">
        <f>1/(1+EXP(-V93))</f>
        <v/>
      </c>
      <c r="X93" s="9">
        <f>-IF(C93=1,LN(W93),LN(1-W93))</f>
        <v/>
      </c>
      <c r="Y93" s="10">
        <f>IF(W93&gt;$AC$34,1,0)</f>
        <v/>
      </c>
      <c r="Z93">
        <f>IF(Y93=C93,1,0)</f>
        <v/>
      </c>
    </row>
    <row r="94">
      <c r="A94">
        <f>'1 datos preparados'!A87</f>
        <v/>
      </c>
      <c r="B94" s="5">
        <f>'1 datos preparados'!U87</f>
        <v/>
      </c>
      <c r="C94">
        <f>'1 datos preparados'!B87</f>
        <v/>
      </c>
      <c r="D94" s="7">
        <f>'1 datos preparados'!C87</f>
        <v/>
      </c>
      <c r="E94" s="7">
        <f>'1 datos preparados'!D87</f>
        <v/>
      </c>
      <c r="F94" s="7">
        <f>'1 datos preparados'!E87</f>
        <v/>
      </c>
      <c r="G94" s="7">
        <f>'1 datos preparados'!F87</f>
        <v/>
      </c>
      <c r="H94" s="7">
        <f>'1 datos preparados'!G87</f>
        <v/>
      </c>
      <c r="I94" s="7">
        <f>'1 datos preparados'!H87</f>
        <v/>
      </c>
      <c r="J94" s="7">
        <f>'1 datos preparados'!I87</f>
        <v/>
      </c>
      <c r="K94" s="7">
        <f>'1 datos preparados'!J87</f>
        <v/>
      </c>
      <c r="L94" s="7">
        <f>'1 datos preparados'!K87</f>
        <v/>
      </c>
      <c r="M94" s="7">
        <f>'1 datos preparados'!L87</f>
        <v/>
      </c>
      <c r="N94" s="7">
        <f>'1 datos preparados'!M87</f>
        <v/>
      </c>
      <c r="O94" s="7">
        <f>'1 datos preparados'!N87</f>
        <v/>
      </c>
      <c r="P94" s="7">
        <f>'1 datos preparados'!O87</f>
        <v/>
      </c>
      <c r="Q94" s="7">
        <f>'1 datos preparados'!P87</f>
        <v/>
      </c>
      <c r="R94" s="7">
        <f>'1 datos preparados'!Q87</f>
        <v/>
      </c>
      <c r="S94" s="7">
        <f>'1 datos preparados'!R87</f>
        <v/>
      </c>
      <c r="T94" s="7">
        <f>'1 datos preparados'!S87</f>
        <v/>
      </c>
      <c r="U94" s="7">
        <f>'1 datos preparados'!T87</f>
        <v/>
      </c>
      <c r="V94" s="8">
        <f>$AC$12+D94*$AC$13+E94*$AC$14+F94*$AC$15+G94*$AC$16+H94*$AC$17+I94*$AC$18+J94*$AC$19+K94*$AC$20+L94*$AC$21+M94*$AC$22+N94*$AC$23+O94*$AC$24+P94*$AC$25+Q94*$AC$26+R94*$AC$27+S94*$AC$28+T94*$AC$29+U94*$AC$30</f>
        <v/>
      </c>
      <c r="W94" s="8">
        <f>1/(1+EXP(-V94))</f>
        <v/>
      </c>
      <c r="X94" s="9">
        <f>-IF(C94=1,LN(W94),LN(1-W94))</f>
        <v/>
      </c>
      <c r="Y94" s="10">
        <f>IF(W94&gt;$AC$34,1,0)</f>
        <v/>
      </c>
      <c r="Z94">
        <f>IF(Y94=C94,1,0)</f>
        <v/>
      </c>
    </row>
    <row r="95">
      <c r="A95">
        <f>'1 datos preparados'!A88</f>
        <v/>
      </c>
      <c r="B95" s="5">
        <f>'1 datos preparados'!U88</f>
        <v/>
      </c>
      <c r="C95">
        <f>'1 datos preparados'!B88</f>
        <v/>
      </c>
      <c r="D95" s="7">
        <f>'1 datos preparados'!C88</f>
        <v/>
      </c>
      <c r="E95" s="7">
        <f>'1 datos preparados'!D88</f>
        <v/>
      </c>
      <c r="F95" s="7">
        <f>'1 datos preparados'!E88</f>
        <v/>
      </c>
      <c r="G95" s="7">
        <f>'1 datos preparados'!F88</f>
        <v/>
      </c>
      <c r="H95" s="7">
        <f>'1 datos preparados'!G88</f>
        <v/>
      </c>
      <c r="I95" s="7">
        <f>'1 datos preparados'!H88</f>
        <v/>
      </c>
      <c r="J95" s="7">
        <f>'1 datos preparados'!I88</f>
        <v/>
      </c>
      <c r="K95" s="7">
        <f>'1 datos preparados'!J88</f>
        <v/>
      </c>
      <c r="L95" s="7">
        <f>'1 datos preparados'!K88</f>
        <v/>
      </c>
      <c r="M95" s="7">
        <f>'1 datos preparados'!L88</f>
        <v/>
      </c>
      <c r="N95" s="7">
        <f>'1 datos preparados'!M88</f>
        <v/>
      </c>
      <c r="O95" s="7">
        <f>'1 datos preparados'!N88</f>
        <v/>
      </c>
      <c r="P95" s="7">
        <f>'1 datos preparados'!O88</f>
        <v/>
      </c>
      <c r="Q95" s="7">
        <f>'1 datos preparados'!P88</f>
        <v/>
      </c>
      <c r="R95" s="7">
        <f>'1 datos preparados'!Q88</f>
        <v/>
      </c>
      <c r="S95" s="7">
        <f>'1 datos preparados'!R88</f>
        <v/>
      </c>
      <c r="T95" s="7">
        <f>'1 datos preparados'!S88</f>
        <v/>
      </c>
      <c r="U95" s="7">
        <f>'1 datos preparados'!T88</f>
        <v/>
      </c>
      <c r="V95" s="8">
        <f>$AC$12+D95*$AC$13+E95*$AC$14+F95*$AC$15+G95*$AC$16+H95*$AC$17+I95*$AC$18+J95*$AC$19+K95*$AC$20+L95*$AC$21+M95*$AC$22+N95*$AC$23+O95*$AC$24+P95*$AC$25+Q95*$AC$26+R95*$AC$27+S95*$AC$28+T95*$AC$29+U95*$AC$30</f>
        <v/>
      </c>
      <c r="W95" s="8">
        <f>1/(1+EXP(-V95))</f>
        <v/>
      </c>
      <c r="X95" s="9">
        <f>-IF(C95=1,LN(W95),LN(1-W95))</f>
        <v/>
      </c>
      <c r="Y95" s="10">
        <f>IF(W95&gt;$AC$34,1,0)</f>
        <v/>
      </c>
      <c r="Z95">
        <f>IF(Y95=C95,1,0)</f>
        <v/>
      </c>
    </row>
    <row r="96">
      <c r="A96">
        <f>'1 datos preparados'!A89</f>
        <v/>
      </c>
      <c r="B96" s="5">
        <f>'1 datos preparados'!U89</f>
        <v/>
      </c>
      <c r="C96">
        <f>'1 datos preparados'!B89</f>
        <v/>
      </c>
      <c r="D96" s="7">
        <f>'1 datos preparados'!C89</f>
        <v/>
      </c>
      <c r="E96" s="7">
        <f>'1 datos preparados'!D89</f>
        <v/>
      </c>
      <c r="F96" s="7">
        <f>'1 datos preparados'!E89</f>
        <v/>
      </c>
      <c r="G96" s="7">
        <f>'1 datos preparados'!F89</f>
        <v/>
      </c>
      <c r="H96" s="7">
        <f>'1 datos preparados'!G89</f>
        <v/>
      </c>
      <c r="I96" s="7">
        <f>'1 datos preparados'!H89</f>
        <v/>
      </c>
      <c r="J96" s="7">
        <f>'1 datos preparados'!I89</f>
        <v/>
      </c>
      <c r="K96" s="7">
        <f>'1 datos preparados'!J89</f>
        <v/>
      </c>
      <c r="L96" s="7">
        <f>'1 datos preparados'!K89</f>
        <v/>
      </c>
      <c r="M96" s="7">
        <f>'1 datos preparados'!L89</f>
        <v/>
      </c>
      <c r="N96" s="7">
        <f>'1 datos preparados'!M89</f>
        <v/>
      </c>
      <c r="O96" s="7">
        <f>'1 datos preparados'!N89</f>
        <v/>
      </c>
      <c r="P96" s="7">
        <f>'1 datos preparados'!O89</f>
        <v/>
      </c>
      <c r="Q96" s="7">
        <f>'1 datos preparados'!P89</f>
        <v/>
      </c>
      <c r="R96" s="7">
        <f>'1 datos preparados'!Q89</f>
        <v/>
      </c>
      <c r="S96" s="7">
        <f>'1 datos preparados'!R89</f>
        <v/>
      </c>
      <c r="T96" s="7">
        <f>'1 datos preparados'!S89</f>
        <v/>
      </c>
      <c r="U96" s="7">
        <f>'1 datos preparados'!T89</f>
        <v/>
      </c>
      <c r="V96" s="8">
        <f>$AC$12+D96*$AC$13+E96*$AC$14+F96*$AC$15+G96*$AC$16+H96*$AC$17+I96*$AC$18+J96*$AC$19+K96*$AC$20+L96*$AC$21+M96*$AC$22+N96*$AC$23+O96*$AC$24+P96*$AC$25+Q96*$AC$26+R96*$AC$27+S96*$AC$28+T96*$AC$29+U96*$AC$30</f>
        <v/>
      </c>
      <c r="W96" s="8">
        <f>1/(1+EXP(-V96))</f>
        <v/>
      </c>
      <c r="X96" s="9">
        <f>-IF(C96=1,LN(W96),LN(1-W96))</f>
        <v/>
      </c>
      <c r="Y96" s="10">
        <f>IF(W96&gt;$AC$34,1,0)</f>
        <v/>
      </c>
      <c r="Z96">
        <f>IF(Y96=C96,1,0)</f>
        <v/>
      </c>
    </row>
    <row r="97">
      <c r="A97">
        <f>'1 datos preparados'!A90</f>
        <v/>
      </c>
      <c r="B97" s="5">
        <f>'1 datos preparados'!U90</f>
        <v/>
      </c>
      <c r="C97">
        <f>'1 datos preparados'!B90</f>
        <v/>
      </c>
      <c r="D97" s="7">
        <f>'1 datos preparados'!C90</f>
        <v/>
      </c>
      <c r="E97" s="7">
        <f>'1 datos preparados'!D90</f>
        <v/>
      </c>
      <c r="F97" s="7">
        <f>'1 datos preparados'!E90</f>
        <v/>
      </c>
      <c r="G97" s="7">
        <f>'1 datos preparados'!F90</f>
        <v/>
      </c>
      <c r="H97" s="7">
        <f>'1 datos preparados'!G90</f>
        <v/>
      </c>
      <c r="I97" s="7">
        <f>'1 datos preparados'!H90</f>
        <v/>
      </c>
      <c r="J97" s="7">
        <f>'1 datos preparados'!I90</f>
        <v/>
      </c>
      <c r="K97" s="7">
        <f>'1 datos preparados'!J90</f>
        <v/>
      </c>
      <c r="L97" s="7">
        <f>'1 datos preparados'!K90</f>
        <v/>
      </c>
      <c r="M97" s="7">
        <f>'1 datos preparados'!L90</f>
        <v/>
      </c>
      <c r="N97" s="7">
        <f>'1 datos preparados'!M90</f>
        <v/>
      </c>
      <c r="O97" s="7">
        <f>'1 datos preparados'!N90</f>
        <v/>
      </c>
      <c r="P97" s="7">
        <f>'1 datos preparados'!O90</f>
        <v/>
      </c>
      <c r="Q97" s="7">
        <f>'1 datos preparados'!P90</f>
        <v/>
      </c>
      <c r="R97" s="7">
        <f>'1 datos preparados'!Q90</f>
        <v/>
      </c>
      <c r="S97" s="7">
        <f>'1 datos preparados'!R90</f>
        <v/>
      </c>
      <c r="T97" s="7">
        <f>'1 datos preparados'!S90</f>
        <v/>
      </c>
      <c r="U97" s="7">
        <f>'1 datos preparados'!T90</f>
        <v/>
      </c>
      <c r="V97" s="8">
        <f>$AC$12+D97*$AC$13+E97*$AC$14+F97*$AC$15+G97*$AC$16+H97*$AC$17+I97*$AC$18+J97*$AC$19+K97*$AC$20+L97*$AC$21+M97*$AC$22+N97*$AC$23+O97*$AC$24+P97*$AC$25+Q97*$AC$26+R97*$AC$27+S97*$AC$28+T97*$AC$29+U97*$AC$30</f>
        <v/>
      </c>
      <c r="W97" s="8">
        <f>1/(1+EXP(-V97))</f>
        <v/>
      </c>
      <c r="X97" s="9">
        <f>-IF(C97=1,LN(W97),LN(1-W97))</f>
        <v/>
      </c>
      <c r="Y97" s="10">
        <f>IF(W97&gt;$AC$34,1,0)</f>
        <v/>
      </c>
      <c r="Z97">
        <f>IF(Y97=C97,1,0)</f>
        <v/>
      </c>
    </row>
    <row r="98">
      <c r="A98">
        <f>'1 datos preparados'!A91</f>
        <v/>
      </c>
      <c r="B98" s="5">
        <f>'1 datos preparados'!U91</f>
        <v/>
      </c>
      <c r="C98">
        <f>'1 datos preparados'!B91</f>
        <v/>
      </c>
      <c r="D98" s="7">
        <f>'1 datos preparados'!C91</f>
        <v/>
      </c>
      <c r="E98" s="7">
        <f>'1 datos preparados'!D91</f>
        <v/>
      </c>
      <c r="F98" s="7">
        <f>'1 datos preparados'!E91</f>
        <v/>
      </c>
      <c r="G98" s="7">
        <f>'1 datos preparados'!F91</f>
        <v/>
      </c>
      <c r="H98" s="7">
        <f>'1 datos preparados'!G91</f>
        <v/>
      </c>
      <c r="I98" s="7">
        <f>'1 datos preparados'!H91</f>
        <v/>
      </c>
      <c r="J98" s="7">
        <f>'1 datos preparados'!I91</f>
        <v/>
      </c>
      <c r="K98" s="7">
        <f>'1 datos preparados'!J91</f>
        <v/>
      </c>
      <c r="L98" s="7">
        <f>'1 datos preparados'!K91</f>
        <v/>
      </c>
      <c r="M98" s="7">
        <f>'1 datos preparados'!L91</f>
        <v/>
      </c>
      <c r="N98" s="7">
        <f>'1 datos preparados'!M91</f>
        <v/>
      </c>
      <c r="O98" s="7">
        <f>'1 datos preparados'!N91</f>
        <v/>
      </c>
      <c r="P98" s="7">
        <f>'1 datos preparados'!O91</f>
        <v/>
      </c>
      <c r="Q98" s="7">
        <f>'1 datos preparados'!P91</f>
        <v/>
      </c>
      <c r="R98" s="7">
        <f>'1 datos preparados'!Q91</f>
        <v/>
      </c>
      <c r="S98" s="7">
        <f>'1 datos preparados'!R91</f>
        <v/>
      </c>
      <c r="T98" s="7">
        <f>'1 datos preparados'!S91</f>
        <v/>
      </c>
      <c r="U98" s="7">
        <f>'1 datos preparados'!T91</f>
        <v/>
      </c>
      <c r="V98" s="8">
        <f>$AC$12+D98*$AC$13+E98*$AC$14+F98*$AC$15+G98*$AC$16+H98*$AC$17+I98*$AC$18+J98*$AC$19+K98*$AC$20+L98*$AC$21+M98*$AC$22+N98*$AC$23+O98*$AC$24+P98*$AC$25+Q98*$AC$26+R98*$AC$27+S98*$AC$28+T98*$AC$29+U98*$AC$30</f>
        <v/>
      </c>
      <c r="W98" s="8">
        <f>1/(1+EXP(-V98))</f>
        <v/>
      </c>
      <c r="X98" s="9">
        <f>-IF(C98=1,LN(W98),LN(1-W98))</f>
        <v/>
      </c>
      <c r="Y98" s="10">
        <f>IF(W98&gt;$AC$34,1,0)</f>
        <v/>
      </c>
      <c r="Z98">
        <f>IF(Y98=C98,1,0)</f>
        <v/>
      </c>
    </row>
    <row r="99">
      <c r="A99">
        <f>'1 datos preparados'!A92</f>
        <v/>
      </c>
      <c r="B99" s="5">
        <f>'1 datos preparados'!U92</f>
        <v/>
      </c>
      <c r="C99">
        <f>'1 datos preparados'!B92</f>
        <v/>
      </c>
      <c r="D99" s="7">
        <f>'1 datos preparados'!C92</f>
        <v/>
      </c>
      <c r="E99" s="7">
        <f>'1 datos preparados'!D92</f>
        <v/>
      </c>
      <c r="F99" s="7">
        <f>'1 datos preparados'!E92</f>
        <v/>
      </c>
      <c r="G99" s="7">
        <f>'1 datos preparados'!F92</f>
        <v/>
      </c>
      <c r="H99" s="7">
        <f>'1 datos preparados'!G92</f>
        <v/>
      </c>
      <c r="I99" s="7">
        <f>'1 datos preparados'!H92</f>
        <v/>
      </c>
      <c r="J99" s="7">
        <f>'1 datos preparados'!I92</f>
        <v/>
      </c>
      <c r="K99" s="7">
        <f>'1 datos preparados'!J92</f>
        <v/>
      </c>
      <c r="L99" s="7">
        <f>'1 datos preparados'!K92</f>
        <v/>
      </c>
      <c r="M99" s="7">
        <f>'1 datos preparados'!L92</f>
        <v/>
      </c>
      <c r="N99" s="7">
        <f>'1 datos preparados'!M92</f>
        <v/>
      </c>
      <c r="O99" s="7">
        <f>'1 datos preparados'!N92</f>
        <v/>
      </c>
      <c r="P99" s="7">
        <f>'1 datos preparados'!O92</f>
        <v/>
      </c>
      <c r="Q99" s="7">
        <f>'1 datos preparados'!P92</f>
        <v/>
      </c>
      <c r="R99" s="7">
        <f>'1 datos preparados'!Q92</f>
        <v/>
      </c>
      <c r="S99" s="7">
        <f>'1 datos preparados'!R92</f>
        <v/>
      </c>
      <c r="T99" s="7">
        <f>'1 datos preparados'!S92</f>
        <v/>
      </c>
      <c r="U99" s="7">
        <f>'1 datos preparados'!T92</f>
        <v/>
      </c>
      <c r="V99" s="8">
        <f>$AC$12+D99*$AC$13+E99*$AC$14+F99*$AC$15+G99*$AC$16+H99*$AC$17+I99*$AC$18+J99*$AC$19+K99*$AC$20+L99*$AC$21+M99*$AC$22+N99*$AC$23+O99*$AC$24+P99*$AC$25+Q99*$AC$26+R99*$AC$27+S99*$AC$28+T99*$AC$29+U99*$AC$30</f>
        <v/>
      </c>
      <c r="W99" s="8">
        <f>1/(1+EXP(-V99))</f>
        <v/>
      </c>
      <c r="X99" s="9">
        <f>-IF(C99=1,LN(W99),LN(1-W99))</f>
        <v/>
      </c>
      <c r="Y99" s="10">
        <f>IF(W99&gt;$AC$34,1,0)</f>
        <v/>
      </c>
      <c r="Z99">
        <f>IF(Y99=C99,1,0)</f>
        <v/>
      </c>
    </row>
    <row r="100">
      <c r="A100">
        <f>'1 datos preparados'!A93</f>
        <v/>
      </c>
      <c r="B100" s="5">
        <f>'1 datos preparados'!U93</f>
        <v/>
      </c>
      <c r="C100">
        <f>'1 datos preparados'!B93</f>
        <v/>
      </c>
      <c r="D100" s="7">
        <f>'1 datos preparados'!C93</f>
        <v/>
      </c>
      <c r="E100" s="7">
        <f>'1 datos preparados'!D93</f>
        <v/>
      </c>
      <c r="F100" s="7">
        <f>'1 datos preparados'!E93</f>
        <v/>
      </c>
      <c r="G100" s="7">
        <f>'1 datos preparados'!F93</f>
        <v/>
      </c>
      <c r="H100" s="7">
        <f>'1 datos preparados'!G93</f>
        <v/>
      </c>
      <c r="I100" s="7">
        <f>'1 datos preparados'!H93</f>
        <v/>
      </c>
      <c r="J100" s="7">
        <f>'1 datos preparados'!I93</f>
        <v/>
      </c>
      <c r="K100" s="7">
        <f>'1 datos preparados'!J93</f>
        <v/>
      </c>
      <c r="L100" s="7">
        <f>'1 datos preparados'!K93</f>
        <v/>
      </c>
      <c r="M100" s="7">
        <f>'1 datos preparados'!L93</f>
        <v/>
      </c>
      <c r="N100" s="7">
        <f>'1 datos preparados'!M93</f>
        <v/>
      </c>
      <c r="O100" s="7">
        <f>'1 datos preparados'!N93</f>
        <v/>
      </c>
      <c r="P100" s="7">
        <f>'1 datos preparados'!O93</f>
        <v/>
      </c>
      <c r="Q100" s="7">
        <f>'1 datos preparados'!P93</f>
        <v/>
      </c>
      <c r="R100" s="7">
        <f>'1 datos preparados'!Q93</f>
        <v/>
      </c>
      <c r="S100" s="7">
        <f>'1 datos preparados'!R93</f>
        <v/>
      </c>
      <c r="T100" s="7">
        <f>'1 datos preparados'!S93</f>
        <v/>
      </c>
      <c r="U100" s="7">
        <f>'1 datos preparados'!T93</f>
        <v/>
      </c>
      <c r="V100" s="8">
        <f>$AC$12+D100*$AC$13+E100*$AC$14+F100*$AC$15+G100*$AC$16+H100*$AC$17+I100*$AC$18+J100*$AC$19+K100*$AC$20+L100*$AC$21+M100*$AC$22+N100*$AC$23+O100*$AC$24+P100*$AC$25+Q100*$AC$26+R100*$AC$27+S100*$AC$28+T100*$AC$29+U100*$AC$30</f>
        <v/>
      </c>
      <c r="W100" s="8">
        <f>1/(1+EXP(-V100))</f>
        <v/>
      </c>
      <c r="X100" s="9">
        <f>-IF(C100=1,LN(W100),LN(1-W100))</f>
        <v/>
      </c>
      <c r="Y100" s="10">
        <f>IF(W100&gt;$AC$34,1,0)</f>
        <v/>
      </c>
      <c r="Z100">
        <f>IF(Y100=C100,1,0)</f>
        <v/>
      </c>
    </row>
    <row r="101">
      <c r="A101">
        <f>'1 datos preparados'!A94</f>
        <v/>
      </c>
      <c r="B101" s="5">
        <f>'1 datos preparados'!U94</f>
        <v/>
      </c>
      <c r="C101">
        <f>'1 datos preparados'!B94</f>
        <v/>
      </c>
      <c r="D101" s="7">
        <f>'1 datos preparados'!C94</f>
        <v/>
      </c>
      <c r="E101" s="7">
        <f>'1 datos preparados'!D94</f>
        <v/>
      </c>
      <c r="F101" s="7">
        <f>'1 datos preparados'!E94</f>
        <v/>
      </c>
      <c r="G101" s="7">
        <f>'1 datos preparados'!F94</f>
        <v/>
      </c>
      <c r="H101" s="7">
        <f>'1 datos preparados'!G94</f>
        <v/>
      </c>
      <c r="I101" s="7">
        <f>'1 datos preparados'!H94</f>
        <v/>
      </c>
      <c r="J101" s="7">
        <f>'1 datos preparados'!I94</f>
        <v/>
      </c>
      <c r="K101" s="7">
        <f>'1 datos preparados'!J94</f>
        <v/>
      </c>
      <c r="L101" s="7">
        <f>'1 datos preparados'!K94</f>
        <v/>
      </c>
      <c r="M101" s="7">
        <f>'1 datos preparados'!L94</f>
        <v/>
      </c>
      <c r="N101" s="7">
        <f>'1 datos preparados'!M94</f>
        <v/>
      </c>
      <c r="O101" s="7">
        <f>'1 datos preparados'!N94</f>
        <v/>
      </c>
      <c r="P101" s="7">
        <f>'1 datos preparados'!O94</f>
        <v/>
      </c>
      <c r="Q101" s="7">
        <f>'1 datos preparados'!P94</f>
        <v/>
      </c>
      <c r="R101" s="7">
        <f>'1 datos preparados'!Q94</f>
        <v/>
      </c>
      <c r="S101" s="7">
        <f>'1 datos preparados'!R94</f>
        <v/>
      </c>
      <c r="T101" s="7">
        <f>'1 datos preparados'!S94</f>
        <v/>
      </c>
      <c r="U101" s="7">
        <f>'1 datos preparados'!T94</f>
        <v/>
      </c>
      <c r="V101" s="8">
        <f>$AC$12+D101*$AC$13+E101*$AC$14+F101*$AC$15+G101*$AC$16+H101*$AC$17+I101*$AC$18+J101*$AC$19+K101*$AC$20+L101*$AC$21+M101*$AC$22+N101*$AC$23+O101*$AC$24+P101*$AC$25+Q101*$AC$26+R101*$AC$27+S101*$AC$28+T101*$AC$29+U101*$AC$30</f>
        <v/>
      </c>
      <c r="W101" s="8">
        <f>1/(1+EXP(-V101))</f>
        <v/>
      </c>
      <c r="X101" s="9">
        <f>-IF(C101=1,LN(W101),LN(1-W101))</f>
        <v/>
      </c>
      <c r="Y101" s="10">
        <f>IF(W101&gt;$AC$34,1,0)</f>
        <v/>
      </c>
      <c r="Z101">
        <f>IF(Y101=C101,1,0)</f>
        <v/>
      </c>
    </row>
    <row r="102">
      <c r="A102">
        <f>'1 datos preparados'!A95</f>
        <v/>
      </c>
      <c r="B102" s="5">
        <f>'1 datos preparados'!U95</f>
        <v/>
      </c>
      <c r="C102">
        <f>'1 datos preparados'!B95</f>
        <v/>
      </c>
      <c r="D102" s="7">
        <f>'1 datos preparados'!C95</f>
        <v/>
      </c>
      <c r="E102" s="7">
        <f>'1 datos preparados'!D95</f>
        <v/>
      </c>
      <c r="F102" s="7">
        <f>'1 datos preparados'!E95</f>
        <v/>
      </c>
      <c r="G102" s="7">
        <f>'1 datos preparados'!F95</f>
        <v/>
      </c>
      <c r="H102" s="7">
        <f>'1 datos preparados'!G95</f>
        <v/>
      </c>
      <c r="I102" s="7">
        <f>'1 datos preparados'!H95</f>
        <v/>
      </c>
      <c r="J102" s="7">
        <f>'1 datos preparados'!I95</f>
        <v/>
      </c>
      <c r="K102" s="7">
        <f>'1 datos preparados'!J95</f>
        <v/>
      </c>
      <c r="L102" s="7">
        <f>'1 datos preparados'!K95</f>
        <v/>
      </c>
      <c r="M102" s="7">
        <f>'1 datos preparados'!L95</f>
        <v/>
      </c>
      <c r="N102" s="7">
        <f>'1 datos preparados'!M95</f>
        <v/>
      </c>
      <c r="O102" s="7">
        <f>'1 datos preparados'!N95</f>
        <v/>
      </c>
      <c r="P102" s="7">
        <f>'1 datos preparados'!O95</f>
        <v/>
      </c>
      <c r="Q102" s="7">
        <f>'1 datos preparados'!P95</f>
        <v/>
      </c>
      <c r="R102" s="7">
        <f>'1 datos preparados'!Q95</f>
        <v/>
      </c>
      <c r="S102" s="7">
        <f>'1 datos preparados'!R95</f>
        <v/>
      </c>
      <c r="T102" s="7">
        <f>'1 datos preparados'!S95</f>
        <v/>
      </c>
      <c r="U102" s="7">
        <f>'1 datos preparados'!T95</f>
        <v/>
      </c>
      <c r="V102" s="8">
        <f>$AC$12+D102*$AC$13+E102*$AC$14+F102*$AC$15+G102*$AC$16+H102*$AC$17+I102*$AC$18+J102*$AC$19+K102*$AC$20+L102*$AC$21+M102*$AC$22+N102*$AC$23+O102*$AC$24+P102*$AC$25+Q102*$AC$26+R102*$AC$27+S102*$AC$28+T102*$AC$29+U102*$AC$30</f>
        <v/>
      </c>
      <c r="W102" s="8">
        <f>1/(1+EXP(-V102))</f>
        <v/>
      </c>
      <c r="X102" s="9">
        <f>-IF(C102=1,LN(W102),LN(1-W102))</f>
        <v/>
      </c>
      <c r="Y102" s="10">
        <f>IF(W102&gt;$AC$34,1,0)</f>
        <v/>
      </c>
      <c r="Z102">
        <f>IF(Y102=C102,1,0)</f>
        <v/>
      </c>
    </row>
    <row r="103">
      <c r="A103">
        <f>'1 datos preparados'!A96</f>
        <v/>
      </c>
      <c r="B103" s="5">
        <f>'1 datos preparados'!U96</f>
        <v/>
      </c>
      <c r="C103">
        <f>'1 datos preparados'!B96</f>
        <v/>
      </c>
      <c r="D103" s="7">
        <f>'1 datos preparados'!C96</f>
        <v/>
      </c>
      <c r="E103" s="7">
        <f>'1 datos preparados'!D96</f>
        <v/>
      </c>
      <c r="F103" s="7">
        <f>'1 datos preparados'!E96</f>
        <v/>
      </c>
      <c r="G103" s="7">
        <f>'1 datos preparados'!F96</f>
        <v/>
      </c>
      <c r="H103" s="7">
        <f>'1 datos preparados'!G96</f>
        <v/>
      </c>
      <c r="I103" s="7">
        <f>'1 datos preparados'!H96</f>
        <v/>
      </c>
      <c r="J103" s="7">
        <f>'1 datos preparados'!I96</f>
        <v/>
      </c>
      <c r="K103" s="7">
        <f>'1 datos preparados'!J96</f>
        <v/>
      </c>
      <c r="L103" s="7">
        <f>'1 datos preparados'!K96</f>
        <v/>
      </c>
      <c r="M103" s="7">
        <f>'1 datos preparados'!L96</f>
        <v/>
      </c>
      <c r="N103" s="7">
        <f>'1 datos preparados'!M96</f>
        <v/>
      </c>
      <c r="O103" s="7">
        <f>'1 datos preparados'!N96</f>
        <v/>
      </c>
      <c r="P103" s="7">
        <f>'1 datos preparados'!O96</f>
        <v/>
      </c>
      <c r="Q103" s="7">
        <f>'1 datos preparados'!P96</f>
        <v/>
      </c>
      <c r="R103" s="7">
        <f>'1 datos preparados'!Q96</f>
        <v/>
      </c>
      <c r="S103" s="7">
        <f>'1 datos preparados'!R96</f>
        <v/>
      </c>
      <c r="T103" s="7">
        <f>'1 datos preparados'!S96</f>
        <v/>
      </c>
      <c r="U103" s="7">
        <f>'1 datos preparados'!T96</f>
        <v/>
      </c>
      <c r="V103" s="8">
        <f>$AC$12+D103*$AC$13+E103*$AC$14+F103*$AC$15+G103*$AC$16+H103*$AC$17+I103*$AC$18+J103*$AC$19+K103*$AC$20+L103*$AC$21+M103*$AC$22+N103*$AC$23+O103*$AC$24+P103*$AC$25+Q103*$AC$26+R103*$AC$27+S103*$AC$28+T103*$AC$29+U103*$AC$30</f>
        <v/>
      </c>
      <c r="W103" s="8">
        <f>1/(1+EXP(-V103))</f>
        <v/>
      </c>
      <c r="X103" s="9">
        <f>-IF(C103=1,LN(W103),LN(1-W103))</f>
        <v/>
      </c>
      <c r="Y103" s="10">
        <f>IF(W103&gt;$AC$34,1,0)</f>
        <v/>
      </c>
      <c r="Z103">
        <f>IF(Y103=C103,1,0)</f>
        <v/>
      </c>
    </row>
    <row r="104">
      <c r="A104">
        <f>'1 datos preparados'!A97</f>
        <v/>
      </c>
      <c r="B104" s="5">
        <f>'1 datos preparados'!U97</f>
        <v/>
      </c>
      <c r="C104">
        <f>'1 datos preparados'!B97</f>
        <v/>
      </c>
      <c r="D104" s="7">
        <f>'1 datos preparados'!C97</f>
        <v/>
      </c>
      <c r="E104" s="7">
        <f>'1 datos preparados'!D97</f>
        <v/>
      </c>
      <c r="F104" s="7">
        <f>'1 datos preparados'!E97</f>
        <v/>
      </c>
      <c r="G104" s="7">
        <f>'1 datos preparados'!F97</f>
        <v/>
      </c>
      <c r="H104" s="7">
        <f>'1 datos preparados'!G97</f>
        <v/>
      </c>
      <c r="I104" s="7">
        <f>'1 datos preparados'!H97</f>
        <v/>
      </c>
      <c r="J104" s="7">
        <f>'1 datos preparados'!I97</f>
        <v/>
      </c>
      <c r="K104" s="7">
        <f>'1 datos preparados'!J97</f>
        <v/>
      </c>
      <c r="L104" s="7">
        <f>'1 datos preparados'!K97</f>
        <v/>
      </c>
      <c r="M104" s="7">
        <f>'1 datos preparados'!L97</f>
        <v/>
      </c>
      <c r="N104" s="7">
        <f>'1 datos preparados'!M97</f>
        <v/>
      </c>
      <c r="O104" s="7">
        <f>'1 datos preparados'!N97</f>
        <v/>
      </c>
      <c r="P104" s="7">
        <f>'1 datos preparados'!O97</f>
        <v/>
      </c>
      <c r="Q104" s="7">
        <f>'1 datos preparados'!P97</f>
        <v/>
      </c>
      <c r="R104" s="7">
        <f>'1 datos preparados'!Q97</f>
        <v/>
      </c>
      <c r="S104" s="7">
        <f>'1 datos preparados'!R97</f>
        <v/>
      </c>
      <c r="T104" s="7">
        <f>'1 datos preparados'!S97</f>
        <v/>
      </c>
      <c r="U104" s="7">
        <f>'1 datos preparados'!T97</f>
        <v/>
      </c>
      <c r="V104" s="8">
        <f>$AC$12+D104*$AC$13+E104*$AC$14+F104*$AC$15+G104*$AC$16+H104*$AC$17+I104*$AC$18+J104*$AC$19+K104*$AC$20+L104*$AC$21+M104*$AC$22+N104*$AC$23+O104*$AC$24+P104*$AC$25+Q104*$AC$26+R104*$AC$27+S104*$AC$28+T104*$AC$29+U104*$AC$30</f>
        <v/>
      </c>
      <c r="W104" s="8">
        <f>1/(1+EXP(-V104))</f>
        <v/>
      </c>
      <c r="X104" s="9">
        <f>-IF(C104=1,LN(W104),LN(1-W104))</f>
        <v/>
      </c>
      <c r="Y104" s="10">
        <f>IF(W104&gt;$AC$34,1,0)</f>
        <v/>
      </c>
      <c r="Z104">
        <f>IF(Y104=C104,1,0)</f>
        <v/>
      </c>
    </row>
    <row r="105">
      <c r="A105">
        <f>'1 datos preparados'!A98</f>
        <v/>
      </c>
      <c r="B105" s="5">
        <f>'1 datos preparados'!U98</f>
        <v/>
      </c>
      <c r="C105">
        <f>'1 datos preparados'!B98</f>
        <v/>
      </c>
      <c r="D105" s="7">
        <f>'1 datos preparados'!C98</f>
        <v/>
      </c>
      <c r="E105" s="7">
        <f>'1 datos preparados'!D98</f>
        <v/>
      </c>
      <c r="F105" s="7">
        <f>'1 datos preparados'!E98</f>
        <v/>
      </c>
      <c r="G105" s="7">
        <f>'1 datos preparados'!F98</f>
        <v/>
      </c>
      <c r="H105" s="7">
        <f>'1 datos preparados'!G98</f>
        <v/>
      </c>
      <c r="I105" s="7">
        <f>'1 datos preparados'!H98</f>
        <v/>
      </c>
      <c r="J105" s="7">
        <f>'1 datos preparados'!I98</f>
        <v/>
      </c>
      <c r="K105" s="7">
        <f>'1 datos preparados'!J98</f>
        <v/>
      </c>
      <c r="L105" s="7">
        <f>'1 datos preparados'!K98</f>
        <v/>
      </c>
      <c r="M105" s="7">
        <f>'1 datos preparados'!L98</f>
        <v/>
      </c>
      <c r="N105" s="7">
        <f>'1 datos preparados'!M98</f>
        <v/>
      </c>
      <c r="O105" s="7">
        <f>'1 datos preparados'!N98</f>
        <v/>
      </c>
      <c r="P105" s="7">
        <f>'1 datos preparados'!O98</f>
        <v/>
      </c>
      <c r="Q105" s="7">
        <f>'1 datos preparados'!P98</f>
        <v/>
      </c>
      <c r="R105" s="7">
        <f>'1 datos preparados'!Q98</f>
        <v/>
      </c>
      <c r="S105" s="7">
        <f>'1 datos preparados'!R98</f>
        <v/>
      </c>
      <c r="T105" s="7">
        <f>'1 datos preparados'!S98</f>
        <v/>
      </c>
      <c r="U105" s="7">
        <f>'1 datos preparados'!T98</f>
        <v/>
      </c>
      <c r="V105" s="8">
        <f>$AC$12+D105*$AC$13+E105*$AC$14+F105*$AC$15+G105*$AC$16+H105*$AC$17+I105*$AC$18+J105*$AC$19+K105*$AC$20+L105*$AC$21+M105*$AC$22+N105*$AC$23+O105*$AC$24+P105*$AC$25+Q105*$AC$26+R105*$AC$27+S105*$AC$28+T105*$AC$29+U105*$AC$30</f>
        <v/>
      </c>
      <c r="W105" s="8">
        <f>1/(1+EXP(-V105))</f>
        <v/>
      </c>
      <c r="X105" s="9">
        <f>-IF(C105=1,LN(W105),LN(1-W105))</f>
        <v/>
      </c>
      <c r="Y105" s="10">
        <f>IF(W105&gt;$AC$34,1,0)</f>
        <v/>
      </c>
      <c r="Z105">
        <f>IF(Y105=C105,1,0)</f>
        <v/>
      </c>
    </row>
    <row r="106">
      <c r="A106">
        <f>'1 datos preparados'!A99</f>
        <v/>
      </c>
      <c r="B106" s="5">
        <f>'1 datos preparados'!U99</f>
        <v/>
      </c>
      <c r="C106">
        <f>'1 datos preparados'!B99</f>
        <v/>
      </c>
      <c r="D106" s="7">
        <f>'1 datos preparados'!C99</f>
        <v/>
      </c>
      <c r="E106" s="7">
        <f>'1 datos preparados'!D99</f>
        <v/>
      </c>
      <c r="F106" s="7">
        <f>'1 datos preparados'!E99</f>
        <v/>
      </c>
      <c r="G106" s="7">
        <f>'1 datos preparados'!F99</f>
        <v/>
      </c>
      <c r="H106" s="7">
        <f>'1 datos preparados'!G99</f>
        <v/>
      </c>
      <c r="I106" s="7">
        <f>'1 datos preparados'!H99</f>
        <v/>
      </c>
      <c r="J106" s="7">
        <f>'1 datos preparados'!I99</f>
        <v/>
      </c>
      <c r="K106" s="7">
        <f>'1 datos preparados'!J99</f>
        <v/>
      </c>
      <c r="L106" s="7">
        <f>'1 datos preparados'!K99</f>
        <v/>
      </c>
      <c r="M106" s="7">
        <f>'1 datos preparados'!L99</f>
        <v/>
      </c>
      <c r="N106" s="7">
        <f>'1 datos preparados'!M99</f>
        <v/>
      </c>
      <c r="O106" s="7">
        <f>'1 datos preparados'!N99</f>
        <v/>
      </c>
      <c r="P106" s="7">
        <f>'1 datos preparados'!O99</f>
        <v/>
      </c>
      <c r="Q106" s="7">
        <f>'1 datos preparados'!P99</f>
        <v/>
      </c>
      <c r="R106" s="7">
        <f>'1 datos preparados'!Q99</f>
        <v/>
      </c>
      <c r="S106" s="7">
        <f>'1 datos preparados'!R99</f>
        <v/>
      </c>
      <c r="T106" s="7">
        <f>'1 datos preparados'!S99</f>
        <v/>
      </c>
      <c r="U106" s="7">
        <f>'1 datos preparados'!T99</f>
        <v/>
      </c>
      <c r="V106" s="8">
        <f>$AC$12+D106*$AC$13+E106*$AC$14+F106*$AC$15+G106*$AC$16+H106*$AC$17+I106*$AC$18+J106*$AC$19+K106*$AC$20+L106*$AC$21+M106*$AC$22+N106*$AC$23+O106*$AC$24+P106*$AC$25+Q106*$AC$26+R106*$AC$27+S106*$AC$28+T106*$AC$29+U106*$AC$30</f>
        <v/>
      </c>
      <c r="W106" s="8">
        <f>1/(1+EXP(-V106))</f>
        <v/>
      </c>
      <c r="X106" s="9">
        <f>-IF(C106=1,LN(W106),LN(1-W106))</f>
        <v/>
      </c>
      <c r="Y106" s="10">
        <f>IF(W106&gt;$AC$34,1,0)</f>
        <v/>
      </c>
      <c r="Z106">
        <f>IF(Y106=C106,1,0)</f>
        <v/>
      </c>
    </row>
    <row r="107">
      <c r="A107">
        <f>'1 datos preparados'!A100</f>
        <v/>
      </c>
      <c r="B107" s="5">
        <f>'1 datos preparados'!U100</f>
        <v/>
      </c>
      <c r="C107">
        <f>'1 datos preparados'!B100</f>
        <v/>
      </c>
      <c r="D107" s="7">
        <f>'1 datos preparados'!C100</f>
        <v/>
      </c>
      <c r="E107" s="7">
        <f>'1 datos preparados'!D100</f>
        <v/>
      </c>
      <c r="F107" s="7">
        <f>'1 datos preparados'!E100</f>
        <v/>
      </c>
      <c r="G107" s="7">
        <f>'1 datos preparados'!F100</f>
        <v/>
      </c>
      <c r="H107" s="7">
        <f>'1 datos preparados'!G100</f>
        <v/>
      </c>
      <c r="I107" s="7">
        <f>'1 datos preparados'!H100</f>
        <v/>
      </c>
      <c r="J107" s="7">
        <f>'1 datos preparados'!I100</f>
        <v/>
      </c>
      <c r="K107" s="7">
        <f>'1 datos preparados'!J100</f>
        <v/>
      </c>
      <c r="L107" s="7">
        <f>'1 datos preparados'!K100</f>
        <v/>
      </c>
      <c r="M107" s="7">
        <f>'1 datos preparados'!L100</f>
        <v/>
      </c>
      <c r="N107" s="7">
        <f>'1 datos preparados'!M100</f>
        <v/>
      </c>
      <c r="O107" s="7">
        <f>'1 datos preparados'!N100</f>
        <v/>
      </c>
      <c r="P107" s="7">
        <f>'1 datos preparados'!O100</f>
        <v/>
      </c>
      <c r="Q107" s="7">
        <f>'1 datos preparados'!P100</f>
        <v/>
      </c>
      <c r="R107" s="7">
        <f>'1 datos preparados'!Q100</f>
        <v/>
      </c>
      <c r="S107" s="7">
        <f>'1 datos preparados'!R100</f>
        <v/>
      </c>
      <c r="T107" s="7">
        <f>'1 datos preparados'!S100</f>
        <v/>
      </c>
      <c r="U107" s="7">
        <f>'1 datos preparados'!T100</f>
        <v/>
      </c>
      <c r="V107" s="8">
        <f>$AC$12+D107*$AC$13+E107*$AC$14+F107*$AC$15+G107*$AC$16+H107*$AC$17+I107*$AC$18+J107*$AC$19+K107*$AC$20+L107*$AC$21+M107*$AC$22+N107*$AC$23+O107*$AC$24+P107*$AC$25+Q107*$AC$26+R107*$AC$27+S107*$AC$28+T107*$AC$29+U107*$AC$30</f>
        <v/>
      </c>
      <c r="W107" s="8">
        <f>1/(1+EXP(-V107))</f>
        <v/>
      </c>
      <c r="X107" s="9">
        <f>-IF(C107=1,LN(W107),LN(1-W107))</f>
        <v/>
      </c>
      <c r="Y107" s="10">
        <f>IF(W107&gt;$AC$34,1,0)</f>
        <v/>
      </c>
      <c r="Z107">
        <f>IF(Y107=C107,1,0)</f>
        <v/>
      </c>
    </row>
    <row r="108">
      <c r="A108">
        <f>'1 datos preparados'!A101</f>
        <v/>
      </c>
      <c r="B108" s="5">
        <f>'1 datos preparados'!U101</f>
        <v/>
      </c>
      <c r="C108">
        <f>'1 datos preparados'!B101</f>
        <v/>
      </c>
      <c r="D108" s="7">
        <f>'1 datos preparados'!C101</f>
        <v/>
      </c>
      <c r="E108" s="7">
        <f>'1 datos preparados'!D101</f>
        <v/>
      </c>
      <c r="F108" s="7">
        <f>'1 datos preparados'!E101</f>
        <v/>
      </c>
      <c r="G108" s="7">
        <f>'1 datos preparados'!F101</f>
        <v/>
      </c>
      <c r="H108" s="7">
        <f>'1 datos preparados'!G101</f>
        <v/>
      </c>
      <c r="I108" s="7">
        <f>'1 datos preparados'!H101</f>
        <v/>
      </c>
      <c r="J108" s="7">
        <f>'1 datos preparados'!I101</f>
        <v/>
      </c>
      <c r="K108" s="7">
        <f>'1 datos preparados'!J101</f>
        <v/>
      </c>
      <c r="L108" s="7">
        <f>'1 datos preparados'!K101</f>
        <v/>
      </c>
      <c r="M108" s="7">
        <f>'1 datos preparados'!L101</f>
        <v/>
      </c>
      <c r="N108" s="7">
        <f>'1 datos preparados'!M101</f>
        <v/>
      </c>
      <c r="O108" s="7">
        <f>'1 datos preparados'!N101</f>
        <v/>
      </c>
      <c r="P108" s="7">
        <f>'1 datos preparados'!O101</f>
        <v/>
      </c>
      <c r="Q108" s="7">
        <f>'1 datos preparados'!P101</f>
        <v/>
      </c>
      <c r="R108" s="7">
        <f>'1 datos preparados'!Q101</f>
        <v/>
      </c>
      <c r="S108" s="7">
        <f>'1 datos preparados'!R101</f>
        <v/>
      </c>
      <c r="T108" s="7">
        <f>'1 datos preparados'!S101</f>
        <v/>
      </c>
      <c r="U108" s="7">
        <f>'1 datos preparados'!T101</f>
        <v/>
      </c>
      <c r="V108" s="8">
        <f>$AC$12+D108*$AC$13+E108*$AC$14+F108*$AC$15+G108*$AC$16+H108*$AC$17+I108*$AC$18+J108*$AC$19+K108*$AC$20+L108*$AC$21+M108*$AC$22+N108*$AC$23+O108*$AC$24+P108*$AC$25+Q108*$AC$26+R108*$AC$27+S108*$AC$28+T108*$AC$29+U108*$AC$30</f>
        <v/>
      </c>
      <c r="W108" s="8">
        <f>1/(1+EXP(-V108))</f>
        <v/>
      </c>
      <c r="X108" s="9">
        <f>-IF(C108=1,LN(W108),LN(1-W108))</f>
        <v/>
      </c>
      <c r="Y108" s="10">
        <f>IF(W108&gt;$AC$34,1,0)</f>
        <v/>
      </c>
      <c r="Z108">
        <f>IF(Y108=C108,1,0)</f>
        <v/>
      </c>
    </row>
    <row r="109">
      <c r="A109">
        <f>'1 datos preparados'!A102</f>
        <v/>
      </c>
      <c r="B109" s="5">
        <f>'1 datos preparados'!U102</f>
        <v/>
      </c>
      <c r="C109">
        <f>'1 datos preparados'!B102</f>
        <v/>
      </c>
      <c r="D109" s="7">
        <f>'1 datos preparados'!C102</f>
        <v/>
      </c>
      <c r="E109" s="7">
        <f>'1 datos preparados'!D102</f>
        <v/>
      </c>
      <c r="F109" s="7">
        <f>'1 datos preparados'!E102</f>
        <v/>
      </c>
      <c r="G109" s="7">
        <f>'1 datos preparados'!F102</f>
        <v/>
      </c>
      <c r="H109" s="7">
        <f>'1 datos preparados'!G102</f>
        <v/>
      </c>
      <c r="I109" s="7">
        <f>'1 datos preparados'!H102</f>
        <v/>
      </c>
      <c r="J109" s="7">
        <f>'1 datos preparados'!I102</f>
        <v/>
      </c>
      <c r="K109" s="7">
        <f>'1 datos preparados'!J102</f>
        <v/>
      </c>
      <c r="L109" s="7">
        <f>'1 datos preparados'!K102</f>
        <v/>
      </c>
      <c r="M109" s="7">
        <f>'1 datos preparados'!L102</f>
        <v/>
      </c>
      <c r="N109" s="7">
        <f>'1 datos preparados'!M102</f>
        <v/>
      </c>
      <c r="O109" s="7">
        <f>'1 datos preparados'!N102</f>
        <v/>
      </c>
      <c r="P109" s="7">
        <f>'1 datos preparados'!O102</f>
        <v/>
      </c>
      <c r="Q109" s="7">
        <f>'1 datos preparados'!P102</f>
        <v/>
      </c>
      <c r="R109" s="7">
        <f>'1 datos preparados'!Q102</f>
        <v/>
      </c>
      <c r="S109" s="7">
        <f>'1 datos preparados'!R102</f>
        <v/>
      </c>
      <c r="T109" s="7">
        <f>'1 datos preparados'!S102</f>
        <v/>
      </c>
      <c r="U109" s="7">
        <f>'1 datos preparados'!T102</f>
        <v/>
      </c>
      <c r="V109" s="8">
        <f>$AC$12+D109*$AC$13+E109*$AC$14+F109*$AC$15+G109*$AC$16+H109*$AC$17+I109*$AC$18+J109*$AC$19+K109*$AC$20+L109*$AC$21+M109*$AC$22+N109*$AC$23+O109*$AC$24+P109*$AC$25+Q109*$AC$26+R109*$AC$27+S109*$AC$28+T109*$AC$29+U109*$AC$30</f>
        <v/>
      </c>
      <c r="W109" s="8">
        <f>1/(1+EXP(-V109))</f>
        <v/>
      </c>
      <c r="X109" s="9">
        <f>-IF(C109=1,LN(W109),LN(1-W109))</f>
        <v/>
      </c>
      <c r="Y109" s="10">
        <f>IF(W109&gt;$AC$34,1,0)</f>
        <v/>
      </c>
      <c r="Z109">
        <f>IF(Y109=C109,1,0)</f>
        <v/>
      </c>
    </row>
    <row r="110">
      <c r="A110">
        <f>'1 datos preparados'!A103</f>
        <v/>
      </c>
      <c r="B110" s="5">
        <f>'1 datos preparados'!U103</f>
        <v/>
      </c>
      <c r="C110">
        <f>'1 datos preparados'!B103</f>
        <v/>
      </c>
      <c r="D110" s="7">
        <f>'1 datos preparados'!C103</f>
        <v/>
      </c>
      <c r="E110" s="7">
        <f>'1 datos preparados'!D103</f>
        <v/>
      </c>
      <c r="F110" s="7">
        <f>'1 datos preparados'!E103</f>
        <v/>
      </c>
      <c r="G110" s="7">
        <f>'1 datos preparados'!F103</f>
        <v/>
      </c>
      <c r="H110" s="7">
        <f>'1 datos preparados'!G103</f>
        <v/>
      </c>
      <c r="I110" s="7">
        <f>'1 datos preparados'!H103</f>
        <v/>
      </c>
      <c r="J110" s="7">
        <f>'1 datos preparados'!I103</f>
        <v/>
      </c>
      <c r="K110" s="7">
        <f>'1 datos preparados'!J103</f>
        <v/>
      </c>
      <c r="L110" s="7">
        <f>'1 datos preparados'!K103</f>
        <v/>
      </c>
      <c r="M110" s="7">
        <f>'1 datos preparados'!L103</f>
        <v/>
      </c>
      <c r="N110" s="7">
        <f>'1 datos preparados'!M103</f>
        <v/>
      </c>
      <c r="O110" s="7">
        <f>'1 datos preparados'!N103</f>
        <v/>
      </c>
      <c r="P110" s="7">
        <f>'1 datos preparados'!O103</f>
        <v/>
      </c>
      <c r="Q110" s="7">
        <f>'1 datos preparados'!P103</f>
        <v/>
      </c>
      <c r="R110" s="7">
        <f>'1 datos preparados'!Q103</f>
        <v/>
      </c>
      <c r="S110" s="7">
        <f>'1 datos preparados'!R103</f>
        <v/>
      </c>
      <c r="T110" s="7">
        <f>'1 datos preparados'!S103</f>
        <v/>
      </c>
      <c r="U110" s="7">
        <f>'1 datos preparados'!T103</f>
        <v/>
      </c>
      <c r="V110" s="8">
        <f>$AC$12+D110*$AC$13+E110*$AC$14+F110*$AC$15+G110*$AC$16+H110*$AC$17+I110*$AC$18+J110*$AC$19+K110*$AC$20+L110*$AC$21+M110*$AC$22+N110*$AC$23+O110*$AC$24+P110*$AC$25+Q110*$AC$26+R110*$AC$27+S110*$AC$28+T110*$AC$29+U110*$AC$30</f>
        <v/>
      </c>
      <c r="W110" s="8">
        <f>1/(1+EXP(-V110))</f>
        <v/>
      </c>
      <c r="X110" s="9">
        <f>-IF(C110=1,LN(W110),LN(1-W110))</f>
        <v/>
      </c>
      <c r="Y110" s="10">
        <f>IF(W110&gt;$AC$34,1,0)</f>
        <v/>
      </c>
      <c r="Z110">
        <f>IF(Y110=C110,1,0)</f>
        <v/>
      </c>
    </row>
    <row r="111">
      <c r="A111">
        <f>'1 datos preparados'!A104</f>
        <v/>
      </c>
      <c r="B111" s="5">
        <f>'1 datos preparados'!U104</f>
        <v/>
      </c>
      <c r="C111">
        <f>'1 datos preparados'!B104</f>
        <v/>
      </c>
      <c r="D111" s="7">
        <f>'1 datos preparados'!C104</f>
        <v/>
      </c>
      <c r="E111" s="7">
        <f>'1 datos preparados'!D104</f>
        <v/>
      </c>
      <c r="F111" s="7">
        <f>'1 datos preparados'!E104</f>
        <v/>
      </c>
      <c r="G111" s="7">
        <f>'1 datos preparados'!F104</f>
        <v/>
      </c>
      <c r="H111" s="7">
        <f>'1 datos preparados'!G104</f>
        <v/>
      </c>
      <c r="I111" s="7">
        <f>'1 datos preparados'!H104</f>
        <v/>
      </c>
      <c r="J111" s="7">
        <f>'1 datos preparados'!I104</f>
        <v/>
      </c>
      <c r="K111" s="7">
        <f>'1 datos preparados'!J104</f>
        <v/>
      </c>
      <c r="L111" s="7">
        <f>'1 datos preparados'!K104</f>
        <v/>
      </c>
      <c r="M111" s="7">
        <f>'1 datos preparados'!L104</f>
        <v/>
      </c>
      <c r="N111" s="7">
        <f>'1 datos preparados'!M104</f>
        <v/>
      </c>
      <c r="O111" s="7">
        <f>'1 datos preparados'!N104</f>
        <v/>
      </c>
      <c r="P111" s="7">
        <f>'1 datos preparados'!O104</f>
        <v/>
      </c>
      <c r="Q111" s="7">
        <f>'1 datos preparados'!P104</f>
        <v/>
      </c>
      <c r="R111" s="7">
        <f>'1 datos preparados'!Q104</f>
        <v/>
      </c>
      <c r="S111" s="7">
        <f>'1 datos preparados'!R104</f>
        <v/>
      </c>
      <c r="T111" s="7">
        <f>'1 datos preparados'!S104</f>
        <v/>
      </c>
      <c r="U111" s="7">
        <f>'1 datos preparados'!T104</f>
        <v/>
      </c>
      <c r="V111" s="8">
        <f>$AC$12+D111*$AC$13+E111*$AC$14+F111*$AC$15+G111*$AC$16+H111*$AC$17+I111*$AC$18+J111*$AC$19+K111*$AC$20+L111*$AC$21+M111*$AC$22+N111*$AC$23+O111*$AC$24+P111*$AC$25+Q111*$AC$26+R111*$AC$27+S111*$AC$28+T111*$AC$29+U111*$AC$30</f>
        <v/>
      </c>
      <c r="W111" s="8">
        <f>1/(1+EXP(-V111))</f>
        <v/>
      </c>
      <c r="X111" s="9">
        <f>-IF(C111=1,LN(W111),LN(1-W111))</f>
        <v/>
      </c>
      <c r="Y111" s="10">
        <f>IF(W111&gt;$AC$34,1,0)</f>
        <v/>
      </c>
      <c r="Z111">
        <f>IF(Y111=C111,1,0)</f>
        <v/>
      </c>
    </row>
    <row r="112">
      <c r="A112">
        <f>'1 datos preparados'!A105</f>
        <v/>
      </c>
      <c r="B112" s="5">
        <f>'1 datos preparados'!U105</f>
        <v/>
      </c>
      <c r="C112">
        <f>'1 datos preparados'!B105</f>
        <v/>
      </c>
      <c r="D112" s="7">
        <f>'1 datos preparados'!C105</f>
        <v/>
      </c>
      <c r="E112" s="7">
        <f>'1 datos preparados'!D105</f>
        <v/>
      </c>
      <c r="F112" s="7">
        <f>'1 datos preparados'!E105</f>
        <v/>
      </c>
      <c r="G112" s="7">
        <f>'1 datos preparados'!F105</f>
        <v/>
      </c>
      <c r="H112" s="7">
        <f>'1 datos preparados'!G105</f>
        <v/>
      </c>
      <c r="I112" s="7">
        <f>'1 datos preparados'!H105</f>
        <v/>
      </c>
      <c r="J112" s="7">
        <f>'1 datos preparados'!I105</f>
        <v/>
      </c>
      <c r="K112" s="7">
        <f>'1 datos preparados'!J105</f>
        <v/>
      </c>
      <c r="L112" s="7">
        <f>'1 datos preparados'!K105</f>
        <v/>
      </c>
      <c r="M112" s="7">
        <f>'1 datos preparados'!L105</f>
        <v/>
      </c>
      <c r="N112" s="7">
        <f>'1 datos preparados'!M105</f>
        <v/>
      </c>
      <c r="O112" s="7">
        <f>'1 datos preparados'!N105</f>
        <v/>
      </c>
      <c r="P112" s="7">
        <f>'1 datos preparados'!O105</f>
        <v/>
      </c>
      <c r="Q112" s="7">
        <f>'1 datos preparados'!P105</f>
        <v/>
      </c>
      <c r="R112" s="7">
        <f>'1 datos preparados'!Q105</f>
        <v/>
      </c>
      <c r="S112" s="7">
        <f>'1 datos preparados'!R105</f>
        <v/>
      </c>
      <c r="T112" s="7">
        <f>'1 datos preparados'!S105</f>
        <v/>
      </c>
      <c r="U112" s="7">
        <f>'1 datos preparados'!T105</f>
        <v/>
      </c>
      <c r="V112" s="8">
        <f>$AC$12+D112*$AC$13+E112*$AC$14+F112*$AC$15+G112*$AC$16+H112*$AC$17+I112*$AC$18+J112*$AC$19+K112*$AC$20+L112*$AC$21+M112*$AC$22+N112*$AC$23+O112*$AC$24+P112*$AC$25+Q112*$AC$26+R112*$AC$27+S112*$AC$28+T112*$AC$29+U112*$AC$30</f>
        <v/>
      </c>
      <c r="W112" s="8">
        <f>1/(1+EXP(-V112))</f>
        <v/>
      </c>
      <c r="X112" s="9">
        <f>-IF(C112=1,LN(W112),LN(1-W112))</f>
        <v/>
      </c>
      <c r="Y112" s="10">
        <f>IF(W112&gt;$AC$34,1,0)</f>
        <v/>
      </c>
      <c r="Z112">
        <f>IF(Y112=C112,1,0)</f>
        <v/>
      </c>
    </row>
    <row r="113">
      <c r="A113">
        <f>'1 datos preparados'!A106</f>
        <v/>
      </c>
      <c r="B113" s="5">
        <f>'1 datos preparados'!U106</f>
        <v/>
      </c>
      <c r="C113">
        <f>'1 datos preparados'!B106</f>
        <v/>
      </c>
      <c r="D113" s="7">
        <f>'1 datos preparados'!C106</f>
        <v/>
      </c>
      <c r="E113" s="7">
        <f>'1 datos preparados'!D106</f>
        <v/>
      </c>
      <c r="F113" s="7">
        <f>'1 datos preparados'!E106</f>
        <v/>
      </c>
      <c r="G113" s="7">
        <f>'1 datos preparados'!F106</f>
        <v/>
      </c>
      <c r="H113" s="7">
        <f>'1 datos preparados'!G106</f>
        <v/>
      </c>
      <c r="I113" s="7">
        <f>'1 datos preparados'!H106</f>
        <v/>
      </c>
      <c r="J113" s="7">
        <f>'1 datos preparados'!I106</f>
        <v/>
      </c>
      <c r="K113" s="7">
        <f>'1 datos preparados'!J106</f>
        <v/>
      </c>
      <c r="L113" s="7">
        <f>'1 datos preparados'!K106</f>
        <v/>
      </c>
      <c r="M113" s="7">
        <f>'1 datos preparados'!L106</f>
        <v/>
      </c>
      <c r="N113" s="7">
        <f>'1 datos preparados'!M106</f>
        <v/>
      </c>
      <c r="O113" s="7">
        <f>'1 datos preparados'!N106</f>
        <v/>
      </c>
      <c r="P113" s="7">
        <f>'1 datos preparados'!O106</f>
        <v/>
      </c>
      <c r="Q113" s="7">
        <f>'1 datos preparados'!P106</f>
        <v/>
      </c>
      <c r="R113" s="7">
        <f>'1 datos preparados'!Q106</f>
        <v/>
      </c>
      <c r="S113" s="7">
        <f>'1 datos preparados'!R106</f>
        <v/>
      </c>
      <c r="T113" s="7">
        <f>'1 datos preparados'!S106</f>
        <v/>
      </c>
      <c r="U113" s="7">
        <f>'1 datos preparados'!T106</f>
        <v/>
      </c>
      <c r="V113" s="8">
        <f>$AC$12+D113*$AC$13+E113*$AC$14+F113*$AC$15+G113*$AC$16+H113*$AC$17+I113*$AC$18+J113*$AC$19+K113*$AC$20+L113*$AC$21+M113*$AC$22+N113*$AC$23+O113*$AC$24+P113*$AC$25+Q113*$AC$26+R113*$AC$27+S113*$AC$28+T113*$AC$29+U113*$AC$30</f>
        <v/>
      </c>
      <c r="W113" s="8">
        <f>1/(1+EXP(-V113))</f>
        <v/>
      </c>
      <c r="X113" s="9">
        <f>-IF(C113=1,LN(W113),LN(1-W113))</f>
        <v/>
      </c>
      <c r="Y113" s="10">
        <f>IF(W113&gt;$AC$34,1,0)</f>
        <v/>
      </c>
      <c r="Z113">
        <f>IF(Y113=C113,1,0)</f>
        <v/>
      </c>
    </row>
    <row r="114">
      <c r="A114">
        <f>'1 datos preparados'!A107</f>
        <v/>
      </c>
      <c r="B114" s="5">
        <f>'1 datos preparados'!U107</f>
        <v/>
      </c>
      <c r="C114">
        <f>'1 datos preparados'!B107</f>
        <v/>
      </c>
      <c r="D114" s="7">
        <f>'1 datos preparados'!C107</f>
        <v/>
      </c>
      <c r="E114" s="7">
        <f>'1 datos preparados'!D107</f>
        <v/>
      </c>
      <c r="F114" s="7">
        <f>'1 datos preparados'!E107</f>
        <v/>
      </c>
      <c r="G114" s="7">
        <f>'1 datos preparados'!F107</f>
        <v/>
      </c>
      <c r="H114" s="7">
        <f>'1 datos preparados'!G107</f>
        <v/>
      </c>
      <c r="I114" s="7">
        <f>'1 datos preparados'!H107</f>
        <v/>
      </c>
      <c r="J114" s="7">
        <f>'1 datos preparados'!I107</f>
        <v/>
      </c>
      <c r="K114" s="7">
        <f>'1 datos preparados'!J107</f>
        <v/>
      </c>
      <c r="L114" s="7">
        <f>'1 datos preparados'!K107</f>
        <v/>
      </c>
      <c r="M114" s="7">
        <f>'1 datos preparados'!L107</f>
        <v/>
      </c>
      <c r="N114" s="7">
        <f>'1 datos preparados'!M107</f>
        <v/>
      </c>
      <c r="O114" s="7">
        <f>'1 datos preparados'!N107</f>
        <v/>
      </c>
      <c r="P114" s="7">
        <f>'1 datos preparados'!O107</f>
        <v/>
      </c>
      <c r="Q114" s="7">
        <f>'1 datos preparados'!P107</f>
        <v/>
      </c>
      <c r="R114" s="7">
        <f>'1 datos preparados'!Q107</f>
        <v/>
      </c>
      <c r="S114" s="7">
        <f>'1 datos preparados'!R107</f>
        <v/>
      </c>
      <c r="T114" s="7">
        <f>'1 datos preparados'!S107</f>
        <v/>
      </c>
      <c r="U114" s="7">
        <f>'1 datos preparados'!T107</f>
        <v/>
      </c>
      <c r="V114" s="8">
        <f>$AC$12+D114*$AC$13+E114*$AC$14+F114*$AC$15+G114*$AC$16+H114*$AC$17+I114*$AC$18+J114*$AC$19+K114*$AC$20+L114*$AC$21+M114*$AC$22+N114*$AC$23+O114*$AC$24+P114*$AC$25+Q114*$AC$26+R114*$AC$27+S114*$AC$28+T114*$AC$29+U114*$AC$30</f>
        <v/>
      </c>
      <c r="W114" s="8">
        <f>1/(1+EXP(-V114))</f>
        <v/>
      </c>
      <c r="X114" s="9">
        <f>-IF(C114=1,LN(W114),LN(1-W114))</f>
        <v/>
      </c>
      <c r="Y114" s="10">
        <f>IF(W114&gt;$AC$34,1,0)</f>
        <v/>
      </c>
      <c r="Z114">
        <f>IF(Y114=C114,1,0)</f>
        <v/>
      </c>
    </row>
    <row r="115">
      <c r="A115">
        <f>'1 datos preparados'!A108</f>
        <v/>
      </c>
      <c r="B115" s="5">
        <f>'1 datos preparados'!U108</f>
        <v/>
      </c>
      <c r="C115">
        <f>'1 datos preparados'!B108</f>
        <v/>
      </c>
      <c r="D115" s="7">
        <f>'1 datos preparados'!C108</f>
        <v/>
      </c>
      <c r="E115" s="7">
        <f>'1 datos preparados'!D108</f>
        <v/>
      </c>
      <c r="F115" s="7">
        <f>'1 datos preparados'!E108</f>
        <v/>
      </c>
      <c r="G115" s="7">
        <f>'1 datos preparados'!F108</f>
        <v/>
      </c>
      <c r="H115" s="7">
        <f>'1 datos preparados'!G108</f>
        <v/>
      </c>
      <c r="I115" s="7">
        <f>'1 datos preparados'!H108</f>
        <v/>
      </c>
      <c r="J115" s="7">
        <f>'1 datos preparados'!I108</f>
        <v/>
      </c>
      <c r="K115" s="7">
        <f>'1 datos preparados'!J108</f>
        <v/>
      </c>
      <c r="L115" s="7">
        <f>'1 datos preparados'!K108</f>
        <v/>
      </c>
      <c r="M115" s="7">
        <f>'1 datos preparados'!L108</f>
        <v/>
      </c>
      <c r="N115" s="7">
        <f>'1 datos preparados'!M108</f>
        <v/>
      </c>
      <c r="O115" s="7">
        <f>'1 datos preparados'!N108</f>
        <v/>
      </c>
      <c r="P115" s="7">
        <f>'1 datos preparados'!O108</f>
        <v/>
      </c>
      <c r="Q115" s="7">
        <f>'1 datos preparados'!P108</f>
        <v/>
      </c>
      <c r="R115" s="7">
        <f>'1 datos preparados'!Q108</f>
        <v/>
      </c>
      <c r="S115" s="7">
        <f>'1 datos preparados'!R108</f>
        <v/>
      </c>
      <c r="T115" s="7">
        <f>'1 datos preparados'!S108</f>
        <v/>
      </c>
      <c r="U115" s="7">
        <f>'1 datos preparados'!T108</f>
        <v/>
      </c>
      <c r="V115" s="8">
        <f>$AC$12+D115*$AC$13+E115*$AC$14+F115*$AC$15+G115*$AC$16+H115*$AC$17+I115*$AC$18+J115*$AC$19+K115*$AC$20+L115*$AC$21+M115*$AC$22+N115*$AC$23+O115*$AC$24+P115*$AC$25+Q115*$AC$26+R115*$AC$27+S115*$AC$28+T115*$AC$29+U115*$AC$30</f>
        <v/>
      </c>
      <c r="W115" s="8">
        <f>1/(1+EXP(-V115))</f>
        <v/>
      </c>
      <c r="X115" s="9">
        <f>-IF(C115=1,LN(W115),LN(1-W115))</f>
        <v/>
      </c>
      <c r="Y115" s="10">
        <f>IF(W115&gt;$AC$34,1,0)</f>
        <v/>
      </c>
      <c r="Z115">
        <f>IF(Y115=C115,1,0)</f>
        <v/>
      </c>
    </row>
    <row r="116">
      <c r="A116">
        <f>'1 datos preparados'!A109</f>
        <v/>
      </c>
      <c r="B116" s="5">
        <f>'1 datos preparados'!U109</f>
        <v/>
      </c>
      <c r="C116">
        <f>'1 datos preparados'!B109</f>
        <v/>
      </c>
      <c r="D116" s="7">
        <f>'1 datos preparados'!C109</f>
        <v/>
      </c>
      <c r="E116" s="7">
        <f>'1 datos preparados'!D109</f>
        <v/>
      </c>
      <c r="F116" s="7">
        <f>'1 datos preparados'!E109</f>
        <v/>
      </c>
      <c r="G116" s="7">
        <f>'1 datos preparados'!F109</f>
        <v/>
      </c>
      <c r="H116" s="7">
        <f>'1 datos preparados'!G109</f>
        <v/>
      </c>
      <c r="I116" s="7">
        <f>'1 datos preparados'!H109</f>
        <v/>
      </c>
      <c r="J116" s="7">
        <f>'1 datos preparados'!I109</f>
        <v/>
      </c>
      <c r="K116" s="7">
        <f>'1 datos preparados'!J109</f>
        <v/>
      </c>
      <c r="L116" s="7">
        <f>'1 datos preparados'!K109</f>
        <v/>
      </c>
      <c r="M116" s="7">
        <f>'1 datos preparados'!L109</f>
        <v/>
      </c>
      <c r="N116" s="7">
        <f>'1 datos preparados'!M109</f>
        <v/>
      </c>
      <c r="O116" s="7">
        <f>'1 datos preparados'!N109</f>
        <v/>
      </c>
      <c r="P116" s="7">
        <f>'1 datos preparados'!O109</f>
        <v/>
      </c>
      <c r="Q116" s="7">
        <f>'1 datos preparados'!P109</f>
        <v/>
      </c>
      <c r="R116" s="7">
        <f>'1 datos preparados'!Q109</f>
        <v/>
      </c>
      <c r="S116" s="7">
        <f>'1 datos preparados'!R109</f>
        <v/>
      </c>
      <c r="T116" s="7">
        <f>'1 datos preparados'!S109</f>
        <v/>
      </c>
      <c r="U116" s="7">
        <f>'1 datos preparados'!T109</f>
        <v/>
      </c>
      <c r="V116" s="8">
        <f>$AC$12+D116*$AC$13+E116*$AC$14+F116*$AC$15+G116*$AC$16+H116*$AC$17+I116*$AC$18+J116*$AC$19+K116*$AC$20+L116*$AC$21+M116*$AC$22+N116*$AC$23+O116*$AC$24+P116*$AC$25+Q116*$AC$26+R116*$AC$27+S116*$AC$28+T116*$AC$29+U116*$AC$30</f>
        <v/>
      </c>
      <c r="W116" s="8">
        <f>1/(1+EXP(-V116))</f>
        <v/>
      </c>
      <c r="X116" s="9">
        <f>-IF(C116=1,LN(W116),LN(1-W116))</f>
        <v/>
      </c>
      <c r="Y116" s="10">
        <f>IF(W116&gt;$AC$34,1,0)</f>
        <v/>
      </c>
      <c r="Z116">
        <f>IF(Y116=C116,1,0)</f>
        <v/>
      </c>
    </row>
    <row r="117">
      <c r="A117">
        <f>'1 datos preparados'!A110</f>
        <v/>
      </c>
      <c r="B117" s="5">
        <f>'1 datos preparados'!U110</f>
        <v/>
      </c>
      <c r="C117">
        <f>'1 datos preparados'!B110</f>
        <v/>
      </c>
      <c r="D117" s="7">
        <f>'1 datos preparados'!C110</f>
        <v/>
      </c>
      <c r="E117" s="7">
        <f>'1 datos preparados'!D110</f>
        <v/>
      </c>
      <c r="F117" s="7">
        <f>'1 datos preparados'!E110</f>
        <v/>
      </c>
      <c r="G117" s="7">
        <f>'1 datos preparados'!F110</f>
        <v/>
      </c>
      <c r="H117" s="7">
        <f>'1 datos preparados'!G110</f>
        <v/>
      </c>
      <c r="I117" s="7">
        <f>'1 datos preparados'!H110</f>
        <v/>
      </c>
      <c r="J117" s="7">
        <f>'1 datos preparados'!I110</f>
        <v/>
      </c>
      <c r="K117" s="7">
        <f>'1 datos preparados'!J110</f>
        <v/>
      </c>
      <c r="L117" s="7">
        <f>'1 datos preparados'!K110</f>
        <v/>
      </c>
      <c r="M117" s="7">
        <f>'1 datos preparados'!L110</f>
        <v/>
      </c>
      <c r="N117" s="7">
        <f>'1 datos preparados'!M110</f>
        <v/>
      </c>
      <c r="O117" s="7">
        <f>'1 datos preparados'!N110</f>
        <v/>
      </c>
      <c r="P117" s="7">
        <f>'1 datos preparados'!O110</f>
        <v/>
      </c>
      <c r="Q117" s="7">
        <f>'1 datos preparados'!P110</f>
        <v/>
      </c>
      <c r="R117" s="7">
        <f>'1 datos preparados'!Q110</f>
        <v/>
      </c>
      <c r="S117" s="7">
        <f>'1 datos preparados'!R110</f>
        <v/>
      </c>
      <c r="T117" s="7">
        <f>'1 datos preparados'!S110</f>
        <v/>
      </c>
      <c r="U117" s="7">
        <f>'1 datos preparados'!T110</f>
        <v/>
      </c>
      <c r="V117" s="8">
        <f>$AC$12+D117*$AC$13+E117*$AC$14+F117*$AC$15+G117*$AC$16+H117*$AC$17+I117*$AC$18+J117*$AC$19+K117*$AC$20+L117*$AC$21+M117*$AC$22+N117*$AC$23+O117*$AC$24+P117*$AC$25+Q117*$AC$26+R117*$AC$27+S117*$AC$28+T117*$AC$29+U117*$AC$30</f>
        <v/>
      </c>
      <c r="W117" s="8">
        <f>1/(1+EXP(-V117))</f>
        <v/>
      </c>
      <c r="X117" s="9">
        <f>-IF(C117=1,LN(W117),LN(1-W117))</f>
        <v/>
      </c>
      <c r="Y117" s="10">
        <f>IF(W117&gt;$AC$34,1,0)</f>
        <v/>
      </c>
      <c r="Z117">
        <f>IF(Y117=C117,1,0)</f>
        <v/>
      </c>
    </row>
    <row r="118">
      <c r="A118">
        <f>'1 datos preparados'!A111</f>
        <v/>
      </c>
      <c r="B118" s="5">
        <f>'1 datos preparados'!U111</f>
        <v/>
      </c>
      <c r="C118">
        <f>'1 datos preparados'!B111</f>
        <v/>
      </c>
      <c r="D118" s="7">
        <f>'1 datos preparados'!C111</f>
        <v/>
      </c>
      <c r="E118" s="7">
        <f>'1 datos preparados'!D111</f>
        <v/>
      </c>
      <c r="F118" s="7">
        <f>'1 datos preparados'!E111</f>
        <v/>
      </c>
      <c r="G118" s="7">
        <f>'1 datos preparados'!F111</f>
        <v/>
      </c>
      <c r="H118" s="7">
        <f>'1 datos preparados'!G111</f>
        <v/>
      </c>
      <c r="I118" s="7">
        <f>'1 datos preparados'!H111</f>
        <v/>
      </c>
      <c r="J118" s="7">
        <f>'1 datos preparados'!I111</f>
        <v/>
      </c>
      <c r="K118" s="7">
        <f>'1 datos preparados'!J111</f>
        <v/>
      </c>
      <c r="L118" s="7">
        <f>'1 datos preparados'!K111</f>
        <v/>
      </c>
      <c r="M118" s="7">
        <f>'1 datos preparados'!L111</f>
        <v/>
      </c>
      <c r="N118" s="7">
        <f>'1 datos preparados'!M111</f>
        <v/>
      </c>
      <c r="O118" s="7">
        <f>'1 datos preparados'!N111</f>
        <v/>
      </c>
      <c r="P118" s="7">
        <f>'1 datos preparados'!O111</f>
        <v/>
      </c>
      <c r="Q118" s="7">
        <f>'1 datos preparados'!P111</f>
        <v/>
      </c>
      <c r="R118" s="7">
        <f>'1 datos preparados'!Q111</f>
        <v/>
      </c>
      <c r="S118" s="7">
        <f>'1 datos preparados'!R111</f>
        <v/>
      </c>
      <c r="T118" s="7">
        <f>'1 datos preparados'!S111</f>
        <v/>
      </c>
      <c r="U118" s="7">
        <f>'1 datos preparados'!T111</f>
        <v/>
      </c>
      <c r="V118" s="8">
        <f>$AC$12+D118*$AC$13+E118*$AC$14+F118*$AC$15+G118*$AC$16+H118*$AC$17+I118*$AC$18+J118*$AC$19+K118*$AC$20+L118*$AC$21+M118*$AC$22+N118*$AC$23+O118*$AC$24+P118*$AC$25+Q118*$AC$26+R118*$AC$27+S118*$AC$28+T118*$AC$29+U118*$AC$30</f>
        <v/>
      </c>
      <c r="W118" s="8">
        <f>1/(1+EXP(-V118))</f>
        <v/>
      </c>
      <c r="X118" s="9">
        <f>-IF(C118=1,LN(W118),LN(1-W118))</f>
        <v/>
      </c>
      <c r="Y118" s="10">
        <f>IF(W118&gt;$AC$34,1,0)</f>
        <v/>
      </c>
      <c r="Z118">
        <f>IF(Y118=C118,1,0)</f>
        <v/>
      </c>
    </row>
    <row r="119">
      <c r="A119">
        <f>'1 datos preparados'!A112</f>
        <v/>
      </c>
      <c r="B119" s="5">
        <f>'1 datos preparados'!U112</f>
        <v/>
      </c>
      <c r="C119">
        <f>'1 datos preparados'!B112</f>
        <v/>
      </c>
      <c r="D119" s="7">
        <f>'1 datos preparados'!C112</f>
        <v/>
      </c>
      <c r="E119" s="7">
        <f>'1 datos preparados'!D112</f>
        <v/>
      </c>
      <c r="F119" s="7">
        <f>'1 datos preparados'!E112</f>
        <v/>
      </c>
      <c r="G119" s="7">
        <f>'1 datos preparados'!F112</f>
        <v/>
      </c>
      <c r="H119" s="7">
        <f>'1 datos preparados'!G112</f>
        <v/>
      </c>
      <c r="I119" s="7">
        <f>'1 datos preparados'!H112</f>
        <v/>
      </c>
      <c r="J119" s="7">
        <f>'1 datos preparados'!I112</f>
        <v/>
      </c>
      <c r="K119" s="7">
        <f>'1 datos preparados'!J112</f>
        <v/>
      </c>
      <c r="L119" s="7">
        <f>'1 datos preparados'!K112</f>
        <v/>
      </c>
      <c r="M119" s="7">
        <f>'1 datos preparados'!L112</f>
        <v/>
      </c>
      <c r="N119" s="7">
        <f>'1 datos preparados'!M112</f>
        <v/>
      </c>
      <c r="O119" s="7">
        <f>'1 datos preparados'!N112</f>
        <v/>
      </c>
      <c r="P119" s="7">
        <f>'1 datos preparados'!O112</f>
        <v/>
      </c>
      <c r="Q119" s="7">
        <f>'1 datos preparados'!P112</f>
        <v/>
      </c>
      <c r="R119" s="7">
        <f>'1 datos preparados'!Q112</f>
        <v/>
      </c>
      <c r="S119" s="7">
        <f>'1 datos preparados'!R112</f>
        <v/>
      </c>
      <c r="T119" s="7">
        <f>'1 datos preparados'!S112</f>
        <v/>
      </c>
      <c r="U119" s="7">
        <f>'1 datos preparados'!T112</f>
        <v/>
      </c>
      <c r="V119" s="8">
        <f>$AC$12+D119*$AC$13+E119*$AC$14+F119*$AC$15+G119*$AC$16+H119*$AC$17+I119*$AC$18+J119*$AC$19+K119*$AC$20+L119*$AC$21+M119*$AC$22+N119*$AC$23+O119*$AC$24+P119*$AC$25+Q119*$AC$26+R119*$AC$27+S119*$AC$28+T119*$AC$29+U119*$AC$30</f>
        <v/>
      </c>
      <c r="W119" s="8">
        <f>1/(1+EXP(-V119))</f>
        <v/>
      </c>
      <c r="X119" s="9">
        <f>-IF(C119=1,LN(W119),LN(1-W119))</f>
        <v/>
      </c>
      <c r="Y119" s="10">
        <f>IF(W119&gt;$AC$34,1,0)</f>
        <v/>
      </c>
      <c r="Z119">
        <f>IF(Y119=C119,1,0)</f>
        <v/>
      </c>
    </row>
    <row r="120">
      <c r="A120">
        <f>'1 datos preparados'!A113</f>
        <v/>
      </c>
      <c r="B120" s="5">
        <f>'1 datos preparados'!U113</f>
        <v/>
      </c>
      <c r="C120">
        <f>'1 datos preparados'!B113</f>
        <v/>
      </c>
      <c r="D120" s="7">
        <f>'1 datos preparados'!C113</f>
        <v/>
      </c>
      <c r="E120" s="7">
        <f>'1 datos preparados'!D113</f>
        <v/>
      </c>
      <c r="F120" s="7">
        <f>'1 datos preparados'!E113</f>
        <v/>
      </c>
      <c r="G120" s="7">
        <f>'1 datos preparados'!F113</f>
        <v/>
      </c>
      <c r="H120" s="7">
        <f>'1 datos preparados'!G113</f>
        <v/>
      </c>
      <c r="I120" s="7">
        <f>'1 datos preparados'!H113</f>
        <v/>
      </c>
      <c r="J120" s="7">
        <f>'1 datos preparados'!I113</f>
        <v/>
      </c>
      <c r="K120" s="7">
        <f>'1 datos preparados'!J113</f>
        <v/>
      </c>
      <c r="L120" s="7">
        <f>'1 datos preparados'!K113</f>
        <v/>
      </c>
      <c r="M120" s="7">
        <f>'1 datos preparados'!L113</f>
        <v/>
      </c>
      <c r="N120" s="7">
        <f>'1 datos preparados'!M113</f>
        <v/>
      </c>
      <c r="O120" s="7">
        <f>'1 datos preparados'!N113</f>
        <v/>
      </c>
      <c r="P120" s="7">
        <f>'1 datos preparados'!O113</f>
        <v/>
      </c>
      <c r="Q120" s="7">
        <f>'1 datos preparados'!P113</f>
        <v/>
      </c>
      <c r="R120" s="7">
        <f>'1 datos preparados'!Q113</f>
        <v/>
      </c>
      <c r="S120" s="7">
        <f>'1 datos preparados'!R113</f>
        <v/>
      </c>
      <c r="T120" s="7">
        <f>'1 datos preparados'!S113</f>
        <v/>
      </c>
      <c r="U120" s="7">
        <f>'1 datos preparados'!T113</f>
        <v/>
      </c>
      <c r="V120" s="8">
        <f>$AC$12+D120*$AC$13+E120*$AC$14+F120*$AC$15+G120*$AC$16+H120*$AC$17+I120*$AC$18+J120*$AC$19+K120*$AC$20+L120*$AC$21+M120*$AC$22+N120*$AC$23+O120*$AC$24+P120*$AC$25+Q120*$AC$26+R120*$AC$27+S120*$AC$28+T120*$AC$29+U120*$AC$30</f>
        <v/>
      </c>
      <c r="W120" s="8">
        <f>1/(1+EXP(-V120))</f>
        <v/>
      </c>
      <c r="X120" s="9">
        <f>-IF(C120=1,LN(W120),LN(1-W120))</f>
        <v/>
      </c>
      <c r="Y120" s="10">
        <f>IF(W120&gt;$AC$34,1,0)</f>
        <v/>
      </c>
      <c r="Z120">
        <f>IF(Y120=C120,1,0)</f>
        <v/>
      </c>
    </row>
    <row r="121">
      <c r="A121">
        <f>'1 datos preparados'!A114</f>
        <v/>
      </c>
      <c r="B121" s="5">
        <f>'1 datos preparados'!U114</f>
        <v/>
      </c>
      <c r="C121">
        <f>'1 datos preparados'!B114</f>
        <v/>
      </c>
      <c r="D121" s="7">
        <f>'1 datos preparados'!C114</f>
        <v/>
      </c>
      <c r="E121" s="7">
        <f>'1 datos preparados'!D114</f>
        <v/>
      </c>
      <c r="F121" s="7">
        <f>'1 datos preparados'!E114</f>
        <v/>
      </c>
      <c r="G121" s="7">
        <f>'1 datos preparados'!F114</f>
        <v/>
      </c>
      <c r="H121" s="7">
        <f>'1 datos preparados'!G114</f>
        <v/>
      </c>
      <c r="I121" s="7">
        <f>'1 datos preparados'!H114</f>
        <v/>
      </c>
      <c r="J121" s="7">
        <f>'1 datos preparados'!I114</f>
        <v/>
      </c>
      <c r="K121" s="7">
        <f>'1 datos preparados'!J114</f>
        <v/>
      </c>
      <c r="L121" s="7">
        <f>'1 datos preparados'!K114</f>
        <v/>
      </c>
      <c r="M121" s="7">
        <f>'1 datos preparados'!L114</f>
        <v/>
      </c>
      <c r="N121" s="7">
        <f>'1 datos preparados'!M114</f>
        <v/>
      </c>
      <c r="O121" s="7">
        <f>'1 datos preparados'!N114</f>
        <v/>
      </c>
      <c r="P121" s="7">
        <f>'1 datos preparados'!O114</f>
        <v/>
      </c>
      <c r="Q121" s="7">
        <f>'1 datos preparados'!P114</f>
        <v/>
      </c>
      <c r="R121" s="7">
        <f>'1 datos preparados'!Q114</f>
        <v/>
      </c>
      <c r="S121" s="7">
        <f>'1 datos preparados'!R114</f>
        <v/>
      </c>
      <c r="T121" s="7">
        <f>'1 datos preparados'!S114</f>
        <v/>
      </c>
      <c r="U121" s="7">
        <f>'1 datos preparados'!T114</f>
        <v/>
      </c>
      <c r="V121" s="8">
        <f>$AC$12+D121*$AC$13+E121*$AC$14+F121*$AC$15+G121*$AC$16+H121*$AC$17+I121*$AC$18+J121*$AC$19+K121*$AC$20+L121*$AC$21+M121*$AC$22+N121*$AC$23+O121*$AC$24+P121*$AC$25+Q121*$AC$26+R121*$AC$27+S121*$AC$28+T121*$AC$29+U121*$AC$30</f>
        <v/>
      </c>
      <c r="W121" s="8">
        <f>1/(1+EXP(-V121))</f>
        <v/>
      </c>
      <c r="X121" s="9">
        <f>-IF(C121=1,LN(W121),LN(1-W121))</f>
        <v/>
      </c>
      <c r="Y121" s="10">
        <f>IF(W121&gt;$AC$34,1,0)</f>
        <v/>
      </c>
      <c r="Z121">
        <f>IF(Y121=C121,1,0)</f>
        <v/>
      </c>
    </row>
    <row r="122">
      <c r="A122">
        <f>'1 datos preparados'!A115</f>
        <v/>
      </c>
      <c r="B122" s="5">
        <f>'1 datos preparados'!U115</f>
        <v/>
      </c>
      <c r="C122">
        <f>'1 datos preparados'!B115</f>
        <v/>
      </c>
      <c r="D122" s="7">
        <f>'1 datos preparados'!C115</f>
        <v/>
      </c>
      <c r="E122" s="7">
        <f>'1 datos preparados'!D115</f>
        <v/>
      </c>
      <c r="F122" s="7">
        <f>'1 datos preparados'!E115</f>
        <v/>
      </c>
      <c r="G122" s="7">
        <f>'1 datos preparados'!F115</f>
        <v/>
      </c>
      <c r="H122" s="7">
        <f>'1 datos preparados'!G115</f>
        <v/>
      </c>
      <c r="I122" s="7">
        <f>'1 datos preparados'!H115</f>
        <v/>
      </c>
      <c r="J122" s="7">
        <f>'1 datos preparados'!I115</f>
        <v/>
      </c>
      <c r="K122" s="7">
        <f>'1 datos preparados'!J115</f>
        <v/>
      </c>
      <c r="L122" s="7">
        <f>'1 datos preparados'!K115</f>
        <v/>
      </c>
      <c r="M122" s="7">
        <f>'1 datos preparados'!L115</f>
        <v/>
      </c>
      <c r="N122" s="7">
        <f>'1 datos preparados'!M115</f>
        <v/>
      </c>
      <c r="O122" s="7">
        <f>'1 datos preparados'!N115</f>
        <v/>
      </c>
      <c r="P122" s="7">
        <f>'1 datos preparados'!O115</f>
        <v/>
      </c>
      <c r="Q122" s="7">
        <f>'1 datos preparados'!P115</f>
        <v/>
      </c>
      <c r="R122" s="7">
        <f>'1 datos preparados'!Q115</f>
        <v/>
      </c>
      <c r="S122" s="7">
        <f>'1 datos preparados'!R115</f>
        <v/>
      </c>
      <c r="T122" s="7">
        <f>'1 datos preparados'!S115</f>
        <v/>
      </c>
      <c r="U122" s="7">
        <f>'1 datos preparados'!T115</f>
        <v/>
      </c>
      <c r="V122" s="8">
        <f>$AC$12+D122*$AC$13+E122*$AC$14+F122*$AC$15+G122*$AC$16+H122*$AC$17+I122*$AC$18+J122*$AC$19+K122*$AC$20+L122*$AC$21+M122*$AC$22+N122*$AC$23+O122*$AC$24+P122*$AC$25+Q122*$AC$26+R122*$AC$27+S122*$AC$28+T122*$AC$29+U122*$AC$30</f>
        <v/>
      </c>
      <c r="W122" s="8">
        <f>1/(1+EXP(-V122))</f>
        <v/>
      </c>
      <c r="X122" s="9">
        <f>-IF(C122=1,LN(W122),LN(1-W122))</f>
        <v/>
      </c>
      <c r="Y122" s="10">
        <f>IF(W122&gt;$AC$34,1,0)</f>
        <v/>
      </c>
      <c r="Z122">
        <f>IF(Y122=C122,1,0)</f>
        <v/>
      </c>
    </row>
    <row r="123">
      <c r="A123">
        <f>'1 datos preparados'!A116</f>
        <v/>
      </c>
      <c r="B123" s="5">
        <f>'1 datos preparados'!U116</f>
        <v/>
      </c>
      <c r="C123">
        <f>'1 datos preparados'!B116</f>
        <v/>
      </c>
      <c r="D123" s="7">
        <f>'1 datos preparados'!C116</f>
        <v/>
      </c>
      <c r="E123" s="7">
        <f>'1 datos preparados'!D116</f>
        <v/>
      </c>
      <c r="F123" s="7">
        <f>'1 datos preparados'!E116</f>
        <v/>
      </c>
      <c r="G123" s="7">
        <f>'1 datos preparados'!F116</f>
        <v/>
      </c>
      <c r="H123" s="7">
        <f>'1 datos preparados'!G116</f>
        <v/>
      </c>
      <c r="I123" s="7">
        <f>'1 datos preparados'!H116</f>
        <v/>
      </c>
      <c r="J123" s="7">
        <f>'1 datos preparados'!I116</f>
        <v/>
      </c>
      <c r="K123" s="7">
        <f>'1 datos preparados'!J116</f>
        <v/>
      </c>
      <c r="L123" s="7">
        <f>'1 datos preparados'!K116</f>
        <v/>
      </c>
      <c r="M123" s="7">
        <f>'1 datos preparados'!L116</f>
        <v/>
      </c>
      <c r="N123" s="7">
        <f>'1 datos preparados'!M116</f>
        <v/>
      </c>
      <c r="O123" s="7">
        <f>'1 datos preparados'!N116</f>
        <v/>
      </c>
      <c r="P123" s="7">
        <f>'1 datos preparados'!O116</f>
        <v/>
      </c>
      <c r="Q123" s="7">
        <f>'1 datos preparados'!P116</f>
        <v/>
      </c>
      <c r="R123" s="7">
        <f>'1 datos preparados'!Q116</f>
        <v/>
      </c>
      <c r="S123" s="7">
        <f>'1 datos preparados'!R116</f>
        <v/>
      </c>
      <c r="T123" s="7">
        <f>'1 datos preparados'!S116</f>
        <v/>
      </c>
      <c r="U123" s="7">
        <f>'1 datos preparados'!T116</f>
        <v/>
      </c>
      <c r="V123" s="8">
        <f>$AC$12+D123*$AC$13+E123*$AC$14+F123*$AC$15+G123*$AC$16+H123*$AC$17+I123*$AC$18+J123*$AC$19+K123*$AC$20+L123*$AC$21+M123*$AC$22+N123*$AC$23+O123*$AC$24+P123*$AC$25+Q123*$AC$26+R123*$AC$27+S123*$AC$28+T123*$AC$29+U123*$AC$30</f>
        <v/>
      </c>
      <c r="W123" s="8">
        <f>1/(1+EXP(-V123))</f>
        <v/>
      </c>
      <c r="X123" s="9">
        <f>-IF(C123=1,LN(W123),LN(1-W123))</f>
        <v/>
      </c>
      <c r="Y123" s="10">
        <f>IF(W123&gt;$AC$34,1,0)</f>
        <v/>
      </c>
      <c r="Z123">
        <f>IF(Y123=C123,1,0)</f>
        <v/>
      </c>
    </row>
    <row r="124">
      <c r="A124">
        <f>'1 datos preparados'!A117</f>
        <v/>
      </c>
      <c r="B124" s="5">
        <f>'1 datos preparados'!U117</f>
        <v/>
      </c>
      <c r="C124">
        <f>'1 datos preparados'!B117</f>
        <v/>
      </c>
      <c r="D124" s="7">
        <f>'1 datos preparados'!C117</f>
        <v/>
      </c>
      <c r="E124" s="7">
        <f>'1 datos preparados'!D117</f>
        <v/>
      </c>
      <c r="F124" s="7">
        <f>'1 datos preparados'!E117</f>
        <v/>
      </c>
      <c r="G124" s="7">
        <f>'1 datos preparados'!F117</f>
        <v/>
      </c>
      <c r="H124" s="7">
        <f>'1 datos preparados'!G117</f>
        <v/>
      </c>
      <c r="I124" s="7">
        <f>'1 datos preparados'!H117</f>
        <v/>
      </c>
      <c r="J124" s="7">
        <f>'1 datos preparados'!I117</f>
        <v/>
      </c>
      <c r="K124" s="7">
        <f>'1 datos preparados'!J117</f>
        <v/>
      </c>
      <c r="L124" s="7">
        <f>'1 datos preparados'!K117</f>
        <v/>
      </c>
      <c r="M124" s="7">
        <f>'1 datos preparados'!L117</f>
        <v/>
      </c>
      <c r="N124" s="7">
        <f>'1 datos preparados'!M117</f>
        <v/>
      </c>
      <c r="O124" s="7">
        <f>'1 datos preparados'!N117</f>
        <v/>
      </c>
      <c r="P124" s="7">
        <f>'1 datos preparados'!O117</f>
        <v/>
      </c>
      <c r="Q124" s="7">
        <f>'1 datos preparados'!P117</f>
        <v/>
      </c>
      <c r="R124" s="7">
        <f>'1 datos preparados'!Q117</f>
        <v/>
      </c>
      <c r="S124" s="7">
        <f>'1 datos preparados'!R117</f>
        <v/>
      </c>
      <c r="T124" s="7">
        <f>'1 datos preparados'!S117</f>
        <v/>
      </c>
      <c r="U124" s="7">
        <f>'1 datos preparados'!T117</f>
        <v/>
      </c>
      <c r="V124" s="8">
        <f>$AC$12+D124*$AC$13+E124*$AC$14+F124*$AC$15+G124*$AC$16+H124*$AC$17+I124*$AC$18+J124*$AC$19+K124*$AC$20+L124*$AC$21+M124*$AC$22+N124*$AC$23+O124*$AC$24+P124*$AC$25+Q124*$AC$26+R124*$AC$27+S124*$AC$28+T124*$AC$29+U124*$AC$30</f>
        <v/>
      </c>
      <c r="W124" s="8">
        <f>1/(1+EXP(-V124))</f>
        <v/>
      </c>
      <c r="X124" s="9">
        <f>-IF(C124=1,LN(W124),LN(1-W124))</f>
        <v/>
      </c>
      <c r="Y124" s="10">
        <f>IF(W124&gt;$AC$34,1,0)</f>
        <v/>
      </c>
      <c r="Z124">
        <f>IF(Y124=C124,1,0)</f>
        <v/>
      </c>
    </row>
    <row r="125">
      <c r="A125">
        <f>'1 datos preparados'!A118</f>
        <v/>
      </c>
      <c r="B125" s="5">
        <f>'1 datos preparados'!U118</f>
        <v/>
      </c>
      <c r="C125">
        <f>'1 datos preparados'!B118</f>
        <v/>
      </c>
      <c r="D125" s="7">
        <f>'1 datos preparados'!C118</f>
        <v/>
      </c>
      <c r="E125" s="7">
        <f>'1 datos preparados'!D118</f>
        <v/>
      </c>
      <c r="F125" s="7">
        <f>'1 datos preparados'!E118</f>
        <v/>
      </c>
      <c r="G125" s="7">
        <f>'1 datos preparados'!F118</f>
        <v/>
      </c>
      <c r="H125" s="7">
        <f>'1 datos preparados'!G118</f>
        <v/>
      </c>
      <c r="I125" s="7">
        <f>'1 datos preparados'!H118</f>
        <v/>
      </c>
      <c r="J125" s="7">
        <f>'1 datos preparados'!I118</f>
        <v/>
      </c>
      <c r="K125" s="7">
        <f>'1 datos preparados'!J118</f>
        <v/>
      </c>
      <c r="L125" s="7">
        <f>'1 datos preparados'!K118</f>
        <v/>
      </c>
      <c r="M125" s="7">
        <f>'1 datos preparados'!L118</f>
        <v/>
      </c>
      <c r="N125" s="7">
        <f>'1 datos preparados'!M118</f>
        <v/>
      </c>
      <c r="O125" s="7">
        <f>'1 datos preparados'!N118</f>
        <v/>
      </c>
      <c r="P125" s="7">
        <f>'1 datos preparados'!O118</f>
        <v/>
      </c>
      <c r="Q125" s="7">
        <f>'1 datos preparados'!P118</f>
        <v/>
      </c>
      <c r="R125" s="7">
        <f>'1 datos preparados'!Q118</f>
        <v/>
      </c>
      <c r="S125" s="7">
        <f>'1 datos preparados'!R118</f>
        <v/>
      </c>
      <c r="T125" s="7">
        <f>'1 datos preparados'!S118</f>
        <v/>
      </c>
      <c r="U125" s="7">
        <f>'1 datos preparados'!T118</f>
        <v/>
      </c>
      <c r="V125" s="8">
        <f>$AC$12+D125*$AC$13+E125*$AC$14+F125*$AC$15+G125*$AC$16+H125*$AC$17+I125*$AC$18+J125*$AC$19+K125*$AC$20+L125*$AC$21+M125*$AC$22+N125*$AC$23+O125*$AC$24+P125*$AC$25+Q125*$AC$26+R125*$AC$27+S125*$AC$28+T125*$AC$29+U125*$AC$30</f>
        <v/>
      </c>
      <c r="W125" s="8">
        <f>1/(1+EXP(-V125))</f>
        <v/>
      </c>
      <c r="X125" s="9">
        <f>-IF(C125=1,LN(W125),LN(1-W125))</f>
        <v/>
      </c>
      <c r="Y125" s="10">
        <f>IF(W125&gt;$AC$34,1,0)</f>
        <v/>
      </c>
      <c r="Z125">
        <f>IF(Y125=C125,1,0)</f>
        <v/>
      </c>
    </row>
    <row r="126">
      <c r="A126">
        <f>'1 datos preparados'!A119</f>
        <v/>
      </c>
      <c r="B126" s="5">
        <f>'1 datos preparados'!U119</f>
        <v/>
      </c>
      <c r="C126">
        <f>'1 datos preparados'!B119</f>
        <v/>
      </c>
      <c r="D126" s="7">
        <f>'1 datos preparados'!C119</f>
        <v/>
      </c>
      <c r="E126" s="7">
        <f>'1 datos preparados'!D119</f>
        <v/>
      </c>
      <c r="F126" s="7">
        <f>'1 datos preparados'!E119</f>
        <v/>
      </c>
      <c r="G126" s="7">
        <f>'1 datos preparados'!F119</f>
        <v/>
      </c>
      <c r="H126" s="7">
        <f>'1 datos preparados'!G119</f>
        <v/>
      </c>
      <c r="I126" s="7">
        <f>'1 datos preparados'!H119</f>
        <v/>
      </c>
      <c r="J126" s="7">
        <f>'1 datos preparados'!I119</f>
        <v/>
      </c>
      <c r="K126" s="7">
        <f>'1 datos preparados'!J119</f>
        <v/>
      </c>
      <c r="L126" s="7">
        <f>'1 datos preparados'!K119</f>
        <v/>
      </c>
      <c r="M126" s="7">
        <f>'1 datos preparados'!L119</f>
        <v/>
      </c>
      <c r="N126" s="7">
        <f>'1 datos preparados'!M119</f>
        <v/>
      </c>
      <c r="O126" s="7">
        <f>'1 datos preparados'!N119</f>
        <v/>
      </c>
      <c r="P126" s="7">
        <f>'1 datos preparados'!O119</f>
        <v/>
      </c>
      <c r="Q126" s="7">
        <f>'1 datos preparados'!P119</f>
        <v/>
      </c>
      <c r="R126" s="7">
        <f>'1 datos preparados'!Q119</f>
        <v/>
      </c>
      <c r="S126" s="7">
        <f>'1 datos preparados'!R119</f>
        <v/>
      </c>
      <c r="T126" s="7">
        <f>'1 datos preparados'!S119</f>
        <v/>
      </c>
      <c r="U126" s="7">
        <f>'1 datos preparados'!T119</f>
        <v/>
      </c>
      <c r="V126" s="8">
        <f>$AC$12+D126*$AC$13+E126*$AC$14+F126*$AC$15+G126*$AC$16+H126*$AC$17+I126*$AC$18+J126*$AC$19+K126*$AC$20+L126*$AC$21+M126*$AC$22+N126*$AC$23+O126*$AC$24+P126*$AC$25+Q126*$AC$26+R126*$AC$27+S126*$AC$28+T126*$AC$29+U126*$AC$30</f>
        <v/>
      </c>
      <c r="W126" s="8">
        <f>1/(1+EXP(-V126))</f>
        <v/>
      </c>
      <c r="X126" s="9">
        <f>-IF(C126=1,LN(W126),LN(1-W126))</f>
        <v/>
      </c>
      <c r="Y126" s="10">
        <f>IF(W126&gt;$AC$34,1,0)</f>
        <v/>
      </c>
      <c r="Z126">
        <f>IF(Y126=C126,1,0)</f>
        <v/>
      </c>
    </row>
    <row r="127">
      <c r="A127">
        <f>'1 datos preparados'!A120</f>
        <v/>
      </c>
      <c r="B127" s="5">
        <f>'1 datos preparados'!U120</f>
        <v/>
      </c>
      <c r="C127">
        <f>'1 datos preparados'!B120</f>
        <v/>
      </c>
      <c r="D127" s="7">
        <f>'1 datos preparados'!C120</f>
        <v/>
      </c>
      <c r="E127" s="7">
        <f>'1 datos preparados'!D120</f>
        <v/>
      </c>
      <c r="F127" s="7">
        <f>'1 datos preparados'!E120</f>
        <v/>
      </c>
      <c r="G127" s="7">
        <f>'1 datos preparados'!F120</f>
        <v/>
      </c>
      <c r="H127" s="7">
        <f>'1 datos preparados'!G120</f>
        <v/>
      </c>
      <c r="I127" s="7">
        <f>'1 datos preparados'!H120</f>
        <v/>
      </c>
      <c r="J127" s="7">
        <f>'1 datos preparados'!I120</f>
        <v/>
      </c>
      <c r="K127" s="7">
        <f>'1 datos preparados'!J120</f>
        <v/>
      </c>
      <c r="L127" s="7">
        <f>'1 datos preparados'!K120</f>
        <v/>
      </c>
      <c r="M127" s="7">
        <f>'1 datos preparados'!L120</f>
        <v/>
      </c>
      <c r="N127" s="7">
        <f>'1 datos preparados'!M120</f>
        <v/>
      </c>
      <c r="O127" s="7">
        <f>'1 datos preparados'!N120</f>
        <v/>
      </c>
      <c r="P127" s="7">
        <f>'1 datos preparados'!O120</f>
        <v/>
      </c>
      <c r="Q127" s="7">
        <f>'1 datos preparados'!P120</f>
        <v/>
      </c>
      <c r="R127" s="7">
        <f>'1 datos preparados'!Q120</f>
        <v/>
      </c>
      <c r="S127" s="7">
        <f>'1 datos preparados'!R120</f>
        <v/>
      </c>
      <c r="T127" s="7">
        <f>'1 datos preparados'!S120</f>
        <v/>
      </c>
      <c r="U127" s="7">
        <f>'1 datos preparados'!T120</f>
        <v/>
      </c>
      <c r="V127" s="8">
        <f>$AC$12+D127*$AC$13+E127*$AC$14+F127*$AC$15+G127*$AC$16+H127*$AC$17+I127*$AC$18+J127*$AC$19+K127*$AC$20+L127*$AC$21+M127*$AC$22+N127*$AC$23+O127*$AC$24+P127*$AC$25+Q127*$AC$26+R127*$AC$27+S127*$AC$28+T127*$AC$29+U127*$AC$30</f>
        <v/>
      </c>
      <c r="W127" s="8">
        <f>1/(1+EXP(-V127))</f>
        <v/>
      </c>
      <c r="X127" s="9">
        <f>-IF(C127=1,LN(W127),LN(1-W127))</f>
        <v/>
      </c>
      <c r="Y127" s="10">
        <f>IF(W127&gt;$AC$34,1,0)</f>
        <v/>
      </c>
      <c r="Z127">
        <f>IF(Y127=C127,1,0)</f>
        <v/>
      </c>
    </row>
    <row r="128">
      <c r="A128">
        <f>'1 datos preparados'!A121</f>
        <v/>
      </c>
      <c r="B128" s="5">
        <f>'1 datos preparados'!U121</f>
        <v/>
      </c>
      <c r="C128">
        <f>'1 datos preparados'!B121</f>
        <v/>
      </c>
      <c r="D128" s="7">
        <f>'1 datos preparados'!C121</f>
        <v/>
      </c>
      <c r="E128" s="7">
        <f>'1 datos preparados'!D121</f>
        <v/>
      </c>
      <c r="F128" s="7">
        <f>'1 datos preparados'!E121</f>
        <v/>
      </c>
      <c r="G128" s="7">
        <f>'1 datos preparados'!F121</f>
        <v/>
      </c>
      <c r="H128" s="7">
        <f>'1 datos preparados'!G121</f>
        <v/>
      </c>
      <c r="I128" s="7">
        <f>'1 datos preparados'!H121</f>
        <v/>
      </c>
      <c r="J128" s="7">
        <f>'1 datos preparados'!I121</f>
        <v/>
      </c>
      <c r="K128" s="7">
        <f>'1 datos preparados'!J121</f>
        <v/>
      </c>
      <c r="L128" s="7">
        <f>'1 datos preparados'!K121</f>
        <v/>
      </c>
      <c r="M128" s="7">
        <f>'1 datos preparados'!L121</f>
        <v/>
      </c>
      <c r="N128" s="7">
        <f>'1 datos preparados'!M121</f>
        <v/>
      </c>
      <c r="O128" s="7">
        <f>'1 datos preparados'!N121</f>
        <v/>
      </c>
      <c r="P128" s="7">
        <f>'1 datos preparados'!O121</f>
        <v/>
      </c>
      <c r="Q128" s="7">
        <f>'1 datos preparados'!P121</f>
        <v/>
      </c>
      <c r="R128" s="7">
        <f>'1 datos preparados'!Q121</f>
        <v/>
      </c>
      <c r="S128" s="7">
        <f>'1 datos preparados'!R121</f>
        <v/>
      </c>
      <c r="T128" s="7">
        <f>'1 datos preparados'!S121</f>
        <v/>
      </c>
      <c r="U128" s="7">
        <f>'1 datos preparados'!T121</f>
        <v/>
      </c>
      <c r="V128" s="8">
        <f>$AC$12+D128*$AC$13+E128*$AC$14+F128*$AC$15+G128*$AC$16+H128*$AC$17+I128*$AC$18+J128*$AC$19+K128*$AC$20+L128*$AC$21+M128*$AC$22+N128*$AC$23+O128*$AC$24+P128*$AC$25+Q128*$AC$26+R128*$AC$27+S128*$AC$28+T128*$AC$29+U128*$AC$30</f>
        <v/>
      </c>
      <c r="W128" s="8">
        <f>1/(1+EXP(-V128))</f>
        <v/>
      </c>
      <c r="X128" s="9">
        <f>-IF(C128=1,LN(W128),LN(1-W128))</f>
        <v/>
      </c>
      <c r="Y128" s="10">
        <f>IF(W128&gt;$AC$34,1,0)</f>
        <v/>
      </c>
      <c r="Z128">
        <f>IF(Y128=C128,1,0)</f>
        <v/>
      </c>
    </row>
    <row r="129">
      <c r="A129">
        <f>'1 datos preparados'!A122</f>
        <v/>
      </c>
      <c r="B129" s="5">
        <f>'1 datos preparados'!U122</f>
        <v/>
      </c>
      <c r="C129">
        <f>'1 datos preparados'!B122</f>
        <v/>
      </c>
      <c r="D129" s="7">
        <f>'1 datos preparados'!C122</f>
        <v/>
      </c>
      <c r="E129" s="7">
        <f>'1 datos preparados'!D122</f>
        <v/>
      </c>
      <c r="F129" s="7">
        <f>'1 datos preparados'!E122</f>
        <v/>
      </c>
      <c r="G129" s="7">
        <f>'1 datos preparados'!F122</f>
        <v/>
      </c>
      <c r="H129" s="7">
        <f>'1 datos preparados'!G122</f>
        <v/>
      </c>
      <c r="I129" s="7">
        <f>'1 datos preparados'!H122</f>
        <v/>
      </c>
      <c r="J129" s="7">
        <f>'1 datos preparados'!I122</f>
        <v/>
      </c>
      <c r="K129" s="7">
        <f>'1 datos preparados'!J122</f>
        <v/>
      </c>
      <c r="L129" s="7">
        <f>'1 datos preparados'!K122</f>
        <v/>
      </c>
      <c r="M129" s="7">
        <f>'1 datos preparados'!L122</f>
        <v/>
      </c>
      <c r="N129" s="7">
        <f>'1 datos preparados'!M122</f>
        <v/>
      </c>
      <c r="O129" s="7">
        <f>'1 datos preparados'!N122</f>
        <v/>
      </c>
      <c r="P129" s="7">
        <f>'1 datos preparados'!O122</f>
        <v/>
      </c>
      <c r="Q129" s="7">
        <f>'1 datos preparados'!P122</f>
        <v/>
      </c>
      <c r="R129" s="7">
        <f>'1 datos preparados'!Q122</f>
        <v/>
      </c>
      <c r="S129" s="7">
        <f>'1 datos preparados'!R122</f>
        <v/>
      </c>
      <c r="T129" s="7">
        <f>'1 datos preparados'!S122</f>
        <v/>
      </c>
      <c r="U129" s="7">
        <f>'1 datos preparados'!T122</f>
        <v/>
      </c>
      <c r="V129" s="8">
        <f>$AC$12+D129*$AC$13+E129*$AC$14+F129*$AC$15+G129*$AC$16+H129*$AC$17+I129*$AC$18+J129*$AC$19+K129*$AC$20+L129*$AC$21+M129*$AC$22+N129*$AC$23+O129*$AC$24+P129*$AC$25+Q129*$AC$26+R129*$AC$27+S129*$AC$28+T129*$AC$29+U129*$AC$30</f>
        <v/>
      </c>
      <c r="W129" s="8">
        <f>1/(1+EXP(-V129))</f>
        <v/>
      </c>
      <c r="X129" s="9">
        <f>-IF(C129=1,LN(W129),LN(1-W129))</f>
        <v/>
      </c>
      <c r="Y129" s="10">
        <f>IF(W129&gt;$AC$34,1,0)</f>
        <v/>
      </c>
      <c r="Z129">
        <f>IF(Y129=C129,1,0)</f>
        <v/>
      </c>
    </row>
    <row r="130">
      <c r="A130">
        <f>'1 datos preparados'!A123</f>
        <v/>
      </c>
      <c r="B130" s="5">
        <f>'1 datos preparados'!U123</f>
        <v/>
      </c>
      <c r="C130">
        <f>'1 datos preparados'!B123</f>
        <v/>
      </c>
      <c r="D130" s="7">
        <f>'1 datos preparados'!C123</f>
        <v/>
      </c>
      <c r="E130" s="7">
        <f>'1 datos preparados'!D123</f>
        <v/>
      </c>
      <c r="F130" s="7">
        <f>'1 datos preparados'!E123</f>
        <v/>
      </c>
      <c r="G130" s="7">
        <f>'1 datos preparados'!F123</f>
        <v/>
      </c>
      <c r="H130" s="7">
        <f>'1 datos preparados'!G123</f>
        <v/>
      </c>
      <c r="I130" s="7">
        <f>'1 datos preparados'!H123</f>
        <v/>
      </c>
      <c r="J130" s="7">
        <f>'1 datos preparados'!I123</f>
        <v/>
      </c>
      <c r="K130" s="7">
        <f>'1 datos preparados'!J123</f>
        <v/>
      </c>
      <c r="L130" s="7">
        <f>'1 datos preparados'!K123</f>
        <v/>
      </c>
      <c r="M130" s="7">
        <f>'1 datos preparados'!L123</f>
        <v/>
      </c>
      <c r="N130" s="7">
        <f>'1 datos preparados'!M123</f>
        <v/>
      </c>
      <c r="O130" s="7">
        <f>'1 datos preparados'!N123</f>
        <v/>
      </c>
      <c r="P130" s="7">
        <f>'1 datos preparados'!O123</f>
        <v/>
      </c>
      <c r="Q130" s="7">
        <f>'1 datos preparados'!P123</f>
        <v/>
      </c>
      <c r="R130" s="7">
        <f>'1 datos preparados'!Q123</f>
        <v/>
      </c>
      <c r="S130" s="7">
        <f>'1 datos preparados'!R123</f>
        <v/>
      </c>
      <c r="T130" s="7">
        <f>'1 datos preparados'!S123</f>
        <v/>
      </c>
      <c r="U130" s="7">
        <f>'1 datos preparados'!T123</f>
        <v/>
      </c>
      <c r="V130" s="8">
        <f>$AC$12+D130*$AC$13+E130*$AC$14+F130*$AC$15+G130*$AC$16+H130*$AC$17+I130*$AC$18+J130*$AC$19+K130*$AC$20+L130*$AC$21+M130*$AC$22+N130*$AC$23+O130*$AC$24+P130*$AC$25+Q130*$AC$26+R130*$AC$27+S130*$AC$28+T130*$AC$29+U130*$AC$30</f>
        <v/>
      </c>
      <c r="W130" s="8">
        <f>1/(1+EXP(-V130))</f>
        <v/>
      </c>
      <c r="X130" s="9">
        <f>-IF(C130=1,LN(W130),LN(1-W130))</f>
        <v/>
      </c>
      <c r="Y130" s="10">
        <f>IF(W130&gt;$AC$34,1,0)</f>
        <v/>
      </c>
      <c r="Z130">
        <f>IF(Y130=C130,1,0)</f>
        <v/>
      </c>
    </row>
    <row r="131">
      <c r="A131">
        <f>'1 datos preparados'!A124</f>
        <v/>
      </c>
      <c r="B131" s="5">
        <f>'1 datos preparados'!U124</f>
        <v/>
      </c>
      <c r="C131">
        <f>'1 datos preparados'!B124</f>
        <v/>
      </c>
      <c r="D131" s="7">
        <f>'1 datos preparados'!C124</f>
        <v/>
      </c>
      <c r="E131" s="7">
        <f>'1 datos preparados'!D124</f>
        <v/>
      </c>
      <c r="F131" s="7">
        <f>'1 datos preparados'!E124</f>
        <v/>
      </c>
      <c r="G131" s="7">
        <f>'1 datos preparados'!F124</f>
        <v/>
      </c>
      <c r="H131" s="7">
        <f>'1 datos preparados'!G124</f>
        <v/>
      </c>
      <c r="I131" s="7">
        <f>'1 datos preparados'!H124</f>
        <v/>
      </c>
      <c r="J131" s="7">
        <f>'1 datos preparados'!I124</f>
        <v/>
      </c>
      <c r="K131" s="7">
        <f>'1 datos preparados'!J124</f>
        <v/>
      </c>
      <c r="L131" s="7">
        <f>'1 datos preparados'!K124</f>
        <v/>
      </c>
      <c r="M131" s="7">
        <f>'1 datos preparados'!L124</f>
        <v/>
      </c>
      <c r="N131" s="7">
        <f>'1 datos preparados'!M124</f>
        <v/>
      </c>
      <c r="O131" s="7">
        <f>'1 datos preparados'!N124</f>
        <v/>
      </c>
      <c r="P131" s="7">
        <f>'1 datos preparados'!O124</f>
        <v/>
      </c>
      <c r="Q131" s="7">
        <f>'1 datos preparados'!P124</f>
        <v/>
      </c>
      <c r="R131" s="7">
        <f>'1 datos preparados'!Q124</f>
        <v/>
      </c>
      <c r="S131" s="7">
        <f>'1 datos preparados'!R124</f>
        <v/>
      </c>
      <c r="T131" s="7">
        <f>'1 datos preparados'!S124</f>
        <v/>
      </c>
      <c r="U131" s="7">
        <f>'1 datos preparados'!T124</f>
        <v/>
      </c>
      <c r="V131" s="8">
        <f>$AC$12+D131*$AC$13+E131*$AC$14+F131*$AC$15+G131*$AC$16+H131*$AC$17+I131*$AC$18+J131*$AC$19+K131*$AC$20+L131*$AC$21+M131*$AC$22+N131*$AC$23+O131*$AC$24+P131*$AC$25+Q131*$AC$26+R131*$AC$27+S131*$AC$28+T131*$AC$29+U131*$AC$30</f>
        <v/>
      </c>
      <c r="W131" s="8">
        <f>1/(1+EXP(-V131))</f>
        <v/>
      </c>
      <c r="X131" s="9">
        <f>-IF(C131=1,LN(W131),LN(1-W131))</f>
        <v/>
      </c>
      <c r="Y131" s="10">
        <f>IF(W131&gt;$AC$34,1,0)</f>
        <v/>
      </c>
      <c r="Z131">
        <f>IF(Y131=C131,1,0)</f>
        <v/>
      </c>
    </row>
    <row r="132">
      <c r="A132">
        <f>'1 datos preparados'!A125</f>
        <v/>
      </c>
      <c r="B132" s="5">
        <f>'1 datos preparados'!U125</f>
        <v/>
      </c>
      <c r="C132">
        <f>'1 datos preparados'!B125</f>
        <v/>
      </c>
      <c r="D132" s="7">
        <f>'1 datos preparados'!C125</f>
        <v/>
      </c>
      <c r="E132" s="7">
        <f>'1 datos preparados'!D125</f>
        <v/>
      </c>
      <c r="F132" s="7">
        <f>'1 datos preparados'!E125</f>
        <v/>
      </c>
      <c r="G132" s="7">
        <f>'1 datos preparados'!F125</f>
        <v/>
      </c>
      <c r="H132" s="7">
        <f>'1 datos preparados'!G125</f>
        <v/>
      </c>
      <c r="I132" s="7">
        <f>'1 datos preparados'!H125</f>
        <v/>
      </c>
      <c r="J132" s="7">
        <f>'1 datos preparados'!I125</f>
        <v/>
      </c>
      <c r="K132" s="7">
        <f>'1 datos preparados'!J125</f>
        <v/>
      </c>
      <c r="L132" s="7">
        <f>'1 datos preparados'!K125</f>
        <v/>
      </c>
      <c r="M132" s="7">
        <f>'1 datos preparados'!L125</f>
        <v/>
      </c>
      <c r="N132" s="7">
        <f>'1 datos preparados'!M125</f>
        <v/>
      </c>
      <c r="O132" s="7">
        <f>'1 datos preparados'!N125</f>
        <v/>
      </c>
      <c r="P132" s="7">
        <f>'1 datos preparados'!O125</f>
        <v/>
      </c>
      <c r="Q132" s="7">
        <f>'1 datos preparados'!P125</f>
        <v/>
      </c>
      <c r="R132" s="7">
        <f>'1 datos preparados'!Q125</f>
        <v/>
      </c>
      <c r="S132" s="7">
        <f>'1 datos preparados'!R125</f>
        <v/>
      </c>
      <c r="T132" s="7">
        <f>'1 datos preparados'!S125</f>
        <v/>
      </c>
      <c r="U132" s="7">
        <f>'1 datos preparados'!T125</f>
        <v/>
      </c>
      <c r="V132" s="8">
        <f>$AC$12+D132*$AC$13+E132*$AC$14+F132*$AC$15+G132*$AC$16+H132*$AC$17+I132*$AC$18+J132*$AC$19+K132*$AC$20+L132*$AC$21+M132*$AC$22+N132*$AC$23+O132*$AC$24+P132*$AC$25+Q132*$AC$26+R132*$AC$27+S132*$AC$28+T132*$AC$29+U132*$AC$30</f>
        <v/>
      </c>
      <c r="W132" s="8">
        <f>1/(1+EXP(-V132))</f>
        <v/>
      </c>
      <c r="X132" s="9">
        <f>-IF(C132=1,LN(W132),LN(1-W132))</f>
        <v/>
      </c>
      <c r="Y132" s="10">
        <f>IF(W132&gt;$AC$34,1,0)</f>
        <v/>
      </c>
      <c r="Z132">
        <f>IF(Y132=C132,1,0)</f>
        <v/>
      </c>
    </row>
    <row r="133">
      <c r="A133">
        <f>'1 datos preparados'!A126</f>
        <v/>
      </c>
      <c r="B133" s="5">
        <f>'1 datos preparados'!U126</f>
        <v/>
      </c>
      <c r="C133">
        <f>'1 datos preparados'!B126</f>
        <v/>
      </c>
      <c r="D133" s="7">
        <f>'1 datos preparados'!C126</f>
        <v/>
      </c>
      <c r="E133" s="7">
        <f>'1 datos preparados'!D126</f>
        <v/>
      </c>
      <c r="F133" s="7">
        <f>'1 datos preparados'!E126</f>
        <v/>
      </c>
      <c r="G133" s="7">
        <f>'1 datos preparados'!F126</f>
        <v/>
      </c>
      <c r="H133" s="7">
        <f>'1 datos preparados'!G126</f>
        <v/>
      </c>
      <c r="I133" s="7">
        <f>'1 datos preparados'!H126</f>
        <v/>
      </c>
      <c r="J133" s="7">
        <f>'1 datos preparados'!I126</f>
        <v/>
      </c>
      <c r="K133" s="7">
        <f>'1 datos preparados'!J126</f>
        <v/>
      </c>
      <c r="L133" s="7">
        <f>'1 datos preparados'!K126</f>
        <v/>
      </c>
      <c r="M133" s="7">
        <f>'1 datos preparados'!L126</f>
        <v/>
      </c>
      <c r="N133" s="7">
        <f>'1 datos preparados'!M126</f>
        <v/>
      </c>
      <c r="O133" s="7">
        <f>'1 datos preparados'!N126</f>
        <v/>
      </c>
      <c r="P133" s="7">
        <f>'1 datos preparados'!O126</f>
        <v/>
      </c>
      <c r="Q133" s="7">
        <f>'1 datos preparados'!P126</f>
        <v/>
      </c>
      <c r="R133" s="7">
        <f>'1 datos preparados'!Q126</f>
        <v/>
      </c>
      <c r="S133" s="7">
        <f>'1 datos preparados'!R126</f>
        <v/>
      </c>
      <c r="T133" s="7">
        <f>'1 datos preparados'!S126</f>
        <v/>
      </c>
      <c r="U133" s="7">
        <f>'1 datos preparados'!T126</f>
        <v/>
      </c>
      <c r="V133" s="8">
        <f>$AC$12+D133*$AC$13+E133*$AC$14+F133*$AC$15+G133*$AC$16+H133*$AC$17+I133*$AC$18+J133*$AC$19+K133*$AC$20+L133*$AC$21+M133*$AC$22+N133*$AC$23+O133*$AC$24+P133*$AC$25+Q133*$AC$26+R133*$AC$27+S133*$AC$28+T133*$AC$29+U133*$AC$30</f>
        <v/>
      </c>
      <c r="W133" s="8">
        <f>1/(1+EXP(-V133))</f>
        <v/>
      </c>
      <c r="X133" s="9">
        <f>-IF(C133=1,LN(W133),LN(1-W133))</f>
        <v/>
      </c>
      <c r="Y133" s="10">
        <f>IF(W133&gt;$AC$34,1,0)</f>
        <v/>
      </c>
      <c r="Z133">
        <f>IF(Y133=C133,1,0)</f>
        <v/>
      </c>
    </row>
    <row r="134">
      <c r="A134">
        <f>'1 datos preparados'!A127</f>
        <v/>
      </c>
      <c r="B134" s="5">
        <f>'1 datos preparados'!U127</f>
        <v/>
      </c>
      <c r="C134">
        <f>'1 datos preparados'!B127</f>
        <v/>
      </c>
      <c r="D134" s="7">
        <f>'1 datos preparados'!C127</f>
        <v/>
      </c>
      <c r="E134" s="7">
        <f>'1 datos preparados'!D127</f>
        <v/>
      </c>
      <c r="F134" s="7">
        <f>'1 datos preparados'!E127</f>
        <v/>
      </c>
      <c r="G134" s="7">
        <f>'1 datos preparados'!F127</f>
        <v/>
      </c>
      <c r="H134" s="7">
        <f>'1 datos preparados'!G127</f>
        <v/>
      </c>
      <c r="I134" s="7">
        <f>'1 datos preparados'!H127</f>
        <v/>
      </c>
      <c r="J134" s="7">
        <f>'1 datos preparados'!I127</f>
        <v/>
      </c>
      <c r="K134" s="7">
        <f>'1 datos preparados'!J127</f>
        <v/>
      </c>
      <c r="L134" s="7">
        <f>'1 datos preparados'!K127</f>
        <v/>
      </c>
      <c r="M134" s="7">
        <f>'1 datos preparados'!L127</f>
        <v/>
      </c>
      <c r="N134" s="7">
        <f>'1 datos preparados'!M127</f>
        <v/>
      </c>
      <c r="O134" s="7">
        <f>'1 datos preparados'!N127</f>
        <v/>
      </c>
      <c r="P134" s="7">
        <f>'1 datos preparados'!O127</f>
        <v/>
      </c>
      <c r="Q134" s="7">
        <f>'1 datos preparados'!P127</f>
        <v/>
      </c>
      <c r="R134" s="7">
        <f>'1 datos preparados'!Q127</f>
        <v/>
      </c>
      <c r="S134" s="7">
        <f>'1 datos preparados'!R127</f>
        <v/>
      </c>
      <c r="T134" s="7">
        <f>'1 datos preparados'!S127</f>
        <v/>
      </c>
      <c r="U134" s="7">
        <f>'1 datos preparados'!T127</f>
        <v/>
      </c>
      <c r="V134" s="8">
        <f>$AC$12+D134*$AC$13+E134*$AC$14+F134*$AC$15+G134*$AC$16+H134*$AC$17+I134*$AC$18+J134*$AC$19+K134*$AC$20+L134*$AC$21+M134*$AC$22+N134*$AC$23+O134*$AC$24+P134*$AC$25+Q134*$AC$26+R134*$AC$27+S134*$AC$28+T134*$AC$29+U134*$AC$30</f>
        <v/>
      </c>
      <c r="W134" s="8">
        <f>1/(1+EXP(-V134))</f>
        <v/>
      </c>
      <c r="X134" s="9">
        <f>-IF(C134=1,LN(W134),LN(1-W134))</f>
        <v/>
      </c>
      <c r="Y134" s="10">
        <f>IF(W134&gt;$AC$34,1,0)</f>
        <v/>
      </c>
      <c r="Z134">
        <f>IF(Y134=C134,1,0)</f>
        <v/>
      </c>
    </row>
    <row r="135">
      <c r="A135">
        <f>'1 datos preparados'!A128</f>
        <v/>
      </c>
      <c r="B135" s="5">
        <f>'1 datos preparados'!U128</f>
        <v/>
      </c>
      <c r="C135">
        <f>'1 datos preparados'!B128</f>
        <v/>
      </c>
      <c r="D135" s="7">
        <f>'1 datos preparados'!C128</f>
        <v/>
      </c>
      <c r="E135" s="7">
        <f>'1 datos preparados'!D128</f>
        <v/>
      </c>
      <c r="F135" s="7">
        <f>'1 datos preparados'!E128</f>
        <v/>
      </c>
      <c r="G135" s="7">
        <f>'1 datos preparados'!F128</f>
        <v/>
      </c>
      <c r="H135" s="7">
        <f>'1 datos preparados'!G128</f>
        <v/>
      </c>
      <c r="I135" s="7">
        <f>'1 datos preparados'!H128</f>
        <v/>
      </c>
      <c r="J135" s="7">
        <f>'1 datos preparados'!I128</f>
        <v/>
      </c>
      <c r="K135" s="7">
        <f>'1 datos preparados'!J128</f>
        <v/>
      </c>
      <c r="L135" s="7">
        <f>'1 datos preparados'!K128</f>
        <v/>
      </c>
      <c r="M135" s="7">
        <f>'1 datos preparados'!L128</f>
        <v/>
      </c>
      <c r="N135" s="7">
        <f>'1 datos preparados'!M128</f>
        <v/>
      </c>
      <c r="O135" s="7">
        <f>'1 datos preparados'!N128</f>
        <v/>
      </c>
      <c r="P135" s="7">
        <f>'1 datos preparados'!O128</f>
        <v/>
      </c>
      <c r="Q135" s="7">
        <f>'1 datos preparados'!P128</f>
        <v/>
      </c>
      <c r="R135" s="7">
        <f>'1 datos preparados'!Q128</f>
        <v/>
      </c>
      <c r="S135" s="7">
        <f>'1 datos preparados'!R128</f>
        <v/>
      </c>
      <c r="T135" s="7">
        <f>'1 datos preparados'!S128</f>
        <v/>
      </c>
      <c r="U135" s="7">
        <f>'1 datos preparados'!T128</f>
        <v/>
      </c>
      <c r="V135" s="8">
        <f>$AC$12+D135*$AC$13+E135*$AC$14+F135*$AC$15+G135*$AC$16+H135*$AC$17+I135*$AC$18+J135*$AC$19+K135*$AC$20+L135*$AC$21+M135*$AC$22+N135*$AC$23+O135*$AC$24+P135*$AC$25+Q135*$AC$26+R135*$AC$27+S135*$AC$28+T135*$AC$29+U135*$AC$30</f>
        <v/>
      </c>
      <c r="W135" s="8">
        <f>1/(1+EXP(-V135))</f>
        <v/>
      </c>
      <c r="X135" s="9">
        <f>-IF(C135=1,LN(W135),LN(1-W135))</f>
        <v/>
      </c>
      <c r="Y135" s="10">
        <f>IF(W135&gt;$AC$34,1,0)</f>
        <v/>
      </c>
      <c r="Z135">
        <f>IF(Y135=C135,1,0)</f>
        <v/>
      </c>
    </row>
    <row r="136">
      <c r="A136">
        <f>'1 datos preparados'!A129</f>
        <v/>
      </c>
      <c r="B136" s="5">
        <f>'1 datos preparados'!U129</f>
        <v/>
      </c>
      <c r="C136">
        <f>'1 datos preparados'!B129</f>
        <v/>
      </c>
      <c r="D136" s="7">
        <f>'1 datos preparados'!C129</f>
        <v/>
      </c>
      <c r="E136" s="7">
        <f>'1 datos preparados'!D129</f>
        <v/>
      </c>
      <c r="F136" s="7">
        <f>'1 datos preparados'!E129</f>
        <v/>
      </c>
      <c r="G136" s="7">
        <f>'1 datos preparados'!F129</f>
        <v/>
      </c>
      <c r="H136" s="7">
        <f>'1 datos preparados'!G129</f>
        <v/>
      </c>
      <c r="I136" s="7">
        <f>'1 datos preparados'!H129</f>
        <v/>
      </c>
      <c r="J136" s="7">
        <f>'1 datos preparados'!I129</f>
        <v/>
      </c>
      <c r="K136" s="7">
        <f>'1 datos preparados'!J129</f>
        <v/>
      </c>
      <c r="L136" s="7">
        <f>'1 datos preparados'!K129</f>
        <v/>
      </c>
      <c r="M136" s="7">
        <f>'1 datos preparados'!L129</f>
        <v/>
      </c>
      <c r="N136" s="7">
        <f>'1 datos preparados'!M129</f>
        <v/>
      </c>
      <c r="O136" s="7">
        <f>'1 datos preparados'!N129</f>
        <v/>
      </c>
      <c r="P136" s="7">
        <f>'1 datos preparados'!O129</f>
        <v/>
      </c>
      <c r="Q136" s="7">
        <f>'1 datos preparados'!P129</f>
        <v/>
      </c>
      <c r="R136" s="7">
        <f>'1 datos preparados'!Q129</f>
        <v/>
      </c>
      <c r="S136" s="7">
        <f>'1 datos preparados'!R129</f>
        <v/>
      </c>
      <c r="T136" s="7">
        <f>'1 datos preparados'!S129</f>
        <v/>
      </c>
      <c r="U136" s="7">
        <f>'1 datos preparados'!T129</f>
        <v/>
      </c>
      <c r="V136" s="8">
        <f>$AC$12+D136*$AC$13+E136*$AC$14+F136*$AC$15+G136*$AC$16+H136*$AC$17+I136*$AC$18+J136*$AC$19+K136*$AC$20+L136*$AC$21+M136*$AC$22+N136*$AC$23+O136*$AC$24+P136*$AC$25+Q136*$AC$26+R136*$AC$27+S136*$AC$28+T136*$AC$29+U136*$AC$30</f>
        <v/>
      </c>
      <c r="W136" s="8">
        <f>1/(1+EXP(-V136))</f>
        <v/>
      </c>
      <c r="X136" s="9">
        <f>-IF(C136=1,LN(W136),LN(1-W136))</f>
        <v/>
      </c>
      <c r="Y136" s="10">
        <f>IF(W136&gt;$AC$34,1,0)</f>
        <v/>
      </c>
      <c r="Z136">
        <f>IF(Y136=C136,1,0)</f>
        <v/>
      </c>
    </row>
    <row r="137">
      <c r="A137">
        <f>'1 datos preparados'!A130</f>
        <v/>
      </c>
      <c r="B137" s="5">
        <f>'1 datos preparados'!U130</f>
        <v/>
      </c>
      <c r="C137">
        <f>'1 datos preparados'!B130</f>
        <v/>
      </c>
      <c r="D137" s="7">
        <f>'1 datos preparados'!C130</f>
        <v/>
      </c>
      <c r="E137" s="7">
        <f>'1 datos preparados'!D130</f>
        <v/>
      </c>
      <c r="F137" s="7">
        <f>'1 datos preparados'!E130</f>
        <v/>
      </c>
      <c r="G137" s="7">
        <f>'1 datos preparados'!F130</f>
        <v/>
      </c>
      <c r="H137" s="7">
        <f>'1 datos preparados'!G130</f>
        <v/>
      </c>
      <c r="I137" s="7">
        <f>'1 datos preparados'!H130</f>
        <v/>
      </c>
      <c r="J137" s="7">
        <f>'1 datos preparados'!I130</f>
        <v/>
      </c>
      <c r="K137" s="7">
        <f>'1 datos preparados'!J130</f>
        <v/>
      </c>
      <c r="L137" s="7">
        <f>'1 datos preparados'!K130</f>
        <v/>
      </c>
      <c r="M137" s="7">
        <f>'1 datos preparados'!L130</f>
        <v/>
      </c>
      <c r="N137" s="7">
        <f>'1 datos preparados'!M130</f>
        <v/>
      </c>
      <c r="O137" s="7">
        <f>'1 datos preparados'!N130</f>
        <v/>
      </c>
      <c r="P137" s="7">
        <f>'1 datos preparados'!O130</f>
        <v/>
      </c>
      <c r="Q137" s="7">
        <f>'1 datos preparados'!P130</f>
        <v/>
      </c>
      <c r="R137" s="7">
        <f>'1 datos preparados'!Q130</f>
        <v/>
      </c>
      <c r="S137" s="7">
        <f>'1 datos preparados'!R130</f>
        <v/>
      </c>
      <c r="T137" s="7">
        <f>'1 datos preparados'!S130</f>
        <v/>
      </c>
      <c r="U137" s="7">
        <f>'1 datos preparados'!T130</f>
        <v/>
      </c>
      <c r="V137" s="8">
        <f>$AC$12+D137*$AC$13+E137*$AC$14+F137*$AC$15+G137*$AC$16+H137*$AC$17+I137*$AC$18+J137*$AC$19+K137*$AC$20+L137*$AC$21+M137*$AC$22+N137*$AC$23+O137*$AC$24+P137*$AC$25+Q137*$AC$26+R137*$AC$27+S137*$AC$28+T137*$AC$29+U137*$AC$30</f>
        <v/>
      </c>
      <c r="W137" s="8">
        <f>1/(1+EXP(-V137))</f>
        <v/>
      </c>
      <c r="X137" s="9">
        <f>-IF(C137=1,LN(W137),LN(1-W137))</f>
        <v/>
      </c>
      <c r="Y137" s="10">
        <f>IF(W137&gt;$AC$34,1,0)</f>
        <v/>
      </c>
      <c r="Z137">
        <f>IF(Y137=C137,1,0)</f>
        <v/>
      </c>
    </row>
    <row r="138">
      <c r="A138">
        <f>'1 datos preparados'!A131</f>
        <v/>
      </c>
      <c r="B138" s="5">
        <f>'1 datos preparados'!U131</f>
        <v/>
      </c>
      <c r="C138">
        <f>'1 datos preparados'!B131</f>
        <v/>
      </c>
      <c r="D138" s="7">
        <f>'1 datos preparados'!C131</f>
        <v/>
      </c>
      <c r="E138" s="7">
        <f>'1 datos preparados'!D131</f>
        <v/>
      </c>
      <c r="F138" s="7">
        <f>'1 datos preparados'!E131</f>
        <v/>
      </c>
      <c r="G138" s="7">
        <f>'1 datos preparados'!F131</f>
        <v/>
      </c>
      <c r="H138" s="7">
        <f>'1 datos preparados'!G131</f>
        <v/>
      </c>
      <c r="I138" s="7">
        <f>'1 datos preparados'!H131</f>
        <v/>
      </c>
      <c r="J138" s="7">
        <f>'1 datos preparados'!I131</f>
        <v/>
      </c>
      <c r="K138" s="7">
        <f>'1 datos preparados'!J131</f>
        <v/>
      </c>
      <c r="L138" s="7">
        <f>'1 datos preparados'!K131</f>
        <v/>
      </c>
      <c r="M138" s="7">
        <f>'1 datos preparados'!L131</f>
        <v/>
      </c>
      <c r="N138" s="7">
        <f>'1 datos preparados'!M131</f>
        <v/>
      </c>
      <c r="O138" s="7">
        <f>'1 datos preparados'!N131</f>
        <v/>
      </c>
      <c r="P138" s="7">
        <f>'1 datos preparados'!O131</f>
        <v/>
      </c>
      <c r="Q138" s="7">
        <f>'1 datos preparados'!P131</f>
        <v/>
      </c>
      <c r="R138" s="7">
        <f>'1 datos preparados'!Q131</f>
        <v/>
      </c>
      <c r="S138" s="7">
        <f>'1 datos preparados'!R131</f>
        <v/>
      </c>
      <c r="T138" s="7">
        <f>'1 datos preparados'!S131</f>
        <v/>
      </c>
      <c r="U138" s="7">
        <f>'1 datos preparados'!T131</f>
        <v/>
      </c>
      <c r="V138" s="8">
        <f>$AC$12+D138*$AC$13+E138*$AC$14+F138*$AC$15+G138*$AC$16+H138*$AC$17+I138*$AC$18+J138*$AC$19+K138*$AC$20+L138*$AC$21+M138*$AC$22+N138*$AC$23+O138*$AC$24+P138*$AC$25+Q138*$AC$26+R138*$AC$27+S138*$AC$28+T138*$AC$29+U138*$AC$30</f>
        <v/>
      </c>
      <c r="W138" s="8">
        <f>1/(1+EXP(-V138))</f>
        <v/>
      </c>
      <c r="X138" s="9">
        <f>-IF(C138=1,LN(W138),LN(1-W138))</f>
        <v/>
      </c>
      <c r="Y138" s="10">
        <f>IF(W138&gt;$AC$34,1,0)</f>
        <v/>
      </c>
      <c r="Z138">
        <f>IF(Y138=C138,1,0)</f>
        <v/>
      </c>
    </row>
    <row r="139">
      <c r="A139">
        <f>'1 datos preparados'!A132</f>
        <v/>
      </c>
      <c r="B139" s="5">
        <f>'1 datos preparados'!U132</f>
        <v/>
      </c>
      <c r="C139">
        <f>'1 datos preparados'!B132</f>
        <v/>
      </c>
      <c r="D139" s="7">
        <f>'1 datos preparados'!C132</f>
        <v/>
      </c>
      <c r="E139" s="7">
        <f>'1 datos preparados'!D132</f>
        <v/>
      </c>
      <c r="F139" s="7">
        <f>'1 datos preparados'!E132</f>
        <v/>
      </c>
      <c r="G139" s="7">
        <f>'1 datos preparados'!F132</f>
        <v/>
      </c>
      <c r="H139" s="7">
        <f>'1 datos preparados'!G132</f>
        <v/>
      </c>
      <c r="I139" s="7">
        <f>'1 datos preparados'!H132</f>
        <v/>
      </c>
      <c r="J139" s="7">
        <f>'1 datos preparados'!I132</f>
        <v/>
      </c>
      <c r="K139" s="7">
        <f>'1 datos preparados'!J132</f>
        <v/>
      </c>
      <c r="L139" s="7">
        <f>'1 datos preparados'!K132</f>
        <v/>
      </c>
      <c r="M139" s="7">
        <f>'1 datos preparados'!L132</f>
        <v/>
      </c>
      <c r="N139" s="7">
        <f>'1 datos preparados'!M132</f>
        <v/>
      </c>
      <c r="O139" s="7">
        <f>'1 datos preparados'!N132</f>
        <v/>
      </c>
      <c r="P139" s="7">
        <f>'1 datos preparados'!O132</f>
        <v/>
      </c>
      <c r="Q139" s="7">
        <f>'1 datos preparados'!P132</f>
        <v/>
      </c>
      <c r="R139" s="7">
        <f>'1 datos preparados'!Q132</f>
        <v/>
      </c>
      <c r="S139" s="7">
        <f>'1 datos preparados'!R132</f>
        <v/>
      </c>
      <c r="T139" s="7">
        <f>'1 datos preparados'!S132</f>
        <v/>
      </c>
      <c r="U139" s="7">
        <f>'1 datos preparados'!T132</f>
        <v/>
      </c>
      <c r="V139" s="8">
        <f>$AC$12+D139*$AC$13+E139*$AC$14+F139*$AC$15+G139*$AC$16+H139*$AC$17+I139*$AC$18+J139*$AC$19+K139*$AC$20+L139*$AC$21+M139*$AC$22+N139*$AC$23+O139*$AC$24+P139*$AC$25+Q139*$AC$26+R139*$AC$27+S139*$AC$28+T139*$AC$29+U139*$AC$30</f>
        <v/>
      </c>
      <c r="W139" s="8">
        <f>1/(1+EXP(-V139))</f>
        <v/>
      </c>
      <c r="X139" s="9">
        <f>-IF(C139=1,LN(W139),LN(1-W139))</f>
        <v/>
      </c>
      <c r="Y139" s="10">
        <f>IF(W139&gt;$AC$34,1,0)</f>
        <v/>
      </c>
      <c r="Z139">
        <f>IF(Y139=C139,1,0)</f>
        <v/>
      </c>
    </row>
    <row r="140">
      <c r="A140">
        <f>'1 datos preparados'!A133</f>
        <v/>
      </c>
      <c r="B140" s="5">
        <f>'1 datos preparados'!U133</f>
        <v/>
      </c>
      <c r="C140">
        <f>'1 datos preparados'!B133</f>
        <v/>
      </c>
      <c r="D140" s="7">
        <f>'1 datos preparados'!C133</f>
        <v/>
      </c>
      <c r="E140" s="7">
        <f>'1 datos preparados'!D133</f>
        <v/>
      </c>
      <c r="F140" s="7">
        <f>'1 datos preparados'!E133</f>
        <v/>
      </c>
      <c r="G140" s="7">
        <f>'1 datos preparados'!F133</f>
        <v/>
      </c>
      <c r="H140" s="7">
        <f>'1 datos preparados'!G133</f>
        <v/>
      </c>
      <c r="I140" s="7">
        <f>'1 datos preparados'!H133</f>
        <v/>
      </c>
      <c r="J140" s="7">
        <f>'1 datos preparados'!I133</f>
        <v/>
      </c>
      <c r="K140" s="7">
        <f>'1 datos preparados'!J133</f>
        <v/>
      </c>
      <c r="L140" s="7">
        <f>'1 datos preparados'!K133</f>
        <v/>
      </c>
      <c r="M140" s="7">
        <f>'1 datos preparados'!L133</f>
        <v/>
      </c>
      <c r="N140" s="7">
        <f>'1 datos preparados'!M133</f>
        <v/>
      </c>
      <c r="O140" s="7">
        <f>'1 datos preparados'!N133</f>
        <v/>
      </c>
      <c r="P140" s="7">
        <f>'1 datos preparados'!O133</f>
        <v/>
      </c>
      <c r="Q140" s="7">
        <f>'1 datos preparados'!P133</f>
        <v/>
      </c>
      <c r="R140" s="7">
        <f>'1 datos preparados'!Q133</f>
        <v/>
      </c>
      <c r="S140" s="7">
        <f>'1 datos preparados'!R133</f>
        <v/>
      </c>
      <c r="T140" s="7">
        <f>'1 datos preparados'!S133</f>
        <v/>
      </c>
      <c r="U140" s="7">
        <f>'1 datos preparados'!T133</f>
        <v/>
      </c>
      <c r="V140" s="8">
        <f>$AC$12+D140*$AC$13+E140*$AC$14+F140*$AC$15+G140*$AC$16+H140*$AC$17+I140*$AC$18+J140*$AC$19+K140*$AC$20+L140*$AC$21+M140*$AC$22+N140*$AC$23+O140*$AC$24+P140*$AC$25+Q140*$AC$26+R140*$AC$27+S140*$AC$28+T140*$AC$29+U140*$AC$30</f>
        <v/>
      </c>
      <c r="W140" s="8">
        <f>1/(1+EXP(-V140))</f>
        <v/>
      </c>
      <c r="X140" s="9">
        <f>-IF(C140=1,LN(W140),LN(1-W140))</f>
        <v/>
      </c>
      <c r="Y140" s="10">
        <f>IF(W140&gt;$AC$34,1,0)</f>
        <v/>
      </c>
      <c r="Z140">
        <f>IF(Y140=C140,1,0)</f>
        <v/>
      </c>
    </row>
    <row r="141">
      <c r="A141">
        <f>'1 datos preparados'!A134</f>
        <v/>
      </c>
      <c r="B141" s="5">
        <f>'1 datos preparados'!U134</f>
        <v/>
      </c>
      <c r="C141">
        <f>'1 datos preparados'!B134</f>
        <v/>
      </c>
      <c r="D141" s="7">
        <f>'1 datos preparados'!C134</f>
        <v/>
      </c>
      <c r="E141" s="7">
        <f>'1 datos preparados'!D134</f>
        <v/>
      </c>
      <c r="F141" s="7">
        <f>'1 datos preparados'!E134</f>
        <v/>
      </c>
      <c r="G141" s="7">
        <f>'1 datos preparados'!F134</f>
        <v/>
      </c>
      <c r="H141" s="7">
        <f>'1 datos preparados'!G134</f>
        <v/>
      </c>
      <c r="I141" s="7">
        <f>'1 datos preparados'!H134</f>
        <v/>
      </c>
      <c r="J141" s="7">
        <f>'1 datos preparados'!I134</f>
        <v/>
      </c>
      <c r="K141" s="7">
        <f>'1 datos preparados'!J134</f>
        <v/>
      </c>
      <c r="L141" s="7">
        <f>'1 datos preparados'!K134</f>
        <v/>
      </c>
      <c r="M141" s="7">
        <f>'1 datos preparados'!L134</f>
        <v/>
      </c>
      <c r="N141" s="7">
        <f>'1 datos preparados'!M134</f>
        <v/>
      </c>
      <c r="O141" s="7">
        <f>'1 datos preparados'!N134</f>
        <v/>
      </c>
      <c r="P141" s="7">
        <f>'1 datos preparados'!O134</f>
        <v/>
      </c>
      <c r="Q141" s="7">
        <f>'1 datos preparados'!P134</f>
        <v/>
      </c>
      <c r="R141" s="7">
        <f>'1 datos preparados'!Q134</f>
        <v/>
      </c>
      <c r="S141" s="7">
        <f>'1 datos preparados'!R134</f>
        <v/>
      </c>
      <c r="T141" s="7">
        <f>'1 datos preparados'!S134</f>
        <v/>
      </c>
      <c r="U141" s="7">
        <f>'1 datos preparados'!T134</f>
        <v/>
      </c>
      <c r="V141" s="8">
        <f>$AC$12+D141*$AC$13+E141*$AC$14+F141*$AC$15+G141*$AC$16+H141*$AC$17+I141*$AC$18+J141*$AC$19+K141*$AC$20+L141*$AC$21+M141*$AC$22+N141*$AC$23+O141*$AC$24+P141*$AC$25+Q141*$AC$26+R141*$AC$27+S141*$AC$28+T141*$AC$29+U141*$AC$30</f>
        <v/>
      </c>
      <c r="W141" s="8">
        <f>1/(1+EXP(-V141))</f>
        <v/>
      </c>
      <c r="X141" s="9">
        <f>-IF(C141=1,LN(W141),LN(1-W141))</f>
        <v/>
      </c>
      <c r="Y141" s="10">
        <f>IF(W141&gt;$AC$34,1,0)</f>
        <v/>
      </c>
      <c r="Z141">
        <f>IF(Y141=C141,1,0)</f>
        <v/>
      </c>
    </row>
    <row r="142">
      <c r="A142">
        <f>'1 datos preparados'!A135</f>
        <v/>
      </c>
      <c r="B142" s="5">
        <f>'1 datos preparados'!U135</f>
        <v/>
      </c>
      <c r="C142">
        <f>'1 datos preparados'!B135</f>
        <v/>
      </c>
      <c r="D142" s="7">
        <f>'1 datos preparados'!C135</f>
        <v/>
      </c>
      <c r="E142" s="7">
        <f>'1 datos preparados'!D135</f>
        <v/>
      </c>
      <c r="F142" s="7">
        <f>'1 datos preparados'!E135</f>
        <v/>
      </c>
      <c r="G142" s="7">
        <f>'1 datos preparados'!F135</f>
        <v/>
      </c>
      <c r="H142" s="7">
        <f>'1 datos preparados'!G135</f>
        <v/>
      </c>
      <c r="I142" s="7">
        <f>'1 datos preparados'!H135</f>
        <v/>
      </c>
      <c r="J142" s="7">
        <f>'1 datos preparados'!I135</f>
        <v/>
      </c>
      <c r="K142" s="7">
        <f>'1 datos preparados'!J135</f>
        <v/>
      </c>
      <c r="L142" s="7">
        <f>'1 datos preparados'!K135</f>
        <v/>
      </c>
      <c r="M142" s="7">
        <f>'1 datos preparados'!L135</f>
        <v/>
      </c>
      <c r="N142" s="7">
        <f>'1 datos preparados'!M135</f>
        <v/>
      </c>
      <c r="O142" s="7">
        <f>'1 datos preparados'!N135</f>
        <v/>
      </c>
      <c r="P142" s="7">
        <f>'1 datos preparados'!O135</f>
        <v/>
      </c>
      <c r="Q142" s="7">
        <f>'1 datos preparados'!P135</f>
        <v/>
      </c>
      <c r="R142" s="7">
        <f>'1 datos preparados'!Q135</f>
        <v/>
      </c>
      <c r="S142" s="7">
        <f>'1 datos preparados'!R135</f>
        <v/>
      </c>
      <c r="T142" s="7">
        <f>'1 datos preparados'!S135</f>
        <v/>
      </c>
      <c r="U142" s="7">
        <f>'1 datos preparados'!T135</f>
        <v/>
      </c>
      <c r="V142" s="8">
        <f>$AC$12+D142*$AC$13+E142*$AC$14+F142*$AC$15+G142*$AC$16+H142*$AC$17+I142*$AC$18+J142*$AC$19+K142*$AC$20+L142*$AC$21+M142*$AC$22+N142*$AC$23+O142*$AC$24+P142*$AC$25+Q142*$AC$26+R142*$AC$27+S142*$AC$28+T142*$AC$29+U142*$AC$30</f>
        <v/>
      </c>
      <c r="W142" s="8">
        <f>1/(1+EXP(-V142))</f>
        <v/>
      </c>
      <c r="X142" s="9">
        <f>-IF(C142=1,LN(W142),LN(1-W142))</f>
        <v/>
      </c>
      <c r="Y142" s="10">
        <f>IF(W142&gt;$AC$34,1,0)</f>
        <v/>
      </c>
      <c r="Z142">
        <f>IF(Y142=C142,1,0)</f>
        <v/>
      </c>
    </row>
    <row r="143">
      <c r="A143">
        <f>'1 datos preparados'!A136</f>
        <v/>
      </c>
      <c r="B143" s="5">
        <f>'1 datos preparados'!U136</f>
        <v/>
      </c>
      <c r="C143">
        <f>'1 datos preparados'!B136</f>
        <v/>
      </c>
      <c r="D143" s="7">
        <f>'1 datos preparados'!C136</f>
        <v/>
      </c>
      <c r="E143" s="7">
        <f>'1 datos preparados'!D136</f>
        <v/>
      </c>
      <c r="F143" s="7">
        <f>'1 datos preparados'!E136</f>
        <v/>
      </c>
      <c r="G143" s="7">
        <f>'1 datos preparados'!F136</f>
        <v/>
      </c>
      <c r="H143" s="7">
        <f>'1 datos preparados'!G136</f>
        <v/>
      </c>
      <c r="I143" s="7">
        <f>'1 datos preparados'!H136</f>
        <v/>
      </c>
      <c r="J143" s="7">
        <f>'1 datos preparados'!I136</f>
        <v/>
      </c>
      <c r="K143" s="7">
        <f>'1 datos preparados'!J136</f>
        <v/>
      </c>
      <c r="L143" s="7">
        <f>'1 datos preparados'!K136</f>
        <v/>
      </c>
      <c r="M143" s="7">
        <f>'1 datos preparados'!L136</f>
        <v/>
      </c>
      <c r="N143" s="7">
        <f>'1 datos preparados'!M136</f>
        <v/>
      </c>
      <c r="O143" s="7">
        <f>'1 datos preparados'!N136</f>
        <v/>
      </c>
      <c r="P143" s="7">
        <f>'1 datos preparados'!O136</f>
        <v/>
      </c>
      <c r="Q143" s="7">
        <f>'1 datos preparados'!P136</f>
        <v/>
      </c>
      <c r="R143" s="7">
        <f>'1 datos preparados'!Q136</f>
        <v/>
      </c>
      <c r="S143" s="7">
        <f>'1 datos preparados'!R136</f>
        <v/>
      </c>
      <c r="T143" s="7">
        <f>'1 datos preparados'!S136</f>
        <v/>
      </c>
      <c r="U143" s="7">
        <f>'1 datos preparados'!T136</f>
        <v/>
      </c>
      <c r="V143" s="8">
        <f>$AC$12+D143*$AC$13+E143*$AC$14+F143*$AC$15+G143*$AC$16+H143*$AC$17+I143*$AC$18+J143*$AC$19+K143*$AC$20+L143*$AC$21+M143*$AC$22+N143*$AC$23+O143*$AC$24+P143*$AC$25+Q143*$AC$26+R143*$AC$27+S143*$AC$28+T143*$AC$29+U143*$AC$30</f>
        <v/>
      </c>
      <c r="W143" s="8">
        <f>1/(1+EXP(-V143))</f>
        <v/>
      </c>
      <c r="X143" s="9">
        <f>-IF(C143=1,LN(W143),LN(1-W143))</f>
        <v/>
      </c>
      <c r="Y143" s="10">
        <f>IF(W143&gt;$AC$34,1,0)</f>
        <v/>
      </c>
      <c r="Z143">
        <f>IF(Y143=C143,1,0)</f>
        <v/>
      </c>
    </row>
    <row r="144">
      <c r="A144">
        <f>'1 datos preparados'!A137</f>
        <v/>
      </c>
      <c r="B144" s="5">
        <f>'1 datos preparados'!U137</f>
        <v/>
      </c>
      <c r="C144">
        <f>'1 datos preparados'!B137</f>
        <v/>
      </c>
      <c r="D144" s="7">
        <f>'1 datos preparados'!C137</f>
        <v/>
      </c>
      <c r="E144" s="7">
        <f>'1 datos preparados'!D137</f>
        <v/>
      </c>
      <c r="F144" s="7">
        <f>'1 datos preparados'!E137</f>
        <v/>
      </c>
      <c r="G144" s="7">
        <f>'1 datos preparados'!F137</f>
        <v/>
      </c>
      <c r="H144" s="7">
        <f>'1 datos preparados'!G137</f>
        <v/>
      </c>
      <c r="I144" s="7">
        <f>'1 datos preparados'!H137</f>
        <v/>
      </c>
      <c r="J144" s="7">
        <f>'1 datos preparados'!I137</f>
        <v/>
      </c>
      <c r="K144" s="7">
        <f>'1 datos preparados'!J137</f>
        <v/>
      </c>
      <c r="L144" s="7">
        <f>'1 datos preparados'!K137</f>
        <v/>
      </c>
      <c r="M144" s="7">
        <f>'1 datos preparados'!L137</f>
        <v/>
      </c>
      <c r="N144" s="7">
        <f>'1 datos preparados'!M137</f>
        <v/>
      </c>
      <c r="O144" s="7">
        <f>'1 datos preparados'!N137</f>
        <v/>
      </c>
      <c r="P144" s="7">
        <f>'1 datos preparados'!O137</f>
        <v/>
      </c>
      <c r="Q144" s="7">
        <f>'1 datos preparados'!P137</f>
        <v/>
      </c>
      <c r="R144" s="7">
        <f>'1 datos preparados'!Q137</f>
        <v/>
      </c>
      <c r="S144" s="7">
        <f>'1 datos preparados'!R137</f>
        <v/>
      </c>
      <c r="T144" s="7">
        <f>'1 datos preparados'!S137</f>
        <v/>
      </c>
      <c r="U144" s="7">
        <f>'1 datos preparados'!T137</f>
        <v/>
      </c>
      <c r="V144" s="8">
        <f>$AC$12+D144*$AC$13+E144*$AC$14+F144*$AC$15+G144*$AC$16+H144*$AC$17+I144*$AC$18+J144*$AC$19+K144*$AC$20+L144*$AC$21+M144*$AC$22+N144*$AC$23+O144*$AC$24+P144*$AC$25+Q144*$AC$26+R144*$AC$27+S144*$AC$28+T144*$AC$29+U144*$AC$30</f>
        <v/>
      </c>
      <c r="W144" s="8">
        <f>1/(1+EXP(-V144))</f>
        <v/>
      </c>
      <c r="X144" s="9">
        <f>-IF(C144=1,LN(W144),LN(1-W144))</f>
        <v/>
      </c>
      <c r="Y144" s="10">
        <f>IF(W144&gt;$AC$34,1,0)</f>
        <v/>
      </c>
      <c r="Z144">
        <f>IF(Y144=C144,1,0)</f>
        <v/>
      </c>
    </row>
    <row r="145">
      <c r="A145">
        <f>'1 datos preparados'!A138</f>
        <v/>
      </c>
      <c r="B145" s="5">
        <f>'1 datos preparados'!U138</f>
        <v/>
      </c>
      <c r="C145">
        <f>'1 datos preparados'!B138</f>
        <v/>
      </c>
      <c r="D145" s="7">
        <f>'1 datos preparados'!C138</f>
        <v/>
      </c>
      <c r="E145" s="7">
        <f>'1 datos preparados'!D138</f>
        <v/>
      </c>
      <c r="F145" s="7">
        <f>'1 datos preparados'!E138</f>
        <v/>
      </c>
      <c r="G145" s="7">
        <f>'1 datos preparados'!F138</f>
        <v/>
      </c>
      <c r="H145" s="7">
        <f>'1 datos preparados'!G138</f>
        <v/>
      </c>
      <c r="I145" s="7">
        <f>'1 datos preparados'!H138</f>
        <v/>
      </c>
      <c r="J145" s="7">
        <f>'1 datos preparados'!I138</f>
        <v/>
      </c>
      <c r="K145" s="7">
        <f>'1 datos preparados'!J138</f>
        <v/>
      </c>
      <c r="L145" s="7">
        <f>'1 datos preparados'!K138</f>
        <v/>
      </c>
      <c r="M145" s="7">
        <f>'1 datos preparados'!L138</f>
        <v/>
      </c>
      <c r="N145" s="7">
        <f>'1 datos preparados'!M138</f>
        <v/>
      </c>
      <c r="O145" s="7">
        <f>'1 datos preparados'!N138</f>
        <v/>
      </c>
      <c r="P145" s="7">
        <f>'1 datos preparados'!O138</f>
        <v/>
      </c>
      <c r="Q145" s="7">
        <f>'1 datos preparados'!P138</f>
        <v/>
      </c>
      <c r="R145" s="7">
        <f>'1 datos preparados'!Q138</f>
        <v/>
      </c>
      <c r="S145" s="7">
        <f>'1 datos preparados'!R138</f>
        <v/>
      </c>
      <c r="T145" s="7">
        <f>'1 datos preparados'!S138</f>
        <v/>
      </c>
      <c r="U145" s="7">
        <f>'1 datos preparados'!T138</f>
        <v/>
      </c>
      <c r="V145" s="8">
        <f>$AC$12+D145*$AC$13+E145*$AC$14+F145*$AC$15+G145*$AC$16+H145*$AC$17+I145*$AC$18+J145*$AC$19+K145*$AC$20+L145*$AC$21+M145*$AC$22+N145*$AC$23+O145*$AC$24+P145*$AC$25+Q145*$AC$26+R145*$AC$27+S145*$AC$28+T145*$AC$29+U145*$AC$30</f>
        <v/>
      </c>
      <c r="W145" s="8">
        <f>1/(1+EXP(-V145))</f>
        <v/>
      </c>
      <c r="X145" s="9">
        <f>-IF(C145=1,LN(W145),LN(1-W145))</f>
        <v/>
      </c>
      <c r="Y145" s="10">
        <f>IF(W145&gt;$AC$34,1,0)</f>
        <v/>
      </c>
      <c r="Z145">
        <f>IF(Y145=C145,1,0)</f>
        <v/>
      </c>
    </row>
    <row r="146">
      <c r="A146">
        <f>'1 datos preparados'!A139</f>
        <v/>
      </c>
      <c r="B146" s="5">
        <f>'1 datos preparados'!U139</f>
        <v/>
      </c>
      <c r="C146">
        <f>'1 datos preparados'!B139</f>
        <v/>
      </c>
      <c r="D146" s="7">
        <f>'1 datos preparados'!C139</f>
        <v/>
      </c>
      <c r="E146" s="7">
        <f>'1 datos preparados'!D139</f>
        <v/>
      </c>
      <c r="F146" s="7">
        <f>'1 datos preparados'!E139</f>
        <v/>
      </c>
      <c r="G146" s="7">
        <f>'1 datos preparados'!F139</f>
        <v/>
      </c>
      <c r="H146" s="7">
        <f>'1 datos preparados'!G139</f>
        <v/>
      </c>
      <c r="I146" s="7">
        <f>'1 datos preparados'!H139</f>
        <v/>
      </c>
      <c r="J146" s="7">
        <f>'1 datos preparados'!I139</f>
        <v/>
      </c>
      <c r="K146" s="7">
        <f>'1 datos preparados'!J139</f>
        <v/>
      </c>
      <c r="L146" s="7">
        <f>'1 datos preparados'!K139</f>
        <v/>
      </c>
      <c r="M146" s="7">
        <f>'1 datos preparados'!L139</f>
        <v/>
      </c>
      <c r="N146" s="7">
        <f>'1 datos preparados'!M139</f>
        <v/>
      </c>
      <c r="O146" s="7">
        <f>'1 datos preparados'!N139</f>
        <v/>
      </c>
      <c r="P146" s="7">
        <f>'1 datos preparados'!O139</f>
        <v/>
      </c>
      <c r="Q146" s="7">
        <f>'1 datos preparados'!P139</f>
        <v/>
      </c>
      <c r="R146" s="7">
        <f>'1 datos preparados'!Q139</f>
        <v/>
      </c>
      <c r="S146" s="7">
        <f>'1 datos preparados'!R139</f>
        <v/>
      </c>
      <c r="T146" s="7">
        <f>'1 datos preparados'!S139</f>
        <v/>
      </c>
      <c r="U146" s="7">
        <f>'1 datos preparados'!T139</f>
        <v/>
      </c>
      <c r="V146" s="8">
        <f>$AC$12+D146*$AC$13+E146*$AC$14+F146*$AC$15+G146*$AC$16+H146*$AC$17+I146*$AC$18+J146*$AC$19+K146*$AC$20+L146*$AC$21+M146*$AC$22+N146*$AC$23+O146*$AC$24+P146*$AC$25+Q146*$AC$26+R146*$AC$27+S146*$AC$28+T146*$AC$29+U146*$AC$30</f>
        <v/>
      </c>
      <c r="W146" s="8">
        <f>1/(1+EXP(-V146))</f>
        <v/>
      </c>
      <c r="X146" s="9">
        <f>-IF(C146=1,LN(W146),LN(1-W146))</f>
        <v/>
      </c>
      <c r="Y146" s="10">
        <f>IF(W146&gt;$AC$34,1,0)</f>
        <v/>
      </c>
      <c r="Z146">
        <f>IF(Y146=C146,1,0)</f>
        <v/>
      </c>
    </row>
    <row r="147">
      <c r="A147">
        <f>'1 datos preparados'!A140</f>
        <v/>
      </c>
      <c r="B147" s="5">
        <f>'1 datos preparados'!U140</f>
        <v/>
      </c>
      <c r="C147">
        <f>'1 datos preparados'!B140</f>
        <v/>
      </c>
      <c r="D147" s="7">
        <f>'1 datos preparados'!C140</f>
        <v/>
      </c>
      <c r="E147" s="7">
        <f>'1 datos preparados'!D140</f>
        <v/>
      </c>
      <c r="F147" s="7">
        <f>'1 datos preparados'!E140</f>
        <v/>
      </c>
      <c r="G147" s="7">
        <f>'1 datos preparados'!F140</f>
        <v/>
      </c>
      <c r="H147" s="7">
        <f>'1 datos preparados'!G140</f>
        <v/>
      </c>
      <c r="I147" s="7">
        <f>'1 datos preparados'!H140</f>
        <v/>
      </c>
      <c r="J147" s="7">
        <f>'1 datos preparados'!I140</f>
        <v/>
      </c>
      <c r="K147" s="7">
        <f>'1 datos preparados'!J140</f>
        <v/>
      </c>
      <c r="L147" s="7">
        <f>'1 datos preparados'!K140</f>
        <v/>
      </c>
      <c r="M147" s="7">
        <f>'1 datos preparados'!L140</f>
        <v/>
      </c>
      <c r="N147" s="7">
        <f>'1 datos preparados'!M140</f>
        <v/>
      </c>
      <c r="O147" s="7">
        <f>'1 datos preparados'!N140</f>
        <v/>
      </c>
      <c r="P147" s="7">
        <f>'1 datos preparados'!O140</f>
        <v/>
      </c>
      <c r="Q147" s="7">
        <f>'1 datos preparados'!P140</f>
        <v/>
      </c>
      <c r="R147" s="7">
        <f>'1 datos preparados'!Q140</f>
        <v/>
      </c>
      <c r="S147" s="7">
        <f>'1 datos preparados'!R140</f>
        <v/>
      </c>
      <c r="T147" s="7">
        <f>'1 datos preparados'!S140</f>
        <v/>
      </c>
      <c r="U147" s="7">
        <f>'1 datos preparados'!T140</f>
        <v/>
      </c>
      <c r="V147" s="8">
        <f>$AC$12+D147*$AC$13+E147*$AC$14+F147*$AC$15+G147*$AC$16+H147*$AC$17+I147*$AC$18+J147*$AC$19+K147*$AC$20+L147*$AC$21+M147*$AC$22+N147*$AC$23+O147*$AC$24+P147*$AC$25+Q147*$AC$26+R147*$AC$27+S147*$AC$28+T147*$AC$29+U147*$AC$30</f>
        <v/>
      </c>
      <c r="W147" s="8">
        <f>1/(1+EXP(-V147))</f>
        <v/>
      </c>
      <c r="X147" s="9">
        <f>-IF(C147=1,LN(W147),LN(1-W147))</f>
        <v/>
      </c>
      <c r="Y147" s="10">
        <f>IF(W147&gt;$AC$34,1,0)</f>
        <v/>
      </c>
      <c r="Z147">
        <f>IF(Y147=C147,1,0)</f>
        <v/>
      </c>
    </row>
    <row r="148">
      <c r="A148">
        <f>'1 datos preparados'!A141</f>
        <v/>
      </c>
      <c r="B148" s="5">
        <f>'1 datos preparados'!U141</f>
        <v/>
      </c>
      <c r="C148">
        <f>'1 datos preparados'!B141</f>
        <v/>
      </c>
      <c r="D148" s="7">
        <f>'1 datos preparados'!C141</f>
        <v/>
      </c>
      <c r="E148" s="7">
        <f>'1 datos preparados'!D141</f>
        <v/>
      </c>
      <c r="F148" s="7">
        <f>'1 datos preparados'!E141</f>
        <v/>
      </c>
      <c r="G148" s="7">
        <f>'1 datos preparados'!F141</f>
        <v/>
      </c>
      <c r="H148" s="7">
        <f>'1 datos preparados'!G141</f>
        <v/>
      </c>
      <c r="I148" s="7">
        <f>'1 datos preparados'!H141</f>
        <v/>
      </c>
      <c r="J148" s="7">
        <f>'1 datos preparados'!I141</f>
        <v/>
      </c>
      <c r="K148" s="7">
        <f>'1 datos preparados'!J141</f>
        <v/>
      </c>
      <c r="L148" s="7">
        <f>'1 datos preparados'!K141</f>
        <v/>
      </c>
      <c r="M148" s="7">
        <f>'1 datos preparados'!L141</f>
        <v/>
      </c>
      <c r="N148" s="7">
        <f>'1 datos preparados'!M141</f>
        <v/>
      </c>
      <c r="O148" s="7">
        <f>'1 datos preparados'!N141</f>
        <v/>
      </c>
      <c r="P148" s="7">
        <f>'1 datos preparados'!O141</f>
        <v/>
      </c>
      <c r="Q148" s="7">
        <f>'1 datos preparados'!P141</f>
        <v/>
      </c>
      <c r="R148" s="7">
        <f>'1 datos preparados'!Q141</f>
        <v/>
      </c>
      <c r="S148" s="7">
        <f>'1 datos preparados'!R141</f>
        <v/>
      </c>
      <c r="T148" s="7">
        <f>'1 datos preparados'!S141</f>
        <v/>
      </c>
      <c r="U148" s="7">
        <f>'1 datos preparados'!T141</f>
        <v/>
      </c>
      <c r="V148" s="8">
        <f>$AC$12+D148*$AC$13+E148*$AC$14+F148*$AC$15+G148*$AC$16+H148*$AC$17+I148*$AC$18+J148*$AC$19+K148*$AC$20+L148*$AC$21+M148*$AC$22+N148*$AC$23+O148*$AC$24+P148*$AC$25+Q148*$AC$26+R148*$AC$27+S148*$AC$28+T148*$AC$29+U148*$AC$30</f>
        <v/>
      </c>
      <c r="W148" s="8">
        <f>1/(1+EXP(-V148))</f>
        <v/>
      </c>
      <c r="X148" s="9">
        <f>-IF(C148=1,LN(W148),LN(1-W148))</f>
        <v/>
      </c>
      <c r="Y148" s="10">
        <f>IF(W148&gt;$AC$34,1,0)</f>
        <v/>
      </c>
      <c r="Z148">
        <f>IF(Y148=C148,1,0)</f>
        <v/>
      </c>
    </row>
    <row r="149">
      <c r="A149">
        <f>'1 datos preparados'!A142</f>
        <v/>
      </c>
      <c r="B149" s="5">
        <f>'1 datos preparados'!U142</f>
        <v/>
      </c>
      <c r="C149">
        <f>'1 datos preparados'!B142</f>
        <v/>
      </c>
      <c r="D149" s="7">
        <f>'1 datos preparados'!C142</f>
        <v/>
      </c>
      <c r="E149" s="7">
        <f>'1 datos preparados'!D142</f>
        <v/>
      </c>
      <c r="F149" s="7">
        <f>'1 datos preparados'!E142</f>
        <v/>
      </c>
      <c r="G149" s="7">
        <f>'1 datos preparados'!F142</f>
        <v/>
      </c>
      <c r="H149" s="7">
        <f>'1 datos preparados'!G142</f>
        <v/>
      </c>
      <c r="I149" s="7">
        <f>'1 datos preparados'!H142</f>
        <v/>
      </c>
      <c r="J149" s="7">
        <f>'1 datos preparados'!I142</f>
        <v/>
      </c>
      <c r="K149" s="7">
        <f>'1 datos preparados'!J142</f>
        <v/>
      </c>
      <c r="L149" s="7">
        <f>'1 datos preparados'!K142</f>
        <v/>
      </c>
      <c r="M149" s="7">
        <f>'1 datos preparados'!L142</f>
        <v/>
      </c>
      <c r="N149" s="7">
        <f>'1 datos preparados'!M142</f>
        <v/>
      </c>
      <c r="O149" s="7">
        <f>'1 datos preparados'!N142</f>
        <v/>
      </c>
      <c r="P149" s="7">
        <f>'1 datos preparados'!O142</f>
        <v/>
      </c>
      <c r="Q149" s="7">
        <f>'1 datos preparados'!P142</f>
        <v/>
      </c>
      <c r="R149" s="7">
        <f>'1 datos preparados'!Q142</f>
        <v/>
      </c>
      <c r="S149" s="7">
        <f>'1 datos preparados'!R142</f>
        <v/>
      </c>
      <c r="T149" s="7">
        <f>'1 datos preparados'!S142</f>
        <v/>
      </c>
      <c r="U149" s="7">
        <f>'1 datos preparados'!T142</f>
        <v/>
      </c>
      <c r="V149" s="8">
        <f>$AC$12+D149*$AC$13+E149*$AC$14+F149*$AC$15+G149*$AC$16+H149*$AC$17+I149*$AC$18+J149*$AC$19+K149*$AC$20+L149*$AC$21+M149*$AC$22+N149*$AC$23+O149*$AC$24+P149*$AC$25+Q149*$AC$26+R149*$AC$27+S149*$AC$28+T149*$AC$29+U149*$AC$30</f>
        <v/>
      </c>
      <c r="W149" s="8">
        <f>1/(1+EXP(-V149))</f>
        <v/>
      </c>
      <c r="X149" s="9">
        <f>-IF(C149=1,LN(W149),LN(1-W149))</f>
        <v/>
      </c>
      <c r="Y149" s="10">
        <f>IF(W149&gt;$AC$34,1,0)</f>
        <v/>
      </c>
      <c r="Z149">
        <f>IF(Y149=C149,1,0)</f>
        <v/>
      </c>
    </row>
    <row r="150">
      <c r="A150">
        <f>'1 datos preparados'!A143</f>
        <v/>
      </c>
      <c r="B150" s="5">
        <f>'1 datos preparados'!U143</f>
        <v/>
      </c>
      <c r="C150">
        <f>'1 datos preparados'!B143</f>
        <v/>
      </c>
      <c r="D150" s="7">
        <f>'1 datos preparados'!C143</f>
        <v/>
      </c>
      <c r="E150" s="7">
        <f>'1 datos preparados'!D143</f>
        <v/>
      </c>
      <c r="F150" s="7">
        <f>'1 datos preparados'!E143</f>
        <v/>
      </c>
      <c r="G150" s="7">
        <f>'1 datos preparados'!F143</f>
        <v/>
      </c>
      <c r="H150" s="7">
        <f>'1 datos preparados'!G143</f>
        <v/>
      </c>
      <c r="I150" s="7">
        <f>'1 datos preparados'!H143</f>
        <v/>
      </c>
      <c r="J150" s="7">
        <f>'1 datos preparados'!I143</f>
        <v/>
      </c>
      <c r="K150" s="7">
        <f>'1 datos preparados'!J143</f>
        <v/>
      </c>
      <c r="L150" s="7">
        <f>'1 datos preparados'!K143</f>
        <v/>
      </c>
      <c r="M150" s="7">
        <f>'1 datos preparados'!L143</f>
        <v/>
      </c>
      <c r="N150" s="7">
        <f>'1 datos preparados'!M143</f>
        <v/>
      </c>
      <c r="O150" s="7">
        <f>'1 datos preparados'!N143</f>
        <v/>
      </c>
      <c r="P150" s="7">
        <f>'1 datos preparados'!O143</f>
        <v/>
      </c>
      <c r="Q150" s="7">
        <f>'1 datos preparados'!P143</f>
        <v/>
      </c>
      <c r="R150" s="7">
        <f>'1 datos preparados'!Q143</f>
        <v/>
      </c>
      <c r="S150" s="7">
        <f>'1 datos preparados'!R143</f>
        <v/>
      </c>
      <c r="T150" s="7">
        <f>'1 datos preparados'!S143</f>
        <v/>
      </c>
      <c r="U150" s="7">
        <f>'1 datos preparados'!T143</f>
        <v/>
      </c>
      <c r="V150" s="8">
        <f>$AC$12+D150*$AC$13+E150*$AC$14+F150*$AC$15+G150*$AC$16+H150*$AC$17+I150*$AC$18+J150*$AC$19+K150*$AC$20+L150*$AC$21+M150*$AC$22+N150*$AC$23+O150*$AC$24+P150*$AC$25+Q150*$AC$26+R150*$AC$27+S150*$AC$28+T150*$AC$29+U150*$AC$30</f>
        <v/>
      </c>
      <c r="W150" s="8">
        <f>1/(1+EXP(-V150))</f>
        <v/>
      </c>
      <c r="X150" s="9">
        <f>-IF(C150=1,LN(W150),LN(1-W150))</f>
        <v/>
      </c>
      <c r="Y150" s="10">
        <f>IF(W150&gt;$AC$34,1,0)</f>
        <v/>
      </c>
      <c r="Z150">
        <f>IF(Y150=C150,1,0)</f>
        <v/>
      </c>
    </row>
    <row r="151">
      <c r="A151">
        <f>'1 datos preparados'!A144</f>
        <v/>
      </c>
      <c r="B151" s="5">
        <f>'1 datos preparados'!U144</f>
        <v/>
      </c>
      <c r="C151">
        <f>'1 datos preparados'!B144</f>
        <v/>
      </c>
      <c r="D151" s="7">
        <f>'1 datos preparados'!C144</f>
        <v/>
      </c>
      <c r="E151" s="7">
        <f>'1 datos preparados'!D144</f>
        <v/>
      </c>
      <c r="F151" s="7">
        <f>'1 datos preparados'!E144</f>
        <v/>
      </c>
      <c r="G151" s="7">
        <f>'1 datos preparados'!F144</f>
        <v/>
      </c>
      <c r="H151" s="7">
        <f>'1 datos preparados'!G144</f>
        <v/>
      </c>
      <c r="I151" s="7">
        <f>'1 datos preparados'!H144</f>
        <v/>
      </c>
      <c r="J151" s="7">
        <f>'1 datos preparados'!I144</f>
        <v/>
      </c>
      <c r="K151" s="7">
        <f>'1 datos preparados'!J144</f>
        <v/>
      </c>
      <c r="L151" s="7">
        <f>'1 datos preparados'!K144</f>
        <v/>
      </c>
      <c r="M151" s="7">
        <f>'1 datos preparados'!L144</f>
        <v/>
      </c>
      <c r="N151" s="7">
        <f>'1 datos preparados'!M144</f>
        <v/>
      </c>
      <c r="O151" s="7">
        <f>'1 datos preparados'!N144</f>
        <v/>
      </c>
      <c r="P151" s="7">
        <f>'1 datos preparados'!O144</f>
        <v/>
      </c>
      <c r="Q151" s="7">
        <f>'1 datos preparados'!P144</f>
        <v/>
      </c>
      <c r="R151" s="7">
        <f>'1 datos preparados'!Q144</f>
        <v/>
      </c>
      <c r="S151" s="7">
        <f>'1 datos preparados'!R144</f>
        <v/>
      </c>
      <c r="T151" s="7">
        <f>'1 datos preparados'!S144</f>
        <v/>
      </c>
      <c r="U151" s="7">
        <f>'1 datos preparados'!T144</f>
        <v/>
      </c>
      <c r="V151" s="8">
        <f>$AC$12+D151*$AC$13+E151*$AC$14+F151*$AC$15+G151*$AC$16+H151*$AC$17+I151*$AC$18+J151*$AC$19+K151*$AC$20+L151*$AC$21+M151*$AC$22+N151*$AC$23+O151*$AC$24+P151*$AC$25+Q151*$AC$26+R151*$AC$27+S151*$AC$28+T151*$AC$29+U151*$AC$30</f>
        <v/>
      </c>
      <c r="W151" s="8">
        <f>1/(1+EXP(-V151))</f>
        <v/>
      </c>
      <c r="X151" s="9">
        <f>-IF(C151=1,LN(W151),LN(1-W151))</f>
        <v/>
      </c>
      <c r="Y151" s="10">
        <f>IF(W151&gt;$AC$34,1,0)</f>
        <v/>
      </c>
      <c r="Z151">
        <f>IF(Y151=C151,1,0)</f>
        <v/>
      </c>
    </row>
    <row r="152">
      <c r="A152">
        <f>'1 datos preparados'!A145</f>
        <v/>
      </c>
      <c r="B152" s="5">
        <f>'1 datos preparados'!U145</f>
        <v/>
      </c>
      <c r="C152">
        <f>'1 datos preparados'!B145</f>
        <v/>
      </c>
      <c r="D152" s="7">
        <f>'1 datos preparados'!C145</f>
        <v/>
      </c>
      <c r="E152" s="7">
        <f>'1 datos preparados'!D145</f>
        <v/>
      </c>
      <c r="F152" s="7">
        <f>'1 datos preparados'!E145</f>
        <v/>
      </c>
      <c r="G152" s="7">
        <f>'1 datos preparados'!F145</f>
        <v/>
      </c>
      <c r="H152" s="7">
        <f>'1 datos preparados'!G145</f>
        <v/>
      </c>
      <c r="I152" s="7">
        <f>'1 datos preparados'!H145</f>
        <v/>
      </c>
      <c r="J152" s="7">
        <f>'1 datos preparados'!I145</f>
        <v/>
      </c>
      <c r="K152" s="7">
        <f>'1 datos preparados'!J145</f>
        <v/>
      </c>
      <c r="L152" s="7">
        <f>'1 datos preparados'!K145</f>
        <v/>
      </c>
      <c r="M152" s="7">
        <f>'1 datos preparados'!L145</f>
        <v/>
      </c>
      <c r="N152" s="7">
        <f>'1 datos preparados'!M145</f>
        <v/>
      </c>
      <c r="O152" s="7">
        <f>'1 datos preparados'!N145</f>
        <v/>
      </c>
      <c r="P152" s="7">
        <f>'1 datos preparados'!O145</f>
        <v/>
      </c>
      <c r="Q152" s="7">
        <f>'1 datos preparados'!P145</f>
        <v/>
      </c>
      <c r="R152" s="7">
        <f>'1 datos preparados'!Q145</f>
        <v/>
      </c>
      <c r="S152" s="7">
        <f>'1 datos preparados'!R145</f>
        <v/>
      </c>
      <c r="T152" s="7">
        <f>'1 datos preparados'!S145</f>
        <v/>
      </c>
      <c r="U152" s="7">
        <f>'1 datos preparados'!T145</f>
        <v/>
      </c>
      <c r="V152" s="8">
        <f>$AC$12+D152*$AC$13+E152*$AC$14+F152*$AC$15+G152*$AC$16+H152*$AC$17+I152*$AC$18+J152*$AC$19+K152*$AC$20+L152*$AC$21+M152*$AC$22+N152*$AC$23+O152*$AC$24+P152*$AC$25+Q152*$AC$26+R152*$AC$27+S152*$AC$28+T152*$AC$29+U152*$AC$30</f>
        <v/>
      </c>
      <c r="W152" s="8">
        <f>1/(1+EXP(-V152))</f>
        <v/>
      </c>
      <c r="X152" s="9">
        <f>-IF(C152=1,LN(W152),LN(1-W152))</f>
        <v/>
      </c>
      <c r="Y152" s="10">
        <f>IF(W152&gt;$AC$34,1,0)</f>
        <v/>
      </c>
      <c r="Z152">
        <f>IF(Y152=C152,1,0)</f>
        <v/>
      </c>
    </row>
    <row r="153">
      <c r="A153">
        <f>'1 datos preparados'!A146</f>
        <v/>
      </c>
      <c r="B153" s="5">
        <f>'1 datos preparados'!U146</f>
        <v/>
      </c>
      <c r="C153">
        <f>'1 datos preparados'!B146</f>
        <v/>
      </c>
      <c r="D153" s="7">
        <f>'1 datos preparados'!C146</f>
        <v/>
      </c>
      <c r="E153" s="7">
        <f>'1 datos preparados'!D146</f>
        <v/>
      </c>
      <c r="F153" s="7">
        <f>'1 datos preparados'!E146</f>
        <v/>
      </c>
      <c r="G153" s="7">
        <f>'1 datos preparados'!F146</f>
        <v/>
      </c>
      <c r="H153" s="7">
        <f>'1 datos preparados'!G146</f>
        <v/>
      </c>
      <c r="I153" s="7">
        <f>'1 datos preparados'!H146</f>
        <v/>
      </c>
      <c r="J153" s="7">
        <f>'1 datos preparados'!I146</f>
        <v/>
      </c>
      <c r="K153" s="7">
        <f>'1 datos preparados'!J146</f>
        <v/>
      </c>
      <c r="L153" s="7">
        <f>'1 datos preparados'!K146</f>
        <v/>
      </c>
      <c r="M153" s="7">
        <f>'1 datos preparados'!L146</f>
        <v/>
      </c>
      <c r="N153" s="7">
        <f>'1 datos preparados'!M146</f>
        <v/>
      </c>
      <c r="O153" s="7">
        <f>'1 datos preparados'!N146</f>
        <v/>
      </c>
      <c r="P153" s="7">
        <f>'1 datos preparados'!O146</f>
        <v/>
      </c>
      <c r="Q153" s="7">
        <f>'1 datos preparados'!P146</f>
        <v/>
      </c>
      <c r="R153" s="7">
        <f>'1 datos preparados'!Q146</f>
        <v/>
      </c>
      <c r="S153" s="7">
        <f>'1 datos preparados'!R146</f>
        <v/>
      </c>
      <c r="T153" s="7">
        <f>'1 datos preparados'!S146</f>
        <v/>
      </c>
      <c r="U153" s="7">
        <f>'1 datos preparados'!T146</f>
        <v/>
      </c>
      <c r="V153" s="8">
        <f>$AC$12+D153*$AC$13+E153*$AC$14+F153*$AC$15+G153*$AC$16+H153*$AC$17+I153*$AC$18+J153*$AC$19+K153*$AC$20+L153*$AC$21+M153*$AC$22+N153*$AC$23+O153*$AC$24+P153*$AC$25+Q153*$AC$26+R153*$AC$27+S153*$AC$28+T153*$AC$29+U153*$AC$30</f>
        <v/>
      </c>
      <c r="W153" s="8">
        <f>1/(1+EXP(-V153))</f>
        <v/>
      </c>
      <c r="X153" s="9">
        <f>-IF(C153=1,LN(W153),LN(1-W153))</f>
        <v/>
      </c>
      <c r="Y153" s="10">
        <f>IF(W153&gt;$AC$34,1,0)</f>
        <v/>
      </c>
      <c r="Z153">
        <f>IF(Y153=C153,1,0)</f>
        <v/>
      </c>
    </row>
    <row r="154">
      <c r="A154">
        <f>'1 datos preparados'!A147</f>
        <v/>
      </c>
      <c r="B154" s="5">
        <f>'1 datos preparados'!U147</f>
        <v/>
      </c>
      <c r="C154">
        <f>'1 datos preparados'!B147</f>
        <v/>
      </c>
      <c r="D154" s="7">
        <f>'1 datos preparados'!C147</f>
        <v/>
      </c>
      <c r="E154" s="7">
        <f>'1 datos preparados'!D147</f>
        <v/>
      </c>
      <c r="F154" s="7">
        <f>'1 datos preparados'!E147</f>
        <v/>
      </c>
      <c r="G154" s="7">
        <f>'1 datos preparados'!F147</f>
        <v/>
      </c>
      <c r="H154" s="7">
        <f>'1 datos preparados'!G147</f>
        <v/>
      </c>
      <c r="I154" s="7">
        <f>'1 datos preparados'!H147</f>
        <v/>
      </c>
      <c r="J154" s="7">
        <f>'1 datos preparados'!I147</f>
        <v/>
      </c>
      <c r="K154" s="7">
        <f>'1 datos preparados'!J147</f>
        <v/>
      </c>
      <c r="L154" s="7">
        <f>'1 datos preparados'!K147</f>
        <v/>
      </c>
      <c r="M154" s="7">
        <f>'1 datos preparados'!L147</f>
        <v/>
      </c>
      <c r="N154" s="7">
        <f>'1 datos preparados'!M147</f>
        <v/>
      </c>
      <c r="O154" s="7">
        <f>'1 datos preparados'!N147</f>
        <v/>
      </c>
      <c r="P154" s="7">
        <f>'1 datos preparados'!O147</f>
        <v/>
      </c>
      <c r="Q154" s="7">
        <f>'1 datos preparados'!P147</f>
        <v/>
      </c>
      <c r="R154" s="7">
        <f>'1 datos preparados'!Q147</f>
        <v/>
      </c>
      <c r="S154" s="7">
        <f>'1 datos preparados'!R147</f>
        <v/>
      </c>
      <c r="T154" s="7">
        <f>'1 datos preparados'!S147</f>
        <v/>
      </c>
      <c r="U154" s="7">
        <f>'1 datos preparados'!T147</f>
        <v/>
      </c>
      <c r="V154" s="8">
        <f>$AC$12+D154*$AC$13+E154*$AC$14+F154*$AC$15+G154*$AC$16+H154*$AC$17+I154*$AC$18+J154*$AC$19+K154*$AC$20+L154*$AC$21+M154*$AC$22+N154*$AC$23+O154*$AC$24+P154*$AC$25+Q154*$AC$26+R154*$AC$27+S154*$AC$28+T154*$AC$29+U154*$AC$30</f>
        <v/>
      </c>
      <c r="W154" s="8">
        <f>1/(1+EXP(-V154))</f>
        <v/>
      </c>
      <c r="X154" s="9">
        <f>-IF(C154=1,LN(W154),LN(1-W154))</f>
        <v/>
      </c>
      <c r="Y154" s="10">
        <f>IF(W154&gt;$AC$34,1,0)</f>
        <v/>
      </c>
      <c r="Z154">
        <f>IF(Y154=C154,1,0)</f>
        <v/>
      </c>
    </row>
    <row r="155">
      <c r="A155">
        <f>'1 datos preparados'!A148</f>
        <v/>
      </c>
      <c r="B155" s="5">
        <f>'1 datos preparados'!U148</f>
        <v/>
      </c>
      <c r="C155">
        <f>'1 datos preparados'!B148</f>
        <v/>
      </c>
      <c r="D155" s="7">
        <f>'1 datos preparados'!C148</f>
        <v/>
      </c>
      <c r="E155" s="7">
        <f>'1 datos preparados'!D148</f>
        <v/>
      </c>
      <c r="F155" s="7">
        <f>'1 datos preparados'!E148</f>
        <v/>
      </c>
      <c r="G155" s="7">
        <f>'1 datos preparados'!F148</f>
        <v/>
      </c>
      <c r="H155" s="7">
        <f>'1 datos preparados'!G148</f>
        <v/>
      </c>
      <c r="I155" s="7">
        <f>'1 datos preparados'!H148</f>
        <v/>
      </c>
      <c r="J155" s="7">
        <f>'1 datos preparados'!I148</f>
        <v/>
      </c>
      <c r="K155" s="7">
        <f>'1 datos preparados'!J148</f>
        <v/>
      </c>
      <c r="L155" s="7">
        <f>'1 datos preparados'!K148</f>
        <v/>
      </c>
      <c r="M155" s="7">
        <f>'1 datos preparados'!L148</f>
        <v/>
      </c>
      <c r="N155" s="7">
        <f>'1 datos preparados'!M148</f>
        <v/>
      </c>
      <c r="O155" s="7">
        <f>'1 datos preparados'!N148</f>
        <v/>
      </c>
      <c r="P155" s="7">
        <f>'1 datos preparados'!O148</f>
        <v/>
      </c>
      <c r="Q155" s="7">
        <f>'1 datos preparados'!P148</f>
        <v/>
      </c>
      <c r="R155" s="7">
        <f>'1 datos preparados'!Q148</f>
        <v/>
      </c>
      <c r="S155" s="7">
        <f>'1 datos preparados'!R148</f>
        <v/>
      </c>
      <c r="T155" s="7">
        <f>'1 datos preparados'!S148</f>
        <v/>
      </c>
      <c r="U155" s="7">
        <f>'1 datos preparados'!T148</f>
        <v/>
      </c>
      <c r="V155" s="8">
        <f>$AC$12+D155*$AC$13+E155*$AC$14+F155*$AC$15+G155*$AC$16+H155*$AC$17+I155*$AC$18+J155*$AC$19+K155*$AC$20+L155*$AC$21+M155*$AC$22+N155*$AC$23+O155*$AC$24+P155*$AC$25+Q155*$AC$26+R155*$AC$27+S155*$AC$28+T155*$AC$29+U155*$AC$30</f>
        <v/>
      </c>
      <c r="W155" s="8">
        <f>1/(1+EXP(-V155))</f>
        <v/>
      </c>
      <c r="X155" s="9">
        <f>-IF(C155=1,LN(W155),LN(1-W155))</f>
        <v/>
      </c>
      <c r="Y155" s="10">
        <f>IF(W155&gt;$AC$34,1,0)</f>
        <v/>
      </c>
      <c r="Z155">
        <f>IF(Y155=C155,1,0)</f>
        <v/>
      </c>
    </row>
    <row r="156">
      <c r="A156">
        <f>'1 datos preparados'!A149</f>
        <v/>
      </c>
      <c r="B156" s="5">
        <f>'1 datos preparados'!U149</f>
        <v/>
      </c>
      <c r="C156">
        <f>'1 datos preparados'!B149</f>
        <v/>
      </c>
      <c r="D156" s="7">
        <f>'1 datos preparados'!C149</f>
        <v/>
      </c>
      <c r="E156" s="7">
        <f>'1 datos preparados'!D149</f>
        <v/>
      </c>
      <c r="F156" s="7">
        <f>'1 datos preparados'!E149</f>
        <v/>
      </c>
      <c r="G156" s="7">
        <f>'1 datos preparados'!F149</f>
        <v/>
      </c>
      <c r="H156" s="7">
        <f>'1 datos preparados'!G149</f>
        <v/>
      </c>
      <c r="I156" s="7">
        <f>'1 datos preparados'!H149</f>
        <v/>
      </c>
      <c r="J156" s="7">
        <f>'1 datos preparados'!I149</f>
        <v/>
      </c>
      <c r="K156" s="7">
        <f>'1 datos preparados'!J149</f>
        <v/>
      </c>
      <c r="L156" s="7">
        <f>'1 datos preparados'!K149</f>
        <v/>
      </c>
      <c r="M156" s="7">
        <f>'1 datos preparados'!L149</f>
        <v/>
      </c>
      <c r="N156" s="7">
        <f>'1 datos preparados'!M149</f>
        <v/>
      </c>
      <c r="O156" s="7">
        <f>'1 datos preparados'!N149</f>
        <v/>
      </c>
      <c r="P156" s="7">
        <f>'1 datos preparados'!O149</f>
        <v/>
      </c>
      <c r="Q156" s="7">
        <f>'1 datos preparados'!P149</f>
        <v/>
      </c>
      <c r="R156" s="7">
        <f>'1 datos preparados'!Q149</f>
        <v/>
      </c>
      <c r="S156" s="7">
        <f>'1 datos preparados'!R149</f>
        <v/>
      </c>
      <c r="T156" s="7">
        <f>'1 datos preparados'!S149</f>
        <v/>
      </c>
      <c r="U156" s="7">
        <f>'1 datos preparados'!T149</f>
        <v/>
      </c>
      <c r="V156" s="8">
        <f>$AC$12+D156*$AC$13+E156*$AC$14+F156*$AC$15+G156*$AC$16+H156*$AC$17+I156*$AC$18+J156*$AC$19+K156*$AC$20+L156*$AC$21+M156*$AC$22+N156*$AC$23+O156*$AC$24+P156*$AC$25+Q156*$AC$26+R156*$AC$27+S156*$AC$28+T156*$AC$29+U156*$AC$30</f>
        <v/>
      </c>
      <c r="W156" s="8">
        <f>1/(1+EXP(-V156))</f>
        <v/>
      </c>
      <c r="X156" s="9">
        <f>-IF(C156=1,LN(W156),LN(1-W156))</f>
        <v/>
      </c>
      <c r="Y156" s="10">
        <f>IF(W156&gt;$AC$34,1,0)</f>
        <v/>
      </c>
      <c r="Z156">
        <f>IF(Y156=C156,1,0)</f>
        <v/>
      </c>
    </row>
    <row r="157">
      <c r="A157">
        <f>'1 datos preparados'!A150</f>
        <v/>
      </c>
      <c r="B157" s="5">
        <f>'1 datos preparados'!U150</f>
        <v/>
      </c>
      <c r="C157">
        <f>'1 datos preparados'!B150</f>
        <v/>
      </c>
      <c r="D157" s="7">
        <f>'1 datos preparados'!C150</f>
        <v/>
      </c>
      <c r="E157" s="7">
        <f>'1 datos preparados'!D150</f>
        <v/>
      </c>
      <c r="F157" s="7">
        <f>'1 datos preparados'!E150</f>
        <v/>
      </c>
      <c r="G157" s="7">
        <f>'1 datos preparados'!F150</f>
        <v/>
      </c>
      <c r="H157" s="7">
        <f>'1 datos preparados'!G150</f>
        <v/>
      </c>
      <c r="I157" s="7">
        <f>'1 datos preparados'!H150</f>
        <v/>
      </c>
      <c r="J157" s="7">
        <f>'1 datos preparados'!I150</f>
        <v/>
      </c>
      <c r="K157" s="7">
        <f>'1 datos preparados'!J150</f>
        <v/>
      </c>
      <c r="L157" s="7">
        <f>'1 datos preparados'!K150</f>
        <v/>
      </c>
      <c r="M157" s="7">
        <f>'1 datos preparados'!L150</f>
        <v/>
      </c>
      <c r="N157" s="7">
        <f>'1 datos preparados'!M150</f>
        <v/>
      </c>
      <c r="O157" s="7">
        <f>'1 datos preparados'!N150</f>
        <v/>
      </c>
      <c r="P157" s="7">
        <f>'1 datos preparados'!O150</f>
        <v/>
      </c>
      <c r="Q157" s="7">
        <f>'1 datos preparados'!P150</f>
        <v/>
      </c>
      <c r="R157" s="7">
        <f>'1 datos preparados'!Q150</f>
        <v/>
      </c>
      <c r="S157" s="7">
        <f>'1 datos preparados'!R150</f>
        <v/>
      </c>
      <c r="T157" s="7">
        <f>'1 datos preparados'!S150</f>
        <v/>
      </c>
      <c r="U157" s="7">
        <f>'1 datos preparados'!T150</f>
        <v/>
      </c>
      <c r="V157" s="8">
        <f>$AC$12+D157*$AC$13+E157*$AC$14+F157*$AC$15+G157*$AC$16+H157*$AC$17+I157*$AC$18+J157*$AC$19+K157*$AC$20+L157*$AC$21+M157*$AC$22+N157*$AC$23+O157*$AC$24+P157*$AC$25+Q157*$AC$26+R157*$AC$27+S157*$AC$28+T157*$AC$29+U157*$AC$30</f>
        <v/>
      </c>
      <c r="W157" s="8">
        <f>1/(1+EXP(-V157))</f>
        <v/>
      </c>
      <c r="X157" s="9">
        <f>-IF(C157=1,LN(W157),LN(1-W157))</f>
        <v/>
      </c>
      <c r="Y157" s="10">
        <f>IF(W157&gt;$AC$34,1,0)</f>
        <v/>
      </c>
      <c r="Z157">
        <f>IF(Y157=C157,1,0)</f>
        <v/>
      </c>
    </row>
    <row r="158">
      <c r="A158">
        <f>'1 datos preparados'!A151</f>
        <v/>
      </c>
      <c r="B158" s="5">
        <f>'1 datos preparados'!U151</f>
        <v/>
      </c>
      <c r="C158">
        <f>'1 datos preparados'!B151</f>
        <v/>
      </c>
      <c r="D158" s="7">
        <f>'1 datos preparados'!C151</f>
        <v/>
      </c>
      <c r="E158" s="7">
        <f>'1 datos preparados'!D151</f>
        <v/>
      </c>
      <c r="F158" s="7">
        <f>'1 datos preparados'!E151</f>
        <v/>
      </c>
      <c r="G158" s="7">
        <f>'1 datos preparados'!F151</f>
        <v/>
      </c>
      <c r="H158" s="7">
        <f>'1 datos preparados'!G151</f>
        <v/>
      </c>
      <c r="I158" s="7">
        <f>'1 datos preparados'!H151</f>
        <v/>
      </c>
      <c r="J158" s="7">
        <f>'1 datos preparados'!I151</f>
        <v/>
      </c>
      <c r="K158" s="7">
        <f>'1 datos preparados'!J151</f>
        <v/>
      </c>
      <c r="L158" s="7">
        <f>'1 datos preparados'!K151</f>
        <v/>
      </c>
      <c r="M158" s="7">
        <f>'1 datos preparados'!L151</f>
        <v/>
      </c>
      <c r="N158" s="7">
        <f>'1 datos preparados'!M151</f>
        <v/>
      </c>
      <c r="O158" s="7">
        <f>'1 datos preparados'!N151</f>
        <v/>
      </c>
      <c r="P158" s="7">
        <f>'1 datos preparados'!O151</f>
        <v/>
      </c>
      <c r="Q158" s="7">
        <f>'1 datos preparados'!P151</f>
        <v/>
      </c>
      <c r="R158" s="7">
        <f>'1 datos preparados'!Q151</f>
        <v/>
      </c>
      <c r="S158" s="7">
        <f>'1 datos preparados'!R151</f>
        <v/>
      </c>
      <c r="T158" s="7">
        <f>'1 datos preparados'!S151</f>
        <v/>
      </c>
      <c r="U158" s="7">
        <f>'1 datos preparados'!T151</f>
        <v/>
      </c>
      <c r="V158" s="8">
        <f>$AC$12+D158*$AC$13+E158*$AC$14+F158*$AC$15+G158*$AC$16+H158*$AC$17+I158*$AC$18+J158*$AC$19+K158*$AC$20+L158*$AC$21+M158*$AC$22+N158*$AC$23+O158*$AC$24+P158*$AC$25+Q158*$AC$26+R158*$AC$27+S158*$AC$28+T158*$AC$29+U158*$AC$30</f>
        <v/>
      </c>
      <c r="W158" s="8">
        <f>1/(1+EXP(-V158))</f>
        <v/>
      </c>
      <c r="X158" s="9">
        <f>-IF(C158=1,LN(W158),LN(1-W158))</f>
        <v/>
      </c>
      <c r="Y158" s="10">
        <f>IF(W158&gt;$AC$34,1,0)</f>
        <v/>
      </c>
      <c r="Z158">
        <f>IF(Y158=C158,1,0)</f>
        <v/>
      </c>
    </row>
    <row r="159">
      <c r="A159">
        <f>'1 datos preparados'!A152</f>
        <v/>
      </c>
      <c r="B159" s="5">
        <f>'1 datos preparados'!U152</f>
        <v/>
      </c>
      <c r="C159">
        <f>'1 datos preparados'!B152</f>
        <v/>
      </c>
      <c r="D159" s="7">
        <f>'1 datos preparados'!C152</f>
        <v/>
      </c>
      <c r="E159" s="7">
        <f>'1 datos preparados'!D152</f>
        <v/>
      </c>
      <c r="F159" s="7">
        <f>'1 datos preparados'!E152</f>
        <v/>
      </c>
      <c r="G159" s="7">
        <f>'1 datos preparados'!F152</f>
        <v/>
      </c>
      <c r="H159" s="7">
        <f>'1 datos preparados'!G152</f>
        <v/>
      </c>
      <c r="I159" s="7">
        <f>'1 datos preparados'!H152</f>
        <v/>
      </c>
      <c r="J159" s="7">
        <f>'1 datos preparados'!I152</f>
        <v/>
      </c>
      <c r="K159" s="7">
        <f>'1 datos preparados'!J152</f>
        <v/>
      </c>
      <c r="L159" s="7">
        <f>'1 datos preparados'!K152</f>
        <v/>
      </c>
      <c r="M159" s="7">
        <f>'1 datos preparados'!L152</f>
        <v/>
      </c>
      <c r="N159" s="7">
        <f>'1 datos preparados'!M152</f>
        <v/>
      </c>
      <c r="O159" s="7">
        <f>'1 datos preparados'!N152</f>
        <v/>
      </c>
      <c r="P159" s="7">
        <f>'1 datos preparados'!O152</f>
        <v/>
      </c>
      <c r="Q159" s="7">
        <f>'1 datos preparados'!P152</f>
        <v/>
      </c>
      <c r="R159" s="7">
        <f>'1 datos preparados'!Q152</f>
        <v/>
      </c>
      <c r="S159" s="7">
        <f>'1 datos preparados'!R152</f>
        <v/>
      </c>
      <c r="T159" s="7">
        <f>'1 datos preparados'!S152</f>
        <v/>
      </c>
      <c r="U159" s="7">
        <f>'1 datos preparados'!T152</f>
        <v/>
      </c>
      <c r="V159" s="8">
        <f>$AC$12+D159*$AC$13+E159*$AC$14+F159*$AC$15+G159*$AC$16+H159*$AC$17+I159*$AC$18+J159*$AC$19+K159*$AC$20+L159*$AC$21+M159*$AC$22+N159*$AC$23+O159*$AC$24+P159*$AC$25+Q159*$AC$26+R159*$AC$27+S159*$AC$28+T159*$AC$29+U159*$AC$30</f>
        <v/>
      </c>
      <c r="W159" s="8">
        <f>1/(1+EXP(-V159))</f>
        <v/>
      </c>
      <c r="X159" s="9">
        <f>-IF(C159=1,LN(W159),LN(1-W159))</f>
        <v/>
      </c>
      <c r="Y159" s="10">
        <f>IF(W159&gt;$AC$34,1,0)</f>
        <v/>
      </c>
      <c r="Z159">
        <f>IF(Y159=C159,1,0)</f>
        <v/>
      </c>
    </row>
    <row r="160">
      <c r="A160">
        <f>'1 datos preparados'!A153</f>
        <v/>
      </c>
      <c r="B160" s="5">
        <f>'1 datos preparados'!U153</f>
        <v/>
      </c>
      <c r="C160">
        <f>'1 datos preparados'!B153</f>
        <v/>
      </c>
      <c r="D160" s="7">
        <f>'1 datos preparados'!C153</f>
        <v/>
      </c>
      <c r="E160" s="7">
        <f>'1 datos preparados'!D153</f>
        <v/>
      </c>
      <c r="F160" s="7">
        <f>'1 datos preparados'!E153</f>
        <v/>
      </c>
      <c r="G160" s="7">
        <f>'1 datos preparados'!F153</f>
        <v/>
      </c>
      <c r="H160" s="7">
        <f>'1 datos preparados'!G153</f>
        <v/>
      </c>
      <c r="I160" s="7">
        <f>'1 datos preparados'!H153</f>
        <v/>
      </c>
      <c r="J160" s="7">
        <f>'1 datos preparados'!I153</f>
        <v/>
      </c>
      <c r="K160" s="7">
        <f>'1 datos preparados'!J153</f>
        <v/>
      </c>
      <c r="L160" s="7">
        <f>'1 datos preparados'!K153</f>
        <v/>
      </c>
      <c r="M160" s="7">
        <f>'1 datos preparados'!L153</f>
        <v/>
      </c>
      <c r="N160" s="7">
        <f>'1 datos preparados'!M153</f>
        <v/>
      </c>
      <c r="O160" s="7">
        <f>'1 datos preparados'!N153</f>
        <v/>
      </c>
      <c r="P160" s="7">
        <f>'1 datos preparados'!O153</f>
        <v/>
      </c>
      <c r="Q160" s="7">
        <f>'1 datos preparados'!P153</f>
        <v/>
      </c>
      <c r="R160" s="7">
        <f>'1 datos preparados'!Q153</f>
        <v/>
      </c>
      <c r="S160" s="7">
        <f>'1 datos preparados'!R153</f>
        <v/>
      </c>
      <c r="T160" s="7">
        <f>'1 datos preparados'!S153</f>
        <v/>
      </c>
      <c r="U160" s="7">
        <f>'1 datos preparados'!T153</f>
        <v/>
      </c>
      <c r="V160" s="8">
        <f>$AC$12+D160*$AC$13+E160*$AC$14+F160*$AC$15+G160*$AC$16+H160*$AC$17+I160*$AC$18+J160*$AC$19+K160*$AC$20+L160*$AC$21+M160*$AC$22+N160*$AC$23+O160*$AC$24+P160*$AC$25+Q160*$AC$26+R160*$AC$27+S160*$AC$28+T160*$AC$29+U160*$AC$30</f>
        <v/>
      </c>
      <c r="W160" s="8">
        <f>1/(1+EXP(-V160))</f>
        <v/>
      </c>
      <c r="X160" s="9">
        <f>-IF(C160=1,LN(W160),LN(1-W160))</f>
        <v/>
      </c>
      <c r="Y160" s="10">
        <f>IF(W160&gt;$AC$34,1,0)</f>
        <v/>
      </c>
      <c r="Z160">
        <f>IF(Y160=C160,1,0)</f>
        <v/>
      </c>
    </row>
    <row r="161">
      <c r="A161">
        <f>'1 datos preparados'!A154</f>
        <v/>
      </c>
      <c r="B161" s="5">
        <f>'1 datos preparados'!U154</f>
        <v/>
      </c>
      <c r="C161">
        <f>'1 datos preparados'!B154</f>
        <v/>
      </c>
      <c r="D161" s="7">
        <f>'1 datos preparados'!C154</f>
        <v/>
      </c>
      <c r="E161" s="7">
        <f>'1 datos preparados'!D154</f>
        <v/>
      </c>
      <c r="F161" s="7">
        <f>'1 datos preparados'!E154</f>
        <v/>
      </c>
      <c r="G161" s="7">
        <f>'1 datos preparados'!F154</f>
        <v/>
      </c>
      <c r="H161" s="7">
        <f>'1 datos preparados'!G154</f>
        <v/>
      </c>
      <c r="I161" s="7">
        <f>'1 datos preparados'!H154</f>
        <v/>
      </c>
      <c r="J161" s="7">
        <f>'1 datos preparados'!I154</f>
        <v/>
      </c>
      <c r="K161" s="7">
        <f>'1 datos preparados'!J154</f>
        <v/>
      </c>
      <c r="L161" s="7">
        <f>'1 datos preparados'!K154</f>
        <v/>
      </c>
      <c r="M161" s="7">
        <f>'1 datos preparados'!L154</f>
        <v/>
      </c>
      <c r="N161" s="7">
        <f>'1 datos preparados'!M154</f>
        <v/>
      </c>
      <c r="O161" s="7">
        <f>'1 datos preparados'!N154</f>
        <v/>
      </c>
      <c r="P161" s="7">
        <f>'1 datos preparados'!O154</f>
        <v/>
      </c>
      <c r="Q161" s="7">
        <f>'1 datos preparados'!P154</f>
        <v/>
      </c>
      <c r="R161" s="7">
        <f>'1 datos preparados'!Q154</f>
        <v/>
      </c>
      <c r="S161" s="7">
        <f>'1 datos preparados'!R154</f>
        <v/>
      </c>
      <c r="T161" s="7">
        <f>'1 datos preparados'!S154</f>
        <v/>
      </c>
      <c r="U161" s="7">
        <f>'1 datos preparados'!T154</f>
        <v/>
      </c>
      <c r="V161" s="8">
        <f>$AC$12+D161*$AC$13+E161*$AC$14+F161*$AC$15+G161*$AC$16+H161*$AC$17+I161*$AC$18+J161*$AC$19+K161*$AC$20+L161*$AC$21+M161*$AC$22+N161*$AC$23+O161*$AC$24+P161*$AC$25+Q161*$AC$26+R161*$AC$27+S161*$AC$28+T161*$AC$29+U161*$AC$30</f>
        <v/>
      </c>
      <c r="W161" s="8">
        <f>1/(1+EXP(-V161))</f>
        <v/>
      </c>
      <c r="X161" s="9">
        <f>-IF(C161=1,LN(W161),LN(1-W161))</f>
        <v/>
      </c>
      <c r="Y161" s="10">
        <f>IF(W161&gt;$AC$34,1,0)</f>
        <v/>
      </c>
      <c r="Z161">
        <f>IF(Y161=C161,1,0)</f>
        <v/>
      </c>
    </row>
    <row r="162">
      <c r="A162">
        <f>'1 datos preparados'!A155</f>
        <v/>
      </c>
      <c r="B162" s="5">
        <f>'1 datos preparados'!U155</f>
        <v/>
      </c>
      <c r="C162">
        <f>'1 datos preparados'!B155</f>
        <v/>
      </c>
      <c r="D162" s="7">
        <f>'1 datos preparados'!C155</f>
        <v/>
      </c>
      <c r="E162" s="7">
        <f>'1 datos preparados'!D155</f>
        <v/>
      </c>
      <c r="F162" s="7">
        <f>'1 datos preparados'!E155</f>
        <v/>
      </c>
      <c r="G162" s="7">
        <f>'1 datos preparados'!F155</f>
        <v/>
      </c>
      <c r="H162" s="7">
        <f>'1 datos preparados'!G155</f>
        <v/>
      </c>
      <c r="I162" s="7">
        <f>'1 datos preparados'!H155</f>
        <v/>
      </c>
      <c r="J162" s="7">
        <f>'1 datos preparados'!I155</f>
        <v/>
      </c>
      <c r="K162" s="7">
        <f>'1 datos preparados'!J155</f>
        <v/>
      </c>
      <c r="L162" s="7">
        <f>'1 datos preparados'!K155</f>
        <v/>
      </c>
      <c r="M162" s="7">
        <f>'1 datos preparados'!L155</f>
        <v/>
      </c>
      <c r="N162" s="7">
        <f>'1 datos preparados'!M155</f>
        <v/>
      </c>
      <c r="O162" s="7">
        <f>'1 datos preparados'!N155</f>
        <v/>
      </c>
      <c r="P162" s="7">
        <f>'1 datos preparados'!O155</f>
        <v/>
      </c>
      <c r="Q162" s="7">
        <f>'1 datos preparados'!P155</f>
        <v/>
      </c>
      <c r="R162" s="7">
        <f>'1 datos preparados'!Q155</f>
        <v/>
      </c>
      <c r="S162" s="7">
        <f>'1 datos preparados'!R155</f>
        <v/>
      </c>
      <c r="T162" s="7">
        <f>'1 datos preparados'!S155</f>
        <v/>
      </c>
      <c r="U162" s="7">
        <f>'1 datos preparados'!T155</f>
        <v/>
      </c>
      <c r="V162" s="8">
        <f>$AC$12+D162*$AC$13+E162*$AC$14+F162*$AC$15+G162*$AC$16+H162*$AC$17+I162*$AC$18+J162*$AC$19+K162*$AC$20+L162*$AC$21+M162*$AC$22+N162*$AC$23+O162*$AC$24+P162*$AC$25+Q162*$AC$26+R162*$AC$27+S162*$AC$28+T162*$AC$29+U162*$AC$30</f>
        <v/>
      </c>
      <c r="W162" s="8">
        <f>1/(1+EXP(-V162))</f>
        <v/>
      </c>
      <c r="X162" s="9">
        <f>-IF(C162=1,LN(W162),LN(1-W162))</f>
        <v/>
      </c>
      <c r="Y162" s="10">
        <f>IF(W162&gt;$AC$34,1,0)</f>
        <v/>
      </c>
      <c r="Z162">
        <f>IF(Y162=C162,1,0)</f>
        <v/>
      </c>
    </row>
    <row r="163">
      <c r="A163">
        <f>'1 datos preparados'!A156</f>
        <v/>
      </c>
      <c r="B163" s="5">
        <f>'1 datos preparados'!U156</f>
        <v/>
      </c>
      <c r="C163">
        <f>'1 datos preparados'!B156</f>
        <v/>
      </c>
      <c r="D163" s="7">
        <f>'1 datos preparados'!C156</f>
        <v/>
      </c>
      <c r="E163" s="7">
        <f>'1 datos preparados'!D156</f>
        <v/>
      </c>
      <c r="F163" s="7">
        <f>'1 datos preparados'!E156</f>
        <v/>
      </c>
      <c r="G163" s="7">
        <f>'1 datos preparados'!F156</f>
        <v/>
      </c>
      <c r="H163" s="7">
        <f>'1 datos preparados'!G156</f>
        <v/>
      </c>
      <c r="I163" s="7">
        <f>'1 datos preparados'!H156</f>
        <v/>
      </c>
      <c r="J163" s="7">
        <f>'1 datos preparados'!I156</f>
        <v/>
      </c>
      <c r="K163" s="7">
        <f>'1 datos preparados'!J156</f>
        <v/>
      </c>
      <c r="L163" s="7">
        <f>'1 datos preparados'!K156</f>
        <v/>
      </c>
      <c r="M163" s="7">
        <f>'1 datos preparados'!L156</f>
        <v/>
      </c>
      <c r="N163" s="7">
        <f>'1 datos preparados'!M156</f>
        <v/>
      </c>
      <c r="O163" s="7">
        <f>'1 datos preparados'!N156</f>
        <v/>
      </c>
      <c r="P163" s="7">
        <f>'1 datos preparados'!O156</f>
        <v/>
      </c>
      <c r="Q163" s="7">
        <f>'1 datos preparados'!P156</f>
        <v/>
      </c>
      <c r="R163" s="7">
        <f>'1 datos preparados'!Q156</f>
        <v/>
      </c>
      <c r="S163" s="7">
        <f>'1 datos preparados'!R156</f>
        <v/>
      </c>
      <c r="T163" s="7">
        <f>'1 datos preparados'!S156</f>
        <v/>
      </c>
      <c r="U163" s="7">
        <f>'1 datos preparados'!T156</f>
        <v/>
      </c>
      <c r="V163" s="8">
        <f>$AC$12+D163*$AC$13+E163*$AC$14+F163*$AC$15+G163*$AC$16+H163*$AC$17+I163*$AC$18+J163*$AC$19+K163*$AC$20+L163*$AC$21+M163*$AC$22+N163*$AC$23+O163*$AC$24+P163*$AC$25+Q163*$AC$26+R163*$AC$27+S163*$AC$28+T163*$AC$29+U163*$AC$30</f>
        <v/>
      </c>
      <c r="W163" s="8">
        <f>1/(1+EXP(-V163))</f>
        <v/>
      </c>
      <c r="X163" s="9">
        <f>-IF(C163=1,LN(W163),LN(1-W163))</f>
        <v/>
      </c>
      <c r="Y163" s="10">
        <f>IF(W163&gt;$AC$34,1,0)</f>
        <v/>
      </c>
      <c r="Z163">
        <f>IF(Y163=C163,1,0)</f>
        <v/>
      </c>
    </row>
    <row r="164">
      <c r="A164">
        <f>'1 datos preparados'!A157</f>
        <v/>
      </c>
      <c r="B164" s="5">
        <f>'1 datos preparados'!U157</f>
        <v/>
      </c>
      <c r="C164">
        <f>'1 datos preparados'!B157</f>
        <v/>
      </c>
      <c r="D164" s="7">
        <f>'1 datos preparados'!C157</f>
        <v/>
      </c>
      <c r="E164" s="7">
        <f>'1 datos preparados'!D157</f>
        <v/>
      </c>
      <c r="F164" s="7">
        <f>'1 datos preparados'!E157</f>
        <v/>
      </c>
      <c r="G164" s="7">
        <f>'1 datos preparados'!F157</f>
        <v/>
      </c>
      <c r="H164" s="7">
        <f>'1 datos preparados'!G157</f>
        <v/>
      </c>
      <c r="I164" s="7">
        <f>'1 datos preparados'!H157</f>
        <v/>
      </c>
      <c r="J164" s="7">
        <f>'1 datos preparados'!I157</f>
        <v/>
      </c>
      <c r="K164" s="7">
        <f>'1 datos preparados'!J157</f>
        <v/>
      </c>
      <c r="L164" s="7">
        <f>'1 datos preparados'!K157</f>
        <v/>
      </c>
      <c r="M164" s="7">
        <f>'1 datos preparados'!L157</f>
        <v/>
      </c>
      <c r="N164" s="7">
        <f>'1 datos preparados'!M157</f>
        <v/>
      </c>
      <c r="O164" s="7">
        <f>'1 datos preparados'!N157</f>
        <v/>
      </c>
      <c r="P164" s="7">
        <f>'1 datos preparados'!O157</f>
        <v/>
      </c>
      <c r="Q164" s="7">
        <f>'1 datos preparados'!P157</f>
        <v/>
      </c>
      <c r="R164" s="7">
        <f>'1 datos preparados'!Q157</f>
        <v/>
      </c>
      <c r="S164" s="7">
        <f>'1 datos preparados'!R157</f>
        <v/>
      </c>
      <c r="T164" s="7">
        <f>'1 datos preparados'!S157</f>
        <v/>
      </c>
      <c r="U164" s="7">
        <f>'1 datos preparados'!T157</f>
        <v/>
      </c>
      <c r="V164" s="8">
        <f>$AC$12+D164*$AC$13+E164*$AC$14+F164*$AC$15+G164*$AC$16+H164*$AC$17+I164*$AC$18+J164*$AC$19+K164*$AC$20+L164*$AC$21+M164*$AC$22+N164*$AC$23+O164*$AC$24+P164*$AC$25+Q164*$AC$26+R164*$AC$27+S164*$AC$28+T164*$AC$29+U164*$AC$30</f>
        <v/>
      </c>
      <c r="W164" s="8">
        <f>1/(1+EXP(-V164))</f>
        <v/>
      </c>
      <c r="X164" s="9">
        <f>-IF(C164=1,LN(W164),LN(1-W164))</f>
        <v/>
      </c>
      <c r="Y164" s="10">
        <f>IF(W164&gt;$AC$34,1,0)</f>
        <v/>
      </c>
      <c r="Z164">
        <f>IF(Y164=C164,1,0)</f>
        <v/>
      </c>
    </row>
    <row r="165">
      <c r="A165">
        <f>'1 datos preparados'!A158</f>
        <v/>
      </c>
      <c r="B165" s="5">
        <f>'1 datos preparados'!U158</f>
        <v/>
      </c>
      <c r="C165">
        <f>'1 datos preparados'!B158</f>
        <v/>
      </c>
      <c r="D165" s="7">
        <f>'1 datos preparados'!C158</f>
        <v/>
      </c>
      <c r="E165" s="7">
        <f>'1 datos preparados'!D158</f>
        <v/>
      </c>
      <c r="F165" s="7">
        <f>'1 datos preparados'!E158</f>
        <v/>
      </c>
      <c r="G165" s="7">
        <f>'1 datos preparados'!F158</f>
        <v/>
      </c>
      <c r="H165" s="7">
        <f>'1 datos preparados'!G158</f>
        <v/>
      </c>
      <c r="I165" s="7">
        <f>'1 datos preparados'!H158</f>
        <v/>
      </c>
      <c r="J165" s="7">
        <f>'1 datos preparados'!I158</f>
        <v/>
      </c>
      <c r="K165" s="7">
        <f>'1 datos preparados'!J158</f>
        <v/>
      </c>
      <c r="L165" s="7">
        <f>'1 datos preparados'!K158</f>
        <v/>
      </c>
      <c r="M165" s="7">
        <f>'1 datos preparados'!L158</f>
        <v/>
      </c>
      <c r="N165" s="7">
        <f>'1 datos preparados'!M158</f>
        <v/>
      </c>
      <c r="O165" s="7">
        <f>'1 datos preparados'!N158</f>
        <v/>
      </c>
      <c r="P165" s="7">
        <f>'1 datos preparados'!O158</f>
        <v/>
      </c>
      <c r="Q165" s="7">
        <f>'1 datos preparados'!P158</f>
        <v/>
      </c>
      <c r="R165" s="7">
        <f>'1 datos preparados'!Q158</f>
        <v/>
      </c>
      <c r="S165" s="7">
        <f>'1 datos preparados'!R158</f>
        <v/>
      </c>
      <c r="T165" s="7">
        <f>'1 datos preparados'!S158</f>
        <v/>
      </c>
      <c r="U165" s="7">
        <f>'1 datos preparados'!T158</f>
        <v/>
      </c>
      <c r="V165" s="8">
        <f>$AC$12+D165*$AC$13+E165*$AC$14+F165*$AC$15+G165*$AC$16+H165*$AC$17+I165*$AC$18+J165*$AC$19+K165*$AC$20+L165*$AC$21+M165*$AC$22+N165*$AC$23+O165*$AC$24+P165*$AC$25+Q165*$AC$26+R165*$AC$27+S165*$AC$28+T165*$AC$29+U165*$AC$30</f>
        <v/>
      </c>
      <c r="W165" s="8">
        <f>1/(1+EXP(-V165))</f>
        <v/>
      </c>
      <c r="X165" s="9">
        <f>-IF(C165=1,LN(W165),LN(1-W165))</f>
        <v/>
      </c>
      <c r="Y165" s="10">
        <f>IF(W165&gt;$AC$34,1,0)</f>
        <v/>
      </c>
      <c r="Z165">
        <f>IF(Y165=C165,1,0)</f>
        <v/>
      </c>
    </row>
    <row r="166">
      <c r="A166">
        <f>'1 datos preparados'!A159</f>
        <v/>
      </c>
      <c r="B166" s="5">
        <f>'1 datos preparados'!U159</f>
        <v/>
      </c>
      <c r="C166">
        <f>'1 datos preparados'!B159</f>
        <v/>
      </c>
      <c r="D166" s="7">
        <f>'1 datos preparados'!C159</f>
        <v/>
      </c>
      <c r="E166" s="7">
        <f>'1 datos preparados'!D159</f>
        <v/>
      </c>
      <c r="F166" s="7">
        <f>'1 datos preparados'!E159</f>
        <v/>
      </c>
      <c r="G166" s="7">
        <f>'1 datos preparados'!F159</f>
        <v/>
      </c>
      <c r="H166" s="7">
        <f>'1 datos preparados'!G159</f>
        <v/>
      </c>
      <c r="I166" s="7">
        <f>'1 datos preparados'!H159</f>
        <v/>
      </c>
      <c r="J166" s="7">
        <f>'1 datos preparados'!I159</f>
        <v/>
      </c>
      <c r="K166" s="7">
        <f>'1 datos preparados'!J159</f>
        <v/>
      </c>
      <c r="L166" s="7">
        <f>'1 datos preparados'!K159</f>
        <v/>
      </c>
      <c r="M166" s="7">
        <f>'1 datos preparados'!L159</f>
        <v/>
      </c>
      <c r="N166" s="7">
        <f>'1 datos preparados'!M159</f>
        <v/>
      </c>
      <c r="O166" s="7">
        <f>'1 datos preparados'!N159</f>
        <v/>
      </c>
      <c r="P166" s="7">
        <f>'1 datos preparados'!O159</f>
        <v/>
      </c>
      <c r="Q166" s="7">
        <f>'1 datos preparados'!P159</f>
        <v/>
      </c>
      <c r="R166" s="7">
        <f>'1 datos preparados'!Q159</f>
        <v/>
      </c>
      <c r="S166" s="7">
        <f>'1 datos preparados'!R159</f>
        <v/>
      </c>
      <c r="T166" s="7">
        <f>'1 datos preparados'!S159</f>
        <v/>
      </c>
      <c r="U166" s="7">
        <f>'1 datos preparados'!T159</f>
        <v/>
      </c>
      <c r="V166" s="8">
        <f>$AC$12+D166*$AC$13+E166*$AC$14+F166*$AC$15+G166*$AC$16+H166*$AC$17+I166*$AC$18+J166*$AC$19+K166*$AC$20+L166*$AC$21+M166*$AC$22+N166*$AC$23+O166*$AC$24+P166*$AC$25+Q166*$AC$26+R166*$AC$27+S166*$AC$28+T166*$AC$29+U166*$AC$30</f>
        <v/>
      </c>
      <c r="W166" s="8">
        <f>1/(1+EXP(-V166))</f>
        <v/>
      </c>
      <c r="X166" s="9">
        <f>-IF(C166=1,LN(W166),LN(1-W166))</f>
        <v/>
      </c>
      <c r="Y166" s="10">
        <f>IF(W166&gt;$AC$34,1,0)</f>
        <v/>
      </c>
      <c r="Z166">
        <f>IF(Y166=C166,1,0)</f>
        <v/>
      </c>
    </row>
    <row r="167">
      <c r="A167">
        <f>'1 datos preparados'!A160</f>
        <v/>
      </c>
      <c r="B167" s="5">
        <f>'1 datos preparados'!U160</f>
        <v/>
      </c>
      <c r="C167">
        <f>'1 datos preparados'!B160</f>
        <v/>
      </c>
      <c r="D167" s="7">
        <f>'1 datos preparados'!C160</f>
        <v/>
      </c>
      <c r="E167" s="7">
        <f>'1 datos preparados'!D160</f>
        <v/>
      </c>
      <c r="F167" s="7">
        <f>'1 datos preparados'!E160</f>
        <v/>
      </c>
      <c r="G167" s="7">
        <f>'1 datos preparados'!F160</f>
        <v/>
      </c>
      <c r="H167" s="7">
        <f>'1 datos preparados'!G160</f>
        <v/>
      </c>
      <c r="I167" s="7">
        <f>'1 datos preparados'!H160</f>
        <v/>
      </c>
      <c r="J167" s="7">
        <f>'1 datos preparados'!I160</f>
        <v/>
      </c>
      <c r="K167" s="7">
        <f>'1 datos preparados'!J160</f>
        <v/>
      </c>
      <c r="L167" s="7">
        <f>'1 datos preparados'!K160</f>
        <v/>
      </c>
      <c r="M167" s="7">
        <f>'1 datos preparados'!L160</f>
        <v/>
      </c>
      <c r="N167" s="7">
        <f>'1 datos preparados'!M160</f>
        <v/>
      </c>
      <c r="O167" s="7">
        <f>'1 datos preparados'!N160</f>
        <v/>
      </c>
      <c r="P167" s="7">
        <f>'1 datos preparados'!O160</f>
        <v/>
      </c>
      <c r="Q167" s="7">
        <f>'1 datos preparados'!P160</f>
        <v/>
      </c>
      <c r="R167" s="7">
        <f>'1 datos preparados'!Q160</f>
        <v/>
      </c>
      <c r="S167" s="7">
        <f>'1 datos preparados'!R160</f>
        <v/>
      </c>
      <c r="T167" s="7">
        <f>'1 datos preparados'!S160</f>
        <v/>
      </c>
      <c r="U167" s="7">
        <f>'1 datos preparados'!T160</f>
        <v/>
      </c>
      <c r="V167" s="8">
        <f>$AC$12+D167*$AC$13+E167*$AC$14+F167*$AC$15+G167*$AC$16+H167*$AC$17+I167*$AC$18+J167*$AC$19+K167*$AC$20+L167*$AC$21+M167*$AC$22+N167*$AC$23+O167*$AC$24+P167*$AC$25+Q167*$AC$26+R167*$AC$27+S167*$AC$28+T167*$AC$29+U167*$AC$30</f>
        <v/>
      </c>
      <c r="W167" s="8">
        <f>1/(1+EXP(-V167))</f>
        <v/>
      </c>
      <c r="X167" s="9">
        <f>-IF(C167=1,LN(W167),LN(1-W167))</f>
        <v/>
      </c>
      <c r="Y167" s="10">
        <f>IF(W167&gt;$AC$34,1,0)</f>
        <v/>
      </c>
      <c r="Z167">
        <f>IF(Y167=C167,1,0)</f>
        <v/>
      </c>
    </row>
    <row r="168">
      <c r="A168">
        <f>'1 datos preparados'!A161</f>
        <v/>
      </c>
      <c r="B168" s="5">
        <f>'1 datos preparados'!U161</f>
        <v/>
      </c>
      <c r="C168">
        <f>'1 datos preparados'!B161</f>
        <v/>
      </c>
      <c r="D168" s="7">
        <f>'1 datos preparados'!C161</f>
        <v/>
      </c>
      <c r="E168" s="7">
        <f>'1 datos preparados'!D161</f>
        <v/>
      </c>
      <c r="F168" s="7">
        <f>'1 datos preparados'!E161</f>
        <v/>
      </c>
      <c r="G168" s="7">
        <f>'1 datos preparados'!F161</f>
        <v/>
      </c>
      <c r="H168" s="7">
        <f>'1 datos preparados'!G161</f>
        <v/>
      </c>
      <c r="I168" s="7">
        <f>'1 datos preparados'!H161</f>
        <v/>
      </c>
      <c r="J168" s="7">
        <f>'1 datos preparados'!I161</f>
        <v/>
      </c>
      <c r="K168" s="7">
        <f>'1 datos preparados'!J161</f>
        <v/>
      </c>
      <c r="L168" s="7">
        <f>'1 datos preparados'!K161</f>
        <v/>
      </c>
      <c r="M168" s="7">
        <f>'1 datos preparados'!L161</f>
        <v/>
      </c>
      <c r="N168" s="7">
        <f>'1 datos preparados'!M161</f>
        <v/>
      </c>
      <c r="O168" s="7">
        <f>'1 datos preparados'!N161</f>
        <v/>
      </c>
      <c r="P168" s="7">
        <f>'1 datos preparados'!O161</f>
        <v/>
      </c>
      <c r="Q168" s="7">
        <f>'1 datos preparados'!P161</f>
        <v/>
      </c>
      <c r="R168" s="7">
        <f>'1 datos preparados'!Q161</f>
        <v/>
      </c>
      <c r="S168" s="7">
        <f>'1 datos preparados'!R161</f>
        <v/>
      </c>
      <c r="T168" s="7">
        <f>'1 datos preparados'!S161</f>
        <v/>
      </c>
      <c r="U168" s="7">
        <f>'1 datos preparados'!T161</f>
        <v/>
      </c>
      <c r="V168" s="8">
        <f>$AC$12+D168*$AC$13+E168*$AC$14+F168*$AC$15+G168*$AC$16+H168*$AC$17+I168*$AC$18+J168*$AC$19+K168*$AC$20+L168*$AC$21+M168*$AC$22+N168*$AC$23+O168*$AC$24+P168*$AC$25+Q168*$AC$26+R168*$AC$27+S168*$AC$28+T168*$AC$29+U168*$AC$30</f>
        <v/>
      </c>
      <c r="W168" s="8">
        <f>1/(1+EXP(-V168))</f>
        <v/>
      </c>
      <c r="X168" s="9">
        <f>-IF(C168=1,LN(W168),LN(1-W168))</f>
        <v/>
      </c>
      <c r="Y168" s="10">
        <f>IF(W168&gt;$AC$34,1,0)</f>
        <v/>
      </c>
      <c r="Z168">
        <f>IF(Y168=C168,1,0)</f>
        <v/>
      </c>
    </row>
    <row r="169">
      <c r="A169">
        <f>'1 datos preparados'!A162</f>
        <v/>
      </c>
      <c r="B169" s="5">
        <f>'1 datos preparados'!U162</f>
        <v/>
      </c>
      <c r="C169">
        <f>'1 datos preparados'!B162</f>
        <v/>
      </c>
      <c r="D169" s="7">
        <f>'1 datos preparados'!C162</f>
        <v/>
      </c>
      <c r="E169" s="7">
        <f>'1 datos preparados'!D162</f>
        <v/>
      </c>
      <c r="F169" s="7">
        <f>'1 datos preparados'!E162</f>
        <v/>
      </c>
      <c r="G169" s="7">
        <f>'1 datos preparados'!F162</f>
        <v/>
      </c>
      <c r="H169" s="7">
        <f>'1 datos preparados'!G162</f>
        <v/>
      </c>
      <c r="I169" s="7">
        <f>'1 datos preparados'!H162</f>
        <v/>
      </c>
      <c r="J169" s="7">
        <f>'1 datos preparados'!I162</f>
        <v/>
      </c>
      <c r="K169" s="7">
        <f>'1 datos preparados'!J162</f>
        <v/>
      </c>
      <c r="L169" s="7">
        <f>'1 datos preparados'!K162</f>
        <v/>
      </c>
      <c r="M169" s="7">
        <f>'1 datos preparados'!L162</f>
        <v/>
      </c>
      <c r="N169" s="7">
        <f>'1 datos preparados'!M162</f>
        <v/>
      </c>
      <c r="O169" s="7">
        <f>'1 datos preparados'!N162</f>
        <v/>
      </c>
      <c r="P169" s="7">
        <f>'1 datos preparados'!O162</f>
        <v/>
      </c>
      <c r="Q169" s="7">
        <f>'1 datos preparados'!P162</f>
        <v/>
      </c>
      <c r="R169" s="7">
        <f>'1 datos preparados'!Q162</f>
        <v/>
      </c>
      <c r="S169" s="7">
        <f>'1 datos preparados'!R162</f>
        <v/>
      </c>
      <c r="T169" s="7">
        <f>'1 datos preparados'!S162</f>
        <v/>
      </c>
      <c r="U169" s="7">
        <f>'1 datos preparados'!T162</f>
        <v/>
      </c>
      <c r="V169" s="8">
        <f>$AC$12+D169*$AC$13+E169*$AC$14+F169*$AC$15+G169*$AC$16+H169*$AC$17+I169*$AC$18+J169*$AC$19+K169*$AC$20+L169*$AC$21+M169*$AC$22+N169*$AC$23+O169*$AC$24+P169*$AC$25+Q169*$AC$26+R169*$AC$27+S169*$AC$28+T169*$AC$29+U169*$AC$30</f>
        <v/>
      </c>
      <c r="W169" s="8">
        <f>1/(1+EXP(-V169))</f>
        <v/>
      </c>
      <c r="X169" s="9">
        <f>-IF(C169=1,LN(W169),LN(1-W169))</f>
        <v/>
      </c>
      <c r="Y169" s="10">
        <f>IF(W169&gt;$AC$34,1,0)</f>
        <v/>
      </c>
      <c r="Z169">
        <f>IF(Y169=C169,1,0)</f>
        <v/>
      </c>
    </row>
    <row r="170">
      <c r="A170">
        <f>'1 datos preparados'!A163</f>
        <v/>
      </c>
      <c r="B170" s="5">
        <f>'1 datos preparados'!U163</f>
        <v/>
      </c>
      <c r="C170">
        <f>'1 datos preparados'!B163</f>
        <v/>
      </c>
      <c r="D170" s="7">
        <f>'1 datos preparados'!C163</f>
        <v/>
      </c>
      <c r="E170" s="7">
        <f>'1 datos preparados'!D163</f>
        <v/>
      </c>
      <c r="F170" s="7">
        <f>'1 datos preparados'!E163</f>
        <v/>
      </c>
      <c r="G170" s="7">
        <f>'1 datos preparados'!F163</f>
        <v/>
      </c>
      <c r="H170" s="7">
        <f>'1 datos preparados'!G163</f>
        <v/>
      </c>
      <c r="I170" s="7">
        <f>'1 datos preparados'!H163</f>
        <v/>
      </c>
      <c r="J170" s="7">
        <f>'1 datos preparados'!I163</f>
        <v/>
      </c>
      <c r="K170" s="7">
        <f>'1 datos preparados'!J163</f>
        <v/>
      </c>
      <c r="L170" s="7">
        <f>'1 datos preparados'!K163</f>
        <v/>
      </c>
      <c r="M170" s="7">
        <f>'1 datos preparados'!L163</f>
        <v/>
      </c>
      <c r="N170" s="7">
        <f>'1 datos preparados'!M163</f>
        <v/>
      </c>
      <c r="O170" s="7">
        <f>'1 datos preparados'!N163</f>
        <v/>
      </c>
      <c r="P170" s="7">
        <f>'1 datos preparados'!O163</f>
        <v/>
      </c>
      <c r="Q170" s="7">
        <f>'1 datos preparados'!P163</f>
        <v/>
      </c>
      <c r="R170" s="7">
        <f>'1 datos preparados'!Q163</f>
        <v/>
      </c>
      <c r="S170" s="7">
        <f>'1 datos preparados'!R163</f>
        <v/>
      </c>
      <c r="T170" s="7">
        <f>'1 datos preparados'!S163</f>
        <v/>
      </c>
      <c r="U170" s="7">
        <f>'1 datos preparados'!T163</f>
        <v/>
      </c>
      <c r="V170" s="8">
        <f>$AC$12+D170*$AC$13+E170*$AC$14+F170*$AC$15+G170*$AC$16+H170*$AC$17+I170*$AC$18+J170*$AC$19+K170*$AC$20+L170*$AC$21+M170*$AC$22+N170*$AC$23+O170*$AC$24+P170*$AC$25+Q170*$AC$26+R170*$AC$27+S170*$AC$28+T170*$AC$29+U170*$AC$30</f>
        <v/>
      </c>
      <c r="W170" s="8">
        <f>1/(1+EXP(-V170))</f>
        <v/>
      </c>
      <c r="X170" s="9">
        <f>-IF(C170=1,LN(W170),LN(1-W170))</f>
        <v/>
      </c>
      <c r="Y170" s="10">
        <f>IF(W170&gt;$AC$34,1,0)</f>
        <v/>
      </c>
      <c r="Z170">
        <f>IF(Y170=C170,1,0)</f>
        <v/>
      </c>
    </row>
    <row r="171">
      <c r="A171">
        <f>'1 datos preparados'!A164</f>
        <v/>
      </c>
      <c r="B171" s="5">
        <f>'1 datos preparados'!U164</f>
        <v/>
      </c>
      <c r="C171">
        <f>'1 datos preparados'!B164</f>
        <v/>
      </c>
      <c r="D171" s="7">
        <f>'1 datos preparados'!C164</f>
        <v/>
      </c>
      <c r="E171" s="7">
        <f>'1 datos preparados'!D164</f>
        <v/>
      </c>
      <c r="F171" s="7">
        <f>'1 datos preparados'!E164</f>
        <v/>
      </c>
      <c r="G171" s="7">
        <f>'1 datos preparados'!F164</f>
        <v/>
      </c>
      <c r="H171" s="7">
        <f>'1 datos preparados'!G164</f>
        <v/>
      </c>
      <c r="I171" s="7">
        <f>'1 datos preparados'!H164</f>
        <v/>
      </c>
      <c r="J171" s="7">
        <f>'1 datos preparados'!I164</f>
        <v/>
      </c>
      <c r="K171" s="7">
        <f>'1 datos preparados'!J164</f>
        <v/>
      </c>
      <c r="L171" s="7">
        <f>'1 datos preparados'!K164</f>
        <v/>
      </c>
      <c r="M171" s="7">
        <f>'1 datos preparados'!L164</f>
        <v/>
      </c>
      <c r="N171" s="7">
        <f>'1 datos preparados'!M164</f>
        <v/>
      </c>
      <c r="O171" s="7">
        <f>'1 datos preparados'!N164</f>
        <v/>
      </c>
      <c r="P171" s="7">
        <f>'1 datos preparados'!O164</f>
        <v/>
      </c>
      <c r="Q171" s="7">
        <f>'1 datos preparados'!P164</f>
        <v/>
      </c>
      <c r="R171" s="7">
        <f>'1 datos preparados'!Q164</f>
        <v/>
      </c>
      <c r="S171" s="7">
        <f>'1 datos preparados'!R164</f>
        <v/>
      </c>
      <c r="T171" s="7">
        <f>'1 datos preparados'!S164</f>
        <v/>
      </c>
      <c r="U171" s="7">
        <f>'1 datos preparados'!T164</f>
        <v/>
      </c>
      <c r="V171" s="8">
        <f>$AC$12+D171*$AC$13+E171*$AC$14+F171*$AC$15+G171*$AC$16+H171*$AC$17+I171*$AC$18+J171*$AC$19+K171*$AC$20+L171*$AC$21+M171*$AC$22+N171*$AC$23+O171*$AC$24+P171*$AC$25+Q171*$AC$26+R171*$AC$27+S171*$AC$28+T171*$AC$29+U171*$AC$30</f>
        <v/>
      </c>
      <c r="W171" s="8">
        <f>1/(1+EXP(-V171))</f>
        <v/>
      </c>
      <c r="X171" s="9">
        <f>-IF(C171=1,LN(W171),LN(1-W171))</f>
        <v/>
      </c>
      <c r="Y171" s="10">
        <f>IF(W171&gt;$AC$34,1,0)</f>
        <v/>
      </c>
      <c r="Z171">
        <f>IF(Y171=C171,1,0)</f>
        <v/>
      </c>
    </row>
    <row r="172">
      <c r="A172">
        <f>'1 datos preparados'!A165</f>
        <v/>
      </c>
      <c r="B172" s="5">
        <f>'1 datos preparados'!U165</f>
        <v/>
      </c>
      <c r="C172">
        <f>'1 datos preparados'!B165</f>
        <v/>
      </c>
      <c r="D172" s="7">
        <f>'1 datos preparados'!C165</f>
        <v/>
      </c>
      <c r="E172" s="7">
        <f>'1 datos preparados'!D165</f>
        <v/>
      </c>
      <c r="F172" s="7">
        <f>'1 datos preparados'!E165</f>
        <v/>
      </c>
      <c r="G172" s="7">
        <f>'1 datos preparados'!F165</f>
        <v/>
      </c>
      <c r="H172" s="7">
        <f>'1 datos preparados'!G165</f>
        <v/>
      </c>
      <c r="I172" s="7">
        <f>'1 datos preparados'!H165</f>
        <v/>
      </c>
      <c r="J172" s="7">
        <f>'1 datos preparados'!I165</f>
        <v/>
      </c>
      <c r="K172" s="7">
        <f>'1 datos preparados'!J165</f>
        <v/>
      </c>
      <c r="L172" s="7">
        <f>'1 datos preparados'!K165</f>
        <v/>
      </c>
      <c r="M172" s="7">
        <f>'1 datos preparados'!L165</f>
        <v/>
      </c>
      <c r="N172" s="7">
        <f>'1 datos preparados'!M165</f>
        <v/>
      </c>
      <c r="O172" s="7">
        <f>'1 datos preparados'!N165</f>
        <v/>
      </c>
      <c r="P172" s="7">
        <f>'1 datos preparados'!O165</f>
        <v/>
      </c>
      <c r="Q172" s="7">
        <f>'1 datos preparados'!P165</f>
        <v/>
      </c>
      <c r="R172" s="7">
        <f>'1 datos preparados'!Q165</f>
        <v/>
      </c>
      <c r="S172" s="7">
        <f>'1 datos preparados'!R165</f>
        <v/>
      </c>
      <c r="T172" s="7">
        <f>'1 datos preparados'!S165</f>
        <v/>
      </c>
      <c r="U172" s="7">
        <f>'1 datos preparados'!T165</f>
        <v/>
      </c>
      <c r="V172" s="8">
        <f>$AC$12+D172*$AC$13+E172*$AC$14+F172*$AC$15+G172*$AC$16+H172*$AC$17+I172*$AC$18+J172*$AC$19+K172*$AC$20+L172*$AC$21+M172*$AC$22+N172*$AC$23+O172*$AC$24+P172*$AC$25+Q172*$AC$26+R172*$AC$27+S172*$AC$28+T172*$AC$29+U172*$AC$30</f>
        <v/>
      </c>
      <c r="W172" s="8">
        <f>1/(1+EXP(-V172))</f>
        <v/>
      </c>
      <c r="X172" s="9">
        <f>-IF(C172=1,LN(W172),LN(1-W172))</f>
        <v/>
      </c>
      <c r="Y172" s="10">
        <f>IF(W172&gt;$AC$34,1,0)</f>
        <v/>
      </c>
      <c r="Z172">
        <f>IF(Y172=C172,1,0)</f>
        <v/>
      </c>
    </row>
    <row r="173">
      <c r="A173">
        <f>'1 datos preparados'!A166</f>
        <v/>
      </c>
      <c r="B173" s="5">
        <f>'1 datos preparados'!U166</f>
        <v/>
      </c>
      <c r="C173">
        <f>'1 datos preparados'!B166</f>
        <v/>
      </c>
      <c r="D173" s="7">
        <f>'1 datos preparados'!C166</f>
        <v/>
      </c>
      <c r="E173" s="7">
        <f>'1 datos preparados'!D166</f>
        <v/>
      </c>
      <c r="F173" s="7">
        <f>'1 datos preparados'!E166</f>
        <v/>
      </c>
      <c r="G173" s="7">
        <f>'1 datos preparados'!F166</f>
        <v/>
      </c>
      <c r="H173" s="7">
        <f>'1 datos preparados'!G166</f>
        <v/>
      </c>
      <c r="I173" s="7">
        <f>'1 datos preparados'!H166</f>
        <v/>
      </c>
      <c r="J173" s="7">
        <f>'1 datos preparados'!I166</f>
        <v/>
      </c>
      <c r="K173" s="7">
        <f>'1 datos preparados'!J166</f>
        <v/>
      </c>
      <c r="L173" s="7">
        <f>'1 datos preparados'!K166</f>
        <v/>
      </c>
      <c r="M173" s="7">
        <f>'1 datos preparados'!L166</f>
        <v/>
      </c>
      <c r="N173" s="7">
        <f>'1 datos preparados'!M166</f>
        <v/>
      </c>
      <c r="O173" s="7">
        <f>'1 datos preparados'!N166</f>
        <v/>
      </c>
      <c r="P173" s="7">
        <f>'1 datos preparados'!O166</f>
        <v/>
      </c>
      <c r="Q173" s="7">
        <f>'1 datos preparados'!P166</f>
        <v/>
      </c>
      <c r="R173" s="7">
        <f>'1 datos preparados'!Q166</f>
        <v/>
      </c>
      <c r="S173" s="7">
        <f>'1 datos preparados'!R166</f>
        <v/>
      </c>
      <c r="T173" s="7">
        <f>'1 datos preparados'!S166</f>
        <v/>
      </c>
      <c r="U173" s="7">
        <f>'1 datos preparados'!T166</f>
        <v/>
      </c>
      <c r="V173" s="8">
        <f>$AC$12+D173*$AC$13+E173*$AC$14+F173*$AC$15+G173*$AC$16+H173*$AC$17+I173*$AC$18+J173*$AC$19+K173*$AC$20+L173*$AC$21+M173*$AC$22+N173*$AC$23+O173*$AC$24+P173*$AC$25+Q173*$AC$26+R173*$AC$27+S173*$AC$28+T173*$AC$29+U173*$AC$30</f>
        <v/>
      </c>
      <c r="W173" s="8">
        <f>1/(1+EXP(-V173))</f>
        <v/>
      </c>
      <c r="X173" s="9">
        <f>-IF(C173=1,LN(W173),LN(1-W173))</f>
        <v/>
      </c>
      <c r="Y173" s="10">
        <f>IF(W173&gt;$AC$34,1,0)</f>
        <v/>
      </c>
      <c r="Z173">
        <f>IF(Y173=C173,1,0)</f>
        <v/>
      </c>
    </row>
    <row r="174">
      <c r="A174">
        <f>'1 datos preparados'!A167</f>
        <v/>
      </c>
      <c r="B174" s="5">
        <f>'1 datos preparados'!U167</f>
        <v/>
      </c>
      <c r="C174">
        <f>'1 datos preparados'!B167</f>
        <v/>
      </c>
      <c r="D174" s="7">
        <f>'1 datos preparados'!C167</f>
        <v/>
      </c>
      <c r="E174" s="7">
        <f>'1 datos preparados'!D167</f>
        <v/>
      </c>
      <c r="F174" s="7">
        <f>'1 datos preparados'!E167</f>
        <v/>
      </c>
      <c r="G174" s="7">
        <f>'1 datos preparados'!F167</f>
        <v/>
      </c>
      <c r="H174" s="7">
        <f>'1 datos preparados'!G167</f>
        <v/>
      </c>
      <c r="I174" s="7">
        <f>'1 datos preparados'!H167</f>
        <v/>
      </c>
      <c r="J174" s="7">
        <f>'1 datos preparados'!I167</f>
        <v/>
      </c>
      <c r="K174" s="7">
        <f>'1 datos preparados'!J167</f>
        <v/>
      </c>
      <c r="L174" s="7">
        <f>'1 datos preparados'!K167</f>
        <v/>
      </c>
      <c r="M174" s="7">
        <f>'1 datos preparados'!L167</f>
        <v/>
      </c>
      <c r="N174" s="7">
        <f>'1 datos preparados'!M167</f>
        <v/>
      </c>
      <c r="O174" s="7">
        <f>'1 datos preparados'!N167</f>
        <v/>
      </c>
      <c r="P174" s="7">
        <f>'1 datos preparados'!O167</f>
        <v/>
      </c>
      <c r="Q174" s="7">
        <f>'1 datos preparados'!P167</f>
        <v/>
      </c>
      <c r="R174" s="7">
        <f>'1 datos preparados'!Q167</f>
        <v/>
      </c>
      <c r="S174" s="7">
        <f>'1 datos preparados'!R167</f>
        <v/>
      </c>
      <c r="T174" s="7">
        <f>'1 datos preparados'!S167</f>
        <v/>
      </c>
      <c r="U174" s="7">
        <f>'1 datos preparados'!T167</f>
        <v/>
      </c>
      <c r="V174" s="8">
        <f>$AC$12+D174*$AC$13+E174*$AC$14+F174*$AC$15+G174*$AC$16+H174*$AC$17+I174*$AC$18+J174*$AC$19+K174*$AC$20+L174*$AC$21+M174*$AC$22+N174*$AC$23+O174*$AC$24+P174*$AC$25+Q174*$AC$26+R174*$AC$27+S174*$AC$28+T174*$AC$29+U174*$AC$30</f>
        <v/>
      </c>
      <c r="W174" s="8">
        <f>1/(1+EXP(-V174))</f>
        <v/>
      </c>
      <c r="X174" s="9">
        <f>-IF(C174=1,LN(W174),LN(1-W174))</f>
        <v/>
      </c>
      <c r="Y174" s="10">
        <f>IF(W174&gt;$AC$34,1,0)</f>
        <v/>
      </c>
      <c r="Z174">
        <f>IF(Y174=C174,1,0)</f>
        <v/>
      </c>
    </row>
    <row r="175">
      <c r="A175">
        <f>'1 datos preparados'!A168</f>
        <v/>
      </c>
      <c r="B175" s="5">
        <f>'1 datos preparados'!U168</f>
        <v/>
      </c>
      <c r="C175">
        <f>'1 datos preparados'!B168</f>
        <v/>
      </c>
      <c r="D175" s="7">
        <f>'1 datos preparados'!C168</f>
        <v/>
      </c>
      <c r="E175" s="7">
        <f>'1 datos preparados'!D168</f>
        <v/>
      </c>
      <c r="F175" s="7">
        <f>'1 datos preparados'!E168</f>
        <v/>
      </c>
      <c r="G175" s="7">
        <f>'1 datos preparados'!F168</f>
        <v/>
      </c>
      <c r="H175" s="7">
        <f>'1 datos preparados'!G168</f>
        <v/>
      </c>
      <c r="I175" s="7">
        <f>'1 datos preparados'!H168</f>
        <v/>
      </c>
      <c r="J175" s="7">
        <f>'1 datos preparados'!I168</f>
        <v/>
      </c>
      <c r="K175" s="7">
        <f>'1 datos preparados'!J168</f>
        <v/>
      </c>
      <c r="L175" s="7">
        <f>'1 datos preparados'!K168</f>
        <v/>
      </c>
      <c r="M175" s="7">
        <f>'1 datos preparados'!L168</f>
        <v/>
      </c>
      <c r="N175" s="7">
        <f>'1 datos preparados'!M168</f>
        <v/>
      </c>
      <c r="O175" s="7">
        <f>'1 datos preparados'!N168</f>
        <v/>
      </c>
      <c r="P175" s="7">
        <f>'1 datos preparados'!O168</f>
        <v/>
      </c>
      <c r="Q175" s="7">
        <f>'1 datos preparados'!P168</f>
        <v/>
      </c>
      <c r="R175" s="7">
        <f>'1 datos preparados'!Q168</f>
        <v/>
      </c>
      <c r="S175" s="7">
        <f>'1 datos preparados'!R168</f>
        <v/>
      </c>
      <c r="T175" s="7">
        <f>'1 datos preparados'!S168</f>
        <v/>
      </c>
      <c r="U175" s="7">
        <f>'1 datos preparados'!T168</f>
        <v/>
      </c>
      <c r="V175" s="8">
        <f>$AC$12+D175*$AC$13+E175*$AC$14+F175*$AC$15+G175*$AC$16+H175*$AC$17+I175*$AC$18+J175*$AC$19+K175*$AC$20+L175*$AC$21+M175*$AC$22+N175*$AC$23+O175*$AC$24+P175*$AC$25+Q175*$AC$26+R175*$AC$27+S175*$AC$28+T175*$AC$29+U175*$AC$30</f>
        <v/>
      </c>
      <c r="W175" s="8">
        <f>1/(1+EXP(-V175))</f>
        <v/>
      </c>
      <c r="X175" s="9">
        <f>-IF(C175=1,LN(W175),LN(1-W175))</f>
        <v/>
      </c>
      <c r="Y175" s="10">
        <f>IF(W175&gt;$AC$34,1,0)</f>
        <v/>
      </c>
      <c r="Z175">
        <f>IF(Y175=C175,1,0)</f>
        <v/>
      </c>
    </row>
    <row r="176">
      <c r="A176">
        <f>'1 datos preparados'!A169</f>
        <v/>
      </c>
      <c r="B176" s="5">
        <f>'1 datos preparados'!U169</f>
        <v/>
      </c>
      <c r="C176">
        <f>'1 datos preparados'!B169</f>
        <v/>
      </c>
      <c r="D176" s="7">
        <f>'1 datos preparados'!C169</f>
        <v/>
      </c>
      <c r="E176" s="7">
        <f>'1 datos preparados'!D169</f>
        <v/>
      </c>
      <c r="F176" s="7">
        <f>'1 datos preparados'!E169</f>
        <v/>
      </c>
      <c r="G176" s="7">
        <f>'1 datos preparados'!F169</f>
        <v/>
      </c>
      <c r="H176" s="7">
        <f>'1 datos preparados'!G169</f>
        <v/>
      </c>
      <c r="I176" s="7">
        <f>'1 datos preparados'!H169</f>
        <v/>
      </c>
      <c r="J176" s="7">
        <f>'1 datos preparados'!I169</f>
        <v/>
      </c>
      <c r="K176" s="7">
        <f>'1 datos preparados'!J169</f>
        <v/>
      </c>
      <c r="L176" s="7">
        <f>'1 datos preparados'!K169</f>
        <v/>
      </c>
      <c r="M176" s="7">
        <f>'1 datos preparados'!L169</f>
        <v/>
      </c>
      <c r="N176" s="7">
        <f>'1 datos preparados'!M169</f>
        <v/>
      </c>
      <c r="O176" s="7">
        <f>'1 datos preparados'!N169</f>
        <v/>
      </c>
      <c r="P176" s="7">
        <f>'1 datos preparados'!O169</f>
        <v/>
      </c>
      <c r="Q176" s="7">
        <f>'1 datos preparados'!P169</f>
        <v/>
      </c>
      <c r="R176" s="7">
        <f>'1 datos preparados'!Q169</f>
        <v/>
      </c>
      <c r="S176" s="7">
        <f>'1 datos preparados'!R169</f>
        <v/>
      </c>
      <c r="T176" s="7">
        <f>'1 datos preparados'!S169</f>
        <v/>
      </c>
      <c r="U176" s="7">
        <f>'1 datos preparados'!T169</f>
        <v/>
      </c>
      <c r="V176" s="8">
        <f>$AC$12+D176*$AC$13+E176*$AC$14+F176*$AC$15+G176*$AC$16+H176*$AC$17+I176*$AC$18+J176*$AC$19+K176*$AC$20+L176*$AC$21+M176*$AC$22+N176*$AC$23+O176*$AC$24+P176*$AC$25+Q176*$AC$26+R176*$AC$27+S176*$AC$28+T176*$AC$29+U176*$AC$30</f>
        <v/>
      </c>
      <c r="W176" s="8">
        <f>1/(1+EXP(-V176))</f>
        <v/>
      </c>
      <c r="X176" s="9">
        <f>-IF(C176=1,LN(W176),LN(1-W176))</f>
        <v/>
      </c>
      <c r="Y176" s="10">
        <f>IF(W176&gt;$AC$34,1,0)</f>
        <v/>
      </c>
      <c r="Z176">
        <f>IF(Y176=C176,1,0)</f>
        <v/>
      </c>
    </row>
    <row r="177">
      <c r="A177">
        <f>'1 datos preparados'!A170</f>
        <v/>
      </c>
      <c r="B177" s="5">
        <f>'1 datos preparados'!U170</f>
        <v/>
      </c>
      <c r="C177">
        <f>'1 datos preparados'!B170</f>
        <v/>
      </c>
      <c r="D177" s="7">
        <f>'1 datos preparados'!C170</f>
        <v/>
      </c>
      <c r="E177" s="7">
        <f>'1 datos preparados'!D170</f>
        <v/>
      </c>
      <c r="F177" s="7">
        <f>'1 datos preparados'!E170</f>
        <v/>
      </c>
      <c r="G177" s="7">
        <f>'1 datos preparados'!F170</f>
        <v/>
      </c>
      <c r="H177" s="7">
        <f>'1 datos preparados'!G170</f>
        <v/>
      </c>
      <c r="I177" s="7">
        <f>'1 datos preparados'!H170</f>
        <v/>
      </c>
      <c r="J177" s="7">
        <f>'1 datos preparados'!I170</f>
        <v/>
      </c>
      <c r="K177" s="7">
        <f>'1 datos preparados'!J170</f>
        <v/>
      </c>
      <c r="L177" s="7">
        <f>'1 datos preparados'!K170</f>
        <v/>
      </c>
      <c r="M177" s="7">
        <f>'1 datos preparados'!L170</f>
        <v/>
      </c>
      <c r="N177" s="7">
        <f>'1 datos preparados'!M170</f>
        <v/>
      </c>
      <c r="O177" s="7">
        <f>'1 datos preparados'!N170</f>
        <v/>
      </c>
      <c r="P177" s="7">
        <f>'1 datos preparados'!O170</f>
        <v/>
      </c>
      <c r="Q177" s="7">
        <f>'1 datos preparados'!P170</f>
        <v/>
      </c>
      <c r="R177" s="7">
        <f>'1 datos preparados'!Q170</f>
        <v/>
      </c>
      <c r="S177" s="7">
        <f>'1 datos preparados'!R170</f>
        <v/>
      </c>
      <c r="T177" s="7">
        <f>'1 datos preparados'!S170</f>
        <v/>
      </c>
      <c r="U177" s="7">
        <f>'1 datos preparados'!T170</f>
        <v/>
      </c>
      <c r="V177" s="8">
        <f>$AC$12+D177*$AC$13+E177*$AC$14+F177*$AC$15+G177*$AC$16+H177*$AC$17+I177*$AC$18+J177*$AC$19+K177*$AC$20+L177*$AC$21+M177*$AC$22+N177*$AC$23+O177*$AC$24+P177*$AC$25+Q177*$AC$26+R177*$AC$27+S177*$AC$28+T177*$AC$29+U177*$AC$30</f>
        <v/>
      </c>
      <c r="W177" s="8">
        <f>1/(1+EXP(-V177))</f>
        <v/>
      </c>
      <c r="X177" s="9">
        <f>-IF(C177=1,LN(W177),LN(1-W177))</f>
        <v/>
      </c>
      <c r="Y177" s="10">
        <f>IF(W177&gt;$AC$34,1,0)</f>
        <v/>
      </c>
      <c r="Z177">
        <f>IF(Y177=C177,1,0)</f>
        <v/>
      </c>
    </row>
    <row r="178">
      <c r="A178">
        <f>'1 datos preparados'!A171</f>
        <v/>
      </c>
      <c r="B178" s="5">
        <f>'1 datos preparados'!U171</f>
        <v/>
      </c>
      <c r="C178">
        <f>'1 datos preparados'!B171</f>
        <v/>
      </c>
      <c r="D178" s="7">
        <f>'1 datos preparados'!C171</f>
        <v/>
      </c>
      <c r="E178" s="7">
        <f>'1 datos preparados'!D171</f>
        <v/>
      </c>
      <c r="F178" s="7">
        <f>'1 datos preparados'!E171</f>
        <v/>
      </c>
      <c r="G178" s="7">
        <f>'1 datos preparados'!F171</f>
        <v/>
      </c>
      <c r="H178" s="7">
        <f>'1 datos preparados'!G171</f>
        <v/>
      </c>
      <c r="I178" s="7">
        <f>'1 datos preparados'!H171</f>
        <v/>
      </c>
      <c r="J178" s="7">
        <f>'1 datos preparados'!I171</f>
        <v/>
      </c>
      <c r="K178" s="7">
        <f>'1 datos preparados'!J171</f>
        <v/>
      </c>
      <c r="L178" s="7">
        <f>'1 datos preparados'!K171</f>
        <v/>
      </c>
      <c r="M178" s="7">
        <f>'1 datos preparados'!L171</f>
        <v/>
      </c>
      <c r="N178" s="7">
        <f>'1 datos preparados'!M171</f>
        <v/>
      </c>
      <c r="O178" s="7">
        <f>'1 datos preparados'!N171</f>
        <v/>
      </c>
      <c r="P178" s="7">
        <f>'1 datos preparados'!O171</f>
        <v/>
      </c>
      <c r="Q178" s="7">
        <f>'1 datos preparados'!P171</f>
        <v/>
      </c>
      <c r="R178" s="7">
        <f>'1 datos preparados'!Q171</f>
        <v/>
      </c>
      <c r="S178" s="7">
        <f>'1 datos preparados'!R171</f>
        <v/>
      </c>
      <c r="T178" s="7">
        <f>'1 datos preparados'!S171</f>
        <v/>
      </c>
      <c r="U178" s="7">
        <f>'1 datos preparados'!T171</f>
        <v/>
      </c>
      <c r="V178" s="8">
        <f>$AC$12+D178*$AC$13+E178*$AC$14+F178*$AC$15+G178*$AC$16+H178*$AC$17+I178*$AC$18+J178*$AC$19+K178*$AC$20+L178*$AC$21+M178*$AC$22+N178*$AC$23+O178*$AC$24+P178*$AC$25+Q178*$AC$26+R178*$AC$27+S178*$AC$28+T178*$AC$29+U178*$AC$30</f>
        <v/>
      </c>
      <c r="W178" s="8">
        <f>1/(1+EXP(-V178))</f>
        <v/>
      </c>
      <c r="X178" s="9">
        <f>-IF(C178=1,LN(W178),LN(1-W178))</f>
        <v/>
      </c>
      <c r="Y178" s="10">
        <f>IF(W178&gt;$AC$34,1,0)</f>
        <v/>
      </c>
      <c r="Z178">
        <f>IF(Y178=C178,1,0)</f>
        <v/>
      </c>
    </row>
    <row r="179">
      <c r="A179">
        <f>'1 datos preparados'!A172</f>
        <v/>
      </c>
      <c r="B179" s="5">
        <f>'1 datos preparados'!U172</f>
        <v/>
      </c>
      <c r="C179">
        <f>'1 datos preparados'!B172</f>
        <v/>
      </c>
      <c r="D179" s="7">
        <f>'1 datos preparados'!C172</f>
        <v/>
      </c>
      <c r="E179" s="7">
        <f>'1 datos preparados'!D172</f>
        <v/>
      </c>
      <c r="F179" s="7">
        <f>'1 datos preparados'!E172</f>
        <v/>
      </c>
      <c r="G179" s="7">
        <f>'1 datos preparados'!F172</f>
        <v/>
      </c>
      <c r="H179" s="7">
        <f>'1 datos preparados'!G172</f>
        <v/>
      </c>
      <c r="I179" s="7">
        <f>'1 datos preparados'!H172</f>
        <v/>
      </c>
      <c r="J179" s="7">
        <f>'1 datos preparados'!I172</f>
        <v/>
      </c>
      <c r="K179" s="7">
        <f>'1 datos preparados'!J172</f>
        <v/>
      </c>
      <c r="L179" s="7">
        <f>'1 datos preparados'!K172</f>
        <v/>
      </c>
      <c r="M179" s="7">
        <f>'1 datos preparados'!L172</f>
        <v/>
      </c>
      <c r="N179" s="7">
        <f>'1 datos preparados'!M172</f>
        <v/>
      </c>
      <c r="O179" s="7">
        <f>'1 datos preparados'!N172</f>
        <v/>
      </c>
      <c r="P179" s="7">
        <f>'1 datos preparados'!O172</f>
        <v/>
      </c>
      <c r="Q179" s="7">
        <f>'1 datos preparados'!P172</f>
        <v/>
      </c>
      <c r="R179" s="7">
        <f>'1 datos preparados'!Q172</f>
        <v/>
      </c>
      <c r="S179" s="7">
        <f>'1 datos preparados'!R172</f>
        <v/>
      </c>
      <c r="T179" s="7">
        <f>'1 datos preparados'!S172</f>
        <v/>
      </c>
      <c r="U179" s="7">
        <f>'1 datos preparados'!T172</f>
        <v/>
      </c>
      <c r="V179" s="8">
        <f>$AC$12+D179*$AC$13+E179*$AC$14+F179*$AC$15+G179*$AC$16+H179*$AC$17+I179*$AC$18+J179*$AC$19+K179*$AC$20+L179*$AC$21+M179*$AC$22+N179*$AC$23+O179*$AC$24+P179*$AC$25+Q179*$AC$26+R179*$AC$27+S179*$AC$28+T179*$AC$29+U179*$AC$30</f>
        <v/>
      </c>
      <c r="W179" s="8">
        <f>1/(1+EXP(-V179))</f>
        <v/>
      </c>
      <c r="X179" s="9">
        <f>-IF(C179=1,LN(W179),LN(1-W179))</f>
        <v/>
      </c>
      <c r="Y179" s="10">
        <f>IF(W179&gt;$AC$34,1,0)</f>
        <v/>
      </c>
      <c r="Z179">
        <f>IF(Y179=C179,1,0)</f>
        <v/>
      </c>
    </row>
    <row r="180">
      <c r="A180">
        <f>'1 datos preparados'!A173</f>
        <v/>
      </c>
      <c r="B180" s="5">
        <f>'1 datos preparados'!U173</f>
        <v/>
      </c>
      <c r="C180">
        <f>'1 datos preparados'!B173</f>
        <v/>
      </c>
      <c r="D180" s="7">
        <f>'1 datos preparados'!C173</f>
        <v/>
      </c>
      <c r="E180" s="7">
        <f>'1 datos preparados'!D173</f>
        <v/>
      </c>
      <c r="F180" s="7">
        <f>'1 datos preparados'!E173</f>
        <v/>
      </c>
      <c r="G180" s="7">
        <f>'1 datos preparados'!F173</f>
        <v/>
      </c>
      <c r="H180" s="7">
        <f>'1 datos preparados'!G173</f>
        <v/>
      </c>
      <c r="I180" s="7">
        <f>'1 datos preparados'!H173</f>
        <v/>
      </c>
      <c r="J180" s="7">
        <f>'1 datos preparados'!I173</f>
        <v/>
      </c>
      <c r="K180" s="7">
        <f>'1 datos preparados'!J173</f>
        <v/>
      </c>
      <c r="L180" s="7">
        <f>'1 datos preparados'!K173</f>
        <v/>
      </c>
      <c r="M180" s="7">
        <f>'1 datos preparados'!L173</f>
        <v/>
      </c>
      <c r="N180" s="7">
        <f>'1 datos preparados'!M173</f>
        <v/>
      </c>
      <c r="O180" s="7">
        <f>'1 datos preparados'!N173</f>
        <v/>
      </c>
      <c r="P180" s="7">
        <f>'1 datos preparados'!O173</f>
        <v/>
      </c>
      <c r="Q180" s="7">
        <f>'1 datos preparados'!P173</f>
        <v/>
      </c>
      <c r="R180" s="7">
        <f>'1 datos preparados'!Q173</f>
        <v/>
      </c>
      <c r="S180" s="7">
        <f>'1 datos preparados'!R173</f>
        <v/>
      </c>
      <c r="T180" s="7">
        <f>'1 datos preparados'!S173</f>
        <v/>
      </c>
      <c r="U180" s="7">
        <f>'1 datos preparados'!T173</f>
        <v/>
      </c>
      <c r="V180" s="8">
        <f>$AC$12+D180*$AC$13+E180*$AC$14+F180*$AC$15+G180*$AC$16+H180*$AC$17+I180*$AC$18+J180*$AC$19+K180*$AC$20+L180*$AC$21+M180*$AC$22+N180*$AC$23+O180*$AC$24+P180*$AC$25+Q180*$AC$26+R180*$AC$27+S180*$AC$28+T180*$AC$29+U180*$AC$30</f>
        <v/>
      </c>
      <c r="W180" s="8">
        <f>1/(1+EXP(-V180))</f>
        <v/>
      </c>
      <c r="X180" s="9">
        <f>-IF(C180=1,LN(W180),LN(1-W180))</f>
        <v/>
      </c>
      <c r="Y180" s="10">
        <f>IF(W180&gt;$AC$34,1,0)</f>
        <v/>
      </c>
      <c r="Z180">
        <f>IF(Y180=C180,1,0)</f>
        <v/>
      </c>
    </row>
    <row r="181">
      <c r="A181">
        <f>'1 datos preparados'!A174</f>
        <v/>
      </c>
      <c r="B181" s="5">
        <f>'1 datos preparados'!U174</f>
        <v/>
      </c>
      <c r="C181">
        <f>'1 datos preparados'!B174</f>
        <v/>
      </c>
      <c r="D181" s="7">
        <f>'1 datos preparados'!C174</f>
        <v/>
      </c>
      <c r="E181" s="7">
        <f>'1 datos preparados'!D174</f>
        <v/>
      </c>
      <c r="F181" s="7">
        <f>'1 datos preparados'!E174</f>
        <v/>
      </c>
      <c r="G181" s="7">
        <f>'1 datos preparados'!F174</f>
        <v/>
      </c>
      <c r="H181" s="7">
        <f>'1 datos preparados'!G174</f>
        <v/>
      </c>
      <c r="I181" s="7">
        <f>'1 datos preparados'!H174</f>
        <v/>
      </c>
      <c r="J181" s="7">
        <f>'1 datos preparados'!I174</f>
        <v/>
      </c>
      <c r="K181" s="7">
        <f>'1 datos preparados'!J174</f>
        <v/>
      </c>
      <c r="L181" s="7">
        <f>'1 datos preparados'!K174</f>
        <v/>
      </c>
      <c r="M181" s="7">
        <f>'1 datos preparados'!L174</f>
        <v/>
      </c>
      <c r="N181" s="7">
        <f>'1 datos preparados'!M174</f>
        <v/>
      </c>
      <c r="O181" s="7">
        <f>'1 datos preparados'!N174</f>
        <v/>
      </c>
      <c r="P181" s="7">
        <f>'1 datos preparados'!O174</f>
        <v/>
      </c>
      <c r="Q181" s="7">
        <f>'1 datos preparados'!P174</f>
        <v/>
      </c>
      <c r="R181" s="7">
        <f>'1 datos preparados'!Q174</f>
        <v/>
      </c>
      <c r="S181" s="7">
        <f>'1 datos preparados'!R174</f>
        <v/>
      </c>
      <c r="T181" s="7">
        <f>'1 datos preparados'!S174</f>
        <v/>
      </c>
      <c r="U181" s="7">
        <f>'1 datos preparados'!T174</f>
        <v/>
      </c>
      <c r="V181" s="8">
        <f>$AC$12+D181*$AC$13+E181*$AC$14+F181*$AC$15+G181*$AC$16+H181*$AC$17+I181*$AC$18+J181*$AC$19+K181*$AC$20+L181*$AC$21+M181*$AC$22+N181*$AC$23+O181*$AC$24+P181*$AC$25+Q181*$AC$26+R181*$AC$27+S181*$AC$28+T181*$AC$29+U181*$AC$30</f>
        <v/>
      </c>
      <c r="W181" s="8">
        <f>1/(1+EXP(-V181))</f>
        <v/>
      </c>
      <c r="X181" s="9">
        <f>-IF(C181=1,LN(W181),LN(1-W181))</f>
        <v/>
      </c>
      <c r="Y181" s="10">
        <f>IF(W181&gt;$AC$34,1,0)</f>
        <v/>
      </c>
      <c r="Z181">
        <f>IF(Y181=C181,1,0)</f>
        <v/>
      </c>
    </row>
    <row r="182">
      <c r="A182">
        <f>'1 datos preparados'!A175</f>
        <v/>
      </c>
      <c r="B182" s="5">
        <f>'1 datos preparados'!U175</f>
        <v/>
      </c>
      <c r="C182">
        <f>'1 datos preparados'!B175</f>
        <v/>
      </c>
      <c r="D182" s="7">
        <f>'1 datos preparados'!C175</f>
        <v/>
      </c>
      <c r="E182" s="7">
        <f>'1 datos preparados'!D175</f>
        <v/>
      </c>
      <c r="F182" s="7">
        <f>'1 datos preparados'!E175</f>
        <v/>
      </c>
      <c r="G182" s="7">
        <f>'1 datos preparados'!F175</f>
        <v/>
      </c>
      <c r="H182" s="7">
        <f>'1 datos preparados'!G175</f>
        <v/>
      </c>
      <c r="I182" s="7">
        <f>'1 datos preparados'!H175</f>
        <v/>
      </c>
      <c r="J182" s="7">
        <f>'1 datos preparados'!I175</f>
        <v/>
      </c>
      <c r="K182" s="7">
        <f>'1 datos preparados'!J175</f>
        <v/>
      </c>
      <c r="L182" s="7">
        <f>'1 datos preparados'!K175</f>
        <v/>
      </c>
      <c r="M182" s="7">
        <f>'1 datos preparados'!L175</f>
        <v/>
      </c>
      <c r="N182" s="7">
        <f>'1 datos preparados'!M175</f>
        <v/>
      </c>
      <c r="O182" s="7">
        <f>'1 datos preparados'!N175</f>
        <v/>
      </c>
      <c r="P182" s="7">
        <f>'1 datos preparados'!O175</f>
        <v/>
      </c>
      <c r="Q182" s="7">
        <f>'1 datos preparados'!P175</f>
        <v/>
      </c>
      <c r="R182" s="7">
        <f>'1 datos preparados'!Q175</f>
        <v/>
      </c>
      <c r="S182" s="7">
        <f>'1 datos preparados'!R175</f>
        <v/>
      </c>
      <c r="T182" s="7">
        <f>'1 datos preparados'!S175</f>
        <v/>
      </c>
      <c r="U182" s="7">
        <f>'1 datos preparados'!T175</f>
        <v/>
      </c>
      <c r="V182" s="8">
        <f>$AC$12+D182*$AC$13+E182*$AC$14+F182*$AC$15+G182*$AC$16+H182*$AC$17+I182*$AC$18+J182*$AC$19+K182*$AC$20+L182*$AC$21+M182*$AC$22+N182*$AC$23+O182*$AC$24+P182*$AC$25+Q182*$AC$26+R182*$AC$27+S182*$AC$28+T182*$AC$29+U182*$AC$30</f>
        <v/>
      </c>
      <c r="W182" s="8">
        <f>1/(1+EXP(-V182))</f>
        <v/>
      </c>
      <c r="X182" s="9">
        <f>-IF(C182=1,LN(W182),LN(1-W182))</f>
        <v/>
      </c>
      <c r="Y182" s="10">
        <f>IF(W182&gt;$AC$34,1,0)</f>
        <v/>
      </c>
      <c r="Z182">
        <f>IF(Y182=C182,1,0)</f>
        <v/>
      </c>
    </row>
    <row r="183">
      <c r="A183">
        <f>'1 datos preparados'!A176</f>
        <v/>
      </c>
      <c r="B183" s="5">
        <f>'1 datos preparados'!U176</f>
        <v/>
      </c>
      <c r="C183">
        <f>'1 datos preparados'!B176</f>
        <v/>
      </c>
      <c r="D183" s="7">
        <f>'1 datos preparados'!C176</f>
        <v/>
      </c>
      <c r="E183" s="7">
        <f>'1 datos preparados'!D176</f>
        <v/>
      </c>
      <c r="F183" s="7">
        <f>'1 datos preparados'!E176</f>
        <v/>
      </c>
      <c r="G183" s="7">
        <f>'1 datos preparados'!F176</f>
        <v/>
      </c>
      <c r="H183" s="7">
        <f>'1 datos preparados'!G176</f>
        <v/>
      </c>
      <c r="I183" s="7">
        <f>'1 datos preparados'!H176</f>
        <v/>
      </c>
      <c r="J183" s="7">
        <f>'1 datos preparados'!I176</f>
        <v/>
      </c>
      <c r="K183" s="7">
        <f>'1 datos preparados'!J176</f>
        <v/>
      </c>
      <c r="L183" s="7">
        <f>'1 datos preparados'!K176</f>
        <v/>
      </c>
      <c r="M183" s="7">
        <f>'1 datos preparados'!L176</f>
        <v/>
      </c>
      <c r="N183" s="7">
        <f>'1 datos preparados'!M176</f>
        <v/>
      </c>
      <c r="O183" s="7">
        <f>'1 datos preparados'!N176</f>
        <v/>
      </c>
      <c r="P183" s="7">
        <f>'1 datos preparados'!O176</f>
        <v/>
      </c>
      <c r="Q183" s="7">
        <f>'1 datos preparados'!P176</f>
        <v/>
      </c>
      <c r="R183" s="7">
        <f>'1 datos preparados'!Q176</f>
        <v/>
      </c>
      <c r="S183" s="7">
        <f>'1 datos preparados'!R176</f>
        <v/>
      </c>
      <c r="T183" s="7">
        <f>'1 datos preparados'!S176</f>
        <v/>
      </c>
      <c r="U183" s="7">
        <f>'1 datos preparados'!T176</f>
        <v/>
      </c>
      <c r="V183" s="8">
        <f>$AC$12+D183*$AC$13+E183*$AC$14+F183*$AC$15+G183*$AC$16+H183*$AC$17+I183*$AC$18+J183*$AC$19+K183*$AC$20+L183*$AC$21+M183*$AC$22+N183*$AC$23+O183*$AC$24+P183*$AC$25+Q183*$AC$26+R183*$AC$27+S183*$AC$28+T183*$AC$29+U183*$AC$30</f>
        <v/>
      </c>
      <c r="W183" s="8">
        <f>1/(1+EXP(-V183))</f>
        <v/>
      </c>
      <c r="X183" s="9">
        <f>-IF(C183=1,LN(W183),LN(1-W183))</f>
        <v/>
      </c>
      <c r="Y183" s="10">
        <f>IF(W183&gt;$AC$34,1,0)</f>
        <v/>
      </c>
      <c r="Z183">
        <f>IF(Y183=C183,1,0)</f>
        <v/>
      </c>
    </row>
    <row r="184">
      <c r="A184">
        <f>'1 datos preparados'!A177</f>
        <v/>
      </c>
      <c r="B184" s="5">
        <f>'1 datos preparados'!U177</f>
        <v/>
      </c>
      <c r="C184">
        <f>'1 datos preparados'!B177</f>
        <v/>
      </c>
      <c r="D184" s="7">
        <f>'1 datos preparados'!C177</f>
        <v/>
      </c>
      <c r="E184" s="7">
        <f>'1 datos preparados'!D177</f>
        <v/>
      </c>
      <c r="F184" s="7">
        <f>'1 datos preparados'!E177</f>
        <v/>
      </c>
      <c r="G184" s="7">
        <f>'1 datos preparados'!F177</f>
        <v/>
      </c>
      <c r="H184" s="7">
        <f>'1 datos preparados'!G177</f>
        <v/>
      </c>
      <c r="I184" s="7">
        <f>'1 datos preparados'!H177</f>
        <v/>
      </c>
      <c r="J184" s="7">
        <f>'1 datos preparados'!I177</f>
        <v/>
      </c>
      <c r="K184" s="7">
        <f>'1 datos preparados'!J177</f>
        <v/>
      </c>
      <c r="L184" s="7">
        <f>'1 datos preparados'!K177</f>
        <v/>
      </c>
      <c r="M184" s="7">
        <f>'1 datos preparados'!L177</f>
        <v/>
      </c>
      <c r="N184" s="7">
        <f>'1 datos preparados'!M177</f>
        <v/>
      </c>
      <c r="O184" s="7">
        <f>'1 datos preparados'!N177</f>
        <v/>
      </c>
      <c r="P184" s="7">
        <f>'1 datos preparados'!O177</f>
        <v/>
      </c>
      <c r="Q184" s="7">
        <f>'1 datos preparados'!P177</f>
        <v/>
      </c>
      <c r="R184" s="7">
        <f>'1 datos preparados'!Q177</f>
        <v/>
      </c>
      <c r="S184" s="7">
        <f>'1 datos preparados'!R177</f>
        <v/>
      </c>
      <c r="T184" s="7">
        <f>'1 datos preparados'!S177</f>
        <v/>
      </c>
      <c r="U184" s="7">
        <f>'1 datos preparados'!T177</f>
        <v/>
      </c>
      <c r="V184" s="8">
        <f>$AC$12+D184*$AC$13+E184*$AC$14+F184*$AC$15+G184*$AC$16+H184*$AC$17+I184*$AC$18+J184*$AC$19+K184*$AC$20+L184*$AC$21+M184*$AC$22+N184*$AC$23+O184*$AC$24+P184*$AC$25+Q184*$AC$26+R184*$AC$27+S184*$AC$28+T184*$AC$29+U184*$AC$30</f>
        <v/>
      </c>
      <c r="W184" s="8">
        <f>1/(1+EXP(-V184))</f>
        <v/>
      </c>
      <c r="X184" s="9">
        <f>-IF(C184=1,LN(W184),LN(1-W184))</f>
        <v/>
      </c>
      <c r="Y184" s="10">
        <f>IF(W184&gt;$AC$34,1,0)</f>
        <v/>
      </c>
      <c r="Z184">
        <f>IF(Y184=C184,1,0)</f>
        <v/>
      </c>
    </row>
    <row r="185">
      <c r="A185">
        <f>'1 datos preparados'!A178</f>
        <v/>
      </c>
      <c r="B185" s="5">
        <f>'1 datos preparados'!U178</f>
        <v/>
      </c>
      <c r="C185">
        <f>'1 datos preparados'!B178</f>
        <v/>
      </c>
      <c r="D185" s="7">
        <f>'1 datos preparados'!C178</f>
        <v/>
      </c>
      <c r="E185" s="7">
        <f>'1 datos preparados'!D178</f>
        <v/>
      </c>
      <c r="F185" s="7">
        <f>'1 datos preparados'!E178</f>
        <v/>
      </c>
      <c r="G185" s="7">
        <f>'1 datos preparados'!F178</f>
        <v/>
      </c>
      <c r="H185" s="7">
        <f>'1 datos preparados'!G178</f>
        <v/>
      </c>
      <c r="I185" s="7">
        <f>'1 datos preparados'!H178</f>
        <v/>
      </c>
      <c r="J185" s="7">
        <f>'1 datos preparados'!I178</f>
        <v/>
      </c>
      <c r="K185" s="7">
        <f>'1 datos preparados'!J178</f>
        <v/>
      </c>
      <c r="L185" s="7">
        <f>'1 datos preparados'!K178</f>
        <v/>
      </c>
      <c r="M185" s="7">
        <f>'1 datos preparados'!L178</f>
        <v/>
      </c>
      <c r="N185" s="7">
        <f>'1 datos preparados'!M178</f>
        <v/>
      </c>
      <c r="O185" s="7">
        <f>'1 datos preparados'!N178</f>
        <v/>
      </c>
      <c r="P185" s="7">
        <f>'1 datos preparados'!O178</f>
        <v/>
      </c>
      <c r="Q185" s="7">
        <f>'1 datos preparados'!P178</f>
        <v/>
      </c>
      <c r="R185" s="7">
        <f>'1 datos preparados'!Q178</f>
        <v/>
      </c>
      <c r="S185" s="7">
        <f>'1 datos preparados'!R178</f>
        <v/>
      </c>
      <c r="T185" s="7">
        <f>'1 datos preparados'!S178</f>
        <v/>
      </c>
      <c r="U185" s="7">
        <f>'1 datos preparados'!T178</f>
        <v/>
      </c>
      <c r="V185" s="8">
        <f>$AC$12+D185*$AC$13+E185*$AC$14+F185*$AC$15+G185*$AC$16+H185*$AC$17+I185*$AC$18+J185*$AC$19+K185*$AC$20+L185*$AC$21+M185*$AC$22+N185*$AC$23+O185*$AC$24+P185*$AC$25+Q185*$AC$26+R185*$AC$27+S185*$AC$28+T185*$AC$29+U185*$AC$30</f>
        <v/>
      </c>
      <c r="W185" s="8">
        <f>1/(1+EXP(-V185))</f>
        <v/>
      </c>
      <c r="X185" s="9">
        <f>-IF(C185=1,LN(W185),LN(1-W185))</f>
        <v/>
      </c>
      <c r="Y185" s="10">
        <f>IF(W185&gt;$AC$34,1,0)</f>
        <v/>
      </c>
      <c r="Z185">
        <f>IF(Y185=C185,1,0)</f>
        <v/>
      </c>
    </row>
    <row r="186">
      <c r="A186">
        <f>'1 datos preparados'!A179</f>
        <v/>
      </c>
      <c r="B186" s="5">
        <f>'1 datos preparados'!U179</f>
        <v/>
      </c>
      <c r="C186">
        <f>'1 datos preparados'!B179</f>
        <v/>
      </c>
      <c r="D186" s="7">
        <f>'1 datos preparados'!C179</f>
        <v/>
      </c>
      <c r="E186" s="7">
        <f>'1 datos preparados'!D179</f>
        <v/>
      </c>
      <c r="F186" s="7">
        <f>'1 datos preparados'!E179</f>
        <v/>
      </c>
      <c r="G186" s="7">
        <f>'1 datos preparados'!F179</f>
        <v/>
      </c>
      <c r="H186" s="7">
        <f>'1 datos preparados'!G179</f>
        <v/>
      </c>
      <c r="I186" s="7">
        <f>'1 datos preparados'!H179</f>
        <v/>
      </c>
      <c r="J186" s="7">
        <f>'1 datos preparados'!I179</f>
        <v/>
      </c>
      <c r="K186" s="7">
        <f>'1 datos preparados'!J179</f>
        <v/>
      </c>
      <c r="L186" s="7">
        <f>'1 datos preparados'!K179</f>
        <v/>
      </c>
      <c r="M186" s="7">
        <f>'1 datos preparados'!L179</f>
        <v/>
      </c>
      <c r="N186" s="7">
        <f>'1 datos preparados'!M179</f>
        <v/>
      </c>
      <c r="O186" s="7">
        <f>'1 datos preparados'!N179</f>
        <v/>
      </c>
      <c r="P186" s="7">
        <f>'1 datos preparados'!O179</f>
        <v/>
      </c>
      <c r="Q186" s="7">
        <f>'1 datos preparados'!P179</f>
        <v/>
      </c>
      <c r="R186" s="7">
        <f>'1 datos preparados'!Q179</f>
        <v/>
      </c>
      <c r="S186" s="7">
        <f>'1 datos preparados'!R179</f>
        <v/>
      </c>
      <c r="T186" s="7">
        <f>'1 datos preparados'!S179</f>
        <v/>
      </c>
      <c r="U186" s="7">
        <f>'1 datos preparados'!T179</f>
        <v/>
      </c>
      <c r="V186" s="8">
        <f>$AC$12+D186*$AC$13+E186*$AC$14+F186*$AC$15+G186*$AC$16+H186*$AC$17+I186*$AC$18+J186*$AC$19+K186*$AC$20+L186*$AC$21+M186*$AC$22+N186*$AC$23+O186*$AC$24+P186*$AC$25+Q186*$AC$26+R186*$AC$27+S186*$AC$28+T186*$AC$29+U186*$AC$30</f>
        <v/>
      </c>
      <c r="W186" s="8">
        <f>1/(1+EXP(-V186))</f>
        <v/>
      </c>
      <c r="X186" s="9">
        <f>-IF(C186=1,LN(W186),LN(1-W186))</f>
        <v/>
      </c>
      <c r="Y186" s="10">
        <f>IF(W186&gt;$AC$34,1,0)</f>
        <v/>
      </c>
      <c r="Z186">
        <f>IF(Y186=C186,1,0)</f>
        <v/>
      </c>
    </row>
    <row r="187">
      <c r="A187">
        <f>'1 datos preparados'!A180</f>
        <v/>
      </c>
      <c r="B187" s="5">
        <f>'1 datos preparados'!U180</f>
        <v/>
      </c>
      <c r="C187">
        <f>'1 datos preparados'!B180</f>
        <v/>
      </c>
      <c r="D187" s="7">
        <f>'1 datos preparados'!C180</f>
        <v/>
      </c>
      <c r="E187" s="7">
        <f>'1 datos preparados'!D180</f>
        <v/>
      </c>
      <c r="F187" s="7">
        <f>'1 datos preparados'!E180</f>
        <v/>
      </c>
      <c r="G187" s="7">
        <f>'1 datos preparados'!F180</f>
        <v/>
      </c>
      <c r="H187" s="7">
        <f>'1 datos preparados'!G180</f>
        <v/>
      </c>
      <c r="I187" s="7">
        <f>'1 datos preparados'!H180</f>
        <v/>
      </c>
      <c r="J187" s="7">
        <f>'1 datos preparados'!I180</f>
        <v/>
      </c>
      <c r="K187" s="7">
        <f>'1 datos preparados'!J180</f>
        <v/>
      </c>
      <c r="L187" s="7">
        <f>'1 datos preparados'!K180</f>
        <v/>
      </c>
      <c r="M187" s="7">
        <f>'1 datos preparados'!L180</f>
        <v/>
      </c>
      <c r="N187" s="7">
        <f>'1 datos preparados'!M180</f>
        <v/>
      </c>
      <c r="O187" s="7">
        <f>'1 datos preparados'!N180</f>
        <v/>
      </c>
      <c r="P187" s="7">
        <f>'1 datos preparados'!O180</f>
        <v/>
      </c>
      <c r="Q187" s="7">
        <f>'1 datos preparados'!P180</f>
        <v/>
      </c>
      <c r="R187" s="7">
        <f>'1 datos preparados'!Q180</f>
        <v/>
      </c>
      <c r="S187" s="7">
        <f>'1 datos preparados'!R180</f>
        <v/>
      </c>
      <c r="T187" s="7">
        <f>'1 datos preparados'!S180</f>
        <v/>
      </c>
      <c r="U187" s="7">
        <f>'1 datos preparados'!T180</f>
        <v/>
      </c>
      <c r="V187" s="8">
        <f>$AC$12+D187*$AC$13+E187*$AC$14+F187*$AC$15+G187*$AC$16+H187*$AC$17+I187*$AC$18+J187*$AC$19+K187*$AC$20+L187*$AC$21+M187*$AC$22+N187*$AC$23+O187*$AC$24+P187*$AC$25+Q187*$AC$26+R187*$AC$27+S187*$AC$28+T187*$AC$29+U187*$AC$30</f>
        <v/>
      </c>
      <c r="W187" s="8">
        <f>1/(1+EXP(-V187))</f>
        <v/>
      </c>
      <c r="X187" s="9">
        <f>-IF(C187=1,LN(W187),LN(1-W187))</f>
        <v/>
      </c>
      <c r="Y187" s="10">
        <f>IF(W187&gt;$AC$34,1,0)</f>
        <v/>
      </c>
      <c r="Z187">
        <f>IF(Y187=C187,1,0)</f>
        <v/>
      </c>
    </row>
    <row r="188">
      <c r="A188">
        <f>'1 datos preparados'!A181</f>
        <v/>
      </c>
      <c r="B188" s="5">
        <f>'1 datos preparados'!U181</f>
        <v/>
      </c>
      <c r="C188">
        <f>'1 datos preparados'!B181</f>
        <v/>
      </c>
      <c r="D188" s="7">
        <f>'1 datos preparados'!C181</f>
        <v/>
      </c>
      <c r="E188" s="7">
        <f>'1 datos preparados'!D181</f>
        <v/>
      </c>
      <c r="F188" s="7">
        <f>'1 datos preparados'!E181</f>
        <v/>
      </c>
      <c r="G188" s="7">
        <f>'1 datos preparados'!F181</f>
        <v/>
      </c>
      <c r="H188" s="7">
        <f>'1 datos preparados'!G181</f>
        <v/>
      </c>
      <c r="I188" s="7">
        <f>'1 datos preparados'!H181</f>
        <v/>
      </c>
      <c r="J188" s="7">
        <f>'1 datos preparados'!I181</f>
        <v/>
      </c>
      <c r="K188" s="7">
        <f>'1 datos preparados'!J181</f>
        <v/>
      </c>
      <c r="L188" s="7">
        <f>'1 datos preparados'!K181</f>
        <v/>
      </c>
      <c r="M188" s="7">
        <f>'1 datos preparados'!L181</f>
        <v/>
      </c>
      <c r="N188" s="7">
        <f>'1 datos preparados'!M181</f>
        <v/>
      </c>
      <c r="O188" s="7">
        <f>'1 datos preparados'!N181</f>
        <v/>
      </c>
      <c r="P188" s="7">
        <f>'1 datos preparados'!O181</f>
        <v/>
      </c>
      <c r="Q188" s="7">
        <f>'1 datos preparados'!P181</f>
        <v/>
      </c>
      <c r="R188" s="7">
        <f>'1 datos preparados'!Q181</f>
        <v/>
      </c>
      <c r="S188" s="7">
        <f>'1 datos preparados'!R181</f>
        <v/>
      </c>
      <c r="T188" s="7">
        <f>'1 datos preparados'!S181</f>
        <v/>
      </c>
      <c r="U188" s="7">
        <f>'1 datos preparados'!T181</f>
        <v/>
      </c>
      <c r="V188" s="8">
        <f>$AC$12+D188*$AC$13+E188*$AC$14+F188*$AC$15+G188*$AC$16+H188*$AC$17+I188*$AC$18+J188*$AC$19+K188*$AC$20+L188*$AC$21+M188*$AC$22+N188*$AC$23+O188*$AC$24+P188*$AC$25+Q188*$AC$26+R188*$AC$27+S188*$AC$28+T188*$AC$29+U188*$AC$30</f>
        <v/>
      </c>
      <c r="W188" s="8">
        <f>1/(1+EXP(-V188))</f>
        <v/>
      </c>
      <c r="X188" s="9">
        <f>-IF(C188=1,LN(W188),LN(1-W188))</f>
        <v/>
      </c>
      <c r="Y188" s="10">
        <f>IF(W188&gt;$AC$34,1,0)</f>
        <v/>
      </c>
      <c r="Z188">
        <f>IF(Y188=C188,1,0)</f>
        <v/>
      </c>
    </row>
    <row r="189">
      <c r="A189">
        <f>'1 datos preparados'!A182</f>
        <v/>
      </c>
      <c r="B189" s="5">
        <f>'1 datos preparados'!U182</f>
        <v/>
      </c>
      <c r="C189">
        <f>'1 datos preparados'!B182</f>
        <v/>
      </c>
      <c r="D189" s="7">
        <f>'1 datos preparados'!C182</f>
        <v/>
      </c>
      <c r="E189" s="7">
        <f>'1 datos preparados'!D182</f>
        <v/>
      </c>
      <c r="F189" s="7">
        <f>'1 datos preparados'!E182</f>
        <v/>
      </c>
      <c r="G189" s="7">
        <f>'1 datos preparados'!F182</f>
        <v/>
      </c>
      <c r="H189" s="7">
        <f>'1 datos preparados'!G182</f>
        <v/>
      </c>
      <c r="I189" s="7">
        <f>'1 datos preparados'!H182</f>
        <v/>
      </c>
      <c r="J189" s="7">
        <f>'1 datos preparados'!I182</f>
        <v/>
      </c>
      <c r="K189" s="7">
        <f>'1 datos preparados'!J182</f>
        <v/>
      </c>
      <c r="L189" s="7">
        <f>'1 datos preparados'!K182</f>
        <v/>
      </c>
      <c r="M189" s="7">
        <f>'1 datos preparados'!L182</f>
        <v/>
      </c>
      <c r="N189" s="7">
        <f>'1 datos preparados'!M182</f>
        <v/>
      </c>
      <c r="O189" s="7">
        <f>'1 datos preparados'!N182</f>
        <v/>
      </c>
      <c r="P189" s="7">
        <f>'1 datos preparados'!O182</f>
        <v/>
      </c>
      <c r="Q189" s="7">
        <f>'1 datos preparados'!P182</f>
        <v/>
      </c>
      <c r="R189" s="7">
        <f>'1 datos preparados'!Q182</f>
        <v/>
      </c>
      <c r="S189" s="7">
        <f>'1 datos preparados'!R182</f>
        <v/>
      </c>
      <c r="T189" s="7">
        <f>'1 datos preparados'!S182</f>
        <v/>
      </c>
      <c r="U189" s="7">
        <f>'1 datos preparados'!T182</f>
        <v/>
      </c>
      <c r="V189" s="8">
        <f>$AC$12+D189*$AC$13+E189*$AC$14+F189*$AC$15+G189*$AC$16+H189*$AC$17+I189*$AC$18+J189*$AC$19+K189*$AC$20+L189*$AC$21+M189*$AC$22+N189*$AC$23+O189*$AC$24+P189*$AC$25+Q189*$AC$26+R189*$AC$27+S189*$AC$28+T189*$AC$29+U189*$AC$30</f>
        <v/>
      </c>
      <c r="W189" s="8">
        <f>1/(1+EXP(-V189))</f>
        <v/>
      </c>
      <c r="X189" s="9">
        <f>-IF(C189=1,LN(W189),LN(1-W189))</f>
        <v/>
      </c>
      <c r="Y189" s="10">
        <f>IF(W189&gt;$AC$34,1,0)</f>
        <v/>
      </c>
      <c r="Z189">
        <f>IF(Y189=C189,1,0)</f>
        <v/>
      </c>
    </row>
    <row r="190">
      <c r="A190">
        <f>'1 datos preparados'!A183</f>
        <v/>
      </c>
      <c r="B190" s="5">
        <f>'1 datos preparados'!U183</f>
        <v/>
      </c>
      <c r="C190">
        <f>'1 datos preparados'!B183</f>
        <v/>
      </c>
      <c r="D190" s="7">
        <f>'1 datos preparados'!C183</f>
        <v/>
      </c>
      <c r="E190" s="7">
        <f>'1 datos preparados'!D183</f>
        <v/>
      </c>
      <c r="F190" s="7">
        <f>'1 datos preparados'!E183</f>
        <v/>
      </c>
      <c r="G190" s="7">
        <f>'1 datos preparados'!F183</f>
        <v/>
      </c>
      <c r="H190" s="7">
        <f>'1 datos preparados'!G183</f>
        <v/>
      </c>
      <c r="I190" s="7">
        <f>'1 datos preparados'!H183</f>
        <v/>
      </c>
      <c r="J190" s="7">
        <f>'1 datos preparados'!I183</f>
        <v/>
      </c>
      <c r="K190" s="7">
        <f>'1 datos preparados'!J183</f>
        <v/>
      </c>
      <c r="L190" s="7">
        <f>'1 datos preparados'!K183</f>
        <v/>
      </c>
      <c r="M190" s="7">
        <f>'1 datos preparados'!L183</f>
        <v/>
      </c>
      <c r="N190" s="7">
        <f>'1 datos preparados'!M183</f>
        <v/>
      </c>
      <c r="O190" s="7">
        <f>'1 datos preparados'!N183</f>
        <v/>
      </c>
      <c r="P190" s="7">
        <f>'1 datos preparados'!O183</f>
        <v/>
      </c>
      <c r="Q190" s="7">
        <f>'1 datos preparados'!P183</f>
        <v/>
      </c>
      <c r="R190" s="7">
        <f>'1 datos preparados'!Q183</f>
        <v/>
      </c>
      <c r="S190" s="7">
        <f>'1 datos preparados'!R183</f>
        <v/>
      </c>
      <c r="T190" s="7">
        <f>'1 datos preparados'!S183</f>
        <v/>
      </c>
      <c r="U190" s="7">
        <f>'1 datos preparados'!T183</f>
        <v/>
      </c>
      <c r="V190" s="8">
        <f>$AC$12+D190*$AC$13+E190*$AC$14+F190*$AC$15+G190*$AC$16+H190*$AC$17+I190*$AC$18+J190*$AC$19+K190*$AC$20+L190*$AC$21+M190*$AC$22+N190*$AC$23+O190*$AC$24+P190*$AC$25+Q190*$AC$26+R190*$AC$27+S190*$AC$28+T190*$AC$29+U190*$AC$30</f>
        <v/>
      </c>
      <c r="W190" s="8">
        <f>1/(1+EXP(-V190))</f>
        <v/>
      </c>
      <c r="X190" s="9">
        <f>-IF(C190=1,LN(W190),LN(1-W190))</f>
        <v/>
      </c>
      <c r="Y190" s="10">
        <f>IF(W190&gt;$AC$34,1,0)</f>
        <v/>
      </c>
      <c r="Z190">
        <f>IF(Y190=C190,1,0)</f>
        <v/>
      </c>
    </row>
    <row r="191">
      <c r="A191">
        <f>'1 datos preparados'!A184</f>
        <v/>
      </c>
      <c r="B191" s="5">
        <f>'1 datos preparados'!U184</f>
        <v/>
      </c>
      <c r="C191">
        <f>'1 datos preparados'!B184</f>
        <v/>
      </c>
      <c r="D191" s="7">
        <f>'1 datos preparados'!C184</f>
        <v/>
      </c>
      <c r="E191" s="7">
        <f>'1 datos preparados'!D184</f>
        <v/>
      </c>
      <c r="F191" s="7">
        <f>'1 datos preparados'!E184</f>
        <v/>
      </c>
      <c r="G191" s="7">
        <f>'1 datos preparados'!F184</f>
        <v/>
      </c>
      <c r="H191" s="7">
        <f>'1 datos preparados'!G184</f>
        <v/>
      </c>
      <c r="I191" s="7">
        <f>'1 datos preparados'!H184</f>
        <v/>
      </c>
      <c r="J191" s="7">
        <f>'1 datos preparados'!I184</f>
        <v/>
      </c>
      <c r="K191" s="7">
        <f>'1 datos preparados'!J184</f>
        <v/>
      </c>
      <c r="L191" s="7">
        <f>'1 datos preparados'!K184</f>
        <v/>
      </c>
      <c r="M191" s="7">
        <f>'1 datos preparados'!L184</f>
        <v/>
      </c>
      <c r="N191" s="7">
        <f>'1 datos preparados'!M184</f>
        <v/>
      </c>
      <c r="O191" s="7">
        <f>'1 datos preparados'!N184</f>
        <v/>
      </c>
      <c r="P191" s="7">
        <f>'1 datos preparados'!O184</f>
        <v/>
      </c>
      <c r="Q191" s="7">
        <f>'1 datos preparados'!P184</f>
        <v/>
      </c>
      <c r="R191" s="7">
        <f>'1 datos preparados'!Q184</f>
        <v/>
      </c>
      <c r="S191" s="7">
        <f>'1 datos preparados'!R184</f>
        <v/>
      </c>
      <c r="T191" s="7">
        <f>'1 datos preparados'!S184</f>
        <v/>
      </c>
      <c r="U191" s="7">
        <f>'1 datos preparados'!T184</f>
        <v/>
      </c>
      <c r="V191" s="8">
        <f>$AC$12+D191*$AC$13+E191*$AC$14+F191*$AC$15+G191*$AC$16+H191*$AC$17+I191*$AC$18+J191*$AC$19+K191*$AC$20+L191*$AC$21+M191*$AC$22+N191*$AC$23+O191*$AC$24+P191*$AC$25+Q191*$AC$26+R191*$AC$27+S191*$AC$28+T191*$AC$29+U191*$AC$30</f>
        <v/>
      </c>
      <c r="W191" s="8">
        <f>1/(1+EXP(-V191))</f>
        <v/>
      </c>
      <c r="X191" s="9">
        <f>-IF(C191=1,LN(W191),LN(1-W191))</f>
        <v/>
      </c>
      <c r="Y191" s="10">
        <f>IF(W191&gt;$AC$34,1,0)</f>
        <v/>
      </c>
      <c r="Z191">
        <f>IF(Y191=C191,1,0)</f>
        <v/>
      </c>
    </row>
    <row r="192">
      <c r="A192">
        <f>'1 datos preparados'!A185</f>
        <v/>
      </c>
      <c r="B192" s="5">
        <f>'1 datos preparados'!U185</f>
        <v/>
      </c>
      <c r="C192">
        <f>'1 datos preparados'!B185</f>
        <v/>
      </c>
      <c r="D192" s="7">
        <f>'1 datos preparados'!C185</f>
        <v/>
      </c>
      <c r="E192" s="7">
        <f>'1 datos preparados'!D185</f>
        <v/>
      </c>
      <c r="F192" s="7">
        <f>'1 datos preparados'!E185</f>
        <v/>
      </c>
      <c r="G192" s="7">
        <f>'1 datos preparados'!F185</f>
        <v/>
      </c>
      <c r="H192" s="7">
        <f>'1 datos preparados'!G185</f>
        <v/>
      </c>
      <c r="I192" s="7">
        <f>'1 datos preparados'!H185</f>
        <v/>
      </c>
      <c r="J192" s="7">
        <f>'1 datos preparados'!I185</f>
        <v/>
      </c>
      <c r="K192" s="7">
        <f>'1 datos preparados'!J185</f>
        <v/>
      </c>
      <c r="L192" s="7">
        <f>'1 datos preparados'!K185</f>
        <v/>
      </c>
      <c r="M192" s="7">
        <f>'1 datos preparados'!L185</f>
        <v/>
      </c>
      <c r="N192" s="7">
        <f>'1 datos preparados'!M185</f>
        <v/>
      </c>
      <c r="O192" s="7">
        <f>'1 datos preparados'!N185</f>
        <v/>
      </c>
      <c r="P192" s="7">
        <f>'1 datos preparados'!O185</f>
        <v/>
      </c>
      <c r="Q192" s="7">
        <f>'1 datos preparados'!P185</f>
        <v/>
      </c>
      <c r="R192" s="7">
        <f>'1 datos preparados'!Q185</f>
        <v/>
      </c>
      <c r="S192" s="7">
        <f>'1 datos preparados'!R185</f>
        <v/>
      </c>
      <c r="T192" s="7">
        <f>'1 datos preparados'!S185</f>
        <v/>
      </c>
      <c r="U192" s="7">
        <f>'1 datos preparados'!T185</f>
        <v/>
      </c>
      <c r="V192" s="8">
        <f>$AC$12+D192*$AC$13+E192*$AC$14+F192*$AC$15+G192*$AC$16+H192*$AC$17+I192*$AC$18+J192*$AC$19+K192*$AC$20+L192*$AC$21+M192*$AC$22+N192*$AC$23+O192*$AC$24+P192*$AC$25+Q192*$AC$26+R192*$AC$27+S192*$AC$28+T192*$AC$29+U192*$AC$30</f>
        <v/>
      </c>
      <c r="W192" s="8">
        <f>1/(1+EXP(-V192))</f>
        <v/>
      </c>
      <c r="X192" s="9">
        <f>-IF(C192=1,LN(W192),LN(1-W192))</f>
        <v/>
      </c>
      <c r="Y192" s="10">
        <f>IF(W192&gt;$AC$34,1,0)</f>
        <v/>
      </c>
      <c r="Z192">
        <f>IF(Y192=C192,1,0)</f>
        <v/>
      </c>
    </row>
    <row r="193">
      <c r="A193">
        <f>'1 datos preparados'!A186</f>
        <v/>
      </c>
      <c r="B193" s="5">
        <f>'1 datos preparados'!U186</f>
        <v/>
      </c>
      <c r="C193">
        <f>'1 datos preparados'!B186</f>
        <v/>
      </c>
      <c r="D193" s="7">
        <f>'1 datos preparados'!C186</f>
        <v/>
      </c>
      <c r="E193" s="7">
        <f>'1 datos preparados'!D186</f>
        <v/>
      </c>
      <c r="F193" s="7">
        <f>'1 datos preparados'!E186</f>
        <v/>
      </c>
      <c r="G193" s="7">
        <f>'1 datos preparados'!F186</f>
        <v/>
      </c>
      <c r="H193" s="7">
        <f>'1 datos preparados'!G186</f>
        <v/>
      </c>
      <c r="I193" s="7">
        <f>'1 datos preparados'!H186</f>
        <v/>
      </c>
      <c r="J193" s="7">
        <f>'1 datos preparados'!I186</f>
        <v/>
      </c>
      <c r="K193" s="7">
        <f>'1 datos preparados'!J186</f>
        <v/>
      </c>
      <c r="L193" s="7">
        <f>'1 datos preparados'!K186</f>
        <v/>
      </c>
      <c r="M193" s="7">
        <f>'1 datos preparados'!L186</f>
        <v/>
      </c>
      <c r="N193" s="7">
        <f>'1 datos preparados'!M186</f>
        <v/>
      </c>
      <c r="O193" s="7">
        <f>'1 datos preparados'!N186</f>
        <v/>
      </c>
      <c r="P193" s="7">
        <f>'1 datos preparados'!O186</f>
        <v/>
      </c>
      <c r="Q193" s="7">
        <f>'1 datos preparados'!P186</f>
        <v/>
      </c>
      <c r="R193" s="7">
        <f>'1 datos preparados'!Q186</f>
        <v/>
      </c>
      <c r="S193" s="7">
        <f>'1 datos preparados'!R186</f>
        <v/>
      </c>
      <c r="T193" s="7">
        <f>'1 datos preparados'!S186</f>
        <v/>
      </c>
      <c r="U193" s="7">
        <f>'1 datos preparados'!T186</f>
        <v/>
      </c>
      <c r="V193" s="8">
        <f>$AC$12+D193*$AC$13+E193*$AC$14+F193*$AC$15+G193*$AC$16+H193*$AC$17+I193*$AC$18+J193*$AC$19+K193*$AC$20+L193*$AC$21+M193*$AC$22+N193*$AC$23+O193*$AC$24+P193*$AC$25+Q193*$AC$26+R193*$AC$27+S193*$AC$28+T193*$AC$29+U193*$AC$30</f>
        <v/>
      </c>
      <c r="W193" s="8">
        <f>1/(1+EXP(-V193))</f>
        <v/>
      </c>
      <c r="X193" s="9">
        <f>-IF(C193=1,LN(W193),LN(1-W193))</f>
        <v/>
      </c>
      <c r="Y193" s="10">
        <f>IF(W193&gt;$AC$34,1,0)</f>
        <v/>
      </c>
      <c r="Z193">
        <f>IF(Y193=C193,1,0)</f>
        <v/>
      </c>
    </row>
    <row r="194">
      <c r="A194">
        <f>'1 datos preparados'!A187</f>
        <v/>
      </c>
      <c r="B194" s="5">
        <f>'1 datos preparados'!U187</f>
        <v/>
      </c>
      <c r="C194">
        <f>'1 datos preparados'!B187</f>
        <v/>
      </c>
      <c r="D194" s="7">
        <f>'1 datos preparados'!C187</f>
        <v/>
      </c>
      <c r="E194" s="7">
        <f>'1 datos preparados'!D187</f>
        <v/>
      </c>
      <c r="F194" s="7">
        <f>'1 datos preparados'!E187</f>
        <v/>
      </c>
      <c r="G194" s="7">
        <f>'1 datos preparados'!F187</f>
        <v/>
      </c>
      <c r="H194" s="7">
        <f>'1 datos preparados'!G187</f>
        <v/>
      </c>
      <c r="I194" s="7">
        <f>'1 datos preparados'!H187</f>
        <v/>
      </c>
      <c r="J194" s="7">
        <f>'1 datos preparados'!I187</f>
        <v/>
      </c>
      <c r="K194" s="7">
        <f>'1 datos preparados'!J187</f>
        <v/>
      </c>
      <c r="L194" s="7">
        <f>'1 datos preparados'!K187</f>
        <v/>
      </c>
      <c r="M194" s="7">
        <f>'1 datos preparados'!L187</f>
        <v/>
      </c>
      <c r="N194" s="7">
        <f>'1 datos preparados'!M187</f>
        <v/>
      </c>
      <c r="O194" s="7">
        <f>'1 datos preparados'!N187</f>
        <v/>
      </c>
      <c r="P194" s="7">
        <f>'1 datos preparados'!O187</f>
        <v/>
      </c>
      <c r="Q194" s="7">
        <f>'1 datos preparados'!P187</f>
        <v/>
      </c>
      <c r="R194" s="7">
        <f>'1 datos preparados'!Q187</f>
        <v/>
      </c>
      <c r="S194" s="7">
        <f>'1 datos preparados'!R187</f>
        <v/>
      </c>
      <c r="T194" s="7">
        <f>'1 datos preparados'!S187</f>
        <v/>
      </c>
      <c r="U194" s="7">
        <f>'1 datos preparados'!T187</f>
        <v/>
      </c>
      <c r="V194" s="8">
        <f>$AC$12+D194*$AC$13+E194*$AC$14+F194*$AC$15+G194*$AC$16+H194*$AC$17+I194*$AC$18+J194*$AC$19+K194*$AC$20+L194*$AC$21+M194*$AC$22+N194*$AC$23+O194*$AC$24+P194*$AC$25+Q194*$AC$26+R194*$AC$27+S194*$AC$28+T194*$AC$29+U194*$AC$30</f>
        <v/>
      </c>
      <c r="W194" s="8">
        <f>1/(1+EXP(-V194))</f>
        <v/>
      </c>
      <c r="X194" s="9">
        <f>-IF(C194=1,LN(W194),LN(1-W194))</f>
        <v/>
      </c>
      <c r="Y194" s="10">
        <f>IF(W194&gt;$AC$34,1,0)</f>
        <v/>
      </c>
      <c r="Z194">
        <f>IF(Y194=C194,1,0)</f>
        <v/>
      </c>
    </row>
    <row r="195">
      <c r="A195">
        <f>'1 datos preparados'!A188</f>
        <v/>
      </c>
      <c r="B195" s="5">
        <f>'1 datos preparados'!U188</f>
        <v/>
      </c>
      <c r="C195">
        <f>'1 datos preparados'!B188</f>
        <v/>
      </c>
      <c r="D195" s="7">
        <f>'1 datos preparados'!C188</f>
        <v/>
      </c>
      <c r="E195" s="7">
        <f>'1 datos preparados'!D188</f>
        <v/>
      </c>
      <c r="F195" s="7">
        <f>'1 datos preparados'!E188</f>
        <v/>
      </c>
      <c r="G195" s="7">
        <f>'1 datos preparados'!F188</f>
        <v/>
      </c>
      <c r="H195" s="7">
        <f>'1 datos preparados'!G188</f>
        <v/>
      </c>
      <c r="I195" s="7">
        <f>'1 datos preparados'!H188</f>
        <v/>
      </c>
      <c r="J195" s="7">
        <f>'1 datos preparados'!I188</f>
        <v/>
      </c>
      <c r="K195" s="7">
        <f>'1 datos preparados'!J188</f>
        <v/>
      </c>
      <c r="L195" s="7">
        <f>'1 datos preparados'!K188</f>
        <v/>
      </c>
      <c r="M195" s="7">
        <f>'1 datos preparados'!L188</f>
        <v/>
      </c>
      <c r="N195" s="7">
        <f>'1 datos preparados'!M188</f>
        <v/>
      </c>
      <c r="O195" s="7">
        <f>'1 datos preparados'!N188</f>
        <v/>
      </c>
      <c r="P195" s="7">
        <f>'1 datos preparados'!O188</f>
        <v/>
      </c>
      <c r="Q195" s="7">
        <f>'1 datos preparados'!P188</f>
        <v/>
      </c>
      <c r="R195" s="7">
        <f>'1 datos preparados'!Q188</f>
        <v/>
      </c>
      <c r="S195" s="7">
        <f>'1 datos preparados'!R188</f>
        <v/>
      </c>
      <c r="T195" s="7">
        <f>'1 datos preparados'!S188</f>
        <v/>
      </c>
      <c r="U195" s="7">
        <f>'1 datos preparados'!T188</f>
        <v/>
      </c>
      <c r="V195" s="8">
        <f>$AC$12+D195*$AC$13+E195*$AC$14+F195*$AC$15+G195*$AC$16+H195*$AC$17+I195*$AC$18+J195*$AC$19+K195*$AC$20+L195*$AC$21+M195*$AC$22+N195*$AC$23+O195*$AC$24+P195*$AC$25+Q195*$AC$26+R195*$AC$27+S195*$AC$28+T195*$AC$29+U195*$AC$30</f>
        <v/>
      </c>
      <c r="W195" s="8">
        <f>1/(1+EXP(-V195))</f>
        <v/>
      </c>
      <c r="X195" s="9">
        <f>-IF(C195=1,LN(W195),LN(1-W195))</f>
        <v/>
      </c>
      <c r="Y195" s="10">
        <f>IF(W195&gt;$AC$34,1,0)</f>
        <v/>
      </c>
      <c r="Z195">
        <f>IF(Y195=C195,1,0)</f>
        <v/>
      </c>
    </row>
    <row r="196">
      <c r="A196">
        <f>'1 datos preparados'!A189</f>
        <v/>
      </c>
      <c r="B196" s="5">
        <f>'1 datos preparados'!U189</f>
        <v/>
      </c>
      <c r="C196">
        <f>'1 datos preparados'!B189</f>
        <v/>
      </c>
      <c r="D196" s="7">
        <f>'1 datos preparados'!C189</f>
        <v/>
      </c>
      <c r="E196" s="7">
        <f>'1 datos preparados'!D189</f>
        <v/>
      </c>
      <c r="F196" s="7">
        <f>'1 datos preparados'!E189</f>
        <v/>
      </c>
      <c r="G196" s="7">
        <f>'1 datos preparados'!F189</f>
        <v/>
      </c>
      <c r="H196" s="7">
        <f>'1 datos preparados'!G189</f>
        <v/>
      </c>
      <c r="I196" s="7">
        <f>'1 datos preparados'!H189</f>
        <v/>
      </c>
      <c r="J196" s="7">
        <f>'1 datos preparados'!I189</f>
        <v/>
      </c>
      <c r="K196" s="7">
        <f>'1 datos preparados'!J189</f>
        <v/>
      </c>
      <c r="L196" s="7">
        <f>'1 datos preparados'!K189</f>
        <v/>
      </c>
      <c r="M196" s="7">
        <f>'1 datos preparados'!L189</f>
        <v/>
      </c>
      <c r="N196" s="7">
        <f>'1 datos preparados'!M189</f>
        <v/>
      </c>
      <c r="O196" s="7">
        <f>'1 datos preparados'!N189</f>
        <v/>
      </c>
      <c r="P196" s="7">
        <f>'1 datos preparados'!O189</f>
        <v/>
      </c>
      <c r="Q196" s="7">
        <f>'1 datos preparados'!P189</f>
        <v/>
      </c>
      <c r="R196" s="7">
        <f>'1 datos preparados'!Q189</f>
        <v/>
      </c>
      <c r="S196" s="7">
        <f>'1 datos preparados'!R189</f>
        <v/>
      </c>
      <c r="T196" s="7">
        <f>'1 datos preparados'!S189</f>
        <v/>
      </c>
      <c r="U196" s="7">
        <f>'1 datos preparados'!T189</f>
        <v/>
      </c>
      <c r="V196" s="8">
        <f>$AC$12+D196*$AC$13+E196*$AC$14+F196*$AC$15+G196*$AC$16+H196*$AC$17+I196*$AC$18+J196*$AC$19+K196*$AC$20+L196*$AC$21+M196*$AC$22+N196*$AC$23+O196*$AC$24+P196*$AC$25+Q196*$AC$26+R196*$AC$27+S196*$AC$28+T196*$AC$29+U196*$AC$30</f>
        <v/>
      </c>
      <c r="W196" s="8">
        <f>1/(1+EXP(-V196))</f>
        <v/>
      </c>
      <c r="X196" s="9">
        <f>-IF(C196=1,LN(W196),LN(1-W196))</f>
        <v/>
      </c>
      <c r="Y196" s="10">
        <f>IF(W196&gt;$AC$34,1,0)</f>
        <v/>
      </c>
      <c r="Z196">
        <f>IF(Y196=C196,1,0)</f>
        <v/>
      </c>
    </row>
    <row r="197">
      <c r="A197">
        <f>'1 datos preparados'!A190</f>
        <v/>
      </c>
      <c r="B197" s="5">
        <f>'1 datos preparados'!U190</f>
        <v/>
      </c>
      <c r="C197">
        <f>'1 datos preparados'!B190</f>
        <v/>
      </c>
      <c r="D197" s="7">
        <f>'1 datos preparados'!C190</f>
        <v/>
      </c>
      <c r="E197" s="7">
        <f>'1 datos preparados'!D190</f>
        <v/>
      </c>
      <c r="F197" s="7">
        <f>'1 datos preparados'!E190</f>
        <v/>
      </c>
      <c r="G197" s="7">
        <f>'1 datos preparados'!F190</f>
        <v/>
      </c>
      <c r="H197" s="7">
        <f>'1 datos preparados'!G190</f>
        <v/>
      </c>
      <c r="I197" s="7">
        <f>'1 datos preparados'!H190</f>
        <v/>
      </c>
      <c r="J197" s="7">
        <f>'1 datos preparados'!I190</f>
        <v/>
      </c>
      <c r="K197" s="7">
        <f>'1 datos preparados'!J190</f>
        <v/>
      </c>
      <c r="L197" s="7">
        <f>'1 datos preparados'!K190</f>
        <v/>
      </c>
      <c r="M197" s="7">
        <f>'1 datos preparados'!L190</f>
        <v/>
      </c>
      <c r="N197" s="7">
        <f>'1 datos preparados'!M190</f>
        <v/>
      </c>
      <c r="O197" s="7">
        <f>'1 datos preparados'!N190</f>
        <v/>
      </c>
      <c r="P197" s="7">
        <f>'1 datos preparados'!O190</f>
        <v/>
      </c>
      <c r="Q197" s="7">
        <f>'1 datos preparados'!P190</f>
        <v/>
      </c>
      <c r="R197" s="7">
        <f>'1 datos preparados'!Q190</f>
        <v/>
      </c>
      <c r="S197" s="7">
        <f>'1 datos preparados'!R190</f>
        <v/>
      </c>
      <c r="T197" s="7">
        <f>'1 datos preparados'!S190</f>
        <v/>
      </c>
      <c r="U197" s="7">
        <f>'1 datos preparados'!T190</f>
        <v/>
      </c>
      <c r="V197" s="8">
        <f>$AC$12+D197*$AC$13+E197*$AC$14+F197*$AC$15+G197*$AC$16+H197*$AC$17+I197*$AC$18+J197*$AC$19+K197*$AC$20+L197*$AC$21+M197*$AC$22+N197*$AC$23+O197*$AC$24+P197*$AC$25+Q197*$AC$26+R197*$AC$27+S197*$AC$28+T197*$AC$29+U197*$AC$30</f>
        <v/>
      </c>
      <c r="W197" s="8">
        <f>1/(1+EXP(-V197))</f>
        <v/>
      </c>
      <c r="X197" s="9">
        <f>-IF(C197=1,LN(W197),LN(1-W197))</f>
        <v/>
      </c>
      <c r="Y197" s="10">
        <f>IF(W197&gt;$AC$34,1,0)</f>
        <v/>
      </c>
      <c r="Z197">
        <f>IF(Y197=C197,1,0)</f>
        <v/>
      </c>
    </row>
    <row r="198">
      <c r="A198">
        <f>'1 datos preparados'!A191</f>
        <v/>
      </c>
      <c r="B198" s="5">
        <f>'1 datos preparados'!U191</f>
        <v/>
      </c>
      <c r="C198">
        <f>'1 datos preparados'!B191</f>
        <v/>
      </c>
      <c r="D198" s="7">
        <f>'1 datos preparados'!C191</f>
        <v/>
      </c>
      <c r="E198" s="7">
        <f>'1 datos preparados'!D191</f>
        <v/>
      </c>
      <c r="F198" s="7">
        <f>'1 datos preparados'!E191</f>
        <v/>
      </c>
      <c r="G198" s="7">
        <f>'1 datos preparados'!F191</f>
        <v/>
      </c>
      <c r="H198" s="7">
        <f>'1 datos preparados'!G191</f>
        <v/>
      </c>
      <c r="I198" s="7">
        <f>'1 datos preparados'!H191</f>
        <v/>
      </c>
      <c r="J198" s="7">
        <f>'1 datos preparados'!I191</f>
        <v/>
      </c>
      <c r="K198" s="7">
        <f>'1 datos preparados'!J191</f>
        <v/>
      </c>
      <c r="L198" s="7">
        <f>'1 datos preparados'!K191</f>
        <v/>
      </c>
      <c r="M198" s="7">
        <f>'1 datos preparados'!L191</f>
        <v/>
      </c>
      <c r="N198" s="7">
        <f>'1 datos preparados'!M191</f>
        <v/>
      </c>
      <c r="O198" s="7">
        <f>'1 datos preparados'!N191</f>
        <v/>
      </c>
      <c r="P198" s="7">
        <f>'1 datos preparados'!O191</f>
        <v/>
      </c>
      <c r="Q198" s="7">
        <f>'1 datos preparados'!P191</f>
        <v/>
      </c>
      <c r="R198" s="7">
        <f>'1 datos preparados'!Q191</f>
        <v/>
      </c>
      <c r="S198" s="7">
        <f>'1 datos preparados'!R191</f>
        <v/>
      </c>
      <c r="T198" s="7">
        <f>'1 datos preparados'!S191</f>
        <v/>
      </c>
      <c r="U198" s="7">
        <f>'1 datos preparados'!T191</f>
        <v/>
      </c>
      <c r="V198" s="8">
        <f>$AC$12+D198*$AC$13+E198*$AC$14+F198*$AC$15+G198*$AC$16+H198*$AC$17+I198*$AC$18+J198*$AC$19+K198*$AC$20+L198*$AC$21+M198*$AC$22+N198*$AC$23+O198*$AC$24+P198*$AC$25+Q198*$AC$26+R198*$AC$27+S198*$AC$28+T198*$AC$29+U198*$AC$30</f>
        <v/>
      </c>
      <c r="W198" s="8">
        <f>1/(1+EXP(-V198))</f>
        <v/>
      </c>
      <c r="X198" s="9">
        <f>-IF(C198=1,LN(W198),LN(1-W198))</f>
        <v/>
      </c>
      <c r="Y198" s="10">
        <f>IF(W198&gt;$AC$34,1,0)</f>
        <v/>
      </c>
      <c r="Z198">
        <f>IF(Y198=C198,1,0)</f>
        <v/>
      </c>
    </row>
    <row r="199">
      <c r="A199">
        <f>'1 datos preparados'!A192</f>
        <v/>
      </c>
      <c r="B199" s="5">
        <f>'1 datos preparados'!U192</f>
        <v/>
      </c>
      <c r="C199">
        <f>'1 datos preparados'!B192</f>
        <v/>
      </c>
      <c r="D199" s="7">
        <f>'1 datos preparados'!C192</f>
        <v/>
      </c>
      <c r="E199" s="7">
        <f>'1 datos preparados'!D192</f>
        <v/>
      </c>
      <c r="F199" s="7">
        <f>'1 datos preparados'!E192</f>
        <v/>
      </c>
      <c r="G199" s="7">
        <f>'1 datos preparados'!F192</f>
        <v/>
      </c>
      <c r="H199" s="7">
        <f>'1 datos preparados'!G192</f>
        <v/>
      </c>
      <c r="I199" s="7">
        <f>'1 datos preparados'!H192</f>
        <v/>
      </c>
      <c r="J199" s="7">
        <f>'1 datos preparados'!I192</f>
        <v/>
      </c>
      <c r="K199" s="7">
        <f>'1 datos preparados'!J192</f>
        <v/>
      </c>
      <c r="L199" s="7">
        <f>'1 datos preparados'!K192</f>
        <v/>
      </c>
      <c r="M199" s="7">
        <f>'1 datos preparados'!L192</f>
        <v/>
      </c>
      <c r="N199" s="7">
        <f>'1 datos preparados'!M192</f>
        <v/>
      </c>
      <c r="O199" s="7">
        <f>'1 datos preparados'!N192</f>
        <v/>
      </c>
      <c r="P199" s="7">
        <f>'1 datos preparados'!O192</f>
        <v/>
      </c>
      <c r="Q199" s="7">
        <f>'1 datos preparados'!P192</f>
        <v/>
      </c>
      <c r="R199" s="7">
        <f>'1 datos preparados'!Q192</f>
        <v/>
      </c>
      <c r="S199" s="7">
        <f>'1 datos preparados'!R192</f>
        <v/>
      </c>
      <c r="T199" s="7">
        <f>'1 datos preparados'!S192</f>
        <v/>
      </c>
      <c r="U199" s="7">
        <f>'1 datos preparados'!T192</f>
        <v/>
      </c>
      <c r="V199" s="8">
        <f>$AC$12+D199*$AC$13+E199*$AC$14+F199*$AC$15+G199*$AC$16+H199*$AC$17+I199*$AC$18+J199*$AC$19+K199*$AC$20+L199*$AC$21+M199*$AC$22+N199*$AC$23+O199*$AC$24+P199*$AC$25+Q199*$AC$26+R199*$AC$27+S199*$AC$28+T199*$AC$29+U199*$AC$30</f>
        <v/>
      </c>
      <c r="W199" s="8">
        <f>1/(1+EXP(-V199))</f>
        <v/>
      </c>
      <c r="X199" s="9">
        <f>-IF(C199=1,LN(W199),LN(1-W199))</f>
        <v/>
      </c>
      <c r="Y199" s="10">
        <f>IF(W199&gt;$AC$34,1,0)</f>
        <v/>
      </c>
      <c r="Z199">
        <f>IF(Y199=C199,1,0)</f>
        <v/>
      </c>
    </row>
    <row r="200">
      <c r="A200">
        <f>'1 datos preparados'!A193</f>
        <v/>
      </c>
      <c r="B200" s="5">
        <f>'1 datos preparados'!U193</f>
        <v/>
      </c>
      <c r="C200">
        <f>'1 datos preparados'!B193</f>
        <v/>
      </c>
      <c r="D200" s="7">
        <f>'1 datos preparados'!C193</f>
        <v/>
      </c>
      <c r="E200" s="7">
        <f>'1 datos preparados'!D193</f>
        <v/>
      </c>
      <c r="F200" s="7">
        <f>'1 datos preparados'!E193</f>
        <v/>
      </c>
      <c r="G200" s="7">
        <f>'1 datos preparados'!F193</f>
        <v/>
      </c>
      <c r="H200" s="7">
        <f>'1 datos preparados'!G193</f>
        <v/>
      </c>
      <c r="I200" s="7">
        <f>'1 datos preparados'!H193</f>
        <v/>
      </c>
      <c r="J200" s="7">
        <f>'1 datos preparados'!I193</f>
        <v/>
      </c>
      <c r="K200" s="7">
        <f>'1 datos preparados'!J193</f>
        <v/>
      </c>
      <c r="L200" s="7">
        <f>'1 datos preparados'!K193</f>
        <v/>
      </c>
      <c r="M200" s="7">
        <f>'1 datos preparados'!L193</f>
        <v/>
      </c>
      <c r="N200" s="7">
        <f>'1 datos preparados'!M193</f>
        <v/>
      </c>
      <c r="O200" s="7">
        <f>'1 datos preparados'!N193</f>
        <v/>
      </c>
      <c r="P200" s="7">
        <f>'1 datos preparados'!O193</f>
        <v/>
      </c>
      <c r="Q200" s="7">
        <f>'1 datos preparados'!P193</f>
        <v/>
      </c>
      <c r="R200" s="7">
        <f>'1 datos preparados'!Q193</f>
        <v/>
      </c>
      <c r="S200" s="7">
        <f>'1 datos preparados'!R193</f>
        <v/>
      </c>
      <c r="T200" s="7">
        <f>'1 datos preparados'!S193</f>
        <v/>
      </c>
      <c r="U200" s="7">
        <f>'1 datos preparados'!T193</f>
        <v/>
      </c>
      <c r="V200" s="8">
        <f>$AC$12+D200*$AC$13+E200*$AC$14+F200*$AC$15+G200*$AC$16+H200*$AC$17+I200*$AC$18+J200*$AC$19+K200*$AC$20+L200*$AC$21+M200*$AC$22+N200*$AC$23+O200*$AC$24+P200*$AC$25+Q200*$AC$26+R200*$AC$27+S200*$AC$28+T200*$AC$29+U200*$AC$30</f>
        <v/>
      </c>
      <c r="W200" s="8">
        <f>1/(1+EXP(-V200))</f>
        <v/>
      </c>
      <c r="X200" s="9">
        <f>-IF(C200=1,LN(W200),LN(1-W200))</f>
        <v/>
      </c>
      <c r="Y200" s="10">
        <f>IF(W200&gt;$AC$34,1,0)</f>
        <v/>
      </c>
      <c r="Z200">
        <f>IF(Y200=C200,1,0)</f>
        <v/>
      </c>
    </row>
    <row r="201">
      <c r="A201">
        <f>'1 datos preparados'!A194</f>
        <v/>
      </c>
      <c r="B201" s="5">
        <f>'1 datos preparados'!U194</f>
        <v/>
      </c>
      <c r="C201">
        <f>'1 datos preparados'!B194</f>
        <v/>
      </c>
      <c r="D201" s="7">
        <f>'1 datos preparados'!C194</f>
        <v/>
      </c>
      <c r="E201" s="7">
        <f>'1 datos preparados'!D194</f>
        <v/>
      </c>
      <c r="F201" s="7">
        <f>'1 datos preparados'!E194</f>
        <v/>
      </c>
      <c r="G201" s="7">
        <f>'1 datos preparados'!F194</f>
        <v/>
      </c>
      <c r="H201" s="7">
        <f>'1 datos preparados'!G194</f>
        <v/>
      </c>
      <c r="I201" s="7">
        <f>'1 datos preparados'!H194</f>
        <v/>
      </c>
      <c r="J201" s="7">
        <f>'1 datos preparados'!I194</f>
        <v/>
      </c>
      <c r="K201" s="7">
        <f>'1 datos preparados'!J194</f>
        <v/>
      </c>
      <c r="L201" s="7">
        <f>'1 datos preparados'!K194</f>
        <v/>
      </c>
      <c r="M201" s="7">
        <f>'1 datos preparados'!L194</f>
        <v/>
      </c>
      <c r="N201" s="7">
        <f>'1 datos preparados'!M194</f>
        <v/>
      </c>
      <c r="O201" s="7">
        <f>'1 datos preparados'!N194</f>
        <v/>
      </c>
      <c r="P201" s="7">
        <f>'1 datos preparados'!O194</f>
        <v/>
      </c>
      <c r="Q201" s="7">
        <f>'1 datos preparados'!P194</f>
        <v/>
      </c>
      <c r="R201" s="7">
        <f>'1 datos preparados'!Q194</f>
        <v/>
      </c>
      <c r="S201" s="7">
        <f>'1 datos preparados'!R194</f>
        <v/>
      </c>
      <c r="T201" s="7">
        <f>'1 datos preparados'!S194</f>
        <v/>
      </c>
      <c r="U201" s="7">
        <f>'1 datos preparados'!T194</f>
        <v/>
      </c>
      <c r="V201" s="8">
        <f>$AC$12+D201*$AC$13+E201*$AC$14+F201*$AC$15+G201*$AC$16+H201*$AC$17+I201*$AC$18+J201*$AC$19+K201*$AC$20+L201*$AC$21+M201*$AC$22+N201*$AC$23+O201*$AC$24+P201*$AC$25+Q201*$AC$26+R201*$AC$27+S201*$AC$28+T201*$AC$29+U201*$AC$30</f>
        <v/>
      </c>
      <c r="W201" s="8">
        <f>1/(1+EXP(-V201))</f>
        <v/>
      </c>
      <c r="X201" s="9">
        <f>-IF(C201=1,LN(W201),LN(1-W201))</f>
        <v/>
      </c>
      <c r="Y201" s="10">
        <f>IF(W201&gt;$AC$34,1,0)</f>
        <v/>
      </c>
      <c r="Z201">
        <f>IF(Y201=C201,1,0)</f>
        <v/>
      </c>
    </row>
    <row r="202">
      <c r="A202">
        <f>'1 datos preparados'!A195</f>
        <v/>
      </c>
      <c r="B202" s="5">
        <f>'1 datos preparados'!U195</f>
        <v/>
      </c>
      <c r="C202">
        <f>'1 datos preparados'!B195</f>
        <v/>
      </c>
      <c r="D202" s="7">
        <f>'1 datos preparados'!C195</f>
        <v/>
      </c>
      <c r="E202" s="7">
        <f>'1 datos preparados'!D195</f>
        <v/>
      </c>
      <c r="F202" s="7">
        <f>'1 datos preparados'!E195</f>
        <v/>
      </c>
      <c r="G202" s="7">
        <f>'1 datos preparados'!F195</f>
        <v/>
      </c>
      <c r="H202" s="7">
        <f>'1 datos preparados'!G195</f>
        <v/>
      </c>
      <c r="I202" s="7">
        <f>'1 datos preparados'!H195</f>
        <v/>
      </c>
      <c r="J202" s="7">
        <f>'1 datos preparados'!I195</f>
        <v/>
      </c>
      <c r="K202" s="7">
        <f>'1 datos preparados'!J195</f>
        <v/>
      </c>
      <c r="L202" s="7">
        <f>'1 datos preparados'!K195</f>
        <v/>
      </c>
      <c r="M202" s="7">
        <f>'1 datos preparados'!L195</f>
        <v/>
      </c>
      <c r="N202" s="7">
        <f>'1 datos preparados'!M195</f>
        <v/>
      </c>
      <c r="O202" s="7">
        <f>'1 datos preparados'!N195</f>
        <v/>
      </c>
      <c r="P202" s="7">
        <f>'1 datos preparados'!O195</f>
        <v/>
      </c>
      <c r="Q202" s="7">
        <f>'1 datos preparados'!P195</f>
        <v/>
      </c>
      <c r="R202" s="7">
        <f>'1 datos preparados'!Q195</f>
        <v/>
      </c>
      <c r="S202" s="7">
        <f>'1 datos preparados'!R195</f>
        <v/>
      </c>
      <c r="T202" s="7">
        <f>'1 datos preparados'!S195</f>
        <v/>
      </c>
      <c r="U202" s="7">
        <f>'1 datos preparados'!T195</f>
        <v/>
      </c>
      <c r="V202" s="8">
        <f>$AC$12+D202*$AC$13+E202*$AC$14+F202*$AC$15+G202*$AC$16+H202*$AC$17+I202*$AC$18+J202*$AC$19+K202*$AC$20+L202*$AC$21+M202*$AC$22+N202*$AC$23+O202*$AC$24+P202*$AC$25+Q202*$AC$26+R202*$AC$27+S202*$AC$28+T202*$AC$29+U202*$AC$30</f>
        <v/>
      </c>
      <c r="W202" s="8">
        <f>1/(1+EXP(-V202))</f>
        <v/>
      </c>
      <c r="X202" s="9">
        <f>-IF(C202=1,LN(W202),LN(1-W202))</f>
        <v/>
      </c>
      <c r="Y202" s="10">
        <f>IF(W202&gt;$AC$34,1,0)</f>
        <v/>
      </c>
      <c r="Z202">
        <f>IF(Y202=C202,1,0)</f>
        <v/>
      </c>
    </row>
    <row r="203">
      <c r="A203">
        <f>'1 datos preparados'!A196</f>
        <v/>
      </c>
      <c r="B203" s="5">
        <f>'1 datos preparados'!U196</f>
        <v/>
      </c>
      <c r="C203">
        <f>'1 datos preparados'!B196</f>
        <v/>
      </c>
      <c r="D203" s="7">
        <f>'1 datos preparados'!C196</f>
        <v/>
      </c>
      <c r="E203" s="7">
        <f>'1 datos preparados'!D196</f>
        <v/>
      </c>
      <c r="F203" s="7">
        <f>'1 datos preparados'!E196</f>
        <v/>
      </c>
      <c r="G203" s="7">
        <f>'1 datos preparados'!F196</f>
        <v/>
      </c>
      <c r="H203" s="7">
        <f>'1 datos preparados'!G196</f>
        <v/>
      </c>
      <c r="I203" s="7">
        <f>'1 datos preparados'!H196</f>
        <v/>
      </c>
      <c r="J203" s="7">
        <f>'1 datos preparados'!I196</f>
        <v/>
      </c>
      <c r="K203" s="7">
        <f>'1 datos preparados'!J196</f>
        <v/>
      </c>
      <c r="L203" s="7">
        <f>'1 datos preparados'!K196</f>
        <v/>
      </c>
      <c r="M203" s="7">
        <f>'1 datos preparados'!L196</f>
        <v/>
      </c>
      <c r="N203" s="7">
        <f>'1 datos preparados'!M196</f>
        <v/>
      </c>
      <c r="O203" s="7">
        <f>'1 datos preparados'!N196</f>
        <v/>
      </c>
      <c r="P203" s="7">
        <f>'1 datos preparados'!O196</f>
        <v/>
      </c>
      <c r="Q203" s="7">
        <f>'1 datos preparados'!P196</f>
        <v/>
      </c>
      <c r="R203" s="7">
        <f>'1 datos preparados'!Q196</f>
        <v/>
      </c>
      <c r="S203" s="7">
        <f>'1 datos preparados'!R196</f>
        <v/>
      </c>
      <c r="T203" s="7">
        <f>'1 datos preparados'!S196</f>
        <v/>
      </c>
      <c r="U203" s="7">
        <f>'1 datos preparados'!T196</f>
        <v/>
      </c>
      <c r="V203" s="8">
        <f>$AC$12+D203*$AC$13+E203*$AC$14+F203*$AC$15+G203*$AC$16+H203*$AC$17+I203*$AC$18+J203*$AC$19+K203*$AC$20+L203*$AC$21+M203*$AC$22+N203*$AC$23+O203*$AC$24+P203*$AC$25+Q203*$AC$26+R203*$AC$27+S203*$AC$28+T203*$AC$29+U203*$AC$30</f>
        <v/>
      </c>
      <c r="W203" s="8">
        <f>1/(1+EXP(-V203))</f>
        <v/>
      </c>
      <c r="X203" s="9">
        <f>-IF(C203=1,LN(W203),LN(1-W203))</f>
        <v/>
      </c>
      <c r="Y203" s="10">
        <f>IF(W203&gt;$AC$34,1,0)</f>
        <v/>
      </c>
      <c r="Z203">
        <f>IF(Y203=C203,1,0)</f>
        <v/>
      </c>
    </row>
    <row r="204">
      <c r="A204">
        <f>'1 datos preparados'!A197</f>
        <v/>
      </c>
      <c r="B204" s="5">
        <f>'1 datos preparados'!U197</f>
        <v/>
      </c>
      <c r="C204">
        <f>'1 datos preparados'!B197</f>
        <v/>
      </c>
      <c r="D204" s="7">
        <f>'1 datos preparados'!C197</f>
        <v/>
      </c>
      <c r="E204" s="7">
        <f>'1 datos preparados'!D197</f>
        <v/>
      </c>
      <c r="F204" s="7">
        <f>'1 datos preparados'!E197</f>
        <v/>
      </c>
      <c r="G204" s="7">
        <f>'1 datos preparados'!F197</f>
        <v/>
      </c>
      <c r="H204" s="7">
        <f>'1 datos preparados'!G197</f>
        <v/>
      </c>
      <c r="I204" s="7">
        <f>'1 datos preparados'!H197</f>
        <v/>
      </c>
      <c r="J204" s="7">
        <f>'1 datos preparados'!I197</f>
        <v/>
      </c>
      <c r="K204" s="7">
        <f>'1 datos preparados'!J197</f>
        <v/>
      </c>
      <c r="L204" s="7">
        <f>'1 datos preparados'!K197</f>
        <v/>
      </c>
      <c r="M204" s="7">
        <f>'1 datos preparados'!L197</f>
        <v/>
      </c>
      <c r="N204" s="7">
        <f>'1 datos preparados'!M197</f>
        <v/>
      </c>
      <c r="O204" s="7">
        <f>'1 datos preparados'!N197</f>
        <v/>
      </c>
      <c r="P204" s="7">
        <f>'1 datos preparados'!O197</f>
        <v/>
      </c>
      <c r="Q204" s="7">
        <f>'1 datos preparados'!P197</f>
        <v/>
      </c>
      <c r="R204" s="7">
        <f>'1 datos preparados'!Q197</f>
        <v/>
      </c>
      <c r="S204" s="7">
        <f>'1 datos preparados'!R197</f>
        <v/>
      </c>
      <c r="T204" s="7">
        <f>'1 datos preparados'!S197</f>
        <v/>
      </c>
      <c r="U204" s="7">
        <f>'1 datos preparados'!T197</f>
        <v/>
      </c>
      <c r="V204" s="8">
        <f>$AC$12+D204*$AC$13+E204*$AC$14+F204*$AC$15+G204*$AC$16+H204*$AC$17+I204*$AC$18+J204*$AC$19+K204*$AC$20+L204*$AC$21+M204*$AC$22+N204*$AC$23+O204*$AC$24+P204*$AC$25+Q204*$AC$26+R204*$AC$27+S204*$AC$28+T204*$AC$29+U204*$AC$30</f>
        <v/>
      </c>
      <c r="W204" s="8">
        <f>1/(1+EXP(-V204))</f>
        <v/>
      </c>
      <c r="X204" s="9">
        <f>-IF(C204=1,LN(W204),LN(1-W204))</f>
        <v/>
      </c>
      <c r="Y204" s="10">
        <f>IF(W204&gt;$AC$34,1,0)</f>
        <v/>
      </c>
      <c r="Z204">
        <f>IF(Y204=C204,1,0)</f>
        <v/>
      </c>
    </row>
    <row r="205">
      <c r="A205">
        <f>'1 datos preparados'!A198</f>
        <v/>
      </c>
      <c r="B205" s="5">
        <f>'1 datos preparados'!U198</f>
        <v/>
      </c>
      <c r="C205">
        <f>'1 datos preparados'!B198</f>
        <v/>
      </c>
      <c r="D205" s="7">
        <f>'1 datos preparados'!C198</f>
        <v/>
      </c>
      <c r="E205" s="7">
        <f>'1 datos preparados'!D198</f>
        <v/>
      </c>
      <c r="F205" s="7">
        <f>'1 datos preparados'!E198</f>
        <v/>
      </c>
      <c r="G205" s="7">
        <f>'1 datos preparados'!F198</f>
        <v/>
      </c>
      <c r="H205" s="7">
        <f>'1 datos preparados'!G198</f>
        <v/>
      </c>
      <c r="I205" s="7">
        <f>'1 datos preparados'!H198</f>
        <v/>
      </c>
      <c r="J205" s="7">
        <f>'1 datos preparados'!I198</f>
        <v/>
      </c>
      <c r="K205" s="7">
        <f>'1 datos preparados'!J198</f>
        <v/>
      </c>
      <c r="L205" s="7">
        <f>'1 datos preparados'!K198</f>
        <v/>
      </c>
      <c r="M205" s="7">
        <f>'1 datos preparados'!L198</f>
        <v/>
      </c>
      <c r="N205" s="7">
        <f>'1 datos preparados'!M198</f>
        <v/>
      </c>
      <c r="O205" s="7">
        <f>'1 datos preparados'!N198</f>
        <v/>
      </c>
      <c r="P205" s="7">
        <f>'1 datos preparados'!O198</f>
        <v/>
      </c>
      <c r="Q205" s="7">
        <f>'1 datos preparados'!P198</f>
        <v/>
      </c>
      <c r="R205" s="7">
        <f>'1 datos preparados'!Q198</f>
        <v/>
      </c>
      <c r="S205" s="7">
        <f>'1 datos preparados'!R198</f>
        <v/>
      </c>
      <c r="T205" s="7">
        <f>'1 datos preparados'!S198</f>
        <v/>
      </c>
      <c r="U205" s="7">
        <f>'1 datos preparados'!T198</f>
        <v/>
      </c>
      <c r="V205" s="8">
        <f>$AC$12+D205*$AC$13+E205*$AC$14+F205*$AC$15+G205*$AC$16+H205*$AC$17+I205*$AC$18+J205*$AC$19+K205*$AC$20+L205*$AC$21+M205*$AC$22+N205*$AC$23+O205*$AC$24+P205*$AC$25+Q205*$AC$26+R205*$AC$27+S205*$AC$28+T205*$AC$29+U205*$AC$30</f>
        <v/>
      </c>
      <c r="W205" s="8">
        <f>1/(1+EXP(-V205))</f>
        <v/>
      </c>
      <c r="X205" s="9">
        <f>-IF(C205=1,LN(W205),LN(1-W205))</f>
        <v/>
      </c>
      <c r="Y205" s="10">
        <f>IF(W205&gt;$AC$34,1,0)</f>
        <v/>
      </c>
      <c r="Z205">
        <f>IF(Y205=C205,1,0)</f>
        <v/>
      </c>
    </row>
    <row r="206">
      <c r="A206">
        <f>'1 datos preparados'!A199</f>
        <v/>
      </c>
      <c r="B206" s="5">
        <f>'1 datos preparados'!U199</f>
        <v/>
      </c>
      <c r="C206">
        <f>'1 datos preparados'!B199</f>
        <v/>
      </c>
      <c r="D206" s="7">
        <f>'1 datos preparados'!C199</f>
        <v/>
      </c>
      <c r="E206" s="7">
        <f>'1 datos preparados'!D199</f>
        <v/>
      </c>
      <c r="F206" s="7">
        <f>'1 datos preparados'!E199</f>
        <v/>
      </c>
      <c r="G206" s="7">
        <f>'1 datos preparados'!F199</f>
        <v/>
      </c>
      <c r="H206" s="7">
        <f>'1 datos preparados'!G199</f>
        <v/>
      </c>
      <c r="I206" s="7">
        <f>'1 datos preparados'!H199</f>
        <v/>
      </c>
      <c r="J206" s="7">
        <f>'1 datos preparados'!I199</f>
        <v/>
      </c>
      <c r="K206" s="7">
        <f>'1 datos preparados'!J199</f>
        <v/>
      </c>
      <c r="L206" s="7">
        <f>'1 datos preparados'!K199</f>
        <v/>
      </c>
      <c r="M206" s="7">
        <f>'1 datos preparados'!L199</f>
        <v/>
      </c>
      <c r="N206" s="7">
        <f>'1 datos preparados'!M199</f>
        <v/>
      </c>
      <c r="O206" s="7">
        <f>'1 datos preparados'!N199</f>
        <v/>
      </c>
      <c r="P206" s="7">
        <f>'1 datos preparados'!O199</f>
        <v/>
      </c>
      <c r="Q206" s="7">
        <f>'1 datos preparados'!P199</f>
        <v/>
      </c>
      <c r="R206" s="7">
        <f>'1 datos preparados'!Q199</f>
        <v/>
      </c>
      <c r="S206" s="7">
        <f>'1 datos preparados'!R199</f>
        <v/>
      </c>
      <c r="T206" s="7">
        <f>'1 datos preparados'!S199</f>
        <v/>
      </c>
      <c r="U206" s="7">
        <f>'1 datos preparados'!T199</f>
        <v/>
      </c>
      <c r="V206" s="8">
        <f>$AC$12+D206*$AC$13+E206*$AC$14+F206*$AC$15+G206*$AC$16+H206*$AC$17+I206*$AC$18+J206*$AC$19+K206*$AC$20+L206*$AC$21+M206*$AC$22+N206*$AC$23+O206*$AC$24+P206*$AC$25+Q206*$AC$26+R206*$AC$27+S206*$AC$28+T206*$AC$29+U206*$AC$30</f>
        <v/>
      </c>
      <c r="W206" s="8">
        <f>1/(1+EXP(-V206))</f>
        <v/>
      </c>
      <c r="X206" s="9">
        <f>-IF(C206=1,LN(W206),LN(1-W206))</f>
        <v/>
      </c>
      <c r="Y206" s="10">
        <f>IF(W206&gt;$AC$34,1,0)</f>
        <v/>
      </c>
      <c r="Z206">
        <f>IF(Y206=C206,1,0)</f>
        <v/>
      </c>
    </row>
    <row r="207">
      <c r="A207">
        <f>'1 datos preparados'!A200</f>
        <v/>
      </c>
      <c r="B207" s="5">
        <f>'1 datos preparados'!U200</f>
        <v/>
      </c>
      <c r="C207">
        <f>'1 datos preparados'!B200</f>
        <v/>
      </c>
      <c r="D207" s="7">
        <f>'1 datos preparados'!C200</f>
        <v/>
      </c>
      <c r="E207" s="7">
        <f>'1 datos preparados'!D200</f>
        <v/>
      </c>
      <c r="F207" s="7">
        <f>'1 datos preparados'!E200</f>
        <v/>
      </c>
      <c r="G207" s="7">
        <f>'1 datos preparados'!F200</f>
        <v/>
      </c>
      <c r="H207" s="7">
        <f>'1 datos preparados'!G200</f>
        <v/>
      </c>
      <c r="I207" s="7">
        <f>'1 datos preparados'!H200</f>
        <v/>
      </c>
      <c r="J207" s="7">
        <f>'1 datos preparados'!I200</f>
        <v/>
      </c>
      <c r="K207" s="7">
        <f>'1 datos preparados'!J200</f>
        <v/>
      </c>
      <c r="L207" s="7">
        <f>'1 datos preparados'!K200</f>
        <v/>
      </c>
      <c r="M207" s="7">
        <f>'1 datos preparados'!L200</f>
        <v/>
      </c>
      <c r="N207" s="7">
        <f>'1 datos preparados'!M200</f>
        <v/>
      </c>
      <c r="O207" s="7">
        <f>'1 datos preparados'!N200</f>
        <v/>
      </c>
      <c r="P207" s="7">
        <f>'1 datos preparados'!O200</f>
        <v/>
      </c>
      <c r="Q207" s="7">
        <f>'1 datos preparados'!P200</f>
        <v/>
      </c>
      <c r="R207" s="7">
        <f>'1 datos preparados'!Q200</f>
        <v/>
      </c>
      <c r="S207" s="7">
        <f>'1 datos preparados'!R200</f>
        <v/>
      </c>
      <c r="T207" s="7">
        <f>'1 datos preparados'!S200</f>
        <v/>
      </c>
      <c r="U207" s="7">
        <f>'1 datos preparados'!T200</f>
        <v/>
      </c>
      <c r="V207" s="8">
        <f>$AC$12+D207*$AC$13+E207*$AC$14+F207*$AC$15+G207*$AC$16+H207*$AC$17+I207*$AC$18+J207*$AC$19+K207*$AC$20+L207*$AC$21+M207*$AC$22+N207*$AC$23+O207*$AC$24+P207*$AC$25+Q207*$AC$26+R207*$AC$27+S207*$AC$28+T207*$AC$29+U207*$AC$30</f>
        <v/>
      </c>
      <c r="W207" s="8">
        <f>1/(1+EXP(-V207))</f>
        <v/>
      </c>
      <c r="X207" s="9">
        <f>-IF(C207=1,LN(W207),LN(1-W207))</f>
        <v/>
      </c>
      <c r="Y207" s="10">
        <f>IF(W207&gt;$AC$34,1,0)</f>
        <v/>
      </c>
      <c r="Z207">
        <f>IF(Y207=C207,1,0)</f>
        <v/>
      </c>
    </row>
    <row r="208">
      <c r="A208">
        <f>'1 datos preparados'!A201</f>
        <v/>
      </c>
      <c r="B208" s="5">
        <f>'1 datos preparados'!U201</f>
        <v/>
      </c>
      <c r="C208">
        <f>'1 datos preparados'!B201</f>
        <v/>
      </c>
      <c r="D208" s="7">
        <f>'1 datos preparados'!C201</f>
        <v/>
      </c>
      <c r="E208" s="7">
        <f>'1 datos preparados'!D201</f>
        <v/>
      </c>
      <c r="F208" s="7">
        <f>'1 datos preparados'!E201</f>
        <v/>
      </c>
      <c r="G208" s="7">
        <f>'1 datos preparados'!F201</f>
        <v/>
      </c>
      <c r="H208" s="7">
        <f>'1 datos preparados'!G201</f>
        <v/>
      </c>
      <c r="I208" s="7">
        <f>'1 datos preparados'!H201</f>
        <v/>
      </c>
      <c r="J208" s="7">
        <f>'1 datos preparados'!I201</f>
        <v/>
      </c>
      <c r="K208" s="7">
        <f>'1 datos preparados'!J201</f>
        <v/>
      </c>
      <c r="L208" s="7">
        <f>'1 datos preparados'!K201</f>
        <v/>
      </c>
      <c r="M208" s="7">
        <f>'1 datos preparados'!L201</f>
        <v/>
      </c>
      <c r="N208" s="7">
        <f>'1 datos preparados'!M201</f>
        <v/>
      </c>
      <c r="O208" s="7">
        <f>'1 datos preparados'!N201</f>
        <v/>
      </c>
      <c r="P208" s="7">
        <f>'1 datos preparados'!O201</f>
        <v/>
      </c>
      <c r="Q208" s="7">
        <f>'1 datos preparados'!P201</f>
        <v/>
      </c>
      <c r="R208" s="7">
        <f>'1 datos preparados'!Q201</f>
        <v/>
      </c>
      <c r="S208" s="7">
        <f>'1 datos preparados'!R201</f>
        <v/>
      </c>
      <c r="T208" s="7">
        <f>'1 datos preparados'!S201</f>
        <v/>
      </c>
      <c r="U208" s="7">
        <f>'1 datos preparados'!T201</f>
        <v/>
      </c>
      <c r="V208" s="8">
        <f>$AC$12+D208*$AC$13+E208*$AC$14+F208*$AC$15+G208*$AC$16+H208*$AC$17+I208*$AC$18+J208*$AC$19+K208*$AC$20+L208*$AC$21+M208*$AC$22+N208*$AC$23+O208*$AC$24+P208*$AC$25+Q208*$AC$26+R208*$AC$27+S208*$AC$28+T208*$AC$29+U208*$AC$30</f>
        <v/>
      </c>
      <c r="W208" s="8">
        <f>1/(1+EXP(-V208))</f>
        <v/>
      </c>
      <c r="X208" s="9">
        <f>-IF(C208=1,LN(W208),LN(1-W208))</f>
        <v/>
      </c>
      <c r="Y208" s="10">
        <f>IF(W208&gt;$AC$34,1,0)</f>
        <v/>
      </c>
      <c r="Z208">
        <f>IF(Y208=C208,1,0)</f>
        <v/>
      </c>
    </row>
    <row r="209">
      <c r="A209">
        <f>'1 datos preparados'!A202</f>
        <v/>
      </c>
      <c r="B209" s="5">
        <f>'1 datos preparados'!U202</f>
        <v/>
      </c>
      <c r="C209">
        <f>'1 datos preparados'!B202</f>
        <v/>
      </c>
      <c r="D209" s="7">
        <f>'1 datos preparados'!C202</f>
        <v/>
      </c>
      <c r="E209" s="7">
        <f>'1 datos preparados'!D202</f>
        <v/>
      </c>
      <c r="F209" s="7">
        <f>'1 datos preparados'!E202</f>
        <v/>
      </c>
      <c r="G209" s="7">
        <f>'1 datos preparados'!F202</f>
        <v/>
      </c>
      <c r="H209" s="7">
        <f>'1 datos preparados'!G202</f>
        <v/>
      </c>
      <c r="I209" s="7">
        <f>'1 datos preparados'!H202</f>
        <v/>
      </c>
      <c r="J209" s="7">
        <f>'1 datos preparados'!I202</f>
        <v/>
      </c>
      <c r="K209" s="7">
        <f>'1 datos preparados'!J202</f>
        <v/>
      </c>
      <c r="L209" s="7">
        <f>'1 datos preparados'!K202</f>
        <v/>
      </c>
      <c r="M209" s="7">
        <f>'1 datos preparados'!L202</f>
        <v/>
      </c>
      <c r="N209" s="7">
        <f>'1 datos preparados'!M202</f>
        <v/>
      </c>
      <c r="O209" s="7">
        <f>'1 datos preparados'!N202</f>
        <v/>
      </c>
      <c r="P209" s="7">
        <f>'1 datos preparados'!O202</f>
        <v/>
      </c>
      <c r="Q209" s="7">
        <f>'1 datos preparados'!P202</f>
        <v/>
      </c>
      <c r="R209" s="7">
        <f>'1 datos preparados'!Q202</f>
        <v/>
      </c>
      <c r="S209" s="7">
        <f>'1 datos preparados'!R202</f>
        <v/>
      </c>
      <c r="T209" s="7">
        <f>'1 datos preparados'!S202</f>
        <v/>
      </c>
      <c r="U209" s="7">
        <f>'1 datos preparados'!T202</f>
        <v/>
      </c>
      <c r="V209" s="8">
        <f>$AC$12+D209*$AC$13+E209*$AC$14+F209*$AC$15+G209*$AC$16+H209*$AC$17+I209*$AC$18+J209*$AC$19+K209*$AC$20+L209*$AC$21+M209*$AC$22+N209*$AC$23+O209*$AC$24+P209*$AC$25+Q209*$AC$26+R209*$AC$27+S209*$AC$28+T209*$AC$29+U209*$AC$30</f>
        <v/>
      </c>
      <c r="W209" s="8">
        <f>1/(1+EXP(-V209))</f>
        <v/>
      </c>
      <c r="X209" s="9">
        <f>-IF(C209=1,LN(W209),LN(1-W209))</f>
        <v/>
      </c>
      <c r="Y209" s="10">
        <f>IF(W209&gt;$AC$34,1,0)</f>
        <v/>
      </c>
      <c r="Z209">
        <f>IF(Y209=C209,1,0)</f>
        <v/>
      </c>
    </row>
    <row r="210">
      <c r="A210">
        <f>'1 datos preparados'!A203</f>
        <v/>
      </c>
      <c r="B210" s="5">
        <f>'1 datos preparados'!U203</f>
        <v/>
      </c>
      <c r="C210">
        <f>'1 datos preparados'!B203</f>
        <v/>
      </c>
      <c r="D210" s="7">
        <f>'1 datos preparados'!C203</f>
        <v/>
      </c>
      <c r="E210" s="7">
        <f>'1 datos preparados'!D203</f>
        <v/>
      </c>
      <c r="F210" s="7">
        <f>'1 datos preparados'!E203</f>
        <v/>
      </c>
      <c r="G210" s="7">
        <f>'1 datos preparados'!F203</f>
        <v/>
      </c>
      <c r="H210" s="7">
        <f>'1 datos preparados'!G203</f>
        <v/>
      </c>
      <c r="I210" s="7">
        <f>'1 datos preparados'!H203</f>
        <v/>
      </c>
      <c r="J210" s="7">
        <f>'1 datos preparados'!I203</f>
        <v/>
      </c>
      <c r="K210" s="7">
        <f>'1 datos preparados'!J203</f>
        <v/>
      </c>
      <c r="L210" s="7">
        <f>'1 datos preparados'!K203</f>
        <v/>
      </c>
      <c r="M210" s="7">
        <f>'1 datos preparados'!L203</f>
        <v/>
      </c>
      <c r="N210" s="7">
        <f>'1 datos preparados'!M203</f>
        <v/>
      </c>
      <c r="O210" s="7">
        <f>'1 datos preparados'!N203</f>
        <v/>
      </c>
      <c r="P210" s="7">
        <f>'1 datos preparados'!O203</f>
        <v/>
      </c>
      <c r="Q210" s="7">
        <f>'1 datos preparados'!P203</f>
        <v/>
      </c>
      <c r="R210" s="7">
        <f>'1 datos preparados'!Q203</f>
        <v/>
      </c>
      <c r="S210" s="7">
        <f>'1 datos preparados'!R203</f>
        <v/>
      </c>
      <c r="T210" s="7">
        <f>'1 datos preparados'!S203</f>
        <v/>
      </c>
      <c r="U210" s="7">
        <f>'1 datos preparados'!T203</f>
        <v/>
      </c>
      <c r="V210" s="8">
        <f>$AC$12+D210*$AC$13+E210*$AC$14+F210*$AC$15+G210*$AC$16+H210*$AC$17+I210*$AC$18+J210*$AC$19+K210*$AC$20+L210*$AC$21+M210*$AC$22+N210*$AC$23+O210*$AC$24+P210*$AC$25+Q210*$AC$26+R210*$AC$27+S210*$AC$28+T210*$AC$29+U210*$AC$30</f>
        <v/>
      </c>
      <c r="W210" s="8">
        <f>1/(1+EXP(-V210))</f>
        <v/>
      </c>
      <c r="X210" s="9">
        <f>-IF(C210=1,LN(W210),LN(1-W210))</f>
        <v/>
      </c>
      <c r="Y210" s="10">
        <f>IF(W210&gt;$AC$34,1,0)</f>
        <v/>
      </c>
      <c r="Z210">
        <f>IF(Y210=C210,1,0)</f>
        <v/>
      </c>
    </row>
    <row r="211">
      <c r="A211">
        <f>'1 datos preparados'!A204</f>
        <v/>
      </c>
      <c r="B211" s="5">
        <f>'1 datos preparados'!U204</f>
        <v/>
      </c>
      <c r="C211">
        <f>'1 datos preparados'!B204</f>
        <v/>
      </c>
      <c r="D211" s="7">
        <f>'1 datos preparados'!C204</f>
        <v/>
      </c>
      <c r="E211" s="7">
        <f>'1 datos preparados'!D204</f>
        <v/>
      </c>
      <c r="F211" s="7">
        <f>'1 datos preparados'!E204</f>
        <v/>
      </c>
      <c r="G211" s="7">
        <f>'1 datos preparados'!F204</f>
        <v/>
      </c>
      <c r="H211" s="7">
        <f>'1 datos preparados'!G204</f>
        <v/>
      </c>
      <c r="I211" s="7">
        <f>'1 datos preparados'!H204</f>
        <v/>
      </c>
      <c r="J211" s="7">
        <f>'1 datos preparados'!I204</f>
        <v/>
      </c>
      <c r="K211" s="7">
        <f>'1 datos preparados'!J204</f>
        <v/>
      </c>
      <c r="L211" s="7">
        <f>'1 datos preparados'!K204</f>
        <v/>
      </c>
      <c r="M211" s="7">
        <f>'1 datos preparados'!L204</f>
        <v/>
      </c>
      <c r="N211" s="7">
        <f>'1 datos preparados'!M204</f>
        <v/>
      </c>
      <c r="O211" s="7">
        <f>'1 datos preparados'!N204</f>
        <v/>
      </c>
      <c r="P211" s="7">
        <f>'1 datos preparados'!O204</f>
        <v/>
      </c>
      <c r="Q211" s="7">
        <f>'1 datos preparados'!P204</f>
        <v/>
      </c>
      <c r="R211" s="7">
        <f>'1 datos preparados'!Q204</f>
        <v/>
      </c>
      <c r="S211" s="7">
        <f>'1 datos preparados'!R204</f>
        <v/>
      </c>
      <c r="T211" s="7">
        <f>'1 datos preparados'!S204</f>
        <v/>
      </c>
      <c r="U211" s="7">
        <f>'1 datos preparados'!T204</f>
        <v/>
      </c>
      <c r="V211" s="8">
        <f>$AC$12+D211*$AC$13+E211*$AC$14+F211*$AC$15+G211*$AC$16+H211*$AC$17+I211*$AC$18+J211*$AC$19+K211*$AC$20+L211*$AC$21+M211*$AC$22+N211*$AC$23+O211*$AC$24+P211*$AC$25+Q211*$AC$26+R211*$AC$27+S211*$AC$28+T211*$AC$29+U211*$AC$30</f>
        <v/>
      </c>
      <c r="W211" s="8">
        <f>1/(1+EXP(-V211))</f>
        <v/>
      </c>
      <c r="X211" s="9">
        <f>-IF(C211=1,LN(W211),LN(1-W211))</f>
        <v/>
      </c>
      <c r="Y211" s="10">
        <f>IF(W211&gt;$AC$34,1,0)</f>
        <v/>
      </c>
      <c r="Z211">
        <f>IF(Y211=C211,1,0)</f>
        <v/>
      </c>
    </row>
    <row r="212">
      <c r="A212">
        <f>'1 datos preparados'!A205</f>
        <v/>
      </c>
      <c r="B212" s="5">
        <f>'1 datos preparados'!U205</f>
        <v/>
      </c>
      <c r="C212">
        <f>'1 datos preparados'!B205</f>
        <v/>
      </c>
      <c r="D212" s="7">
        <f>'1 datos preparados'!C205</f>
        <v/>
      </c>
      <c r="E212" s="7">
        <f>'1 datos preparados'!D205</f>
        <v/>
      </c>
      <c r="F212" s="7">
        <f>'1 datos preparados'!E205</f>
        <v/>
      </c>
      <c r="G212" s="7">
        <f>'1 datos preparados'!F205</f>
        <v/>
      </c>
      <c r="H212" s="7">
        <f>'1 datos preparados'!G205</f>
        <v/>
      </c>
      <c r="I212" s="7">
        <f>'1 datos preparados'!H205</f>
        <v/>
      </c>
      <c r="J212" s="7">
        <f>'1 datos preparados'!I205</f>
        <v/>
      </c>
      <c r="K212" s="7">
        <f>'1 datos preparados'!J205</f>
        <v/>
      </c>
      <c r="L212" s="7">
        <f>'1 datos preparados'!K205</f>
        <v/>
      </c>
      <c r="M212" s="7">
        <f>'1 datos preparados'!L205</f>
        <v/>
      </c>
      <c r="N212" s="7">
        <f>'1 datos preparados'!M205</f>
        <v/>
      </c>
      <c r="O212" s="7">
        <f>'1 datos preparados'!N205</f>
        <v/>
      </c>
      <c r="P212" s="7">
        <f>'1 datos preparados'!O205</f>
        <v/>
      </c>
      <c r="Q212" s="7">
        <f>'1 datos preparados'!P205</f>
        <v/>
      </c>
      <c r="R212" s="7">
        <f>'1 datos preparados'!Q205</f>
        <v/>
      </c>
      <c r="S212" s="7">
        <f>'1 datos preparados'!R205</f>
        <v/>
      </c>
      <c r="T212" s="7">
        <f>'1 datos preparados'!S205</f>
        <v/>
      </c>
      <c r="U212" s="7">
        <f>'1 datos preparados'!T205</f>
        <v/>
      </c>
      <c r="V212" s="8">
        <f>$AC$12+D212*$AC$13+E212*$AC$14+F212*$AC$15+G212*$AC$16+H212*$AC$17+I212*$AC$18+J212*$AC$19+K212*$AC$20+L212*$AC$21+M212*$AC$22+N212*$AC$23+O212*$AC$24+P212*$AC$25+Q212*$AC$26+R212*$AC$27+S212*$AC$28+T212*$AC$29+U212*$AC$30</f>
        <v/>
      </c>
      <c r="W212" s="8">
        <f>1/(1+EXP(-V212))</f>
        <v/>
      </c>
      <c r="X212" s="9">
        <f>-IF(C212=1,LN(W212),LN(1-W212))</f>
        <v/>
      </c>
      <c r="Y212" s="10">
        <f>IF(W212&gt;$AC$34,1,0)</f>
        <v/>
      </c>
      <c r="Z212">
        <f>IF(Y212=C212,1,0)</f>
        <v/>
      </c>
    </row>
    <row r="213">
      <c r="A213">
        <f>'1 datos preparados'!A206</f>
        <v/>
      </c>
      <c r="B213" s="5">
        <f>'1 datos preparados'!U206</f>
        <v/>
      </c>
      <c r="C213">
        <f>'1 datos preparados'!B206</f>
        <v/>
      </c>
      <c r="D213" s="7">
        <f>'1 datos preparados'!C206</f>
        <v/>
      </c>
      <c r="E213" s="7">
        <f>'1 datos preparados'!D206</f>
        <v/>
      </c>
      <c r="F213" s="7">
        <f>'1 datos preparados'!E206</f>
        <v/>
      </c>
      <c r="G213" s="7">
        <f>'1 datos preparados'!F206</f>
        <v/>
      </c>
      <c r="H213" s="7">
        <f>'1 datos preparados'!G206</f>
        <v/>
      </c>
      <c r="I213" s="7">
        <f>'1 datos preparados'!H206</f>
        <v/>
      </c>
      <c r="J213" s="7">
        <f>'1 datos preparados'!I206</f>
        <v/>
      </c>
      <c r="K213" s="7">
        <f>'1 datos preparados'!J206</f>
        <v/>
      </c>
      <c r="L213" s="7">
        <f>'1 datos preparados'!K206</f>
        <v/>
      </c>
      <c r="M213" s="7">
        <f>'1 datos preparados'!L206</f>
        <v/>
      </c>
      <c r="N213" s="7">
        <f>'1 datos preparados'!M206</f>
        <v/>
      </c>
      <c r="O213" s="7">
        <f>'1 datos preparados'!N206</f>
        <v/>
      </c>
      <c r="P213" s="7">
        <f>'1 datos preparados'!O206</f>
        <v/>
      </c>
      <c r="Q213" s="7">
        <f>'1 datos preparados'!P206</f>
        <v/>
      </c>
      <c r="R213" s="7">
        <f>'1 datos preparados'!Q206</f>
        <v/>
      </c>
      <c r="S213" s="7">
        <f>'1 datos preparados'!R206</f>
        <v/>
      </c>
      <c r="T213" s="7">
        <f>'1 datos preparados'!S206</f>
        <v/>
      </c>
      <c r="U213" s="7">
        <f>'1 datos preparados'!T206</f>
        <v/>
      </c>
      <c r="V213" s="8">
        <f>$AC$12+D213*$AC$13+E213*$AC$14+F213*$AC$15+G213*$AC$16+H213*$AC$17+I213*$AC$18+J213*$AC$19+K213*$AC$20+L213*$AC$21+M213*$AC$22+N213*$AC$23+O213*$AC$24+P213*$AC$25+Q213*$AC$26+R213*$AC$27+S213*$AC$28+T213*$AC$29+U213*$AC$30</f>
        <v/>
      </c>
      <c r="W213" s="8">
        <f>1/(1+EXP(-V213))</f>
        <v/>
      </c>
      <c r="X213" s="9">
        <f>-IF(C213=1,LN(W213),LN(1-W213))</f>
        <v/>
      </c>
      <c r="Y213" s="10">
        <f>IF(W213&gt;$AC$34,1,0)</f>
        <v/>
      </c>
      <c r="Z213">
        <f>IF(Y213=C213,1,0)</f>
        <v/>
      </c>
    </row>
    <row r="214">
      <c r="A214">
        <f>'1 datos preparados'!A207</f>
        <v/>
      </c>
      <c r="B214" s="5">
        <f>'1 datos preparados'!U207</f>
        <v/>
      </c>
      <c r="C214">
        <f>'1 datos preparados'!B207</f>
        <v/>
      </c>
      <c r="D214" s="7">
        <f>'1 datos preparados'!C207</f>
        <v/>
      </c>
      <c r="E214" s="7">
        <f>'1 datos preparados'!D207</f>
        <v/>
      </c>
      <c r="F214" s="7">
        <f>'1 datos preparados'!E207</f>
        <v/>
      </c>
      <c r="G214" s="7">
        <f>'1 datos preparados'!F207</f>
        <v/>
      </c>
      <c r="H214" s="7">
        <f>'1 datos preparados'!G207</f>
        <v/>
      </c>
      <c r="I214" s="7">
        <f>'1 datos preparados'!H207</f>
        <v/>
      </c>
      <c r="J214" s="7">
        <f>'1 datos preparados'!I207</f>
        <v/>
      </c>
      <c r="K214" s="7">
        <f>'1 datos preparados'!J207</f>
        <v/>
      </c>
      <c r="L214" s="7">
        <f>'1 datos preparados'!K207</f>
        <v/>
      </c>
      <c r="M214" s="7">
        <f>'1 datos preparados'!L207</f>
        <v/>
      </c>
      <c r="N214" s="7">
        <f>'1 datos preparados'!M207</f>
        <v/>
      </c>
      <c r="O214" s="7">
        <f>'1 datos preparados'!N207</f>
        <v/>
      </c>
      <c r="P214" s="7">
        <f>'1 datos preparados'!O207</f>
        <v/>
      </c>
      <c r="Q214" s="7">
        <f>'1 datos preparados'!P207</f>
        <v/>
      </c>
      <c r="R214" s="7">
        <f>'1 datos preparados'!Q207</f>
        <v/>
      </c>
      <c r="S214" s="7">
        <f>'1 datos preparados'!R207</f>
        <v/>
      </c>
      <c r="T214" s="7">
        <f>'1 datos preparados'!S207</f>
        <v/>
      </c>
      <c r="U214" s="7">
        <f>'1 datos preparados'!T207</f>
        <v/>
      </c>
      <c r="V214" s="8">
        <f>$AC$12+D214*$AC$13+E214*$AC$14+F214*$AC$15+G214*$AC$16+H214*$AC$17+I214*$AC$18+J214*$AC$19+K214*$AC$20+L214*$AC$21+M214*$AC$22+N214*$AC$23+O214*$AC$24+P214*$AC$25+Q214*$AC$26+R214*$AC$27+S214*$AC$28+T214*$AC$29+U214*$AC$30</f>
        <v/>
      </c>
      <c r="W214" s="8">
        <f>1/(1+EXP(-V214))</f>
        <v/>
      </c>
      <c r="X214" s="9">
        <f>-IF(C214=1,LN(W214),LN(1-W214))</f>
        <v/>
      </c>
      <c r="Y214" s="10">
        <f>IF(W214&gt;$AC$34,1,0)</f>
        <v/>
      </c>
      <c r="Z214">
        <f>IF(Y214=C214,1,0)</f>
        <v/>
      </c>
    </row>
    <row r="215">
      <c r="A215">
        <f>'1 datos preparados'!A208</f>
        <v/>
      </c>
      <c r="B215" s="5">
        <f>'1 datos preparados'!U208</f>
        <v/>
      </c>
      <c r="C215">
        <f>'1 datos preparados'!B208</f>
        <v/>
      </c>
      <c r="D215" s="7">
        <f>'1 datos preparados'!C208</f>
        <v/>
      </c>
      <c r="E215" s="7">
        <f>'1 datos preparados'!D208</f>
        <v/>
      </c>
      <c r="F215" s="7">
        <f>'1 datos preparados'!E208</f>
        <v/>
      </c>
      <c r="G215" s="7">
        <f>'1 datos preparados'!F208</f>
        <v/>
      </c>
      <c r="H215" s="7">
        <f>'1 datos preparados'!G208</f>
        <v/>
      </c>
      <c r="I215" s="7">
        <f>'1 datos preparados'!H208</f>
        <v/>
      </c>
      <c r="J215" s="7">
        <f>'1 datos preparados'!I208</f>
        <v/>
      </c>
      <c r="K215" s="7">
        <f>'1 datos preparados'!J208</f>
        <v/>
      </c>
      <c r="L215" s="7">
        <f>'1 datos preparados'!K208</f>
        <v/>
      </c>
      <c r="M215" s="7">
        <f>'1 datos preparados'!L208</f>
        <v/>
      </c>
      <c r="N215" s="7">
        <f>'1 datos preparados'!M208</f>
        <v/>
      </c>
      <c r="O215" s="7">
        <f>'1 datos preparados'!N208</f>
        <v/>
      </c>
      <c r="P215" s="7">
        <f>'1 datos preparados'!O208</f>
        <v/>
      </c>
      <c r="Q215" s="7">
        <f>'1 datos preparados'!P208</f>
        <v/>
      </c>
      <c r="R215" s="7">
        <f>'1 datos preparados'!Q208</f>
        <v/>
      </c>
      <c r="S215" s="7">
        <f>'1 datos preparados'!R208</f>
        <v/>
      </c>
      <c r="T215" s="7">
        <f>'1 datos preparados'!S208</f>
        <v/>
      </c>
      <c r="U215" s="7">
        <f>'1 datos preparados'!T208</f>
        <v/>
      </c>
      <c r="V215" s="8">
        <f>$AC$12+D215*$AC$13+E215*$AC$14+F215*$AC$15+G215*$AC$16+H215*$AC$17+I215*$AC$18+J215*$AC$19+K215*$AC$20+L215*$AC$21+M215*$AC$22+N215*$AC$23+O215*$AC$24+P215*$AC$25+Q215*$AC$26+R215*$AC$27+S215*$AC$28+T215*$AC$29+U215*$AC$30</f>
        <v/>
      </c>
      <c r="W215" s="8">
        <f>1/(1+EXP(-V215))</f>
        <v/>
      </c>
      <c r="X215" s="9">
        <f>-IF(C215=1,LN(W215),LN(1-W215))</f>
        <v/>
      </c>
      <c r="Y215" s="10">
        <f>IF(W215&gt;$AC$34,1,0)</f>
        <v/>
      </c>
      <c r="Z215">
        <f>IF(Y215=C215,1,0)</f>
        <v/>
      </c>
    </row>
    <row r="216">
      <c r="A216">
        <f>'1 datos preparados'!A209</f>
        <v/>
      </c>
      <c r="B216" s="5">
        <f>'1 datos preparados'!U209</f>
        <v/>
      </c>
      <c r="C216">
        <f>'1 datos preparados'!B209</f>
        <v/>
      </c>
      <c r="D216" s="7">
        <f>'1 datos preparados'!C209</f>
        <v/>
      </c>
      <c r="E216" s="7">
        <f>'1 datos preparados'!D209</f>
        <v/>
      </c>
      <c r="F216" s="7">
        <f>'1 datos preparados'!E209</f>
        <v/>
      </c>
      <c r="G216" s="7">
        <f>'1 datos preparados'!F209</f>
        <v/>
      </c>
      <c r="H216" s="7">
        <f>'1 datos preparados'!G209</f>
        <v/>
      </c>
      <c r="I216" s="7">
        <f>'1 datos preparados'!H209</f>
        <v/>
      </c>
      <c r="J216" s="7">
        <f>'1 datos preparados'!I209</f>
        <v/>
      </c>
      <c r="K216" s="7">
        <f>'1 datos preparados'!J209</f>
        <v/>
      </c>
      <c r="L216" s="7">
        <f>'1 datos preparados'!K209</f>
        <v/>
      </c>
      <c r="M216" s="7">
        <f>'1 datos preparados'!L209</f>
        <v/>
      </c>
      <c r="N216" s="7">
        <f>'1 datos preparados'!M209</f>
        <v/>
      </c>
      <c r="O216" s="7">
        <f>'1 datos preparados'!N209</f>
        <v/>
      </c>
      <c r="P216" s="7">
        <f>'1 datos preparados'!O209</f>
        <v/>
      </c>
      <c r="Q216" s="7">
        <f>'1 datos preparados'!P209</f>
        <v/>
      </c>
      <c r="R216" s="7">
        <f>'1 datos preparados'!Q209</f>
        <v/>
      </c>
      <c r="S216" s="7">
        <f>'1 datos preparados'!R209</f>
        <v/>
      </c>
      <c r="T216" s="7">
        <f>'1 datos preparados'!S209</f>
        <v/>
      </c>
      <c r="U216" s="7">
        <f>'1 datos preparados'!T209</f>
        <v/>
      </c>
      <c r="V216" s="8">
        <f>$AC$12+D216*$AC$13+E216*$AC$14+F216*$AC$15+G216*$AC$16+H216*$AC$17+I216*$AC$18+J216*$AC$19+K216*$AC$20+L216*$AC$21+M216*$AC$22+N216*$AC$23+O216*$AC$24+P216*$AC$25+Q216*$AC$26+R216*$AC$27+S216*$AC$28+T216*$AC$29+U216*$AC$30</f>
        <v/>
      </c>
      <c r="W216" s="8">
        <f>1/(1+EXP(-V216))</f>
        <v/>
      </c>
      <c r="X216" s="9">
        <f>-IF(C216=1,LN(W216),LN(1-W216))</f>
        <v/>
      </c>
      <c r="Y216" s="10">
        <f>IF(W216&gt;$AC$34,1,0)</f>
        <v/>
      </c>
      <c r="Z216">
        <f>IF(Y216=C216,1,0)</f>
        <v/>
      </c>
    </row>
    <row r="217">
      <c r="A217">
        <f>'1 datos preparados'!A210</f>
        <v/>
      </c>
      <c r="B217" s="5">
        <f>'1 datos preparados'!U210</f>
        <v/>
      </c>
      <c r="C217">
        <f>'1 datos preparados'!B210</f>
        <v/>
      </c>
      <c r="D217" s="7">
        <f>'1 datos preparados'!C210</f>
        <v/>
      </c>
      <c r="E217" s="7">
        <f>'1 datos preparados'!D210</f>
        <v/>
      </c>
      <c r="F217" s="7">
        <f>'1 datos preparados'!E210</f>
        <v/>
      </c>
      <c r="G217" s="7">
        <f>'1 datos preparados'!F210</f>
        <v/>
      </c>
      <c r="H217" s="7">
        <f>'1 datos preparados'!G210</f>
        <v/>
      </c>
      <c r="I217" s="7">
        <f>'1 datos preparados'!H210</f>
        <v/>
      </c>
      <c r="J217" s="7">
        <f>'1 datos preparados'!I210</f>
        <v/>
      </c>
      <c r="K217" s="7">
        <f>'1 datos preparados'!J210</f>
        <v/>
      </c>
      <c r="L217" s="7">
        <f>'1 datos preparados'!K210</f>
        <v/>
      </c>
      <c r="M217" s="7">
        <f>'1 datos preparados'!L210</f>
        <v/>
      </c>
      <c r="N217" s="7">
        <f>'1 datos preparados'!M210</f>
        <v/>
      </c>
      <c r="O217" s="7">
        <f>'1 datos preparados'!N210</f>
        <v/>
      </c>
      <c r="P217" s="7">
        <f>'1 datos preparados'!O210</f>
        <v/>
      </c>
      <c r="Q217" s="7">
        <f>'1 datos preparados'!P210</f>
        <v/>
      </c>
      <c r="R217" s="7">
        <f>'1 datos preparados'!Q210</f>
        <v/>
      </c>
      <c r="S217" s="7">
        <f>'1 datos preparados'!R210</f>
        <v/>
      </c>
      <c r="T217" s="7">
        <f>'1 datos preparados'!S210</f>
        <v/>
      </c>
      <c r="U217" s="7">
        <f>'1 datos preparados'!T210</f>
        <v/>
      </c>
      <c r="V217" s="8">
        <f>$AC$12+D217*$AC$13+E217*$AC$14+F217*$AC$15+G217*$AC$16+H217*$AC$17+I217*$AC$18+J217*$AC$19+K217*$AC$20+L217*$AC$21+M217*$AC$22+N217*$AC$23+O217*$AC$24+P217*$AC$25+Q217*$AC$26+R217*$AC$27+S217*$AC$28+T217*$AC$29+U217*$AC$30</f>
        <v/>
      </c>
      <c r="W217" s="8">
        <f>1/(1+EXP(-V217))</f>
        <v/>
      </c>
      <c r="X217" s="9">
        <f>-IF(C217=1,LN(W217),LN(1-W217))</f>
        <v/>
      </c>
      <c r="Y217" s="10">
        <f>IF(W217&gt;$AC$34,1,0)</f>
        <v/>
      </c>
      <c r="Z217">
        <f>IF(Y217=C217,1,0)</f>
        <v/>
      </c>
    </row>
    <row r="218">
      <c r="A218">
        <f>'1 datos preparados'!A211</f>
        <v/>
      </c>
      <c r="B218" s="5">
        <f>'1 datos preparados'!U211</f>
        <v/>
      </c>
      <c r="C218">
        <f>'1 datos preparados'!B211</f>
        <v/>
      </c>
      <c r="D218" s="7">
        <f>'1 datos preparados'!C211</f>
        <v/>
      </c>
      <c r="E218" s="7">
        <f>'1 datos preparados'!D211</f>
        <v/>
      </c>
      <c r="F218" s="7">
        <f>'1 datos preparados'!E211</f>
        <v/>
      </c>
      <c r="G218" s="7">
        <f>'1 datos preparados'!F211</f>
        <v/>
      </c>
      <c r="H218" s="7">
        <f>'1 datos preparados'!G211</f>
        <v/>
      </c>
      <c r="I218" s="7">
        <f>'1 datos preparados'!H211</f>
        <v/>
      </c>
      <c r="J218" s="7">
        <f>'1 datos preparados'!I211</f>
        <v/>
      </c>
      <c r="K218" s="7">
        <f>'1 datos preparados'!J211</f>
        <v/>
      </c>
      <c r="L218" s="7">
        <f>'1 datos preparados'!K211</f>
        <v/>
      </c>
      <c r="M218" s="7">
        <f>'1 datos preparados'!L211</f>
        <v/>
      </c>
      <c r="N218" s="7">
        <f>'1 datos preparados'!M211</f>
        <v/>
      </c>
      <c r="O218" s="7">
        <f>'1 datos preparados'!N211</f>
        <v/>
      </c>
      <c r="P218" s="7">
        <f>'1 datos preparados'!O211</f>
        <v/>
      </c>
      <c r="Q218" s="7">
        <f>'1 datos preparados'!P211</f>
        <v/>
      </c>
      <c r="R218" s="7">
        <f>'1 datos preparados'!Q211</f>
        <v/>
      </c>
      <c r="S218" s="7">
        <f>'1 datos preparados'!R211</f>
        <v/>
      </c>
      <c r="T218" s="7">
        <f>'1 datos preparados'!S211</f>
        <v/>
      </c>
      <c r="U218" s="7">
        <f>'1 datos preparados'!T211</f>
        <v/>
      </c>
      <c r="V218" s="8">
        <f>$AC$12+D218*$AC$13+E218*$AC$14+F218*$AC$15+G218*$AC$16+H218*$AC$17+I218*$AC$18+J218*$AC$19+K218*$AC$20+L218*$AC$21+M218*$AC$22+N218*$AC$23+O218*$AC$24+P218*$AC$25+Q218*$AC$26+R218*$AC$27+S218*$AC$28+T218*$AC$29+U218*$AC$30</f>
        <v/>
      </c>
      <c r="W218" s="8">
        <f>1/(1+EXP(-V218))</f>
        <v/>
      </c>
      <c r="X218" s="9">
        <f>-IF(C218=1,LN(W218),LN(1-W218))</f>
        <v/>
      </c>
      <c r="Y218" s="10">
        <f>IF(W218&gt;$AC$34,1,0)</f>
        <v/>
      </c>
      <c r="Z218">
        <f>IF(Y218=C218,1,0)</f>
        <v/>
      </c>
    </row>
    <row r="219">
      <c r="A219">
        <f>'1 datos preparados'!A212</f>
        <v/>
      </c>
      <c r="B219" s="5">
        <f>'1 datos preparados'!U212</f>
        <v/>
      </c>
      <c r="C219">
        <f>'1 datos preparados'!B212</f>
        <v/>
      </c>
      <c r="D219" s="7">
        <f>'1 datos preparados'!C212</f>
        <v/>
      </c>
      <c r="E219" s="7">
        <f>'1 datos preparados'!D212</f>
        <v/>
      </c>
      <c r="F219" s="7">
        <f>'1 datos preparados'!E212</f>
        <v/>
      </c>
      <c r="G219" s="7">
        <f>'1 datos preparados'!F212</f>
        <v/>
      </c>
      <c r="H219" s="7">
        <f>'1 datos preparados'!G212</f>
        <v/>
      </c>
      <c r="I219" s="7">
        <f>'1 datos preparados'!H212</f>
        <v/>
      </c>
      <c r="J219" s="7">
        <f>'1 datos preparados'!I212</f>
        <v/>
      </c>
      <c r="K219" s="7">
        <f>'1 datos preparados'!J212</f>
        <v/>
      </c>
      <c r="L219" s="7">
        <f>'1 datos preparados'!K212</f>
        <v/>
      </c>
      <c r="M219" s="7">
        <f>'1 datos preparados'!L212</f>
        <v/>
      </c>
      <c r="N219" s="7">
        <f>'1 datos preparados'!M212</f>
        <v/>
      </c>
      <c r="O219" s="7">
        <f>'1 datos preparados'!N212</f>
        <v/>
      </c>
      <c r="P219" s="7">
        <f>'1 datos preparados'!O212</f>
        <v/>
      </c>
      <c r="Q219" s="7">
        <f>'1 datos preparados'!P212</f>
        <v/>
      </c>
      <c r="R219" s="7">
        <f>'1 datos preparados'!Q212</f>
        <v/>
      </c>
      <c r="S219" s="7">
        <f>'1 datos preparados'!R212</f>
        <v/>
      </c>
      <c r="T219" s="7">
        <f>'1 datos preparados'!S212</f>
        <v/>
      </c>
      <c r="U219" s="7">
        <f>'1 datos preparados'!T212</f>
        <v/>
      </c>
      <c r="V219" s="8">
        <f>$AC$12+D219*$AC$13+E219*$AC$14+F219*$AC$15+G219*$AC$16+H219*$AC$17+I219*$AC$18+J219*$AC$19+K219*$AC$20+L219*$AC$21+M219*$AC$22+N219*$AC$23+O219*$AC$24+P219*$AC$25+Q219*$AC$26+R219*$AC$27+S219*$AC$28+T219*$AC$29+U219*$AC$30</f>
        <v/>
      </c>
      <c r="W219" s="8">
        <f>1/(1+EXP(-V219))</f>
        <v/>
      </c>
      <c r="X219" s="9">
        <f>-IF(C219=1,LN(W219),LN(1-W219))</f>
        <v/>
      </c>
      <c r="Y219" s="10">
        <f>IF(W219&gt;$AC$34,1,0)</f>
        <v/>
      </c>
      <c r="Z219">
        <f>IF(Y219=C219,1,0)</f>
        <v/>
      </c>
    </row>
    <row r="220">
      <c r="A220">
        <f>'1 datos preparados'!A213</f>
        <v/>
      </c>
      <c r="B220" s="5">
        <f>'1 datos preparados'!U213</f>
        <v/>
      </c>
      <c r="C220">
        <f>'1 datos preparados'!B213</f>
        <v/>
      </c>
      <c r="D220" s="7">
        <f>'1 datos preparados'!C213</f>
        <v/>
      </c>
      <c r="E220" s="7">
        <f>'1 datos preparados'!D213</f>
        <v/>
      </c>
      <c r="F220" s="7">
        <f>'1 datos preparados'!E213</f>
        <v/>
      </c>
      <c r="G220" s="7">
        <f>'1 datos preparados'!F213</f>
        <v/>
      </c>
      <c r="H220" s="7">
        <f>'1 datos preparados'!G213</f>
        <v/>
      </c>
      <c r="I220" s="7">
        <f>'1 datos preparados'!H213</f>
        <v/>
      </c>
      <c r="J220" s="7">
        <f>'1 datos preparados'!I213</f>
        <v/>
      </c>
      <c r="K220" s="7">
        <f>'1 datos preparados'!J213</f>
        <v/>
      </c>
      <c r="L220" s="7">
        <f>'1 datos preparados'!K213</f>
        <v/>
      </c>
      <c r="M220" s="7">
        <f>'1 datos preparados'!L213</f>
        <v/>
      </c>
      <c r="N220" s="7">
        <f>'1 datos preparados'!M213</f>
        <v/>
      </c>
      <c r="O220" s="7">
        <f>'1 datos preparados'!N213</f>
        <v/>
      </c>
      <c r="P220" s="7">
        <f>'1 datos preparados'!O213</f>
        <v/>
      </c>
      <c r="Q220" s="7">
        <f>'1 datos preparados'!P213</f>
        <v/>
      </c>
      <c r="R220" s="7">
        <f>'1 datos preparados'!Q213</f>
        <v/>
      </c>
      <c r="S220" s="7">
        <f>'1 datos preparados'!R213</f>
        <v/>
      </c>
      <c r="T220" s="7">
        <f>'1 datos preparados'!S213</f>
        <v/>
      </c>
      <c r="U220" s="7">
        <f>'1 datos preparados'!T213</f>
        <v/>
      </c>
      <c r="V220" s="8">
        <f>$AC$12+D220*$AC$13+E220*$AC$14+F220*$AC$15+G220*$AC$16+H220*$AC$17+I220*$AC$18+J220*$AC$19+K220*$AC$20+L220*$AC$21+M220*$AC$22+N220*$AC$23+O220*$AC$24+P220*$AC$25+Q220*$AC$26+R220*$AC$27+S220*$AC$28+T220*$AC$29+U220*$AC$30</f>
        <v/>
      </c>
      <c r="W220" s="8">
        <f>1/(1+EXP(-V220))</f>
        <v/>
      </c>
      <c r="X220" s="9">
        <f>-IF(C220=1,LN(W220),LN(1-W220))</f>
        <v/>
      </c>
      <c r="Y220" s="10">
        <f>IF(W220&gt;$AC$34,1,0)</f>
        <v/>
      </c>
      <c r="Z220">
        <f>IF(Y220=C220,1,0)</f>
        <v/>
      </c>
    </row>
    <row r="221">
      <c r="A221">
        <f>'1 datos preparados'!A214</f>
        <v/>
      </c>
      <c r="B221" s="5">
        <f>'1 datos preparados'!U214</f>
        <v/>
      </c>
      <c r="C221">
        <f>'1 datos preparados'!B214</f>
        <v/>
      </c>
      <c r="D221" s="7">
        <f>'1 datos preparados'!C214</f>
        <v/>
      </c>
      <c r="E221" s="7">
        <f>'1 datos preparados'!D214</f>
        <v/>
      </c>
      <c r="F221" s="7">
        <f>'1 datos preparados'!E214</f>
        <v/>
      </c>
      <c r="G221" s="7">
        <f>'1 datos preparados'!F214</f>
        <v/>
      </c>
      <c r="H221" s="7">
        <f>'1 datos preparados'!G214</f>
        <v/>
      </c>
      <c r="I221" s="7">
        <f>'1 datos preparados'!H214</f>
        <v/>
      </c>
      <c r="J221" s="7">
        <f>'1 datos preparados'!I214</f>
        <v/>
      </c>
      <c r="K221" s="7">
        <f>'1 datos preparados'!J214</f>
        <v/>
      </c>
      <c r="L221" s="7">
        <f>'1 datos preparados'!K214</f>
        <v/>
      </c>
      <c r="M221" s="7">
        <f>'1 datos preparados'!L214</f>
        <v/>
      </c>
      <c r="N221" s="7">
        <f>'1 datos preparados'!M214</f>
        <v/>
      </c>
      <c r="O221" s="7">
        <f>'1 datos preparados'!N214</f>
        <v/>
      </c>
      <c r="P221" s="7">
        <f>'1 datos preparados'!O214</f>
        <v/>
      </c>
      <c r="Q221" s="7">
        <f>'1 datos preparados'!P214</f>
        <v/>
      </c>
      <c r="R221" s="7">
        <f>'1 datos preparados'!Q214</f>
        <v/>
      </c>
      <c r="S221" s="7">
        <f>'1 datos preparados'!R214</f>
        <v/>
      </c>
      <c r="T221" s="7">
        <f>'1 datos preparados'!S214</f>
        <v/>
      </c>
      <c r="U221" s="7">
        <f>'1 datos preparados'!T214</f>
        <v/>
      </c>
      <c r="V221" s="8">
        <f>$AC$12+D221*$AC$13+E221*$AC$14+F221*$AC$15+G221*$AC$16+H221*$AC$17+I221*$AC$18+J221*$AC$19+K221*$AC$20+L221*$AC$21+M221*$AC$22+N221*$AC$23+O221*$AC$24+P221*$AC$25+Q221*$AC$26+R221*$AC$27+S221*$AC$28+T221*$AC$29+U221*$AC$30</f>
        <v/>
      </c>
      <c r="W221" s="8">
        <f>1/(1+EXP(-V221))</f>
        <v/>
      </c>
      <c r="X221" s="9">
        <f>-IF(C221=1,LN(W221),LN(1-W221))</f>
        <v/>
      </c>
      <c r="Y221" s="10">
        <f>IF(W221&gt;$AC$34,1,0)</f>
        <v/>
      </c>
      <c r="Z221">
        <f>IF(Y221=C221,1,0)</f>
        <v/>
      </c>
    </row>
    <row r="222">
      <c r="A222">
        <f>'1 datos preparados'!A215</f>
        <v/>
      </c>
      <c r="B222" s="5">
        <f>'1 datos preparados'!U215</f>
        <v/>
      </c>
      <c r="C222">
        <f>'1 datos preparados'!B215</f>
        <v/>
      </c>
      <c r="D222" s="7">
        <f>'1 datos preparados'!C215</f>
        <v/>
      </c>
      <c r="E222" s="7">
        <f>'1 datos preparados'!D215</f>
        <v/>
      </c>
      <c r="F222" s="7">
        <f>'1 datos preparados'!E215</f>
        <v/>
      </c>
      <c r="G222" s="7">
        <f>'1 datos preparados'!F215</f>
        <v/>
      </c>
      <c r="H222" s="7">
        <f>'1 datos preparados'!G215</f>
        <v/>
      </c>
      <c r="I222" s="7">
        <f>'1 datos preparados'!H215</f>
        <v/>
      </c>
      <c r="J222" s="7">
        <f>'1 datos preparados'!I215</f>
        <v/>
      </c>
      <c r="K222" s="7">
        <f>'1 datos preparados'!J215</f>
        <v/>
      </c>
      <c r="L222" s="7">
        <f>'1 datos preparados'!K215</f>
        <v/>
      </c>
      <c r="M222" s="7">
        <f>'1 datos preparados'!L215</f>
        <v/>
      </c>
      <c r="N222" s="7">
        <f>'1 datos preparados'!M215</f>
        <v/>
      </c>
      <c r="O222" s="7">
        <f>'1 datos preparados'!N215</f>
        <v/>
      </c>
      <c r="P222" s="7">
        <f>'1 datos preparados'!O215</f>
        <v/>
      </c>
      <c r="Q222" s="7">
        <f>'1 datos preparados'!P215</f>
        <v/>
      </c>
      <c r="R222" s="7">
        <f>'1 datos preparados'!Q215</f>
        <v/>
      </c>
      <c r="S222" s="7">
        <f>'1 datos preparados'!R215</f>
        <v/>
      </c>
      <c r="T222" s="7">
        <f>'1 datos preparados'!S215</f>
        <v/>
      </c>
      <c r="U222" s="7">
        <f>'1 datos preparados'!T215</f>
        <v/>
      </c>
      <c r="V222" s="8">
        <f>$AC$12+D222*$AC$13+E222*$AC$14+F222*$AC$15+G222*$AC$16+H222*$AC$17+I222*$AC$18+J222*$AC$19+K222*$AC$20+L222*$AC$21+M222*$AC$22+N222*$AC$23+O222*$AC$24+P222*$AC$25+Q222*$AC$26+R222*$AC$27+S222*$AC$28+T222*$AC$29+U222*$AC$30</f>
        <v/>
      </c>
      <c r="W222" s="8">
        <f>1/(1+EXP(-V222))</f>
        <v/>
      </c>
      <c r="X222" s="9">
        <f>-IF(C222=1,LN(W222),LN(1-W222))</f>
        <v/>
      </c>
      <c r="Y222" s="10">
        <f>IF(W222&gt;$AC$34,1,0)</f>
        <v/>
      </c>
      <c r="Z222">
        <f>IF(Y222=C222,1,0)</f>
        <v/>
      </c>
    </row>
    <row r="223">
      <c r="A223">
        <f>'1 datos preparados'!A216</f>
        <v/>
      </c>
      <c r="B223" s="5">
        <f>'1 datos preparados'!U216</f>
        <v/>
      </c>
      <c r="C223">
        <f>'1 datos preparados'!B216</f>
        <v/>
      </c>
      <c r="D223" s="7">
        <f>'1 datos preparados'!C216</f>
        <v/>
      </c>
      <c r="E223" s="7">
        <f>'1 datos preparados'!D216</f>
        <v/>
      </c>
      <c r="F223" s="7">
        <f>'1 datos preparados'!E216</f>
        <v/>
      </c>
      <c r="G223" s="7">
        <f>'1 datos preparados'!F216</f>
        <v/>
      </c>
      <c r="H223" s="7">
        <f>'1 datos preparados'!G216</f>
        <v/>
      </c>
      <c r="I223" s="7">
        <f>'1 datos preparados'!H216</f>
        <v/>
      </c>
      <c r="J223" s="7">
        <f>'1 datos preparados'!I216</f>
        <v/>
      </c>
      <c r="K223" s="7">
        <f>'1 datos preparados'!J216</f>
        <v/>
      </c>
      <c r="L223" s="7">
        <f>'1 datos preparados'!K216</f>
        <v/>
      </c>
      <c r="M223" s="7">
        <f>'1 datos preparados'!L216</f>
        <v/>
      </c>
      <c r="N223" s="7">
        <f>'1 datos preparados'!M216</f>
        <v/>
      </c>
      <c r="O223" s="7">
        <f>'1 datos preparados'!N216</f>
        <v/>
      </c>
      <c r="P223" s="7">
        <f>'1 datos preparados'!O216</f>
        <v/>
      </c>
      <c r="Q223" s="7">
        <f>'1 datos preparados'!P216</f>
        <v/>
      </c>
      <c r="R223" s="7">
        <f>'1 datos preparados'!Q216</f>
        <v/>
      </c>
      <c r="S223" s="7">
        <f>'1 datos preparados'!R216</f>
        <v/>
      </c>
      <c r="T223" s="7">
        <f>'1 datos preparados'!S216</f>
        <v/>
      </c>
      <c r="U223" s="7">
        <f>'1 datos preparados'!T216</f>
        <v/>
      </c>
      <c r="V223" s="8">
        <f>$AC$12+D223*$AC$13+E223*$AC$14+F223*$AC$15+G223*$AC$16+H223*$AC$17+I223*$AC$18+J223*$AC$19+K223*$AC$20+L223*$AC$21+M223*$AC$22+N223*$AC$23+O223*$AC$24+P223*$AC$25+Q223*$AC$26+R223*$AC$27+S223*$AC$28+T223*$AC$29+U223*$AC$30</f>
        <v/>
      </c>
      <c r="W223" s="8">
        <f>1/(1+EXP(-V223))</f>
        <v/>
      </c>
      <c r="X223" s="9">
        <f>-IF(C223=1,LN(W223),LN(1-W223))</f>
        <v/>
      </c>
      <c r="Y223" s="10">
        <f>IF(W223&gt;$AC$34,1,0)</f>
        <v/>
      </c>
      <c r="Z223">
        <f>IF(Y223=C223,1,0)</f>
        <v/>
      </c>
    </row>
    <row r="224">
      <c r="A224">
        <f>'1 datos preparados'!A217</f>
        <v/>
      </c>
      <c r="B224" s="5">
        <f>'1 datos preparados'!U217</f>
        <v/>
      </c>
      <c r="C224">
        <f>'1 datos preparados'!B217</f>
        <v/>
      </c>
      <c r="D224" s="7">
        <f>'1 datos preparados'!C217</f>
        <v/>
      </c>
      <c r="E224" s="7">
        <f>'1 datos preparados'!D217</f>
        <v/>
      </c>
      <c r="F224" s="7">
        <f>'1 datos preparados'!E217</f>
        <v/>
      </c>
      <c r="G224" s="7">
        <f>'1 datos preparados'!F217</f>
        <v/>
      </c>
      <c r="H224" s="7">
        <f>'1 datos preparados'!G217</f>
        <v/>
      </c>
      <c r="I224" s="7">
        <f>'1 datos preparados'!H217</f>
        <v/>
      </c>
      <c r="J224" s="7">
        <f>'1 datos preparados'!I217</f>
        <v/>
      </c>
      <c r="K224" s="7">
        <f>'1 datos preparados'!J217</f>
        <v/>
      </c>
      <c r="L224" s="7">
        <f>'1 datos preparados'!K217</f>
        <v/>
      </c>
      <c r="M224" s="7">
        <f>'1 datos preparados'!L217</f>
        <v/>
      </c>
      <c r="N224" s="7">
        <f>'1 datos preparados'!M217</f>
        <v/>
      </c>
      <c r="O224" s="7">
        <f>'1 datos preparados'!N217</f>
        <v/>
      </c>
      <c r="P224" s="7">
        <f>'1 datos preparados'!O217</f>
        <v/>
      </c>
      <c r="Q224" s="7">
        <f>'1 datos preparados'!P217</f>
        <v/>
      </c>
      <c r="R224" s="7">
        <f>'1 datos preparados'!Q217</f>
        <v/>
      </c>
      <c r="S224" s="7">
        <f>'1 datos preparados'!R217</f>
        <v/>
      </c>
      <c r="T224" s="7">
        <f>'1 datos preparados'!S217</f>
        <v/>
      </c>
      <c r="U224" s="7">
        <f>'1 datos preparados'!T217</f>
        <v/>
      </c>
      <c r="V224" s="8">
        <f>$AC$12+D224*$AC$13+E224*$AC$14+F224*$AC$15+G224*$AC$16+H224*$AC$17+I224*$AC$18+J224*$AC$19+K224*$AC$20+L224*$AC$21+M224*$AC$22+N224*$AC$23+O224*$AC$24+P224*$AC$25+Q224*$AC$26+R224*$AC$27+S224*$AC$28+T224*$AC$29+U224*$AC$30</f>
        <v/>
      </c>
      <c r="W224" s="8">
        <f>1/(1+EXP(-V224))</f>
        <v/>
      </c>
      <c r="X224" s="9">
        <f>-IF(C224=1,LN(W224),LN(1-W224))</f>
        <v/>
      </c>
      <c r="Y224" s="10">
        <f>IF(W224&gt;$AC$34,1,0)</f>
        <v/>
      </c>
      <c r="Z224">
        <f>IF(Y224=C224,1,0)</f>
        <v/>
      </c>
    </row>
    <row r="225">
      <c r="A225">
        <f>'1 datos preparados'!A218</f>
        <v/>
      </c>
      <c r="B225" s="5">
        <f>'1 datos preparados'!U218</f>
        <v/>
      </c>
      <c r="C225">
        <f>'1 datos preparados'!B218</f>
        <v/>
      </c>
      <c r="D225" s="7">
        <f>'1 datos preparados'!C218</f>
        <v/>
      </c>
      <c r="E225" s="7">
        <f>'1 datos preparados'!D218</f>
        <v/>
      </c>
      <c r="F225" s="7">
        <f>'1 datos preparados'!E218</f>
        <v/>
      </c>
      <c r="G225" s="7">
        <f>'1 datos preparados'!F218</f>
        <v/>
      </c>
      <c r="H225" s="7">
        <f>'1 datos preparados'!G218</f>
        <v/>
      </c>
      <c r="I225" s="7">
        <f>'1 datos preparados'!H218</f>
        <v/>
      </c>
      <c r="J225" s="7">
        <f>'1 datos preparados'!I218</f>
        <v/>
      </c>
      <c r="K225" s="7">
        <f>'1 datos preparados'!J218</f>
        <v/>
      </c>
      <c r="L225" s="7">
        <f>'1 datos preparados'!K218</f>
        <v/>
      </c>
      <c r="M225" s="7">
        <f>'1 datos preparados'!L218</f>
        <v/>
      </c>
      <c r="N225" s="7">
        <f>'1 datos preparados'!M218</f>
        <v/>
      </c>
      <c r="O225" s="7">
        <f>'1 datos preparados'!N218</f>
        <v/>
      </c>
      <c r="P225" s="7">
        <f>'1 datos preparados'!O218</f>
        <v/>
      </c>
      <c r="Q225" s="7">
        <f>'1 datos preparados'!P218</f>
        <v/>
      </c>
      <c r="R225" s="7">
        <f>'1 datos preparados'!Q218</f>
        <v/>
      </c>
      <c r="S225" s="7">
        <f>'1 datos preparados'!R218</f>
        <v/>
      </c>
      <c r="T225" s="7">
        <f>'1 datos preparados'!S218</f>
        <v/>
      </c>
      <c r="U225" s="7">
        <f>'1 datos preparados'!T218</f>
        <v/>
      </c>
      <c r="V225" s="8">
        <f>$AC$12+D225*$AC$13+E225*$AC$14+F225*$AC$15+G225*$AC$16+H225*$AC$17+I225*$AC$18+J225*$AC$19+K225*$AC$20+L225*$AC$21+M225*$AC$22+N225*$AC$23+O225*$AC$24+P225*$AC$25+Q225*$AC$26+R225*$AC$27+S225*$AC$28+T225*$AC$29+U225*$AC$30</f>
        <v/>
      </c>
      <c r="W225" s="8">
        <f>1/(1+EXP(-V225))</f>
        <v/>
      </c>
      <c r="X225" s="9">
        <f>-IF(C225=1,LN(W225),LN(1-W225))</f>
        <v/>
      </c>
      <c r="Y225" s="10">
        <f>IF(W225&gt;$AC$34,1,0)</f>
        <v/>
      </c>
      <c r="Z225">
        <f>IF(Y225=C225,1,0)</f>
        <v/>
      </c>
    </row>
    <row r="226">
      <c r="A226">
        <f>'1 datos preparados'!A219</f>
        <v/>
      </c>
      <c r="B226" s="5">
        <f>'1 datos preparados'!U219</f>
        <v/>
      </c>
      <c r="C226">
        <f>'1 datos preparados'!B219</f>
        <v/>
      </c>
      <c r="D226" s="7">
        <f>'1 datos preparados'!C219</f>
        <v/>
      </c>
      <c r="E226" s="7">
        <f>'1 datos preparados'!D219</f>
        <v/>
      </c>
      <c r="F226" s="7">
        <f>'1 datos preparados'!E219</f>
        <v/>
      </c>
      <c r="G226" s="7">
        <f>'1 datos preparados'!F219</f>
        <v/>
      </c>
      <c r="H226" s="7">
        <f>'1 datos preparados'!G219</f>
        <v/>
      </c>
      <c r="I226" s="7">
        <f>'1 datos preparados'!H219</f>
        <v/>
      </c>
      <c r="J226" s="7">
        <f>'1 datos preparados'!I219</f>
        <v/>
      </c>
      <c r="K226" s="7">
        <f>'1 datos preparados'!J219</f>
        <v/>
      </c>
      <c r="L226" s="7">
        <f>'1 datos preparados'!K219</f>
        <v/>
      </c>
      <c r="M226" s="7">
        <f>'1 datos preparados'!L219</f>
        <v/>
      </c>
      <c r="N226" s="7">
        <f>'1 datos preparados'!M219</f>
        <v/>
      </c>
      <c r="O226" s="7">
        <f>'1 datos preparados'!N219</f>
        <v/>
      </c>
      <c r="P226" s="7">
        <f>'1 datos preparados'!O219</f>
        <v/>
      </c>
      <c r="Q226" s="7">
        <f>'1 datos preparados'!P219</f>
        <v/>
      </c>
      <c r="R226" s="7">
        <f>'1 datos preparados'!Q219</f>
        <v/>
      </c>
      <c r="S226" s="7">
        <f>'1 datos preparados'!R219</f>
        <v/>
      </c>
      <c r="T226" s="7">
        <f>'1 datos preparados'!S219</f>
        <v/>
      </c>
      <c r="U226" s="7">
        <f>'1 datos preparados'!T219</f>
        <v/>
      </c>
      <c r="V226" s="8">
        <f>$AC$12+D226*$AC$13+E226*$AC$14+F226*$AC$15+G226*$AC$16+H226*$AC$17+I226*$AC$18+J226*$AC$19+K226*$AC$20+L226*$AC$21+M226*$AC$22+N226*$AC$23+O226*$AC$24+P226*$AC$25+Q226*$AC$26+R226*$AC$27+S226*$AC$28+T226*$AC$29+U226*$AC$30</f>
        <v/>
      </c>
      <c r="W226" s="8">
        <f>1/(1+EXP(-V226))</f>
        <v/>
      </c>
      <c r="X226" s="9">
        <f>-IF(C226=1,LN(W226),LN(1-W226))</f>
        <v/>
      </c>
      <c r="Y226" s="10">
        <f>IF(W226&gt;$AC$34,1,0)</f>
        <v/>
      </c>
      <c r="Z226">
        <f>IF(Y226=C226,1,0)</f>
        <v/>
      </c>
    </row>
    <row r="227">
      <c r="A227">
        <f>'1 datos preparados'!A220</f>
        <v/>
      </c>
      <c r="B227" s="5">
        <f>'1 datos preparados'!U220</f>
        <v/>
      </c>
      <c r="C227">
        <f>'1 datos preparados'!B220</f>
        <v/>
      </c>
      <c r="D227" s="7">
        <f>'1 datos preparados'!C220</f>
        <v/>
      </c>
      <c r="E227" s="7">
        <f>'1 datos preparados'!D220</f>
        <v/>
      </c>
      <c r="F227" s="7">
        <f>'1 datos preparados'!E220</f>
        <v/>
      </c>
      <c r="G227" s="7">
        <f>'1 datos preparados'!F220</f>
        <v/>
      </c>
      <c r="H227" s="7">
        <f>'1 datos preparados'!G220</f>
        <v/>
      </c>
      <c r="I227" s="7">
        <f>'1 datos preparados'!H220</f>
        <v/>
      </c>
      <c r="J227" s="7">
        <f>'1 datos preparados'!I220</f>
        <v/>
      </c>
      <c r="K227" s="7">
        <f>'1 datos preparados'!J220</f>
        <v/>
      </c>
      <c r="L227" s="7">
        <f>'1 datos preparados'!K220</f>
        <v/>
      </c>
      <c r="M227" s="7">
        <f>'1 datos preparados'!L220</f>
        <v/>
      </c>
      <c r="N227" s="7">
        <f>'1 datos preparados'!M220</f>
        <v/>
      </c>
      <c r="O227" s="7">
        <f>'1 datos preparados'!N220</f>
        <v/>
      </c>
      <c r="P227" s="7">
        <f>'1 datos preparados'!O220</f>
        <v/>
      </c>
      <c r="Q227" s="7">
        <f>'1 datos preparados'!P220</f>
        <v/>
      </c>
      <c r="R227" s="7">
        <f>'1 datos preparados'!Q220</f>
        <v/>
      </c>
      <c r="S227" s="7">
        <f>'1 datos preparados'!R220</f>
        <v/>
      </c>
      <c r="T227" s="7">
        <f>'1 datos preparados'!S220</f>
        <v/>
      </c>
      <c r="U227" s="7">
        <f>'1 datos preparados'!T220</f>
        <v/>
      </c>
      <c r="V227" s="8">
        <f>$AC$12+D227*$AC$13+E227*$AC$14+F227*$AC$15+G227*$AC$16+H227*$AC$17+I227*$AC$18+J227*$AC$19+K227*$AC$20+L227*$AC$21+M227*$AC$22+N227*$AC$23+O227*$AC$24+P227*$AC$25+Q227*$AC$26+R227*$AC$27+S227*$AC$28+T227*$AC$29+U227*$AC$30</f>
        <v/>
      </c>
      <c r="W227" s="8">
        <f>1/(1+EXP(-V227))</f>
        <v/>
      </c>
      <c r="X227" s="9">
        <f>-IF(C227=1,LN(W227),LN(1-W227))</f>
        <v/>
      </c>
      <c r="Y227" s="10">
        <f>IF(W227&gt;$AC$34,1,0)</f>
        <v/>
      </c>
      <c r="Z227">
        <f>IF(Y227=C227,1,0)</f>
        <v/>
      </c>
    </row>
    <row r="228">
      <c r="A228">
        <f>'1 datos preparados'!A221</f>
        <v/>
      </c>
      <c r="B228" s="5">
        <f>'1 datos preparados'!U221</f>
        <v/>
      </c>
      <c r="C228">
        <f>'1 datos preparados'!B221</f>
        <v/>
      </c>
      <c r="D228" s="7">
        <f>'1 datos preparados'!C221</f>
        <v/>
      </c>
      <c r="E228" s="7">
        <f>'1 datos preparados'!D221</f>
        <v/>
      </c>
      <c r="F228" s="7">
        <f>'1 datos preparados'!E221</f>
        <v/>
      </c>
      <c r="G228" s="7">
        <f>'1 datos preparados'!F221</f>
        <v/>
      </c>
      <c r="H228" s="7">
        <f>'1 datos preparados'!G221</f>
        <v/>
      </c>
      <c r="I228" s="7">
        <f>'1 datos preparados'!H221</f>
        <v/>
      </c>
      <c r="J228" s="7">
        <f>'1 datos preparados'!I221</f>
        <v/>
      </c>
      <c r="K228" s="7">
        <f>'1 datos preparados'!J221</f>
        <v/>
      </c>
      <c r="L228" s="7">
        <f>'1 datos preparados'!K221</f>
        <v/>
      </c>
      <c r="M228" s="7">
        <f>'1 datos preparados'!L221</f>
        <v/>
      </c>
      <c r="N228" s="7">
        <f>'1 datos preparados'!M221</f>
        <v/>
      </c>
      <c r="O228" s="7">
        <f>'1 datos preparados'!N221</f>
        <v/>
      </c>
      <c r="P228" s="7">
        <f>'1 datos preparados'!O221</f>
        <v/>
      </c>
      <c r="Q228" s="7">
        <f>'1 datos preparados'!P221</f>
        <v/>
      </c>
      <c r="R228" s="7">
        <f>'1 datos preparados'!Q221</f>
        <v/>
      </c>
      <c r="S228" s="7">
        <f>'1 datos preparados'!R221</f>
        <v/>
      </c>
      <c r="T228" s="7">
        <f>'1 datos preparados'!S221</f>
        <v/>
      </c>
      <c r="U228" s="7">
        <f>'1 datos preparados'!T221</f>
        <v/>
      </c>
      <c r="V228" s="8">
        <f>$AC$12+D228*$AC$13+E228*$AC$14+F228*$AC$15+G228*$AC$16+H228*$AC$17+I228*$AC$18+J228*$AC$19+K228*$AC$20+L228*$AC$21+M228*$AC$22+N228*$AC$23+O228*$AC$24+P228*$AC$25+Q228*$AC$26+R228*$AC$27+S228*$AC$28+T228*$AC$29+U228*$AC$30</f>
        <v/>
      </c>
      <c r="W228" s="8">
        <f>1/(1+EXP(-V228))</f>
        <v/>
      </c>
      <c r="X228" s="9">
        <f>-IF(C228=1,LN(W228),LN(1-W228))</f>
        <v/>
      </c>
      <c r="Y228" s="10">
        <f>IF(W228&gt;$AC$34,1,0)</f>
        <v/>
      </c>
      <c r="Z228">
        <f>IF(Y228=C228,1,0)</f>
        <v/>
      </c>
    </row>
    <row r="229">
      <c r="A229">
        <f>'1 datos preparados'!A222</f>
        <v/>
      </c>
      <c r="B229" s="5">
        <f>'1 datos preparados'!U222</f>
        <v/>
      </c>
      <c r="C229">
        <f>'1 datos preparados'!B222</f>
        <v/>
      </c>
      <c r="D229" s="7">
        <f>'1 datos preparados'!C222</f>
        <v/>
      </c>
      <c r="E229" s="7">
        <f>'1 datos preparados'!D222</f>
        <v/>
      </c>
      <c r="F229" s="7">
        <f>'1 datos preparados'!E222</f>
        <v/>
      </c>
      <c r="G229" s="7">
        <f>'1 datos preparados'!F222</f>
        <v/>
      </c>
      <c r="H229" s="7">
        <f>'1 datos preparados'!G222</f>
        <v/>
      </c>
      <c r="I229" s="7">
        <f>'1 datos preparados'!H222</f>
        <v/>
      </c>
      <c r="J229" s="7">
        <f>'1 datos preparados'!I222</f>
        <v/>
      </c>
      <c r="K229" s="7">
        <f>'1 datos preparados'!J222</f>
        <v/>
      </c>
      <c r="L229" s="7">
        <f>'1 datos preparados'!K222</f>
        <v/>
      </c>
      <c r="M229" s="7">
        <f>'1 datos preparados'!L222</f>
        <v/>
      </c>
      <c r="N229" s="7">
        <f>'1 datos preparados'!M222</f>
        <v/>
      </c>
      <c r="O229" s="7">
        <f>'1 datos preparados'!N222</f>
        <v/>
      </c>
      <c r="P229" s="7">
        <f>'1 datos preparados'!O222</f>
        <v/>
      </c>
      <c r="Q229" s="7">
        <f>'1 datos preparados'!P222</f>
        <v/>
      </c>
      <c r="R229" s="7">
        <f>'1 datos preparados'!Q222</f>
        <v/>
      </c>
      <c r="S229" s="7">
        <f>'1 datos preparados'!R222</f>
        <v/>
      </c>
      <c r="T229" s="7">
        <f>'1 datos preparados'!S222</f>
        <v/>
      </c>
      <c r="U229" s="7">
        <f>'1 datos preparados'!T222</f>
        <v/>
      </c>
      <c r="V229" s="8">
        <f>$AC$12+D229*$AC$13+E229*$AC$14+F229*$AC$15+G229*$AC$16+H229*$AC$17+I229*$AC$18+J229*$AC$19+K229*$AC$20+L229*$AC$21+M229*$AC$22+N229*$AC$23+O229*$AC$24+P229*$AC$25+Q229*$AC$26+R229*$AC$27+S229*$AC$28+T229*$AC$29+U229*$AC$30</f>
        <v/>
      </c>
      <c r="W229" s="8">
        <f>1/(1+EXP(-V229))</f>
        <v/>
      </c>
      <c r="X229" s="9">
        <f>-IF(C229=1,LN(W229),LN(1-W229))</f>
        <v/>
      </c>
      <c r="Y229" s="10">
        <f>IF(W229&gt;$AC$34,1,0)</f>
        <v/>
      </c>
      <c r="Z229">
        <f>IF(Y229=C229,1,0)</f>
        <v/>
      </c>
    </row>
    <row r="230">
      <c r="A230">
        <f>'1 datos preparados'!A223</f>
        <v/>
      </c>
      <c r="B230" s="5">
        <f>'1 datos preparados'!U223</f>
        <v/>
      </c>
      <c r="C230">
        <f>'1 datos preparados'!B223</f>
        <v/>
      </c>
      <c r="D230" s="7">
        <f>'1 datos preparados'!C223</f>
        <v/>
      </c>
      <c r="E230" s="7">
        <f>'1 datos preparados'!D223</f>
        <v/>
      </c>
      <c r="F230" s="7">
        <f>'1 datos preparados'!E223</f>
        <v/>
      </c>
      <c r="G230" s="7">
        <f>'1 datos preparados'!F223</f>
        <v/>
      </c>
      <c r="H230" s="7">
        <f>'1 datos preparados'!G223</f>
        <v/>
      </c>
      <c r="I230" s="7">
        <f>'1 datos preparados'!H223</f>
        <v/>
      </c>
      <c r="J230" s="7">
        <f>'1 datos preparados'!I223</f>
        <v/>
      </c>
      <c r="K230" s="7">
        <f>'1 datos preparados'!J223</f>
        <v/>
      </c>
      <c r="L230" s="7">
        <f>'1 datos preparados'!K223</f>
        <v/>
      </c>
      <c r="M230" s="7">
        <f>'1 datos preparados'!L223</f>
        <v/>
      </c>
      <c r="N230" s="7">
        <f>'1 datos preparados'!M223</f>
        <v/>
      </c>
      <c r="O230" s="7">
        <f>'1 datos preparados'!N223</f>
        <v/>
      </c>
      <c r="P230" s="7">
        <f>'1 datos preparados'!O223</f>
        <v/>
      </c>
      <c r="Q230" s="7">
        <f>'1 datos preparados'!P223</f>
        <v/>
      </c>
      <c r="R230" s="7">
        <f>'1 datos preparados'!Q223</f>
        <v/>
      </c>
      <c r="S230" s="7">
        <f>'1 datos preparados'!R223</f>
        <v/>
      </c>
      <c r="T230" s="7">
        <f>'1 datos preparados'!S223</f>
        <v/>
      </c>
      <c r="U230" s="7">
        <f>'1 datos preparados'!T223</f>
        <v/>
      </c>
      <c r="V230" s="8">
        <f>$AC$12+D230*$AC$13+E230*$AC$14+F230*$AC$15+G230*$AC$16+H230*$AC$17+I230*$AC$18+J230*$AC$19+K230*$AC$20+L230*$AC$21+M230*$AC$22+N230*$AC$23+O230*$AC$24+P230*$AC$25+Q230*$AC$26+R230*$AC$27+S230*$AC$28+T230*$AC$29+U230*$AC$30</f>
        <v/>
      </c>
      <c r="W230" s="8">
        <f>1/(1+EXP(-V230))</f>
        <v/>
      </c>
      <c r="X230" s="9">
        <f>-IF(C230=1,LN(W230),LN(1-W230))</f>
        <v/>
      </c>
      <c r="Y230" s="10">
        <f>IF(W230&gt;$AC$34,1,0)</f>
        <v/>
      </c>
      <c r="Z230">
        <f>IF(Y230=C230,1,0)</f>
        <v/>
      </c>
    </row>
    <row r="231">
      <c r="A231">
        <f>'1 datos preparados'!A224</f>
        <v/>
      </c>
      <c r="B231" s="5">
        <f>'1 datos preparados'!U224</f>
        <v/>
      </c>
      <c r="C231">
        <f>'1 datos preparados'!B224</f>
        <v/>
      </c>
      <c r="D231" s="7">
        <f>'1 datos preparados'!C224</f>
        <v/>
      </c>
      <c r="E231" s="7">
        <f>'1 datos preparados'!D224</f>
        <v/>
      </c>
      <c r="F231" s="7">
        <f>'1 datos preparados'!E224</f>
        <v/>
      </c>
      <c r="G231" s="7">
        <f>'1 datos preparados'!F224</f>
        <v/>
      </c>
      <c r="H231" s="7">
        <f>'1 datos preparados'!G224</f>
        <v/>
      </c>
      <c r="I231" s="7">
        <f>'1 datos preparados'!H224</f>
        <v/>
      </c>
      <c r="J231" s="7">
        <f>'1 datos preparados'!I224</f>
        <v/>
      </c>
      <c r="K231" s="7">
        <f>'1 datos preparados'!J224</f>
        <v/>
      </c>
      <c r="L231" s="7">
        <f>'1 datos preparados'!K224</f>
        <v/>
      </c>
      <c r="M231" s="7">
        <f>'1 datos preparados'!L224</f>
        <v/>
      </c>
      <c r="N231" s="7">
        <f>'1 datos preparados'!M224</f>
        <v/>
      </c>
      <c r="O231" s="7">
        <f>'1 datos preparados'!N224</f>
        <v/>
      </c>
      <c r="P231" s="7">
        <f>'1 datos preparados'!O224</f>
        <v/>
      </c>
      <c r="Q231" s="7">
        <f>'1 datos preparados'!P224</f>
        <v/>
      </c>
      <c r="R231" s="7">
        <f>'1 datos preparados'!Q224</f>
        <v/>
      </c>
      <c r="S231" s="7">
        <f>'1 datos preparados'!R224</f>
        <v/>
      </c>
      <c r="T231" s="7">
        <f>'1 datos preparados'!S224</f>
        <v/>
      </c>
      <c r="U231" s="7">
        <f>'1 datos preparados'!T224</f>
        <v/>
      </c>
      <c r="V231" s="8">
        <f>$AC$12+D231*$AC$13+E231*$AC$14+F231*$AC$15+G231*$AC$16+H231*$AC$17+I231*$AC$18+J231*$AC$19+K231*$AC$20+L231*$AC$21+M231*$AC$22+N231*$AC$23+O231*$AC$24+P231*$AC$25+Q231*$AC$26+R231*$AC$27+S231*$AC$28+T231*$AC$29+U231*$AC$30</f>
        <v/>
      </c>
      <c r="W231" s="8">
        <f>1/(1+EXP(-V231))</f>
        <v/>
      </c>
      <c r="X231" s="9">
        <f>-IF(C231=1,LN(W231),LN(1-W231))</f>
        <v/>
      </c>
      <c r="Y231" s="10">
        <f>IF(W231&gt;$AC$34,1,0)</f>
        <v/>
      </c>
      <c r="Z231">
        <f>IF(Y231=C231,1,0)</f>
        <v/>
      </c>
    </row>
    <row r="232">
      <c r="A232">
        <f>'1 datos preparados'!A225</f>
        <v/>
      </c>
      <c r="B232" s="5">
        <f>'1 datos preparados'!U225</f>
        <v/>
      </c>
      <c r="C232">
        <f>'1 datos preparados'!B225</f>
        <v/>
      </c>
      <c r="D232" s="7">
        <f>'1 datos preparados'!C225</f>
        <v/>
      </c>
      <c r="E232" s="7">
        <f>'1 datos preparados'!D225</f>
        <v/>
      </c>
      <c r="F232" s="7">
        <f>'1 datos preparados'!E225</f>
        <v/>
      </c>
      <c r="G232" s="7">
        <f>'1 datos preparados'!F225</f>
        <v/>
      </c>
      <c r="H232" s="7">
        <f>'1 datos preparados'!G225</f>
        <v/>
      </c>
      <c r="I232" s="7">
        <f>'1 datos preparados'!H225</f>
        <v/>
      </c>
      <c r="J232" s="7">
        <f>'1 datos preparados'!I225</f>
        <v/>
      </c>
      <c r="K232" s="7">
        <f>'1 datos preparados'!J225</f>
        <v/>
      </c>
      <c r="L232" s="7">
        <f>'1 datos preparados'!K225</f>
        <v/>
      </c>
      <c r="M232" s="7">
        <f>'1 datos preparados'!L225</f>
        <v/>
      </c>
      <c r="N232" s="7">
        <f>'1 datos preparados'!M225</f>
        <v/>
      </c>
      <c r="O232" s="7">
        <f>'1 datos preparados'!N225</f>
        <v/>
      </c>
      <c r="P232" s="7">
        <f>'1 datos preparados'!O225</f>
        <v/>
      </c>
      <c r="Q232" s="7">
        <f>'1 datos preparados'!P225</f>
        <v/>
      </c>
      <c r="R232" s="7">
        <f>'1 datos preparados'!Q225</f>
        <v/>
      </c>
      <c r="S232" s="7">
        <f>'1 datos preparados'!R225</f>
        <v/>
      </c>
      <c r="T232" s="7">
        <f>'1 datos preparados'!S225</f>
        <v/>
      </c>
      <c r="U232" s="7">
        <f>'1 datos preparados'!T225</f>
        <v/>
      </c>
      <c r="V232" s="8">
        <f>$AC$12+D232*$AC$13+E232*$AC$14+F232*$AC$15+G232*$AC$16+H232*$AC$17+I232*$AC$18+J232*$AC$19+K232*$AC$20+L232*$AC$21+M232*$AC$22+N232*$AC$23+O232*$AC$24+P232*$AC$25+Q232*$AC$26+R232*$AC$27+S232*$AC$28+T232*$AC$29+U232*$AC$30</f>
        <v/>
      </c>
      <c r="W232" s="8">
        <f>1/(1+EXP(-V232))</f>
        <v/>
      </c>
      <c r="X232" s="9">
        <f>-IF(C232=1,LN(W232),LN(1-W232))</f>
        <v/>
      </c>
      <c r="Y232" s="10">
        <f>IF(W232&gt;$AC$34,1,0)</f>
        <v/>
      </c>
      <c r="Z232">
        <f>IF(Y232=C232,1,0)</f>
        <v/>
      </c>
    </row>
    <row r="233">
      <c r="A233">
        <f>'1 datos preparados'!A226</f>
        <v/>
      </c>
      <c r="B233" s="5">
        <f>'1 datos preparados'!U226</f>
        <v/>
      </c>
      <c r="C233">
        <f>'1 datos preparados'!B226</f>
        <v/>
      </c>
      <c r="D233" s="7">
        <f>'1 datos preparados'!C226</f>
        <v/>
      </c>
      <c r="E233" s="7">
        <f>'1 datos preparados'!D226</f>
        <v/>
      </c>
      <c r="F233" s="7">
        <f>'1 datos preparados'!E226</f>
        <v/>
      </c>
      <c r="G233" s="7">
        <f>'1 datos preparados'!F226</f>
        <v/>
      </c>
      <c r="H233" s="7">
        <f>'1 datos preparados'!G226</f>
        <v/>
      </c>
      <c r="I233" s="7">
        <f>'1 datos preparados'!H226</f>
        <v/>
      </c>
      <c r="J233" s="7">
        <f>'1 datos preparados'!I226</f>
        <v/>
      </c>
      <c r="K233" s="7">
        <f>'1 datos preparados'!J226</f>
        <v/>
      </c>
      <c r="L233" s="7">
        <f>'1 datos preparados'!K226</f>
        <v/>
      </c>
      <c r="M233" s="7">
        <f>'1 datos preparados'!L226</f>
        <v/>
      </c>
      <c r="N233" s="7">
        <f>'1 datos preparados'!M226</f>
        <v/>
      </c>
      <c r="O233" s="7">
        <f>'1 datos preparados'!N226</f>
        <v/>
      </c>
      <c r="P233" s="7">
        <f>'1 datos preparados'!O226</f>
        <v/>
      </c>
      <c r="Q233" s="7">
        <f>'1 datos preparados'!P226</f>
        <v/>
      </c>
      <c r="R233" s="7">
        <f>'1 datos preparados'!Q226</f>
        <v/>
      </c>
      <c r="S233" s="7">
        <f>'1 datos preparados'!R226</f>
        <v/>
      </c>
      <c r="T233" s="7">
        <f>'1 datos preparados'!S226</f>
        <v/>
      </c>
      <c r="U233" s="7">
        <f>'1 datos preparados'!T226</f>
        <v/>
      </c>
      <c r="V233" s="8">
        <f>$AC$12+D233*$AC$13+E233*$AC$14+F233*$AC$15+G233*$AC$16+H233*$AC$17+I233*$AC$18+J233*$AC$19+K233*$AC$20+L233*$AC$21+M233*$AC$22+N233*$AC$23+O233*$AC$24+P233*$AC$25+Q233*$AC$26+R233*$AC$27+S233*$AC$28+T233*$AC$29+U233*$AC$30</f>
        <v/>
      </c>
      <c r="W233" s="8">
        <f>1/(1+EXP(-V233))</f>
        <v/>
      </c>
      <c r="X233" s="9">
        <f>-IF(C233=1,LN(W233),LN(1-W233))</f>
        <v/>
      </c>
      <c r="Y233" s="10">
        <f>IF(W233&gt;$AC$34,1,0)</f>
        <v/>
      </c>
      <c r="Z233">
        <f>IF(Y233=C233,1,0)</f>
        <v/>
      </c>
    </row>
    <row r="234">
      <c r="A234">
        <f>'1 datos preparados'!A227</f>
        <v/>
      </c>
      <c r="B234" s="5">
        <f>'1 datos preparados'!U227</f>
        <v/>
      </c>
      <c r="C234">
        <f>'1 datos preparados'!B227</f>
        <v/>
      </c>
      <c r="D234" s="7">
        <f>'1 datos preparados'!C227</f>
        <v/>
      </c>
      <c r="E234" s="7">
        <f>'1 datos preparados'!D227</f>
        <v/>
      </c>
      <c r="F234" s="7">
        <f>'1 datos preparados'!E227</f>
        <v/>
      </c>
      <c r="G234" s="7">
        <f>'1 datos preparados'!F227</f>
        <v/>
      </c>
      <c r="H234" s="7">
        <f>'1 datos preparados'!G227</f>
        <v/>
      </c>
      <c r="I234" s="7">
        <f>'1 datos preparados'!H227</f>
        <v/>
      </c>
      <c r="J234" s="7">
        <f>'1 datos preparados'!I227</f>
        <v/>
      </c>
      <c r="K234" s="7">
        <f>'1 datos preparados'!J227</f>
        <v/>
      </c>
      <c r="L234" s="7">
        <f>'1 datos preparados'!K227</f>
        <v/>
      </c>
      <c r="M234" s="7">
        <f>'1 datos preparados'!L227</f>
        <v/>
      </c>
      <c r="N234" s="7">
        <f>'1 datos preparados'!M227</f>
        <v/>
      </c>
      <c r="O234" s="7">
        <f>'1 datos preparados'!N227</f>
        <v/>
      </c>
      <c r="P234" s="7">
        <f>'1 datos preparados'!O227</f>
        <v/>
      </c>
      <c r="Q234" s="7">
        <f>'1 datos preparados'!P227</f>
        <v/>
      </c>
      <c r="R234" s="7">
        <f>'1 datos preparados'!Q227</f>
        <v/>
      </c>
      <c r="S234" s="7">
        <f>'1 datos preparados'!R227</f>
        <v/>
      </c>
      <c r="T234" s="7">
        <f>'1 datos preparados'!S227</f>
        <v/>
      </c>
      <c r="U234" s="7">
        <f>'1 datos preparados'!T227</f>
        <v/>
      </c>
      <c r="V234" s="8">
        <f>$AC$12+D234*$AC$13+E234*$AC$14+F234*$AC$15+G234*$AC$16+H234*$AC$17+I234*$AC$18+J234*$AC$19+K234*$AC$20+L234*$AC$21+M234*$AC$22+N234*$AC$23+O234*$AC$24+P234*$AC$25+Q234*$AC$26+R234*$AC$27+S234*$AC$28+T234*$AC$29+U234*$AC$30</f>
        <v/>
      </c>
      <c r="W234" s="8">
        <f>1/(1+EXP(-V234))</f>
        <v/>
      </c>
      <c r="X234" s="9">
        <f>-IF(C234=1,LN(W234),LN(1-W234))</f>
        <v/>
      </c>
      <c r="Y234" s="10">
        <f>IF(W234&gt;$AC$34,1,0)</f>
        <v/>
      </c>
      <c r="Z234">
        <f>IF(Y234=C234,1,0)</f>
        <v/>
      </c>
    </row>
    <row r="235">
      <c r="A235">
        <f>'1 datos preparados'!A228</f>
        <v/>
      </c>
      <c r="B235" s="5">
        <f>'1 datos preparados'!U228</f>
        <v/>
      </c>
      <c r="C235">
        <f>'1 datos preparados'!B228</f>
        <v/>
      </c>
      <c r="D235" s="7">
        <f>'1 datos preparados'!C228</f>
        <v/>
      </c>
      <c r="E235" s="7">
        <f>'1 datos preparados'!D228</f>
        <v/>
      </c>
      <c r="F235" s="7">
        <f>'1 datos preparados'!E228</f>
        <v/>
      </c>
      <c r="G235" s="7">
        <f>'1 datos preparados'!F228</f>
        <v/>
      </c>
      <c r="H235" s="7">
        <f>'1 datos preparados'!G228</f>
        <v/>
      </c>
      <c r="I235" s="7">
        <f>'1 datos preparados'!H228</f>
        <v/>
      </c>
      <c r="J235" s="7">
        <f>'1 datos preparados'!I228</f>
        <v/>
      </c>
      <c r="K235" s="7">
        <f>'1 datos preparados'!J228</f>
        <v/>
      </c>
      <c r="L235" s="7">
        <f>'1 datos preparados'!K228</f>
        <v/>
      </c>
      <c r="M235" s="7">
        <f>'1 datos preparados'!L228</f>
        <v/>
      </c>
      <c r="N235" s="7">
        <f>'1 datos preparados'!M228</f>
        <v/>
      </c>
      <c r="O235" s="7">
        <f>'1 datos preparados'!N228</f>
        <v/>
      </c>
      <c r="P235" s="7">
        <f>'1 datos preparados'!O228</f>
        <v/>
      </c>
      <c r="Q235" s="7">
        <f>'1 datos preparados'!P228</f>
        <v/>
      </c>
      <c r="R235" s="7">
        <f>'1 datos preparados'!Q228</f>
        <v/>
      </c>
      <c r="S235" s="7">
        <f>'1 datos preparados'!R228</f>
        <v/>
      </c>
      <c r="T235" s="7">
        <f>'1 datos preparados'!S228</f>
        <v/>
      </c>
      <c r="U235" s="7">
        <f>'1 datos preparados'!T228</f>
        <v/>
      </c>
      <c r="V235" s="8">
        <f>$AC$12+D235*$AC$13+E235*$AC$14+F235*$AC$15+G235*$AC$16+H235*$AC$17+I235*$AC$18+J235*$AC$19+K235*$AC$20+L235*$AC$21+M235*$AC$22+N235*$AC$23+O235*$AC$24+P235*$AC$25+Q235*$AC$26+R235*$AC$27+S235*$AC$28+T235*$AC$29+U235*$AC$30</f>
        <v/>
      </c>
      <c r="W235" s="8">
        <f>1/(1+EXP(-V235))</f>
        <v/>
      </c>
      <c r="X235" s="9">
        <f>-IF(C235=1,LN(W235),LN(1-W235))</f>
        <v/>
      </c>
      <c r="Y235" s="10">
        <f>IF(W235&gt;$AC$34,1,0)</f>
        <v/>
      </c>
      <c r="Z235">
        <f>IF(Y235=C235,1,0)</f>
        <v/>
      </c>
    </row>
    <row r="236">
      <c r="A236">
        <f>'1 datos preparados'!A229</f>
        <v/>
      </c>
      <c r="B236" s="5">
        <f>'1 datos preparados'!U229</f>
        <v/>
      </c>
      <c r="C236">
        <f>'1 datos preparados'!B229</f>
        <v/>
      </c>
      <c r="D236" s="7">
        <f>'1 datos preparados'!C229</f>
        <v/>
      </c>
      <c r="E236" s="7">
        <f>'1 datos preparados'!D229</f>
        <v/>
      </c>
      <c r="F236" s="7">
        <f>'1 datos preparados'!E229</f>
        <v/>
      </c>
      <c r="G236" s="7">
        <f>'1 datos preparados'!F229</f>
        <v/>
      </c>
      <c r="H236" s="7">
        <f>'1 datos preparados'!G229</f>
        <v/>
      </c>
      <c r="I236" s="7">
        <f>'1 datos preparados'!H229</f>
        <v/>
      </c>
      <c r="J236" s="7">
        <f>'1 datos preparados'!I229</f>
        <v/>
      </c>
      <c r="K236" s="7">
        <f>'1 datos preparados'!J229</f>
        <v/>
      </c>
      <c r="L236" s="7">
        <f>'1 datos preparados'!K229</f>
        <v/>
      </c>
      <c r="M236" s="7">
        <f>'1 datos preparados'!L229</f>
        <v/>
      </c>
      <c r="N236" s="7">
        <f>'1 datos preparados'!M229</f>
        <v/>
      </c>
      <c r="O236" s="7">
        <f>'1 datos preparados'!N229</f>
        <v/>
      </c>
      <c r="P236" s="7">
        <f>'1 datos preparados'!O229</f>
        <v/>
      </c>
      <c r="Q236" s="7">
        <f>'1 datos preparados'!P229</f>
        <v/>
      </c>
      <c r="R236" s="7">
        <f>'1 datos preparados'!Q229</f>
        <v/>
      </c>
      <c r="S236" s="7">
        <f>'1 datos preparados'!R229</f>
        <v/>
      </c>
      <c r="T236" s="7">
        <f>'1 datos preparados'!S229</f>
        <v/>
      </c>
      <c r="U236" s="7">
        <f>'1 datos preparados'!T229</f>
        <v/>
      </c>
      <c r="V236" s="8">
        <f>$AC$12+D236*$AC$13+E236*$AC$14+F236*$AC$15+G236*$AC$16+H236*$AC$17+I236*$AC$18+J236*$AC$19+K236*$AC$20+L236*$AC$21+M236*$AC$22+N236*$AC$23+O236*$AC$24+P236*$AC$25+Q236*$AC$26+R236*$AC$27+S236*$AC$28+T236*$AC$29+U236*$AC$30</f>
        <v/>
      </c>
      <c r="W236" s="8">
        <f>1/(1+EXP(-V236))</f>
        <v/>
      </c>
      <c r="X236" s="9">
        <f>-IF(C236=1,LN(W236),LN(1-W236))</f>
        <v/>
      </c>
      <c r="Y236" s="10">
        <f>IF(W236&gt;$AC$34,1,0)</f>
        <v/>
      </c>
      <c r="Z236">
        <f>IF(Y236=C236,1,0)</f>
        <v/>
      </c>
    </row>
    <row r="237">
      <c r="A237">
        <f>'1 datos preparados'!A230</f>
        <v/>
      </c>
      <c r="B237" s="5">
        <f>'1 datos preparados'!U230</f>
        <v/>
      </c>
      <c r="C237">
        <f>'1 datos preparados'!B230</f>
        <v/>
      </c>
      <c r="D237" s="7">
        <f>'1 datos preparados'!C230</f>
        <v/>
      </c>
      <c r="E237" s="7">
        <f>'1 datos preparados'!D230</f>
        <v/>
      </c>
      <c r="F237" s="7">
        <f>'1 datos preparados'!E230</f>
        <v/>
      </c>
      <c r="G237" s="7">
        <f>'1 datos preparados'!F230</f>
        <v/>
      </c>
      <c r="H237" s="7">
        <f>'1 datos preparados'!G230</f>
        <v/>
      </c>
      <c r="I237" s="7">
        <f>'1 datos preparados'!H230</f>
        <v/>
      </c>
      <c r="J237" s="7">
        <f>'1 datos preparados'!I230</f>
        <v/>
      </c>
      <c r="K237" s="7">
        <f>'1 datos preparados'!J230</f>
        <v/>
      </c>
      <c r="L237" s="7">
        <f>'1 datos preparados'!K230</f>
        <v/>
      </c>
      <c r="M237" s="7">
        <f>'1 datos preparados'!L230</f>
        <v/>
      </c>
      <c r="N237" s="7">
        <f>'1 datos preparados'!M230</f>
        <v/>
      </c>
      <c r="O237" s="7">
        <f>'1 datos preparados'!N230</f>
        <v/>
      </c>
      <c r="P237" s="7">
        <f>'1 datos preparados'!O230</f>
        <v/>
      </c>
      <c r="Q237" s="7">
        <f>'1 datos preparados'!P230</f>
        <v/>
      </c>
      <c r="R237" s="7">
        <f>'1 datos preparados'!Q230</f>
        <v/>
      </c>
      <c r="S237" s="7">
        <f>'1 datos preparados'!R230</f>
        <v/>
      </c>
      <c r="T237" s="7">
        <f>'1 datos preparados'!S230</f>
        <v/>
      </c>
      <c r="U237" s="7">
        <f>'1 datos preparados'!T230</f>
        <v/>
      </c>
      <c r="V237" s="8">
        <f>$AC$12+D237*$AC$13+E237*$AC$14+F237*$AC$15+G237*$AC$16+H237*$AC$17+I237*$AC$18+J237*$AC$19+K237*$AC$20+L237*$AC$21+M237*$AC$22+N237*$AC$23+O237*$AC$24+P237*$AC$25+Q237*$AC$26+R237*$AC$27+S237*$AC$28+T237*$AC$29+U237*$AC$30</f>
        <v/>
      </c>
      <c r="W237" s="8">
        <f>1/(1+EXP(-V237))</f>
        <v/>
      </c>
      <c r="X237" s="9">
        <f>-IF(C237=1,LN(W237),LN(1-W237))</f>
        <v/>
      </c>
      <c r="Y237" s="10">
        <f>IF(W237&gt;$AC$34,1,0)</f>
        <v/>
      </c>
      <c r="Z237">
        <f>IF(Y237=C237,1,0)</f>
        <v/>
      </c>
    </row>
    <row r="238">
      <c r="A238">
        <f>'1 datos preparados'!A231</f>
        <v/>
      </c>
      <c r="B238" s="5">
        <f>'1 datos preparados'!U231</f>
        <v/>
      </c>
      <c r="C238">
        <f>'1 datos preparados'!B231</f>
        <v/>
      </c>
      <c r="D238" s="7">
        <f>'1 datos preparados'!C231</f>
        <v/>
      </c>
      <c r="E238" s="7">
        <f>'1 datos preparados'!D231</f>
        <v/>
      </c>
      <c r="F238" s="7">
        <f>'1 datos preparados'!E231</f>
        <v/>
      </c>
      <c r="G238" s="7">
        <f>'1 datos preparados'!F231</f>
        <v/>
      </c>
      <c r="H238" s="7">
        <f>'1 datos preparados'!G231</f>
        <v/>
      </c>
      <c r="I238" s="7">
        <f>'1 datos preparados'!H231</f>
        <v/>
      </c>
      <c r="J238" s="7">
        <f>'1 datos preparados'!I231</f>
        <v/>
      </c>
      <c r="K238" s="7">
        <f>'1 datos preparados'!J231</f>
        <v/>
      </c>
      <c r="L238" s="7">
        <f>'1 datos preparados'!K231</f>
        <v/>
      </c>
      <c r="M238" s="7">
        <f>'1 datos preparados'!L231</f>
        <v/>
      </c>
      <c r="N238" s="7">
        <f>'1 datos preparados'!M231</f>
        <v/>
      </c>
      <c r="O238" s="7">
        <f>'1 datos preparados'!N231</f>
        <v/>
      </c>
      <c r="P238" s="7">
        <f>'1 datos preparados'!O231</f>
        <v/>
      </c>
      <c r="Q238" s="7">
        <f>'1 datos preparados'!P231</f>
        <v/>
      </c>
      <c r="R238" s="7">
        <f>'1 datos preparados'!Q231</f>
        <v/>
      </c>
      <c r="S238" s="7">
        <f>'1 datos preparados'!R231</f>
        <v/>
      </c>
      <c r="T238" s="7">
        <f>'1 datos preparados'!S231</f>
        <v/>
      </c>
      <c r="U238" s="7">
        <f>'1 datos preparados'!T231</f>
        <v/>
      </c>
      <c r="V238" s="8">
        <f>$AC$12+D238*$AC$13+E238*$AC$14+F238*$AC$15+G238*$AC$16+H238*$AC$17+I238*$AC$18+J238*$AC$19+K238*$AC$20+L238*$AC$21+M238*$AC$22+N238*$AC$23+O238*$AC$24+P238*$AC$25+Q238*$AC$26+R238*$AC$27+S238*$AC$28+T238*$AC$29+U238*$AC$30</f>
        <v/>
      </c>
      <c r="W238" s="8">
        <f>1/(1+EXP(-V238))</f>
        <v/>
      </c>
      <c r="X238" s="9">
        <f>-IF(C238=1,LN(W238),LN(1-W238))</f>
        <v/>
      </c>
      <c r="Y238" s="10">
        <f>IF(W238&gt;$AC$34,1,0)</f>
        <v/>
      </c>
      <c r="Z238">
        <f>IF(Y238=C238,1,0)</f>
        <v/>
      </c>
    </row>
    <row r="239">
      <c r="A239">
        <f>'1 datos preparados'!A232</f>
        <v/>
      </c>
      <c r="B239" s="5">
        <f>'1 datos preparados'!U232</f>
        <v/>
      </c>
      <c r="C239">
        <f>'1 datos preparados'!B232</f>
        <v/>
      </c>
      <c r="D239" s="7">
        <f>'1 datos preparados'!C232</f>
        <v/>
      </c>
      <c r="E239" s="7">
        <f>'1 datos preparados'!D232</f>
        <v/>
      </c>
      <c r="F239" s="7">
        <f>'1 datos preparados'!E232</f>
        <v/>
      </c>
      <c r="G239" s="7">
        <f>'1 datos preparados'!F232</f>
        <v/>
      </c>
      <c r="H239" s="7">
        <f>'1 datos preparados'!G232</f>
        <v/>
      </c>
      <c r="I239" s="7">
        <f>'1 datos preparados'!H232</f>
        <v/>
      </c>
      <c r="J239" s="7">
        <f>'1 datos preparados'!I232</f>
        <v/>
      </c>
      <c r="K239" s="7">
        <f>'1 datos preparados'!J232</f>
        <v/>
      </c>
      <c r="L239" s="7">
        <f>'1 datos preparados'!K232</f>
        <v/>
      </c>
      <c r="M239" s="7">
        <f>'1 datos preparados'!L232</f>
        <v/>
      </c>
      <c r="N239" s="7">
        <f>'1 datos preparados'!M232</f>
        <v/>
      </c>
      <c r="O239" s="7">
        <f>'1 datos preparados'!N232</f>
        <v/>
      </c>
      <c r="P239" s="7">
        <f>'1 datos preparados'!O232</f>
        <v/>
      </c>
      <c r="Q239" s="7">
        <f>'1 datos preparados'!P232</f>
        <v/>
      </c>
      <c r="R239" s="7">
        <f>'1 datos preparados'!Q232</f>
        <v/>
      </c>
      <c r="S239" s="7">
        <f>'1 datos preparados'!R232</f>
        <v/>
      </c>
      <c r="T239" s="7">
        <f>'1 datos preparados'!S232</f>
        <v/>
      </c>
      <c r="U239" s="7">
        <f>'1 datos preparados'!T232</f>
        <v/>
      </c>
      <c r="V239" s="8">
        <f>$AC$12+D239*$AC$13+E239*$AC$14+F239*$AC$15+G239*$AC$16+H239*$AC$17+I239*$AC$18+J239*$AC$19+K239*$AC$20+L239*$AC$21+M239*$AC$22+N239*$AC$23+O239*$AC$24+P239*$AC$25+Q239*$AC$26+R239*$AC$27+S239*$AC$28+T239*$AC$29+U239*$AC$30</f>
        <v/>
      </c>
      <c r="W239" s="8">
        <f>1/(1+EXP(-V239))</f>
        <v/>
      </c>
      <c r="X239" s="9">
        <f>-IF(C239=1,LN(W239),LN(1-W239))</f>
        <v/>
      </c>
      <c r="Y239" s="10">
        <f>IF(W239&gt;$AC$34,1,0)</f>
        <v/>
      </c>
      <c r="Z239">
        <f>IF(Y239=C239,1,0)</f>
        <v/>
      </c>
    </row>
    <row r="240">
      <c r="A240">
        <f>'1 datos preparados'!A233</f>
        <v/>
      </c>
      <c r="B240" s="5">
        <f>'1 datos preparados'!U233</f>
        <v/>
      </c>
      <c r="C240">
        <f>'1 datos preparados'!B233</f>
        <v/>
      </c>
      <c r="D240" s="7">
        <f>'1 datos preparados'!C233</f>
        <v/>
      </c>
      <c r="E240" s="7">
        <f>'1 datos preparados'!D233</f>
        <v/>
      </c>
      <c r="F240" s="7">
        <f>'1 datos preparados'!E233</f>
        <v/>
      </c>
      <c r="G240" s="7">
        <f>'1 datos preparados'!F233</f>
        <v/>
      </c>
      <c r="H240" s="7">
        <f>'1 datos preparados'!G233</f>
        <v/>
      </c>
      <c r="I240" s="7">
        <f>'1 datos preparados'!H233</f>
        <v/>
      </c>
      <c r="J240" s="7">
        <f>'1 datos preparados'!I233</f>
        <v/>
      </c>
      <c r="K240" s="7">
        <f>'1 datos preparados'!J233</f>
        <v/>
      </c>
      <c r="L240" s="7">
        <f>'1 datos preparados'!K233</f>
        <v/>
      </c>
      <c r="M240" s="7">
        <f>'1 datos preparados'!L233</f>
        <v/>
      </c>
      <c r="N240" s="7">
        <f>'1 datos preparados'!M233</f>
        <v/>
      </c>
      <c r="O240" s="7">
        <f>'1 datos preparados'!N233</f>
        <v/>
      </c>
      <c r="P240" s="7">
        <f>'1 datos preparados'!O233</f>
        <v/>
      </c>
      <c r="Q240" s="7">
        <f>'1 datos preparados'!P233</f>
        <v/>
      </c>
      <c r="R240" s="7">
        <f>'1 datos preparados'!Q233</f>
        <v/>
      </c>
      <c r="S240" s="7">
        <f>'1 datos preparados'!R233</f>
        <v/>
      </c>
      <c r="T240" s="7">
        <f>'1 datos preparados'!S233</f>
        <v/>
      </c>
      <c r="U240" s="7">
        <f>'1 datos preparados'!T233</f>
        <v/>
      </c>
      <c r="V240" s="8">
        <f>$AC$12+D240*$AC$13+E240*$AC$14+F240*$AC$15+G240*$AC$16+H240*$AC$17+I240*$AC$18+J240*$AC$19+K240*$AC$20+L240*$AC$21+M240*$AC$22+N240*$AC$23+O240*$AC$24+P240*$AC$25+Q240*$AC$26+R240*$AC$27+S240*$AC$28+T240*$AC$29+U240*$AC$30</f>
        <v/>
      </c>
      <c r="W240" s="8">
        <f>1/(1+EXP(-V240))</f>
        <v/>
      </c>
      <c r="X240" s="9">
        <f>-IF(C240=1,LN(W240),LN(1-W240))</f>
        <v/>
      </c>
      <c r="Y240" s="10">
        <f>IF(W240&gt;$AC$34,1,0)</f>
        <v/>
      </c>
      <c r="Z240">
        <f>IF(Y240=C240,1,0)</f>
        <v/>
      </c>
    </row>
    <row r="241">
      <c r="A241">
        <f>'1 datos preparados'!A234</f>
        <v/>
      </c>
      <c r="B241" s="5">
        <f>'1 datos preparados'!U234</f>
        <v/>
      </c>
      <c r="C241">
        <f>'1 datos preparados'!B234</f>
        <v/>
      </c>
      <c r="D241" s="7">
        <f>'1 datos preparados'!C234</f>
        <v/>
      </c>
      <c r="E241" s="7">
        <f>'1 datos preparados'!D234</f>
        <v/>
      </c>
      <c r="F241" s="7">
        <f>'1 datos preparados'!E234</f>
        <v/>
      </c>
      <c r="G241" s="7">
        <f>'1 datos preparados'!F234</f>
        <v/>
      </c>
      <c r="H241" s="7">
        <f>'1 datos preparados'!G234</f>
        <v/>
      </c>
      <c r="I241" s="7">
        <f>'1 datos preparados'!H234</f>
        <v/>
      </c>
      <c r="J241" s="7">
        <f>'1 datos preparados'!I234</f>
        <v/>
      </c>
      <c r="K241" s="7">
        <f>'1 datos preparados'!J234</f>
        <v/>
      </c>
      <c r="L241" s="7">
        <f>'1 datos preparados'!K234</f>
        <v/>
      </c>
      <c r="M241" s="7">
        <f>'1 datos preparados'!L234</f>
        <v/>
      </c>
      <c r="N241" s="7">
        <f>'1 datos preparados'!M234</f>
        <v/>
      </c>
      <c r="O241" s="7">
        <f>'1 datos preparados'!N234</f>
        <v/>
      </c>
      <c r="P241" s="7">
        <f>'1 datos preparados'!O234</f>
        <v/>
      </c>
      <c r="Q241" s="7">
        <f>'1 datos preparados'!P234</f>
        <v/>
      </c>
      <c r="R241" s="7">
        <f>'1 datos preparados'!Q234</f>
        <v/>
      </c>
      <c r="S241" s="7">
        <f>'1 datos preparados'!R234</f>
        <v/>
      </c>
      <c r="T241" s="7">
        <f>'1 datos preparados'!S234</f>
        <v/>
      </c>
      <c r="U241" s="7">
        <f>'1 datos preparados'!T234</f>
        <v/>
      </c>
      <c r="V241" s="8">
        <f>$AC$12+D241*$AC$13+E241*$AC$14+F241*$AC$15+G241*$AC$16+H241*$AC$17+I241*$AC$18+J241*$AC$19+K241*$AC$20+L241*$AC$21+M241*$AC$22+N241*$AC$23+O241*$AC$24+P241*$AC$25+Q241*$AC$26+R241*$AC$27+S241*$AC$28+T241*$AC$29+U241*$AC$30</f>
        <v/>
      </c>
      <c r="W241" s="8">
        <f>1/(1+EXP(-V241))</f>
        <v/>
      </c>
      <c r="X241" s="9">
        <f>-IF(C241=1,LN(W241),LN(1-W241))</f>
        <v/>
      </c>
      <c r="Y241" s="10">
        <f>IF(W241&gt;$AC$34,1,0)</f>
        <v/>
      </c>
      <c r="Z241">
        <f>IF(Y241=C241,1,0)</f>
        <v/>
      </c>
    </row>
    <row r="242">
      <c r="A242">
        <f>'1 datos preparados'!A235</f>
        <v/>
      </c>
      <c r="B242" s="5">
        <f>'1 datos preparados'!U235</f>
        <v/>
      </c>
      <c r="C242">
        <f>'1 datos preparados'!B235</f>
        <v/>
      </c>
      <c r="D242" s="7">
        <f>'1 datos preparados'!C235</f>
        <v/>
      </c>
      <c r="E242" s="7">
        <f>'1 datos preparados'!D235</f>
        <v/>
      </c>
      <c r="F242" s="7">
        <f>'1 datos preparados'!E235</f>
        <v/>
      </c>
      <c r="G242" s="7">
        <f>'1 datos preparados'!F235</f>
        <v/>
      </c>
      <c r="H242" s="7">
        <f>'1 datos preparados'!G235</f>
        <v/>
      </c>
      <c r="I242" s="7">
        <f>'1 datos preparados'!H235</f>
        <v/>
      </c>
      <c r="J242" s="7">
        <f>'1 datos preparados'!I235</f>
        <v/>
      </c>
      <c r="K242" s="7">
        <f>'1 datos preparados'!J235</f>
        <v/>
      </c>
      <c r="L242" s="7">
        <f>'1 datos preparados'!K235</f>
        <v/>
      </c>
      <c r="M242" s="7">
        <f>'1 datos preparados'!L235</f>
        <v/>
      </c>
      <c r="N242" s="7">
        <f>'1 datos preparados'!M235</f>
        <v/>
      </c>
      <c r="O242" s="7">
        <f>'1 datos preparados'!N235</f>
        <v/>
      </c>
      <c r="P242" s="7">
        <f>'1 datos preparados'!O235</f>
        <v/>
      </c>
      <c r="Q242" s="7">
        <f>'1 datos preparados'!P235</f>
        <v/>
      </c>
      <c r="R242" s="7">
        <f>'1 datos preparados'!Q235</f>
        <v/>
      </c>
      <c r="S242" s="7">
        <f>'1 datos preparados'!R235</f>
        <v/>
      </c>
      <c r="T242" s="7">
        <f>'1 datos preparados'!S235</f>
        <v/>
      </c>
      <c r="U242" s="7">
        <f>'1 datos preparados'!T235</f>
        <v/>
      </c>
      <c r="V242" s="8">
        <f>$AC$12+D242*$AC$13+E242*$AC$14+F242*$AC$15+G242*$AC$16+H242*$AC$17+I242*$AC$18+J242*$AC$19+K242*$AC$20+L242*$AC$21+M242*$AC$22+N242*$AC$23+O242*$AC$24+P242*$AC$25+Q242*$AC$26+R242*$AC$27+S242*$AC$28+T242*$AC$29+U242*$AC$30</f>
        <v/>
      </c>
      <c r="W242" s="8">
        <f>1/(1+EXP(-V242))</f>
        <v/>
      </c>
      <c r="X242" s="9">
        <f>-IF(C242=1,LN(W242),LN(1-W242))</f>
        <v/>
      </c>
      <c r="Y242" s="10">
        <f>IF(W242&gt;$AC$34,1,0)</f>
        <v/>
      </c>
      <c r="Z242">
        <f>IF(Y242=C242,1,0)</f>
        <v/>
      </c>
    </row>
    <row r="243">
      <c r="A243">
        <f>'1 datos preparados'!A236</f>
        <v/>
      </c>
      <c r="B243" s="5">
        <f>'1 datos preparados'!U236</f>
        <v/>
      </c>
      <c r="C243">
        <f>'1 datos preparados'!B236</f>
        <v/>
      </c>
      <c r="D243" s="7">
        <f>'1 datos preparados'!C236</f>
        <v/>
      </c>
      <c r="E243" s="7">
        <f>'1 datos preparados'!D236</f>
        <v/>
      </c>
      <c r="F243" s="7">
        <f>'1 datos preparados'!E236</f>
        <v/>
      </c>
      <c r="G243" s="7">
        <f>'1 datos preparados'!F236</f>
        <v/>
      </c>
      <c r="H243" s="7">
        <f>'1 datos preparados'!G236</f>
        <v/>
      </c>
      <c r="I243" s="7">
        <f>'1 datos preparados'!H236</f>
        <v/>
      </c>
      <c r="J243" s="7">
        <f>'1 datos preparados'!I236</f>
        <v/>
      </c>
      <c r="K243" s="7">
        <f>'1 datos preparados'!J236</f>
        <v/>
      </c>
      <c r="L243" s="7">
        <f>'1 datos preparados'!K236</f>
        <v/>
      </c>
      <c r="M243" s="7">
        <f>'1 datos preparados'!L236</f>
        <v/>
      </c>
      <c r="N243" s="7">
        <f>'1 datos preparados'!M236</f>
        <v/>
      </c>
      <c r="O243" s="7">
        <f>'1 datos preparados'!N236</f>
        <v/>
      </c>
      <c r="P243" s="7">
        <f>'1 datos preparados'!O236</f>
        <v/>
      </c>
      <c r="Q243" s="7">
        <f>'1 datos preparados'!P236</f>
        <v/>
      </c>
      <c r="R243" s="7">
        <f>'1 datos preparados'!Q236</f>
        <v/>
      </c>
      <c r="S243" s="7">
        <f>'1 datos preparados'!R236</f>
        <v/>
      </c>
      <c r="T243" s="7">
        <f>'1 datos preparados'!S236</f>
        <v/>
      </c>
      <c r="U243" s="7">
        <f>'1 datos preparados'!T236</f>
        <v/>
      </c>
      <c r="V243" s="8">
        <f>$AC$12+D243*$AC$13+E243*$AC$14+F243*$AC$15+G243*$AC$16+H243*$AC$17+I243*$AC$18+J243*$AC$19+K243*$AC$20+L243*$AC$21+M243*$AC$22+N243*$AC$23+O243*$AC$24+P243*$AC$25+Q243*$AC$26+R243*$AC$27+S243*$AC$28+T243*$AC$29+U243*$AC$30</f>
        <v/>
      </c>
      <c r="W243" s="8">
        <f>1/(1+EXP(-V243))</f>
        <v/>
      </c>
      <c r="X243" s="9">
        <f>-IF(C243=1,LN(W243),LN(1-W243))</f>
        <v/>
      </c>
      <c r="Y243" s="10">
        <f>IF(W243&gt;$AC$34,1,0)</f>
        <v/>
      </c>
      <c r="Z243">
        <f>IF(Y243=C243,1,0)</f>
        <v/>
      </c>
    </row>
    <row r="244">
      <c r="A244">
        <f>'1 datos preparados'!A237</f>
        <v/>
      </c>
      <c r="B244" s="5">
        <f>'1 datos preparados'!U237</f>
        <v/>
      </c>
      <c r="C244">
        <f>'1 datos preparados'!B237</f>
        <v/>
      </c>
      <c r="D244" s="7">
        <f>'1 datos preparados'!C237</f>
        <v/>
      </c>
      <c r="E244" s="7">
        <f>'1 datos preparados'!D237</f>
        <v/>
      </c>
      <c r="F244" s="7">
        <f>'1 datos preparados'!E237</f>
        <v/>
      </c>
      <c r="G244" s="7">
        <f>'1 datos preparados'!F237</f>
        <v/>
      </c>
      <c r="H244" s="7">
        <f>'1 datos preparados'!G237</f>
        <v/>
      </c>
      <c r="I244" s="7">
        <f>'1 datos preparados'!H237</f>
        <v/>
      </c>
      <c r="J244" s="7">
        <f>'1 datos preparados'!I237</f>
        <v/>
      </c>
      <c r="K244" s="7">
        <f>'1 datos preparados'!J237</f>
        <v/>
      </c>
      <c r="L244" s="7">
        <f>'1 datos preparados'!K237</f>
        <v/>
      </c>
      <c r="M244" s="7">
        <f>'1 datos preparados'!L237</f>
        <v/>
      </c>
      <c r="N244" s="7">
        <f>'1 datos preparados'!M237</f>
        <v/>
      </c>
      <c r="O244" s="7">
        <f>'1 datos preparados'!N237</f>
        <v/>
      </c>
      <c r="P244" s="7">
        <f>'1 datos preparados'!O237</f>
        <v/>
      </c>
      <c r="Q244" s="7">
        <f>'1 datos preparados'!P237</f>
        <v/>
      </c>
      <c r="R244" s="7">
        <f>'1 datos preparados'!Q237</f>
        <v/>
      </c>
      <c r="S244" s="7">
        <f>'1 datos preparados'!R237</f>
        <v/>
      </c>
      <c r="T244" s="7">
        <f>'1 datos preparados'!S237</f>
        <v/>
      </c>
      <c r="U244" s="7">
        <f>'1 datos preparados'!T237</f>
        <v/>
      </c>
      <c r="V244" s="8">
        <f>$AC$12+D244*$AC$13+E244*$AC$14+F244*$AC$15+G244*$AC$16+H244*$AC$17+I244*$AC$18+J244*$AC$19+K244*$AC$20+L244*$AC$21+M244*$AC$22+N244*$AC$23+O244*$AC$24+P244*$AC$25+Q244*$AC$26+R244*$AC$27+S244*$AC$28+T244*$AC$29+U244*$AC$30</f>
        <v/>
      </c>
      <c r="W244" s="8">
        <f>1/(1+EXP(-V244))</f>
        <v/>
      </c>
      <c r="X244" s="9">
        <f>-IF(C244=1,LN(W244),LN(1-W244))</f>
        <v/>
      </c>
      <c r="Y244" s="10">
        <f>IF(W244&gt;$AC$34,1,0)</f>
        <v/>
      </c>
      <c r="Z244">
        <f>IF(Y244=C244,1,0)</f>
        <v/>
      </c>
    </row>
    <row r="245">
      <c r="A245">
        <f>'1 datos preparados'!A238</f>
        <v/>
      </c>
      <c r="B245" s="5">
        <f>'1 datos preparados'!U238</f>
        <v/>
      </c>
      <c r="C245">
        <f>'1 datos preparados'!B238</f>
        <v/>
      </c>
      <c r="D245" s="7">
        <f>'1 datos preparados'!C238</f>
        <v/>
      </c>
      <c r="E245" s="7">
        <f>'1 datos preparados'!D238</f>
        <v/>
      </c>
      <c r="F245" s="7">
        <f>'1 datos preparados'!E238</f>
        <v/>
      </c>
      <c r="G245" s="7">
        <f>'1 datos preparados'!F238</f>
        <v/>
      </c>
      <c r="H245" s="7">
        <f>'1 datos preparados'!G238</f>
        <v/>
      </c>
      <c r="I245" s="7">
        <f>'1 datos preparados'!H238</f>
        <v/>
      </c>
      <c r="J245" s="7">
        <f>'1 datos preparados'!I238</f>
        <v/>
      </c>
      <c r="K245" s="7">
        <f>'1 datos preparados'!J238</f>
        <v/>
      </c>
      <c r="L245" s="7">
        <f>'1 datos preparados'!K238</f>
        <v/>
      </c>
      <c r="M245" s="7">
        <f>'1 datos preparados'!L238</f>
        <v/>
      </c>
      <c r="N245" s="7">
        <f>'1 datos preparados'!M238</f>
        <v/>
      </c>
      <c r="O245" s="7">
        <f>'1 datos preparados'!N238</f>
        <v/>
      </c>
      <c r="P245" s="7">
        <f>'1 datos preparados'!O238</f>
        <v/>
      </c>
      <c r="Q245" s="7">
        <f>'1 datos preparados'!P238</f>
        <v/>
      </c>
      <c r="R245" s="7">
        <f>'1 datos preparados'!Q238</f>
        <v/>
      </c>
      <c r="S245" s="7">
        <f>'1 datos preparados'!R238</f>
        <v/>
      </c>
      <c r="T245" s="7">
        <f>'1 datos preparados'!S238</f>
        <v/>
      </c>
      <c r="U245" s="7">
        <f>'1 datos preparados'!T238</f>
        <v/>
      </c>
      <c r="V245" s="8">
        <f>$AC$12+D245*$AC$13+E245*$AC$14+F245*$AC$15+G245*$AC$16+H245*$AC$17+I245*$AC$18+J245*$AC$19+K245*$AC$20+L245*$AC$21+M245*$AC$22+N245*$AC$23+O245*$AC$24+P245*$AC$25+Q245*$AC$26+R245*$AC$27+S245*$AC$28+T245*$AC$29+U245*$AC$30</f>
        <v/>
      </c>
      <c r="W245" s="8">
        <f>1/(1+EXP(-V245))</f>
        <v/>
      </c>
      <c r="X245" s="9">
        <f>-IF(C245=1,LN(W245),LN(1-W245))</f>
        <v/>
      </c>
      <c r="Y245" s="10">
        <f>IF(W245&gt;$AC$34,1,0)</f>
        <v/>
      </c>
      <c r="Z245">
        <f>IF(Y245=C245,1,0)</f>
        <v/>
      </c>
    </row>
    <row r="246">
      <c r="A246">
        <f>'1 datos preparados'!A239</f>
        <v/>
      </c>
      <c r="B246" s="5">
        <f>'1 datos preparados'!U239</f>
        <v/>
      </c>
      <c r="C246">
        <f>'1 datos preparados'!B239</f>
        <v/>
      </c>
      <c r="D246" s="7">
        <f>'1 datos preparados'!C239</f>
        <v/>
      </c>
      <c r="E246" s="7">
        <f>'1 datos preparados'!D239</f>
        <v/>
      </c>
      <c r="F246" s="7">
        <f>'1 datos preparados'!E239</f>
        <v/>
      </c>
      <c r="G246" s="7">
        <f>'1 datos preparados'!F239</f>
        <v/>
      </c>
      <c r="H246" s="7">
        <f>'1 datos preparados'!G239</f>
        <v/>
      </c>
      <c r="I246" s="7">
        <f>'1 datos preparados'!H239</f>
        <v/>
      </c>
      <c r="J246" s="7">
        <f>'1 datos preparados'!I239</f>
        <v/>
      </c>
      <c r="K246" s="7">
        <f>'1 datos preparados'!J239</f>
        <v/>
      </c>
      <c r="L246" s="7">
        <f>'1 datos preparados'!K239</f>
        <v/>
      </c>
      <c r="M246" s="7">
        <f>'1 datos preparados'!L239</f>
        <v/>
      </c>
      <c r="N246" s="7">
        <f>'1 datos preparados'!M239</f>
        <v/>
      </c>
      <c r="O246" s="7">
        <f>'1 datos preparados'!N239</f>
        <v/>
      </c>
      <c r="P246" s="7">
        <f>'1 datos preparados'!O239</f>
        <v/>
      </c>
      <c r="Q246" s="7">
        <f>'1 datos preparados'!P239</f>
        <v/>
      </c>
      <c r="R246" s="7">
        <f>'1 datos preparados'!Q239</f>
        <v/>
      </c>
      <c r="S246" s="7">
        <f>'1 datos preparados'!R239</f>
        <v/>
      </c>
      <c r="T246" s="7">
        <f>'1 datos preparados'!S239</f>
        <v/>
      </c>
      <c r="U246" s="7">
        <f>'1 datos preparados'!T239</f>
        <v/>
      </c>
      <c r="V246" s="8">
        <f>$AC$12+D246*$AC$13+E246*$AC$14+F246*$AC$15+G246*$AC$16+H246*$AC$17+I246*$AC$18+J246*$AC$19+K246*$AC$20+L246*$AC$21+M246*$AC$22+N246*$AC$23+O246*$AC$24+P246*$AC$25+Q246*$AC$26+R246*$AC$27+S246*$AC$28+T246*$AC$29+U246*$AC$30</f>
        <v/>
      </c>
      <c r="W246" s="8">
        <f>1/(1+EXP(-V246))</f>
        <v/>
      </c>
      <c r="X246" s="9">
        <f>-IF(C246=1,LN(W246),LN(1-W246))</f>
        <v/>
      </c>
      <c r="Y246" s="10">
        <f>IF(W246&gt;$AC$34,1,0)</f>
        <v/>
      </c>
      <c r="Z246">
        <f>IF(Y246=C246,1,0)</f>
        <v/>
      </c>
    </row>
    <row r="247">
      <c r="A247">
        <f>'1 datos preparados'!A240</f>
        <v/>
      </c>
      <c r="B247" s="5">
        <f>'1 datos preparados'!U240</f>
        <v/>
      </c>
      <c r="C247">
        <f>'1 datos preparados'!B240</f>
        <v/>
      </c>
      <c r="D247" s="7">
        <f>'1 datos preparados'!C240</f>
        <v/>
      </c>
      <c r="E247" s="7">
        <f>'1 datos preparados'!D240</f>
        <v/>
      </c>
      <c r="F247" s="7">
        <f>'1 datos preparados'!E240</f>
        <v/>
      </c>
      <c r="G247" s="7">
        <f>'1 datos preparados'!F240</f>
        <v/>
      </c>
      <c r="H247" s="7">
        <f>'1 datos preparados'!G240</f>
        <v/>
      </c>
      <c r="I247" s="7">
        <f>'1 datos preparados'!H240</f>
        <v/>
      </c>
      <c r="J247" s="7">
        <f>'1 datos preparados'!I240</f>
        <v/>
      </c>
      <c r="K247" s="7">
        <f>'1 datos preparados'!J240</f>
        <v/>
      </c>
      <c r="L247" s="7">
        <f>'1 datos preparados'!K240</f>
        <v/>
      </c>
      <c r="M247" s="7">
        <f>'1 datos preparados'!L240</f>
        <v/>
      </c>
      <c r="N247" s="7">
        <f>'1 datos preparados'!M240</f>
        <v/>
      </c>
      <c r="O247" s="7">
        <f>'1 datos preparados'!N240</f>
        <v/>
      </c>
      <c r="P247" s="7">
        <f>'1 datos preparados'!O240</f>
        <v/>
      </c>
      <c r="Q247" s="7">
        <f>'1 datos preparados'!P240</f>
        <v/>
      </c>
      <c r="R247" s="7">
        <f>'1 datos preparados'!Q240</f>
        <v/>
      </c>
      <c r="S247" s="7">
        <f>'1 datos preparados'!R240</f>
        <v/>
      </c>
      <c r="T247" s="7">
        <f>'1 datos preparados'!S240</f>
        <v/>
      </c>
      <c r="U247" s="7">
        <f>'1 datos preparados'!T240</f>
        <v/>
      </c>
      <c r="V247" s="8">
        <f>$AC$12+D247*$AC$13+E247*$AC$14+F247*$AC$15+G247*$AC$16+H247*$AC$17+I247*$AC$18+J247*$AC$19+K247*$AC$20+L247*$AC$21+M247*$AC$22+N247*$AC$23+O247*$AC$24+P247*$AC$25+Q247*$AC$26+R247*$AC$27+S247*$AC$28+T247*$AC$29+U247*$AC$30</f>
        <v/>
      </c>
      <c r="W247" s="8">
        <f>1/(1+EXP(-V247))</f>
        <v/>
      </c>
      <c r="X247" s="9">
        <f>-IF(C247=1,LN(W247),LN(1-W247))</f>
        <v/>
      </c>
      <c r="Y247" s="10">
        <f>IF(W247&gt;$AC$34,1,0)</f>
        <v/>
      </c>
      <c r="Z247">
        <f>IF(Y247=C247,1,0)</f>
        <v/>
      </c>
    </row>
    <row r="248">
      <c r="A248">
        <f>'1 datos preparados'!A241</f>
        <v/>
      </c>
      <c r="B248" s="5">
        <f>'1 datos preparados'!U241</f>
        <v/>
      </c>
      <c r="C248">
        <f>'1 datos preparados'!B241</f>
        <v/>
      </c>
      <c r="D248" s="7">
        <f>'1 datos preparados'!C241</f>
        <v/>
      </c>
      <c r="E248" s="7">
        <f>'1 datos preparados'!D241</f>
        <v/>
      </c>
      <c r="F248" s="7">
        <f>'1 datos preparados'!E241</f>
        <v/>
      </c>
      <c r="G248" s="7">
        <f>'1 datos preparados'!F241</f>
        <v/>
      </c>
      <c r="H248" s="7">
        <f>'1 datos preparados'!G241</f>
        <v/>
      </c>
      <c r="I248" s="7">
        <f>'1 datos preparados'!H241</f>
        <v/>
      </c>
      <c r="J248" s="7">
        <f>'1 datos preparados'!I241</f>
        <v/>
      </c>
      <c r="K248" s="7">
        <f>'1 datos preparados'!J241</f>
        <v/>
      </c>
      <c r="L248" s="7">
        <f>'1 datos preparados'!K241</f>
        <v/>
      </c>
      <c r="M248" s="7">
        <f>'1 datos preparados'!L241</f>
        <v/>
      </c>
      <c r="N248" s="7">
        <f>'1 datos preparados'!M241</f>
        <v/>
      </c>
      <c r="O248" s="7">
        <f>'1 datos preparados'!N241</f>
        <v/>
      </c>
      <c r="P248" s="7">
        <f>'1 datos preparados'!O241</f>
        <v/>
      </c>
      <c r="Q248" s="7">
        <f>'1 datos preparados'!P241</f>
        <v/>
      </c>
      <c r="R248" s="7">
        <f>'1 datos preparados'!Q241</f>
        <v/>
      </c>
      <c r="S248" s="7">
        <f>'1 datos preparados'!R241</f>
        <v/>
      </c>
      <c r="T248" s="7">
        <f>'1 datos preparados'!S241</f>
        <v/>
      </c>
      <c r="U248" s="7">
        <f>'1 datos preparados'!T241</f>
        <v/>
      </c>
      <c r="V248" s="8">
        <f>$AC$12+D248*$AC$13+E248*$AC$14+F248*$AC$15+G248*$AC$16+H248*$AC$17+I248*$AC$18+J248*$AC$19+K248*$AC$20+L248*$AC$21+M248*$AC$22+N248*$AC$23+O248*$AC$24+P248*$AC$25+Q248*$AC$26+R248*$AC$27+S248*$AC$28+T248*$AC$29+U248*$AC$30</f>
        <v/>
      </c>
      <c r="W248" s="8">
        <f>1/(1+EXP(-V248))</f>
        <v/>
      </c>
      <c r="X248" s="9">
        <f>-IF(C248=1,LN(W248),LN(1-W248))</f>
        <v/>
      </c>
      <c r="Y248" s="10">
        <f>IF(W248&gt;$AC$34,1,0)</f>
        <v/>
      </c>
      <c r="Z248">
        <f>IF(Y248=C248,1,0)</f>
        <v/>
      </c>
    </row>
    <row r="249">
      <c r="A249">
        <f>'1 datos preparados'!A242</f>
        <v/>
      </c>
      <c r="B249" s="5">
        <f>'1 datos preparados'!U242</f>
        <v/>
      </c>
      <c r="C249">
        <f>'1 datos preparados'!B242</f>
        <v/>
      </c>
      <c r="D249" s="7">
        <f>'1 datos preparados'!C242</f>
        <v/>
      </c>
      <c r="E249" s="7">
        <f>'1 datos preparados'!D242</f>
        <v/>
      </c>
      <c r="F249" s="7">
        <f>'1 datos preparados'!E242</f>
        <v/>
      </c>
      <c r="G249" s="7">
        <f>'1 datos preparados'!F242</f>
        <v/>
      </c>
      <c r="H249" s="7">
        <f>'1 datos preparados'!G242</f>
        <v/>
      </c>
      <c r="I249" s="7">
        <f>'1 datos preparados'!H242</f>
        <v/>
      </c>
      <c r="J249" s="7">
        <f>'1 datos preparados'!I242</f>
        <v/>
      </c>
      <c r="K249" s="7">
        <f>'1 datos preparados'!J242</f>
        <v/>
      </c>
      <c r="L249" s="7">
        <f>'1 datos preparados'!K242</f>
        <v/>
      </c>
      <c r="M249" s="7">
        <f>'1 datos preparados'!L242</f>
        <v/>
      </c>
      <c r="N249" s="7">
        <f>'1 datos preparados'!M242</f>
        <v/>
      </c>
      <c r="O249" s="7">
        <f>'1 datos preparados'!N242</f>
        <v/>
      </c>
      <c r="P249" s="7">
        <f>'1 datos preparados'!O242</f>
        <v/>
      </c>
      <c r="Q249" s="7">
        <f>'1 datos preparados'!P242</f>
        <v/>
      </c>
      <c r="R249" s="7">
        <f>'1 datos preparados'!Q242</f>
        <v/>
      </c>
      <c r="S249" s="7">
        <f>'1 datos preparados'!R242</f>
        <v/>
      </c>
      <c r="T249" s="7">
        <f>'1 datos preparados'!S242</f>
        <v/>
      </c>
      <c r="U249" s="7">
        <f>'1 datos preparados'!T242</f>
        <v/>
      </c>
      <c r="V249" s="8">
        <f>$AC$12+D249*$AC$13+E249*$AC$14+F249*$AC$15+G249*$AC$16+H249*$AC$17+I249*$AC$18+J249*$AC$19+K249*$AC$20+L249*$AC$21+M249*$AC$22+N249*$AC$23+O249*$AC$24+P249*$AC$25+Q249*$AC$26+R249*$AC$27+S249*$AC$28+T249*$AC$29+U249*$AC$30</f>
        <v/>
      </c>
      <c r="W249" s="8">
        <f>1/(1+EXP(-V249))</f>
        <v/>
      </c>
      <c r="X249" s="9">
        <f>-IF(C249=1,LN(W249),LN(1-W249))</f>
        <v/>
      </c>
      <c r="Y249" s="10">
        <f>IF(W249&gt;$AC$34,1,0)</f>
        <v/>
      </c>
      <c r="Z249">
        <f>IF(Y249=C249,1,0)</f>
        <v/>
      </c>
    </row>
    <row r="250">
      <c r="A250">
        <f>'1 datos preparados'!A243</f>
        <v/>
      </c>
      <c r="B250" s="5">
        <f>'1 datos preparados'!U243</f>
        <v/>
      </c>
      <c r="C250">
        <f>'1 datos preparados'!B243</f>
        <v/>
      </c>
      <c r="D250" s="7">
        <f>'1 datos preparados'!C243</f>
        <v/>
      </c>
      <c r="E250" s="7">
        <f>'1 datos preparados'!D243</f>
        <v/>
      </c>
      <c r="F250" s="7">
        <f>'1 datos preparados'!E243</f>
        <v/>
      </c>
      <c r="G250" s="7">
        <f>'1 datos preparados'!F243</f>
        <v/>
      </c>
      <c r="H250" s="7">
        <f>'1 datos preparados'!G243</f>
        <v/>
      </c>
      <c r="I250" s="7">
        <f>'1 datos preparados'!H243</f>
        <v/>
      </c>
      <c r="J250" s="7">
        <f>'1 datos preparados'!I243</f>
        <v/>
      </c>
      <c r="K250" s="7">
        <f>'1 datos preparados'!J243</f>
        <v/>
      </c>
      <c r="L250" s="7">
        <f>'1 datos preparados'!K243</f>
        <v/>
      </c>
      <c r="M250" s="7">
        <f>'1 datos preparados'!L243</f>
        <v/>
      </c>
      <c r="N250" s="7">
        <f>'1 datos preparados'!M243</f>
        <v/>
      </c>
      <c r="O250" s="7">
        <f>'1 datos preparados'!N243</f>
        <v/>
      </c>
      <c r="P250" s="7">
        <f>'1 datos preparados'!O243</f>
        <v/>
      </c>
      <c r="Q250" s="7">
        <f>'1 datos preparados'!P243</f>
        <v/>
      </c>
      <c r="R250" s="7">
        <f>'1 datos preparados'!Q243</f>
        <v/>
      </c>
      <c r="S250" s="7">
        <f>'1 datos preparados'!R243</f>
        <v/>
      </c>
      <c r="T250" s="7">
        <f>'1 datos preparados'!S243</f>
        <v/>
      </c>
      <c r="U250" s="7">
        <f>'1 datos preparados'!T243</f>
        <v/>
      </c>
      <c r="V250" s="8">
        <f>$AC$12+D250*$AC$13+E250*$AC$14+F250*$AC$15+G250*$AC$16+H250*$AC$17+I250*$AC$18+J250*$AC$19+K250*$AC$20+L250*$AC$21+M250*$AC$22+N250*$AC$23+O250*$AC$24+P250*$AC$25+Q250*$AC$26+R250*$AC$27+S250*$AC$28+T250*$AC$29+U250*$AC$30</f>
        <v/>
      </c>
      <c r="W250" s="8">
        <f>1/(1+EXP(-V250))</f>
        <v/>
      </c>
      <c r="X250" s="9">
        <f>-IF(C250=1,LN(W250),LN(1-W250))</f>
        <v/>
      </c>
      <c r="Y250" s="10">
        <f>IF(W250&gt;$AC$34,1,0)</f>
        <v/>
      </c>
      <c r="Z250">
        <f>IF(Y250=C250,1,0)</f>
        <v/>
      </c>
    </row>
    <row r="251">
      <c r="A251">
        <f>'1 datos preparados'!A244</f>
        <v/>
      </c>
      <c r="B251" s="5">
        <f>'1 datos preparados'!U244</f>
        <v/>
      </c>
      <c r="C251">
        <f>'1 datos preparados'!B244</f>
        <v/>
      </c>
      <c r="D251" s="7">
        <f>'1 datos preparados'!C244</f>
        <v/>
      </c>
      <c r="E251" s="7">
        <f>'1 datos preparados'!D244</f>
        <v/>
      </c>
      <c r="F251" s="7">
        <f>'1 datos preparados'!E244</f>
        <v/>
      </c>
      <c r="G251" s="7">
        <f>'1 datos preparados'!F244</f>
        <v/>
      </c>
      <c r="H251" s="7">
        <f>'1 datos preparados'!G244</f>
        <v/>
      </c>
      <c r="I251" s="7">
        <f>'1 datos preparados'!H244</f>
        <v/>
      </c>
      <c r="J251" s="7">
        <f>'1 datos preparados'!I244</f>
        <v/>
      </c>
      <c r="K251" s="7">
        <f>'1 datos preparados'!J244</f>
        <v/>
      </c>
      <c r="L251" s="7">
        <f>'1 datos preparados'!K244</f>
        <v/>
      </c>
      <c r="M251" s="7">
        <f>'1 datos preparados'!L244</f>
        <v/>
      </c>
      <c r="N251" s="7">
        <f>'1 datos preparados'!M244</f>
        <v/>
      </c>
      <c r="O251" s="7">
        <f>'1 datos preparados'!N244</f>
        <v/>
      </c>
      <c r="P251" s="7">
        <f>'1 datos preparados'!O244</f>
        <v/>
      </c>
      <c r="Q251" s="7">
        <f>'1 datos preparados'!P244</f>
        <v/>
      </c>
      <c r="R251" s="7">
        <f>'1 datos preparados'!Q244</f>
        <v/>
      </c>
      <c r="S251" s="7">
        <f>'1 datos preparados'!R244</f>
        <v/>
      </c>
      <c r="T251" s="7">
        <f>'1 datos preparados'!S244</f>
        <v/>
      </c>
      <c r="U251" s="7">
        <f>'1 datos preparados'!T244</f>
        <v/>
      </c>
      <c r="V251" s="8">
        <f>$AC$12+D251*$AC$13+E251*$AC$14+F251*$AC$15+G251*$AC$16+H251*$AC$17+I251*$AC$18+J251*$AC$19+K251*$AC$20+L251*$AC$21+M251*$AC$22+N251*$AC$23+O251*$AC$24+P251*$AC$25+Q251*$AC$26+R251*$AC$27+S251*$AC$28+T251*$AC$29+U251*$AC$30</f>
        <v/>
      </c>
      <c r="W251" s="8">
        <f>1/(1+EXP(-V251))</f>
        <v/>
      </c>
      <c r="X251" s="9">
        <f>-IF(C251=1,LN(W251),LN(1-W251))</f>
        <v/>
      </c>
      <c r="Y251" s="10">
        <f>IF(W251&gt;$AC$34,1,0)</f>
        <v/>
      </c>
      <c r="Z251">
        <f>IF(Y251=C251,1,0)</f>
        <v/>
      </c>
    </row>
    <row r="252">
      <c r="A252">
        <f>'1 datos preparados'!A245</f>
        <v/>
      </c>
      <c r="B252" s="5">
        <f>'1 datos preparados'!U245</f>
        <v/>
      </c>
      <c r="C252">
        <f>'1 datos preparados'!B245</f>
        <v/>
      </c>
      <c r="D252" s="7">
        <f>'1 datos preparados'!C245</f>
        <v/>
      </c>
      <c r="E252" s="7">
        <f>'1 datos preparados'!D245</f>
        <v/>
      </c>
      <c r="F252" s="7">
        <f>'1 datos preparados'!E245</f>
        <v/>
      </c>
      <c r="G252" s="7">
        <f>'1 datos preparados'!F245</f>
        <v/>
      </c>
      <c r="H252" s="7">
        <f>'1 datos preparados'!G245</f>
        <v/>
      </c>
      <c r="I252" s="7">
        <f>'1 datos preparados'!H245</f>
        <v/>
      </c>
      <c r="J252" s="7">
        <f>'1 datos preparados'!I245</f>
        <v/>
      </c>
      <c r="K252" s="7">
        <f>'1 datos preparados'!J245</f>
        <v/>
      </c>
      <c r="L252" s="7">
        <f>'1 datos preparados'!K245</f>
        <v/>
      </c>
      <c r="M252" s="7">
        <f>'1 datos preparados'!L245</f>
        <v/>
      </c>
      <c r="N252" s="7">
        <f>'1 datos preparados'!M245</f>
        <v/>
      </c>
      <c r="O252" s="7">
        <f>'1 datos preparados'!N245</f>
        <v/>
      </c>
      <c r="P252" s="7">
        <f>'1 datos preparados'!O245</f>
        <v/>
      </c>
      <c r="Q252" s="7">
        <f>'1 datos preparados'!P245</f>
        <v/>
      </c>
      <c r="R252" s="7">
        <f>'1 datos preparados'!Q245</f>
        <v/>
      </c>
      <c r="S252" s="7">
        <f>'1 datos preparados'!R245</f>
        <v/>
      </c>
      <c r="T252" s="7">
        <f>'1 datos preparados'!S245</f>
        <v/>
      </c>
      <c r="U252" s="7">
        <f>'1 datos preparados'!T245</f>
        <v/>
      </c>
      <c r="V252" s="8">
        <f>$AC$12+D252*$AC$13+E252*$AC$14+F252*$AC$15+G252*$AC$16+H252*$AC$17+I252*$AC$18+J252*$AC$19+K252*$AC$20+L252*$AC$21+M252*$AC$22+N252*$AC$23+O252*$AC$24+P252*$AC$25+Q252*$AC$26+R252*$AC$27+S252*$AC$28+T252*$AC$29+U252*$AC$30</f>
        <v/>
      </c>
      <c r="W252" s="8">
        <f>1/(1+EXP(-V252))</f>
        <v/>
      </c>
      <c r="X252" s="9">
        <f>-IF(C252=1,LN(W252),LN(1-W252))</f>
        <v/>
      </c>
      <c r="Y252" s="10">
        <f>IF(W252&gt;$AC$34,1,0)</f>
        <v/>
      </c>
      <c r="Z252">
        <f>IF(Y252=C252,1,0)</f>
        <v/>
      </c>
    </row>
    <row r="253">
      <c r="A253">
        <f>'1 datos preparados'!A246</f>
        <v/>
      </c>
      <c r="B253" s="5">
        <f>'1 datos preparados'!U246</f>
        <v/>
      </c>
      <c r="C253">
        <f>'1 datos preparados'!B246</f>
        <v/>
      </c>
      <c r="D253" s="7">
        <f>'1 datos preparados'!C246</f>
        <v/>
      </c>
      <c r="E253" s="7">
        <f>'1 datos preparados'!D246</f>
        <v/>
      </c>
      <c r="F253" s="7">
        <f>'1 datos preparados'!E246</f>
        <v/>
      </c>
      <c r="G253" s="7">
        <f>'1 datos preparados'!F246</f>
        <v/>
      </c>
      <c r="H253" s="7">
        <f>'1 datos preparados'!G246</f>
        <v/>
      </c>
      <c r="I253" s="7">
        <f>'1 datos preparados'!H246</f>
        <v/>
      </c>
      <c r="J253" s="7">
        <f>'1 datos preparados'!I246</f>
        <v/>
      </c>
      <c r="K253" s="7">
        <f>'1 datos preparados'!J246</f>
        <v/>
      </c>
      <c r="L253" s="7">
        <f>'1 datos preparados'!K246</f>
        <v/>
      </c>
      <c r="M253" s="7">
        <f>'1 datos preparados'!L246</f>
        <v/>
      </c>
      <c r="N253" s="7">
        <f>'1 datos preparados'!M246</f>
        <v/>
      </c>
      <c r="O253" s="7">
        <f>'1 datos preparados'!N246</f>
        <v/>
      </c>
      <c r="P253" s="7">
        <f>'1 datos preparados'!O246</f>
        <v/>
      </c>
      <c r="Q253" s="7">
        <f>'1 datos preparados'!P246</f>
        <v/>
      </c>
      <c r="R253" s="7">
        <f>'1 datos preparados'!Q246</f>
        <v/>
      </c>
      <c r="S253" s="7">
        <f>'1 datos preparados'!R246</f>
        <v/>
      </c>
      <c r="T253" s="7">
        <f>'1 datos preparados'!S246</f>
        <v/>
      </c>
      <c r="U253" s="7">
        <f>'1 datos preparados'!T246</f>
        <v/>
      </c>
      <c r="V253" s="8">
        <f>$AC$12+D253*$AC$13+E253*$AC$14+F253*$AC$15+G253*$AC$16+H253*$AC$17+I253*$AC$18+J253*$AC$19+K253*$AC$20+L253*$AC$21+M253*$AC$22+N253*$AC$23+O253*$AC$24+P253*$AC$25+Q253*$AC$26+R253*$AC$27+S253*$AC$28+T253*$AC$29+U253*$AC$30</f>
        <v/>
      </c>
      <c r="W253" s="8">
        <f>1/(1+EXP(-V253))</f>
        <v/>
      </c>
      <c r="X253" s="9">
        <f>-IF(C253=1,LN(W253),LN(1-W253))</f>
        <v/>
      </c>
      <c r="Y253" s="10">
        <f>IF(W253&gt;$AC$34,1,0)</f>
        <v/>
      </c>
      <c r="Z253">
        <f>IF(Y253=C253,1,0)</f>
        <v/>
      </c>
    </row>
    <row r="254">
      <c r="A254">
        <f>'1 datos preparados'!A247</f>
        <v/>
      </c>
      <c r="B254" s="5">
        <f>'1 datos preparados'!U247</f>
        <v/>
      </c>
      <c r="C254">
        <f>'1 datos preparados'!B247</f>
        <v/>
      </c>
      <c r="D254" s="7">
        <f>'1 datos preparados'!C247</f>
        <v/>
      </c>
      <c r="E254" s="7">
        <f>'1 datos preparados'!D247</f>
        <v/>
      </c>
      <c r="F254" s="7">
        <f>'1 datos preparados'!E247</f>
        <v/>
      </c>
      <c r="G254" s="7">
        <f>'1 datos preparados'!F247</f>
        <v/>
      </c>
      <c r="H254" s="7">
        <f>'1 datos preparados'!G247</f>
        <v/>
      </c>
      <c r="I254" s="7">
        <f>'1 datos preparados'!H247</f>
        <v/>
      </c>
      <c r="J254" s="7">
        <f>'1 datos preparados'!I247</f>
        <v/>
      </c>
      <c r="K254" s="7">
        <f>'1 datos preparados'!J247</f>
        <v/>
      </c>
      <c r="L254" s="7">
        <f>'1 datos preparados'!K247</f>
        <v/>
      </c>
      <c r="M254" s="7">
        <f>'1 datos preparados'!L247</f>
        <v/>
      </c>
      <c r="N254" s="7">
        <f>'1 datos preparados'!M247</f>
        <v/>
      </c>
      <c r="O254" s="7">
        <f>'1 datos preparados'!N247</f>
        <v/>
      </c>
      <c r="P254" s="7">
        <f>'1 datos preparados'!O247</f>
        <v/>
      </c>
      <c r="Q254" s="7">
        <f>'1 datos preparados'!P247</f>
        <v/>
      </c>
      <c r="R254" s="7">
        <f>'1 datos preparados'!Q247</f>
        <v/>
      </c>
      <c r="S254" s="7">
        <f>'1 datos preparados'!R247</f>
        <v/>
      </c>
      <c r="T254" s="7">
        <f>'1 datos preparados'!S247</f>
        <v/>
      </c>
      <c r="U254" s="7">
        <f>'1 datos preparados'!T247</f>
        <v/>
      </c>
      <c r="V254" s="8">
        <f>$AC$12+D254*$AC$13+E254*$AC$14+F254*$AC$15+G254*$AC$16+H254*$AC$17+I254*$AC$18+J254*$AC$19+K254*$AC$20+L254*$AC$21+M254*$AC$22+N254*$AC$23+O254*$AC$24+P254*$AC$25+Q254*$AC$26+R254*$AC$27+S254*$AC$28+T254*$AC$29+U254*$AC$30</f>
        <v/>
      </c>
      <c r="W254" s="8">
        <f>1/(1+EXP(-V254))</f>
        <v/>
      </c>
      <c r="X254" s="9">
        <f>-IF(C254=1,LN(W254),LN(1-W254))</f>
        <v/>
      </c>
      <c r="Y254" s="10">
        <f>IF(W254&gt;$AC$34,1,0)</f>
        <v/>
      </c>
      <c r="Z254">
        <f>IF(Y254=C254,1,0)</f>
        <v/>
      </c>
    </row>
    <row r="255">
      <c r="A255">
        <f>'1 datos preparados'!A248</f>
        <v/>
      </c>
      <c r="B255" s="5">
        <f>'1 datos preparados'!U248</f>
        <v/>
      </c>
      <c r="C255">
        <f>'1 datos preparados'!B248</f>
        <v/>
      </c>
      <c r="D255" s="7">
        <f>'1 datos preparados'!C248</f>
        <v/>
      </c>
      <c r="E255" s="7">
        <f>'1 datos preparados'!D248</f>
        <v/>
      </c>
      <c r="F255" s="7">
        <f>'1 datos preparados'!E248</f>
        <v/>
      </c>
      <c r="G255" s="7">
        <f>'1 datos preparados'!F248</f>
        <v/>
      </c>
      <c r="H255" s="7">
        <f>'1 datos preparados'!G248</f>
        <v/>
      </c>
      <c r="I255" s="7">
        <f>'1 datos preparados'!H248</f>
        <v/>
      </c>
      <c r="J255" s="7">
        <f>'1 datos preparados'!I248</f>
        <v/>
      </c>
      <c r="K255" s="7">
        <f>'1 datos preparados'!J248</f>
        <v/>
      </c>
      <c r="L255" s="7">
        <f>'1 datos preparados'!K248</f>
        <v/>
      </c>
      <c r="M255" s="7">
        <f>'1 datos preparados'!L248</f>
        <v/>
      </c>
      <c r="N255" s="7">
        <f>'1 datos preparados'!M248</f>
        <v/>
      </c>
      <c r="O255" s="7">
        <f>'1 datos preparados'!N248</f>
        <v/>
      </c>
      <c r="P255" s="7">
        <f>'1 datos preparados'!O248</f>
        <v/>
      </c>
      <c r="Q255" s="7">
        <f>'1 datos preparados'!P248</f>
        <v/>
      </c>
      <c r="R255" s="7">
        <f>'1 datos preparados'!Q248</f>
        <v/>
      </c>
      <c r="S255" s="7">
        <f>'1 datos preparados'!R248</f>
        <v/>
      </c>
      <c r="T255" s="7">
        <f>'1 datos preparados'!S248</f>
        <v/>
      </c>
      <c r="U255" s="7">
        <f>'1 datos preparados'!T248</f>
        <v/>
      </c>
      <c r="V255" s="8">
        <f>$AC$12+D255*$AC$13+E255*$AC$14+F255*$AC$15+G255*$AC$16+H255*$AC$17+I255*$AC$18+J255*$AC$19+K255*$AC$20+L255*$AC$21+M255*$AC$22+N255*$AC$23+O255*$AC$24+P255*$AC$25+Q255*$AC$26+R255*$AC$27+S255*$AC$28+T255*$AC$29+U255*$AC$30</f>
        <v/>
      </c>
      <c r="W255" s="8">
        <f>1/(1+EXP(-V255))</f>
        <v/>
      </c>
      <c r="X255" s="9">
        <f>-IF(C255=1,LN(W255),LN(1-W255))</f>
        <v/>
      </c>
      <c r="Y255" s="10">
        <f>IF(W255&gt;$AC$34,1,0)</f>
        <v/>
      </c>
      <c r="Z255">
        <f>IF(Y255=C255,1,0)</f>
        <v/>
      </c>
    </row>
    <row r="256">
      <c r="A256">
        <f>'1 datos preparados'!A249</f>
        <v/>
      </c>
      <c r="B256" s="5">
        <f>'1 datos preparados'!U249</f>
        <v/>
      </c>
      <c r="C256">
        <f>'1 datos preparados'!B249</f>
        <v/>
      </c>
      <c r="D256" s="7">
        <f>'1 datos preparados'!C249</f>
        <v/>
      </c>
      <c r="E256" s="7">
        <f>'1 datos preparados'!D249</f>
        <v/>
      </c>
      <c r="F256" s="7">
        <f>'1 datos preparados'!E249</f>
        <v/>
      </c>
      <c r="G256" s="7">
        <f>'1 datos preparados'!F249</f>
        <v/>
      </c>
      <c r="H256" s="7">
        <f>'1 datos preparados'!G249</f>
        <v/>
      </c>
      <c r="I256" s="7">
        <f>'1 datos preparados'!H249</f>
        <v/>
      </c>
      <c r="J256" s="7">
        <f>'1 datos preparados'!I249</f>
        <v/>
      </c>
      <c r="K256" s="7">
        <f>'1 datos preparados'!J249</f>
        <v/>
      </c>
      <c r="L256" s="7">
        <f>'1 datos preparados'!K249</f>
        <v/>
      </c>
      <c r="M256" s="7">
        <f>'1 datos preparados'!L249</f>
        <v/>
      </c>
      <c r="N256" s="7">
        <f>'1 datos preparados'!M249</f>
        <v/>
      </c>
      <c r="O256" s="7">
        <f>'1 datos preparados'!N249</f>
        <v/>
      </c>
      <c r="P256" s="7">
        <f>'1 datos preparados'!O249</f>
        <v/>
      </c>
      <c r="Q256" s="7">
        <f>'1 datos preparados'!P249</f>
        <v/>
      </c>
      <c r="R256" s="7">
        <f>'1 datos preparados'!Q249</f>
        <v/>
      </c>
      <c r="S256" s="7">
        <f>'1 datos preparados'!R249</f>
        <v/>
      </c>
      <c r="T256" s="7">
        <f>'1 datos preparados'!S249</f>
        <v/>
      </c>
      <c r="U256" s="7">
        <f>'1 datos preparados'!T249</f>
        <v/>
      </c>
      <c r="V256" s="8">
        <f>$AC$12+D256*$AC$13+E256*$AC$14+F256*$AC$15+G256*$AC$16+H256*$AC$17+I256*$AC$18+J256*$AC$19+K256*$AC$20+L256*$AC$21+M256*$AC$22+N256*$AC$23+O256*$AC$24+P256*$AC$25+Q256*$AC$26+R256*$AC$27+S256*$AC$28+T256*$AC$29+U256*$AC$30</f>
        <v/>
      </c>
      <c r="W256" s="8">
        <f>1/(1+EXP(-V256))</f>
        <v/>
      </c>
      <c r="X256" s="9">
        <f>-IF(C256=1,LN(W256),LN(1-W256))</f>
        <v/>
      </c>
      <c r="Y256" s="10">
        <f>IF(W256&gt;$AC$34,1,0)</f>
        <v/>
      </c>
      <c r="Z256">
        <f>IF(Y256=C256,1,0)</f>
        <v/>
      </c>
    </row>
    <row r="257">
      <c r="A257">
        <f>'1 datos preparados'!A250</f>
        <v/>
      </c>
      <c r="B257" s="5">
        <f>'1 datos preparados'!U250</f>
        <v/>
      </c>
      <c r="C257">
        <f>'1 datos preparados'!B250</f>
        <v/>
      </c>
      <c r="D257" s="7">
        <f>'1 datos preparados'!C250</f>
        <v/>
      </c>
      <c r="E257" s="7">
        <f>'1 datos preparados'!D250</f>
        <v/>
      </c>
      <c r="F257" s="7">
        <f>'1 datos preparados'!E250</f>
        <v/>
      </c>
      <c r="G257" s="7">
        <f>'1 datos preparados'!F250</f>
        <v/>
      </c>
      <c r="H257" s="7">
        <f>'1 datos preparados'!G250</f>
        <v/>
      </c>
      <c r="I257" s="7">
        <f>'1 datos preparados'!H250</f>
        <v/>
      </c>
      <c r="J257" s="7">
        <f>'1 datos preparados'!I250</f>
        <v/>
      </c>
      <c r="K257" s="7">
        <f>'1 datos preparados'!J250</f>
        <v/>
      </c>
      <c r="L257" s="7">
        <f>'1 datos preparados'!K250</f>
        <v/>
      </c>
      <c r="M257" s="7">
        <f>'1 datos preparados'!L250</f>
        <v/>
      </c>
      <c r="N257" s="7">
        <f>'1 datos preparados'!M250</f>
        <v/>
      </c>
      <c r="O257" s="7">
        <f>'1 datos preparados'!N250</f>
        <v/>
      </c>
      <c r="P257" s="7">
        <f>'1 datos preparados'!O250</f>
        <v/>
      </c>
      <c r="Q257" s="7">
        <f>'1 datos preparados'!P250</f>
        <v/>
      </c>
      <c r="R257" s="7">
        <f>'1 datos preparados'!Q250</f>
        <v/>
      </c>
      <c r="S257" s="7">
        <f>'1 datos preparados'!R250</f>
        <v/>
      </c>
      <c r="T257" s="7">
        <f>'1 datos preparados'!S250</f>
        <v/>
      </c>
      <c r="U257" s="7">
        <f>'1 datos preparados'!T250</f>
        <v/>
      </c>
      <c r="V257" s="8">
        <f>$AC$12+D257*$AC$13+E257*$AC$14+F257*$AC$15+G257*$AC$16+H257*$AC$17+I257*$AC$18+J257*$AC$19+K257*$AC$20+L257*$AC$21+M257*$AC$22+N257*$AC$23+O257*$AC$24+P257*$AC$25+Q257*$AC$26+R257*$AC$27+S257*$AC$28+T257*$AC$29+U257*$AC$30</f>
        <v/>
      </c>
      <c r="W257" s="8">
        <f>1/(1+EXP(-V257))</f>
        <v/>
      </c>
      <c r="X257" s="9">
        <f>-IF(C257=1,LN(W257),LN(1-W257))</f>
        <v/>
      </c>
      <c r="Y257" s="10">
        <f>IF(W257&gt;$AC$34,1,0)</f>
        <v/>
      </c>
      <c r="Z257">
        <f>IF(Y257=C257,1,0)</f>
        <v/>
      </c>
    </row>
    <row r="258">
      <c r="A258">
        <f>'1 datos preparados'!A251</f>
        <v/>
      </c>
      <c r="B258" s="5">
        <f>'1 datos preparados'!U251</f>
        <v/>
      </c>
      <c r="C258">
        <f>'1 datos preparados'!B251</f>
        <v/>
      </c>
      <c r="D258" s="7">
        <f>'1 datos preparados'!C251</f>
        <v/>
      </c>
      <c r="E258" s="7">
        <f>'1 datos preparados'!D251</f>
        <v/>
      </c>
      <c r="F258" s="7">
        <f>'1 datos preparados'!E251</f>
        <v/>
      </c>
      <c r="G258" s="7">
        <f>'1 datos preparados'!F251</f>
        <v/>
      </c>
      <c r="H258" s="7">
        <f>'1 datos preparados'!G251</f>
        <v/>
      </c>
      <c r="I258" s="7">
        <f>'1 datos preparados'!H251</f>
        <v/>
      </c>
      <c r="J258" s="7">
        <f>'1 datos preparados'!I251</f>
        <v/>
      </c>
      <c r="K258" s="7">
        <f>'1 datos preparados'!J251</f>
        <v/>
      </c>
      <c r="L258" s="7">
        <f>'1 datos preparados'!K251</f>
        <v/>
      </c>
      <c r="M258" s="7">
        <f>'1 datos preparados'!L251</f>
        <v/>
      </c>
      <c r="N258" s="7">
        <f>'1 datos preparados'!M251</f>
        <v/>
      </c>
      <c r="O258" s="7">
        <f>'1 datos preparados'!N251</f>
        <v/>
      </c>
      <c r="P258" s="7">
        <f>'1 datos preparados'!O251</f>
        <v/>
      </c>
      <c r="Q258" s="7">
        <f>'1 datos preparados'!P251</f>
        <v/>
      </c>
      <c r="R258" s="7">
        <f>'1 datos preparados'!Q251</f>
        <v/>
      </c>
      <c r="S258" s="7">
        <f>'1 datos preparados'!R251</f>
        <v/>
      </c>
      <c r="T258" s="7">
        <f>'1 datos preparados'!S251</f>
        <v/>
      </c>
      <c r="U258" s="7">
        <f>'1 datos preparados'!T251</f>
        <v/>
      </c>
      <c r="V258" s="8">
        <f>$AC$12+D258*$AC$13+E258*$AC$14+F258*$AC$15+G258*$AC$16+H258*$AC$17+I258*$AC$18+J258*$AC$19+K258*$AC$20+L258*$AC$21+M258*$AC$22+N258*$AC$23+O258*$AC$24+P258*$AC$25+Q258*$AC$26+R258*$AC$27+S258*$AC$28+T258*$AC$29+U258*$AC$30</f>
        <v/>
      </c>
      <c r="W258" s="8">
        <f>1/(1+EXP(-V258))</f>
        <v/>
      </c>
      <c r="X258" s="9">
        <f>-IF(C258=1,LN(W258),LN(1-W258))</f>
        <v/>
      </c>
      <c r="Y258" s="10">
        <f>IF(W258&gt;$AC$34,1,0)</f>
        <v/>
      </c>
      <c r="Z258">
        <f>IF(Y258=C258,1,0)</f>
        <v/>
      </c>
    </row>
    <row r="259">
      <c r="A259">
        <f>'1 datos preparados'!A252</f>
        <v/>
      </c>
      <c r="B259" s="5">
        <f>'1 datos preparados'!U252</f>
        <v/>
      </c>
      <c r="C259">
        <f>'1 datos preparados'!B252</f>
        <v/>
      </c>
      <c r="D259" s="7">
        <f>'1 datos preparados'!C252</f>
        <v/>
      </c>
      <c r="E259" s="7">
        <f>'1 datos preparados'!D252</f>
        <v/>
      </c>
      <c r="F259" s="7">
        <f>'1 datos preparados'!E252</f>
        <v/>
      </c>
      <c r="G259" s="7">
        <f>'1 datos preparados'!F252</f>
        <v/>
      </c>
      <c r="H259" s="7">
        <f>'1 datos preparados'!G252</f>
        <v/>
      </c>
      <c r="I259" s="7">
        <f>'1 datos preparados'!H252</f>
        <v/>
      </c>
      <c r="J259" s="7">
        <f>'1 datos preparados'!I252</f>
        <v/>
      </c>
      <c r="K259" s="7">
        <f>'1 datos preparados'!J252</f>
        <v/>
      </c>
      <c r="L259" s="7">
        <f>'1 datos preparados'!K252</f>
        <v/>
      </c>
      <c r="M259" s="7">
        <f>'1 datos preparados'!L252</f>
        <v/>
      </c>
      <c r="N259" s="7">
        <f>'1 datos preparados'!M252</f>
        <v/>
      </c>
      <c r="O259" s="7">
        <f>'1 datos preparados'!N252</f>
        <v/>
      </c>
      <c r="P259" s="7">
        <f>'1 datos preparados'!O252</f>
        <v/>
      </c>
      <c r="Q259" s="7">
        <f>'1 datos preparados'!P252</f>
        <v/>
      </c>
      <c r="R259" s="7">
        <f>'1 datos preparados'!Q252</f>
        <v/>
      </c>
      <c r="S259" s="7">
        <f>'1 datos preparados'!R252</f>
        <v/>
      </c>
      <c r="T259" s="7">
        <f>'1 datos preparados'!S252</f>
        <v/>
      </c>
      <c r="U259" s="7">
        <f>'1 datos preparados'!T252</f>
        <v/>
      </c>
      <c r="V259" s="8">
        <f>$AC$12+D259*$AC$13+E259*$AC$14+F259*$AC$15+G259*$AC$16+H259*$AC$17+I259*$AC$18+J259*$AC$19+K259*$AC$20+L259*$AC$21+M259*$AC$22+N259*$AC$23+O259*$AC$24+P259*$AC$25+Q259*$AC$26+R259*$AC$27+S259*$AC$28+T259*$AC$29+U259*$AC$30</f>
        <v/>
      </c>
      <c r="W259" s="8">
        <f>1/(1+EXP(-V259))</f>
        <v/>
      </c>
      <c r="X259" s="9">
        <f>-IF(C259=1,LN(W259),LN(1-W259))</f>
        <v/>
      </c>
      <c r="Y259" s="10">
        <f>IF(W259&gt;$AC$34,1,0)</f>
        <v/>
      </c>
      <c r="Z259">
        <f>IF(Y259=C259,1,0)</f>
        <v/>
      </c>
    </row>
    <row r="260">
      <c r="A260">
        <f>'1 datos preparados'!A253</f>
        <v/>
      </c>
      <c r="B260" s="5">
        <f>'1 datos preparados'!U253</f>
        <v/>
      </c>
      <c r="C260">
        <f>'1 datos preparados'!B253</f>
        <v/>
      </c>
      <c r="D260" s="7">
        <f>'1 datos preparados'!C253</f>
        <v/>
      </c>
      <c r="E260" s="7">
        <f>'1 datos preparados'!D253</f>
        <v/>
      </c>
      <c r="F260" s="7">
        <f>'1 datos preparados'!E253</f>
        <v/>
      </c>
      <c r="G260" s="7">
        <f>'1 datos preparados'!F253</f>
        <v/>
      </c>
      <c r="H260" s="7">
        <f>'1 datos preparados'!G253</f>
        <v/>
      </c>
      <c r="I260" s="7">
        <f>'1 datos preparados'!H253</f>
        <v/>
      </c>
      <c r="J260" s="7">
        <f>'1 datos preparados'!I253</f>
        <v/>
      </c>
      <c r="K260" s="7">
        <f>'1 datos preparados'!J253</f>
        <v/>
      </c>
      <c r="L260" s="7">
        <f>'1 datos preparados'!K253</f>
        <v/>
      </c>
      <c r="M260" s="7">
        <f>'1 datos preparados'!L253</f>
        <v/>
      </c>
      <c r="N260" s="7">
        <f>'1 datos preparados'!M253</f>
        <v/>
      </c>
      <c r="O260" s="7">
        <f>'1 datos preparados'!N253</f>
        <v/>
      </c>
      <c r="P260" s="7">
        <f>'1 datos preparados'!O253</f>
        <v/>
      </c>
      <c r="Q260" s="7">
        <f>'1 datos preparados'!P253</f>
        <v/>
      </c>
      <c r="R260" s="7">
        <f>'1 datos preparados'!Q253</f>
        <v/>
      </c>
      <c r="S260" s="7">
        <f>'1 datos preparados'!R253</f>
        <v/>
      </c>
      <c r="T260" s="7">
        <f>'1 datos preparados'!S253</f>
        <v/>
      </c>
      <c r="U260" s="7">
        <f>'1 datos preparados'!T253</f>
        <v/>
      </c>
      <c r="V260" s="8">
        <f>$AC$12+D260*$AC$13+E260*$AC$14+F260*$AC$15+G260*$AC$16+H260*$AC$17+I260*$AC$18+J260*$AC$19+K260*$AC$20+L260*$AC$21+M260*$AC$22+N260*$AC$23+O260*$AC$24+P260*$AC$25+Q260*$AC$26+R260*$AC$27+S260*$AC$28+T260*$AC$29+U260*$AC$30</f>
        <v/>
      </c>
      <c r="W260" s="8">
        <f>1/(1+EXP(-V260))</f>
        <v/>
      </c>
      <c r="X260" s="9">
        <f>-IF(C260=1,LN(W260),LN(1-W260))</f>
        <v/>
      </c>
      <c r="Y260" s="10">
        <f>IF(W260&gt;$AC$34,1,0)</f>
        <v/>
      </c>
      <c r="Z260">
        <f>IF(Y260=C260,1,0)</f>
        <v/>
      </c>
    </row>
    <row r="261">
      <c r="A261">
        <f>'1 datos preparados'!A254</f>
        <v/>
      </c>
      <c r="B261" s="5">
        <f>'1 datos preparados'!U254</f>
        <v/>
      </c>
      <c r="C261">
        <f>'1 datos preparados'!B254</f>
        <v/>
      </c>
      <c r="D261" s="7">
        <f>'1 datos preparados'!C254</f>
        <v/>
      </c>
      <c r="E261" s="7">
        <f>'1 datos preparados'!D254</f>
        <v/>
      </c>
      <c r="F261" s="7">
        <f>'1 datos preparados'!E254</f>
        <v/>
      </c>
      <c r="G261" s="7">
        <f>'1 datos preparados'!F254</f>
        <v/>
      </c>
      <c r="H261" s="7">
        <f>'1 datos preparados'!G254</f>
        <v/>
      </c>
      <c r="I261" s="7">
        <f>'1 datos preparados'!H254</f>
        <v/>
      </c>
      <c r="J261" s="7">
        <f>'1 datos preparados'!I254</f>
        <v/>
      </c>
      <c r="K261" s="7">
        <f>'1 datos preparados'!J254</f>
        <v/>
      </c>
      <c r="L261" s="7">
        <f>'1 datos preparados'!K254</f>
        <v/>
      </c>
      <c r="M261" s="7">
        <f>'1 datos preparados'!L254</f>
        <v/>
      </c>
      <c r="N261" s="7">
        <f>'1 datos preparados'!M254</f>
        <v/>
      </c>
      <c r="O261" s="7">
        <f>'1 datos preparados'!N254</f>
        <v/>
      </c>
      <c r="P261" s="7">
        <f>'1 datos preparados'!O254</f>
        <v/>
      </c>
      <c r="Q261" s="7">
        <f>'1 datos preparados'!P254</f>
        <v/>
      </c>
      <c r="R261" s="7">
        <f>'1 datos preparados'!Q254</f>
        <v/>
      </c>
      <c r="S261" s="7">
        <f>'1 datos preparados'!R254</f>
        <v/>
      </c>
      <c r="T261" s="7">
        <f>'1 datos preparados'!S254</f>
        <v/>
      </c>
      <c r="U261" s="7">
        <f>'1 datos preparados'!T254</f>
        <v/>
      </c>
      <c r="V261" s="8">
        <f>$AC$12+D261*$AC$13+E261*$AC$14+F261*$AC$15+G261*$AC$16+H261*$AC$17+I261*$AC$18+J261*$AC$19+K261*$AC$20+L261*$AC$21+M261*$AC$22+N261*$AC$23+O261*$AC$24+P261*$AC$25+Q261*$AC$26+R261*$AC$27+S261*$AC$28+T261*$AC$29+U261*$AC$30</f>
        <v/>
      </c>
      <c r="W261" s="8">
        <f>1/(1+EXP(-V261))</f>
        <v/>
      </c>
      <c r="X261" s="9">
        <f>-IF(C261=1,LN(W261),LN(1-W261))</f>
        <v/>
      </c>
      <c r="Y261" s="10">
        <f>IF(W261&gt;$AC$34,1,0)</f>
        <v/>
      </c>
      <c r="Z261">
        <f>IF(Y261=C261,1,0)</f>
        <v/>
      </c>
    </row>
    <row r="262">
      <c r="A262">
        <f>'1 datos preparados'!A255</f>
        <v/>
      </c>
      <c r="B262" s="5">
        <f>'1 datos preparados'!U255</f>
        <v/>
      </c>
      <c r="C262">
        <f>'1 datos preparados'!B255</f>
        <v/>
      </c>
      <c r="D262" s="7">
        <f>'1 datos preparados'!C255</f>
        <v/>
      </c>
      <c r="E262" s="7">
        <f>'1 datos preparados'!D255</f>
        <v/>
      </c>
      <c r="F262" s="7">
        <f>'1 datos preparados'!E255</f>
        <v/>
      </c>
      <c r="G262" s="7">
        <f>'1 datos preparados'!F255</f>
        <v/>
      </c>
      <c r="H262" s="7">
        <f>'1 datos preparados'!G255</f>
        <v/>
      </c>
      <c r="I262" s="7">
        <f>'1 datos preparados'!H255</f>
        <v/>
      </c>
      <c r="J262" s="7">
        <f>'1 datos preparados'!I255</f>
        <v/>
      </c>
      <c r="K262" s="7">
        <f>'1 datos preparados'!J255</f>
        <v/>
      </c>
      <c r="L262" s="7">
        <f>'1 datos preparados'!K255</f>
        <v/>
      </c>
      <c r="M262" s="7">
        <f>'1 datos preparados'!L255</f>
        <v/>
      </c>
      <c r="N262" s="7">
        <f>'1 datos preparados'!M255</f>
        <v/>
      </c>
      <c r="O262" s="7">
        <f>'1 datos preparados'!N255</f>
        <v/>
      </c>
      <c r="P262" s="7">
        <f>'1 datos preparados'!O255</f>
        <v/>
      </c>
      <c r="Q262" s="7">
        <f>'1 datos preparados'!P255</f>
        <v/>
      </c>
      <c r="R262" s="7">
        <f>'1 datos preparados'!Q255</f>
        <v/>
      </c>
      <c r="S262" s="7">
        <f>'1 datos preparados'!R255</f>
        <v/>
      </c>
      <c r="T262" s="7">
        <f>'1 datos preparados'!S255</f>
        <v/>
      </c>
      <c r="U262" s="7">
        <f>'1 datos preparados'!T255</f>
        <v/>
      </c>
      <c r="V262" s="8">
        <f>$AC$12+D262*$AC$13+E262*$AC$14+F262*$AC$15+G262*$AC$16+H262*$AC$17+I262*$AC$18+J262*$AC$19+K262*$AC$20+L262*$AC$21+M262*$AC$22+N262*$AC$23+O262*$AC$24+P262*$AC$25+Q262*$AC$26+R262*$AC$27+S262*$AC$28+T262*$AC$29+U262*$AC$30</f>
        <v/>
      </c>
      <c r="W262" s="8">
        <f>1/(1+EXP(-V262))</f>
        <v/>
      </c>
      <c r="X262" s="9">
        <f>-IF(C262=1,LN(W262),LN(1-W262))</f>
        <v/>
      </c>
      <c r="Y262" s="10">
        <f>IF(W262&gt;$AC$34,1,0)</f>
        <v/>
      </c>
      <c r="Z262">
        <f>IF(Y262=C262,1,0)</f>
        <v/>
      </c>
    </row>
    <row r="263">
      <c r="A263">
        <f>'1 datos preparados'!A256</f>
        <v/>
      </c>
      <c r="B263" s="5">
        <f>'1 datos preparados'!U256</f>
        <v/>
      </c>
      <c r="C263">
        <f>'1 datos preparados'!B256</f>
        <v/>
      </c>
      <c r="D263" s="7">
        <f>'1 datos preparados'!C256</f>
        <v/>
      </c>
      <c r="E263" s="7">
        <f>'1 datos preparados'!D256</f>
        <v/>
      </c>
      <c r="F263" s="7">
        <f>'1 datos preparados'!E256</f>
        <v/>
      </c>
      <c r="G263" s="7">
        <f>'1 datos preparados'!F256</f>
        <v/>
      </c>
      <c r="H263" s="7">
        <f>'1 datos preparados'!G256</f>
        <v/>
      </c>
      <c r="I263" s="7">
        <f>'1 datos preparados'!H256</f>
        <v/>
      </c>
      <c r="J263" s="7">
        <f>'1 datos preparados'!I256</f>
        <v/>
      </c>
      <c r="K263" s="7">
        <f>'1 datos preparados'!J256</f>
        <v/>
      </c>
      <c r="L263" s="7">
        <f>'1 datos preparados'!K256</f>
        <v/>
      </c>
      <c r="M263" s="7">
        <f>'1 datos preparados'!L256</f>
        <v/>
      </c>
      <c r="N263" s="7">
        <f>'1 datos preparados'!M256</f>
        <v/>
      </c>
      <c r="O263" s="7">
        <f>'1 datos preparados'!N256</f>
        <v/>
      </c>
      <c r="P263" s="7">
        <f>'1 datos preparados'!O256</f>
        <v/>
      </c>
      <c r="Q263" s="7">
        <f>'1 datos preparados'!P256</f>
        <v/>
      </c>
      <c r="R263" s="7">
        <f>'1 datos preparados'!Q256</f>
        <v/>
      </c>
      <c r="S263" s="7">
        <f>'1 datos preparados'!R256</f>
        <v/>
      </c>
      <c r="T263" s="7">
        <f>'1 datos preparados'!S256</f>
        <v/>
      </c>
      <c r="U263" s="7">
        <f>'1 datos preparados'!T256</f>
        <v/>
      </c>
      <c r="V263" s="8">
        <f>$AC$12+D263*$AC$13+E263*$AC$14+F263*$AC$15+G263*$AC$16+H263*$AC$17+I263*$AC$18+J263*$AC$19+K263*$AC$20+L263*$AC$21+M263*$AC$22+N263*$AC$23+O263*$AC$24+P263*$AC$25+Q263*$AC$26+R263*$AC$27+S263*$AC$28+T263*$AC$29+U263*$AC$30</f>
        <v/>
      </c>
      <c r="W263" s="8">
        <f>1/(1+EXP(-V263))</f>
        <v/>
      </c>
      <c r="X263" s="9">
        <f>-IF(C263=1,LN(W263),LN(1-W263))</f>
        <v/>
      </c>
      <c r="Y263" s="10">
        <f>IF(W263&gt;$AC$34,1,0)</f>
        <v/>
      </c>
      <c r="Z263">
        <f>IF(Y263=C263,1,0)</f>
        <v/>
      </c>
    </row>
    <row r="264">
      <c r="A264">
        <f>'1 datos preparados'!A257</f>
        <v/>
      </c>
      <c r="B264" s="5">
        <f>'1 datos preparados'!U257</f>
        <v/>
      </c>
      <c r="C264">
        <f>'1 datos preparados'!B257</f>
        <v/>
      </c>
      <c r="D264" s="7">
        <f>'1 datos preparados'!C257</f>
        <v/>
      </c>
      <c r="E264" s="7">
        <f>'1 datos preparados'!D257</f>
        <v/>
      </c>
      <c r="F264" s="7">
        <f>'1 datos preparados'!E257</f>
        <v/>
      </c>
      <c r="G264" s="7">
        <f>'1 datos preparados'!F257</f>
        <v/>
      </c>
      <c r="H264" s="7">
        <f>'1 datos preparados'!G257</f>
        <v/>
      </c>
      <c r="I264" s="7">
        <f>'1 datos preparados'!H257</f>
        <v/>
      </c>
      <c r="J264" s="7">
        <f>'1 datos preparados'!I257</f>
        <v/>
      </c>
      <c r="K264" s="7">
        <f>'1 datos preparados'!J257</f>
        <v/>
      </c>
      <c r="L264" s="7">
        <f>'1 datos preparados'!K257</f>
        <v/>
      </c>
      <c r="M264" s="7">
        <f>'1 datos preparados'!L257</f>
        <v/>
      </c>
      <c r="N264" s="7">
        <f>'1 datos preparados'!M257</f>
        <v/>
      </c>
      <c r="O264" s="7">
        <f>'1 datos preparados'!N257</f>
        <v/>
      </c>
      <c r="P264" s="7">
        <f>'1 datos preparados'!O257</f>
        <v/>
      </c>
      <c r="Q264" s="7">
        <f>'1 datos preparados'!P257</f>
        <v/>
      </c>
      <c r="R264" s="7">
        <f>'1 datos preparados'!Q257</f>
        <v/>
      </c>
      <c r="S264" s="7">
        <f>'1 datos preparados'!R257</f>
        <v/>
      </c>
      <c r="T264" s="7">
        <f>'1 datos preparados'!S257</f>
        <v/>
      </c>
      <c r="U264" s="7">
        <f>'1 datos preparados'!T257</f>
        <v/>
      </c>
      <c r="V264" s="8">
        <f>$AC$12+D264*$AC$13+E264*$AC$14+F264*$AC$15+G264*$AC$16+H264*$AC$17+I264*$AC$18+J264*$AC$19+K264*$AC$20+L264*$AC$21+M264*$AC$22+N264*$AC$23+O264*$AC$24+P264*$AC$25+Q264*$AC$26+R264*$AC$27+S264*$AC$28+T264*$AC$29+U264*$AC$30</f>
        <v/>
      </c>
      <c r="W264" s="8">
        <f>1/(1+EXP(-V264))</f>
        <v/>
      </c>
      <c r="X264" s="9">
        <f>-IF(C264=1,LN(W264),LN(1-W264))</f>
        <v/>
      </c>
      <c r="Y264" s="10">
        <f>IF(W264&gt;$AC$34,1,0)</f>
        <v/>
      </c>
      <c r="Z264">
        <f>IF(Y264=C264,1,0)</f>
        <v/>
      </c>
    </row>
    <row r="265">
      <c r="A265">
        <f>'1 datos preparados'!A258</f>
        <v/>
      </c>
      <c r="B265" s="5">
        <f>'1 datos preparados'!U258</f>
        <v/>
      </c>
      <c r="C265">
        <f>'1 datos preparados'!B258</f>
        <v/>
      </c>
      <c r="D265" s="7">
        <f>'1 datos preparados'!C258</f>
        <v/>
      </c>
      <c r="E265" s="7">
        <f>'1 datos preparados'!D258</f>
        <v/>
      </c>
      <c r="F265" s="7">
        <f>'1 datos preparados'!E258</f>
        <v/>
      </c>
      <c r="G265" s="7">
        <f>'1 datos preparados'!F258</f>
        <v/>
      </c>
      <c r="H265" s="7">
        <f>'1 datos preparados'!G258</f>
        <v/>
      </c>
      <c r="I265" s="7">
        <f>'1 datos preparados'!H258</f>
        <v/>
      </c>
      <c r="J265" s="7">
        <f>'1 datos preparados'!I258</f>
        <v/>
      </c>
      <c r="K265" s="7">
        <f>'1 datos preparados'!J258</f>
        <v/>
      </c>
      <c r="L265" s="7">
        <f>'1 datos preparados'!K258</f>
        <v/>
      </c>
      <c r="M265" s="7">
        <f>'1 datos preparados'!L258</f>
        <v/>
      </c>
      <c r="N265" s="7">
        <f>'1 datos preparados'!M258</f>
        <v/>
      </c>
      <c r="O265" s="7">
        <f>'1 datos preparados'!N258</f>
        <v/>
      </c>
      <c r="P265" s="7">
        <f>'1 datos preparados'!O258</f>
        <v/>
      </c>
      <c r="Q265" s="7">
        <f>'1 datos preparados'!P258</f>
        <v/>
      </c>
      <c r="R265" s="7">
        <f>'1 datos preparados'!Q258</f>
        <v/>
      </c>
      <c r="S265" s="7">
        <f>'1 datos preparados'!R258</f>
        <v/>
      </c>
      <c r="T265" s="7">
        <f>'1 datos preparados'!S258</f>
        <v/>
      </c>
      <c r="U265" s="7">
        <f>'1 datos preparados'!T258</f>
        <v/>
      </c>
      <c r="V265" s="8">
        <f>$AC$12+D265*$AC$13+E265*$AC$14+F265*$AC$15+G265*$AC$16+H265*$AC$17+I265*$AC$18+J265*$AC$19+K265*$AC$20+L265*$AC$21+M265*$AC$22+N265*$AC$23+O265*$AC$24+P265*$AC$25+Q265*$AC$26+R265*$AC$27+S265*$AC$28+T265*$AC$29+U265*$AC$30</f>
        <v/>
      </c>
      <c r="W265" s="8">
        <f>1/(1+EXP(-V265))</f>
        <v/>
      </c>
      <c r="X265" s="9">
        <f>-IF(C265=1,LN(W265),LN(1-W265))</f>
        <v/>
      </c>
      <c r="Y265" s="10">
        <f>IF(W265&gt;$AC$34,1,0)</f>
        <v/>
      </c>
      <c r="Z265">
        <f>IF(Y265=C265,1,0)</f>
        <v/>
      </c>
    </row>
    <row r="266">
      <c r="A266">
        <f>'1 datos preparados'!A259</f>
        <v/>
      </c>
      <c r="B266" s="5">
        <f>'1 datos preparados'!U259</f>
        <v/>
      </c>
      <c r="C266">
        <f>'1 datos preparados'!B259</f>
        <v/>
      </c>
      <c r="D266" s="7">
        <f>'1 datos preparados'!C259</f>
        <v/>
      </c>
      <c r="E266" s="7">
        <f>'1 datos preparados'!D259</f>
        <v/>
      </c>
      <c r="F266" s="7">
        <f>'1 datos preparados'!E259</f>
        <v/>
      </c>
      <c r="G266" s="7">
        <f>'1 datos preparados'!F259</f>
        <v/>
      </c>
      <c r="H266" s="7">
        <f>'1 datos preparados'!G259</f>
        <v/>
      </c>
      <c r="I266" s="7">
        <f>'1 datos preparados'!H259</f>
        <v/>
      </c>
      <c r="J266" s="7">
        <f>'1 datos preparados'!I259</f>
        <v/>
      </c>
      <c r="K266" s="7">
        <f>'1 datos preparados'!J259</f>
        <v/>
      </c>
      <c r="L266" s="7">
        <f>'1 datos preparados'!K259</f>
        <v/>
      </c>
      <c r="M266" s="7">
        <f>'1 datos preparados'!L259</f>
        <v/>
      </c>
      <c r="N266" s="7">
        <f>'1 datos preparados'!M259</f>
        <v/>
      </c>
      <c r="O266" s="7">
        <f>'1 datos preparados'!N259</f>
        <v/>
      </c>
      <c r="P266" s="7">
        <f>'1 datos preparados'!O259</f>
        <v/>
      </c>
      <c r="Q266" s="7">
        <f>'1 datos preparados'!P259</f>
        <v/>
      </c>
      <c r="R266" s="7">
        <f>'1 datos preparados'!Q259</f>
        <v/>
      </c>
      <c r="S266" s="7">
        <f>'1 datos preparados'!R259</f>
        <v/>
      </c>
      <c r="T266" s="7">
        <f>'1 datos preparados'!S259</f>
        <v/>
      </c>
      <c r="U266" s="7">
        <f>'1 datos preparados'!T259</f>
        <v/>
      </c>
      <c r="V266" s="8">
        <f>$AC$12+D266*$AC$13+E266*$AC$14+F266*$AC$15+G266*$AC$16+H266*$AC$17+I266*$AC$18+J266*$AC$19+K266*$AC$20+L266*$AC$21+M266*$AC$22+N266*$AC$23+O266*$AC$24+P266*$AC$25+Q266*$AC$26+R266*$AC$27+S266*$AC$28+T266*$AC$29+U266*$AC$30</f>
        <v/>
      </c>
      <c r="W266" s="8">
        <f>1/(1+EXP(-V266))</f>
        <v/>
      </c>
      <c r="X266" s="9">
        <f>-IF(C266=1,LN(W266),LN(1-W266))</f>
        <v/>
      </c>
      <c r="Y266" s="10">
        <f>IF(W266&gt;$AC$34,1,0)</f>
        <v/>
      </c>
      <c r="Z266">
        <f>IF(Y266=C266,1,0)</f>
        <v/>
      </c>
    </row>
    <row r="267">
      <c r="A267">
        <f>'1 datos preparados'!A260</f>
        <v/>
      </c>
      <c r="B267" s="5">
        <f>'1 datos preparados'!U260</f>
        <v/>
      </c>
      <c r="C267">
        <f>'1 datos preparados'!B260</f>
        <v/>
      </c>
      <c r="D267" s="7">
        <f>'1 datos preparados'!C260</f>
        <v/>
      </c>
      <c r="E267" s="7">
        <f>'1 datos preparados'!D260</f>
        <v/>
      </c>
      <c r="F267" s="7">
        <f>'1 datos preparados'!E260</f>
        <v/>
      </c>
      <c r="G267" s="7">
        <f>'1 datos preparados'!F260</f>
        <v/>
      </c>
      <c r="H267" s="7">
        <f>'1 datos preparados'!G260</f>
        <v/>
      </c>
      <c r="I267" s="7">
        <f>'1 datos preparados'!H260</f>
        <v/>
      </c>
      <c r="J267" s="7">
        <f>'1 datos preparados'!I260</f>
        <v/>
      </c>
      <c r="K267" s="7">
        <f>'1 datos preparados'!J260</f>
        <v/>
      </c>
      <c r="L267" s="7">
        <f>'1 datos preparados'!K260</f>
        <v/>
      </c>
      <c r="M267" s="7">
        <f>'1 datos preparados'!L260</f>
        <v/>
      </c>
      <c r="N267" s="7">
        <f>'1 datos preparados'!M260</f>
        <v/>
      </c>
      <c r="O267" s="7">
        <f>'1 datos preparados'!N260</f>
        <v/>
      </c>
      <c r="P267" s="7">
        <f>'1 datos preparados'!O260</f>
        <v/>
      </c>
      <c r="Q267" s="7">
        <f>'1 datos preparados'!P260</f>
        <v/>
      </c>
      <c r="R267" s="7">
        <f>'1 datos preparados'!Q260</f>
        <v/>
      </c>
      <c r="S267" s="7">
        <f>'1 datos preparados'!R260</f>
        <v/>
      </c>
      <c r="T267" s="7">
        <f>'1 datos preparados'!S260</f>
        <v/>
      </c>
      <c r="U267" s="7">
        <f>'1 datos preparados'!T260</f>
        <v/>
      </c>
      <c r="V267" s="8">
        <f>$AC$12+D267*$AC$13+E267*$AC$14+F267*$AC$15+G267*$AC$16+H267*$AC$17+I267*$AC$18+J267*$AC$19+K267*$AC$20+L267*$AC$21+M267*$AC$22+N267*$AC$23+O267*$AC$24+P267*$AC$25+Q267*$AC$26+R267*$AC$27+S267*$AC$28+T267*$AC$29+U267*$AC$30</f>
        <v/>
      </c>
      <c r="W267" s="8">
        <f>1/(1+EXP(-V267))</f>
        <v/>
      </c>
      <c r="X267" s="9">
        <f>-IF(C267=1,LN(W267),LN(1-W267))</f>
        <v/>
      </c>
      <c r="Y267" s="10">
        <f>IF(W267&gt;$AC$34,1,0)</f>
        <v/>
      </c>
      <c r="Z267">
        <f>IF(Y267=C267,1,0)</f>
        <v/>
      </c>
    </row>
    <row r="268">
      <c r="A268">
        <f>'1 datos preparados'!A261</f>
        <v/>
      </c>
      <c r="B268" s="5">
        <f>'1 datos preparados'!U261</f>
        <v/>
      </c>
      <c r="C268">
        <f>'1 datos preparados'!B261</f>
        <v/>
      </c>
      <c r="D268" s="7">
        <f>'1 datos preparados'!C261</f>
        <v/>
      </c>
      <c r="E268" s="7">
        <f>'1 datos preparados'!D261</f>
        <v/>
      </c>
      <c r="F268" s="7">
        <f>'1 datos preparados'!E261</f>
        <v/>
      </c>
      <c r="G268" s="7">
        <f>'1 datos preparados'!F261</f>
        <v/>
      </c>
      <c r="H268" s="7">
        <f>'1 datos preparados'!G261</f>
        <v/>
      </c>
      <c r="I268" s="7">
        <f>'1 datos preparados'!H261</f>
        <v/>
      </c>
      <c r="J268" s="7">
        <f>'1 datos preparados'!I261</f>
        <v/>
      </c>
      <c r="K268" s="7">
        <f>'1 datos preparados'!J261</f>
        <v/>
      </c>
      <c r="L268" s="7">
        <f>'1 datos preparados'!K261</f>
        <v/>
      </c>
      <c r="M268" s="7">
        <f>'1 datos preparados'!L261</f>
        <v/>
      </c>
      <c r="N268" s="7">
        <f>'1 datos preparados'!M261</f>
        <v/>
      </c>
      <c r="O268" s="7">
        <f>'1 datos preparados'!N261</f>
        <v/>
      </c>
      <c r="P268" s="7">
        <f>'1 datos preparados'!O261</f>
        <v/>
      </c>
      <c r="Q268" s="7">
        <f>'1 datos preparados'!P261</f>
        <v/>
      </c>
      <c r="R268" s="7">
        <f>'1 datos preparados'!Q261</f>
        <v/>
      </c>
      <c r="S268" s="7">
        <f>'1 datos preparados'!R261</f>
        <v/>
      </c>
      <c r="T268" s="7">
        <f>'1 datos preparados'!S261</f>
        <v/>
      </c>
      <c r="U268" s="7">
        <f>'1 datos preparados'!T261</f>
        <v/>
      </c>
      <c r="V268" s="8">
        <f>$AC$12+D268*$AC$13+E268*$AC$14+F268*$AC$15+G268*$AC$16+H268*$AC$17+I268*$AC$18+J268*$AC$19+K268*$AC$20+L268*$AC$21+M268*$AC$22+N268*$AC$23+O268*$AC$24+P268*$AC$25+Q268*$AC$26+R268*$AC$27+S268*$AC$28+T268*$AC$29+U268*$AC$30</f>
        <v/>
      </c>
      <c r="W268" s="8">
        <f>1/(1+EXP(-V268))</f>
        <v/>
      </c>
      <c r="X268" s="9">
        <f>-IF(C268=1,LN(W268),LN(1-W268))</f>
        <v/>
      </c>
      <c r="Y268" s="10">
        <f>IF(W268&gt;$AC$34,1,0)</f>
        <v/>
      </c>
      <c r="Z268">
        <f>IF(Y268=C268,1,0)</f>
        <v/>
      </c>
    </row>
    <row r="269">
      <c r="A269">
        <f>'1 datos preparados'!A262</f>
        <v/>
      </c>
      <c r="B269" s="5">
        <f>'1 datos preparados'!U262</f>
        <v/>
      </c>
      <c r="C269">
        <f>'1 datos preparados'!B262</f>
        <v/>
      </c>
      <c r="D269" s="7">
        <f>'1 datos preparados'!C262</f>
        <v/>
      </c>
      <c r="E269" s="7">
        <f>'1 datos preparados'!D262</f>
        <v/>
      </c>
      <c r="F269" s="7">
        <f>'1 datos preparados'!E262</f>
        <v/>
      </c>
      <c r="G269" s="7">
        <f>'1 datos preparados'!F262</f>
        <v/>
      </c>
      <c r="H269" s="7">
        <f>'1 datos preparados'!G262</f>
        <v/>
      </c>
      <c r="I269" s="7">
        <f>'1 datos preparados'!H262</f>
        <v/>
      </c>
      <c r="J269" s="7">
        <f>'1 datos preparados'!I262</f>
        <v/>
      </c>
      <c r="K269" s="7">
        <f>'1 datos preparados'!J262</f>
        <v/>
      </c>
      <c r="L269" s="7">
        <f>'1 datos preparados'!K262</f>
        <v/>
      </c>
      <c r="M269" s="7">
        <f>'1 datos preparados'!L262</f>
        <v/>
      </c>
      <c r="N269" s="7">
        <f>'1 datos preparados'!M262</f>
        <v/>
      </c>
      <c r="O269" s="7">
        <f>'1 datos preparados'!N262</f>
        <v/>
      </c>
      <c r="P269" s="7">
        <f>'1 datos preparados'!O262</f>
        <v/>
      </c>
      <c r="Q269" s="7">
        <f>'1 datos preparados'!P262</f>
        <v/>
      </c>
      <c r="R269" s="7">
        <f>'1 datos preparados'!Q262</f>
        <v/>
      </c>
      <c r="S269" s="7">
        <f>'1 datos preparados'!R262</f>
        <v/>
      </c>
      <c r="T269" s="7">
        <f>'1 datos preparados'!S262</f>
        <v/>
      </c>
      <c r="U269" s="7">
        <f>'1 datos preparados'!T262</f>
        <v/>
      </c>
      <c r="V269" s="8">
        <f>$AC$12+D269*$AC$13+E269*$AC$14+F269*$AC$15+G269*$AC$16+H269*$AC$17+I269*$AC$18+J269*$AC$19+K269*$AC$20+L269*$AC$21+M269*$AC$22+N269*$AC$23+O269*$AC$24+P269*$AC$25+Q269*$AC$26+R269*$AC$27+S269*$AC$28+T269*$AC$29+U269*$AC$30</f>
        <v/>
      </c>
      <c r="W269" s="8">
        <f>1/(1+EXP(-V269))</f>
        <v/>
      </c>
      <c r="X269" s="9">
        <f>-IF(C269=1,LN(W269),LN(1-W269))</f>
        <v/>
      </c>
      <c r="Y269" s="10">
        <f>IF(W269&gt;$AC$34,1,0)</f>
        <v/>
      </c>
      <c r="Z269">
        <f>IF(Y269=C269,1,0)</f>
        <v/>
      </c>
    </row>
    <row r="270">
      <c r="A270">
        <f>'1 datos preparados'!A263</f>
        <v/>
      </c>
      <c r="B270" s="5">
        <f>'1 datos preparados'!U263</f>
        <v/>
      </c>
      <c r="C270">
        <f>'1 datos preparados'!B263</f>
        <v/>
      </c>
      <c r="D270" s="7">
        <f>'1 datos preparados'!C263</f>
        <v/>
      </c>
      <c r="E270" s="7">
        <f>'1 datos preparados'!D263</f>
        <v/>
      </c>
      <c r="F270" s="7">
        <f>'1 datos preparados'!E263</f>
        <v/>
      </c>
      <c r="G270" s="7">
        <f>'1 datos preparados'!F263</f>
        <v/>
      </c>
      <c r="H270" s="7">
        <f>'1 datos preparados'!G263</f>
        <v/>
      </c>
      <c r="I270" s="7">
        <f>'1 datos preparados'!H263</f>
        <v/>
      </c>
      <c r="J270" s="7">
        <f>'1 datos preparados'!I263</f>
        <v/>
      </c>
      <c r="K270" s="7">
        <f>'1 datos preparados'!J263</f>
        <v/>
      </c>
      <c r="L270" s="7">
        <f>'1 datos preparados'!K263</f>
        <v/>
      </c>
      <c r="M270" s="7">
        <f>'1 datos preparados'!L263</f>
        <v/>
      </c>
      <c r="N270" s="7">
        <f>'1 datos preparados'!M263</f>
        <v/>
      </c>
      <c r="O270" s="7">
        <f>'1 datos preparados'!N263</f>
        <v/>
      </c>
      <c r="P270" s="7">
        <f>'1 datos preparados'!O263</f>
        <v/>
      </c>
      <c r="Q270" s="7">
        <f>'1 datos preparados'!P263</f>
        <v/>
      </c>
      <c r="R270" s="7">
        <f>'1 datos preparados'!Q263</f>
        <v/>
      </c>
      <c r="S270" s="7">
        <f>'1 datos preparados'!R263</f>
        <v/>
      </c>
      <c r="T270" s="7">
        <f>'1 datos preparados'!S263</f>
        <v/>
      </c>
      <c r="U270" s="7">
        <f>'1 datos preparados'!T263</f>
        <v/>
      </c>
      <c r="V270" s="8">
        <f>$AC$12+D270*$AC$13+E270*$AC$14+F270*$AC$15+G270*$AC$16+H270*$AC$17+I270*$AC$18+J270*$AC$19+K270*$AC$20+L270*$AC$21+M270*$AC$22+N270*$AC$23+O270*$AC$24+P270*$AC$25+Q270*$AC$26+R270*$AC$27+S270*$AC$28+T270*$AC$29+U270*$AC$30</f>
        <v/>
      </c>
      <c r="W270" s="8">
        <f>1/(1+EXP(-V270))</f>
        <v/>
      </c>
      <c r="X270" s="9">
        <f>-IF(C270=1,LN(W270),LN(1-W270))</f>
        <v/>
      </c>
      <c r="Y270" s="10">
        <f>IF(W270&gt;$AC$34,1,0)</f>
        <v/>
      </c>
      <c r="Z270">
        <f>IF(Y270=C270,1,0)</f>
        <v/>
      </c>
    </row>
    <row r="271">
      <c r="A271">
        <f>'1 datos preparados'!A264</f>
        <v/>
      </c>
      <c r="B271" s="5">
        <f>'1 datos preparados'!U264</f>
        <v/>
      </c>
      <c r="C271">
        <f>'1 datos preparados'!B264</f>
        <v/>
      </c>
      <c r="D271" s="7">
        <f>'1 datos preparados'!C264</f>
        <v/>
      </c>
      <c r="E271" s="7">
        <f>'1 datos preparados'!D264</f>
        <v/>
      </c>
      <c r="F271" s="7">
        <f>'1 datos preparados'!E264</f>
        <v/>
      </c>
      <c r="G271" s="7">
        <f>'1 datos preparados'!F264</f>
        <v/>
      </c>
      <c r="H271" s="7">
        <f>'1 datos preparados'!G264</f>
        <v/>
      </c>
      <c r="I271" s="7">
        <f>'1 datos preparados'!H264</f>
        <v/>
      </c>
      <c r="J271" s="7">
        <f>'1 datos preparados'!I264</f>
        <v/>
      </c>
      <c r="K271" s="7">
        <f>'1 datos preparados'!J264</f>
        <v/>
      </c>
      <c r="L271" s="7">
        <f>'1 datos preparados'!K264</f>
        <v/>
      </c>
      <c r="M271" s="7">
        <f>'1 datos preparados'!L264</f>
        <v/>
      </c>
      <c r="N271" s="7">
        <f>'1 datos preparados'!M264</f>
        <v/>
      </c>
      <c r="O271" s="7">
        <f>'1 datos preparados'!N264</f>
        <v/>
      </c>
      <c r="P271" s="7">
        <f>'1 datos preparados'!O264</f>
        <v/>
      </c>
      <c r="Q271" s="7">
        <f>'1 datos preparados'!P264</f>
        <v/>
      </c>
      <c r="R271" s="7">
        <f>'1 datos preparados'!Q264</f>
        <v/>
      </c>
      <c r="S271" s="7">
        <f>'1 datos preparados'!R264</f>
        <v/>
      </c>
      <c r="T271" s="7">
        <f>'1 datos preparados'!S264</f>
        <v/>
      </c>
      <c r="U271" s="7">
        <f>'1 datos preparados'!T264</f>
        <v/>
      </c>
      <c r="V271" s="8">
        <f>$AC$12+D271*$AC$13+E271*$AC$14+F271*$AC$15+G271*$AC$16+H271*$AC$17+I271*$AC$18+J271*$AC$19+K271*$AC$20+L271*$AC$21+M271*$AC$22+N271*$AC$23+O271*$AC$24+P271*$AC$25+Q271*$AC$26+R271*$AC$27+S271*$AC$28+T271*$AC$29+U271*$AC$30</f>
        <v/>
      </c>
      <c r="W271" s="8">
        <f>1/(1+EXP(-V271))</f>
        <v/>
      </c>
      <c r="X271" s="9">
        <f>-IF(C271=1,LN(W271),LN(1-W271))</f>
        <v/>
      </c>
      <c r="Y271" s="10">
        <f>IF(W271&gt;$AC$34,1,0)</f>
        <v/>
      </c>
      <c r="Z271">
        <f>IF(Y271=C271,1,0)</f>
        <v/>
      </c>
    </row>
    <row r="272">
      <c r="A272">
        <f>'1 datos preparados'!A265</f>
        <v/>
      </c>
      <c r="B272" s="5">
        <f>'1 datos preparados'!U265</f>
        <v/>
      </c>
      <c r="C272">
        <f>'1 datos preparados'!B265</f>
        <v/>
      </c>
      <c r="D272" s="7">
        <f>'1 datos preparados'!C265</f>
        <v/>
      </c>
      <c r="E272" s="7">
        <f>'1 datos preparados'!D265</f>
        <v/>
      </c>
      <c r="F272" s="7">
        <f>'1 datos preparados'!E265</f>
        <v/>
      </c>
      <c r="G272" s="7">
        <f>'1 datos preparados'!F265</f>
        <v/>
      </c>
      <c r="H272" s="7">
        <f>'1 datos preparados'!G265</f>
        <v/>
      </c>
      <c r="I272" s="7">
        <f>'1 datos preparados'!H265</f>
        <v/>
      </c>
      <c r="J272" s="7">
        <f>'1 datos preparados'!I265</f>
        <v/>
      </c>
      <c r="K272" s="7">
        <f>'1 datos preparados'!J265</f>
        <v/>
      </c>
      <c r="L272" s="7">
        <f>'1 datos preparados'!K265</f>
        <v/>
      </c>
      <c r="M272" s="7">
        <f>'1 datos preparados'!L265</f>
        <v/>
      </c>
      <c r="N272" s="7">
        <f>'1 datos preparados'!M265</f>
        <v/>
      </c>
      <c r="O272" s="7">
        <f>'1 datos preparados'!N265</f>
        <v/>
      </c>
      <c r="P272" s="7">
        <f>'1 datos preparados'!O265</f>
        <v/>
      </c>
      <c r="Q272" s="7">
        <f>'1 datos preparados'!P265</f>
        <v/>
      </c>
      <c r="R272" s="7">
        <f>'1 datos preparados'!Q265</f>
        <v/>
      </c>
      <c r="S272" s="7">
        <f>'1 datos preparados'!R265</f>
        <v/>
      </c>
      <c r="T272" s="7">
        <f>'1 datos preparados'!S265</f>
        <v/>
      </c>
      <c r="U272" s="7">
        <f>'1 datos preparados'!T265</f>
        <v/>
      </c>
      <c r="V272" s="8">
        <f>$AC$12+D272*$AC$13+E272*$AC$14+F272*$AC$15+G272*$AC$16+H272*$AC$17+I272*$AC$18+J272*$AC$19+K272*$AC$20+L272*$AC$21+M272*$AC$22+N272*$AC$23+O272*$AC$24+P272*$AC$25+Q272*$AC$26+R272*$AC$27+S272*$AC$28+T272*$AC$29+U272*$AC$30</f>
        <v/>
      </c>
      <c r="W272" s="8">
        <f>1/(1+EXP(-V272))</f>
        <v/>
      </c>
      <c r="X272" s="9">
        <f>-IF(C272=1,LN(W272),LN(1-W272))</f>
        <v/>
      </c>
      <c r="Y272" s="10">
        <f>IF(W272&gt;$AC$34,1,0)</f>
        <v/>
      </c>
      <c r="Z272">
        <f>IF(Y272=C272,1,0)</f>
        <v/>
      </c>
    </row>
    <row r="273">
      <c r="A273">
        <f>'1 datos preparados'!A266</f>
        <v/>
      </c>
      <c r="B273" s="5">
        <f>'1 datos preparados'!U266</f>
        <v/>
      </c>
      <c r="C273">
        <f>'1 datos preparados'!B266</f>
        <v/>
      </c>
      <c r="D273" s="7">
        <f>'1 datos preparados'!C266</f>
        <v/>
      </c>
      <c r="E273" s="7">
        <f>'1 datos preparados'!D266</f>
        <v/>
      </c>
      <c r="F273" s="7">
        <f>'1 datos preparados'!E266</f>
        <v/>
      </c>
      <c r="G273" s="7">
        <f>'1 datos preparados'!F266</f>
        <v/>
      </c>
      <c r="H273" s="7">
        <f>'1 datos preparados'!G266</f>
        <v/>
      </c>
      <c r="I273" s="7">
        <f>'1 datos preparados'!H266</f>
        <v/>
      </c>
      <c r="J273" s="7">
        <f>'1 datos preparados'!I266</f>
        <v/>
      </c>
      <c r="K273" s="7">
        <f>'1 datos preparados'!J266</f>
        <v/>
      </c>
      <c r="L273" s="7">
        <f>'1 datos preparados'!K266</f>
        <v/>
      </c>
      <c r="M273" s="7">
        <f>'1 datos preparados'!L266</f>
        <v/>
      </c>
      <c r="N273" s="7">
        <f>'1 datos preparados'!M266</f>
        <v/>
      </c>
      <c r="O273" s="7">
        <f>'1 datos preparados'!N266</f>
        <v/>
      </c>
      <c r="P273" s="7">
        <f>'1 datos preparados'!O266</f>
        <v/>
      </c>
      <c r="Q273" s="7">
        <f>'1 datos preparados'!P266</f>
        <v/>
      </c>
      <c r="R273" s="7">
        <f>'1 datos preparados'!Q266</f>
        <v/>
      </c>
      <c r="S273" s="7">
        <f>'1 datos preparados'!R266</f>
        <v/>
      </c>
      <c r="T273" s="7">
        <f>'1 datos preparados'!S266</f>
        <v/>
      </c>
      <c r="U273" s="7">
        <f>'1 datos preparados'!T266</f>
        <v/>
      </c>
      <c r="V273" s="8">
        <f>$AC$12+D273*$AC$13+E273*$AC$14+F273*$AC$15+G273*$AC$16+H273*$AC$17+I273*$AC$18+J273*$AC$19+K273*$AC$20+L273*$AC$21+M273*$AC$22+N273*$AC$23+O273*$AC$24+P273*$AC$25+Q273*$AC$26+R273*$AC$27+S273*$AC$28+T273*$AC$29+U273*$AC$30</f>
        <v/>
      </c>
      <c r="W273" s="8">
        <f>1/(1+EXP(-V273))</f>
        <v/>
      </c>
      <c r="X273" s="9">
        <f>-IF(C273=1,LN(W273),LN(1-W273))</f>
        <v/>
      </c>
      <c r="Y273" s="10">
        <f>IF(W273&gt;$AC$34,1,0)</f>
        <v/>
      </c>
      <c r="Z273">
        <f>IF(Y273=C273,1,0)</f>
        <v/>
      </c>
    </row>
    <row r="274">
      <c r="A274">
        <f>'1 datos preparados'!A267</f>
        <v/>
      </c>
      <c r="B274" s="5">
        <f>'1 datos preparados'!U267</f>
        <v/>
      </c>
      <c r="C274">
        <f>'1 datos preparados'!B267</f>
        <v/>
      </c>
      <c r="D274" s="7">
        <f>'1 datos preparados'!C267</f>
        <v/>
      </c>
      <c r="E274" s="7">
        <f>'1 datos preparados'!D267</f>
        <v/>
      </c>
      <c r="F274" s="7">
        <f>'1 datos preparados'!E267</f>
        <v/>
      </c>
      <c r="G274" s="7">
        <f>'1 datos preparados'!F267</f>
        <v/>
      </c>
      <c r="H274" s="7">
        <f>'1 datos preparados'!G267</f>
        <v/>
      </c>
      <c r="I274" s="7">
        <f>'1 datos preparados'!H267</f>
        <v/>
      </c>
      <c r="J274" s="7">
        <f>'1 datos preparados'!I267</f>
        <v/>
      </c>
      <c r="K274" s="7">
        <f>'1 datos preparados'!J267</f>
        <v/>
      </c>
      <c r="L274" s="7">
        <f>'1 datos preparados'!K267</f>
        <v/>
      </c>
      <c r="M274" s="7">
        <f>'1 datos preparados'!L267</f>
        <v/>
      </c>
      <c r="N274" s="7">
        <f>'1 datos preparados'!M267</f>
        <v/>
      </c>
      <c r="O274" s="7">
        <f>'1 datos preparados'!N267</f>
        <v/>
      </c>
      <c r="P274" s="7">
        <f>'1 datos preparados'!O267</f>
        <v/>
      </c>
      <c r="Q274" s="7">
        <f>'1 datos preparados'!P267</f>
        <v/>
      </c>
      <c r="R274" s="7">
        <f>'1 datos preparados'!Q267</f>
        <v/>
      </c>
      <c r="S274" s="7">
        <f>'1 datos preparados'!R267</f>
        <v/>
      </c>
      <c r="T274" s="7">
        <f>'1 datos preparados'!S267</f>
        <v/>
      </c>
      <c r="U274" s="7">
        <f>'1 datos preparados'!T267</f>
        <v/>
      </c>
      <c r="V274" s="8">
        <f>$AC$12+D274*$AC$13+E274*$AC$14+F274*$AC$15+G274*$AC$16+H274*$AC$17+I274*$AC$18+J274*$AC$19+K274*$AC$20+L274*$AC$21+M274*$AC$22+N274*$AC$23+O274*$AC$24+P274*$AC$25+Q274*$AC$26+R274*$AC$27+S274*$AC$28+T274*$AC$29+U274*$AC$30</f>
        <v/>
      </c>
      <c r="W274" s="8">
        <f>1/(1+EXP(-V274))</f>
        <v/>
      </c>
      <c r="X274" s="9">
        <f>-IF(C274=1,LN(W274),LN(1-W274))</f>
        <v/>
      </c>
      <c r="Y274" s="10">
        <f>IF(W274&gt;$AC$34,1,0)</f>
        <v/>
      </c>
      <c r="Z274">
        <f>IF(Y274=C274,1,0)</f>
        <v/>
      </c>
    </row>
    <row r="275">
      <c r="A275">
        <f>'1 datos preparados'!A268</f>
        <v/>
      </c>
      <c r="B275" s="5">
        <f>'1 datos preparados'!U268</f>
        <v/>
      </c>
      <c r="C275">
        <f>'1 datos preparados'!B268</f>
        <v/>
      </c>
      <c r="D275" s="7">
        <f>'1 datos preparados'!C268</f>
        <v/>
      </c>
      <c r="E275" s="7">
        <f>'1 datos preparados'!D268</f>
        <v/>
      </c>
      <c r="F275" s="7">
        <f>'1 datos preparados'!E268</f>
        <v/>
      </c>
      <c r="G275" s="7">
        <f>'1 datos preparados'!F268</f>
        <v/>
      </c>
      <c r="H275" s="7">
        <f>'1 datos preparados'!G268</f>
        <v/>
      </c>
      <c r="I275" s="7">
        <f>'1 datos preparados'!H268</f>
        <v/>
      </c>
      <c r="J275" s="7">
        <f>'1 datos preparados'!I268</f>
        <v/>
      </c>
      <c r="K275" s="7">
        <f>'1 datos preparados'!J268</f>
        <v/>
      </c>
      <c r="L275" s="7">
        <f>'1 datos preparados'!K268</f>
        <v/>
      </c>
      <c r="M275" s="7">
        <f>'1 datos preparados'!L268</f>
        <v/>
      </c>
      <c r="N275" s="7">
        <f>'1 datos preparados'!M268</f>
        <v/>
      </c>
      <c r="O275" s="7">
        <f>'1 datos preparados'!N268</f>
        <v/>
      </c>
      <c r="P275" s="7">
        <f>'1 datos preparados'!O268</f>
        <v/>
      </c>
      <c r="Q275" s="7">
        <f>'1 datos preparados'!P268</f>
        <v/>
      </c>
      <c r="R275" s="7">
        <f>'1 datos preparados'!Q268</f>
        <v/>
      </c>
      <c r="S275" s="7">
        <f>'1 datos preparados'!R268</f>
        <v/>
      </c>
      <c r="T275" s="7">
        <f>'1 datos preparados'!S268</f>
        <v/>
      </c>
      <c r="U275" s="7">
        <f>'1 datos preparados'!T268</f>
        <v/>
      </c>
      <c r="V275" s="8">
        <f>$AC$12+D275*$AC$13+E275*$AC$14+F275*$AC$15+G275*$AC$16+H275*$AC$17+I275*$AC$18+J275*$AC$19+K275*$AC$20+L275*$AC$21+M275*$AC$22+N275*$AC$23+O275*$AC$24+P275*$AC$25+Q275*$AC$26+R275*$AC$27+S275*$AC$28+T275*$AC$29+U275*$AC$30</f>
        <v/>
      </c>
      <c r="W275" s="8">
        <f>1/(1+EXP(-V275))</f>
        <v/>
      </c>
      <c r="X275" s="9">
        <f>-IF(C275=1,LN(W275),LN(1-W275))</f>
        <v/>
      </c>
      <c r="Y275" s="10">
        <f>IF(W275&gt;$AC$34,1,0)</f>
        <v/>
      </c>
      <c r="Z275">
        <f>IF(Y275=C275,1,0)</f>
        <v/>
      </c>
    </row>
    <row r="276">
      <c r="A276">
        <f>'1 datos preparados'!A269</f>
        <v/>
      </c>
      <c r="B276" s="5">
        <f>'1 datos preparados'!U269</f>
        <v/>
      </c>
      <c r="C276">
        <f>'1 datos preparados'!B269</f>
        <v/>
      </c>
      <c r="D276" s="7">
        <f>'1 datos preparados'!C269</f>
        <v/>
      </c>
      <c r="E276" s="7">
        <f>'1 datos preparados'!D269</f>
        <v/>
      </c>
      <c r="F276" s="7">
        <f>'1 datos preparados'!E269</f>
        <v/>
      </c>
      <c r="G276" s="7">
        <f>'1 datos preparados'!F269</f>
        <v/>
      </c>
      <c r="H276" s="7">
        <f>'1 datos preparados'!G269</f>
        <v/>
      </c>
      <c r="I276" s="7">
        <f>'1 datos preparados'!H269</f>
        <v/>
      </c>
      <c r="J276" s="7">
        <f>'1 datos preparados'!I269</f>
        <v/>
      </c>
      <c r="K276" s="7">
        <f>'1 datos preparados'!J269</f>
        <v/>
      </c>
      <c r="L276" s="7">
        <f>'1 datos preparados'!K269</f>
        <v/>
      </c>
      <c r="M276" s="7">
        <f>'1 datos preparados'!L269</f>
        <v/>
      </c>
      <c r="N276" s="7">
        <f>'1 datos preparados'!M269</f>
        <v/>
      </c>
      <c r="O276" s="7">
        <f>'1 datos preparados'!N269</f>
        <v/>
      </c>
      <c r="P276" s="7">
        <f>'1 datos preparados'!O269</f>
        <v/>
      </c>
      <c r="Q276" s="7">
        <f>'1 datos preparados'!P269</f>
        <v/>
      </c>
      <c r="R276" s="7">
        <f>'1 datos preparados'!Q269</f>
        <v/>
      </c>
      <c r="S276" s="7">
        <f>'1 datos preparados'!R269</f>
        <v/>
      </c>
      <c r="T276" s="7">
        <f>'1 datos preparados'!S269</f>
        <v/>
      </c>
      <c r="U276" s="7">
        <f>'1 datos preparados'!T269</f>
        <v/>
      </c>
      <c r="V276" s="8">
        <f>$AC$12+D276*$AC$13+E276*$AC$14+F276*$AC$15+G276*$AC$16+H276*$AC$17+I276*$AC$18+J276*$AC$19+K276*$AC$20+L276*$AC$21+M276*$AC$22+N276*$AC$23+O276*$AC$24+P276*$AC$25+Q276*$AC$26+R276*$AC$27+S276*$AC$28+T276*$AC$29+U276*$AC$30</f>
        <v/>
      </c>
      <c r="W276" s="8">
        <f>1/(1+EXP(-V276))</f>
        <v/>
      </c>
      <c r="X276" s="9">
        <f>-IF(C276=1,LN(W276),LN(1-W276))</f>
        <v/>
      </c>
      <c r="Y276" s="10">
        <f>IF(W276&gt;$AC$34,1,0)</f>
        <v/>
      </c>
      <c r="Z276">
        <f>IF(Y276=C276,1,0)</f>
        <v/>
      </c>
    </row>
    <row r="277">
      <c r="A277">
        <f>'1 datos preparados'!A270</f>
        <v/>
      </c>
      <c r="B277" s="5">
        <f>'1 datos preparados'!U270</f>
        <v/>
      </c>
      <c r="C277">
        <f>'1 datos preparados'!B270</f>
        <v/>
      </c>
      <c r="D277" s="7">
        <f>'1 datos preparados'!C270</f>
        <v/>
      </c>
      <c r="E277" s="7">
        <f>'1 datos preparados'!D270</f>
        <v/>
      </c>
      <c r="F277" s="7">
        <f>'1 datos preparados'!E270</f>
        <v/>
      </c>
      <c r="G277" s="7">
        <f>'1 datos preparados'!F270</f>
        <v/>
      </c>
      <c r="H277" s="7">
        <f>'1 datos preparados'!G270</f>
        <v/>
      </c>
      <c r="I277" s="7">
        <f>'1 datos preparados'!H270</f>
        <v/>
      </c>
      <c r="J277" s="7">
        <f>'1 datos preparados'!I270</f>
        <v/>
      </c>
      <c r="K277" s="7">
        <f>'1 datos preparados'!J270</f>
        <v/>
      </c>
      <c r="L277" s="7">
        <f>'1 datos preparados'!K270</f>
        <v/>
      </c>
      <c r="M277" s="7">
        <f>'1 datos preparados'!L270</f>
        <v/>
      </c>
      <c r="N277" s="7">
        <f>'1 datos preparados'!M270</f>
        <v/>
      </c>
      <c r="O277" s="7">
        <f>'1 datos preparados'!N270</f>
        <v/>
      </c>
      <c r="P277" s="7">
        <f>'1 datos preparados'!O270</f>
        <v/>
      </c>
      <c r="Q277" s="7">
        <f>'1 datos preparados'!P270</f>
        <v/>
      </c>
      <c r="R277" s="7">
        <f>'1 datos preparados'!Q270</f>
        <v/>
      </c>
      <c r="S277" s="7">
        <f>'1 datos preparados'!R270</f>
        <v/>
      </c>
      <c r="T277" s="7">
        <f>'1 datos preparados'!S270</f>
        <v/>
      </c>
      <c r="U277" s="7">
        <f>'1 datos preparados'!T270</f>
        <v/>
      </c>
      <c r="V277" s="8">
        <f>$AC$12+D277*$AC$13+E277*$AC$14+F277*$AC$15+G277*$AC$16+H277*$AC$17+I277*$AC$18+J277*$AC$19+K277*$AC$20+L277*$AC$21+M277*$AC$22+N277*$AC$23+O277*$AC$24+P277*$AC$25+Q277*$AC$26+R277*$AC$27+S277*$AC$28+T277*$AC$29+U277*$AC$30</f>
        <v/>
      </c>
      <c r="W277" s="8">
        <f>1/(1+EXP(-V277))</f>
        <v/>
      </c>
      <c r="X277" s="9">
        <f>-IF(C277=1,LN(W277),LN(1-W277))</f>
        <v/>
      </c>
      <c r="Y277" s="10">
        <f>IF(W277&gt;$AC$34,1,0)</f>
        <v/>
      </c>
      <c r="Z277">
        <f>IF(Y277=C277,1,0)</f>
        <v/>
      </c>
    </row>
    <row r="278">
      <c r="A278">
        <f>'1 datos preparados'!A271</f>
        <v/>
      </c>
      <c r="B278" s="5">
        <f>'1 datos preparados'!U271</f>
        <v/>
      </c>
      <c r="C278">
        <f>'1 datos preparados'!B271</f>
        <v/>
      </c>
      <c r="D278" s="7">
        <f>'1 datos preparados'!C271</f>
        <v/>
      </c>
      <c r="E278" s="7">
        <f>'1 datos preparados'!D271</f>
        <v/>
      </c>
      <c r="F278" s="7">
        <f>'1 datos preparados'!E271</f>
        <v/>
      </c>
      <c r="G278" s="7">
        <f>'1 datos preparados'!F271</f>
        <v/>
      </c>
      <c r="H278" s="7">
        <f>'1 datos preparados'!G271</f>
        <v/>
      </c>
      <c r="I278" s="7">
        <f>'1 datos preparados'!H271</f>
        <v/>
      </c>
      <c r="J278" s="7">
        <f>'1 datos preparados'!I271</f>
        <v/>
      </c>
      <c r="K278" s="7">
        <f>'1 datos preparados'!J271</f>
        <v/>
      </c>
      <c r="L278" s="7">
        <f>'1 datos preparados'!K271</f>
        <v/>
      </c>
      <c r="M278" s="7">
        <f>'1 datos preparados'!L271</f>
        <v/>
      </c>
      <c r="N278" s="7">
        <f>'1 datos preparados'!M271</f>
        <v/>
      </c>
      <c r="O278" s="7">
        <f>'1 datos preparados'!N271</f>
        <v/>
      </c>
      <c r="P278" s="7">
        <f>'1 datos preparados'!O271</f>
        <v/>
      </c>
      <c r="Q278" s="7">
        <f>'1 datos preparados'!P271</f>
        <v/>
      </c>
      <c r="R278" s="7">
        <f>'1 datos preparados'!Q271</f>
        <v/>
      </c>
      <c r="S278" s="7">
        <f>'1 datos preparados'!R271</f>
        <v/>
      </c>
      <c r="T278" s="7">
        <f>'1 datos preparados'!S271</f>
        <v/>
      </c>
      <c r="U278" s="7">
        <f>'1 datos preparados'!T271</f>
        <v/>
      </c>
      <c r="V278" s="8">
        <f>$AC$12+D278*$AC$13+E278*$AC$14+F278*$AC$15+G278*$AC$16+H278*$AC$17+I278*$AC$18+J278*$AC$19+K278*$AC$20+L278*$AC$21+M278*$AC$22+N278*$AC$23+O278*$AC$24+P278*$AC$25+Q278*$AC$26+R278*$AC$27+S278*$AC$28+T278*$AC$29+U278*$AC$30</f>
        <v/>
      </c>
      <c r="W278" s="8">
        <f>1/(1+EXP(-V278))</f>
        <v/>
      </c>
      <c r="X278" s="9">
        <f>-IF(C278=1,LN(W278),LN(1-W278))</f>
        <v/>
      </c>
      <c r="Y278" s="10">
        <f>IF(W278&gt;$AC$34,1,0)</f>
        <v/>
      </c>
      <c r="Z278">
        <f>IF(Y278=C278,1,0)</f>
        <v/>
      </c>
    </row>
    <row r="279">
      <c r="A279">
        <f>'1 datos preparados'!A272</f>
        <v/>
      </c>
      <c r="B279" s="5">
        <f>'1 datos preparados'!U272</f>
        <v/>
      </c>
      <c r="C279">
        <f>'1 datos preparados'!B272</f>
        <v/>
      </c>
      <c r="D279" s="7">
        <f>'1 datos preparados'!C272</f>
        <v/>
      </c>
      <c r="E279" s="7">
        <f>'1 datos preparados'!D272</f>
        <v/>
      </c>
      <c r="F279" s="7">
        <f>'1 datos preparados'!E272</f>
        <v/>
      </c>
      <c r="G279" s="7">
        <f>'1 datos preparados'!F272</f>
        <v/>
      </c>
      <c r="H279" s="7">
        <f>'1 datos preparados'!G272</f>
        <v/>
      </c>
      <c r="I279" s="7">
        <f>'1 datos preparados'!H272</f>
        <v/>
      </c>
      <c r="J279" s="7">
        <f>'1 datos preparados'!I272</f>
        <v/>
      </c>
      <c r="K279" s="7">
        <f>'1 datos preparados'!J272</f>
        <v/>
      </c>
      <c r="L279" s="7">
        <f>'1 datos preparados'!K272</f>
        <v/>
      </c>
      <c r="M279" s="7">
        <f>'1 datos preparados'!L272</f>
        <v/>
      </c>
      <c r="N279" s="7">
        <f>'1 datos preparados'!M272</f>
        <v/>
      </c>
      <c r="O279" s="7">
        <f>'1 datos preparados'!N272</f>
        <v/>
      </c>
      <c r="P279" s="7">
        <f>'1 datos preparados'!O272</f>
        <v/>
      </c>
      <c r="Q279" s="7">
        <f>'1 datos preparados'!P272</f>
        <v/>
      </c>
      <c r="R279" s="7">
        <f>'1 datos preparados'!Q272</f>
        <v/>
      </c>
      <c r="S279" s="7">
        <f>'1 datos preparados'!R272</f>
        <v/>
      </c>
      <c r="T279" s="7">
        <f>'1 datos preparados'!S272</f>
        <v/>
      </c>
      <c r="U279" s="7">
        <f>'1 datos preparados'!T272</f>
        <v/>
      </c>
      <c r="V279" s="8">
        <f>$AC$12+D279*$AC$13+E279*$AC$14+F279*$AC$15+G279*$AC$16+H279*$AC$17+I279*$AC$18+J279*$AC$19+K279*$AC$20+L279*$AC$21+M279*$AC$22+N279*$AC$23+O279*$AC$24+P279*$AC$25+Q279*$AC$26+R279*$AC$27+S279*$AC$28+T279*$AC$29+U279*$AC$30</f>
        <v/>
      </c>
      <c r="W279" s="8">
        <f>1/(1+EXP(-V279))</f>
        <v/>
      </c>
      <c r="X279" s="9">
        <f>-IF(C279=1,LN(W279),LN(1-W279))</f>
        <v/>
      </c>
      <c r="Y279" s="10">
        <f>IF(W279&gt;$AC$34,1,0)</f>
        <v/>
      </c>
      <c r="Z279">
        <f>IF(Y279=C279,1,0)</f>
        <v/>
      </c>
    </row>
    <row r="280">
      <c r="A280">
        <f>'1 datos preparados'!A273</f>
        <v/>
      </c>
      <c r="B280" s="5">
        <f>'1 datos preparados'!U273</f>
        <v/>
      </c>
      <c r="C280">
        <f>'1 datos preparados'!B273</f>
        <v/>
      </c>
      <c r="D280" s="7">
        <f>'1 datos preparados'!C273</f>
        <v/>
      </c>
      <c r="E280" s="7">
        <f>'1 datos preparados'!D273</f>
        <v/>
      </c>
      <c r="F280" s="7">
        <f>'1 datos preparados'!E273</f>
        <v/>
      </c>
      <c r="G280" s="7">
        <f>'1 datos preparados'!F273</f>
        <v/>
      </c>
      <c r="H280" s="7">
        <f>'1 datos preparados'!G273</f>
        <v/>
      </c>
      <c r="I280" s="7">
        <f>'1 datos preparados'!H273</f>
        <v/>
      </c>
      <c r="J280" s="7">
        <f>'1 datos preparados'!I273</f>
        <v/>
      </c>
      <c r="K280" s="7">
        <f>'1 datos preparados'!J273</f>
        <v/>
      </c>
      <c r="L280" s="7">
        <f>'1 datos preparados'!K273</f>
        <v/>
      </c>
      <c r="M280" s="7">
        <f>'1 datos preparados'!L273</f>
        <v/>
      </c>
      <c r="N280" s="7">
        <f>'1 datos preparados'!M273</f>
        <v/>
      </c>
      <c r="O280" s="7">
        <f>'1 datos preparados'!N273</f>
        <v/>
      </c>
      <c r="P280" s="7">
        <f>'1 datos preparados'!O273</f>
        <v/>
      </c>
      <c r="Q280" s="7">
        <f>'1 datos preparados'!P273</f>
        <v/>
      </c>
      <c r="R280" s="7">
        <f>'1 datos preparados'!Q273</f>
        <v/>
      </c>
      <c r="S280" s="7">
        <f>'1 datos preparados'!R273</f>
        <v/>
      </c>
      <c r="T280" s="7">
        <f>'1 datos preparados'!S273</f>
        <v/>
      </c>
      <c r="U280" s="7">
        <f>'1 datos preparados'!T273</f>
        <v/>
      </c>
      <c r="V280" s="8">
        <f>$AC$12+D280*$AC$13+E280*$AC$14+F280*$AC$15+G280*$AC$16+H280*$AC$17+I280*$AC$18+J280*$AC$19+K280*$AC$20+L280*$AC$21+M280*$AC$22+N280*$AC$23+O280*$AC$24+P280*$AC$25+Q280*$AC$26+R280*$AC$27+S280*$AC$28+T280*$AC$29+U280*$AC$30</f>
        <v/>
      </c>
      <c r="W280" s="8">
        <f>1/(1+EXP(-V280))</f>
        <v/>
      </c>
      <c r="X280" s="9">
        <f>-IF(C280=1,LN(W280),LN(1-W280))</f>
        <v/>
      </c>
      <c r="Y280" s="10">
        <f>IF(W280&gt;$AC$34,1,0)</f>
        <v/>
      </c>
      <c r="Z280">
        <f>IF(Y280=C280,1,0)</f>
        <v/>
      </c>
    </row>
    <row r="281">
      <c r="A281">
        <f>'1 datos preparados'!A274</f>
        <v/>
      </c>
      <c r="B281" s="5">
        <f>'1 datos preparados'!U274</f>
        <v/>
      </c>
      <c r="C281">
        <f>'1 datos preparados'!B274</f>
        <v/>
      </c>
      <c r="D281" s="7">
        <f>'1 datos preparados'!C274</f>
        <v/>
      </c>
      <c r="E281" s="7">
        <f>'1 datos preparados'!D274</f>
        <v/>
      </c>
      <c r="F281" s="7">
        <f>'1 datos preparados'!E274</f>
        <v/>
      </c>
      <c r="G281" s="7">
        <f>'1 datos preparados'!F274</f>
        <v/>
      </c>
      <c r="H281" s="7">
        <f>'1 datos preparados'!G274</f>
        <v/>
      </c>
      <c r="I281" s="7">
        <f>'1 datos preparados'!H274</f>
        <v/>
      </c>
      <c r="J281" s="7">
        <f>'1 datos preparados'!I274</f>
        <v/>
      </c>
      <c r="K281" s="7">
        <f>'1 datos preparados'!J274</f>
        <v/>
      </c>
      <c r="L281" s="7">
        <f>'1 datos preparados'!K274</f>
        <v/>
      </c>
      <c r="M281" s="7">
        <f>'1 datos preparados'!L274</f>
        <v/>
      </c>
      <c r="N281" s="7">
        <f>'1 datos preparados'!M274</f>
        <v/>
      </c>
      <c r="O281" s="7">
        <f>'1 datos preparados'!N274</f>
        <v/>
      </c>
      <c r="P281" s="7">
        <f>'1 datos preparados'!O274</f>
        <v/>
      </c>
      <c r="Q281" s="7">
        <f>'1 datos preparados'!P274</f>
        <v/>
      </c>
      <c r="R281" s="7">
        <f>'1 datos preparados'!Q274</f>
        <v/>
      </c>
      <c r="S281" s="7">
        <f>'1 datos preparados'!R274</f>
        <v/>
      </c>
      <c r="T281" s="7">
        <f>'1 datos preparados'!S274</f>
        <v/>
      </c>
      <c r="U281" s="7">
        <f>'1 datos preparados'!T274</f>
        <v/>
      </c>
      <c r="V281" s="8">
        <f>$AC$12+D281*$AC$13+E281*$AC$14+F281*$AC$15+G281*$AC$16+H281*$AC$17+I281*$AC$18+J281*$AC$19+K281*$AC$20+L281*$AC$21+M281*$AC$22+N281*$AC$23+O281*$AC$24+P281*$AC$25+Q281*$AC$26+R281*$AC$27+S281*$AC$28+T281*$AC$29+U281*$AC$30</f>
        <v/>
      </c>
      <c r="W281" s="8">
        <f>1/(1+EXP(-V281))</f>
        <v/>
      </c>
      <c r="X281" s="9">
        <f>-IF(C281=1,LN(W281),LN(1-W281))</f>
        <v/>
      </c>
      <c r="Y281" s="10">
        <f>IF(W281&gt;$AC$34,1,0)</f>
        <v/>
      </c>
      <c r="Z281">
        <f>IF(Y281=C281,1,0)</f>
        <v/>
      </c>
    </row>
    <row r="282">
      <c r="A282">
        <f>'1 datos preparados'!A275</f>
        <v/>
      </c>
      <c r="B282" s="5">
        <f>'1 datos preparados'!U275</f>
        <v/>
      </c>
      <c r="C282">
        <f>'1 datos preparados'!B275</f>
        <v/>
      </c>
      <c r="D282" s="7">
        <f>'1 datos preparados'!C275</f>
        <v/>
      </c>
      <c r="E282" s="7">
        <f>'1 datos preparados'!D275</f>
        <v/>
      </c>
      <c r="F282" s="7">
        <f>'1 datos preparados'!E275</f>
        <v/>
      </c>
      <c r="G282" s="7">
        <f>'1 datos preparados'!F275</f>
        <v/>
      </c>
      <c r="H282" s="7">
        <f>'1 datos preparados'!G275</f>
        <v/>
      </c>
      <c r="I282" s="7">
        <f>'1 datos preparados'!H275</f>
        <v/>
      </c>
      <c r="J282" s="7">
        <f>'1 datos preparados'!I275</f>
        <v/>
      </c>
      <c r="K282" s="7">
        <f>'1 datos preparados'!J275</f>
        <v/>
      </c>
      <c r="L282" s="7">
        <f>'1 datos preparados'!K275</f>
        <v/>
      </c>
      <c r="M282" s="7">
        <f>'1 datos preparados'!L275</f>
        <v/>
      </c>
      <c r="N282" s="7">
        <f>'1 datos preparados'!M275</f>
        <v/>
      </c>
      <c r="O282" s="7">
        <f>'1 datos preparados'!N275</f>
        <v/>
      </c>
      <c r="P282" s="7">
        <f>'1 datos preparados'!O275</f>
        <v/>
      </c>
      <c r="Q282" s="7">
        <f>'1 datos preparados'!P275</f>
        <v/>
      </c>
      <c r="R282" s="7">
        <f>'1 datos preparados'!Q275</f>
        <v/>
      </c>
      <c r="S282" s="7">
        <f>'1 datos preparados'!R275</f>
        <v/>
      </c>
      <c r="T282" s="7">
        <f>'1 datos preparados'!S275</f>
        <v/>
      </c>
      <c r="U282" s="7">
        <f>'1 datos preparados'!T275</f>
        <v/>
      </c>
      <c r="V282" s="8">
        <f>$AC$12+D282*$AC$13+E282*$AC$14+F282*$AC$15+G282*$AC$16+H282*$AC$17+I282*$AC$18+J282*$AC$19+K282*$AC$20+L282*$AC$21+M282*$AC$22+N282*$AC$23+O282*$AC$24+P282*$AC$25+Q282*$AC$26+R282*$AC$27+S282*$AC$28+T282*$AC$29+U282*$AC$30</f>
        <v/>
      </c>
      <c r="W282" s="8">
        <f>1/(1+EXP(-V282))</f>
        <v/>
      </c>
      <c r="X282" s="9">
        <f>-IF(C282=1,LN(W282),LN(1-W282))</f>
        <v/>
      </c>
      <c r="Y282" s="10">
        <f>IF(W282&gt;$AC$34,1,0)</f>
        <v/>
      </c>
      <c r="Z282">
        <f>IF(Y282=C282,1,0)</f>
        <v/>
      </c>
    </row>
    <row r="283">
      <c r="A283">
        <f>'1 datos preparados'!A276</f>
        <v/>
      </c>
      <c r="B283" s="5">
        <f>'1 datos preparados'!U276</f>
        <v/>
      </c>
      <c r="C283">
        <f>'1 datos preparados'!B276</f>
        <v/>
      </c>
      <c r="D283" s="7">
        <f>'1 datos preparados'!C276</f>
        <v/>
      </c>
      <c r="E283" s="7">
        <f>'1 datos preparados'!D276</f>
        <v/>
      </c>
      <c r="F283" s="7">
        <f>'1 datos preparados'!E276</f>
        <v/>
      </c>
      <c r="G283" s="7">
        <f>'1 datos preparados'!F276</f>
        <v/>
      </c>
      <c r="H283" s="7">
        <f>'1 datos preparados'!G276</f>
        <v/>
      </c>
      <c r="I283" s="7">
        <f>'1 datos preparados'!H276</f>
        <v/>
      </c>
      <c r="J283" s="7">
        <f>'1 datos preparados'!I276</f>
        <v/>
      </c>
      <c r="K283" s="7">
        <f>'1 datos preparados'!J276</f>
        <v/>
      </c>
      <c r="L283" s="7">
        <f>'1 datos preparados'!K276</f>
        <v/>
      </c>
      <c r="M283" s="7">
        <f>'1 datos preparados'!L276</f>
        <v/>
      </c>
      <c r="N283" s="7">
        <f>'1 datos preparados'!M276</f>
        <v/>
      </c>
      <c r="O283" s="7">
        <f>'1 datos preparados'!N276</f>
        <v/>
      </c>
      <c r="P283" s="7">
        <f>'1 datos preparados'!O276</f>
        <v/>
      </c>
      <c r="Q283" s="7">
        <f>'1 datos preparados'!P276</f>
        <v/>
      </c>
      <c r="R283" s="7">
        <f>'1 datos preparados'!Q276</f>
        <v/>
      </c>
      <c r="S283" s="7">
        <f>'1 datos preparados'!R276</f>
        <v/>
      </c>
      <c r="T283" s="7">
        <f>'1 datos preparados'!S276</f>
        <v/>
      </c>
      <c r="U283" s="7">
        <f>'1 datos preparados'!T276</f>
        <v/>
      </c>
      <c r="V283" s="8">
        <f>$AC$12+D283*$AC$13+E283*$AC$14+F283*$AC$15+G283*$AC$16+H283*$AC$17+I283*$AC$18+J283*$AC$19+K283*$AC$20+L283*$AC$21+M283*$AC$22+N283*$AC$23+O283*$AC$24+P283*$AC$25+Q283*$AC$26+R283*$AC$27+S283*$AC$28+T283*$AC$29+U283*$AC$30</f>
        <v/>
      </c>
      <c r="W283" s="8">
        <f>1/(1+EXP(-V283))</f>
        <v/>
      </c>
      <c r="X283" s="9">
        <f>-IF(C283=1,LN(W283),LN(1-W283))</f>
        <v/>
      </c>
      <c r="Y283" s="10">
        <f>IF(W283&gt;$AC$34,1,0)</f>
        <v/>
      </c>
      <c r="Z283">
        <f>IF(Y283=C283,1,0)</f>
        <v/>
      </c>
    </row>
    <row r="284">
      <c r="A284">
        <f>'1 datos preparados'!A277</f>
        <v/>
      </c>
      <c r="B284" s="5">
        <f>'1 datos preparados'!U277</f>
        <v/>
      </c>
      <c r="C284">
        <f>'1 datos preparados'!B277</f>
        <v/>
      </c>
      <c r="D284" s="7">
        <f>'1 datos preparados'!C277</f>
        <v/>
      </c>
      <c r="E284" s="7">
        <f>'1 datos preparados'!D277</f>
        <v/>
      </c>
      <c r="F284" s="7">
        <f>'1 datos preparados'!E277</f>
        <v/>
      </c>
      <c r="G284" s="7">
        <f>'1 datos preparados'!F277</f>
        <v/>
      </c>
      <c r="H284" s="7">
        <f>'1 datos preparados'!G277</f>
        <v/>
      </c>
      <c r="I284" s="7">
        <f>'1 datos preparados'!H277</f>
        <v/>
      </c>
      <c r="J284" s="7">
        <f>'1 datos preparados'!I277</f>
        <v/>
      </c>
      <c r="K284" s="7">
        <f>'1 datos preparados'!J277</f>
        <v/>
      </c>
      <c r="L284" s="7">
        <f>'1 datos preparados'!K277</f>
        <v/>
      </c>
      <c r="M284" s="7">
        <f>'1 datos preparados'!L277</f>
        <v/>
      </c>
      <c r="N284" s="7">
        <f>'1 datos preparados'!M277</f>
        <v/>
      </c>
      <c r="O284" s="7">
        <f>'1 datos preparados'!N277</f>
        <v/>
      </c>
      <c r="P284" s="7">
        <f>'1 datos preparados'!O277</f>
        <v/>
      </c>
      <c r="Q284" s="7">
        <f>'1 datos preparados'!P277</f>
        <v/>
      </c>
      <c r="R284" s="7">
        <f>'1 datos preparados'!Q277</f>
        <v/>
      </c>
      <c r="S284" s="7">
        <f>'1 datos preparados'!R277</f>
        <v/>
      </c>
      <c r="T284" s="7">
        <f>'1 datos preparados'!S277</f>
        <v/>
      </c>
      <c r="U284" s="7">
        <f>'1 datos preparados'!T277</f>
        <v/>
      </c>
      <c r="V284" s="8">
        <f>$AC$12+D284*$AC$13+E284*$AC$14+F284*$AC$15+G284*$AC$16+H284*$AC$17+I284*$AC$18+J284*$AC$19+K284*$AC$20+L284*$AC$21+M284*$AC$22+N284*$AC$23+O284*$AC$24+P284*$AC$25+Q284*$AC$26+R284*$AC$27+S284*$AC$28+T284*$AC$29+U284*$AC$30</f>
        <v/>
      </c>
      <c r="W284" s="8">
        <f>1/(1+EXP(-V284))</f>
        <v/>
      </c>
      <c r="X284" s="9">
        <f>-IF(C284=1,LN(W284),LN(1-W284))</f>
        <v/>
      </c>
      <c r="Y284" s="10">
        <f>IF(W284&gt;$AC$34,1,0)</f>
        <v/>
      </c>
      <c r="Z284">
        <f>IF(Y284=C284,1,0)</f>
        <v/>
      </c>
    </row>
    <row r="285">
      <c r="A285">
        <f>'1 datos preparados'!A278</f>
        <v/>
      </c>
      <c r="B285" s="5">
        <f>'1 datos preparados'!U278</f>
        <v/>
      </c>
      <c r="C285">
        <f>'1 datos preparados'!B278</f>
        <v/>
      </c>
      <c r="D285" s="7">
        <f>'1 datos preparados'!C278</f>
        <v/>
      </c>
      <c r="E285" s="7">
        <f>'1 datos preparados'!D278</f>
        <v/>
      </c>
      <c r="F285" s="7">
        <f>'1 datos preparados'!E278</f>
        <v/>
      </c>
      <c r="G285" s="7">
        <f>'1 datos preparados'!F278</f>
        <v/>
      </c>
      <c r="H285" s="7">
        <f>'1 datos preparados'!G278</f>
        <v/>
      </c>
      <c r="I285" s="7">
        <f>'1 datos preparados'!H278</f>
        <v/>
      </c>
      <c r="J285" s="7">
        <f>'1 datos preparados'!I278</f>
        <v/>
      </c>
      <c r="K285" s="7">
        <f>'1 datos preparados'!J278</f>
        <v/>
      </c>
      <c r="L285" s="7">
        <f>'1 datos preparados'!K278</f>
        <v/>
      </c>
      <c r="M285" s="7">
        <f>'1 datos preparados'!L278</f>
        <v/>
      </c>
      <c r="N285" s="7">
        <f>'1 datos preparados'!M278</f>
        <v/>
      </c>
      <c r="O285" s="7">
        <f>'1 datos preparados'!N278</f>
        <v/>
      </c>
      <c r="P285" s="7">
        <f>'1 datos preparados'!O278</f>
        <v/>
      </c>
      <c r="Q285" s="7">
        <f>'1 datos preparados'!P278</f>
        <v/>
      </c>
      <c r="R285" s="7">
        <f>'1 datos preparados'!Q278</f>
        <v/>
      </c>
      <c r="S285" s="7">
        <f>'1 datos preparados'!R278</f>
        <v/>
      </c>
      <c r="T285" s="7">
        <f>'1 datos preparados'!S278</f>
        <v/>
      </c>
      <c r="U285" s="7">
        <f>'1 datos preparados'!T278</f>
        <v/>
      </c>
      <c r="V285" s="8">
        <f>$AC$12+D285*$AC$13+E285*$AC$14+F285*$AC$15+G285*$AC$16+H285*$AC$17+I285*$AC$18+J285*$AC$19+K285*$AC$20+L285*$AC$21+M285*$AC$22+N285*$AC$23+O285*$AC$24+P285*$AC$25+Q285*$AC$26+R285*$AC$27+S285*$AC$28+T285*$AC$29+U285*$AC$30</f>
        <v/>
      </c>
      <c r="W285" s="8">
        <f>1/(1+EXP(-V285))</f>
        <v/>
      </c>
      <c r="X285" s="9">
        <f>-IF(C285=1,LN(W285),LN(1-W285))</f>
        <v/>
      </c>
      <c r="Y285" s="10">
        <f>IF(W285&gt;$AC$34,1,0)</f>
        <v/>
      </c>
      <c r="Z285">
        <f>IF(Y285=C285,1,0)</f>
        <v/>
      </c>
    </row>
    <row r="286">
      <c r="A286">
        <f>'1 datos preparados'!A279</f>
        <v/>
      </c>
      <c r="B286" s="5">
        <f>'1 datos preparados'!U279</f>
        <v/>
      </c>
      <c r="C286">
        <f>'1 datos preparados'!B279</f>
        <v/>
      </c>
      <c r="D286" s="7">
        <f>'1 datos preparados'!C279</f>
        <v/>
      </c>
      <c r="E286" s="7">
        <f>'1 datos preparados'!D279</f>
        <v/>
      </c>
      <c r="F286" s="7">
        <f>'1 datos preparados'!E279</f>
        <v/>
      </c>
      <c r="G286" s="7">
        <f>'1 datos preparados'!F279</f>
        <v/>
      </c>
      <c r="H286" s="7">
        <f>'1 datos preparados'!G279</f>
        <v/>
      </c>
      <c r="I286" s="7">
        <f>'1 datos preparados'!H279</f>
        <v/>
      </c>
      <c r="J286" s="7">
        <f>'1 datos preparados'!I279</f>
        <v/>
      </c>
      <c r="K286" s="7">
        <f>'1 datos preparados'!J279</f>
        <v/>
      </c>
      <c r="L286" s="7">
        <f>'1 datos preparados'!K279</f>
        <v/>
      </c>
      <c r="M286" s="7">
        <f>'1 datos preparados'!L279</f>
        <v/>
      </c>
      <c r="N286" s="7">
        <f>'1 datos preparados'!M279</f>
        <v/>
      </c>
      <c r="O286" s="7">
        <f>'1 datos preparados'!N279</f>
        <v/>
      </c>
      <c r="P286" s="7">
        <f>'1 datos preparados'!O279</f>
        <v/>
      </c>
      <c r="Q286" s="7">
        <f>'1 datos preparados'!P279</f>
        <v/>
      </c>
      <c r="R286" s="7">
        <f>'1 datos preparados'!Q279</f>
        <v/>
      </c>
      <c r="S286" s="7">
        <f>'1 datos preparados'!R279</f>
        <v/>
      </c>
      <c r="T286" s="7">
        <f>'1 datos preparados'!S279</f>
        <v/>
      </c>
      <c r="U286" s="7">
        <f>'1 datos preparados'!T279</f>
        <v/>
      </c>
      <c r="V286" s="8">
        <f>$AC$12+D286*$AC$13+E286*$AC$14+F286*$AC$15+G286*$AC$16+H286*$AC$17+I286*$AC$18+J286*$AC$19+K286*$AC$20+L286*$AC$21+M286*$AC$22+N286*$AC$23+O286*$AC$24+P286*$AC$25+Q286*$AC$26+R286*$AC$27+S286*$AC$28+T286*$AC$29+U286*$AC$30</f>
        <v/>
      </c>
      <c r="W286" s="8">
        <f>1/(1+EXP(-V286))</f>
        <v/>
      </c>
      <c r="X286" s="9">
        <f>-IF(C286=1,LN(W286),LN(1-W286))</f>
        <v/>
      </c>
      <c r="Y286" s="10">
        <f>IF(W286&gt;$AC$34,1,0)</f>
        <v/>
      </c>
      <c r="Z286">
        <f>IF(Y286=C286,1,0)</f>
        <v/>
      </c>
    </row>
    <row r="287">
      <c r="A287">
        <f>'1 datos preparados'!A280</f>
        <v/>
      </c>
      <c r="B287" s="5">
        <f>'1 datos preparados'!U280</f>
        <v/>
      </c>
      <c r="C287">
        <f>'1 datos preparados'!B280</f>
        <v/>
      </c>
      <c r="D287" s="7">
        <f>'1 datos preparados'!C280</f>
        <v/>
      </c>
      <c r="E287" s="7">
        <f>'1 datos preparados'!D280</f>
        <v/>
      </c>
      <c r="F287" s="7">
        <f>'1 datos preparados'!E280</f>
        <v/>
      </c>
      <c r="G287" s="7">
        <f>'1 datos preparados'!F280</f>
        <v/>
      </c>
      <c r="H287" s="7">
        <f>'1 datos preparados'!G280</f>
        <v/>
      </c>
      <c r="I287" s="7">
        <f>'1 datos preparados'!H280</f>
        <v/>
      </c>
      <c r="J287" s="7">
        <f>'1 datos preparados'!I280</f>
        <v/>
      </c>
      <c r="K287" s="7">
        <f>'1 datos preparados'!J280</f>
        <v/>
      </c>
      <c r="L287" s="7">
        <f>'1 datos preparados'!K280</f>
        <v/>
      </c>
      <c r="M287" s="7">
        <f>'1 datos preparados'!L280</f>
        <v/>
      </c>
      <c r="N287" s="7">
        <f>'1 datos preparados'!M280</f>
        <v/>
      </c>
      <c r="O287" s="7">
        <f>'1 datos preparados'!N280</f>
        <v/>
      </c>
      <c r="P287" s="7">
        <f>'1 datos preparados'!O280</f>
        <v/>
      </c>
      <c r="Q287" s="7">
        <f>'1 datos preparados'!P280</f>
        <v/>
      </c>
      <c r="R287" s="7">
        <f>'1 datos preparados'!Q280</f>
        <v/>
      </c>
      <c r="S287" s="7">
        <f>'1 datos preparados'!R280</f>
        <v/>
      </c>
      <c r="T287" s="7">
        <f>'1 datos preparados'!S280</f>
        <v/>
      </c>
      <c r="U287" s="7">
        <f>'1 datos preparados'!T280</f>
        <v/>
      </c>
      <c r="V287" s="8">
        <f>$AC$12+D287*$AC$13+E287*$AC$14+F287*$AC$15+G287*$AC$16+H287*$AC$17+I287*$AC$18+J287*$AC$19+K287*$AC$20+L287*$AC$21+M287*$AC$22+N287*$AC$23+O287*$AC$24+P287*$AC$25+Q287*$AC$26+R287*$AC$27+S287*$AC$28+T287*$AC$29+U287*$AC$30</f>
        <v/>
      </c>
      <c r="W287" s="8">
        <f>1/(1+EXP(-V287))</f>
        <v/>
      </c>
      <c r="X287" s="9">
        <f>-IF(C287=1,LN(W287),LN(1-W287))</f>
        <v/>
      </c>
      <c r="Y287" s="10">
        <f>IF(W287&gt;$AC$34,1,0)</f>
        <v/>
      </c>
      <c r="Z287">
        <f>IF(Y287=C287,1,0)</f>
        <v/>
      </c>
    </row>
    <row r="288">
      <c r="A288">
        <f>'1 datos preparados'!A281</f>
        <v/>
      </c>
      <c r="B288" s="5">
        <f>'1 datos preparados'!U281</f>
        <v/>
      </c>
      <c r="C288">
        <f>'1 datos preparados'!B281</f>
        <v/>
      </c>
      <c r="D288" s="7">
        <f>'1 datos preparados'!C281</f>
        <v/>
      </c>
      <c r="E288" s="7">
        <f>'1 datos preparados'!D281</f>
        <v/>
      </c>
      <c r="F288" s="7">
        <f>'1 datos preparados'!E281</f>
        <v/>
      </c>
      <c r="G288" s="7">
        <f>'1 datos preparados'!F281</f>
        <v/>
      </c>
      <c r="H288" s="7">
        <f>'1 datos preparados'!G281</f>
        <v/>
      </c>
      <c r="I288" s="7">
        <f>'1 datos preparados'!H281</f>
        <v/>
      </c>
      <c r="J288" s="7">
        <f>'1 datos preparados'!I281</f>
        <v/>
      </c>
      <c r="K288" s="7">
        <f>'1 datos preparados'!J281</f>
        <v/>
      </c>
      <c r="L288" s="7">
        <f>'1 datos preparados'!K281</f>
        <v/>
      </c>
      <c r="M288" s="7">
        <f>'1 datos preparados'!L281</f>
        <v/>
      </c>
      <c r="N288" s="7">
        <f>'1 datos preparados'!M281</f>
        <v/>
      </c>
      <c r="O288" s="7">
        <f>'1 datos preparados'!N281</f>
        <v/>
      </c>
      <c r="P288" s="7">
        <f>'1 datos preparados'!O281</f>
        <v/>
      </c>
      <c r="Q288" s="7">
        <f>'1 datos preparados'!P281</f>
        <v/>
      </c>
      <c r="R288" s="7">
        <f>'1 datos preparados'!Q281</f>
        <v/>
      </c>
      <c r="S288" s="7">
        <f>'1 datos preparados'!R281</f>
        <v/>
      </c>
      <c r="T288" s="7">
        <f>'1 datos preparados'!S281</f>
        <v/>
      </c>
      <c r="U288" s="7">
        <f>'1 datos preparados'!T281</f>
        <v/>
      </c>
      <c r="V288" s="8">
        <f>$AC$12+D288*$AC$13+E288*$AC$14+F288*$AC$15+G288*$AC$16+H288*$AC$17+I288*$AC$18+J288*$AC$19+K288*$AC$20+L288*$AC$21+M288*$AC$22+N288*$AC$23+O288*$AC$24+P288*$AC$25+Q288*$AC$26+R288*$AC$27+S288*$AC$28+T288*$AC$29+U288*$AC$30</f>
        <v/>
      </c>
      <c r="W288" s="8">
        <f>1/(1+EXP(-V288))</f>
        <v/>
      </c>
      <c r="X288" s="9">
        <f>-IF(C288=1,LN(W288),LN(1-W288))</f>
        <v/>
      </c>
      <c r="Y288" s="10">
        <f>IF(W288&gt;$AC$34,1,0)</f>
        <v/>
      </c>
      <c r="Z288">
        <f>IF(Y288=C288,1,0)</f>
        <v/>
      </c>
    </row>
    <row r="289">
      <c r="A289">
        <f>'1 datos preparados'!A282</f>
        <v/>
      </c>
      <c r="B289" s="5">
        <f>'1 datos preparados'!U282</f>
        <v/>
      </c>
      <c r="C289">
        <f>'1 datos preparados'!B282</f>
        <v/>
      </c>
      <c r="D289" s="7">
        <f>'1 datos preparados'!C282</f>
        <v/>
      </c>
      <c r="E289" s="7">
        <f>'1 datos preparados'!D282</f>
        <v/>
      </c>
      <c r="F289" s="7">
        <f>'1 datos preparados'!E282</f>
        <v/>
      </c>
      <c r="G289" s="7">
        <f>'1 datos preparados'!F282</f>
        <v/>
      </c>
      <c r="H289" s="7">
        <f>'1 datos preparados'!G282</f>
        <v/>
      </c>
      <c r="I289" s="7">
        <f>'1 datos preparados'!H282</f>
        <v/>
      </c>
      <c r="J289" s="7">
        <f>'1 datos preparados'!I282</f>
        <v/>
      </c>
      <c r="K289" s="7">
        <f>'1 datos preparados'!J282</f>
        <v/>
      </c>
      <c r="L289" s="7">
        <f>'1 datos preparados'!K282</f>
        <v/>
      </c>
      <c r="M289" s="7">
        <f>'1 datos preparados'!L282</f>
        <v/>
      </c>
      <c r="N289" s="7">
        <f>'1 datos preparados'!M282</f>
        <v/>
      </c>
      <c r="O289" s="7">
        <f>'1 datos preparados'!N282</f>
        <v/>
      </c>
      <c r="P289" s="7">
        <f>'1 datos preparados'!O282</f>
        <v/>
      </c>
      <c r="Q289" s="7">
        <f>'1 datos preparados'!P282</f>
        <v/>
      </c>
      <c r="R289" s="7">
        <f>'1 datos preparados'!Q282</f>
        <v/>
      </c>
      <c r="S289" s="7">
        <f>'1 datos preparados'!R282</f>
        <v/>
      </c>
      <c r="T289" s="7">
        <f>'1 datos preparados'!S282</f>
        <v/>
      </c>
      <c r="U289" s="7">
        <f>'1 datos preparados'!T282</f>
        <v/>
      </c>
      <c r="V289" s="8">
        <f>$AC$12+D289*$AC$13+E289*$AC$14+F289*$AC$15+G289*$AC$16+H289*$AC$17+I289*$AC$18+J289*$AC$19+K289*$AC$20+L289*$AC$21+M289*$AC$22+N289*$AC$23+O289*$AC$24+P289*$AC$25+Q289*$AC$26+R289*$AC$27+S289*$AC$28+T289*$AC$29+U289*$AC$30</f>
        <v/>
      </c>
      <c r="W289" s="8">
        <f>1/(1+EXP(-V289))</f>
        <v/>
      </c>
      <c r="X289" s="9">
        <f>-IF(C289=1,LN(W289),LN(1-W289))</f>
        <v/>
      </c>
      <c r="Y289" s="10">
        <f>IF(W289&gt;$AC$34,1,0)</f>
        <v/>
      </c>
      <c r="Z289">
        <f>IF(Y289=C289,1,0)</f>
        <v/>
      </c>
    </row>
    <row r="290">
      <c r="A290">
        <f>'1 datos preparados'!A283</f>
        <v/>
      </c>
      <c r="B290" s="5">
        <f>'1 datos preparados'!U283</f>
        <v/>
      </c>
      <c r="C290">
        <f>'1 datos preparados'!B283</f>
        <v/>
      </c>
      <c r="D290" s="7">
        <f>'1 datos preparados'!C283</f>
        <v/>
      </c>
      <c r="E290" s="7">
        <f>'1 datos preparados'!D283</f>
        <v/>
      </c>
      <c r="F290" s="7">
        <f>'1 datos preparados'!E283</f>
        <v/>
      </c>
      <c r="G290" s="7">
        <f>'1 datos preparados'!F283</f>
        <v/>
      </c>
      <c r="H290" s="7">
        <f>'1 datos preparados'!G283</f>
        <v/>
      </c>
      <c r="I290" s="7">
        <f>'1 datos preparados'!H283</f>
        <v/>
      </c>
      <c r="J290" s="7">
        <f>'1 datos preparados'!I283</f>
        <v/>
      </c>
      <c r="K290" s="7">
        <f>'1 datos preparados'!J283</f>
        <v/>
      </c>
      <c r="L290" s="7">
        <f>'1 datos preparados'!K283</f>
        <v/>
      </c>
      <c r="M290" s="7">
        <f>'1 datos preparados'!L283</f>
        <v/>
      </c>
      <c r="N290" s="7">
        <f>'1 datos preparados'!M283</f>
        <v/>
      </c>
      <c r="O290" s="7">
        <f>'1 datos preparados'!N283</f>
        <v/>
      </c>
      <c r="P290" s="7">
        <f>'1 datos preparados'!O283</f>
        <v/>
      </c>
      <c r="Q290" s="7">
        <f>'1 datos preparados'!P283</f>
        <v/>
      </c>
      <c r="R290" s="7">
        <f>'1 datos preparados'!Q283</f>
        <v/>
      </c>
      <c r="S290" s="7">
        <f>'1 datos preparados'!R283</f>
        <v/>
      </c>
      <c r="T290" s="7">
        <f>'1 datos preparados'!S283</f>
        <v/>
      </c>
      <c r="U290" s="7">
        <f>'1 datos preparados'!T283</f>
        <v/>
      </c>
      <c r="V290" s="8">
        <f>$AC$12+D290*$AC$13+E290*$AC$14+F290*$AC$15+G290*$AC$16+H290*$AC$17+I290*$AC$18+J290*$AC$19+K290*$AC$20+L290*$AC$21+M290*$AC$22+N290*$AC$23+O290*$AC$24+P290*$AC$25+Q290*$AC$26+R290*$AC$27+S290*$AC$28+T290*$AC$29+U290*$AC$30</f>
        <v/>
      </c>
      <c r="W290" s="8">
        <f>1/(1+EXP(-V290))</f>
        <v/>
      </c>
      <c r="X290" s="9">
        <f>-IF(C290=1,LN(W290),LN(1-W290))</f>
        <v/>
      </c>
      <c r="Y290" s="10">
        <f>IF(W290&gt;$AC$34,1,0)</f>
        <v/>
      </c>
      <c r="Z290">
        <f>IF(Y290=C290,1,0)</f>
        <v/>
      </c>
    </row>
    <row r="291">
      <c r="A291">
        <f>'1 datos preparados'!A284</f>
        <v/>
      </c>
      <c r="B291" s="5">
        <f>'1 datos preparados'!U284</f>
        <v/>
      </c>
      <c r="C291">
        <f>'1 datos preparados'!B284</f>
        <v/>
      </c>
      <c r="D291" s="7">
        <f>'1 datos preparados'!C284</f>
        <v/>
      </c>
      <c r="E291" s="7">
        <f>'1 datos preparados'!D284</f>
        <v/>
      </c>
      <c r="F291" s="7">
        <f>'1 datos preparados'!E284</f>
        <v/>
      </c>
      <c r="G291" s="7">
        <f>'1 datos preparados'!F284</f>
        <v/>
      </c>
      <c r="H291" s="7">
        <f>'1 datos preparados'!G284</f>
        <v/>
      </c>
      <c r="I291" s="7">
        <f>'1 datos preparados'!H284</f>
        <v/>
      </c>
      <c r="J291" s="7">
        <f>'1 datos preparados'!I284</f>
        <v/>
      </c>
      <c r="K291" s="7">
        <f>'1 datos preparados'!J284</f>
        <v/>
      </c>
      <c r="L291" s="7">
        <f>'1 datos preparados'!K284</f>
        <v/>
      </c>
      <c r="M291" s="7">
        <f>'1 datos preparados'!L284</f>
        <v/>
      </c>
      <c r="N291" s="7">
        <f>'1 datos preparados'!M284</f>
        <v/>
      </c>
      <c r="O291" s="7">
        <f>'1 datos preparados'!N284</f>
        <v/>
      </c>
      <c r="P291" s="7">
        <f>'1 datos preparados'!O284</f>
        <v/>
      </c>
      <c r="Q291" s="7">
        <f>'1 datos preparados'!P284</f>
        <v/>
      </c>
      <c r="R291" s="7">
        <f>'1 datos preparados'!Q284</f>
        <v/>
      </c>
      <c r="S291" s="7">
        <f>'1 datos preparados'!R284</f>
        <v/>
      </c>
      <c r="T291" s="7">
        <f>'1 datos preparados'!S284</f>
        <v/>
      </c>
      <c r="U291" s="7">
        <f>'1 datos preparados'!T284</f>
        <v/>
      </c>
      <c r="V291" s="8">
        <f>$AC$12+D291*$AC$13+E291*$AC$14+F291*$AC$15+G291*$AC$16+H291*$AC$17+I291*$AC$18+J291*$AC$19+K291*$AC$20+L291*$AC$21+M291*$AC$22+N291*$AC$23+O291*$AC$24+P291*$AC$25+Q291*$AC$26+R291*$AC$27+S291*$AC$28+T291*$AC$29+U291*$AC$30</f>
        <v/>
      </c>
      <c r="W291" s="8">
        <f>1/(1+EXP(-V291))</f>
        <v/>
      </c>
      <c r="X291" s="9">
        <f>-IF(C291=1,LN(W291),LN(1-W291))</f>
        <v/>
      </c>
      <c r="Y291" s="10">
        <f>IF(W291&gt;$AC$34,1,0)</f>
        <v/>
      </c>
      <c r="Z291">
        <f>IF(Y291=C291,1,0)</f>
        <v/>
      </c>
    </row>
    <row r="292">
      <c r="A292">
        <f>'1 datos preparados'!A285</f>
        <v/>
      </c>
      <c r="B292" s="5">
        <f>'1 datos preparados'!U285</f>
        <v/>
      </c>
      <c r="C292">
        <f>'1 datos preparados'!B285</f>
        <v/>
      </c>
      <c r="D292" s="7">
        <f>'1 datos preparados'!C285</f>
        <v/>
      </c>
      <c r="E292" s="7">
        <f>'1 datos preparados'!D285</f>
        <v/>
      </c>
      <c r="F292" s="7">
        <f>'1 datos preparados'!E285</f>
        <v/>
      </c>
      <c r="G292" s="7">
        <f>'1 datos preparados'!F285</f>
        <v/>
      </c>
      <c r="H292" s="7">
        <f>'1 datos preparados'!G285</f>
        <v/>
      </c>
      <c r="I292" s="7">
        <f>'1 datos preparados'!H285</f>
        <v/>
      </c>
      <c r="J292" s="7">
        <f>'1 datos preparados'!I285</f>
        <v/>
      </c>
      <c r="K292" s="7">
        <f>'1 datos preparados'!J285</f>
        <v/>
      </c>
      <c r="L292" s="7">
        <f>'1 datos preparados'!K285</f>
        <v/>
      </c>
      <c r="M292" s="7">
        <f>'1 datos preparados'!L285</f>
        <v/>
      </c>
      <c r="N292" s="7">
        <f>'1 datos preparados'!M285</f>
        <v/>
      </c>
      <c r="O292" s="7">
        <f>'1 datos preparados'!N285</f>
        <v/>
      </c>
      <c r="P292" s="7">
        <f>'1 datos preparados'!O285</f>
        <v/>
      </c>
      <c r="Q292" s="7">
        <f>'1 datos preparados'!P285</f>
        <v/>
      </c>
      <c r="R292" s="7">
        <f>'1 datos preparados'!Q285</f>
        <v/>
      </c>
      <c r="S292" s="7">
        <f>'1 datos preparados'!R285</f>
        <v/>
      </c>
      <c r="T292" s="7">
        <f>'1 datos preparados'!S285</f>
        <v/>
      </c>
      <c r="U292" s="7">
        <f>'1 datos preparados'!T285</f>
        <v/>
      </c>
      <c r="V292" s="8">
        <f>$AC$12+D292*$AC$13+E292*$AC$14+F292*$AC$15+G292*$AC$16+H292*$AC$17+I292*$AC$18+J292*$AC$19+K292*$AC$20+L292*$AC$21+M292*$AC$22+N292*$AC$23+O292*$AC$24+P292*$AC$25+Q292*$AC$26+R292*$AC$27+S292*$AC$28+T292*$AC$29+U292*$AC$30</f>
        <v/>
      </c>
      <c r="W292" s="8">
        <f>1/(1+EXP(-V292))</f>
        <v/>
      </c>
      <c r="X292" s="9">
        <f>-IF(C292=1,LN(W292),LN(1-W292))</f>
        <v/>
      </c>
      <c r="Y292" s="10">
        <f>IF(W292&gt;$AC$34,1,0)</f>
        <v/>
      </c>
      <c r="Z292">
        <f>IF(Y292=C292,1,0)</f>
        <v/>
      </c>
    </row>
    <row r="293">
      <c r="A293">
        <f>'1 datos preparados'!A286</f>
        <v/>
      </c>
      <c r="B293" s="5">
        <f>'1 datos preparados'!U286</f>
        <v/>
      </c>
      <c r="C293">
        <f>'1 datos preparados'!B286</f>
        <v/>
      </c>
      <c r="D293" s="7">
        <f>'1 datos preparados'!C286</f>
        <v/>
      </c>
      <c r="E293" s="7">
        <f>'1 datos preparados'!D286</f>
        <v/>
      </c>
      <c r="F293" s="7">
        <f>'1 datos preparados'!E286</f>
        <v/>
      </c>
      <c r="G293" s="7">
        <f>'1 datos preparados'!F286</f>
        <v/>
      </c>
      <c r="H293" s="7">
        <f>'1 datos preparados'!G286</f>
        <v/>
      </c>
      <c r="I293" s="7">
        <f>'1 datos preparados'!H286</f>
        <v/>
      </c>
      <c r="J293" s="7">
        <f>'1 datos preparados'!I286</f>
        <v/>
      </c>
      <c r="K293" s="7">
        <f>'1 datos preparados'!J286</f>
        <v/>
      </c>
      <c r="L293" s="7">
        <f>'1 datos preparados'!K286</f>
        <v/>
      </c>
      <c r="M293" s="7">
        <f>'1 datos preparados'!L286</f>
        <v/>
      </c>
      <c r="N293" s="7">
        <f>'1 datos preparados'!M286</f>
        <v/>
      </c>
      <c r="O293" s="7">
        <f>'1 datos preparados'!N286</f>
        <v/>
      </c>
      <c r="P293" s="7">
        <f>'1 datos preparados'!O286</f>
        <v/>
      </c>
      <c r="Q293" s="7">
        <f>'1 datos preparados'!P286</f>
        <v/>
      </c>
      <c r="R293" s="7">
        <f>'1 datos preparados'!Q286</f>
        <v/>
      </c>
      <c r="S293" s="7">
        <f>'1 datos preparados'!R286</f>
        <v/>
      </c>
      <c r="T293" s="7">
        <f>'1 datos preparados'!S286</f>
        <v/>
      </c>
      <c r="U293" s="7">
        <f>'1 datos preparados'!T286</f>
        <v/>
      </c>
      <c r="V293" s="8">
        <f>$AC$12+D293*$AC$13+E293*$AC$14+F293*$AC$15+G293*$AC$16+H293*$AC$17+I293*$AC$18+J293*$AC$19+K293*$AC$20+L293*$AC$21+M293*$AC$22+N293*$AC$23+O293*$AC$24+P293*$AC$25+Q293*$AC$26+R293*$AC$27+S293*$AC$28+T293*$AC$29+U293*$AC$30</f>
        <v/>
      </c>
      <c r="W293" s="8">
        <f>1/(1+EXP(-V293))</f>
        <v/>
      </c>
      <c r="X293" s="9">
        <f>-IF(C293=1,LN(W293),LN(1-W293))</f>
        <v/>
      </c>
      <c r="Y293" s="10">
        <f>IF(W293&gt;$AC$34,1,0)</f>
        <v/>
      </c>
      <c r="Z293">
        <f>IF(Y293=C293,1,0)</f>
        <v/>
      </c>
    </row>
    <row r="294">
      <c r="A294">
        <f>'1 datos preparados'!A287</f>
        <v/>
      </c>
      <c r="B294" s="5">
        <f>'1 datos preparados'!U287</f>
        <v/>
      </c>
      <c r="C294">
        <f>'1 datos preparados'!B287</f>
        <v/>
      </c>
      <c r="D294" s="7">
        <f>'1 datos preparados'!C287</f>
        <v/>
      </c>
      <c r="E294" s="7">
        <f>'1 datos preparados'!D287</f>
        <v/>
      </c>
      <c r="F294" s="7">
        <f>'1 datos preparados'!E287</f>
        <v/>
      </c>
      <c r="G294" s="7">
        <f>'1 datos preparados'!F287</f>
        <v/>
      </c>
      <c r="H294" s="7">
        <f>'1 datos preparados'!G287</f>
        <v/>
      </c>
      <c r="I294" s="7">
        <f>'1 datos preparados'!H287</f>
        <v/>
      </c>
      <c r="J294" s="7">
        <f>'1 datos preparados'!I287</f>
        <v/>
      </c>
      <c r="K294" s="7">
        <f>'1 datos preparados'!J287</f>
        <v/>
      </c>
      <c r="L294" s="7">
        <f>'1 datos preparados'!K287</f>
        <v/>
      </c>
      <c r="M294" s="7">
        <f>'1 datos preparados'!L287</f>
        <v/>
      </c>
      <c r="N294" s="7">
        <f>'1 datos preparados'!M287</f>
        <v/>
      </c>
      <c r="O294" s="7">
        <f>'1 datos preparados'!N287</f>
        <v/>
      </c>
      <c r="P294" s="7">
        <f>'1 datos preparados'!O287</f>
        <v/>
      </c>
      <c r="Q294" s="7">
        <f>'1 datos preparados'!P287</f>
        <v/>
      </c>
      <c r="R294" s="7">
        <f>'1 datos preparados'!Q287</f>
        <v/>
      </c>
      <c r="S294" s="7">
        <f>'1 datos preparados'!R287</f>
        <v/>
      </c>
      <c r="T294" s="7">
        <f>'1 datos preparados'!S287</f>
        <v/>
      </c>
      <c r="U294" s="7">
        <f>'1 datos preparados'!T287</f>
        <v/>
      </c>
      <c r="V294" s="8">
        <f>$AC$12+D294*$AC$13+E294*$AC$14+F294*$AC$15+G294*$AC$16+H294*$AC$17+I294*$AC$18+J294*$AC$19+K294*$AC$20+L294*$AC$21+M294*$AC$22+N294*$AC$23+O294*$AC$24+P294*$AC$25+Q294*$AC$26+R294*$AC$27+S294*$AC$28+T294*$AC$29+U294*$AC$30</f>
        <v/>
      </c>
      <c r="W294" s="8">
        <f>1/(1+EXP(-V294))</f>
        <v/>
      </c>
      <c r="X294" s="9">
        <f>-IF(C294=1,LN(W294),LN(1-W294))</f>
        <v/>
      </c>
      <c r="Y294" s="10">
        <f>IF(W294&gt;$AC$34,1,0)</f>
        <v/>
      </c>
      <c r="Z294">
        <f>IF(Y294=C294,1,0)</f>
        <v/>
      </c>
    </row>
    <row r="295">
      <c r="A295">
        <f>'1 datos preparados'!A288</f>
        <v/>
      </c>
      <c r="B295" s="5">
        <f>'1 datos preparados'!U288</f>
        <v/>
      </c>
      <c r="C295">
        <f>'1 datos preparados'!B288</f>
        <v/>
      </c>
      <c r="D295" s="7">
        <f>'1 datos preparados'!C288</f>
        <v/>
      </c>
      <c r="E295" s="7">
        <f>'1 datos preparados'!D288</f>
        <v/>
      </c>
      <c r="F295" s="7">
        <f>'1 datos preparados'!E288</f>
        <v/>
      </c>
      <c r="G295" s="7">
        <f>'1 datos preparados'!F288</f>
        <v/>
      </c>
      <c r="H295" s="7">
        <f>'1 datos preparados'!G288</f>
        <v/>
      </c>
      <c r="I295" s="7">
        <f>'1 datos preparados'!H288</f>
        <v/>
      </c>
      <c r="J295" s="7">
        <f>'1 datos preparados'!I288</f>
        <v/>
      </c>
      <c r="K295" s="7">
        <f>'1 datos preparados'!J288</f>
        <v/>
      </c>
      <c r="L295" s="7">
        <f>'1 datos preparados'!K288</f>
        <v/>
      </c>
      <c r="M295" s="7">
        <f>'1 datos preparados'!L288</f>
        <v/>
      </c>
      <c r="N295" s="7">
        <f>'1 datos preparados'!M288</f>
        <v/>
      </c>
      <c r="O295" s="7">
        <f>'1 datos preparados'!N288</f>
        <v/>
      </c>
      <c r="P295" s="7">
        <f>'1 datos preparados'!O288</f>
        <v/>
      </c>
      <c r="Q295" s="7">
        <f>'1 datos preparados'!P288</f>
        <v/>
      </c>
      <c r="R295" s="7">
        <f>'1 datos preparados'!Q288</f>
        <v/>
      </c>
      <c r="S295" s="7">
        <f>'1 datos preparados'!R288</f>
        <v/>
      </c>
      <c r="T295" s="7">
        <f>'1 datos preparados'!S288</f>
        <v/>
      </c>
      <c r="U295" s="7">
        <f>'1 datos preparados'!T288</f>
        <v/>
      </c>
      <c r="V295" s="8">
        <f>$AC$12+D295*$AC$13+E295*$AC$14+F295*$AC$15+G295*$AC$16+H295*$AC$17+I295*$AC$18+J295*$AC$19+K295*$AC$20+L295*$AC$21+M295*$AC$22+N295*$AC$23+O295*$AC$24+P295*$AC$25+Q295*$AC$26+R295*$AC$27+S295*$AC$28+T295*$AC$29+U295*$AC$30</f>
        <v/>
      </c>
      <c r="W295" s="8">
        <f>1/(1+EXP(-V295))</f>
        <v/>
      </c>
      <c r="X295" s="9">
        <f>-IF(C295=1,LN(W295),LN(1-W295))</f>
        <v/>
      </c>
      <c r="Y295" s="10">
        <f>IF(W295&gt;$AC$34,1,0)</f>
        <v/>
      </c>
      <c r="Z295">
        <f>IF(Y295=C295,1,0)</f>
        <v/>
      </c>
    </row>
    <row r="296">
      <c r="A296">
        <f>'1 datos preparados'!A289</f>
        <v/>
      </c>
      <c r="B296" s="5">
        <f>'1 datos preparados'!U289</f>
        <v/>
      </c>
      <c r="C296">
        <f>'1 datos preparados'!B289</f>
        <v/>
      </c>
      <c r="D296" s="7">
        <f>'1 datos preparados'!C289</f>
        <v/>
      </c>
      <c r="E296" s="7">
        <f>'1 datos preparados'!D289</f>
        <v/>
      </c>
      <c r="F296" s="7">
        <f>'1 datos preparados'!E289</f>
        <v/>
      </c>
      <c r="G296" s="7">
        <f>'1 datos preparados'!F289</f>
        <v/>
      </c>
      <c r="H296" s="7">
        <f>'1 datos preparados'!G289</f>
        <v/>
      </c>
      <c r="I296" s="7">
        <f>'1 datos preparados'!H289</f>
        <v/>
      </c>
      <c r="J296" s="7">
        <f>'1 datos preparados'!I289</f>
        <v/>
      </c>
      <c r="K296" s="7">
        <f>'1 datos preparados'!J289</f>
        <v/>
      </c>
      <c r="L296" s="7">
        <f>'1 datos preparados'!K289</f>
        <v/>
      </c>
      <c r="M296" s="7">
        <f>'1 datos preparados'!L289</f>
        <v/>
      </c>
      <c r="N296" s="7">
        <f>'1 datos preparados'!M289</f>
        <v/>
      </c>
      <c r="O296" s="7">
        <f>'1 datos preparados'!N289</f>
        <v/>
      </c>
      <c r="P296" s="7">
        <f>'1 datos preparados'!O289</f>
        <v/>
      </c>
      <c r="Q296" s="7">
        <f>'1 datos preparados'!P289</f>
        <v/>
      </c>
      <c r="R296" s="7">
        <f>'1 datos preparados'!Q289</f>
        <v/>
      </c>
      <c r="S296" s="7">
        <f>'1 datos preparados'!R289</f>
        <v/>
      </c>
      <c r="T296" s="7">
        <f>'1 datos preparados'!S289</f>
        <v/>
      </c>
      <c r="U296" s="7">
        <f>'1 datos preparados'!T289</f>
        <v/>
      </c>
      <c r="V296" s="8">
        <f>$AC$12+D296*$AC$13+E296*$AC$14+F296*$AC$15+G296*$AC$16+H296*$AC$17+I296*$AC$18+J296*$AC$19+K296*$AC$20+L296*$AC$21+M296*$AC$22+N296*$AC$23+O296*$AC$24+P296*$AC$25+Q296*$AC$26+R296*$AC$27+S296*$AC$28+T296*$AC$29+U296*$AC$30</f>
        <v/>
      </c>
      <c r="W296" s="8">
        <f>1/(1+EXP(-V296))</f>
        <v/>
      </c>
      <c r="X296" s="9">
        <f>-IF(C296=1,LN(W296),LN(1-W296))</f>
        <v/>
      </c>
      <c r="Y296" s="10">
        <f>IF(W296&gt;$AC$34,1,0)</f>
        <v/>
      </c>
      <c r="Z296">
        <f>IF(Y296=C296,1,0)</f>
        <v/>
      </c>
    </row>
    <row r="297">
      <c r="A297">
        <f>'1 datos preparados'!A290</f>
        <v/>
      </c>
      <c r="B297" s="5">
        <f>'1 datos preparados'!U290</f>
        <v/>
      </c>
      <c r="C297">
        <f>'1 datos preparados'!B290</f>
        <v/>
      </c>
      <c r="D297" s="7">
        <f>'1 datos preparados'!C290</f>
        <v/>
      </c>
      <c r="E297" s="7">
        <f>'1 datos preparados'!D290</f>
        <v/>
      </c>
      <c r="F297" s="7">
        <f>'1 datos preparados'!E290</f>
        <v/>
      </c>
      <c r="G297" s="7">
        <f>'1 datos preparados'!F290</f>
        <v/>
      </c>
      <c r="H297" s="7">
        <f>'1 datos preparados'!G290</f>
        <v/>
      </c>
      <c r="I297" s="7">
        <f>'1 datos preparados'!H290</f>
        <v/>
      </c>
      <c r="J297" s="7">
        <f>'1 datos preparados'!I290</f>
        <v/>
      </c>
      <c r="K297" s="7">
        <f>'1 datos preparados'!J290</f>
        <v/>
      </c>
      <c r="L297" s="7">
        <f>'1 datos preparados'!K290</f>
        <v/>
      </c>
      <c r="M297" s="7">
        <f>'1 datos preparados'!L290</f>
        <v/>
      </c>
      <c r="N297" s="7">
        <f>'1 datos preparados'!M290</f>
        <v/>
      </c>
      <c r="O297" s="7">
        <f>'1 datos preparados'!N290</f>
        <v/>
      </c>
      <c r="P297" s="7">
        <f>'1 datos preparados'!O290</f>
        <v/>
      </c>
      <c r="Q297" s="7">
        <f>'1 datos preparados'!P290</f>
        <v/>
      </c>
      <c r="R297" s="7">
        <f>'1 datos preparados'!Q290</f>
        <v/>
      </c>
      <c r="S297" s="7">
        <f>'1 datos preparados'!R290</f>
        <v/>
      </c>
      <c r="T297" s="7">
        <f>'1 datos preparados'!S290</f>
        <v/>
      </c>
      <c r="U297" s="7">
        <f>'1 datos preparados'!T290</f>
        <v/>
      </c>
      <c r="V297" s="8">
        <f>$AC$12+D297*$AC$13+E297*$AC$14+F297*$AC$15+G297*$AC$16+H297*$AC$17+I297*$AC$18+J297*$AC$19+K297*$AC$20+L297*$AC$21+M297*$AC$22+N297*$AC$23+O297*$AC$24+P297*$AC$25+Q297*$AC$26+R297*$AC$27+S297*$AC$28+T297*$AC$29+U297*$AC$30</f>
        <v/>
      </c>
      <c r="W297" s="8">
        <f>1/(1+EXP(-V297))</f>
        <v/>
      </c>
      <c r="X297" s="9">
        <f>-IF(C297=1,LN(W297),LN(1-W297))</f>
        <v/>
      </c>
      <c r="Y297" s="10">
        <f>IF(W297&gt;$AC$34,1,0)</f>
        <v/>
      </c>
      <c r="Z297">
        <f>IF(Y297=C297,1,0)</f>
        <v/>
      </c>
    </row>
    <row r="298">
      <c r="A298">
        <f>'1 datos preparados'!A291</f>
        <v/>
      </c>
      <c r="B298" s="5">
        <f>'1 datos preparados'!U291</f>
        <v/>
      </c>
      <c r="C298">
        <f>'1 datos preparados'!B291</f>
        <v/>
      </c>
      <c r="D298" s="7">
        <f>'1 datos preparados'!C291</f>
        <v/>
      </c>
      <c r="E298" s="7">
        <f>'1 datos preparados'!D291</f>
        <v/>
      </c>
      <c r="F298" s="7">
        <f>'1 datos preparados'!E291</f>
        <v/>
      </c>
      <c r="G298" s="7">
        <f>'1 datos preparados'!F291</f>
        <v/>
      </c>
      <c r="H298" s="7">
        <f>'1 datos preparados'!G291</f>
        <v/>
      </c>
      <c r="I298" s="7">
        <f>'1 datos preparados'!H291</f>
        <v/>
      </c>
      <c r="J298" s="7">
        <f>'1 datos preparados'!I291</f>
        <v/>
      </c>
      <c r="K298" s="7">
        <f>'1 datos preparados'!J291</f>
        <v/>
      </c>
      <c r="L298" s="7">
        <f>'1 datos preparados'!K291</f>
        <v/>
      </c>
      <c r="M298" s="7">
        <f>'1 datos preparados'!L291</f>
        <v/>
      </c>
      <c r="N298" s="7">
        <f>'1 datos preparados'!M291</f>
        <v/>
      </c>
      <c r="O298" s="7">
        <f>'1 datos preparados'!N291</f>
        <v/>
      </c>
      <c r="P298" s="7">
        <f>'1 datos preparados'!O291</f>
        <v/>
      </c>
      <c r="Q298" s="7">
        <f>'1 datos preparados'!P291</f>
        <v/>
      </c>
      <c r="R298" s="7">
        <f>'1 datos preparados'!Q291</f>
        <v/>
      </c>
      <c r="S298" s="7">
        <f>'1 datos preparados'!R291</f>
        <v/>
      </c>
      <c r="T298" s="7">
        <f>'1 datos preparados'!S291</f>
        <v/>
      </c>
      <c r="U298" s="7">
        <f>'1 datos preparados'!T291</f>
        <v/>
      </c>
      <c r="V298" s="8">
        <f>$AC$12+D298*$AC$13+E298*$AC$14+F298*$AC$15+G298*$AC$16+H298*$AC$17+I298*$AC$18+J298*$AC$19+K298*$AC$20+L298*$AC$21+M298*$AC$22+N298*$AC$23+O298*$AC$24+P298*$AC$25+Q298*$AC$26+R298*$AC$27+S298*$AC$28+T298*$AC$29+U298*$AC$30</f>
        <v/>
      </c>
      <c r="W298" s="8">
        <f>1/(1+EXP(-V298))</f>
        <v/>
      </c>
      <c r="X298" s="9">
        <f>-IF(C298=1,LN(W298),LN(1-W298))</f>
        <v/>
      </c>
      <c r="Y298" s="10">
        <f>IF(W298&gt;$AC$34,1,0)</f>
        <v/>
      </c>
      <c r="Z298">
        <f>IF(Y298=C298,1,0)</f>
        <v/>
      </c>
    </row>
    <row r="299">
      <c r="A299">
        <f>'1 datos preparados'!A292</f>
        <v/>
      </c>
      <c r="B299" s="5">
        <f>'1 datos preparados'!U292</f>
        <v/>
      </c>
      <c r="C299">
        <f>'1 datos preparados'!B292</f>
        <v/>
      </c>
      <c r="D299" s="7">
        <f>'1 datos preparados'!C292</f>
        <v/>
      </c>
      <c r="E299" s="7">
        <f>'1 datos preparados'!D292</f>
        <v/>
      </c>
      <c r="F299" s="7">
        <f>'1 datos preparados'!E292</f>
        <v/>
      </c>
      <c r="G299" s="7">
        <f>'1 datos preparados'!F292</f>
        <v/>
      </c>
      <c r="H299" s="7">
        <f>'1 datos preparados'!G292</f>
        <v/>
      </c>
      <c r="I299" s="7">
        <f>'1 datos preparados'!H292</f>
        <v/>
      </c>
      <c r="J299" s="7">
        <f>'1 datos preparados'!I292</f>
        <v/>
      </c>
      <c r="K299" s="7">
        <f>'1 datos preparados'!J292</f>
        <v/>
      </c>
      <c r="L299" s="7">
        <f>'1 datos preparados'!K292</f>
        <v/>
      </c>
      <c r="M299" s="7">
        <f>'1 datos preparados'!L292</f>
        <v/>
      </c>
      <c r="N299" s="7">
        <f>'1 datos preparados'!M292</f>
        <v/>
      </c>
      <c r="O299" s="7">
        <f>'1 datos preparados'!N292</f>
        <v/>
      </c>
      <c r="P299" s="7">
        <f>'1 datos preparados'!O292</f>
        <v/>
      </c>
      <c r="Q299" s="7">
        <f>'1 datos preparados'!P292</f>
        <v/>
      </c>
      <c r="R299" s="7">
        <f>'1 datos preparados'!Q292</f>
        <v/>
      </c>
      <c r="S299" s="7">
        <f>'1 datos preparados'!R292</f>
        <v/>
      </c>
      <c r="T299" s="7">
        <f>'1 datos preparados'!S292</f>
        <v/>
      </c>
      <c r="U299" s="7">
        <f>'1 datos preparados'!T292</f>
        <v/>
      </c>
      <c r="V299" s="8">
        <f>$AC$12+D299*$AC$13+E299*$AC$14+F299*$AC$15+G299*$AC$16+H299*$AC$17+I299*$AC$18+J299*$AC$19+K299*$AC$20+L299*$AC$21+M299*$AC$22+N299*$AC$23+O299*$AC$24+P299*$AC$25+Q299*$AC$26+R299*$AC$27+S299*$AC$28+T299*$AC$29+U299*$AC$30</f>
        <v/>
      </c>
      <c r="W299" s="8">
        <f>1/(1+EXP(-V299))</f>
        <v/>
      </c>
      <c r="X299" s="9">
        <f>-IF(C299=1,LN(W299),LN(1-W299))</f>
        <v/>
      </c>
      <c r="Y299" s="10">
        <f>IF(W299&gt;$AC$34,1,0)</f>
        <v/>
      </c>
      <c r="Z299">
        <f>IF(Y299=C299,1,0)</f>
        <v/>
      </c>
    </row>
    <row r="300">
      <c r="A300">
        <f>'1 datos preparados'!A293</f>
        <v/>
      </c>
      <c r="B300" s="5">
        <f>'1 datos preparados'!U293</f>
        <v/>
      </c>
      <c r="C300">
        <f>'1 datos preparados'!B293</f>
        <v/>
      </c>
      <c r="D300" s="7">
        <f>'1 datos preparados'!C293</f>
        <v/>
      </c>
      <c r="E300" s="7">
        <f>'1 datos preparados'!D293</f>
        <v/>
      </c>
      <c r="F300" s="7">
        <f>'1 datos preparados'!E293</f>
        <v/>
      </c>
      <c r="G300" s="7">
        <f>'1 datos preparados'!F293</f>
        <v/>
      </c>
      <c r="H300" s="7">
        <f>'1 datos preparados'!G293</f>
        <v/>
      </c>
      <c r="I300" s="7">
        <f>'1 datos preparados'!H293</f>
        <v/>
      </c>
      <c r="J300" s="7">
        <f>'1 datos preparados'!I293</f>
        <v/>
      </c>
      <c r="K300" s="7">
        <f>'1 datos preparados'!J293</f>
        <v/>
      </c>
      <c r="L300" s="7">
        <f>'1 datos preparados'!K293</f>
        <v/>
      </c>
      <c r="M300" s="7">
        <f>'1 datos preparados'!L293</f>
        <v/>
      </c>
      <c r="N300" s="7">
        <f>'1 datos preparados'!M293</f>
        <v/>
      </c>
      <c r="O300" s="7">
        <f>'1 datos preparados'!N293</f>
        <v/>
      </c>
      <c r="P300" s="7">
        <f>'1 datos preparados'!O293</f>
        <v/>
      </c>
      <c r="Q300" s="7">
        <f>'1 datos preparados'!P293</f>
        <v/>
      </c>
      <c r="R300" s="7">
        <f>'1 datos preparados'!Q293</f>
        <v/>
      </c>
      <c r="S300" s="7">
        <f>'1 datos preparados'!R293</f>
        <v/>
      </c>
      <c r="T300" s="7">
        <f>'1 datos preparados'!S293</f>
        <v/>
      </c>
      <c r="U300" s="7">
        <f>'1 datos preparados'!T293</f>
        <v/>
      </c>
      <c r="V300" s="8">
        <f>$AC$12+D300*$AC$13+E300*$AC$14+F300*$AC$15+G300*$AC$16+H300*$AC$17+I300*$AC$18+J300*$AC$19+K300*$AC$20+L300*$AC$21+M300*$AC$22+N300*$AC$23+O300*$AC$24+P300*$AC$25+Q300*$AC$26+R300*$AC$27+S300*$AC$28+T300*$AC$29+U300*$AC$30</f>
        <v/>
      </c>
      <c r="W300" s="8">
        <f>1/(1+EXP(-V300))</f>
        <v/>
      </c>
      <c r="X300" s="9">
        <f>-IF(C300=1,LN(W300),LN(1-W300))</f>
        <v/>
      </c>
      <c r="Y300" s="10">
        <f>IF(W300&gt;$AC$34,1,0)</f>
        <v/>
      </c>
      <c r="Z300">
        <f>IF(Y300=C300,1,0)</f>
        <v/>
      </c>
    </row>
    <row r="301">
      <c r="A301">
        <f>'1 datos preparados'!A294</f>
        <v/>
      </c>
      <c r="B301" s="5">
        <f>'1 datos preparados'!U294</f>
        <v/>
      </c>
      <c r="C301">
        <f>'1 datos preparados'!B294</f>
        <v/>
      </c>
      <c r="D301" s="7">
        <f>'1 datos preparados'!C294</f>
        <v/>
      </c>
      <c r="E301" s="7">
        <f>'1 datos preparados'!D294</f>
        <v/>
      </c>
      <c r="F301" s="7">
        <f>'1 datos preparados'!E294</f>
        <v/>
      </c>
      <c r="G301" s="7">
        <f>'1 datos preparados'!F294</f>
        <v/>
      </c>
      <c r="H301" s="7">
        <f>'1 datos preparados'!G294</f>
        <v/>
      </c>
      <c r="I301" s="7">
        <f>'1 datos preparados'!H294</f>
        <v/>
      </c>
      <c r="J301" s="7">
        <f>'1 datos preparados'!I294</f>
        <v/>
      </c>
      <c r="K301" s="7">
        <f>'1 datos preparados'!J294</f>
        <v/>
      </c>
      <c r="L301" s="7">
        <f>'1 datos preparados'!K294</f>
        <v/>
      </c>
      <c r="M301" s="7">
        <f>'1 datos preparados'!L294</f>
        <v/>
      </c>
      <c r="N301" s="7">
        <f>'1 datos preparados'!M294</f>
        <v/>
      </c>
      <c r="O301" s="7">
        <f>'1 datos preparados'!N294</f>
        <v/>
      </c>
      <c r="P301" s="7">
        <f>'1 datos preparados'!O294</f>
        <v/>
      </c>
      <c r="Q301" s="7">
        <f>'1 datos preparados'!P294</f>
        <v/>
      </c>
      <c r="R301" s="7">
        <f>'1 datos preparados'!Q294</f>
        <v/>
      </c>
      <c r="S301" s="7">
        <f>'1 datos preparados'!R294</f>
        <v/>
      </c>
      <c r="T301" s="7">
        <f>'1 datos preparados'!S294</f>
        <v/>
      </c>
      <c r="U301" s="7">
        <f>'1 datos preparados'!T294</f>
        <v/>
      </c>
      <c r="V301" s="8">
        <f>$AC$12+D301*$AC$13+E301*$AC$14+F301*$AC$15+G301*$AC$16+H301*$AC$17+I301*$AC$18+J301*$AC$19+K301*$AC$20+L301*$AC$21+M301*$AC$22+N301*$AC$23+O301*$AC$24+P301*$AC$25+Q301*$AC$26+R301*$AC$27+S301*$AC$28+T301*$AC$29+U301*$AC$30</f>
        <v/>
      </c>
      <c r="W301" s="8">
        <f>1/(1+EXP(-V301))</f>
        <v/>
      </c>
      <c r="X301" s="9">
        <f>-IF(C301=1,LN(W301),LN(1-W301))</f>
        <v/>
      </c>
      <c r="Y301" s="10">
        <f>IF(W301&gt;$AC$34,1,0)</f>
        <v/>
      </c>
      <c r="Z301">
        <f>IF(Y301=C301,1,0)</f>
        <v/>
      </c>
    </row>
    <row r="302">
      <c r="A302">
        <f>'1 datos preparados'!A295</f>
        <v/>
      </c>
      <c r="B302" s="5">
        <f>'1 datos preparados'!U295</f>
        <v/>
      </c>
      <c r="C302">
        <f>'1 datos preparados'!B295</f>
        <v/>
      </c>
      <c r="D302" s="7">
        <f>'1 datos preparados'!C295</f>
        <v/>
      </c>
      <c r="E302" s="7">
        <f>'1 datos preparados'!D295</f>
        <v/>
      </c>
      <c r="F302" s="7">
        <f>'1 datos preparados'!E295</f>
        <v/>
      </c>
      <c r="G302" s="7">
        <f>'1 datos preparados'!F295</f>
        <v/>
      </c>
      <c r="H302" s="7">
        <f>'1 datos preparados'!G295</f>
        <v/>
      </c>
      <c r="I302" s="7">
        <f>'1 datos preparados'!H295</f>
        <v/>
      </c>
      <c r="J302" s="7">
        <f>'1 datos preparados'!I295</f>
        <v/>
      </c>
      <c r="K302" s="7">
        <f>'1 datos preparados'!J295</f>
        <v/>
      </c>
      <c r="L302" s="7">
        <f>'1 datos preparados'!K295</f>
        <v/>
      </c>
      <c r="M302" s="7">
        <f>'1 datos preparados'!L295</f>
        <v/>
      </c>
      <c r="N302" s="7">
        <f>'1 datos preparados'!M295</f>
        <v/>
      </c>
      <c r="O302" s="7">
        <f>'1 datos preparados'!N295</f>
        <v/>
      </c>
      <c r="P302" s="7">
        <f>'1 datos preparados'!O295</f>
        <v/>
      </c>
      <c r="Q302" s="7">
        <f>'1 datos preparados'!P295</f>
        <v/>
      </c>
      <c r="R302" s="7">
        <f>'1 datos preparados'!Q295</f>
        <v/>
      </c>
      <c r="S302" s="7">
        <f>'1 datos preparados'!R295</f>
        <v/>
      </c>
      <c r="T302" s="7">
        <f>'1 datos preparados'!S295</f>
        <v/>
      </c>
      <c r="U302" s="7">
        <f>'1 datos preparados'!T295</f>
        <v/>
      </c>
      <c r="V302" s="8">
        <f>$AC$12+D302*$AC$13+E302*$AC$14+F302*$AC$15+G302*$AC$16+H302*$AC$17+I302*$AC$18+J302*$AC$19+K302*$AC$20+L302*$AC$21+M302*$AC$22+N302*$AC$23+O302*$AC$24+P302*$AC$25+Q302*$AC$26+R302*$AC$27+S302*$AC$28+T302*$AC$29+U302*$AC$30</f>
        <v/>
      </c>
      <c r="W302" s="8">
        <f>1/(1+EXP(-V302))</f>
        <v/>
      </c>
      <c r="X302" s="9">
        <f>-IF(C302=1,LN(W302),LN(1-W302))</f>
        <v/>
      </c>
      <c r="Y302" s="10">
        <f>IF(W302&gt;$AC$34,1,0)</f>
        <v/>
      </c>
      <c r="Z302">
        <f>IF(Y302=C302,1,0)</f>
        <v/>
      </c>
    </row>
    <row r="303">
      <c r="A303">
        <f>'1 datos preparados'!A296</f>
        <v/>
      </c>
      <c r="B303" s="5">
        <f>'1 datos preparados'!U296</f>
        <v/>
      </c>
      <c r="C303">
        <f>'1 datos preparados'!B296</f>
        <v/>
      </c>
      <c r="D303" s="7">
        <f>'1 datos preparados'!C296</f>
        <v/>
      </c>
      <c r="E303" s="7">
        <f>'1 datos preparados'!D296</f>
        <v/>
      </c>
      <c r="F303" s="7">
        <f>'1 datos preparados'!E296</f>
        <v/>
      </c>
      <c r="G303" s="7">
        <f>'1 datos preparados'!F296</f>
        <v/>
      </c>
      <c r="H303" s="7">
        <f>'1 datos preparados'!G296</f>
        <v/>
      </c>
      <c r="I303" s="7">
        <f>'1 datos preparados'!H296</f>
        <v/>
      </c>
      <c r="J303" s="7">
        <f>'1 datos preparados'!I296</f>
        <v/>
      </c>
      <c r="K303" s="7">
        <f>'1 datos preparados'!J296</f>
        <v/>
      </c>
      <c r="L303" s="7">
        <f>'1 datos preparados'!K296</f>
        <v/>
      </c>
      <c r="M303" s="7">
        <f>'1 datos preparados'!L296</f>
        <v/>
      </c>
      <c r="N303" s="7">
        <f>'1 datos preparados'!M296</f>
        <v/>
      </c>
      <c r="O303" s="7">
        <f>'1 datos preparados'!N296</f>
        <v/>
      </c>
      <c r="P303" s="7">
        <f>'1 datos preparados'!O296</f>
        <v/>
      </c>
      <c r="Q303" s="7">
        <f>'1 datos preparados'!P296</f>
        <v/>
      </c>
      <c r="R303" s="7">
        <f>'1 datos preparados'!Q296</f>
        <v/>
      </c>
      <c r="S303" s="7">
        <f>'1 datos preparados'!R296</f>
        <v/>
      </c>
      <c r="T303" s="7">
        <f>'1 datos preparados'!S296</f>
        <v/>
      </c>
      <c r="U303" s="7">
        <f>'1 datos preparados'!T296</f>
        <v/>
      </c>
      <c r="V303" s="8">
        <f>$AC$12+D303*$AC$13+E303*$AC$14+F303*$AC$15+G303*$AC$16+H303*$AC$17+I303*$AC$18+J303*$AC$19+K303*$AC$20+L303*$AC$21+M303*$AC$22+N303*$AC$23+O303*$AC$24+P303*$AC$25+Q303*$AC$26+R303*$AC$27+S303*$AC$28+T303*$AC$29+U303*$AC$30</f>
        <v/>
      </c>
      <c r="W303" s="8">
        <f>1/(1+EXP(-V303))</f>
        <v/>
      </c>
      <c r="X303" s="9">
        <f>-IF(C303=1,LN(W303),LN(1-W303))</f>
        <v/>
      </c>
      <c r="Y303" s="10">
        <f>IF(W303&gt;$AC$34,1,0)</f>
        <v/>
      </c>
      <c r="Z303">
        <f>IF(Y303=C303,1,0)</f>
        <v/>
      </c>
    </row>
    <row r="304">
      <c r="A304">
        <f>'1 datos preparados'!A297</f>
        <v/>
      </c>
      <c r="B304" s="5">
        <f>'1 datos preparados'!U297</f>
        <v/>
      </c>
      <c r="C304">
        <f>'1 datos preparados'!B297</f>
        <v/>
      </c>
      <c r="D304" s="7">
        <f>'1 datos preparados'!C297</f>
        <v/>
      </c>
      <c r="E304" s="7">
        <f>'1 datos preparados'!D297</f>
        <v/>
      </c>
      <c r="F304" s="7">
        <f>'1 datos preparados'!E297</f>
        <v/>
      </c>
      <c r="G304" s="7">
        <f>'1 datos preparados'!F297</f>
        <v/>
      </c>
      <c r="H304" s="7">
        <f>'1 datos preparados'!G297</f>
        <v/>
      </c>
      <c r="I304" s="7">
        <f>'1 datos preparados'!H297</f>
        <v/>
      </c>
      <c r="J304" s="7">
        <f>'1 datos preparados'!I297</f>
        <v/>
      </c>
      <c r="K304" s="7">
        <f>'1 datos preparados'!J297</f>
        <v/>
      </c>
      <c r="L304" s="7">
        <f>'1 datos preparados'!K297</f>
        <v/>
      </c>
      <c r="M304" s="7">
        <f>'1 datos preparados'!L297</f>
        <v/>
      </c>
      <c r="N304" s="7">
        <f>'1 datos preparados'!M297</f>
        <v/>
      </c>
      <c r="O304" s="7">
        <f>'1 datos preparados'!N297</f>
        <v/>
      </c>
      <c r="P304" s="7">
        <f>'1 datos preparados'!O297</f>
        <v/>
      </c>
      <c r="Q304" s="7">
        <f>'1 datos preparados'!P297</f>
        <v/>
      </c>
      <c r="R304" s="7">
        <f>'1 datos preparados'!Q297</f>
        <v/>
      </c>
      <c r="S304" s="7">
        <f>'1 datos preparados'!R297</f>
        <v/>
      </c>
      <c r="T304" s="7">
        <f>'1 datos preparados'!S297</f>
        <v/>
      </c>
      <c r="U304" s="7">
        <f>'1 datos preparados'!T297</f>
        <v/>
      </c>
      <c r="V304" s="8">
        <f>$AC$12+D304*$AC$13+E304*$AC$14+F304*$AC$15+G304*$AC$16+H304*$AC$17+I304*$AC$18+J304*$AC$19+K304*$AC$20+L304*$AC$21+M304*$AC$22+N304*$AC$23+O304*$AC$24+P304*$AC$25+Q304*$AC$26+R304*$AC$27+S304*$AC$28+T304*$AC$29+U304*$AC$30</f>
        <v/>
      </c>
      <c r="W304" s="8">
        <f>1/(1+EXP(-V304))</f>
        <v/>
      </c>
      <c r="X304" s="9">
        <f>-IF(C304=1,LN(W304),LN(1-W304))</f>
        <v/>
      </c>
      <c r="Y304" s="10">
        <f>IF(W304&gt;$AC$34,1,0)</f>
        <v/>
      </c>
      <c r="Z304">
        <f>IF(Y304=C304,1,0)</f>
        <v/>
      </c>
    </row>
    <row r="305">
      <c r="A305">
        <f>'1 datos preparados'!A298</f>
        <v/>
      </c>
      <c r="B305" s="5">
        <f>'1 datos preparados'!U298</f>
        <v/>
      </c>
      <c r="C305">
        <f>'1 datos preparados'!B298</f>
        <v/>
      </c>
      <c r="D305" s="7">
        <f>'1 datos preparados'!C298</f>
        <v/>
      </c>
      <c r="E305" s="7">
        <f>'1 datos preparados'!D298</f>
        <v/>
      </c>
      <c r="F305" s="7">
        <f>'1 datos preparados'!E298</f>
        <v/>
      </c>
      <c r="G305" s="7">
        <f>'1 datos preparados'!F298</f>
        <v/>
      </c>
      <c r="H305" s="7">
        <f>'1 datos preparados'!G298</f>
        <v/>
      </c>
      <c r="I305" s="7">
        <f>'1 datos preparados'!H298</f>
        <v/>
      </c>
      <c r="J305" s="7">
        <f>'1 datos preparados'!I298</f>
        <v/>
      </c>
      <c r="K305" s="7">
        <f>'1 datos preparados'!J298</f>
        <v/>
      </c>
      <c r="L305" s="7">
        <f>'1 datos preparados'!K298</f>
        <v/>
      </c>
      <c r="M305" s="7">
        <f>'1 datos preparados'!L298</f>
        <v/>
      </c>
      <c r="N305" s="7">
        <f>'1 datos preparados'!M298</f>
        <v/>
      </c>
      <c r="O305" s="7">
        <f>'1 datos preparados'!N298</f>
        <v/>
      </c>
      <c r="P305" s="7">
        <f>'1 datos preparados'!O298</f>
        <v/>
      </c>
      <c r="Q305" s="7">
        <f>'1 datos preparados'!P298</f>
        <v/>
      </c>
      <c r="R305" s="7">
        <f>'1 datos preparados'!Q298</f>
        <v/>
      </c>
      <c r="S305" s="7">
        <f>'1 datos preparados'!R298</f>
        <v/>
      </c>
      <c r="T305" s="7">
        <f>'1 datos preparados'!S298</f>
        <v/>
      </c>
      <c r="U305" s="7">
        <f>'1 datos preparados'!T298</f>
        <v/>
      </c>
      <c r="V305" s="8">
        <f>$AC$12+D305*$AC$13+E305*$AC$14+F305*$AC$15+G305*$AC$16+H305*$AC$17+I305*$AC$18+J305*$AC$19+K305*$AC$20+L305*$AC$21+M305*$AC$22+N305*$AC$23+O305*$AC$24+P305*$AC$25+Q305*$AC$26+R305*$AC$27+S305*$AC$28+T305*$AC$29+U305*$AC$30</f>
        <v/>
      </c>
      <c r="W305" s="8">
        <f>1/(1+EXP(-V305))</f>
        <v/>
      </c>
      <c r="X305" s="9">
        <f>-IF(C305=1,LN(W305),LN(1-W305))</f>
        <v/>
      </c>
      <c r="Y305" s="10">
        <f>IF(W305&gt;$AC$34,1,0)</f>
        <v/>
      </c>
      <c r="Z305">
        <f>IF(Y305=C305,1,0)</f>
        <v/>
      </c>
    </row>
    <row r="306">
      <c r="A306">
        <f>'1 datos preparados'!A299</f>
        <v/>
      </c>
      <c r="B306" s="5">
        <f>'1 datos preparados'!U299</f>
        <v/>
      </c>
      <c r="C306">
        <f>'1 datos preparados'!B299</f>
        <v/>
      </c>
      <c r="D306" s="7">
        <f>'1 datos preparados'!C299</f>
        <v/>
      </c>
      <c r="E306" s="7">
        <f>'1 datos preparados'!D299</f>
        <v/>
      </c>
      <c r="F306" s="7">
        <f>'1 datos preparados'!E299</f>
        <v/>
      </c>
      <c r="G306" s="7">
        <f>'1 datos preparados'!F299</f>
        <v/>
      </c>
      <c r="H306" s="7">
        <f>'1 datos preparados'!G299</f>
        <v/>
      </c>
      <c r="I306" s="7">
        <f>'1 datos preparados'!H299</f>
        <v/>
      </c>
      <c r="J306" s="7">
        <f>'1 datos preparados'!I299</f>
        <v/>
      </c>
      <c r="K306" s="7">
        <f>'1 datos preparados'!J299</f>
        <v/>
      </c>
      <c r="L306" s="7">
        <f>'1 datos preparados'!K299</f>
        <v/>
      </c>
      <c r="M306" s="7">
        <f>'1 datos preparados'!L299</f>
        <v/>
      </c>
      <c r="N306" s="7">
        <f>'1 datos preparados'!M299</f>
        <v/>
      </c>
      <c r="O306" s="7">
        <f>'1 datos preparados'!N299</f>
        <v/>
      </c>
      <c r="P306" s="7">
        <f>'1 datos preparados'!O299</f>
        <v/>
      </c>
      <c r="Q306" s="7">
        <f>'1 datos preparados'!P299</f>
        <v/>
      </c>
      <c r="R306" s="7">
        <f>'1 datos preparados'!Q299</f>
        <v/>
      </c>
      <c r="S306" s="7">
        <f>'1 datos preparados'!R299</f>
        <v/>
      </c>
      <c r="T306" s="7">
        <f>'1 datos preparados'!S299</f>
        <v/>
      </c>
      <c r="U306" s="7">
        <f>'1 datos preparados'!T299</f>
        <v/>
      </c>
      <c r="V306" s="8">
        <f>$AC$12+D306*$AC$13+E306*$AC$14+F306*$AC$15+G306*$AC$16+H306*$AC$17+I306*$AC$18+J306*$AC$19+K306*$AC$20+L306*$AC$21+M306*$AC$22+N306*$AC$23+O306*$AC$24+P306*$AC$25+Q306*$AC$26+R306*$AC$27+S306*$AC$28+T306*$AC$29+U306*$AC$30</f>
        <v/>
      </c>
      <c r="W306" s="8">
        <f>1/(1+EXP(-V306))</f>
        <v/>
      </c>
      <c r="X306" s="9">
        <f>-IF(C306=1,LN(W306),LN(1-W306))</f>
        <v/>
      </c>
      <c r="Y306" s="10">
        <f>IF(W306&gt;$AC$34,1,0)</f>
        <v/>
      </c>
      <c r="Z306">
        <f>IF(Y306=C306,1,0)</f>
        <v/>
      </c>
    </row>
    <row r="307">
      <c r="A307">
        <f>'1 datos preparados'!A300</f>
        <v/>
      </c>
      <c r="B307" s="5">
        <f>'1 datos preparados'!U300</f>
        <v/>
      </c>
      <c r="C307">
        <f>'1 datos preparados'!B300</f>
        <v/>
      </c>
      <c r="D307" s="7">
        <f>'1 datos preparados'!C300</f>
        <v/>
      </c>
      <c r="E307" s="7">
        <f>'1 datos preparados'!D300</f>
        <v/>
      </c>
      <c r="F307" s="7">
        <f>'1 datos preparados'!E300</f>
        <v/>
      </c>
      <c r="G307" s="7">
        <f>'1 datos preparados'!F300</f>
        <v/>
      </c>
      <c r="H307" s="7">
        <f>'1 datos preparados'!G300</f>
        <v/>
      </c>
      <c r="I307" s="7">
        <f>'1 datos preparados'!H300</f>
        <v/>
      </c>
      <c r="J307" s="7">
        <f>'1 datos preparados'!I300</f>
        <v/>
      </c>
      <c r="K307" s="7">
        <f>'1 datos preparados'!J300</f>
        <v/>
      </c>
      <c r="L307" s="7">
        <f>'1 datos preparados'!K300</f>
        <v/>
      </c>
      <c r="M307" s="7">
        <f>'1 datos preparados'!L300</f>
        <v/>
      </c>
      <c r="N307" s="7">
        <f>'1 datos preparados'!M300</f>
        <v/>
      </c>
      <c r="O307" s="7">
        <f>'1 datos preparados'!N300</f>
        <v/>
      </c>
      <c r="P307" s="7">
        <f>'1 datos preparados'!O300</f>
        <v/>
      </c>
      <c r="Q307" s="7">
        <f>'1 datos preparados'!P300</f>
        <v/>
      </c>
      <c r="R307" s="7">
        <f>'1 datos preparados'!Q300</f>
        <v/>
      </c>
      <c r="S307" s="7">
        <f>'1 datos preparados'!R300</f>
        <v/>
      </c>
      <c r="T307" s="7">
        <f>'1 datos preparados'!S300</f>
        <v/>
      </c>
      <c r="U307" s="7">
        <f>'1 datos preparados'!T300</f>
        <v/>
      </c>
      <c r="V307" s="8">
        <f>$AC$12+D307*$AC$13+E307*$AC$14+F307*$AC$15+G307*$AC$16+H307*$AC$17+I307*$AC$18+J307*$AC$19+K307*$AC$20+L307*$AC$21+M307*$AC$22+N307*$AC$23+O307*$AC$24+P307*$AC$25+Q307*$AC$26+R307*$AC$27+S307*$AC$28+T307*$AC$29+U307*$AC$30</f>
        <v/>
      </c>
      <c r="W307" s="8">
        <f>1/(1+EXP(-V307))</f>
        <v/>
      </c>
      <c r="X307" s="9">
        <f>-IF(C307=1,LN(W307),LN(1-W307))</f>
        <v/>
      </c>
      <c r="Y307" s="10">
        <f>IF(W307&gt;$AC$34,1,0)</f>
        <v/>
      </c>
      <c r="Z307">
        <f>IF(Y307=C307,1,0)</f>
        <v/>
      </c>
    </row>
    <row r="308">
      <c r="A308">
        <f>'1 datos preparados'!A301</f>
        <v/>
      </c>
      <c r="B308" s="5">
        <f>'1 datos preparados'!U301</f>
        <v/>
      </c>
      <c r="C308">
        <f>'1 datos preparados'!B301</f>
        <v/>
      </c>
      <c r="D308" s="7">
        <f>'1 datos preparados'!C301</f>
        <v/>
      </c>
      <c r="E308" s="7">
        <f>'1 datos preparados'!D301</f>
        <v/>
      </c>
      <c r="F308" s="7">
        <f>'1 datos preparados'!E301</f>
        <v/>
      </c>
      <c r="G308" s="7">
        <f>'1 datos preparados'!F301</f>
        <v/>
      </c>
      <c r="H308" s="7">
        <f>'1 datos preparados'!G301</f>
        <v/>
      </c>
      <c r="I308" s="7">
        <f>'1 datos preparados'!H301</f>
        <v/>
      </c>
      <c r="J308" s="7">
        <f>'1 datos preparados'!I301</f>
        <v/>
      </c>
      <c r="K308" s="7">
        <f>'1 datos preparados'!J301</f>
        <v/>
      </c>
      <c r="L308" s="7">
        <f>'1 datos preparados'!K301</f>
        <v/>
      </c>
      <c r="M308" s="7">
        <f>'1 datos preparados'!L301</f>
        <v/>
      </c>
      <c r="N308" s="7">
        <f>'1 datos preparados'!M301</f>
        <v/>
      </c>
      <c r="O308" s="7">
        <f>'1 datos preparados'!N301</f>
        <v/>
      </c>
      <c r="P308" s="7">
        <f>'1 datos preparados'!O301</f>
        <v/>
      </c>
      <c r="Q308" s="7">
        <f>'1 datos preparados'!P301</f>
        <v/>
      </c>
      <c r="R308" s="7">
        <f>'1 datos preparados'!Q301</f>
        <v/>
      </c>
      <c r="S308" s="7">
        <f>'1 datos preparados'!R301</f>
        <v/>
      </c>
      <c r="T308" s="7">
        <f>'1 datos preparados'!S301</f>
        <v/>
      </c>
      <c r="U308" s="7">
        <f>'1 datos preparados'!T301</f>
        <v/>
      </c>
      <c r="V308" s="8">
        <f>$AC$12+D308*$AC$13+E308*$AC$14+F308*$AC$15+G308*$AC$16+H308*$AC$17+I308*$AC$18+J308*$AC$19+K308*$AC$20+L308*$AC$21+M308*$AC$22+N308*$AC$23+O308*$AC$24+P308*$AC$25+Q308*$AC$26+R308*$AC$27+S308*$AC$28+T308*$AC$29+U308*$AC$30</f>
        <v/>
      </c>
      <c r="W308" s="8">
        <f>1/(1+EXP(-V308))</f>
        <v/>
      </c>
      <c r="X308" s="9">
        <f>-IF(C308=1,LN(W308),LN(1-W308))</f>
        <v/>
      </c>
      <c r="Y308" s="10">
        <f>IF(W308&gt;$AC$34,1,0)</f>
        <v/>
      </c>
      <c r="Z308">
        <f>IF(Y308=C308,1,0)</f>
        <v/>
      </c>
    </row>
    <row r="309">
      <c r="A309">
        <f>'1 datos preparados'!A302</f>
        <v/>
      </c>
      <c r="B309" s="5">
        <f>'1 datos preparados'!U302</f>
        <v/>
      </c>
      <c r="C309">
        <f>'1 datos preparados'!B302</f>
        <v/>
      </c>
      <c r="D309" s="7">
        <f>'1 datos preparados'!C302</f>
        <v/>
      </c>
      <c r="E309" s="7">
        <f>'1 datos preparados'!D302</f>
        <v/>
      </c>
      <c r="F309" s="7">
        <f>'1 datos preparados'!E302</f>
        <v/>
      </c>
      <c r="G309" s="7">
        <f>'1 datos preparados'!F302</f>
        <v/>
      </c>
      <c r="H309" s="7">
        <f>'1 datos preparados'!G302</f>
        <v/>
      </c>
      <c r="I309" s="7">
        <f>'1 datos preparados'!H302</f>
        <v/>
      </c>
      <c r="J309" s="7">
        <f>'1 datos preparados'!I302</f>
        <v/>
      </c>
      <c r="K309" s="7">
        <f>'1 datos preparados'!J302</f>
        <v/>
      </c>
      <c r="L309" s="7">
        <f>'1 datos preparados'!K302</f>
        <v/>
      </c>
      <c r="M309" s="7">
        <f>'1 datos preparados'!L302</f>
        <v/>
      </c>
      <c r="N309" s="7">
        <f>'1 datos preparados'!M302</f>
        <v/>
      </c>
      <c r="O309" s="7">
        <f>'1 datos preparados'!N302</f>
        <v/>
      </c>
      <c r="P309" s="7">
        <f>'1 datos preparados'!O302</f>
        <v/>
      </c>
      <c r="Q309" s="7">
        <f>'1 datos preparados'!P302</f>
        <v/>
      </c>
      <c r="R309" s="7">
        <f>'1 datos preparados'!Q302</f>
        <v/>
      </c>
      <c r="S309" s="7">
        <f>'1 datos preparados'!R302</f>
        <v/>
      </c>
      <c r="T309" s="7">
        <f>'1 datos preparados'!S302</f>
        <v/>
      </c>
      <c r="U309" s="7">
        <f>'1 datos preparados'!T302</f>
        <v/>
      </c>
      <c r="V309" s="8">
        <f>$AC$12+D309*$AC$13+E309*$AC$14+F309*$AC$15+G309*$AC$16+H309*$AC$17+I309*$AC$18+J309*$AC$19+K309*$AC$20+L309*$AC$21+M309*$AC$22+N309*$AC$23+O309*$AC$24+P309*$AC$25+Q309*$AC$26+R309*$AC$27+S309*$AC$28+T309*$AC$29+U309*$AC$30</f>
        <v/>
      </c>
      <c r="W309" s="8">
        <f>1/(1+EXP(-V309))</f>
        <v/>
      </c>
      <c r="X309" s="9">
        <f>-IF(C309=1,LN(W309),LN(1-W309))</f>
        <v/>
      </c>
      <c r="Y309" s="10">
        <f>IF(W309&gt;$AC$34,1,0)</f>
        <v/>
      </c>
      <c r="Z309">
        <f>IF(Y309=C309,1,0)</f>
        <v/>
      </c>
    </row>
    <row r="310">
      <c r="A310">
        <f>'1 datos preparados'!A303</f>
        <v/>
      </c>
      <c r="B310" s="5">
        <f>'1 datos preparados'!U303</f>
        <v/>
      </c>
      <c r="C310">
        <f>'1 datos preparados'!B303</f>
        <v/>
      </c>
      <c r="D310" s="7">
        <f>'1 datos preparados'!C303</f>
        <v/>
      </c>
      <c r="E310" s="7">
        <f>'1 datos preparados'!D303</f>
        <v/>
      </c>
      <c r="F310" s="7">
        <f>'1 datos preparados'!E303</f>
        <v/>
      </c>
      <c r="G310" s="7">
        <f>'1 datos preparados'!F303</f>
        <v/>
      </c>
      <c r="H310" s="7">
        <f>'1 datos preparados'!G303</f>
        <v/>
      </c>
      <c r="I310" s="7">
        <f>'1 datos preparados'!H303</f>
        <v/>
      </c>
      <c r="J310" s="7">
        <f>'1 datos preparados'!I303</f>
        <v/>
      </c>
      <c r="K310" s="7">
        <f>'1 datos preparados'!J303</f>
        <v/>
      </c>
      <c r="L310" s="7">
        <f>'1 datos preparados'!K303</f>
        <v/>
      </c>
      <c r="M310" s="7">
        <f>'1 datos preparados'!L303</f>
        <v/>
      </c>
      <c r="N310" s="7">
        <f>'1 datos preparados'!M303</f>
        <v/>
      </c>
      <c r="O310" s="7">
        <f>'1 datos preparados'!N303</f>
        <v/>
      </c>
      <c r="P310" s="7">
        <f>'1 datos preparados'!O303</f>
        <v/>
      </c>
      <c r="Q310" s="7">
        <f>'1 datos preparados'!P303</f>
        <v/>
      </c>
      <c r="R310" s="7">
        <f>'1 datos preparados'!Q303</f>
        <v/>
      </c>
      <c r="S310" s="7">
        <f>'1 datos preparados'!R303</f>
        <v/>
      </c>
      <c r="T310" s="7">
        <f>'1 datos preparados'!S303</f>
        <v/>
      </c>
      <c r="U310" s="7">
        <f>'1 datos preparados'!T303</f>
        <v/>
      </c>
      <c r="V310" s="8">
        <f>$AC$12+D310*$AC$13+E310*$AC$14+F310*$AC$15+G310*$AC$16+H310*$AC$17+I310*$AC$18+J310*$AC$19+K310*$AC$20+L310*$AC$21+M310*$AC$22+N310*$AC$23+O310*$AC$24+P310*$AC$25+Q310*$AC$26+R310*$AC$27+S310*$AC$28+T310*$AC$29+U310*$AC$30</f>
        <v/>
      </c>
      <c r="W310" s="8">
        <f>1/(1+EXP(-V310))</f>
        <v/>
      </c>
      <c r="X310" s="9">
        <f>-IF(C310=1,LN(W310),LN(1-W310))</f>
        <v/>
      </c>
      <c r="Y310" s="10">
        <f>IF(W310&gt;$AC$34,1,0)</f>
        <v/>
      </c>
      <c r="Z310">
        <f>IF(Y310=C310,1,0)</f>
        <v/>
      </c>
    </row>
    <row r="311">
      <c r="A311">
        <f>'1 datos preparados'!A304</f>
        <v/>
      </c>
      <c r="B311" s="5">
        <f>'1 datos preparados'!U304</f>
        <v/>
      </c>
      <c r="C311">
        <f>'1 datos preparados'!B304</f>
        <v/>
      </c>
      <c r="D311" s="7">
        <f>'1 datos preparados'!C304</f>
        <v/>
      </c>
      <c r="E311" s="7">
        <f>'1 datos preparados'!D304</f>
        <v/>
      </c>
      <c r="F311" s="7">
        <f>'1 datos preparados'!E304</f>
        <v/>
      </c>
      <c r="G311" s="7">
        <f>'1 datos preparados'!F304</f>
        <v/>
      </c>
      <c r="H311" s="7">
        <f>'1 datos preparados'!G304</f>
        <v/>
      </c>
      <c r="I311" s="7">
        <f>'1 datos preparados'!H304</f>
        <v/>
      </c>
      <c r="J311" s="7">
        <f>'1 datos preparados'!I304</f>
        <v/>
      </c>
      <c r="K311" s="7">
        <f>'1 datos preparados'!J304</f>
        <v/>
      </c>
      <c r="L311" s="7">
        <f>'1 datos preparados'!K304</f>
        <v/>
      </c>
      <c r="M311" s="7">
        <f>'1 datos preparados'!L304</f>
        <v/>
      </c>
      <c r="N311" s="7">
        <f>'1 datos preparados'!M304</f>
        <v/>
      </c>
      <c r="O311" s="7">
        <f>'1 datos preparados'!N304</f>
        <v/>
      </c>
      <c r="P311" s="7">
        <f>'1 datos preparados'!O304</f>
        <v/>
      </c>
      <c r="Q311" s="7">
        <f>'1 datos preparados'!P304</f>
        <v/>
      </c>
      <c r="R311" s="7">
        <f>'1 datos preparados'!Q304</f>
        <v/>
      </c>
      <c r="S311" s="7">
        <f>'1 datos preparados'!R304</f>
        <v/>
      </c>
      <c r="T311" s="7">
        <f>'1 datos preparados'!S304</f>
        <v/>
      </c>
      <c r="U311" s="7">
        <f>'1 datos preparados'!T304</f>
        <v/>
      </c>
      <c r="V311" s="8">
        <f>$AC$12+D311*$AC$13+E311*$AC$14+F311*$AC$15+G311*$AC$16+H311*$AC$17+I311*$AC$18+J311*$AC$19+K311*$AC$20+L311*$AC$21+M311*$AC$22+N311*$AC$23+O311*$AC$24+P311*$AC$25+Q311*$AC$26+R311*$AC$27+S311*$AC$28+T311*$AC$29+U311*$AC$30</f>
        <v/>
      </c>
      <c r="W311" s="8">
        <f>1/(1+EXP(-V311))</f>
        <v/>
      </c>
      <c r="X311" s="9">
        <f>-IF(C311=1,LN(W311),LN(1-W311))</f>
        <v/>
      </c>
      <c r="Y311" s="10">
        <f>IF(W311&gt;$AC$34,1,0)</f>
        <v/>
      </c>
      <c r="Z311">
        <f>IF(Y311=C311,1,0)</f>
        <v/>
      </c>
    </row>
    <row r="312">
      <c r="A312">
        <f>'1 datos preparados'!A305</f>
        <v/>
      </c>
      <c r="B312" s="5">
        <f>'1 datos preparados'!U305</f>
        <v/>
      </c>
      <c r="C312">
        <f>'1 datos preparados'!B305</f>
        <v/>
      </c>
      <c r="D312" s="7">
        <f>'1 datos preparados'!C305</f>
        <v/>
      </c>
      <c r="E312" s="7">
        <f>'1 datos preparados'!D305</f>
        <v/>
      </c>
      <c r="F312" s="7">
        <f>'1 datos preparados'!E305</f>
        <v/>
      </c>
      <c r="G312" s="7">
        <f>'1 datos preparados'!F305</f>
        <v/>
      </c>
      <c r="H312" s="7">
        <f>'1 datos preparados'!G305</f>
        <v/>
      </c>
      <c r="I312" s="7">
        <f>'1 datos preparados'!H305</f>
        <v/>
      </c>
      <c r="J312" s="7">
        <f>'1 datos preparados'!I305</f>
        <v/>
      </c>
      <c r="K312" s="7">
        <f>'1 datos preparados'!J305</f>
        <v/>
      </c>
      <c r="L312" s="7">
        <f>'1 datos preparados'!K305</f>
        <v/>
      </c>
      <c r="M312" s="7">
        <f>'1 datos preparados'!L305</f>
        <v/>
      </c>
      <c r="N312" s="7">
        <f>'1 datos preparados'!M305</f>
        <v/>
      </c>
      <c r="O312" s="7">
        <f>'1 datos preparados'!N305</f>
        <v/>
      </c>
      <c r="P312" s="7">
        <f>'1 datos preparados'!O305</f>
        <v/>
      </c>
      <c r="Q312" s="7">
        <f>'1 datos preparados'!P305</f>
        <v/>
      </c>
      <c r="R312" s="7">
        <f>'1 datos preparados'!Q305</f>
        <v/>
      </c>
      <c r="S312" s="7">
        <f>'1 datos preparados'!R305</f>
        <v/>
      </c>
      <c r="T312" s="7">
        <f>'1 datos preparados'!S305</f>
        <v/>
      </c>
      <c r="U312" s="7">
        <f>'1 datos preparados'!T305</f>
        <v/>
      </c>
      <c r="V312" s="8">
        <f>$AC$12+D312*$AC$13+E312*$AC$14+F312*$AC$15+G312*$AC$16+H312*$AC$17+I312*$AC$18+J312*$AC$19+K312*$AC$20+L312*$AC$21+M312*$AC$22+N312*$AC$23+O312*$AC$24+P312*$AC$25+Q312*$AC$26+R312*$AC$27+S312*$AC$28+T312*$AC$29+U312*$AC$30</f>
        <v/>
      </c>
      <c r="W312" s="8">
        <f>1/(1+EXP(-V312))</f>
        <v/>
      </c>
      <c r="X312" s="9">
        <f>-IF(C312=1,LN(W312),LN(1-W312))</f>
        <v/>
      </c>
      <c r="Y312" s="10">
        <f>IF(W312&gt;$AC$34,1,0)</f>
        <v/>
      </c>
      <c r="Z312">
        <f>IF(Y312=C312,1,0)</f>
        <v/>
      </c>
    </row>
    <row r="313">
      <c r="A313">
        <f>'1 datos preparados'!A306</f>
        <v/>
      </c>
      <c r="B313" s="5">
        <f>'1 datos preparados'!U306</f>
        <v/>
      </c>
      <c r="C313">
        <f>'1 datos preparados'!B306</f>
        <v/>
      </c>
      <c r="D313" s="7">
        <f>'1 datos preparados'!C306</f>
        <v/>
      </c>
      <c r="E313" s="7">
        <f>'1 datos preparados'!D306</f>
        <v/>
      </c>
      <c r="F313" s="7">
        <f>'1 datos preparados'!E306</f>
        <v/>
      </c>
      <c r="G313" s="7">
        <f>'1 datos preparados'!F306</f>
        <v/>
      </c>
      <c r="H313" s="7">
        <f>'1 datos preparados'!G306</f>
        <v/>
      </c>
      <c r="I313" s="7">
        <f>'1 datos preparados'!H306</f>
        <v/>
      </c>
      <c r="J313" s="7">
        <f>'1 datos preparados'!I306</f>
        <v/>
      </c>
      <c r="K313" s="7">
        <f>'1 datos preparados'!J306</f>
        <v/>
      </c>
      <c r="L313" s="7">
        <f>'1 datos preparados'!K306</f>
        <v/>
      </c>
      <c r="M313" s="7">
        <f>'1 datos preparados'!L306</f>
        <v/>
      </c>
      <c r="N313" s="7">
        <f>'1 datos preparados'!M306</f>
        <v/>
      </c>
      <c r="O313" s="7">
        <f>'1 datos preparados'!N306</f>
        <v/>
      </c>
      <c r="P313" s="7">
        <f>'1 datos preparados'!O306</f>
        <v/>
      </c>
      <c r="Q313" s="7">
        <f>'1 datos preparados'!P306</f>
        <v/>
      </c>
      <c r="R313" s="7">
        <f>'1 datos preparados'!Q306</f>
        <v/>
      </c>
      <c r="S313" s="7">
        <f>'1 datos preparados'!R306</f>
        <v/>
      </c>
      <c r="T313" s="7">
        <f>'1 datos preparados'!S306</f>
        <v/>
      </c>
      <c r="U313" s="7">
        <f>'1 datos preparados'!T306</f>
        <v/>
      </c>
      <c r="V313" s="8">
        <f>$AC$12+D313*$AC$13+E313*$AC$14+F313*$AC$15+G313*$AC$16+H313*$AC$17+I313*$AC$18+J313*$AC$19+K313*$AC$20+L313*$AC$21+M313*$AC$22+N313*$AC$23+O313*$AC$24+P313*$AC$25+Q313*$AC$26+R313*$AC$27+S313*$AC$28+T313*$AC$29+U313*$AC$30</f>
        <v/>
      </c>
      <c r="W313" s="8">
        <f>1/(1+EXP(-V313))</f>
        <v/>
      </c>
      <c r="X313" s="9">
        <f>-IF(C313=1,LN(W313),LN(1-W313))</f>
        <v/>
      </c>
      <c r="Y313" s="10">
        <f>IF(W313&gt;$AC$34,1,0)</f>
        <v/>
      </c>
      <c r="Z313">
        <f>IF(Y313=C313,1,0)</f>
        <v/>
      </c>
    </row>
    <row r="314">
      <c r="A314">
        <f>'1 datos preparados'!A307</f>
        <v/>
      </c>
      <c r="B314" s="5">
        <f>'1 datos preparados'!U307</f>
        <v/>
      </c>
      <c r="C314">
        <f>'1 datos preparados'!B307</f>
        <v/>
      </c>
      <c r="D314" s="7">
        <f>'1 datos preparados'!C307</f>
        <v/>
      </c>
      <c r="E314" s="7">
        <f>'1 datos preparados'!D307</f>
        <v/>
      </c>
      <c r="F314" s="7">
        <f>'1 datos preparados'!E307</f>
        <v/>
      </c>
      <c r="G314" s="7">
        <f>'1 datos preparados'!F307</f>
        <v/>
      </c>
      <c r="H314" s="7">
        <f>'1 datos preparados'!G307</f>
        <v/>
      </c>
      <c r="I314" s="7">
        <f>'1 datos preparados'!H307</f>
        <v/>
      </c>
      <c r="J314" s="7">
        <f>'1 datos preparados'!I307</f>
        <v/>
      </c>
      <c r="K314" s="7">
        <f>'1 datos preparados'!J307</f>
        <v/>
      </c>
      <c r="L314" s="7">
        <f>'1 datos preparados'!K307</f>
        <v/>
      </c>
      <c r="M314" s="7">
        <f>'1 datos preparados'!L307</f>
        <v/>
      </c>
      <c r="N314" s="7">
        <f>'1 datos preparados'!M307</f>
        <v/>
      </c>
      <c r="O314" s="7">
        <f>'1 datos preparados'!N307</f>
        <v/>
      </c>
      <c r="P314" s="7">
        <f>'1 datos preparados'!O307</f>
        <v/>
      </c>
      <c r="Q314" s="7">
        <f>'1 datos preparados'!P307</f>
        <v/>
      </c>
      <c r="R314" s="7">
        <f>'1 datos preparados'!Q307</f>
        <v/>
      </c>
      <c r="S314" s="7">
        <f>'1 datos preparados'!R307</f>
        <v/>
      </c>
      <c r="T314" s="7">
        <f>'1 datos preparados'!S307</f>
        <v/>
      </c>
      <c r="U314" s="7">
        <f>'1 datos preparados'!T307</f>
        <v/>
      </c>
      <c r="V314" s="8">
        <f>$AC$12+D314*$AC$13+E314*$AC$14+F314*$AC$15+G314*$AC$16+H314*$AC$17+I314*$AC$18+J314*$AC$19+K314*$AC$20+L314*$AC$21+M314*$AC$22+N314*$AC$23+O314*$AC$24+P314*$AC$25+Q314*$AC$26+R314*$AC$27+S314*$AC$28+T314*$AC$29+U314*$AC$30</f>
        <v/>
      </c>
      <c r="W314" s="8">
        <f>1/(1+EXP(-V314))</f>
        <v/>
      </c>
      <c r="X314" s="9">
        <f>-IF(C314=1,LN(W314),LN(1-W314))</f>
        <v/>
      </c>
      <c r="Y314" s="10">
        <f>IF(W314&gt;$AC$34,1,0)</f>
        <v/>
      </c>
      <c r="Z314">
        <f>IF(Y314=C314,1,0)</f>
        <v/>
      </c>
    </row>
    <row r="315">
      <c r="A315">
        <f>'1 datos preparados'!A308</f>
        <v/>
      </c>
      <c r="B315" s="5">
        <f>'1 datos preparados'!U308</f>
        <v/>
      </c>
      <c r="C315">
        <f>'1 datos preparados'!B308</f>
        <v/>
      </c>
      <c r="D315" s="7">
        <f>'1 datos preparados'!C308</f>
        <v/>
      </c>
      <c r="E315" s="7">
        <f>'1 datos preparados'!D308</f>
        <v/>
      </c>
      <c r="F315" s="7">
        <f>'1 datos preparados'!E308</f>
        <v/>
      </c>
      <c r="G315" s="7">
        <f>'1 datos preparados'!F308</f>
        <v/>
      </c>
      <c r="H315" s="7">
        <f>'1 datos preparados'!G308</f>
        <v/>
      </c>
      <c r="I315" s="7">
        <f>'1 datos preparados'!H308</f>
        <v/>
      </c>
      <c r="J315" s="7">
        <f>'1 datos preparados'!I308</f>
        <v/>
      </c>
      <c r="K315" s="7">
        <f>'1 datos preparados'!J308</f>
        <v/>
      </c>
      <c r="L315" s="7">
        <f>'1 datos preparados'!K308</f>
        <v/>
      </c>
      <c r="M315" s="7">
        <f>'1 datos preparados'!L308</f>
        <v/>
      </c>
      <c r="N315" s="7">
        <f>'1 datos preparados'!M308</f>
        <v/>
      </c>
      <c r="O315" s="7">
        <f>'1 datos preparados'!N308</f>
        <v/>
      </c>
      <c r="P315" s="7">
        <f>'1 datos preparados'!O308</f>
        <v/>
      </c>
      <c r="Q315" s="7">
        <f>'1 datos preparados'!P308</f>
        <v/>
      </c>
      <c r="R315" s="7">
        <f>'1 datos preparados'!Q308</f>
        <v/>
      </c>
      <c r="S315" s="7">
        <f>'1 datos preparados'!R308</f>
        <v/>
      </c>
      <c r="T315" s="7">
        <f>'1 datos preparados'!S308</f>
        <v/>
      </c>
      <c r="U315" s="7">
        <f>'1 datos preparados'!T308</f>
        <v/>
      </c>
      <c r="V315" s="8">
        <f>$AC$12+D315*$AC$13+E315*$AC$14+F315*$AC$15+G315*$AC$16+H315*$AC$17+I315*$AC$18+J315*$AC$19+K315*$AC$20+L315*$AC$21+M315*$AC$22+N315*$AC$23+O315*$AC$24+P315*$AC$25+Q315*$AC$26+R315*$AC$27+S315*$AC$28+T315*$AC$29+U315*$AC$30</f>
        <v/>
      </c>
      <c r="W315" s="8">
        <f>1/(1+EXP(-V315))</f>
        <v/>
      </c>
      <c r="X315" s="9">
        <f>-IF(C315=1,LN(W315),LN(1-W315))</f>
        <v/>
      </c>
      <c r="Y315" s="10">
        <f>IF(W315&gt;$AC$34,1,0)</f>
        <v/>
      </c>
      <c r="Z315">
        <f>IF(Y315=C315,1,0)</f>
        <v/>
      </c>
    </row>
    <row r="316">
      <c r="A316">
        <f>'1 datos preparados'!A309</f>
        <v/>
      </c>
      <c r="B316" s="5">
        <f>'1 datos preparados'!U309</f>
        <v/>
      </c>
      <c r="C316">
        <f>'1 datos preparados'!B309</f>
        <v/>
      </c>
      <c r="D316" s="7">
        <f>'1 datos preparados'!C309</f>
        <v/>
      </c>
      <c r="E316" s="7">
        <f>'1 datos preparados'!D309</f>
        <v/>
      </c>
      <c r="F316" s="7">
        <f>'1 datos preparados'!E309</f>
        <v/>
      </c>
      <c r="G316" s="7">
        <f>'1 datos preparados'!F309</f>
        <v/>
      </c>
      <c r="H316" s="7">
        <f>'1 datos preparados'!G309</f>
        <v/>
      </c>
      <c r="I316" s="7">
        <f>'1 datos preparados'!H309</f>
        <v/>
      </c>
      <c r="J316" s="7">
        <f>'1 datos preparados'!I309</f>
        <v/>
      </c>
      <c r="K316" s="7">
        <f>'1 datos preparados'!J309</f>
        <v/>
      </c>
      <c r="L316" s="7">
        <f>'1 datos preparados'!K309</f>
        <v/>
      </c>
      <c r="M316" s="7">
        <f>'1 datos preparados'!L309</f>
        <v/>
      </c>
      <c r="N316" s="7">
        <f>'1 datos preparados'!M309</f>
        <v/>
      </c>
      <c r="O316" s="7">
        <f>'1 datos preparados'!N309</f>
        <v/>
      </c>
      <c r="P316" s="7">
        <f>'1 datos preparados'!O309</f>
        <v/>
      </c>
      <c r="Q316" s="7">
        <f>'1 datos preparados'!P309</f>
        <v/>
      </c>
      <c r="R316" s="7">
        <f>'1 datos preparados'!Q309</f>
        <v/>
      </c>
      <c r="S316" s="7">
        <f>'1 datos preparados'!R309</f>
        <v/>
      </c>
      <c r="T316" s="7">
        <f>'1 datos preparados'!S309</f>
        <v/>
      </c>
      <c r="U316" s="7">
        <f>'1 datos preparados'!T309</f>
        <v/>
      </c>
      <c r="V316" s="8">
        <f>$AC$12+D316*$AC$13+E316*$AC$14+F316*$AC$15+G316*$AC$16+H316*$AC$17+I316*$AC$18+J316*$AC$19+K316*$AC$20+L316*$AC$21+M316*$AC$22+N316*$AC$23+O316*$AC$24+P316*$AC$25+Q316*$AC$26+R316*$AC$27+S316*$AC$28+T316*$AC$29+U316*$AC$30</f>
        <v/>
      </c>
      <c r="W316" s="8">
        <f>1/(1+EXP(-V316))</f>
        <v/>
      </c>
      <c r="X316" s="9">
        <f>-IF(C316=1,LN(W316),LN(1-W316))</f>
        <v/>
      </c>
      <c r="Y316" s="10">
        <f>IF(W316&gt;$AC$34,1,0)</f>
        <v/>
      </c>
      <c r="Z316">
        <f>IF(Y316=C316,1,0)</f>
        <v/>
      </c>
    </row>
    <row r="317">
      <c r="A317">
        <f>'1 datos preparados'!A310</f>
        <v/>
      </c>
      <c r="B317" s="5">
        <f>'1 datos preparados'!U310</f>
        <v/>
      </c>
      <c r="C317">
        <f>'1 datos preparados'!B310</f>
        <v/>
      </c>
      <c r="D317" s="7">
        <f>'1 datos preparados'!C310</f>
        <v/>
      </c>
      <c r="E317" s="7">
        <f>'1 datos preparados'!D310</f>
        <v/>
      </c>
      <c r="F317" s="7">
        <f>'1 datos preparados'!E310</f>
        <v/>
      </c>
      <c r="G317" s="7">
        <f>'1 datos preparados'!F310</f>
        <v/>
      </c>
      <c r="H317" s="7">
        <f>'1 datos preparados'!G310</f>
        <v/>
      </c>
      <c r="I317" s="7">
        <f>'1 datos preparados'!H310</f>
        <v/>
      </c>
      <c r="J317" s="7">
        <f>'1 datos preparados'!I310</f>
        <v/>
      </c>
      <c r="K317" s="7">
        <f>'1 datos preparados'!J310</f>
        <v/>
      </c>
      <c r="L317" s="7">
        <f>'1 datos preparados'!K310</f>
        <v/>
      </c>
      <c r="M317" s="7">
        <f>'1 datos preparados'!L310</f>
        <v/>
      </c>
      <c r="N317" s="7">
        <f>'1 datos preparados'!M310</f>
        <v/>
      </c>
      <c r="O317" s="7">
        <f>'1 datos preparados'!N310</f>
        <v/>
      </c>
      <c r="P317" s="7">
        <f>'1 datos preparados'!O310</f>
        <v/>
      </c>
      <c r="Q317" s="7">
        <f>'1 datos preparados'!P310</f>
        <v/>
      </c>
      <c r="R317" s="7">
        <f>'1 datos preparados'!Q310</f>
        <v/>
      </c>
      <c r="S317" s="7">
        <f>'1 datos preparados'!R310</f>
        <v/>
      </c>
      <c r="T317" s="7">
        <f>'1 datos preparados'!S310</f>
        <v/>
      </c>
      <c r="U317" s="7">
        <f>'1 datos preparados'!T310</f>
        <v/>
      </c>
      <c r="V317" s="8">
        <f>$AC$12+D317*$AC$13+E317*$AC$14+F317*$AC$15+G317*$AC$16+H317*$AC$17+I317*$AC$18+J317*$AC$19+K317*$AC$20+L317*$AC$21+M317*$AC$22+N317*$AC$23+O317*$AC$24+P317*$AC$25+Q317*$AC$26+R317*$AC$27+S317*$AC$28+T317*$AC$29+U317*$AC$30</f>
        <v/>
      </c>
      <c r="W317" s="8">
        <f>1/(1+EXP(-V317))</f>
        <v/>
      </c>
      <c r="X317" s="9">
        <f>-IF(C317=1,LN(W317),LN(1-W317))</f>
        <v/>
      </c>
      <c r="Y317" s="10">
        <f>IF(W317&gt;$AC$34,1,0)</f>
        <v/>
      </c>
      <c r="Z317">
        <f>IF(Y317=C317,1,0)</f>
        <v/>
      </c>
    </row>
    <row r="318">
      <c r="A318">
        <f>'1 datos preparados'!A311</f>
        <v/>
      </c>
      <c r="B318" s="5">
        <f>'1 datos preparados'!U311</f>
        <v/>
      </c>
      <c r="C318">
        <f>'1 datos preparados'!B311</f>
        <v/>
      </c>
      <c r="D318" s="7">
        <f>'1 datos preparados'!C311</f>
        <v/>
      </c>
      <c r="E318" s="7">
        <f>'1 datos preparados'!D311</f>
        <v/>
      </c>
      <c r="F318" s="7">
        <f>'1 datos preparados'!E311</f>
        <v/>
      </c>
      <c r="G318" s="7">
        <f>'1 datos preparados'!F311</f>
        <v/>
      </c>
      <c r="H318" s="7">
        <f>'1 datos preparados'!G311</f>
        <v/>
      </c>
      <c r="I318" s="7">
        <f>'1 datos preparados'!H311</f>
        <v/>
      </c>
      <c r="J318" s="7">
        <f>'1 datos preparados'!I311</f>
        <v/>
      </c>
      <c r="K318" s="7">
        <f>'1 datos preparados'!J311</f>
        <v/>
      </c>
      <c r="L318" s="7">
        <f>'1 datos preparados'!K311</f>
        <v/>
      </c>
      <c r="M318" s="7">
        <f>'1 datos preparados'!L311</f>
        <v/>
      </c>
      <c r="N318" s="7">
        <f>'1 datos preparados'!M311</f>
        <v/>
      </c>
      <c r="O318" s="7">
        <f>'1 datos preparados'!N311</f>
        <v/>
      </c>
      <c r="P318" s="7">
        <f>'1 datos preparados'!O311</f>
        <v/>
      </c>
      <c r="Q318" s="7">
        <f>'1 datos preparados'!P311</f>
        <v/>
      </c>
      <c r="R318" s="7">
        <f>'1 datos preparados'!Q311</f>
        <v/>
      </c>
      <c r="S318" s="7">
        <f>'1 datos preparados'!R311</f>
        <v/>
      </c>
      <c r="T318" s="7">
        <f>'1 datos preparados'!S311</f>
        <v/>
      </c>
      <c r="U318" s="7">
        <f>'1 datos preparados'!T311</f>
        <v/>
      </c>
      <c r="V318" s="8">
        <f>$AC$12+D318*$AC$13+E318*$AC$14+F318*$AC$15+G318*$AC$16+H318*$AC$17+I318*$AC$18+J318*$AC$19+K318*$AC$20+L318*$AC$21+M318*$AC$22+N318*$AC$23+O318*$AC$24+P318*$AC$25+Q318*$AC$26+R318*$AC$27+S318*$AC$28+T318*$AC$29+U318*$AC$30</f>
        <v/>
      </c>
      <c r="W318" s="8">
        <f>1/(1+EXP(-V318))</f>
        <v/>
      </c>
      <c r="X318" s="9">
        <f>-IF(C318=1,LN(W318),LN(1-W318))</f>
        <v/>
      </c>
      <c r="Y318" s="10">
        <f>IF(W318&gt;$AC$34,1,0)</f>
        <v/>
      </c>
      <c r="Z318">
        <f>IF(Y318=C318,1,0)</f>
        <v/>
      </c>
    </row>
    <row r="319">
      <c r="A319">
        <f>'1 datos preparados'!A312</f>
        <v/>
      </c>
      <c r="B319" s="5">
        <f>'1 datos preparados'!U312</f>
        <v/>
      </c>
      <c r="C319">
        <f>'1 datos preparados'!B312</f>
        <v/>
      </c>
      <c r="D319" s="7">
        <f>'1 datos preparados'!C312</f>
        <v/>
      </c>
      <c r="E319" s="7">
        <f>'1 datos preparados'!D312</f>
        <v/>
      </c>
      <c r="F319" s="7">
        <f>'1 datos preparados'!E312</f>
        <v/>
      </c>
      <c r="G319" s="7">
        <f>'1 datos preparados'!F312</f>
        <v/>
      </c>
      <c r="H319" s="7">
        <f>'1 datos preparados'!G312</f>
        <v/>
      </c>
      <c r="I319" s="7">
        <f>'1 datos preparados'!H312</f>
        <v/>
      </c>
      <c r="J319" s="7">
        <f>'1 datos preparados'!I312</f>
        <v/>
      </c>
      <c r="K319" s="7">
        <f>'1 datos preparados'!J312</f>
        <v/>
      </c>
      <c r="L319" s="7">
        <f>'1 datos preparados'!K312</f>
        <v/>
      </c>
      <c r="M319" s="7">
        <f>'1 datos preparados'!L312</f>
        <v/>
      </c>
      <c r="N319" s="7">
        <f>'1 datos preparados'!M312</f>
        <v/>
      </c>
      <c r="O319" s="7">
        <f>'1 datos preparados'!N312</f>
        <v/>
      </c>
      <c r="P319" s="7">
        <f>'1 datos preparados'!O312</f>
        <v/>
      </c>
      <c r="Q319" s="7">
        <f>'1 datos preparados'!P312</f>
        <v/>
      </c>
      <c r="R319" s="7">
        <f>'1 datos preparados'!Q312</f>
        <v/>
      </c>
      <c r="S319" s="7">
        <f>'1 datos preparados'!R312</f>
        <v/>
      </c>
      <c r="T319" s="7">
        <f>'1 datos preparados'!S312</f>
        <v/>
      </c>
      <c r="U319" s="7">
        <f>'1 datos preparados'!T312</f>
        <v/>
      </c>
      <c r="V319" s="8">
        <f>$AC$12+D319*$AC$13+E319*$AC$14+F319*$AC$15+G319*$AC$16+H319*$AC$17+I319*$AC$18+J319*$AC$19+K319*$AC$20+L319*$AC$21+M319*$AC$22+N319*$AC$23+O319*$AC$24+P319*$AC$25+Q319*$AC$26+R319*$AC$27+S319*$AC$28+T319*$AC$29+U319*$AC$30</f>
        <v/>
      </c>
      <c r="W319" s="8">
        <f>1/(1+EXP(-V319))</f>
        <v/>
      </c>
      <c r="X319" s="9">
        <f>-IF(C319=1,LN(W319),LN(1-W319))</f>
        <v/>
      </c>
      <c r="Y319" s="10">
        <f>IF(W319&gt;$AC$34,1,0)</f>
        <v/>
      </c>
      <c r="Z319">
        <f>IF(Y319=C319,1,0)</f>
        <v/>
      </c>
    </row>
    <row r="320">
      <c r="A320">
        <f>'1 datos preparados'!A313</f>
        <v/>
      </c>
      <c r="B320" s="5">
        <f>'1 datos preparados'!U313</f>
        <v/>
      </c>
      <c r="C320">
        <f>'1 datos preparados'!B313</f>
        <v/>
      </c>
      <c r="D320" s="7">
        <f>'1 datos preparados'!C313</f>
        <v/>
      </c>
      <c r="E320" s="7">
        <f>'1 datos preparados'!D313</f>
        <v/>
      </c>
      <c r="F320" s="7">
        <f>'1 datos preparados'!E313</f>
        <v/>
      </c>
      <c r="G320" s="7">
        <f>'1 datos preparados'!F313</f>
        <v/>
      </c>
      <c r="H320" s="7">
        <f>'1 datos preparados'!G313</f>
        <v/>
      </c>
      <c r="I320" s="7">
        <f>'1 datos preparados'!H313</f>
        <v/>
      </c>
      <c r="J320" s="7">
        <f>'1 datos preparados'!I313</f>
        <v/>
      </c>
      <c r="K320" s="7">
        <f>'1 datos preparados'!J313</f>
        <v/>
      </c>
      <c r="L320" s="7">
        <f>'1 datos preparados'!K313</f>
        <v/>
      </c>
      <c r="M320" s="7">
        <f>'1 datos preparados'!L313</f>
        <v/>
      </c>
      <c r="N320" s="7">
        <f>'1 datos preparados'!M313</f>
        <v/>
      </c>
      <c r="O320" s="7">
        <f>'1 datos preparados'!N313</f>
        <v/>
      </c>
      <c r="P320" s="7">
        <f>'1 datos preparados'!O313</f>
        <v/>
      </c>
      <c r="Q320" s="7">
        <f>'1 datos preparados'!P313</f>
        <v/>
      </c>
      <c r="R320" s="7">
        <f>'1 datos preparados'!Q313</f>
        <v/>
      </c>
      <c r="S320" s="7">
        <f>'1 datos preparados'!R313</f>
        <v/>
      </c>
      <c r="T320" s="7">
        <f>'1 datos preparados'!S313</f>
        <v/>
      </c>
      <c r="U320" s="7">
        <f>'1 datos preparados'!T313</f>
        <v/>
      </c>
      <c r="V320" s="8">
        <f>$AC$12+D320*$AC$13+E320*$AC$14+F320*$AC$15+G320*$AC$16+H320*$AC$17+I320*$AC$18+J320*$AC$19+K320*$AC$20+L320*$AC$21+M320*$AC$22+N320*$AC$23+O320*$AC$24+P320*$AC$25+Q320*$AC$26+R320*$AC$27+S320*$AC$28+T320*$AC$29+U320*$AC$30</f>
        <v/>
      </c>
      <c r="W320" s="8">
        <f>1/(1+EXP(-V320))</f>
        <v/>
      </c>
      <c r="X320" s="9">
        <f>-IF(C320=1,LN(W320),LN(1-W320))</f>
        <v/>
      </c>
      <c r="Y320" s="10">
        <f>IF(W320&gt;$AC$34,1,0)</f>
        <v/>
      </c>
      <c r="Z320">
        <f>IF(Y320=C320,1,0)</f>
        <v/>
      </c>
    </row>
    <row r="321">
      <c r="A321">
        <f>'1 datos preparados'!A314</f>
        <v/>
      </c>
      <c r="B321" s="5">
        <f>'1 datos preparados'!U314</f>
        <v/>
      </c>
      <c r="C321">
        <f>'1 datos preparados'!B314</f>
        <v/>
      </c>
      <c r="D321" s="7">
        <f>'1 datos preparados'!C314</f>
        <v/>
      </c>
      <c r="E321" s="7">
        <f>'1 datos preparados'!D314</f>
        <v/>
      </c>
      <c r="F321" s="7">
        <f>'1 datos preparados'!E314</f>
        <v/>
      </c>
      <c r="G321" s="7">
        <f>'1 datos preparados'!F314</f>
        <v/>
      </c>
      <c r="H321" s="7">
        <f>'1 datos preparados'!G314</f>
        <v/>
      </c>
      <c r="I321" s="7">
        <f>'1 datos preparados'!H314</f>
        <v/>
      </c>
      <c r="J321" s="7">
        <f>'1 datos preparados'!I314</f>
        <v/>
      </c>
      <c r="K321" s="7">
        <f>'1 datos preparados'!J314</f>
        <v/>
      </c>
      <c r="L321" s="7">
        <f>'1 datos preparados'!K314</f>
        <v/>
      </c>
      <c r="M321" s="7">
        <f>'1 datos preparados'!L314</f>
        <v/>
      </c>
      <c r="N321" s="7">
        <f>'1 datos preparados'!M314</f>
        <v/>
      </c>
      <c r="O321" s="7">
        <f>'1 datos preparados'!N314</f>
        <v/>
      </c>
      <c r="P321" s="7">
        <f>'1 datos preparados'!O314</f>
        <v/>
      </c>
      <c r="Q321" s="7">
        <f>'1 datos preparados'!P314</f>
        <v/>
      </c>
      <c r="R321" s="7">
        <f>'1 datos preparados'!Q314</f>
        <v/>
      </c>
      <c r="S321" s="7">
        <f>'1 datos preparados'!R314</f>
        <v/>
      </c>
      <c r="T321" s="7">
        <f>'1 datos preparados'!S314</f>
        <v/>
      </c>
      <c r="U321" s="7">
        <f>'1 datos preparados'!T314</f>
        <v/>
      </c>
      <c r="V321" s="8">
        <f>$AC$12+D321*$AC$13+E321*$AC$14+F321*$AC$15+G321*$AC$16+H321*$AC$17+I321*$AC$18+J321*$AC$19+K321*$AC$20+L321*$AC$21+M321*$AC$22+N321*$AC$23+O321*$AC$24+P321*$AC$25+Q321*$AC$26+R321*$AC$27+S321*$AC$28+T321*$AC$29+U321*$AC$30</f>
        <v/>
      </c>
      <c r="W321" s="8">
        <f>1/(1+EXP(-V321))</f>
        <v/>
      </c>
      <c r="X321" s="9">
        <f>-IF(C321=1,LN(W321),LN(1-W321))</f>
        <v/>
      </c>
      <c r="Y321" s="10">
        <f>IF(W321&gt;$AC$34,1,0)</f>
        <v/>
      </c>
      <c r="Z321">
        <f>IF(Y321=C321,1,0)</f>
        <v/>
      </c>
    </row>
    <row r="322">
      <c r="A322">
        <f>'1 datos preparados'!A315</f>
        <v/>
      </c>
      <c r="B322" s="5">
        <f>'1 datos preparados'!U315</f>
        <v/>
      </c>
      <c r="C322">
        <f>'1 datos preparados'!B315</f>
        <v/>
      </c>
      <c r="D322" s="7">
        <f>'1 datos preparados'!C315</f>
        <v/>
      </c>
      <c r="E322" s="7">
        <f>'1 datos preparados'!D315</f>
        <v/>
      </c>
      <c r="F322" s="7">
        <f>'1 datos preparados'!E315</f>
        <v/>
      </c>
      <c r="G322" s="7">
        <f>'1 datos preparados'!F315</f>
        <v/>
      </c>
      <c r="H322" s="7">
        <f>'1 datos preparados'!G315</f>
        <v/>
      </c>
      <c r="I322" s="7">
        <f>'1 datos preparados'!H315</f>
        <v/>
      </c>
      <c r="J322" s="7">
        <f>'1 datos preparados'!I315</f>
        <v/>
      </c>
      <c r="K322" s="7">
        <f>'1 datos preparados'!J315</f>
        <v/>
      </c>
      <c r="L322" s="7">
        <f>'1 datos preparados'!K315</f>
        <v/>
      </c>
      <c r="M322" s="7">
        <f>'1 datos preparados'!L315</f>
        <v/>
      </c>
      <c r="N322" s="7">
        <f>'1 datos preparados'!M315</f>
        <v/>
      </c>
      <c r="O322" s="7">
        <f>'1 datos preparados'!N315</f>
        <v/>
      </c>
      <c r="P322" s="7">
        <f>'1 datos preparados'!O315</f>
        <v/>
      </c>
      <c r="Q322" s="7">
        <f>'1 datos preparados'!P315</f>
        <v/>
      </c>
      <c r="R322" s="7">
        <f>'1 datos preparados'!Q315</f>
        <v/>
      </c>
      <c r="S322" s="7">
        <f>'1 datos preparados'!R315</f>
        <v/>
      </c>
      <c r="T322" s="7">
        <f>'1 datos preparados'!S315</f>
        <v/>
      </c>
      <c r="U322" s="7">
        <f>'1 datos preparados'!T315</f>
        <v/>
      </c>
      <c r="V322" s="8">
        <f>$AC$12+D322*$AC$13+E322*$AC$14+F322*$AC$15+G322*$AC$16+H322*$AC$17+I322*$AC$18+J322*$AC$19+K322*$AC$20+L322*$AC$21+M322*$AC$22+N322*$AC$23+O322*$AC$24+P322*$AC$25+Q322*$AC$26+R322*$AC$27+S322*$AC$28+T322*$AC$29+U322*$AC$30</f>
        <v/>
      </c>
      <c r="W322" s="8">
        <f>1/(1+EXP(-V322))</f>
        <v/>
      </c>
      <c r="X322" s="9">
        <f>-IF(C322=1,LN(W322),LN(1-W322))</f>
        <v/>
      </c>
      <c r="Y322" s="10">
        <f>IF(W322&gt;$AC$34,1,0)</f>
        <v/>
      </c>
      <c r="Z322">
        <f>IF(Y322=C322,1,0)</f>
        <v/>
      </c>
    </row>
    <row r="323">
      <c r="A323">
        <f>'1 datos preparados'!A316</f>
        <v/>
      </c>
      <c r="B323" s="5">
        <f>'1 datos preparados'!U316</f>
        <v/>
      </c>
      <c r="C323">
        <f>'1 datos preparados'!B316</f>
        <v/>
      </c>
      <c r="D323" s="7">
        <f>'1 datos preparados'!C316</f>
        <v/>
      </c>
      <c r="E323" s="7">
        <f>'1 datos preparados'!D316</f>
        <v/>
      </c>
      <c r="F323" s="7">
        <f>'1 datos preparados'!E316</f>
        <v/>
      </c>
      <c r="G323" s="7">
        <f>'1 datos preparados'!F316</f>
        <v/>
      </c>
      <c r="H323" s="7">
        <f>'1 datos preparados'!G316</f>
        <v/>
      </c>
      <c r="I323" s="7">
        <f>'1 datos preparados'!H316</f>
        <v/>
      </c>
      <c r="J323" s="7">
        <f>'1 datos preparados'!I316</f>
        <v/>
      </c>
      <c r="K323" s="7">
        <f>'1 datos preparados'!J316</f>
        <v/>
      </c>
      <c r="L323" s="7">
        <f>'1 datos preparados'!K316</f>
        <v/>
      </c>
      <c r="M323" s="7">
        <f>'1 datos preparados'!L316</f>
        <v/>
      </c>
      <c r="N323" s="7">
        <f>'1 datos preparados'!M316</f>
        <v/>
      </c>
      <c r="O323" s="7">
        <f>'1 datos preparados'!N316</f>
        <v/>
      </c>
      <c r="P323" s="7">
        <f>'1 datos preparados'!O316</f>
        <v/>
      </c>
      <c r="Q323" s="7">
        <f>'1 datos preparados'!P316</f>
        <v/>
      </c>
      <c r="R323" s="7">
        <f>'1 datos preparados'!Q316</f>
        <v/>
      </c>
      <c r="S323" s="7">
        <f>'1 datos preparados'!R316</f>
        <v/>
      </c>
      <c r="T323" s="7">
        <f>'1 datos preparados'!S316</f>
        <v/>
      </c>
      <c r="U323" s="7">
        <f>'1 datos preparados'!T316</f>
        <v/>
      </c>
      <c r="V323" s="8">
        <f>$AC$12+D323*$AC$13+E323*$AC$14+F323*$AC$15+G323*$AC$16+H323*$AC$17+I323*$AC$18+J323*$AC$19+K323*$AC$20+L323*$AC$21+M323*$AC$22+N323*$AC$23+O323*$AC$24+P323*$AC$25+Q323*$AC$26+R323*$AC$27+S323*$AC$28+T323*$AC$29+U323*$AC$30</f>
        <v/>
      </c>
      <c r="W323" s="8">
        <f>1/(1+EXP(-V323))</f>
        <v/>
      </c>
      <c r="X323" s="9">
        <f>-IF(C323=1,LN(W323),LN(1-W323))</f>
        <v/>
      </c>
      <c r="Y323" s="10">
        <f>IF(W323&gt;$AC$34,1,0)</f>
        <v/>
      </c>
      <c r="Z323">
        <f>IF(Y323=C323,1,0)</f>
        <v/>
      </c>
    </row>
    <row r="324">
      <c r="A324">
        <f>'1 datos preparados'!A317</f>
        <v/>
      </c>
      <c r="B324" s="5">
        <f>'1 datos preparados'!U317</f>
        <v/>
      </c>
      <c r="C324">
        <f>'1 datos preparados'!B317</f>
        <v/>
      </c>
      <c r="D324" s="7">
        <f>'1 datos preparados'!C317</f>
        <v/>
      </c>
      <c r="E324" s="7">
        <f>'1 datos preparados'!D317</f>
        <v/>
      </c>
      <c r="F324" s="7">
        <f>'1 datos preparados'!E317</f>
        <v/>
      </c>
      <c r="G324" s="7">
        <f>'1 datos preparados'!F317</f>
        <v/>
      </c>
      <c r="H324" s="7">
        <f>'1 datos preparados'!G317</f>
        <v/>
      </c>
      <c r="I324" s="7">
        <f>'1 datos preparados'!H317</f>
        <v/>
      </c>
      <c r="J324" s="7">
        <f>'1 datos preparados'!I317</f>
        <v/>
      </c>
      <c r="K324" s="7">
        <f>'1 datos preparados'!J317</f>
        <v/>
      </c>
      <c r="L324" s="7">
        <f>'1 datos preparados'!K317</f>
        <v/>
      </c>
      <c r="M324" s="7">
        <f>'1 datos preparados'!L317</f>
        <v/>
      </c>
      <c r="N324" s="7">
        <f>'1 datos preparados'!M317</f>
        <v/>
      </c>
      <c r="O324" s="7">
        <f>'1 datos preparados'!N317</f>
        <v/>
      </c>
      <c r="P324" s="7">
        <f>'1 datos preparados'!O317</f>
        <v/>
      </c>
      <c r="Q324" s="7">
        <f>'1 datos preparados'!P317</f>
        <v/>
      </c>
      <c r="R324" s="7">
        <f>'1 datos preparados'!Q317</f>
        <v/>
      </c>
      <c r="S324" s="7">
        <f>'1 datos preparados'!R317</f>
        <v/>
      </c>
      <c r="T324" s="7">
        <f>'1 datos preparados'!S317</f>
        <v/>
      </c>
      <c r="U324" s="7">
        <f>'1 datos preparados'!T317</f>
        <v/>
      </c>
      <c r="V324" s="8">
        <f>$AC$12+D324*$AC$13+E324*$AC$14+F324*$AC$15+G324*$AC$16+H324*$AC$17+I324*$AC$18+J324*$AC$19+K324*$AC$20+L324*$AC$21+M324*$AC$22+N324*$AC$23+O324*$AC$24+P324*$AC$25+Q324*$AC$26+R324*$AC$27+S324*$AC$28+T324*$AC$29+U324*$AC$30</f>
        <v/>
      </c>
      <c r="W324" s="8">
        <f>1/(1+EXP(-V324))</f>
        <v/>
      </c>
      <c r="X324" s="9">
        <f>-IF(C324=1,LN(W324),LN(1-W324))</f>
        <v/>
      </c>
      <c r="Y324" s="10">
        <f>IF(W324&gt;$AC$34,1,0)</f>
        <v/>
      </c>
      <c r="Z324">
        <f>IF(Y324=C324,1,0)</f>
        <v/>
      </c>
    </row>
    <row r="325">
      <c r="A325">
        <f>'1 datos preparados'!A318</f>
        <v/>
      </c>
      <c r="B325" s="5">
        <f>'1 datos preparados'!U318</f>
        <v/>
      </c>
      <c r="C325">
        <f>'1 datos preparados'!B318</f>
        <v/>
      </c>
      <c r="D325" s="7">
        <f>'1 datos preparados'!C318</f>
        <v/>
      </c>
      <c r="E325" s="7">
        <f>'1 datos preparados'!D318</f>
        <v/>
      </c>
      <c r="F325" s="7">
        <f>'1 datos preparados'!E318</f>
        <v/>
      </c>
      <c r="G325" s="7">
        <f>'1 datos preparados'!F318</f>
        <v/>
      </c>
      <c r="H325" s="7">
        <f>'1 datos preparados'!G318</f>
        <v/>
      </c>
      <c r="I325" s="7">
        <f>'1 datos preparados'!H318</f>
        <v/>
      </c>
      <c r="J325" s="7">
        <f>'1 datos preparados'!I318</f>
        <v/>
      </c>
      <c r="K325" s="7">
        <f>'1 datos preparados'!J318</f>
        <v/>
      </c>
      <c r="L325" s="7">
        <f>'1 datos preparados'!K318</f>
        <v/>
      </c>
      <c r="M325" s="7">
        <f>'1 datos preparados'!L318</f>
        <v/>
      </c>
      <c r="N325" s="7">
        <f>'1 datos preparados'!M318</f>
        <v/>
      </c>
      <c r="O325" s="7">
        <f>'1 datos preparados'!N318</f>
        <v/>
      </c>
      <c r="P325" s="7">
        <f>'1 datos preparados'!O318</f>
        <v/>
      </c>
      <c r="Q325" s="7">
        <f>'1 datos preparados'!P318</f>
        <v/>
      </c>
      <c r="R325" s="7">
        <f>'1 datos preparados'!Q318</f>
        <v/>
      </c>
      <c r="S325" s="7">
        <f>'1 datos preparados'!R318</f>
        <v/>
      </c>
      <c r="T325" s="7">
        <f>'1 datos preparados'!S318</f>
        <v/>
      </c>
      <c r="U325" s="7">
        <f>'1 datos preparados'!T318</f>
        <v/>
      </c>
      <c r="V325" s="8">
        <f>$AC$12+D325*$AC$13+E325*$AC$14+F325*$AC$15+G325*$AC$16+H325*$AC$17+I325*$AC$18+J325*$AC$19+K325*$AC$20+L325*$AC$21+M325*$AC$22+N325*$AC$23+O325*$AC$24+P325*$AC$25+Q325*$AC$26+R325*$AC$27+S325*$AC$28+T325*$AC$29+U325*$AC$30</f>
        <v/>
      </c>
      <c r="W325" s="8">
        <f>1/(1+EXP(-V325))</f>
        <v/>
      </c>
      <c r="X325" s="9">
        <f>-IF(C325=1,LN(W325),LN(1-W325))</f>
        <v/>
      </c>
      <c r="Y325" s="10">
        <f>IF(W325&gt;$AC$34,1,0)</f>
        <v/>
      </c>
      <c r="Z325">
        <f>IF(Y325=C325,1,0)</f>
        <v/>
      </c>
    </row>
    <row r="326">
      <c r="A326">
        <f>'1 datos preparados'!A319</f>
        <v/>
      </c>
      <c r="B326" s="5">
        <f>'1 datos preparados'!U319</f>
        <v/>
      </c>
      <c r="C326">
        <f>'1 datos preparados'!B319</f>
        <v/>
      </c>
      <c r="D326" s="7">
        <f>'1 datos preparados'!C319</f>
        <v/>
      </c>
      <c r="E326" s="7">
        <f>'1 datos preparados'!D319</f>
        <v/>
      </c>
      <c r="F326" s="7">
        <f>'1 datos preparados'!E319</f>
        <v/>
      </c>
      <c r="G326" s="7">
        <f>'1 datos preparados'!F319</f>
        <v/>
      </c>
      <c r="H326" s="7">
        <f>'1 datos preparados'!G319</f>
        <v/>
      </c>
      <c r="I326" s="7">
        <f>'1 datos preparados'!H319</f>
        <v/>
      </c>
      <c r="J326" s="7">
        <f>'1 datos preparados'!I319</f>
        <v/>
      </c>
      <c r="K326" s="7">
        <f>'1 datos preparados'!J319</f>
        <v/>
      </c>
      <c r="L326" s="7">
        <f>'1 datos preparados'!K319</f>
        <v/>
      </c>
      <c r="M326" s="7">
        <f>'1 datos preparados'!L319</f>
        <v/>
      </c>
      <c r="N326" s="7">
        <f>'1 datos preparados'!M319</f>
        <v/>
      </c>
      <c r="O326" s="7">
        <f>'1 datos preparados'!N319</f>
        <v/>
      </c>
      <c r="P326" s="7">
        <f>'1 datos preparados'!O319</f>
        <v/>
      </c>
      <c r="Q326" s="7">
        <f>'1 datos preparados'!P319</f>
        <v/>
      </c>
      <c r="R326" s="7">
        <f>'1 datos preparados'!Q319</f>
        <v/>
      </c>
      <c r="S326" s="7">
        <f>'1 datos preparados'!R319</f>
        <v/>
      </c>
      <c r="T326" s="7">
        <f>'1 datos preparados'!S319</f>
        <v/>
      </c>
      <c r="U326" s="7">
        <f>'1 datos preparados'!T319</f>
        <v/>
      </c>
      <c r="V326" s="8">
        <f>$AC$12+D326*$AC$13+E326*$AC$14+F326*$AC$15+G326*$AC$16+H326*$AC$17+I326*$AC$18+J326*$AC$19+K326*$AC$20+L326*$AC$21+M326*$AC$22+N326*$AC$23+O326*$AC$24+P326*$AC$25+Q326*$AC$26+R326*$AC$27+S326*$AC$28+T326*$AC$29+U326*$AC$30</f>
        <v/>
      </c>
      <c r="W326" s="8">
        <f>1/(1+EXP(-V326))</f>
        <v/>
      </c>
      <c r="X326" s="9">
        <f>-IF(C326=1,LN(W326),LN(1-W326))</f>
        <v/>
      </c>
      <c r="Y326" s="10">
        <f>IF(W326&gt;$AC$34,1,0)</f>
        <v/>
      </c>
      <c r="Z326">
        <f>IF(Y326=C326,1,0)</f>
        <v/>
      </c>
    </row>
    <row r="327">
      <c r="A327">
        <f>'1 datos preparados'!A320</f>
        <v/>
      </c>
      <c r="B327" s="5">
        <f>'1 datos preparados'!U320</f>
        <v/>
      </c>
      <c r="C327">
        <f>'1 datos preparados'!B320</f>
        <v/>
      </c>
      <c r="D327" s="7">
        <f>'1 datos preparados'!C320</f>
        <v/>
      </c>
      <c r="E327" s="7">
        <f>'1 datos preparados'!D320</f>
        <v/>
      </c>
      <c r="F327" s="7">
        <f>'1 datos preparados'!E320</f>
        <v/>
      </c>
      <c r="G327" s="7">
        <f>'1 datos preparados'!F320</f>
        <v/>
      </c>
      <c r="H327" s="7">
        <f>'1 datos preparados'!G320</f>
        <v/>
      </c>
      <c r="I327" s="7">
        <f>'1 datos preparados'!H320</f>
        <v/>
      </c>
      <c r="J327" s="7">
        <f>'1 datos preparados'!I320</f>
        <v/>
      </c>
      <c r="K327" s="7">
        <f>'1 datos preparados'!J320</f>
        <v/>
      </c>
      <c r="L327" s="7">
        <f>'1 datos preparados'!K320</f>
        <v/>
      </c>
      <c r="M327" s="7">
        <f>'1 datos preparados'!L320</f>
        <v/>
      </c>
      <c r="N327" s="7">
        <f>'1 datos preparados'!M320</f>
        <v/>
      </c>
      <c r="O327" s="7">
        <f>'1 datos preparados'!N320</f>
        <v/>
      </c>
      <c r="P327" s="7">
        <f>'1 datos preparados'!O320</f>
        <v/>
      </c>
      <c r="Q327" s="7">
        <f>'1 datos preparados'!P320</f>
        <v/>
      </c>
      <c r="R327" s="7">
        <f>'1 datos preparados'!Q320</f>
        <v/>
      </c>
      <c r="S327" s="7">
        <f>'1 datos preparados'!R320</f>
        <v/>
      </c>
      <c r="T327" s="7">
        <f>'1 datos preparados'!S320</f>
        <v/>
      </c>
      <c r="U327" s="7">
        <f>'1 datos preparados'!T320</f>
        <v/>
      </c>
      <c r="V327" s="8">
        <f>$AC$12+D327*$AC$13+E327*$AC$14+F327*$AC$15+G327*$AC$16+H327*$AC$17+I327*$AC$18+J327*$AC$19+K327*$AC$20+L327*$AC$21+M327*$AC$22+N327*$AC$23+O327*$AC$24+P327*$AC$25+Q327*$AC$26+R327*$AC$27+S327*$AC$28+T327*$AC$29+U327*$AC$30</f>
        <v/>
      </c>
      <c r="W327" s="8">
        <f>1/(1+EXP(-V327))</f>
        <v/>
      </c>
      <c r="X327" s="9">
        <f>-IF(C327=1,LN(W327),LN(1-W327))</f>
        <v/>
      </c>
      <c r="Y327" s="10">
        <f>IF(W327&gt;$AC$34,1,0)</f>
        <v/>
      </c>
      <c r="Z327">
        <f>IF(Y327=C327,1,0)</f>
        <v/>
      </c>
    </row>
    <row r="328">
      <c r="A328">
        <f>'1 datos preparados'!A321</f>
        <v/>
      </c>
      <c r="B328" s="5">
        <f>'1 datos preparados'!U321</f>
        <v/>
      </c>
      <c r="C328">
        <f>'1 datos preparados'!B321</f>
        <v/>
      </c>
      <c r="D328" s="7">
        <f>'1 datos preparados'!C321</f>
        <v/>
      </c>
      <c r="E328" s="7">
        <f>'1 datos preparados'!D321</f>
        <v/>
      </c>
      <c r="F328" s="7">
        <f>'1 datos preparados'!E321</f>
        <v/>
      </c>
      <c r="G328" s="7">
        <f>'1 datos preparados'!F321</f>
        <v/>
      </c>
      <c r="H328" s="7">
        <f>'1 datos preparados'!G321</f>
        <v/>
      </c>
      <c r="I328" s="7">
        <f>'1 datos preparados'!H321</f>
        <v/>
      </c>
      <c r="J328" s="7">
        <f>'1 datos preparados'!I321</f>
        <v/>
      </c>
      <c r="K328" s="7">
        <f>'1 datos preparados'!J321</f>
        <v/>
      </c>
      <c r="L328" s="7">
        <f>'1 datos preparados'!K321</f>
        <v/>
      </c>
      <c r="M328" s="7">
        <f>'1 datos preparados'!L321</f>
        <v/>
      </c>
      <c r="N328" s="7">
        <f>'1 datos preparados'!M321</f>
        <v/>
      </c>
      <c r="O328" s="7">
        <f>'1 datos preparados'!N321</f>
        <v/>
      </c>
      <c r="P328" s="7">
        <f>'1 datos preparados'!O321</f>
        <v/>
      </c>
      <c r="Q328" s="7">
        <f>'1 datos preparados'!P321</f>
        <v/>
      </c>
      <c r="R328" s="7">
        <f>'1 datos preparados'!Q321</f>
        <v/>
      </c>
      <c r="S328" s="7">
        <f>'1 datos preparados'!R321</f>
        <v/>
      </c>
      <c r="T328" s="7">
        <f>'1 datos preparados'!S321</f>
        <v/>
      </c>
      <c r="U328" s="7">
        <f>'1 datos preparados'!T321</f>
        <v/>
      </c>
      <c r="V328" s="8">
        <f>$AC$12+D328*$AC$13+E328*$AC$14+F328*$AC$15+G328*$AC$16+H328*$AC$17+I328*$AC$18+J328*$AC$19+K328*$AC$20+L328*$AC$21+M328*$AC$22+N328*$AC$23+O328*$AC$24+P328*$AC$25+Q328*$AC$26+R328*$AC$27+S328*$AC$28+T328*$AC$29+U328*$AC$30</f>
        <v/>
      </c>
      <c r="W328" s="8">
        <f>1/(1+EXP(-V328))</f>
        <v/>
      </c>
      <c r="X328" s="9">
        <f>-IF(C328=1,LN(W328),LN(1-W328))</f>
        <v/>
      </c>
      <c r="Y328" s="10">
        <f>IF(W328&gt;$AC$34,1,0)</f>
        <v/>
      </c>
      <c r="Z328">
        <f>IF(Y328=C328,1,0)</f>
        <v/>
      </c>
    </row>
    <row r="329">
      <c r="A329">
        <f>'1 datos preparados'!A322</f>
        <v/>
      </c>
      <c r="B329" s="5">
        <f>'1 datos preparados'!U322</f>
        <v/>
      </c>
      <c r="C329">
        <f>'1 datos preparados'!B322</f>
        <v/>
      </c>
      <c r="D329" s="7">
        <f>'1 datos preparados'!C322</f>
        <v/>
      </c>
      <c r="E329" s="7">
        <f>'1 datos preparados'!D322</f>
        <v/>
      </c>
      <c r="F329" s="7">
        <f>'1 datos preparados'!E322</f>
        <v/>
      </c>
      <c r="G329" s="7">
        <f>'1 datos preparados'!F322</f>
        <v/>
      </c>
      <c r="H329" s="7">
        <f>'1 datos preparados'!G322</f>
        <v/>
      </c>
      <c r="I329" s="7">
        <f>'1 datos preparados'!H322</f>
        <v/>
      </c>
      <c r="J329" s="7">
        <f>'1 datos preparados'!I322</f>
        <v/>
      </c>
      <c r="K329" s="7">
        <f>'1 datos preparados'!J322</f>
        <v/>
      </c>
      <c r="L329" s="7">
        <f>'1 datos preparados'!K322</f>
        <v/>
      </c>
      <c r="M329" s="7">
        <f>'1 datos preparados'!L322</f>
        <v/>
      </c>
      <c r="N329" s="7">
        <f>'1 datos preparados'!M322</f>
        <v/>
      </c>
      <c r="O329" s="7">
        <f>'1 datos preparados'!N322</f>
        <v/>
      </c>
      <c r="P329" s="7">
        <f>'1 datos preparados'!O322</f>
        <v/>
      </c>
      <c r="Q329" s="7">
        <f>'1 datos preparados'!P322</f>
        <v/>
      </c>
      <c r="R329" s="7">
        <f>'1 datos preparados'!Q322</f>
        <v/>
      </c>
      <c r="S329" s="7">
        <f>'1 datos preparados'!R322</f>
        <v/>
      </c>
      <c r="T329" s="7">
        <f>'1 datos preparados'!S322</f>
        <v/>
      </c>
      <c r="U329" s="7">
        <f>'1 datos preparados'!T322</f>
        <v/>
      </c>
      <c r="V329" s="8">
        <f>$AC$12+D329*$AC$13+E329*$AC$14+F329*$AC$15+G329*$AC$16+H329*$AC$17+I329*$AC$18+J329*$AC$19+K329*$AC$20+L329*$AC$21+M329*$AC$22+N329*$AC$23+O329*$AC$24+P329*$AC$25+Q329*$AC$26+R329*$AC$27+S329*$AC$28+T329*$AC$29+U329*$AC$30</f>
        <v/>
      </c>
      <c r="W329" s="8">
        <f>1/(1+EXP(-V329))</f>
        <v/>
      </c>
      <c r="X329" s="9">
        <f>-IF(C329=1,LN(W329),LN(1-W329))</f>
        <v/>
      </c>
      <c r="Y329" s="10">
        <f>IF(W329&gt;$AC$34,1,0)</f>
        <v/>
      </c>
      <c r="Z329">
        <f>IF(Y329=C329,1,0)</f>
        <v/>
      </c>
    </row>
    <row r="330">
      <c r="A330">
        <f>'1 datos preparados'!A323</f>
        <v/>
      </c>
      <c r="B330" s="5">
        <f>'1 datos preparados'!U323</f>
        <v/>
      </c>
      <c r="C330">
        <f>'1 datos preparados'!B323</f>
        <v/>
      </c>
      <c r="D330" s="7">
        <f>'1 datos preparados'!C323</f>
        <v/>
      </c>
      <c r="E330" s="7">
        <f>'1 datos preparados'!D323</f>
        <v/>
      </c>
      <c r="F330" s="7">
        <f>'1 datos preparados'!E323</f>
        <v/>
      </c>
      <c r="G330" s="7">
        <f>'1 datos preparados'!F323</f>
        <v/>
      </c>
      <c r="H330" s="7">
        <f>'1 datos preparados'!G323</f>
        <v/>
      </c>
      <c r="I330" s="7">
        <f>'1 datos preparados'!H323</f>
        <v/>
      </c>
      <c r="J330" s="7">
        <f>'1 datos preparados'!I323</f>
        <v/>
      </c>
      <c r="K330" s="7">
        <f>'1 datos preparados'!J323</f>
        <v/>
      </c>
      <c r="L330" s="7">
        <f>'1 datos preparados'!K323</f>
        <v/>
      </c>
      <c r="M330" s="7">
        <f>'1 datos preparados'!L323</f>
        <v/>
      </c>
      <c r="N330" s="7">
        <f>'1 datos preparados'!M323</f>
        <v/>
      </c>
      <c r="O330" s="7">
        <f>'1 datos preparados'!N323</f>
        <v/>
      </c>
      <c r="P330" s="7">
        <f>'1 datos preparados'!O323</f>
        <v/>
      </c>
      <c r="Q330" s="7">
        <f>'1 datos preparados'!P323</f>
        <v/>
      </c>
      <c r="R330" s="7">
        <f>'1 datos preparados'!Q323</f>
        <v/>
      </c>
      <c r="S330" s="7">
        <f>'1 datos preparados'!R323</f>
        <v/>
      </c>
      <c r="T330" s="7">
        <f>'1 datos preparados'!S323</f>
        <v/>
      </c>
      <c r="U330" s="7">
        <f>'1 datos preparados'!T323</f>
        <v/>
      </c>
      <c r="V330" s="8">
        <f>$AC$12+D330*$AC$13+E330*$AC$14+F330*$AC$15+G330*$AC$16+H330*$AC$17+I330*$AC$18+J330*$AC$19+K330*$AC$20+L330*$AC$21+M330*$AC$22+N330*$AC$23+O330*$AC$24+P330*$AC$25+Q330*$AC$26+R330*$AC$27+S330*$AC$28+T330*$AC$29+U330*$AC$30</f>
        <v/>
      </c>
      <c r="W330" s="8">
        <f>1/(1+EXP(-V330))</f>
        <v/>
      </c>
      <c r="X330" s="9">
        <f>-IF(C330=1,LN(W330),LN(1-W330))</f>
        <v/>
      </c>
      <c r="Y330" s="10">
        <f>IF(W330&gt;$AC$34,1,0)</f>
        <v/>
      </c>
      <c r="Z330">
        <f>IF(Y330=C330,1,0)</f>
        <v/>
      </c>
    </row>
    <row r="331">
      <c r="A331">
        <f>'1 datos preparados'!A324</f>
        <v/>
      </c>
      <c r="B331" s="5">
        <f>'1 datos preparados'!U324</f>
        <v/>
      </c>
      <c r="C331">
        <f>'1 datos preparados'!B324</f>
        <v/>
      </c>
      <c r="D331" s="7">
        <f>'1 datos preparados'!C324</f>
        <v/>
      </c>
      <c r="E331" s="7">
        <f>'1 datos preparados'!D324</f>
        <v/>
      </c>
      <c r="F331" s="7">
        <f>'1 datos preparados'!E324</f>
        <v/>
      </c>
      <c r="G331" s="7">
        <f>'1 datos preparados'!F324</f>
        <v/>
      </c>
      <c r="H331" s="7">
        <f>'1 datos preparados'!G324</f>
        <v/>
      </c>
      <c r="I331" s="7">
        <f>'1 datos preparados'!H324</f>
        <v/>
      </c>
      <c r="J331" s="7">
        <f>'1 datos preparados'!I324</f>
        <v/>
      </c>
      <c r="K331" s="7">
        <f>'1 datos preparados'!J324</f>
        <v/>
      </c>
      <c r="L331" s="7">
        <f>'1 datos preparados'!K324</f>
        <v/>
      </c>
      <c r="M331" s="7">
        <f>'1 datos preparados'!L324</f>
        <v/>
      </c>
      <c r="N331" s="7">
        <f>'1 datos preparados'!M324</f>
        <v/>
      </c>
      <c r="O331" s="7">
        <f>'1 datos preparados'!N324</f>
        <v/>
      </c>
      <c r="P331" s="7">
        <f>'1 datos preparados'!O324</f>
        <v/>
      </c>
      <c r="Q331" s="7">
        <f>'1 datos preparados'!P324</f>
        <v/>
      </c>
      <c r="R331" s="7">
        <f>'1 datos preparados'!Q324</f>
        <v/>
      </c>
      <c r="S331" s="7">
        <f>'1 datos preparados'!R324</f>
        <v/>
      </c>
      <c r="T331" s="7">
        <f>'1 datos preparados'!S324</f>
        <v/>
      </c>
      <c r="U331" s="7">
        <f>'1 datos preparados'!T324</f>
        <v/>
      </c>
      <c r="V331" s="8">
        <f>$AC$12+D331*$AC$13+E331*$AC$14+F331*$AC$15+G331*$AC$16+H331*$AC$17+I331*$AC$18+J331*$AC$19+K331*$AC$20+L331*$AC$21+M331*$AC$22+N331*$AC$23+O331*$AC$24+P331*$AC$25+Q331*$AC$26+R331*$AC$27+S331*$AC$28+T331*$AC$29+U331*$AC$30</f>
        <v/>
      </c>
      <c r="W331" s="8">
        <f>1/(1+EXP(-V331))</f>
        <v/>
      </c>
      <c r="X331" s="9">
        <f>-IF(C331=1,LN(W331),LN(1-W331))</f>
        <v/>
      </c>
      <c r="Y331" s="10">
        <f>IF(W331&gt;$AC$34,1,0)</f>
        <v/>
      </c>
      <c r="Z331">
        <f>IF(Y331=C331,1,0)</f>
        <v/>
      </c>
    </row>
    <row r="332">
      <c r="A332">
        <f>'1 datos preparados'!A325</f>
        <v/>
      </c>
      <c r="B332" s="5">
        <f>'1 datos preparados'!U325</f>
        <v/>
      </c>
      <c r="C332">
        <f>'1 datos preparados'!B325</f>
        <v/>
      </c>
      <c r="D332" s="7">
        <f>'1 datos preparados'!C325</f>
        <v/>
      </c>
      <c r="E332" s="7">
        <f>'1 datos preparados'!D325</f>
        <v/>
      </c>
      <c r="F332" s="7">
        <f>'1 datos preparados'!E325</f>
        <v/>
      </c>
      <c r="G332" s="7">
        <f>'1 datos preparados'!F325</f>
        <v/>
      </c>
      <c r="H332" s="7">
        <f>'1 datos preparados'!G325</f>
        <v/>
      </c>
      <c r="I332" s="7">
        <f>'1 datos preparados'!H325</f>
        <v/>
      </c>
      <c r="J332" s="7">
        <f>'1 datos preparados'!I325</f>
        <v/>
      </c>
      <c r="K332" s="7">
        <f>'1 datos preparados'!J325</f>
        <v/>
      </c>
      <c r="L332" s="7">
        <f>'1 datos preparados'!K325</f>
        <v/>
      </c>
      <c r="M332" s="7">
        <f>'1 datos preparados'!L325</f>
        <v/>
      </c>
      <c r="N332" s="7">
        <f>'1 datos preparados'!M325</f>
        <v/>
      </c>
      <c r="O332" s="7">
        <f>'1 datos preparados'!N325</f>
        <v/>
      </c>
      <c r="P332" s="7">
        <f>'1 datos preparados'!O325</f>
        <v/>
      </c>
      <c r="Q332" s="7">
        <f>'1 datos preparados'!P325</f>
        <v/>
      </c>
      <c r="R332" s="7">
        <f>'1 datos preparados'!Q325</f>
        <v/>
      </c>
      <c r="S332" s="7">
        <f>'1 datos preparados'!R325</f>
        <v/>
      </c>
      <c r="T332" s="7">
        <f>'1 datos preparados'!S325</f>
        <v/>
      </c>
      <c r="U332" s="7">
        <f>'1 datos preparados'!T325</f>
        <v/>
      </c>
      <c r="V332" s="8">
        <f>$AC$12+D332*$AC$13+E332*$AC$14+F332*$AC$15+G332*$AC$16+H332*$AC$17+I332*$AC$18+J332*$AC$19+K332*$AC$20+L332*$AC$21+M332*$AC$22+N332*$AC$23+O332*$AC$24+P332*$AC$25+Q332*$AC$26+R332*$AC$27+S332*$AC$28+T332*$AC$29+U332*$AC$30</f>
        <v/>
      </c>
      <c r="W332" s="8">
        <f>1/(1+EXP(-V332))</f>
        <v/>
      </c>
      <c r="X332" s="9">
        <f>-IF(C332=1,LN(W332),LN(1-W332))</f>
        <v/>
      </c>
      <c r="Y332" s="10">
        <f>IF(W332&gt;$AC$34,1,0)</f>
        <v/>
      </c>
      <c r="Z332">
        <f>IF(Y332=C332,1,0)</f>
        <v/>
      </c>
    </row>
    <row r="333">
      <c r="A333">
        <f>'1 datos preparados'!A326</f>
        <v/>
      </c>
      <c r="B333" s="5">
        <f>'1 datos preparados'!U326</f>
        <v/>
      </c>
      <c r="C333">
        <f>'1 datos preparados'!B326</f>
        <v/>
      </c>
      <c r="D333" s="7">
        <f>'1 datos preparados'!C326</f>
        <v/>
      </c>
      <c r="E333" s="7">
        <f>'1 datos preparados'!D326</f>
        <v/>
      </c>
      <c r="F333" s="7">
        <f>'1 datos preparados'!E326</f>
        <v/>
      </c>
      <c r="G333" s="7">
        <f>'1 datos preparados'!F326</f>
        <v/>
      </c>
      <c r="H333" s="7">
        <f>'1 datos preparados'!G326</f>
        <v/>
      </c>
      <c r="I333" s="7">
        <f>'1 datos preparados'!H326</f>
        <v/>
      </c>
      <c r="J333" s="7">
        <f>'1 datos preparados'!I326</f>
        <v/>
      </c>
      <c r="K333" s="7">
        <f>'1 datos preparados'!J326</f>
        <v/>
      </c>
      <c r="L333" s="7">
        <f>'1 datos preparados'!K326</f>
        <v/>
      </c>
      <c r="M333" s="7">
        <f>'1 datos preparados'!L326</f>
        <v/>
      </c>
      <c r="N333" s="7">
        <f>'1 datos preparados'!M326</f>
        <v/>
      </c>
      <c r="O333" s="7">
        <f>'1 datos preparados'!N326</f>
        <v/>
      </c>
      <c r="P333" s="7">
        <f>'1 datos preparados'!O326</f>
        <v/>
      </c>
      <c r="Q333" s="7">
        <f>'1 datos preparados'!P326</f>
        <v/>
      </c>
      <c r="R333" s="7">
        <f>'1 datos preparados'!Q326</f>
        <v/>
      </c>
      <c r="S333" s="7">
        <f>'1 datos preparados'!R326</f>
        <v/>
      </c>
      <c r="T333" s="7">
        <f>'1 datos preparados'!S326</f>
        <v/>
      </c>
      <c r="U333" s="7">
        <f>'1 datos preparados'!T326</f>
        <v/>
      </c>
      <c r="V333" s="8">
        <f>$AC$12+D333*$AC$13+E333*$AC$14+F333*$AC$15+G333*$AC$16+H333*$AC$17+I333*$AC$18+J333*$AC$19+K333*$AC$20+L333*$AC$21+M333*$AC$22+N333*$AC$23+O333*$AC$24+P333*$AC$25+Q333*$AC$26+R333*$AC$27+S333*$AC$28+T333*$AC$29+U333*$AC$30</f>
        <v/>
      </c>
      <c r="W333" s="8">
        <f>1/(1+EXP(-V333))</f>
        <v/>
      </c>
      <c r="X333" s="9">
        <f>-IF(C333=1,LN(W333),LN(1-W333))</f>
        <v/>
      </c>
      <c r="Y333" s="10">
        <f>IF(W333&gt;$AC$34,1,0)</f>
        <v/>
      </c>
      <c r="Z333">
        <f>IF(Y333=C333,1,0)</f>
        <v/>
      </c>
    </row>
    <row r="334">
      <c r="A334">
        <f>'1 datos preparados'!A327</f>
        <v/>
      </c>
      <c r="B334" s="5">
        <f>'1 datos preparados'!U327</f>
        <v/>
      </c>
      <c r="C334">
        <f>'1 datos preparados'!B327</f>
        <v/>
      </c>
      <c r="D334" s="7">
        <f>'1 datos preparados'!C327</f>
        <v/>
      </c>
      <c r="E334" s="7">
        <f>'1 datos preparados'!D327</f>
        <v/>
      </c>
      <c r="F334" s="7">
        <f>'1 datos preparados'!E327</f>
        <v/>
      </c>
      <c r="G334" s="7">
        <f>'1 datos preparados'!F327</f>
        <v/>
      </c>
      <c r="H334" s="7">
        <f>'1 datos preparados'!G327</f>
        <v/>
      </c>
      <c r="I334" s="7">
        <f>'1 datos preparados'!H327</f>
        <v/>
      </c>
      <c r="J334" s="7">
        <f>'1 datos preparados'!I327</f>
        <v/>
      </c>
      <c r="K334" s="7">
        <f>'1 datos preparados'!J327</f>
        <v/>
      </c>
      <c r="L334" s="7">
        <f>'1 datos preparados'!K327</f>
        <v/>
      </c>
      <c r="M334" s="7">
        <f>'1 datos preparados'!L327</f>
        <v/>
      </c>
      <c r="N334" s="7">
        <f>'1 datos preparados'!M327</f>
        <v/>
      </c>
      <c r="O334" s="7">
        <f>'1 datos preparados'!N327</f>
        <v/>
      </c>
      <c r="P334" s="7">
        <f>'1 datos preparados'!O327</f>
        <v/>
      </c>
      <c r="Q334" s="7">
        <f>'1 datos preparados'!P327</f>
        <v/>
      </c>
      <c r="R334" s="7">
        <f>'1 datos preparados'!Q327</f>
        <v/>
      </c>
      <c r="S334" s="7">
        <f>'1 datos preparados'!R327</f>
        <v/>
      </c>
      <c r="T334" s="7">
        <f>'1 datos preparados'!S327</f>
        <v/>
      </c>
      <c r="U334" s="7">
        <f>'1 datos preparados'!T327</f>
        <v/>
      </c>
      <c r="V334" s="8">
        <f>$AC$12+D334*$AC$13+E334*$AC$14+F334*$AC$15+G334*$AC$16+H334*$AC$17+I334*$AC$18+J334*$AC$19+K334*$AC$20+L334*$AC$21+M334*$AC$22+N334*$AC$23+O334*$AC$24+P334*$AC$25+Q334*$AC$26+R334*$AC$27+S334*$AC$28+T334*$AC$29+U334*$AC$30</f>
        <v/>
      </c>
      <c r="W334" s="8">
        <f>1/(1+EXP(-V334))</f>
        <v/>
      </c>
      <c r="X334" s="9">
        <f>-IF(C334=1,LN(W334),LN(1-W334))</f>
        <v/>
      </c>
      <c r="Y334" s="10">
        <f>IF(W334&gt;$AC$34,1,0)</f>
        <v/>
      </c>
      <c r="Z334">
        <f>IF(Y334=C334,1,0)</f>
        <v/>
      </c>
    </row>
    <row r="335">
      <c r="A335">
        <f>'1 datos preparados'!A328</f>
        <v/>
      </c>
      <c r="B335" s="5">
        <f>'1 datos preparados'!U328</f>
        <v/>
      </c>
      <c r="C335">
        <f>'1 datos preparados'!B328</f>
        <v/>
      </c>
      <c r="D335" s="7">
        <f>'1 datos preparados'!C328</f>
        <v/>
      </c>
      <c r="E335" s="7">
        <f>'1 datos preparados'!D328</f>
        <v/>
      </c>
      <c r="F335" s="7">
        <f>'1 datos preparados'!E328</f>
        <v/>
      </c>
      <c r="G335" s="7">
        <f>'1 datos preparados'!F328</f>
        <v/>
      </c>
      <c r="H335" s="7">
        <f>'1 datos preparados'!G328</f>
        <v/>
      </c>
      <c r="I335" s="7">
        <f>'1 datos preparados'!H328</f>
        <v/>
      </c>
      <c r="J335" s="7">
        <f>'1 datos preparados'!I328</f>
        <v/>
      </c>
      <c r="K335" s="7">
        <f>'1 datos preparados'!J328</f>
        <v/>
      </c>
      <c r="L335" s="7">
        <f>'1 datos preparados'!K328</f>
        <v/>
      </c>
      <c r="M335" s="7">
        <f>'1 datos preparados'!L328</f>
        <v/>
      </c>
      <c r="N335" s="7">
        <f>'1 datos preparados'!M328</f>
        <v/>
      </c>
      <c r="O335" s="7">
        <f>'1 datos preparados'!N328</f>
        <v/>
      </c>
      <c r="P335" s="7">
        <f>'1 datos preparados'!O328</f>
        <v/>
      </c>
      <c r="Q335" s="7">
        <f>'1 datos preparados'!P328</f>
        <v/>
      </c>
      <c r="R335" s="7">
        <f>'1 datos preparados'!Q328</f>
        <v/>
      </c>
      <c r="S335" s="7">
        <f>'1 datos preparados'!R328</f>
        <v/>
      </c>
      <c r="T335" s="7">
        <f>'1 datos preparados'!S328</f>
        <v/>
      </c>
      <c r="U335" s="7">
        <f>'1 datos preparados'!T328</f>
        <v/>
      </c>
      <c r="V335" s="8">
        <f>$AC$12+D335*$AC$13+E335*$AC$14+F335*$AC$15+G335*$AC$16+H335*$AC$17+I335*$AC$18+J335*$AC$19+K335*$AC$20+L335*$AC$21+M335*$AC$22+N335*$AC$23+O335*$AC$24+P335*$AC$25+Q335*$AC$26+R335*$AC$27+S335*$AC$28+T335*$AC$29+U335*$AC$30</f>
        <v/>
      </c>
      <c r="W335" s="8">
        <f>1/(1+EXP(-V335))</f>
        <v/>
      </c>
      <c r="X335" s="9">
        <f>-IF(C335=1,LN(W335),LN(1-W335))</f>
        <v/>
      </c>
      <c r="Y335" s="10">
        <f>IF(W335&gt;$AC$34,1,0)</f>
        <v/>
      </c>
      <c r="Z335">
        <f>IF(Y335=C335,1,0)</f>
        <v/>
      </c>
    </row>
    <row r="336">
      <c r="A336">
        <f>'1 datos preparados'!A329</f>
        <v/>
      </c>
      <c r="B336" s="5">
        <f>'1 datos preparados'!U329</f>
        <v/>
      </c>
      <c r="C336">
        <f>'1 datos preparados'!B329</f>
        <v/>
      </c>
      <c r="D336" s="7">
        <f>'1 datos preparados'!C329</f>
        <v/>
      </c>
      <c r="E336" s="7">
        <f>'1 datos preparados'!D329</f>
        <v/>
      </c>
      <c r="F336" s="7">
        <f>'1 datos preparados'!E329</f>
        <v/>
      </c>
      <c r="G336" s="7">
        <f>'1 datos preparados'!F329</f>
        <v/>
      </c>
      <c r="H336" s="7">
        <f>'1 datos preparados'!G329</f>
        <v/>
      </c>
      <c r="I336" s="7">
        <f>'1 datos preparados'!H329</f>
        <v/>
      </c>
      <c r="J336" s="7">
        <f>'1 datos preparados'!I329</f>
        <v/>
      </c>
      <c r="K336" s="7">
        <f>'1 datos preparados'!J329</f>
        <v/>
      </c>
      <c r="L336" s="7">
        <f>'1 datos preparados'!K329</f>
        <v/>
      </c>
      <c r="M336" s="7">
        <f>'1 datos preparados'!L329</f>
        <v/>
      </c>
      <c r="N336" s="7">
        <f>'1 datos preparados'!M329</f>
        <v/>
      </c>
      <c r="O336" s="7">
        <f>'1 datos preparados'!N329</f>
        <v/>
      </c>
      <c r="P336" s="7">
        <f>'1 datos preparados'!O329</f>
        <v/>
      </c>
      <c r="Q336" s="7">
        <f>'1 datos preparados'!P329</f>
        <v/>
      </c>
      <c r="R336" s="7">
        <f>'1 datos preparados'!Q329</f>
        <v/>
      </c>
      <c r="S336" s="7">
        <f>'1 datos preparados'!R329</f>
        <v/>
      </c>
      <c r="T336" s="7">
        <f>'1 datos preparados'!S329</f>
        <v/>
      </c>
      <c r="U336" s="7">
        <f>'1 datos preparados'!T329</f>
        <v/>
      </c>
      <c r="V336" s="8">
        <f>$AC$12+D336*$AC$13+E336*$AC$14+F336*$AC$15+G336*$AC$16+H336*$AC$17+I336*$AC$18+J336*$AC$19+K336*$AC$20+L336*$AC$21+M336*$AC$22+N336*$AC$23+O336*$AC$24+P336*$AC$25+Q336*$AC$26+R336*$AC$27+S336*$AC$28+T336*$AC$29+U336*$AC$30</f>
        <v/>
      </c>
      <c r="W336" s="8">
        <f>1/(1+EXP(-V336))</f>
        <v/>
      </c>
      <c r="X336" s="9">
        <f>-IF(C336=1,LN(W336),LN(1-W336))</f>
        <v/>
      </c>
      <c r="Y336" s="10">
        <f>IF(W336&gt;$AC$34,1,0)</f>
        <v/>
      </c>
      <c r="Z336">
        <f>IF(Y336=C336,1,0)</f>
        <v/>
      </c>
    </row>
    <row r="337">
      <c r="A337">
        <f>'1 datos preparados'!A330</f>
        <v/>
      </c>
      <c r="B337" s="5">
        <f>'1 datos preparados'!U330</f>
        <v/>
      </c>
      <c r="C337">
        <f>'1 datos preparados'!B330</f>
        <v/>
      </c>
      <c r="D337" s="7">
        <f>'1 datos preparados'!C330</f>
        <v/>
      </c>
      <c r="E337" s="7">
        <f>'1 datos preparados'!D330</f>
        <v/>
      </c>
      <c r="F337" s="7">
        <f>'1 datos preparados'!E330</f>
        <v/>
      </c>
      <c r="G337" s="7">
        <f>'1 datos preparados'!F330</f>
        <v/>
      </c>
      <c r="H337" s="7">
        <f>'1 datos preparados'!G330</f>
        <v/>
      </c>
      <c r="I337" s="7">
        <f>'1 datos preparados'!H330</f>
        <v/>
      </c>
      <c r="J337" s="7">
        <f>'1 datos preparados'!I330</f>
        <v/>
      </c>
      <c r="K337" s="7">
        <f>'1 datos preparados'!J330</f>
        <v/>
      </c>
      <c r="L337" s="7">
        <f>'1 datos preparados'!K330</f>
        <v/>
      </c>
      <c r="M337" s="7">
        <f>'1 datos preparados'!L330</f>
        <v/>
      </c>
      <c r="N337" s="7">
        <f>'1 datos preparados'!M330</f>
        <v/>
      </c>
      <c r="O337" s="7">
        <f>'1 datos preparados'!N330</f>
        <v/>
      </c>
      <c r="P337" s="7">
        <f>'1 datos preparados'!O330</f>
        <v/>
      </c>
      <c r="Q337" s="7">
        <f>'1 datos preparados'!P330</f>
        <v/>
      </c>
      <c r="R337" s="7">
        <f>'1 datos preparados'!Q330</f>
        <v/>
      </c>
      <c r="S337" s="7">
        <f>'1 datos preparados'!R330</f>
        <v/>
      </c>
      <c r="T337" s="7">
        <f>'1 datos preparados'!S330</f>
        <v/>
      </c>
      <c r="U337" s="7">
        <f>'1 datos preparados'!T330</f>
        <v/>
      </c>
      <c r="V337" s="8">
        <f>$AC$12+D337*$AC$13+E337*$AC$14+F337*$AC$15+G337*$AC$16+H337*$AC$17+I337*$AC$18+J337*$AC$19+K337*$AC$20+L337*$AC$21+M337*$AC$22+N337*$AC$23+O337*$AC$24+P337*$AC$25+Q337*$AC$26+R337*$AC$27+S337*$AC$28+T337*$AC$29+U337*$AC$30</f>
        <v/>
      </c>
      <c r="W337" s="8">
        <f>1/(1+EXP(-V337))</f>
        <v/>
      </c>
      <c r="X337" s="9">
        <f>-IF(C337=1,LN(W337),LN(1-W337))</f>
        <v/>
      </c>
      <c r="Y337" s="10">
        <f>IF(W337&gt;$AC$34,1,0)</f>
        <v/>
      </c>
      <c r="Z337">
        <f>IF(Y337=C337,1,0)</f>
        <v/>
      </c>
    </row>
    <row r="338">
      <c r="A338">
        <f>'1 datos preparados'!A331</f>
        <v/>
      </c>
      <c r="B338" s="5">
        <f>'1 datos preparados'!U331</f>
        <v/>
      </c>
      <c r="C338">
        <f>'1 datos preparados'!B331</f>
        <v/>
      </c>
      <c r="D338" s="7">
        <f>'1 datos preparados'!C331</f>
        <v/>
      </c>
      <c r="E338" s="7">
        <f>'1 datos preparados'!D331</f>
        <v/>
      </c>
      <c r="F338" s="7">
        <f>'1 datos preparados'!E331</f>
        <v/>
      </c>
      <c r="G338" s="7">
        <f>'1 datos preparados'!F331</f>
        <v/>
      </c>
      <c r="H338" s="7">
        <f>'1 datos preparados'!G331</f>
        <v/>
      </c>
      <c r="I338" s="7">
        <f>'1 datos preparados'!H331</f>
        <v/>
      </c>
      <c r="J338" s="7">
        <f>'1 datos preparados'!I331</f>
        <v/>
      </c>
      <c r="K338" s="7">
        <f>'1 datos preparados'!J331</f>
        <v/>
      </c>
      <c r="L338" s="7">
        <f>'1 datos preparados'!K331</f>
        <v/>
      </c>
      <c r="M338" s="7">
        <f>'1 datos preparados'!L331</f>
        <v/>
      </c>
      <c r="N338" s="7">
        <f>'1 datos preparados'!M331</f>
        <v/>
      </c>
      <c r="O338" s="7">
        <f>'1 datos preparados'!N331</f>
        <v/>
      </c>
      <c r="P338" s="7">
        <f>'1 datos preparados'!O331</f>
        <v/>
      </c>
      <c r="Q338" s="7">
        <f>'1 datos preparados'!P331</f>
        <v/>
      </c>
      <c r="R338" s="7">
        <f>'1 datos preparados'!Q331</f>
        <v/>
      </c>
      <c r="S338" s="7">
        <f>'1 datos preparados'!R331</f>
        <v/>
      </c>
      <c r="T338" s="7">
        <f>'1 datos preparados'!S331</f>
        <v/>
      </c>
      <c r="U338" s="7">
        <f>'1 datos preparados'!T331</f>
        <v/>
      </c>
      <c r="V338" s="8">
        <f>$AC$12+D338*$AC$13+E338*$AC$14+F338*$AC$15+G338*$AC$16+H338*$AC$17+I338*$AC$18+J338*$AC$19+K338*$AC$20+L338*$AC$21+M338*$AC$22+N338*$AC$23+O338*$AC$24+P338*$AC$25+Q338*$AC$26+R338*$AC$27+S338*$AC$28+T338*$AC$29+U338*$AC$30</f>
        <v/>
      </c>
      <c r="W338" s="8">
        <f>1/(1+EXP(-V338))</f>
        <v/>
      </c>
      <c r="X338" s="9">
        <f>-IF(C338=1,LN(W338),LN(1-W338))</f>
        <v/>
      </c>
      <c r="Y338" s="10">
        <f>IF(W338&gt;$AC$34,1,0)</f>
        <v/>
      </c>
      <c r="Z338">
        <f>IF(Y338=C338,1,0)</f>
        <v/>
      </c>
    </row>
    <row r="339">
      <c r="A339">
        <f>'1 datos preparados'!A332</f>
        <v/>
      </c>
      <c r="B339" s="5">
        <f>'1 datos preparados'!U332</f>
        <v/>
      </c>
      <c r="C339">
        <f>'1 datos preparados'!B332</f>
        <v/>
      </c>
      <c r="D339" s="7">
        <f>'1 datos preparados'!C332</f>
        <v/>
      </c>
      <c r="E339" s="7">
        <f>'1 datos preparados'!D332</f>
        <v/>
      </c>
      <c r="F339" s="7">
        <f>'1 datos preparados'!E332</f>
        <v/>
      </c>
      <c r="G339" s="7">
        <f>'1 datos preparados'!F332</f>
        <v/>
      </c>
      <c r="H339" s="7">
        <f>'1 datos preparados'!G332</f>
        <v/>
      </c>
      <c r="I339" s="7">
        <f>'1 datos preparados'!H332</f>
        <v/>
      </c>
      <c r="J339" s="7">
        <f>'1 datos preparados'!I332</f>
        <v/>
      </c>
      <c r="K339" s="7">
        <f>'1 datos preparados'!J332</f>
        <v/>
      </c>
      <c r="L339" s="7">
        <f>'1 datos preparados'!K332</f>
        <v/>
      </c>
      <c r="M339" s="7">
        <f>'1 datos preparados'!L332</f>
        <v/>
      </c>
      <c r="N339" s="7">
        <f>'1 datos preparados'!M332</f>
        <v/>
      </c>
      <c r="O339" s="7">
        <f>'1 datos preparados'!N332</f>
        <v/>
      </c>
      <c r="P339" s="7">
        <f>'1 datos preparados'!O332</f>
        <v/>
      </c>
      <c r="Q339" s="7">
        <f>'1 datos preparados'!P332</f>
        <v/>
      </c>
      <c r="R339" s="7">
        <f>'1 datos preparados'!Q332</f>
        <v/>
      </c>
      <c r="S339" s="7">
        <f>'1 datos preparados'!R332</f>
        <v/>
      </c>
      <c r="T339" s="7">
        <f>'1 datos preparados'!S332</f>
        <v/>
      </c>
      <c r="U339" s="7">
        <f>'1 datos preparados'!T332</f>
        <v/>
      </c>
      <c r="V339" s="8">
        <f>$AC$12+D339*$AC$13+E339*$AC$14+F339*$AC$15+G339*$AC$16+H339*$AC$17+I339*$AC$18+J339*$AC$19+K339*$AC$20+L339*$AC$21+M339*$AC$22+N339*$AC$23+O339*$AC$24+P339*$AC$25+Q339*$AC$26+R339*$AC$27+S339*$AC$28+T339*$AC$29+U339*$AC$30</f>
        <v/>
      </c>
      <c r="W339" s="8">
        <f>1/(1+EXP(-V339))</f>
        <v/>
      </c>
      <c r="X339" s="9">
        <f>-IF(C339=1,LN(W339),LN(1-W339))</f>
        <v/>
      </c>
      <c r="Y339" s="10">
        <f>IF(W339&gt;$AC$34,1,0)</f>
        <v/>
      </c>
      <c r="Z339">
        <f>IF(Y339=C339,1,0)</f>
        <v/>
      </c>
    </row>
    <row r="340">
      <c r="A340">
        <f>'1 datos preparados'!A333</f>
        <v/>
      </c>
      <c r="B340" s="5">
        <f>'1 datos preparados'!U333</f>
        <v/>
      </c>
      <c r="C340">
        <f>'1 datos preparados'!B333</f>
        <v/>
      </c>
      <c r="D340" s="7">
        <f>'1 datos preparados'!C333</f>
        <v/>
      </c>
      <c r="E340" s="7">
        <f>'1 datos preparados'!D333</f>
        <v/>
      </c>
      <c r="F340" s="7">
        <f>'1 datos preparados'!E333</f>
        <v/>
      </c>
      <c r="G340" s="7">
        <f>'1 datos preparados'!F333</f>
        <v/>
      </c>
      <c r="H340" s="7">
        <f>'1 datos preparados'!G333</f>
        <v/>
      </c>
      <c r="I340" s="7">
        <f>'1 datos preparados'!H333</f>
        <v/>
      </c>
      <c r="J340" s="7">
        <f>'1 datos preparados'!I333</f>
        <v/>
      </c>
      <c r="K340" s="7">
        <f>'1 datos preparados'!J333</f>
        <v/>
      </c>
      <c r="L340" s="7">
        <f>'1 datos preparados'!K333</f>
        <v/>
      </c>
      <c r="M340" s="7">
        <f>'1 datos preparados'!L333</f>
        <v/>
      </c>
      <c r="N340" s="7">
        <f>'1 datos preparados'!M333</f>
        <v/>
      </c>
      <c r="O340" s="7">
        <f>'1 datos preparados'!N333</f>
        <v/>
      </c>
      <c r="P340" s="7">
        <f>'1 datos preparados'!O333</f>
        <v/>
      </c>
      <c r="Q340" s="7">
        <f>'1 datos preparados'!P333</f>
        <v/>
      </c>
      <c r="R340" s="7">
        <f>'1 datos preparados'!Q333</f>
        <v/>
      </c>
      <c r="S340" s="7">
        <f>'1 datos preparados'!R333</f>
        <v/>
      </c>
      <c r="T340" s="7">
        <f>'1 datos preparados'!S333</f>
        <v/>
      </c>
      <c r="U340" s="7">
        <f>'1 datos preparados'!T333</f>
        <v/>
      </c>
      <c r="V340" s="8">
        <f>$AC$12+D340*$AC$13+E340*$AC$14+F340*$AC$15+G340*$AC$16+H340*$AC$17+I340*$AC$18+J340*$AC$19+K340*$AC$20+L340*$AC$21+M340*$AC$22+N340*$AC$23+O340*$AC$24+P340*$AC$25+Q340*$AC$26+R340*$AC$27+S340*$AC$28+T340*$AC$29+U340*$AC$30</f>
        <v/>
      </c>
      <c r="W340" s="8">
        <f>1/(1+EXP(-V340))</f>
        <v/>
      </c>
      <c r="X340" s="9">
        <f>-IF(C340=1,LN(W340),LN(1-W340))</f>
        <v/>
      </c>
      <c r="Y340" s="10">
        <f>IF(W340&gt;$AC$34,1,0)</f>
        <v/>
      </c>
      <c r="Z340">
        <f>IF(Y340=C340,1,0)</f>
        <v/>
      </c>
    </row>
    <row r="341">
      <c r="A341">
        <f>'1 datos preparados'!A334</f>
        <v/>
      </c>
      <c r="B341" s="5">
        <f>'1 datos preparados'!U334</f>
        <v/>
      </c>
      <c r="C341">
        <f>'1 datos preparados'!B334</f>
        <v/>
      </c>
      <c r="D341" s="7">
        <f>'1 datos preparados'!C334</f>
        <v/>
      </c>
      <c r="E341" s="7">
        <f>'1 datos preparados'!D334</f>
        <v/>
      </c>
      <c r="F341" s="7">
        <f>'1 datos preparados'!E334</f>
        <v/>
      </c>
      <c r="G341" s="7">
        <f>'1 datos preparados'!F334</f>
        <v/>
      </c>
      <c r="H341" s="7">
        <f>'1 datos preparados'!G334</f>
        <v/>
      </c>
      <c r="I341" s="7">
        <f>'1 datos preparados'!H334</f>
        <v/>
      </c>
      <c r="J341" s="7">
        <f>'1 datos preparados'!I334</f>
        <v/>
      </c>
      <c r="K341" s="7">
        <f>'1 datos preparados'!J334</f>
        <v/>
      </c>
      <c r="L341" s="7">
        <f>'1 datos preparados'!K334</f>
        <v/>
      </c>
      <c r="M341" s="7">
        <f>'1 datos preparados'!L334</f>
        <v/>
      </c>
      <c r="N341" s="7">
        <f>'1 datos preparados'!M334</f>
        <v/>
      </c>
      <c r="O341" s="7">
        <f>'1 datos preparados'!N334</f>
        <v/>
      </c>
      <c r="P341" s="7">
        <f>'1 datos preparados'!O334</f>
        <v/>
      </c>
      <c r="Q341" s="7">
        <f>'1 datos preparados'!P334</f>
        <v/>
      </c>
      <c r="R341" s="7">
        <f>'1 datos preparados'!Q334</f>
        <v/>
      </c>
      <c r="S341" s="7">
        <f>'1 datos preparados'!R334</f>
        <v/>
      </c>
      <c r="T341" s="7">
        <f>'1 datos preparados'!S334</f>
        <v/>
      </c>
      <c r="U341" s="7">
        <f>'1 datos preparados'!T334</f>
        <v/>
      </c>
      <c r="V341" s="8">
        <f>$AC$12+D341*$AC$13+E341*$AC$14+F341*$AC$15+G341*$AC$16+H341*$AC$17+I341*$AC$18+J341*$AC$19+K341*$AC$20+L341*$AC$21+M341*$AC$22+N341*$AC$23+O341*$AC$24+P341*$AC$25+Q341*$AC$26+R341*$AC$27+S341*$AC$28+T341*$AC$29+U341*$AC$30</f>
        <v/>
      </c>
      <c r="W341" s="8">
        <f>1/(1+EXP(-V341))</f>
        <v/>
      </c>
      <c r="X341" s="9">
        <f>-IF(C341=1,LN(W341),LN(1-W341))</f>
        <v/>
      </c>
      <c r="Y341" s="10">
        <f>IF(W341&gt;$AC$34,1,0)</f>
        <v/>
      </c>
      <c r="Z341">
        <f>IF(Y341=C341,1,0)</f>
        <v/>
      </c>
    </row>
    <row r="342">
      <c r="A342">
        <f>'1 datos preparados'!A335</f>
        <v/>
      </c>
      <c r="B342" s="5">
        <f>'1 datos preparados'!U335</f>
        <v/>
      </c>
      <c r="C342">
        <f>'1 datos preparados'!B335</f>
        <v/>
      </c>
      <c r="D342" s="7">
        <f>'1 datos preparados'!C335</f>
        <v/>
      </c>
      <c r="E342" s="7">
        <f>'1 datos preparados'!D335</f>
        <v/>
      </c>
      <c r="F342" s="7">
        <f>'1 datos preparados'!E335</f>
        <v/>
      </c>
      <c r="G342" s="7">
        <f>'1 datos preparados'!F335</f>
        <v/>
      </c>
      <c r="H342" s="7">
        <f>'1 datos preparados'!G335</f>
        <v/>
      </c>
      <c r="I342" s="7">
        <f>'1 datos preparados'!H335</f>
        <v/>
      </c>
      <c r="J342" s="7">
        <f>'1 datos preparados'!I335</f>
        <v/>
      </c>
      <c r="K342" s="7">
        <f>'1 datos preparados'!J335</f>
        <v/>
      </c>
      <c r="L342" s="7">
        <f>'1 datos preparados'!K335</f>
        <v/>
      </c>
      <c r="M342" s="7">
        <f>'1 datos preparados'!L335</f>
        <v/>
      </c>
      <c r="N342" s="7">
        <f>'1 datos preparados'!M335</f>
        <v/>
      </c>
      <c r="O342" s="7">
        <f>'1 datos preparados'!N335</f>
        <v/>
      </c>
      <c r="P342" s="7">
        <f>'1 datos preparados'!O335</f>
        <v/>
      </c>
      <c r="Q342" s="7">
        <f>'1 datos preparados'!P335</f>
        <v/>
      </c>
      <c r="R342" s="7">
        <f>'1 datos preparados'!Q335</f>
        <v/>
      </c>
      <c r="S342" s="7">
        <f>'1 datos preparados'!R335</f>
        <v/>
      </c>
      <c r="T342" s="7">
        <f>'1 datos preparados'!S335</f>
        <v/>
      </c>
      <c r="U342" s="7">
        <f>'1 datos preparados'!T335</f>
        <v/>
      </c>
      <c r="V342" s="8">
        <f>$AC$12+D342*$AC$13+E342*$AC$14+F342*$AC$15+G342*$AC$16+H342*$AC$17+I342*$AC$18+J342*$AC$19+K342*$AC$20+L342*$AC$21+M342*$AC$22+N342*$AC$23+O342*$AC$24+P342*$AC$25+Q342*$AC$26+R342*$AC$27+S342*$AC$28+T342*$AC$29+U342*$AC$30</f>
        <v/>
      </c>
      <c r="W342" s="8">
        <f>1/(1+EXP(-V342))</f>
        <v/>
      </c>
      <c r="X342" s="9">
        <f>-IF(C342=1,LN(W342),LN(1-W342))</f>
        <v/>
      </c>
      <c r="Y342" s="10">
        <f>IF(W342&gt;$AC$34,1,0)</f>
        <v/>
      </c>
      <c r="Z342">
        <f>IF(Y342=C342,1,0)</f>
        <v/>
      </c>
    </row>
    <row r="343">
      <c r="A343">
        <f>'1 datos preparados'!A336</f>
        <v/>
      </c>
      <c r="B343" s="5">
        <f>'1 datos preparados'!U336</f>
        <v/>
      </c>
      <c r="C343">
        <f>'1 datos preparados'!B336</f>
        <v/>
      </c>
      <c r="D343" s="7">
        <f>'1 datos preparados'!C336</f>
        <v/>
      </c>
      <c r="E343" s="7">
        <f>'1 datos preparados'!D336</f>
        <v/>
      </c>
      <c r="F343" s="7">
        <f>'1 datos preparados'!E336</f>
        <v/>
      </c>
      <c r="G343" s="7">
        <f>'1 datos preparados'!F336</f>
        <v/>
      </c>
      <c r="H343" s="7">
        <f>'1 datos preparados'!G336</f>
        <v/>
      </c>
      <c r="I343" s="7">
        <f>'1 datos preparados'!H336</f>
        <v/>
      </c>
      <c r="J343" s="7">
        <f>'1 datos preparados'!I336</f>
        <v/>
      </c>
      <c r="K343" s="7">
        <f>'1 datos preparados'!J336</f>
        <v/>
      </c>
      <c r="L343" s="7">
        <f>'1 datos preparados'!K336</f>
        <v/>
      </c>
      <c r="M343" s="7">
        <f>'1 datos preparados'!L336</f>
        <v/>
      </c>
      <c r="N343" s="7">
        <f>'1 datos preparados'!M336</f>
        <v/>
      </c>
      <c r="O343" s="7">
        <f>'1 datos preparados'!N336</f>
        <v/>
      </c>
      <c r="P343" s="7">
        <f>'1 datos preparados'!O336</f>
        <v/>
      </c>
      <c r="Q343" s="7">
        <f>'1 datos preparados'!P336</f>
        <v/>
      </c>
      <c r="R343" s="7">
        <f>'1 datos preparados'!Q336</f>
        <v/>
      </c>
      <c r="S343" s="7">
        <f>'1 datos preparados'!R336</f>
        <v/>
      </c>
      <c r="T343" s="7">
        <f>'1 datos preparados'!S336</f>
        <v/>
      </c>
      <c r="U343" s="7">
        <f>'1 datos preparados'!T336</f>
        <v/>
      </c>
      <c r="V343" s="8">
        <f>$AC$12+D343*$AC$13+E343*$AC$14+F343*$AC$15+G343*$AC$16+H343*$AC$17+I343*$AC$18+J343*$AC$19+K343*$AC$20+L343*$AC$21+M343*$AC$22+N343*$AC$23+O343*$AC$24+P343*$AC$25+Q343*$AC$26+R343*$AC$27+S343*$AC$28+T343*$AC$29+U343*$AC$30</f>
        <v/>
      </c>
      <c r="W343" s="8">
        <f>1/(1+EXP(-V343))</f>
        <v/>
      </c>
      <c r="X343" s="9">
        <f>-IF(C343=1,LN(W343),LN(1-W343))</f>
        <v/>
      </c>
      <c r="Y343" s="10">
        <f>IF(W343&gt;$AC$34,1,0)</f>
        <v/>
      </c>
      <c r="Z343">
        <f>IF(Y343=C343,1,0)</f>
        <v/>
      </c>
    </row>
    <row r="344">
      <c r="A344">
        <f>'1 datos preparados'!A337</f>
        <v/>
      </c>
      <c r="B344" s="5">
        <f>'1 datos preparados'!U337</f>
        <v/>
      </c>
      <c r="C344">
        <f>'1 datos preparados'!B337</f>
        <v/>
      </c>
      <c r="D344" s="7">
        <f>'1 datos preparados'!C337</f>
        <v/>
      </c>
      <c r="E344" s="7">
        <f>'1 datos preparados'!D337</f>
        <v/>
      </c>
      <c r="F344" s="7">
        <f>'1 datos preparados'!E337</f>
        <v/>
      </c>
      <c r="G344" s="7">
        <f>'1 datos preparados'!F337</f>
        <v/>
      </c>
      <c r="H344" s="7">
        <f>'1 datos preparados'!G337</f>
        <v/>
      </c>
      <c r="I344" s="7">
        <f>'1 datos preparados'!H337</f>
        <v/>
      </c>
      <c r="J344" s="7">
        <f>'1 datos preparados'!I337</f>
        <v/>
      </c>
      <c r="K344" s="7">
        <f>'1 datos preparados'!J337</f>
        <v/>
      </c>
      <c r="L344" s="7">
        <f>'1 datos preparados'!K337</f>
        <v/>
      </c>
      <c r="M344" s="7">
        <f>'1 datos preparados'!L337</f>
        <v/>
      </c>
      <c r="N344" s="7">
        <f>'1 datos preparados'!M337</f>
        <v/>
      </c>
      <c r="O344" s="7">
        <f>'1 datos preparados'!N337</f>
        <v/>
      </c>
      <c r="P344" s="7">
        <f>'1 datos preparados'!O337</f>
        <v/>
      </c>
      <c r="Q344" s="7">
        <f>'1 datos preparados'!P337</f>
        <v/>
      </c>
      <c r="R344" s="7">
        <f>'1 datos preparados'!Q337</f>
        <v/>
      </c>
      <c r="S344" s="7">
        <f>'1 datos preparados'!R337</f>
        <v/>
      </c>
      <c r="T344" s="7">
        <f>'1 datos preparados'!S337</f>
        <v/>
      </c>
      <c r="U344" s="7">
        <f>'1 datos preparados'!T337</f>
        <v/>
      </c>
      <c r="V344" s="8">
        <f>$AC$12+D344*$AC$13+E344*$AC$14+F344*$AC$15+G344*$AC$16+H344*$AC$17+I344*$AC$18+J344*$AC$19+K344*$AC$20+L344*$AC$21+M344*$AC$22+N344*$AC$23+O344*$AC$24+P344*$AC$25+Q344*$AC$26+R344*$AC$27+S344*$AC$28+T344*$AC$29+U344*$AC$30</f>
        <v/>
      </c>
      <c r="W344" s="8">
        <f>1/(1+EXP(-V344))</f>
        <v/>
      </c>
      <c r="X344" s="9">
        <f>-IF(C344=1,LN(W344),LN(1-W344))</f>
        <v/>
      </c>
      <c r="Y344" s="10">
        <f>IF(W344&gt;$AC$34,1,0)</f>
        <v/>
      </c>
      <c r="Z344">
        <f>IF(Y344=C344,1,0)</f>
        <v/>
      </c>
    </row>
    <row r="345">
      <c r="A345">
        <f>'1 datos preparados'!A338</f>
        <v/>
      </c>
      <c r="B345" s="5">
        <f>'1 datos preparados'!U338</f>
        <v/>
      </c>
      <c r="C345">
        <f>'1 datos preparados'!B338</f>
        <v/>
      </c>
      <c r="D345" s="7">
        <f>'1 datos preparados'!C338</f>
        <v/>
      </c>
      <c r="E345" s="7">
        <f>'1 datos preparados'!D338</f>
        <v/>
      </c>
      <c r="F345" s="7">
        <f>'1 datos preparados'!E338</f>
        <v/>
      </c>
      <c r="G345" s="7">
        <f>'1 datos preparados'!F338</f>
        <v/>
      </c>
      <c r="H345" s="7">
        <f>'1 datos preparados'!G338</f>
        <v/>
      </c>
      <c r="I345" s="7">
        <f>'1 datos preparados'!H338</f>
        <v/>
      </c>
      <c r="J345" s="7">
        <f>'1 datos preparados'!I338</f>
        <v/>
      </c>
      <c r="K345" s="7">
        <f>'1 datos preparados'!J338</f>
        <v/>
      </c>
      <c r="L345" s="7">
        <f>'1 datos preparados'!K338</f>
        <v/>
      </c>
      <c r="M345" s="7">
        <f>'1 datos preparados'!L338</f>
        <v/>
      </c>
      <c r="N345" s="7">
        <f>'1 datos preparados'!M338</f>
        <v/>
      </c>
      <c r="O345" s="7">
        <f>'1 datos preparados'!N338</f>
        <v/>
      </c>
      <c r="P345" s="7">
        <f>'1 datos preparados'!O338</f>
        <v/>
      </c>
      <c r="Q345" s="7">
        <f>'1 datos preparados'!P338</f>
        <v/>
      </c>
      <c r="R345" s="7">
        <f>'1 datos preparados'!Q338</f>
        <v/>
      </c>
      <c r="S345" s="7">
        <f>'1 datos preparados'!R338</f>
        <v/>
      </c>
      <c r="T345" s="7">
        <f>'1 datos preparados'!S338</f>
        <v/>
      </c>
      <c r="U345" s="7">
        <f>'1 datos preparados'!T338</f>
        <v/>
      </c>
      <c r="V345" s="8">
        <f>$AC$12+D345*$AC$13+E345*$AC$14+F345*$AC$15+G345*$AC$16+H345*$AC$17+I345*$AC$18+J345*$AC$19+K345*$AC$20+L345*$AC$21+M345*$AC$22+N345*$AC$23+O345*$AC$24+P345*$AC$25+Q345*$AC$26+R345*$AC$27+S345*$AC$28+T345*$AC$29+U345*$AC$30</f>
        <v/>
      </c>
      <c r="W345" s="8">
        <f>1/(1+EXP(-V345))</f>
        <v/>
      </c>
      <c r="X345" s="9">
        <f>-IF(C345=1,LN(W345),LN(1-W345))</f>
        <v/>
      </c>
      <c r="Y345" s="10">
        <f>IF(W345&gt;$AC$34,1,0)</f>
        <v/>
      </c>
      <c r="Z345">
        <f>IF(Y345=C345,1,0)</f>
        <v/>
      </c>
    </row>
    <row r="346">
      <c r="A346">
        <f>'1 datos preparados'!A339</f>
        <v/>
      </c>
      <c r="B346" s="5">
        <f>'1 datos preparados'!U339</f>
        <v/>
      </c>
      <c r="C346">
        <f>'1 datos preparados'!B339</f>
        <v/>
      </c>
      <c r="D346" s="7">
        <f>'1 datos preparados'!C339</f>
        <v/>
      </c>
      <c r="E346" s="7">
        <f>'1 datos preparados'!D339</f>
        <v/>
      </c>
      <c r="F346" s="7">
        <f>'1 datos preparados'!E339</f>
        <v/>
      </c>
      <c r="G346" s="7">
        <f>'1 datos preparados'!F339</f>
        <v/>
      </c>
      <c r="H346" s="7">
        <f>'1 datos preparados'!G339</f>
        <v/>
      </c>
      <c r="I346" s="7">
        <f>'1 datos preparados'!H339</f>
        <v/>
      </c>
      <c r="J346" s="7">
        <f>'1 datos preparados'!I339</f>
        <v/>
      </c>
      <c r="K346" s="7">
        <f>'1 datos preparados'!J339</f>
        <v/>
      </c>
      <c r="L346" s="7">
        <f>'1 datos preparados'!K339</f>
        <v/>
      </c>
      <c r="M346" s="7">
        <f>'1 datos preparados'!L339</f>
        <v/>
      </c>
      <c r="N346" s="7">
        <f>'1 datos preparados'!M339</f>
        <v/>
      </c>
      <c r="O346" s="7">
        <f>'1 datos preparados'!N339</f>
        <v/>
      </c>
      <c r="P346" s="7">
        <f>'1 datos preparados'!O339</f>
        <v/>
      </c>
      <c r="Q346" s="7">
        <f>'1 datos preparados'!P339</f>
        <v/>
      </c>
      <c r="R346" s="7">
        <f>'1 datos preparados'!Q339</f>
        <v/>
      </c>
      <c r="S346" s="7">
        <f>'1 datos preparados'!R339</f>
        <v/>
      </c>
      <c r="T346" s="7">
        <f>'1 datos preparados'!S339</f>
        <v/>
      </c>
      <c r="U346" s="7">
        <f>'1 datos preparados'!T339</f>
        <v/>
      </c>
      <c r="V346" s="8">
        <f>$AC$12+D346*$AC$13+E346*$AC$14+F346*$AC$15+G346*$AC$16+H346*$AC$17+I346*$AC$18+J346*$AC$19+K346*$AC$20+L346*$AC$21+M346*$AC$22+N346*$AC$23+O346*$AC$24+P346*$AC$25+Q346*$AC$26+R346*$AC$27+S346*$AC$28+T346*$AC$29+U346*$AC$30</f>
        <v/>
      </c>
      <c r="W346" s="8">
        <f>1/(1+EXP(-V346))</f>
        <v/>
      </c>
      <c r="X346" s="9">
        <f>-IF(C346=1,LN(W346),LN(1-W346))</f>
        <v/>
      </c>
      <c r="Y346" s="10">
        <f>IF(W346&gt;$AC$34,1,0)</f>
        <v/>
      </c>
      <c r="Z346">
        <f>IF(Y346=C346,1,0)</f>
        <v/>
      </c>
    </row>
    <row r="347">
      <c r="A347">
        <f>'1 datos preparados'!A340</f>
        <v/>
      </c>
      <c r="B347" s="5">
        <f>'1 datos preparados'!U340</f>
        <v/>
      </c>
      <c r="C347">
        <f>'1 datos preparados'!B340</f>
        <v/>
      </c>
      <c r="D347" s="7">
        <f>'1 datos preparados'!C340</f>
        <v/>
      </c>
      <c r="E347" s="7">
        <f>'1 datos preparados'!D340</f>
        <v/>
      </c>
      <c r="F347" s="7">
        <f>'1 datos preparados'!E340</f>
        <v/>
      </c>
      <c r="G347" s="7">
        <f>'1 datos preparados'!F340</f>
        <v/>
      </c>
      <c r="H347" s="7">
        <f>'1 datos preparados'!G340</f>
        <v/>
      </c>
      <c r="I347" s="7">
        <f>'1 datos preparados'!H340</f>
        <v/>
      </c>
      <c r="J347" s="7">
        <f>'1 datos preparados'!I340</f>
        <v/>
      </c>
      <c r="K347" s="7">
        <f>'1 datos preparados'!J340</f>
        <v/>
      </c>
      <c r="L347" s="7">
        <f>'1 datos preparados'!K340</f>
        <v/>
      </c>
      <c r="M347" s="7">
        <f>'1 datos preparados'!L340</f>
        <v/>
      </c>
      <c r="N347" s="7">
        <f>'1 datos preparados'!M340</f>
        <v/>
      </c>
      <c r="O347" s="7">
        <f>'1 datos preparados'!N340</f>
        <v/>
      </c>
      <c r="P347" s="7">
        <f>'1 datos preparados'!O340</f>
        <v/>
      </c>
      <c r="Q347" s="7">
        <f>'1 datos preparados'!P340</f>
        <v/>
      </c>
      <c r="R347" s="7">
        <f>'1 datos preparados'!Q340</f>
        <v/>
      </c>
      <c r="S347" s="7">
        <f>'1 datos preparados'!R340</f>
        <v/>
      </c>
      <c r="T347" s="7">
        <f>'1 datos preparados'!S340</f>
        <v/>
      </c>
      <c r="U347" s="7">
        <f>'1 datos preparados'!T340</f>
        <v/>
      </c>
      <c r="V347" s="8">
        <f>$AC$12+D347*$AC$13+E347*$AC$14+F347*$AC$15+G347*$AC$16+H347*$AC$17+I347*$AC$18+J347*$AC$19+K347*$AC$20+L347*$AC$21+M347*$AC$22+N347*$AC$23+O347*$AC$24+P347*$AC$25+Q347*$AC$26+R347*$AC$27+S347*$AC$28+T347*$AC$29+U347*$AC$30</f>
        <v/>
      </c>
      <c r="W347" s="8">
        <f>1/(1+EXP(-V347))</f>
        <v/>
      </c>
      <c r="X347" s="9">
        <f>-IF(C347=1,LN(W347),LN(1-W347))</f>
        <v/>
      </c>
      <c r="Y347" s="10">
        <f>IF(W347&gt;$AC$34,1,0)</f>
        <v/>
      </c>
      <c r="Z347">
        <f>IF(Y347=C347,1,0)</f>
        <v/>
      </c>
    </row>
    <row r="348">
      <c r="A348">
        <f>'1 datos preparados'!A341</f>
        <v/>
      </c>
      <c r="B348" s="5">
        <f>'1 datos preparados'!U341</f>
        <v/>
      </c>
      <c r="C348">
        <f>'1 datos preparados'!B341</f>
        <v/>
      </c>
      <c r="D348" s="7">
        <f>'1 datos preparados'!C341</f>
        <v/>
      </c>
      <c r="E348" s="7">
        <f>'1 datos preparados'!D341</f>
        <v/>
      </c>
      <c r="F348" s="7">
        <f>'1 datos preparados'!E341</f>
        <v/>
      </c>
      <c r="G348" s="7">
        <f>'1 datos preparados'!F341</f>
        <v/>
      </c>
      <c r="H348" s="7">
        <f>'1 datos preparados'!G341</f>
        <v/>
      </c>
      <c r="I348" s="7">
        <f>'1 datos preparados'!H341</f>
        <v/>
      </c>
      <c r="J348" s="7">
        <f>'1 datos preparados'!I341</f>
        <v/>
      </c>
      <c r="K348" s="7">
        <f>'1 datos preparados'!J341</f>
        <v/>
      </c>
      <c r="L348" s="7">
        <f>'1 datos preparados'!K341</f>
        <v/>
      </c>
      <c r="M348" s="7">
        <f>'1 datos preparados'!L341</f>
        <v/>
      </c>
      <c r="N348" s="7">
        <f>'1 datos preparados'!M341</f>
        <v/>
      </c>
      <c r="O348" s="7">
        <f>'1 datos preparados'!N341</f>
        <v/>
      </c>
      <c r="P348" s="7">
        <f>'1 datos preparados'!O341</f>
        <v/>
      </c>
      <c r="Q348" s="7">
        <f>'1 datos preparados'!P341</f>
        <v/>
      </c>
      <c r="R348" s="7">
        <f>'1 datos preparados'!Q341</f>
        <v/>
      </c>
      <c r="S348" s="7">
        <f>'1 datos preparados'!R341</f>
        <v/>
      </c>
      <c r="T348" s="7">
        <f>'1 datos preparados'!S341</f>
        <v/>
      </c>
      <c r="U348" s="7">
        <f>'1 datos preparados'!T341</f>
        <v/>
      </c>
      <c r="V348" s="8">
        <f>$AC$12+D348*$AC$13+E348*$AC$14+F348*$AC$15+G348*$AC$16+H348*$AC$17+I348*$AC$18+J348*$AC$19+K348*$AC$20+L348*$AC$21+M348*$AC$22+N348*$AC$23+O348*$AC$24+P348*$AC$25+Q348*$AC$26+R348*$AC$27+S348*$AC$28+T348*$AC$29+U348*$AC$30</f>
        <v/>
      </c>
      <c r="W348" s="8">
        <f>1/(1+EXP(-V348))</f>
        <v/>
      </c>
      <c r="X348" s="9">
        <f>-IF(C348=1,LN(W348),LN(1-W348))</f>
        <v/>
      </c>
      <c r="Y348" s="10">
        <f>IF(W348&gt;$AC$34,1,0)</f>
        <v/>
      </c>
      <c r="Z348">
        <f>IF(Y348=C348,1,0)</f>
        <v/>
      </c>
    </row>
    <row r="349">
      <c r="A349">
        <f>'1 datos preparados'!A342</f>
        <v/>
      </c>
      <c r="B349" s="5">
        <f>'1 datos preparados'!U342</f>
        <v/>
      </c>
      <c r="C349">
        <f>'1 datos preparados'!B342</f>
        <v/>
      </c>
      <c r="D349" s="7">
        <f>'1 datos preparados'!C342</f>
        <v/>
      </c>
      <c r="E349" s="7">
        <f>'1 datos preparados'!D342</f>
        <v/>
      </c>
      <c r="F349" s="7">
        <f>'1 datos preparados'!E342</f>
        <v/>
      </c>
      <c r="G349" s="7">
        <f>'1 datos preparados'!F342</f>
        <v/>
      </c>
      <c r="H349" s="7">
        <f>'1 datos preparados'!G342</f>
        <v/>
      </c>
      <c r="I349" s="7">
        <f>'1 datos preparados'!H342</f>
        <v/>
      </c>
      <c r="J349" s="7">
        <f>'1 datos preparados'!I342</f>
        <v/>
      </c>
      <c r="K349" s="7">
        <f>'1 datos preparados'!J342</f>
        <v/>
      </c>
      <c r="L349" s="7">
        <f>'1 datos preparados'!K342</f>
        <v/>
      </c>
      <c r="M349" s="7">
        <f>'1 datos preparados'!L342</f>
        <v/>
      </c>
      <c r="N349" s="7">
        <f>'1 datos preparados'!M342</f>
        <v/>
      </c>
      <c r="O349" s="7">
        <f>'1 datos preparados'!N342</f>
        <v/>
      </c>
      <c r="P349" s="7">
        <f>'1 datos preparados'!O342</f>
        <v/>
      </c>
      <c r="Q349" s="7">
        <f>'1 datos preparados'!P342</f>
        <v/>
      </c>
      <c r="R349" s="7">
        <f>'1 datos preparados'!Q342</f>
        <v/>
      </c>
      <c r="S349" s="7">
        <f>'1 datos preparados'!R342</f>
        <v/>
      </c>
      <c r="T349" s="7">
        <f>'1 datos preparados'!S342</f>
        <v/>
      </c>
      <c r="U349" s="7">
        <f>'1 datos preparados'!T342</f>
        <v/>
      </c>
      <c r="V349" s="8">
        <f>$AC$12+D349*$AC$13+E349*$AC$14+F349*$AC$15+G349*$AC$16+H349*$AC$17+I349*$AC$18+J349*$AC$19+K349*$AC$20+L349*$AC$21+M349*$AC$22+N349*$AC$23+O349*$AC$24+P349*$AC$25+Q349*$AC$26+R349*$AC$27+S349*$AC$28+T349*$AC$29+U349*$AC$30</f>
        <v/>
      </c>
      <c r="W349" s="8">
        <f>1/(1+EXP(-V349))</f>
        <v/>
      </c>
      <c r="X349" s="9">
        <f>-IF(C349=1,LN(W349),LN(1-W349))</f>
        <v/>
      </c>
      <c r="Y349" s="10">
        <f>IF(W349&gt;$AC$34,1,0)</f>
        <v/>
      </c>
      <c r="Z349">
        <f>IF(Y349=C349,1,0)</f>
        <v/>
      </c>
    </row>
    <row r="350">
      <c r="A350">
        <f>'1 datos preparados'!A343</f>
        <v/>
      </c>
      <c r="B350" s="5">
        <f>'1 datos preparados'!U343</f>
        <v/>
      </c>
      <c r="C350">
        <f>'1 datos preparados'!B343</f>
        <v/>
      </c>
      <c r="D350" s="7">
        <f>'1 datos preparados'!C343</f>
        <v/>
      </c>
      <c r="E350" s="7">
        <f>'1 datos preparados'!D343</f>
        <v/>
      </c>
      <c r="F350" s="7">
        <f>'1 datos preparados'!E343</f>
        <v/>
      </c>
      <c r="G350" s="7">
        <f>'1 datos preparados'!F343</f>
        <v/>
      </c>
      <c r="H350" s="7">
        <f>'1 datos preparados'!G343</f>
        <v/>
      </c>
      <c r="I350" s="7">
        <f>'1 datos preparados'!H343</f>
        <v/>
      </c>
      <c r="J350" s="7">
        <f>'1 datos preparados'!I343</f>
        <v/>
      </c>
      <c r="K350" s="7">
        <f>'1 datos preparados'!J343</f>
        <v/>
      </c>
      <c r="L350" s="7">
        <f>'1 datos preparados'!K343</f>
        <v/>
      </c>
      <c r="M350" s="7">
        <f>'1 datos preparados'!L343</f>
        <v/>
      </c>
      <c r="N350" s="7">
        <f>'1 datos preparados'!M343</f>
        <v/>
      </c>
      <c r="O350" s="7">
        <f>'1 datos preparados'!N343</f>
        <v/>
      </c>
      <c r="P350" s="7">
        <f>'1 datos preparados'!O343</f>
        <v/>
      </c>
      <c r="Q350" s="7">
        <f>'1 datos preparados'!P343</f>
        <v/>
      </c>
      <c r="R350" s="7">
        <f>'1 datos preparados'!Q343</f>
        <v/>
      </c>
      <c r="S350" s="7">
        <f>'1 datos preparados'!R343</f>
        <v/>
      </c>
      <c r="T350" s="7">
        <f>'1 datos preparados'!S343</f>
        <v/>
      </c>
      <c r="U350" s="7">
        <f>'1 datos preparados'!T343</f>
        <v/>
      </c>
      <c r="V350" s="8">
        <f>$AC$12+D350*$AC$13+E350*$AC$14+F350*$AC$15+G350*$AC$16+H350*$AC$17+I350*$AC$18+J350*$AC$19+K350*$AC$20+L350*$AC$21+M350*$AC$22+N350*$AC$23+O350*$AC$24+P350*$AC$25+Q350*$AC$26+R350*$AC$27+S350*$AC$28+T350*$AC$29+U350*$AC$30</f>
        <v/>
      </c>
      <c r="W350" s="8">
        <f>1/(1+EXP(-V350))</f>
        <v/>
      </c>
      <c r="X350" s="9">
        <f>-IF(C350=1,LN(W350),LN(1-W350))</f>
        <v/>
      </c>
      <c r="Y350" s="10">
        <f>IF(W350&gt;$AC$34,1,0)</f>
        <v/>
      </c>
      <c r="Z350">
        <f>IF(Y350=C350,1,0)</f>
        <v/>
      </c>
    </row>
    <row r="351">
      <c r="A351">
        <f>'1 datos preparados'!A344</f>
        <v/>
      </c>
      <c r="B351" s="5">
        <f>'1 datos preparados'!U344</f>
        <v/>
      </c>
      <c r="C351">
        <f>'1 datos preparados'!B344</f>
        <v/>
      </c>
      <c r="D351" s="7">
        <f>'1 datos preparados'!C344</f>
        <v/>
      </c>
      <c r="E351" s="7">
        <f>'1 datos preparados'!D344</f>
        <v/>
      </c>
      <c r="F351" s="7">
        <f>'1 datos preparados'!E344</f>
        <v/>
      </c>
      <c r="G351" s="7">
        <f>'1 datos preparados'!F344</f>
        <v/>
      </c>
      <c r="H351" s="7">
        <f>'1 datos preparados'!G344</f>
        <v/>
      </c>
      <c r="I351" s="7">
        <f>'1 datos preparados'!H344</f>
        <v/>
      </c>
      <c r="J351" s="7">
        <f>'1 datos preparados'!I344</f>
        <v/>
      </c>
      <c r="K351" s="7">
        <f>'1 datos preparados'!J344</f>
        <v/>
      </c>
      <c r="L351" s="7">
        <f>'1 datos preparados'!K344</f>
        <v/>
      </c>
      <c r="M351" s="7">
        <f>'1 datos preparados'!L344</f>
        <v/>
      </c>
      <c r="N351" s="7">
        <f>'1 datos preparados'!M344</f>
        <v/>
      </c>
      <c r="O351" s="7">
        <f>'1 datos preparados'!N344</f>
        <v/>
      </c>
      <c r="P351" s="7">
        <f>'1 datos preparados'!O344</f>
        <v/>
      </c>
      <c r="Q351" s="7">
        <f>'1 datos preparados'!P344</f>
        <v/>
      </c>
      <c r="R351" s="7">
        <f>'1 datos preparados'!Q344</f>
        <v/>
      </c>
      <c r="S351" s="7">
        <f>'1 datos preparados'!R344</f>
        <v/>
      </c>
      <c r="T351" s="7">
        <f>'1 datos preparados'!S344</f>
        <v/>
      </c>
      <c r="U351" s="7">
        <f>'1 datos preparados'!T344</f>
        <v/>
      </c>
      <c r="V351" s="8">
        <f>$AC$12+D351*$AC$13+E351*$AC$14+F351*$AC$15+G351*$AC$16+H351*$AC$17+I351*$AC$18+J351*$AC$19+K351*$AC$20+L351*$AC$21+M351*$AC$22+N351*$AC$23+O351*$AC$24+P351*$AC$25+Q351*$AC$26+R351*$AC$27+S351*$AC$28+T351*$AC$29+U351*$AC$30</f>
        <v/>
      </c>
      <c r="W351" s="8">
        <f>1/(1+EXP(-V351))</f>
        <v/>
      </c>
      <c r="X351" s="9">
        <f>-IF(C351=1,LN(W351),LN(1-W351))</f>
        <v/>
      </c>
      <c r="Y351" s="10">
        <f>IF(W351&gt;$AC$34,1,0)</f>
        <v/>
      </c>
      <c r="Z351">
        <f>IF(Y351=C351,1,0)</f>
        <v/>
      </c>
    </row>
    <row r="352">
      <c r="A352">
        <f>'1 datos preparados'!A345</f>
        <v/>
      </c>
      <c r="B352" s="5">
        <f>'1 datos preparados'!U345</f>
        <v/>
      </c>
      <c r="C352">
        <f>'1 datos preparados'!B345</f>
        <v/>
      </c>
      <c r="D352" s="7">
        <f>'1 datos preparados'!C345</f>
        <v/>
      </c>
      <c r="E352" s="7">
        <f>'1 datos preparados'!D345</f>
        <v/>
      </c>
      <c r="F352" s="7">
        <f>'1 datos preparados'!E345</f>
        <v/>
      </c>
      <c r="G352" s="7">
        <f>'1 datos preparados'!F345</f>
        <v/>
      </c>
      <c r="H352" s="7">
        <f>'1 datos preparados'!G345</f>
        <v/>
      </c>
      <c r="I352" s="7">
        <f>'1 datos preparados'!H345</f>
        <v/>
      </c>
      <c r="J352" s="7">
        <f>'1 datos preparados'!I345</f>
        <v/>
      </c>
      <c r="K352" s="7">
        <f>'1 datos preparados'!J345</f>
        <v/>
      </c>
      <c r="L352" s="7">
        <f>'1 datos preparados'!K345</f>
        <v/>
      </c>
      <c r="M352" s="7">
        <f>'1 datos preparados'!L345</f>
        <v/>
      </c>
      <c r="N352" s="7">
        <f>'1 datos preparados'!M345</f>
        <v/>
      </c>
      <c r="O352" s="7">
        <f>'1 datos preparados'!N345</f>
        <v/>
      </c>
      <c r="P352" s="7">
        <f>'1 datos preparados'!O345</f>
        <v/>
      </c>
      <c r="Q352" s="7">
        <f>'1 datos preparados'!P345</f>
        <v/>
      </c>
      <c r="R352" s="7">
        <f>'1 datos preparados'!Q345</f>
        <v/>
      </c>
      <c r="S352" s="7">
        <f>'1 datos preparados'!R345</f>
        <v/>
      </c>
      <c r="T352" s="7">
        <f>'1 datos preparados'!S345</f>
        <v/>
      </c>
      <c r="U352" s="7">
        <f>'1 datos preparados'!T345</f>
        <v/>
      </c>
      <c r="V352" s="8">
        <f>$AC$12+D352*$AC$13+E352*$AC$14+F352*$AC$15+G352*$AC$16+H352*$AC$17+I352*$AC$18+J352*$AC$19+K352*$AC$20+L352*$AC$21+M352*$AC$22+N352*$AC$23+O352*$AC$24+P352*$AC$25+Q352*$AC$26+R352*$AC$27+S352*$AC$28+T352*$AC$29+U352*$AC$30</f>
        <v/>
      </c>
      <c r="W352" s="8">
        <f>1/(1+EXP(-V352))</f>
        <v/>
      </c>
      <c r="X352" s="9">
        <f>-IF(C352=1,LN(W352),LN(1-W352))</f>
        <v/>
      </c>
      <c r="Y352" s="10">
        <f>IF(W352&gt;$AC$34,1,0)</f>
        <v/>
      </c>
      <c r="Z352">
        <f>IF(Y352=C352,1,0)</f>
        <v/>
      </c>
    </row>
    <row r="353">
      <c r="A353">
        <f>'1 datos preparados'!A346</f>
        <v/>
      </c>
      <c r="B353" s="5">
        <f>'1 datos preparados'!U346</f>
        <v/>
      </c>
      <c r="C353">
        <f>'1 datos preparados'!B346</f>
        <v/>
      </c>
      <c r="D353" s="7">
        <f>'1 datos preparados'!C346</f>
        <v/>
      </c>
      <c r="E353" s="7">
        <f>'1 datos preparados'!D346</f>
        <v/>
      </c>
      <c r="F353" s="7">
        <f>'1 datos preparados'!E346</f>
        <v/>
      </c>
      <c r="G353" s="7">
        <f>'1 datos preparados'!F346</f>
        <v/>
      </c>
      <c r="H353" s="7">
        <f>'1 datos preparados'!G346</f>
        <v/>
      </c>
      <c r="I353" s="7">
        <f>'1 datos preparados'!H346</f>
        <v/>
      </c>
      <c r="J353" s="7">
        <f>'1 datos preparados'!I346</f>
        <v/>
      </c>
      <c r="K353" s="7">
        <f>'1 datos preparados'!J346</f>
        <v/>
      </c>
      <c r="L353" s="7">
        <f>'1 datos preparados'!K346</f>
        <v/>
      </c>
      <c r="M353" s="7">
        <f>'1 datos preparados'!L346</f>
        <v/>
      </c>
      <c r="N353" s="7">
        <f>'1 datos preparados'!M346</f>
        <v/>
      </c>
      <c r="O353" s="7">
        <f>'1 datos preparados'!N346</f>
        <v/>
      </c>
      <c r="P353" s="7">
        <f>'1 datos preparados'!O346</f>
        <v/>
      </c>
      <c r="Q353" s="7">
        <f>'1 datos preparados'!P346</f>
        <v/>
      </c>
      <c r="R353" s="7">
        <f>'1 datos preparados'!Q346</f>
        <v/>
      </c>
      <c r="S353" s="7">
        <f>'1 datos preparados'!R346</f>
        <v/>
      </c>
      <c r="T353" s="7">
        <f>'1 datos preparados'!S346</f>
        <v/>
      </c>
      <c r="U353" s="7">
        <f>'1 datos preparados'!T346</f>
        <v/>
      </c>
      <c r="V353" s="8">
        <f>$AC$12+D353*$AC$13+E353*$AC$14+F353*$AC$15+G353*$AC$16+H353*$AC$17+I353*$AC$18+J353*$AC$19+K353*$AC$20+L353*$AC$21+M353*$AC$22+N353*$AC$23+O353*$AC$24+P353*$AC$25+Q353*$AC$26+R353*$AC$27+S353*$AC$28+T353*$AC$29+U353*$AC$30</f>
        <v/>
      </c>
      <c r="W353" s="8">
        <f>1/(1+EXP(-V353))</f>
        <v/>
      </c>
      <c r="X353" s="9">
        <f>-IF(C353=1,LN(W353),LN(1-W353))</f>
        <v/>
      </c>
      <c r="Y353" s="10">
        <f>IF(W353&gt;$AC$34,1,0)</f>
        <v/>
      </c>
      <c r="Z353">
        <f>IF(Y353=C353,1,0)</f>
        <v/>
      </c>
    </row>
    <row r="354">
      <c r="A354">
        <f>'1 datos preparados'!A347</f>
        <v/>
      </c>
      <c r="B354" s="5">
        <f>'1 datos preparados'!U347</f>
        <v/>
      </c>
      <c r="C354">
        <f>'1 datos preparados'!B347</f>
        <v/>
      </c>
      <c r="D354" s="7">
        <f>'1 datos preparados'!C347</f>
        <v/>
      </c>
      <c r="E354" s="7">
        <f>'1 datos preparados'!D347</f>
        <v/>
      </c>
      <c r="F354" s="7">
        <f>'1 datos preparados'!E347</f>
        <v/>
      </c>
      <c r="G354" s="7">
        <f>'1 datos preparados'!F347</f>
        <v/>
      </c>
      <c r="H354" s="7">
        <f>'1 datos preparados'!G347</f>
        <v/>
      </c>
      <c r="I354" s="7">
        <f>'1 datos preparados'!H347</f>
        <v/>
      </c>
      <c r="J354" s="7">
        <f>'1 datos preparados'!I347</f>
        <v/>
      </c>
      <c r="K354" s="7">
        <f>'1 datos preparados'!J347</f>
        <v/>
      </c>
      <c r="L354" s="7">
        <f>'1 datos preparados'!K347</f>
        <v/>
      </c>
      <c r="M354" s="7">
        <f>'1 datos preparados'!L347</f>
        <v/>
      </c>
      <c r="N354" s="7">
        <f>'1 datos preparados'!M347</f>
        <v/>
      </c>
      <c r="O354" s="7">
        <f>'1 datos preparados'!N347</f>
        <v/>
      </c>
      <c r="P354" s="7">
        <f>'1 datos preparados'!O347</f>
        <v/>
      </c>
      <c r="Q354" s="7">
        <f>'1 datos preparados'!P347</f>
        <v/>
      </c>
      <c r="R354" s="7">
        <f>'1 datos preparados'!Q347</f>
        <v/>
      </c>
      <c r="S354" s="7">
        <f>'1 datos preparados'!R347</f>
        <v/>
      </c>
      <c r="T354" s="7">
        <f>'1 datos preparados'!S347</f>
        <v/>
      </c>
      <c r="U354" s="7">
        <f>'1 datos preparados'!T347</f>
        <v/>
      </c>
      <c r="V354" s="8">
        <f>$AC$12+D354*$AC$13+E354*$AC$14+F354*$AC$15+G354*$AC$16+H354*$AC$17+I354*$AC$18+J354*$AC$19+K354*$AC$20+L354*$AC$21+M354*$AC$22+N354*$AC$23+O354*$AC$24+P354*$AC$25+Q354*$AC$26+R354*$AC$27+S354*$AC$28+T354*$AC$29+U354*$AC$30</f>
        <v/>
      </c>
      <c r="W354" s="8">
        <f>1/(1+EXP(-V354))</f>
        <v/>
      </c>
      <c r="X354" s="9">
        <f>-IF(C354=1,LN(W354),LN(1-W354))</f>
        <v/>
      </c>
      <c r="Y354" s="10">
        <f>IF(W354&gt;$AC$34,1,0)</f>
        <v/>
      </c>
      <c r="Z354">
        <f>IF(Y354=C354,1,0)</f>
        <v/>
      </c>
    </row>
    <row r="355">
      <c r="A355">
        <f>'1 datos preparados'!A348</f>
        <v/>
      </c>
      <c r="B355" s="5">
        <f>'1 datos preparados'!U348</f>
        <v/>
      </c>
      <c r="C355">
        <f>'1 datos preparados'!B348</f>
        <v/>
      </c>
      <c r="D355" s="7">
        <f>'1 datos preparados'!C348</f>
        <v/>
      </c>
      <c r="E355" s="7">
        <f>'1 datos preparados'!D348</f>
        <v/>
      </c>
      <c r="F355" s="7">
        <f>'1 datos preparados'!E348</f>
        <v/>
      </c>
      <c r="G355" s="7">
        <f>'1 datos preparados'!F348</f>
        <v/>
      </c>
      <c r="H355" s="7">
        <f>'1 datos preparados'!G348</f>
        <v/>
      </c>
      <c r="I355" s="7">
        <f>'1 datos preparados'!H348</f>
        <v/>
      </c>
      <c r="J355" s="7">
        <f>'1 datos preparados'!I348</f>
        <v/>
      </c>
      <c r="K355" s="7">
        <f>'1 datos preparados'!J348</f>
        <v/>
      </c>
      <c r="L355" s="7">
        <f>'1 datos preparados'!K348</f>
        <v/>
      </c>
      <c r="M355" s="7">
        <f>'1 datos preparados'!L348</f>
        <v/>
      </c>
      <c r="N355" s="7">
        <f>'1 datos preparados'!M348</f>
        <v/>
      </c>
      <c r="O355" s="7">
        <f>'1 datos preparados'!N348</f>
        <v/>
      </c>
      <c r="P355" s="7">
        <f>'1 datos preparados'!O348</f>
        <v/>
      </c>
      <c r="Q355" s="7">
        <f>'1 datos preparados'!P348</f>
        <v/>
      </c>
      <c r="R355" s="7">
        <f>'1 datos preparados'!Q348</f>
        <v/>
      </c>
      <c r="S355" s="7">
        <f>'1 datos preparados'!R348</f>
        <v/>
      </c>
      <c r="T355" s="7">
        <f>'1 datos preparados'!S348</f>
        <v/>
      </c>
      <c r="U355" s="7">
        <f>'1 datos preparados'!T348</f>
        <v/>
      </c>
      <c r="V355" s="8">
        <f>$AC$12+D355*$AC$13+E355*$AC$14+F355*$AC$15+G355*$AC$16+H355*$AC$17+I355*$AC$18+J355*$AC$19+K355*$AC$20+L355*$AC$21+M355*$AC$22+N355*$AC$23+O355*$AC$24+P355*$AC$25+Q355*$AC$26+R355*$AC$27+S355*$AC$28+T355*$AC$29+U355*$AC$30</f>
        <v/>
      </c>
      <c r="W355" s="8">
        <f>1/(1+EXP(-V355))</f>
        <v/>
      </c>
      <c r="X355" s="9">
        <f>-IF(C355=1,LN(W355),LN(1-W355))</f>
        <v/>
      </c>
      <c r="Y355" s="10">
        <f>IF(W355&gt;$AC$34,1,0)</f>
        <v/>
      </c>
      <c r="Z355">
        <f>IF(Y355=C355,1,0)</f>
        <v/>
      </c>
    </row>
    <row r="356">
      <c r="A356">
        <f>'1 datos preparados'!A349</f>
        <v/>
      </c>
      <c r="B356" s="5">
        <f>'1 datos preparados'!U349</f>
        <v/>
      </c>
      <c r="C356">
        <f>'1 datos preparados'!B349</f>
        <v/>
      </c>
      <c r="D356" s="7">
        <f>'1 datos preparados'!C349</f>
        <v/>
      </c>
      <c r="E356" s="7">
        <f>'1 datos preparados'!D349</f>
        <v/>
      </c>
      <c r="F356" s="7">
        <f>'1 datos preparados'!E349</f>
        <v/>
      </c>
      <c r="G356" s="7">
        <f>'1 datos preparados'!F349</f>
        <v/>
      </c>
      <c r="H356" s="7">
        <f>'1 datos preparados'!G349</f>
        <v/>
      </c>
      <c r="I356" s="7">
        <f>'1 datos preparados'!H349</f>
        <v/>
      </c>
      <c r="J356" s="7">
        <f>'1 datos preparados'!I349</f>
        <v/>
      </c>
      <c r="K356" s="7">
        <f>'1 datos preparados'!J349</f>
        <v/>
      </c>
      <c r="L356" s="7">
        <f>'1 datos preparados'!K349</f>
        <v/>
      </c>
      <c r="M356" s="7">
        <f>'1 datos preparados'!L349</f>
        <v/>
      </c>
      <c r="N356" s="7">
        <f>'1 datos preparados'!M349</f>
        <v/>
      </c>
      <c r="O356" s="7">
        <f>'1 datos preparados'!N349</f>
        <v/>
      </c>
      <c r="P356" s="7">
        <f>'1 datos preparados'!O349</f>
        <v/>
      </c>
      <c r="Q356" s="7">
        <f>'1 datos preparados'!P349</f>
        <v/>
      </c>
      <c r="R356" s="7">
        <f>'1 datos preparados'!Q349</f>
        <v/>
      </c>
      <c r="S356" s="7">
        <f>'1 datos preparados'!R349</f>
        <v/>
      </c>
      <c r="T356" s="7">
        <f>'1 datos preparados'!S349</f>
        <v/>
      </c>
      <c r="U356" s="7">
        <f>'1 datos preparados'!T349</f>
        <v/>
      </c>
      <c r="V356" s="8">
        <f>$AC$12+D356*$AC$13+E356*$AC$14+F356*$AC$15+G356*$AC$16+H356*$AC$17+I356*$AC$18+J356*$AC$19+K356*$AC$20+L356*$AC$21+M356*$AC$22+N356*$AC$23+O356*$AC$24+P356*$AC$25+Q356*$AC$26+R356*$AC$27+S356*$AC$28+T356*$AC$29+U356*$AC$30</f>
        <v/>
      </c>
      <c r="W356" s="8">
        <f>1/(1+EXP(-V356))</f>
        <v/>
      </c>
      <c r="X356" s="9">
        <f>-IF(C356=1,LN(W356),LN(1-W356))</f>
        <v/>
      </c>
      <c r="Y356" s="10">
        <f>IF(W356&gt;$AC$34,1,0)</f>
        <v/>
      </c>
      <c r="Z356">
        <f>IF(Y356=C356,1,0)</f>
        <v/>
      </c>
    </row>
    <row r="357">
      <c r="A357">
        <f>'1 datos preparados'!A350</f>
        <v/>
      </c>
      <c r="B357" s="5">
        <f>'1 datos preparados'!U350</f>
        <v/>
      </c>
      <c r="C357">
        <f>'1 datos preparados'!B350</f>
        <v/>
      </c>
      <c r="D357" s="7">
        <f>'1 datos preparados'!C350</f>
        <v/>
      </c>
      <c r="E357" s="7">
        <f>'1 datos preparados'!D350</f>
        <v/>
      </c>
      <c r="F357" s="7">
        <f>'1 datos preparados'!E350</f>
        <v/>
      </c>
      <c r="G357" s="7">
        <f>'1 datos preparados'!F350</f>
        <v/>
      </c>
      <c r="H357" s="7">
        <f>'1 datos preparados'!G350</f>
        <v/>
      </c>
      <c r="I357" s="7">
        <f>'1 datos preparados'!H350</f>
        <v/>
      </c>
      <c r="J357" s="7">
        <f>'1 datos preparados'!I350</f>
        <v/>
      </c>
      <c r="K357" s="7">
        <f>'1 datos preparados'!J350</f>
        <v/>
      </c>
      <c r="L357" s="7">
        <f>'1 datos preparados'!K350</f>
        <v/>
      </c>
      <c r="M357" s="7">
        <f>'1 datos preparados'!L350</f>
        <v/>
      </c>
      <c r="N357" s="7">
        <f>'1 datos preparados'!M350</f>
        <v/>
      </c>
      <c r="O357" s="7">
        <f>'1 datos preparados'!N350</f>
        <v/>
      </c>
      <c r="P357" s="7">
        <f>'1 datos preparados'!O350</f>
        <v/>
      </c>
      <c r="Q357" s="7">
        <f>'1 datos preparados'!P350</f>
        <v/>
      </c>
      <c r="R357" s="7">
        <f>'1 datos preparados'!Q350</f>
        <v/>
      </c>
      <c r="S357" s="7">
        <f>'1 datos preparados'!R350</f>
        <v/>
      </c>
      <c r="T357" s="7">
        <f>'1 datos preparados'!S350</f>
        <v/>
      </c>
      <c r="U357" s="7">
        <f>'1 datos preparados'!T350</f>
        <v/>
      </c>
      <c r="V357" s="8">
        <f>$AC$12+D357*$AC$13+E357*$AC$14+F357*$AC$15+G357*$AC$16+H357*$AC$17+I357*$AC$18+J357*$AC$19+K357*$AC$20+L357*$AC$21+M357*$AC$22+N357*$AC$23+O357*$AC$24+P357*$AC$25+Q357*$AC$26+R357*$AC$27+S357*$AC$28+T357*$AC$29+U357*$AC$30</f>
        <v/>
      </c>
      <c r="W357" s="8">
        <f>1/(1+EXP(-V357))</f>
        <v/>
      </c>
      <c r="X357" s="9">
        <f>-IF(C357=1,LN(W357),LN(1-W357))</f>
        <v/>
      </c>
      <c r="Y357" s="10">
        <f>IF(W357&gt;$AC$34,1,0)</f>
        <v/>
      </c>
      <c r="Z357">
        <f>IF(Y357=C357,1,0)</f>
        <v/>
      </c>
    </row>
    <row r="358">
      <c r="A358">
        <f>'1 datos preparados'!A351</f>
        <v/>
      </c>
      <c r="B358" s="5">
        <f>'1 datos preparados'!U351</f>
        <v/>
      </c>
      <c r="C358">
        <f>'1 datos preparados'!B351</f>
        <v/>
      </c>
      <c r="D358" s="7">
        <f>'1 datos preparados'!C351</f>
        <v/>
      </c>
      <c r="E358" s="7">
        <f>'1 datos preparados'!D351</f>
        <v/>
      </c>
      <c r="F358" s="7">
        <f>'1 datos preparados'!E351</f>
        <v/>
      </c>
      <c r="G358" s="7">
        <f>'1 datos preparados'!F351</f>
        <v/>
      </c>
      <c r="H358" s="7">
        <f>'1 datos preparados'!G351</f>
        <v/>
      </c>
      <c r="I358" s="7">
        <f>'1 datos preparados'!H351</f>
        <v/>
      </c>
      <c r="J358" s="7">
        <f>'1 datos preparados'!I351</f>
        <v/>
      </c>
      <c r="K358" s="7">
        <f>'1 datos preparados'!J351</f>
        <v/>
      </c>
      <c r="L358" s="7">
        <f>'1 datos preparados'!K351</f>
        <v/>
      </c>
      <c r="M358" s="7">
        <f>'1 datos preparados'!L351</f>
        <v/>
      </c>
      <c r="N358" s="7">
        <f>'1 datos preparados'!M351</f>
        <v/>
      </c>
      <c r="O358" s="7">
        <f>'1 datos preparados'!N351</f>
        <v/>
      </c>
      <c r="P358" s="7">
        <f>'1 datos preparados'!O351</f>
        <v/>
      </c>
      <c r="Q358" s="7">
        <f>'1 datos preparados'!P351</f>
        <v/>
      </c>
      <c r="R358" s="7">
        <f>'1 datos preparados'!Q351</f>
        <v/>
      </c>
      <c r="S358" s="7">
        <f>'1 datos preparados'!R351</f>
        <v/>
      </c>
      <c r="T358" s="7">
        <f>'1 datos preparados'!S351</f>
        <v/>
      </c>
      <c r="U358" s="7">
        <f>'1 datos preparados'!T351</f>
        <v/>
      </c>
      <c r="V358" s="8">
        <f>$AC$12+D358*$AC$13+E358*$AC$14+F358*$AC$15+G358*$AC$16+H358*$AC$17+I358*$AC$18+J358*$AC$19+K358*$AC$20+L358*$AC$21+M358*$AC$22+N358*$AC$23+O358*$AC$24+P358*$AC$25+Q358*$AC$26+R358*$AC$27+S358*$AC$28+T358*$AC$29+U358*$AC$30</f>
        <v/>
      </c>
      <c r="W358" s="8">
        <f>1/(1+EXP(-V358))</f>
        <v/>
      </c>
      <c r="X358" s="9">
        <f>-IF(C358=1,LN(W358),LN(1-W358))</f>
        <v/>
      </c>
      <c r="Y358" s="10">
        <f>IF(W358&gt;$AC$34,1,0)</f>
        <v/>
      </c>
      <c r="Z358">
        <f>IF(Y358=C358,1,0)</f>
        <v/>
      </c>
    </row>
    <row r="359">
      <c r="A359">
        <f>'1 datos preparados'!A352</f>
        <v/>
      </c>
      <c r="B359" s="5">
        <f>'1 datos preparados'!U352</f>
        <v/>
      </c>
      <c r="C359">
        <f>'1 datos preparados'!B352</f>
        <v/>
      </c>
      <c r="D359" s="7">
        <f>'1 datos preparados'!C352</f>
        <v/>
      </c>
      <c r="E359" s="7">
        <f>'1 datos preparados'!D352</f>
        <v/>
      </c>
      <c r="F359" s="7">
        <f>'1 datos preparados'!E352</f>
        <v/>
      </c>
      <c r="G359" s="7">
        <f>'1 datos preparados'!F352</f>
        <v/>
      </c>
      <c r="H359" s="7">
        <f>'1 datos preparados'!G352</f>
        <v/>
      </c>
      <c r="I359" s="7">
        <f>'1 datos preparados'!H352</f>
        <v/>
      </c>
      <c r="J359" s="7">
        <f>'1 datos preparados'!I352</f>
        <v/>
      </c>
      <c r="K359" s="7">
        <f>'1 datos preparados'!J352</f>
        <v/>
      </c>
      <c r="L359" s="7">
        <f>'1 datos preparados'!K352</f>
        <v/>
      </c>
      <c r="M359" s="7">
        <f>'1 datos preparados'!L352</f>
        <v/>
      </c>
      <c r="N359" s="7">
        <f>'1 datos preparados'!M352</f>
        <v/>
      </c>
      <c r="O359" s="7">
        <f>'1 datos preparados'!N352</f>
        <v/>
      </c>
      <c r="P359" s="7">
        <f>'1 datos preparados'!O352</f>
        <v/>
      </c>
      <c r="Q359" s="7">
        <f>'1 datos preparados'!P352</f>
        <v/>
      </c>
      <c r="R359" s="7">
        <f>'1 datos preparados'!Q352</f>
        <v/>
      </c>
      <c r="S359" s="7">
        <f>'1 datos preparados'!R352</f>
        <v/>
      </c>
      <c r="T359" s="7">
        <f>'1 datos preparados'!S352</f>
        <v/>
      </c>
      <c r="U359" s="7">
        <f>'1 datos preparados'!T352</f>
        <v/>
      </c>
      <c r="V359" s="8">
        <f>$AC$12+D359*$AC$13+E359*$AC$14+F359*$AC$15+G359*$AC$16+H359*$AC$17+I359*$AC$18+J359*$AC$19+K359*$AC$20+L359*$AC$21+M359*$AC$22+N359*$AC$23+O359*$AC$24+P359*$AC$25+Q359*$AC$26+R359*$AC$27+S359*$AC$28+T359*$AC$29+U359*$AC$30</f>
        <v/>
      </c>
      <c r="W359" s="8">
        <f>1/(1+EXP(-V359))</f>
        <v/>
      </c>
      <c r="X359" s="9">
        <f>-IF(C359=1,LN(W359),LN(1-W359))</f>
        <v/>
      </c>
      <c r="Y359" s="10">
        <f>IF(W359&gt;$AC$34,1,0)</f>
        <v/>
      </c>
      <c r="Z359">
        <f>IF(Y359=C359,1,0)</f>
        <v/>
      </c>
    </row>
    <row r="360">
      <c r="A360">
        <f>'1 datos preparados'!A353</f>
        <v/>
      </c>
      <c r="B360" s="5">
        <f>'1 datos preparados'!U353</f>
        <v/>
      </c>
      <c r="C360">
        <f>'1 datos preparados'!B353</f>
        <v/>
      </c>
      <c r="D360" s="7">
        <f>'1 datos preparados'!C353</f>
        <v/>
      </c>
      <c r="E360" s="7">
        <f>'1 datos preparados'!D353</f>
        <v/>
      </c>
      <c r="F360" s="7">
        <f>'1 datos preparados'!E353</f>
        <v/>
      </c>
      <c r="G360" s="7">
        <f>'1 datos preparados'!F353</f>
        <v/>
      </c>
      <c r="H360" s="7">
        <f>'1 datos preparados'!G353</f>
        <v/>
      </c>
      <c r="I360" s="7">
        <f>'1 datos preparados'!H353</f>
        <v/>
      </c>
      <c r="J360" s="7">
        <f>'1 datos preparados'!I353</f>
        <v/>
      </c>
      <c r="K360" s="7">
        <f>'1 datos preparados'!J353</f>
        <v/>
      </c>
      <c r="L360" s="7">
        <f>'1 datos preparados'!K353</f>
        <v/>
      </c>
      <c r="M360" s="7">
        <f>'1 datos preparados'!L353</f>
        <v/>
      </c>
      <c r="N360" s="7">
        <f>'1 datos preparados'!M353</f>
        <v/>
      </c>
      <c r="O360" s="7">
        <f>'1 datos preparados'!N353</f>
        <v/>
      </c>
      <c r="P360" s="7">
        <f>'1 datos preparados'!O353</f>
        <v/>
      </c>
      <c r="Q360" s="7">
        <f>'1 datos preparados'!P353</f>
        <v/>
      </c>
      <c r="R360" s="7">
        <f>'1 datos preparados'!Q353</f>
        <v/>
      </c>
      <c r="S360" s="7">
        <f>'1 datos preparados'!R353</f>
        <v/>
      </c>
      <c r="T360" s="7">
        <f>'1 datos preparados'!S353</f>
        <v/>
      </c>
      <c r="U360" s="7">
        <f>'1 datos preparados'!T353</f>
        <v/>
      </c>
      <c r="V360" s="8">
        <f>$AC$12+D360*$AC$13+E360*$AC$14+F360*$AC$15+G360*$AC$16+H360*$AC$17+I360*$AC$18+J360*$AC$19+K360*$AC$20+L360*$AC$21+M360*$AC$22+N360*$AC$23+O360*$AC$24+P360*$AC$25+Q360*$AC$26+R360*$AC$27+S360*$AC$28+T360*$AC$29+U360*$AC$30</f>
        <v/>
      </c>
      <c r="W360" s="8">
        <f>1/(1+EXP(-V360))</f>
        <v/>
      </c>
      <c r="X360" s="9">
        <f>-IF(C360=1,LN(W360),LN(1-W360))</f>
        <v/>
      </c>
      <c r="Y360" s="10">
        <f>IF(W360&gt;$AC$34,1,0)</f>
        <v/>
      </c>
      <c r="Z360">
        <f>IF(Y360=C360,1,0)</f>
        <v/>
      </c>
    </row>
    <row r="361">
      <c r="A361">
        <f>'1 datos preparados'!A354</f>
        <v/>
      </c>
      <c r="B361" s="5">
        <f>'1 datos preparados'!U354</f>
        <v/>
      </c>
      <c r="C361">
        <f>'1 datos preparados'!B354</f>
        <v/>
      </c>
      <c r="D361" s="7">
        <f>'1 datos preparados'!C354</f>
        <v/>
      </c>
      <c r="E361" s="7">
        <f>'1 datos preparados'!D354</f>
        <v/>
      </c>
      <c r="F361" s="7">
        <f>'1 datos preparados'!E354</f>
        <v/>
      </c>
      <c r="G361" s="7">
        <f>'1 datos preparados'!F354</f>
        <v/>
      </c>
      <c r="H361" s="7">
        <f>'1 datos preparados'!G354</f>
        <v/>
      </c>
      <c r="I361" s="7">
        <f>'1 datos preparados'!H354</f>
        <v/>
      </c>
      <c r="J361" s="7">
        <f>'1 datos preparados'!I354</f>
        <v/>
      </c>
      <c r="K361" s="7">
        <f>'1 datos preparados'!J354</f>
        <v/>
      </c>
      <c r="L361" s="7">
        <f>'1 datos preparados'!K354</f>
        <v/>
      </c>
      <c r="M361" s="7">
        <f>'1 datos preparados'!L354</f>
        <v/>
      </c>
      <c r="N361" s="7">
        <f>'1 datos preparados'!M354</f>
        <v/>
      </c>
      <c r="O361" s="7">
        <f>'1 datos preparados'!N354</f>
        <v/>
      </c>
      <c r="P361" s="7">
        <f>'1 datos preparados'!O354</f>
        <v/>
      </c>
      <c r="Q361" s="7">
        <f>'1 datos preparados'!P354</f>
        <v/>
      </c>
      <c r="R361" s="7">
        <f>'1 datos preparados'!Q354</f>
        <v/>
      </c>
      <c r="S361" s="7">
        <f>'1 datos preparados'!R354</f>
        <v/>
      </c>
      <c r="T361" s="7">
        <f>'1 datos preparados'!S354</f>
        <v/>
      </c>
      <c r="U361" s="7">
        <f>'1 datos preparados'!T354</f>
        <v/>
      </c>
      <c r="V361" s="8">
        <f>$AC$12+D361*$AC$13+E361*$AC$14+F361*$AC$15+G361*$AC$16+H361*$AC$17+I361*$AC$18+J361*$AC$19+K361*$AC$20+L361*$AC$21+M361*$AC$22+N361*$AC$23+O361*$AC$24+P361*$AC$25+Q361*$AC$26+R361*$AC$27+S361*$AC$28+T361*$AC$29+U361*$AC$30</f>
        <v/>
      </c>
      <c r="W361" s="8">
        <f>1/(1+EXP(-V361))</f>
        <v/>
      </c>
      <c r="X361" s="9">
        <f>-IF(C361=1,LN(W361),LN(1-W361))</f>
        <v/>
      </c>
      <c r="Y361" s="10">
        <f>IF(W361&gt;$AC$34,1,0)</f>
        <v/>
      </c>
      <c r="Z361">
        <f>IF(Y361=C361,1,0)</f>
        <v/>
      </c>
    </row>
    <row r="362">
      <c r="A362">
        <f>'1 datos preparados'!A355</f>
        <v/>
      </c>
      <c r="B362" s="5">
        <f>'1 datos preparados'!U355</f>
        <v/>
      </c>
      <c r="C362">
        <f>'1 datos preparados'!B355</f>
        <v/>
      </c>
      <c r="D362" s="7">
        <f>'1 datos preparados'!C355</f>
        <v/>
      </c>
      <c r="E362" s="7">
        <f>'1 datos preparados'!D355</f>
        <v/>
      </c>
      <c r="F362" s="7">
        <f>'1 datos preparados'!E355</f>
        <v/>
      </c>
      <c r="G362" s="7">
        <f>'1 datos preparados'!F355</f>
        <v/>
      </c>
      <c r="H362" s="7">
        <f>'1 datos preparados'!G355</f>
        <v/>
      </c>
      <c r="I362" s="7">
        <f>'1 datos preparados'!H355</f>
        <v/>
      </c>
      <c r="J362" s="7">
        <f>'1 datos preparados'!I355</f>
        <v/>
      </c>
      <c r="K362" s="7">
        <f>'1 datos preparados'!J355</f>
        <v/>
      </c>
      <c r="L362" s="7">
        <f>'1 datos preparados'!K355</f>
        <v/>
      </c>
      <c r="M362" s="7">
        <f>'1 datos preparados'!L355</f>
        <v/>
      </c>
      <c r="N362" s="7">
        <f>'1 datos preparados'!M355</f>
        <v/>
      </c>
      <c r="O362" s="7">
        <f>'1 datos preparados'!N355</f>
        <v/>
      </c>
      <c r="P362" s="7">
        <f>'1 datos preparados'!O355</f>
        <v/>
      </c>
      <c r="Q362" s="7">
        <f>'1 datos preparados'!P355</f>
        <v/>
      </c>
      <c r="R362" s="7">
        <f>'1 datos preparados'!Q355</f>
        <v/>
      </c>
      <c r="S362" s="7">
        <f>'1 datos preparados'!R355</f>
        <v/>
      </c>
      <c r="T362" s="7">
        <f>'1 datos preparados'!S355</f>
        <v/>
      </c>
      <c r="U362" s="7">
        <f>'1 datos preparados'!T355</f>
        <v/>
      </c>
      <c r="V362" s="8">
        <f>$AC$12+D362*$AC$13+E362*$AC$14+F362*$AC$15+G362*$AC$16+H362*$AC$17+I362*$AC$18+J362*$AC$19+K362*$AC$20+L362*$AC$21+M362*$AC$22+N362*$AC$23+O362*$AC$24+P362*$AC$25+Q362*$AC$26+R362*$AC$27+S362*$AC$28+T362*$AC$29+U362*$AC$30</f>
        <v/>
      </c>
      <c r="W362" s="8">
        <f>1/(1+EXP(-V362))</f>
        <v/>
      </c>
      <c r="X362" s="9">
        <f>-IF(C362=1,LN(W362),LN(1-W362))</f>
        <v/>
      </c>
      <c r="Y362" s="10">
        <f>IF(W362&gt;$AC$34,1,0)</f>
        <v/>
      </c>
      <c r="Z362">
        <f>IF(Y362=C362,1,0)</f>
        <v/>
      </c>
    </row>
    <row r="363">
      <c r="A363">
        <f>'1 datos preparados'!A356</f>
        <v/>
      </c>
      <c r="B363" s="5">
        <f>'1 datos preparados'!U356</f>
        <v/>
      </c>
      <c r="C363">
        <f>'1 datos preparados'!B356</f>
        <v/>
      </c>
      <c r="D363" s="7">
        <f>'1 datos preparados'!C356</f>
        <v/>
      </c>
      <c r="E363" s="7">
        <f>'1 datos preparados'!D356</f>
        <v/>
      </c>
      <c r="F363" s="7">
        <f>'1 datos preparados'!E356</f>
        <v/>
      </c>
      <c r="G363" s="7">
        <f>'1 datos preparados'!F356</f>
        <v/>
      </c>
      <c r="H363" s="7">
        <f>'1 datos preparados'!G356</f>
        <v/>
      </c>
      <c r="I363" s="7">
        <f>'1 datos preparados'!H356</f>
        <v/>
      </c>
      <c r="J363" s="7">
        <f>'1 datos preparados'!I356</f>
        <v/>
      </c>
      <c r="K363" s="7">
        <f>'1 datos preparados'!J356</f>
        <v/>
      </c>
      <c r="L363" s="7">
        <f>'1 datos preparados'!K356</f>
        <v/>
      </c>
      <c r="M363" s="7">
        <f>'1 datos preparados'!L356</f>
        <v/>
      </c>
      <c r="N363" s="7">
        <f>'1 datos preparados'!M356</f>
        <v/>
      </c>
      <c r="O363" s="7">
        <f>'1 datos preparados'!N356</f>
        <v/>
      </c>
      <c r="P363" s="7">
        <f>'1 datos preparados'!O356</f>
        <v/>
      </c>
      <c r="Q363" s="7">
        <f>'1 datos preparados'!P356</f>
        <v/>
      </c>
      <c r="R363" s="7">
        <f>'1 datos preparados'!Q356</f>
        <v/>
      </c>
      <c r="S363" s="7">
        <f>'1 datos preparados'!R356</f>
        <v/>
      </c>
      <c r="T363" s="7">
        <f>'1 datos preparados'!S356</f>
        <v/>
      </c>
      <c r="U363" s="7">
        <f>'1 datos preparados'!T356</f>
        <v/>
      </c>
      <c r="V363" s="8">
        <f>$AC$12+D363*$AC$13+E363*$AC$14+F363*$AC$15+G363*$AC$16+H363*$AC$17+I363*$AC$18+J363*$AC$19+K363*$AC$20+L363*$AC$21+M363*$AC$22+N363*$AC$23+O363*$AC$24+P363*$AC$25+Q363*$AC$26+R363*$AC$27+S363*$AC$28+T363*$AC$29+U363*$AC$30</f>
        <v/>
      </c>
      <c r="W363" s="8">
        <f>1/(1+EXP(-V363))</f>
        <v/>
      </c>
      <c r="X363" s="9">
        <f>-IF(C363=1,LN(W363),LN(1-W363))</f>
        <v/>
      </c>
      <c r="Y363" s="10">
        <f>IF(W363&gt;$AC$34,1,0)</f>
        <v/>
      </c>
      <c r="Z363">
        <f>IF(Y363=C363,1,0)</f>
        <v/>
      </c>
    </row>
    <row r="364">
      <c r="A364">
        <f>'1 datos preparados'!A357</f>
        <v/>
      </c>
      <c r="B364" s="5">
        <f>'1 datos preparados'!U357</f>
        <v/>
      </c>
      <c r="C364">
        <f>'1 datos preparados'!B357</f>
        <v/>
      </c>
      <c r="D364" s="7">
        <f>'1 datos preparados'!C357</f>
        <v/>
      </c>
      <c r="E364" s="7">
        <f>'1 datos preparados'!D357</f>
        <v/>
      </c>
      <c r="F364" s="7">
        <f>'1 datos preparados'!E357</f>
        <v/>
      </c>
      <c r="G364" s="7">
        <f>'1 datos preparados'!F357</f>
        <v/>
      </c>
      <c r="H364" s="7">
        <f>'1 datos preparados'!G357</f>
        <v/>
      </c>
      <c r="I364" s="7">
        <f>'1 datos preparados'!H357</f>
        <v/>
      </c>
      <c r="J364" s="7">
        <f>'1 datos preparados'!I357</f>
        <v/>
      </c>
      <c r="K364" s="7">
        <f>'1 datos preparados'!J357</f>
        <v/>
      </c>
      <c r="L364" s="7">
        <f>'1 datos preparados'!K357</f>
        <v/>
      </c>
      <c r="M364" s="7">
        <f>'1 datos preparados'!L357</f>
        <v/>
      </c>
      <c r="N364" s="7">
        <f>'1 datos preparados'!M357</f>
        <v/>
      </c>
      <c r="O364" s="7">
        <f>'1 datos preparados'!N357</f>
        <v/>
      </c>
      <c r="P364" s="7">
        <f>'1 datos preparados'!O357</f>
        <v/>
      </c>
      <c r="Q364" s="7">
        <f>'1 datos preparados'!P357</f>
        <v/>
      </c>
      <c r="R364" s="7">
        <f>'1 datos preparados'!Q357</f>
        <v/>
      </c>
      <c r="S364" s="7">
        <f>'1 datos preparados'!R357</f>
        <v/>
      </c>
      <c r="T364" s="7">
        <f>'1 datos preparados'!S357</f>
        <v/>
      </c>
      <c r="U364" s="7">
        <f>'1 datos preparados'!T357</f>
        <v/>
      </c>
      <c r="V364" s="8">
        <f>$AC$12+D364*$AC$13+E364*$AC$14+F364*$AC$15+G364*$AC$16+H364*$AC$17+I364*$AC$18+J364*$AC$19+K364*$AC$20+L364*$AC$21+M364*$AC$22+N364*$AC$23+O364*$AC$24+P364*$AC$25+Q364*$AC$26+R364*$AC$27+S364*$AC$28+T364*$AC$29+U364*$AC$30</f>
        <v/>
      </c>
      <c r="W364" s="8">
        <f>1/(1+EXP(-V364))</f>
        <v/>
      </c>
      <c r="X364" s="9">
        <f>-IF(C364=1,LN(W364),LN(1-W364))</f>
        <v/>
      </c>
      <c r="Y364" s="10">
        <f>IF(W364&gt;$AC$34,1,0)</f>
        <v/>
      </c>
      <c r="Z364">
        <f>IF(Y364=C364,1,0)</f>
        <v/>
      </c>
    </row>
    <row r="365">
      <c r="A365">
        <f>'1 datos preparados'!A358</f>
        <v/>
      </c>
      <c r="B365" s="5">
        <f>'1 datos preparados'!U358</f>
        <v/>
      </c>
      <c r="C365">
        <f>'1 datos preparados'!B358</f>
        <v/>
      </c>
      <c r="D365" s="7">
        <f>'1 datos preparados'!C358</f>
        <v/>
      </c>
      <c r="E365" s="7">
        <f>'1 datos preparados'!D358</f>
        <v/>
      </c>
      <c r="F365" s="7">
        <f>'1 datos preparados'!E358</f>
        <v/>
      </c>
      <c r="G365" s="7">
        <f>'1 datos preparados'!F358</f>
        <v/>
      </c>
      <c r="H365" s="7">
        <f>'1 datos preparados'!G358</f>
        <v/>
      </c>
      <c r="I365" s="7">
        <f>'1 datos preparados'!H358</f>
        <v/>
      </c>
      <c r="J365" s="7">
        <f>'1 datos preparados'!I358</f>
        <v/>
      </c>
      <c r="K365" s="7">
        <f>'1 datos preparados'!J358</f>
        <v/>
      </c>
      <c r="L365" s="7">
        <f>'1 datos preparados'!K358</f>
        <v/>
      </c>
      <c r="M365" s="7">
        <f>'1 datos preparados'!L358</f>
        <v/>
      </c>
      <c r="N365" s="7">
        <f>'1 datos preparados'!M358</f>
        <v/>
      </c>
      <c r="O365" s="7">
        <f>'1 datos preparados'!N358</f>
        <v/>
      </c>
      <c r="P365" s="7">
        <f>'1 datos preparados'!O358</f>
        <v/>
      </c>
      <c r="Q365" s="7">
        <f>'1 datos preparados'!P358</f>
        <v/>
      </c>
      <c r="R365" s="7">
        <f>'1 datos preparados'!Q358</f>
        <v/>
      </c>
      <c r="S365" s="7">
        <f>'1 datos preparados'!R358</f>
        <v/>
      </c>
      <c r="T365" s="7">
        <f>'1 datos preparados'!S358</f>
        <v/>
      </c>
      <c r="U365" s="7">
        <f>'1 datos preparados'!T358</f>
        <v/>
      </c>
      <c r="V365" s="8">
        <f>$AC$12+D365*$AC$13+E365*$AC$14+F365*$AC$15+G365*$AC$16+H365*$AC$17+I365*$AC$18+J365*$AC$19+K365*$AC$20+L365*$AC$21+M365*$AC$22+N365*$AC$23+O365*$AC$24+P365*$AC$25+Q365*$AC$26+R365*$AC$27+S365*$AC$28+T365*$AC$29+U365*$AC$30</f>
        <v/>
      </c>
      <c r="W365" s="8">
        <f>1/(1+EXP(-V365))</f>
        <v/>
      </c>
      <c r="X365" s="9">
        <f>-IF(C365=1,LN(W365),LN(1-W365))</f>
        <v/>
      </c>
      <c r="Y365" s="10">
        <f>IF(W365&gt;$AC$34,1,0)</f>
        <v/>
      </c>
      <c r="Z365">
        <f>IF(Y365=C365,1,0)</f>
        <v/>
      </c>
    </row>
    <row r="366">
      <c r="A366">
        <f>'1 datos preparados'!A359</f>
        <v/>
      </c>
      <c r="B366" s="5">
        <f>'1 datos preparados'!U359</f>
        <v/>
      </c>
      <c r="C366">
        <f>'1 datos preparados'!B359</f>
        <v/>
      </c>
      <c r="D366" s="7">
        <f>'1 datos preparados'!C359</f>
        <v/>
      </c>
      <c r="E366" s="7">
        <f>'1 datos preparados'!D359</f>
        <v/>
      </c>
      <c r="F366" s="7">
        <f>'1 datos preparados'!E359</f>
        <v/>
      </c>
      <c r="G366" s="7">
        <f>'1 datos preparados'!F359</f>
        <v/>
      </c>
      <c r="H366" s="7">
        <f>'1 datos preparados'!G359</f>
        <v/>
      </c>
      <c r="I366" s="7">
        <f>'1 datos preparados'!H359</f>
        <v/>
      </c>
      <c r="J366" s="7">
        <f>'1 datos preparados'!I359</f>
        <v/>
      </c>
      <c r="K366" s="7">
        <f>'1 datos preparados'!J359</f>
        <v/>
      </c>
      <c r="L366" s="7">
        <f>'1 datos preparados'!K359</f>
        <v/>
      </c>
      <c r="M366" s="7">
        <f>'1 datos preparados'!L359</f>
        <v/>
      </c>
      <c r="N366" s="7">
        <f>'1 datos preparados'!M359</f>
        <v/>
      </c>
      <c r="O366" s="7">
        <f>'1 datos preparados'!N359</f>
        <v/>
      </c>
      <c r="P366" s="7">
        <f>'1 datos preparados'!O359</f>
        <v/>
      </c>
      <c r="Q366" s="7">
        <f>'1 datos preparados'!P359</f>
        <v/>
      </c>
      <c r="R366" s="7">
        <f>'1 datos preparados'!Q359</f>
        <v/>
      </c>
      <c r="S366" s="7">
        <f>'1 datos preparados'!R359</f>
        <v/>
      </c>
      <c r="T366" s="7">
        <f>'1 datos preparados'!S359</f>
        <v/>
      </c>
      <c r="U366" s="7">
        <f>'1 datos preparados'!T359</f>
        <v/>
      </c>
      <c r="V366" s="8">
        <f>$AC$12+D366*$AC$13+E366*$AC$14+F366*$AC$15+G366*$AC$16+H366*$AC$17+I366*$AC$18+J366*$AC$19+K366*$AC$20+L366*$AC$21+M366*$AC$22+N366*$AC$23+O366*$AC$24+P366*$AC$25+Q366*$AC$26+R366*$AC$27+S366*$AC$28+T366*$AC$29+U366*$AC$30</f>
        <v/>
      </c>
      <c r="W366" s="8">
        <f>1/(1+EXP(-V366))</f>
        <v/>
      </c>
      <c r="X366" s="9">
        <f>-IF(C366=1,LN(W366),LN(1-W366))</f>
        <v/>
      </c>
      <c r="Y366" s="10">
        <f>IF(W366&gt;$AC$34,1,0)</f>
        <v/>
      </c>
      <c r="Z366">
        <f>IF(Y366=C366,1,0)</f>
        <v/>
      </c>
    </row>
    <row r="367">
      <c r="A367">
        <f>'1 datos preparados'!A360</f>
        <v/>
      </c>
      <c r="B367" s="5">
        <f>'1 datos preparados'!U360</f>
        <v/>
      </c>
      <c r="C367">
        <f>'1 datos preparados'!B360</f>
        <v/>
      </c>
      <c r="D367" s="7">
        <f>'1 datos preparados'!C360</f>
        <v/>
      </c>
      <c r="E367" s="7">
        <f>'1 datos preparados'!D360</f>
        <v/>
      </c>
      <c r="F367" s="7">
        <f>'1 datos preparados'!E360</f>
        <v/>
      </c>
      <c r="G367" s="7">
        <f>'1 datos preparados'!F360</f>
        <v/>
      </c>
      <c r="H367" s="7">
        <f>'1 datos preparados'!G360</f>
        <v/>
      </c>
      <c r="I367" s="7">
        <f>'1 datos preparados'!H360</f>
        <v/>
      </c>
      <c r="J367" s="7">
        <f>'1 datos preparados'!I360</f>
        <v/>
      </c>
      <c r="K367" s="7">
        <f>'1 datos preparados'!J360</f>
        <v/>
      </c>
      <c r="L367" s="7">
        <f>'1 datos preparados'!K360</f>
        <v/>
      </c>
      <c r="M367" s="7">
        <f>'1 datos preparados'!L360</f>
        <v/>
      </c>
      <c r="N367" s="7">
        <f>'1 datos preparados'!M360</f>
        <v/>
      </c>
      <c r="O367" s="7">
        <f>'1 datos preparados'!N360</f>
        <v/>
      </c>
      <c r="P367" s="7">
        <f>'1 datos preparados'!O360</f>
        <v/>
      </c>
      <c r="Q367" s="7">
        <f>'1 datos preparados'!P360</f>
        <v/>
      </c>
      <c r="R367" s="7">
        <f>'1 datos preparados'!Q360</f>
        <v/>
      </c>
      <c r="S367" s="7">
        <f>'1 datos preparados'!R360</f>
        <v/>
      </c>
      <c r="T367" s="7">
        <f>'1 datos preparados'!S360</f>
        <v/>
      </c>
      <c r="U367" s="7">
        <f>'1 datos preparados'!T360</f>
        <v/>
      </c>
      <c r="V367" s="8">
        <f>$AC$12+D367*$AC$13+E367*$AC$14+F367*$AC$15+G367*$AC$16+H367*$AC$17+I367*$AC$18+J367*$AC$19+K367*$AC$20+L367*$AC$21+M367*$AC$22+N367*$AC$23+O367*$AC$24+P367*$AC$25+Q367*$AC$26+R367*$AC$27+S367*$AC$28+T367*$AC$29+U367*$AC$30</f>
        <v/>
      </c>
      <c r="W367" s="8">
        <f>1/(1+EXP(-V367))</f>
        <v/>
      </c>
      <c r="X367" s="9">
        <f>-IF(C367=1,LN(W367),LN(1-W367))</f>
        <v/>
      </c>
      <c r="Y367" s="10">
        <f>IF(W367&gt;$AC$34,1,0)</f>
        <v/>
      </c>
      <c r="Z367">
        <f>IF(Y367=C367,1,0)</f>
        <v/>
      </c>
    </row>
    <row r="368">
      <c r="A368">
        <f>'1 datos preparados'!A361</f>
        <v/>
      </c>
      <c r="B368" s="5">
        <f>'1 datos preparados'!U361</f>
        <v/>
      </c>
      <c r="C368">
        <f>'1 datos preparados'!B361</f>
        <v/>
      </c>
      <c r="D368" s="7">
        <f>'1 datos preparados'!C361</f>
        <v/>
      </c>
      <c r="E368" s="7">
        <f>'1 datos preparados'!D361</f>
        <v/>
      </c>
      <c r="F368" s="7">
        <f>'1 datos preparados'!E361</f>
        <v/>
      </c>
      <c r="G368" s="7">
        <f>'1 datos preparados'!F361</f>
        <v/>
      </c>
      <c r="H368" s="7">
        <f>'1 datos preparados'!G361</f>
        <v/>
      </c>
      <c r="I368" s="7">
        <f>'1 datos preparados'!H361</f>
        <v/>
      </c>
      <c r="J368" s="7">
        <f>'1 datos preparados'!I361</f>
        <v/>
      </c>
      <c r="K368" s="7">
        <f>'1 datos preparados'!J361</f>
        <v/>
      </c>
      <c r="L368" s="7">
        <f>'1 datos preparados'!K361</f>
        <v/>
      </c>
      <c r="M368" s="7">
        <f>'1 datos preparados'!L361</f>
        <v/>
      </c>
      <c r="N368" s="7">
        <f>'1 datos preparados'!M361</f>
        <v/>
      </c>
      <c r="O368" s="7">
        <f>'1 datos preparados'!N361</f>
        <v/>
      </c>
      <c r="P368" s="7">
        <f>'1 datos preparados'!O361</f>
        <v/>
      </c>
      <c r="Q368" s="7">
        <f>'1 datos preparados'!P361</f>
        <v/>
      </c>
      <c r="R368" s="7">
        <f>'1 datos preparados'!Q361</f>
        <v/>
      </c>
      <c r="S368" s="7">
        <f>'1 datos preparados'!R361</f>
        <v/>
      </c>
      <c r="T368" s="7">
        <f>'1 datos preparados'!S361</f>
        <v/>
      </c>
      <c r="U368" s="7">
        <f>'1 datos preparados'!T361</f>
        <v/>
      </c>
      <c r="V368" s="8">
        <f>$AC$12+D368*$AC$13+E368*$AC$14+F368*$AC$15+G368*$AC$16+H368*$AC$17+I368*$AC$18+J368*$AC$19+K368*$AC$20+L368*$AC$21+M368*$AC$22+N368*$AC$23+O368*$AC$24+P368*$AC$25+Q368*$AC$26+R368*$AC$27+S368*$AC$28+T368*$AC$29+U368*$AC$30</f>
        <v/>
      </c>
      <c r="W368" s="8">
        <f>1/(1+EXP(-V368))</f>
        <v/>
      </c>
      <c r="X368" s="9">
        <f>-IF(C368=1,LN(W368),LN(1-W368))</f>
        <v/>
      </c>
      <c r="Y368" s="10">
        <f>IF(W368&gt;$AC$34,1,0)</f>
        <v/>
      </c>
      <c r="Z368">
        <f>IF(Y368=C368,1,0)</f>
        <v/>
      </c>
    </row>
    <row r="369">
      <c r="A369">
        <f>'1 datos preparados'!A362</f>
        <v/>
      </c>
      <c r="B369" s="5">
        <f>'1 datos preparados'!U362</f>
        <v/>
      </c>
      <c r="C369">
        <f>'1 datos preparados'!B362</f>
        <v/>
      </c>
      <c r="D369" s="7">
        <f>'1 datos preparados'!C362</f>
        <v/>
      </c>
      <c r="E369" s="7">
        <f>'1 datos preparados'!D362</f>
        <v/>
      </c>
      <c r="F369" s="7">
        <f>'1 datos preparados'!E362</f>
        <v/>
      </c>
      <c r="G369" s="7">
        <f>'1 datos preparados'!F362</f>
        <v/>
      </c>
      <c r="H369" s="7">
        <f>'1 datos preparados'!G362</f>
        <v/>
      </c>
      <c r="I369" s="7">
        <f>'1 datos preparados'!H362</f>
        <v/>
      </c>
      <c r="J369" s="7">
        <f>'1 datos preparados'!I362</f>
        <v/>
      </c>
      <c r="K369" s="7">
        <f>'1 datos preparados'!J362</f>
        <v/>
      </c>
      <c r="L369" s="7">
        <f>'1 datos preparados'!K362</f>
        <v/>
      </c>
      <c r="M369" s="7">
        <f>'1 datos preparados'!L362</f>
        <v/>
      </c>
      <c r="N369" s="7">
        <f>'1 datos preparados'!M362</f>
        <v/>
      </c>
      <c r="O369" s="7">
        <f>'1 datos preparados'!N362</f>
        <v/>
      </c>
      <c r="P369" s="7">
        <f>'1 datos preparados'!O362</f>
        <v/>
      </c>
      <c r="Q369" s="7">
        <f>'1 datos preparados'!P362</f>
        <v/>
      </c>
      <c r="R369" s="7">
        <f>'1 datos preparados'!Q362</f>
        <v/>
      </c>
      <c r="S369" s="7">
        <f>'1 datos preparados'!R362</f>
        <v/>
      </c>
      <c r="T369" s="7">
        <f>'1 datos preparados'!S362</f>
        <v/>
      </c>
      <c r="U369" s="7">
        <f>'1 datos preparados'!T362</f>
        <v/>
      </c>
      <c r="V369" s="8">
        <f>$AC$12+D369*$AC$13+E369*$AC$14+F369*$AC$15+G369*$AC$16+H369*$AC$17+I369*$AC$18+J369*$AC$19+K369*$AC$20+L369*$AC$21+M369*$AC$22+N369*$AC$23+O369*$AC$24+P369*$AC$25+Q369*$AC$26+R369*$AC$27+S369*$AC$28+T369*$AC$29+U369*$AC$30</f>
        <v/>
      </c>
      <c r="W369" s="8">
        <f>1/(1+EXP(-V369))</f>
        <v/>
      </c>
      <c r="X369" s="9">
        <f>-IF(C369=1,LN(W369),LN(1-W369))</f>
        <v/>
      </c>
      <c r="Y369" s="10">
        <f>IF(W369&gt;$AC$34,1,0)</f>
        <v/>
      </c>
      <c r="Z369">
        <f>IF(Y369=C369,1,0)</f>
        <v/>
      </c>
    </row>
    <row r="370">
      <c r="A370">
        <f>'1 datos preparados'!A363</f>
        <v/>
      </c>
      <c r="B370" s="5">
        <f>'1 datos preparados'!U363</f>
        <v/>
      </c>
      <c r="C370">
        <f>'1 datos preparados'!B363</f>
        <v/>
      </c>
      <c r="D370" s="7">
        <f>'1 datos preparados'!C363</f>
        <v/>
      </c>
      <c r="E370" s="7">
        <f>'1 datos preparados'!D363</f>
        <v/>
      </c>
      <c r="F370" s="7">
        <f>'1 datos preparados'!E363</f>
        <v/>
      </c>
      <c r="G370" s="7">
        <f>'1 datos preparados'!F363</f>
        <v/>
      </c>
      <c r="H370" s="7">
        <f>'1 datos preparados'!G363</f>
        <v/>
      </c>
      <c r="I370" s="7">
        <f>'1 datos preparados'!H363</f>
        <v/>
      </c>
      <c r="J370" s="7">
        <f>'1 datos preparados'!I363</f>
        <v/>
      </c>
      <c r="K370" s="7">
        <f>'1 datos preparados'!J363</f>
        <v/>
      </c>
      <c r="L370" s="7">
        <f>'1 datos preparados'!K363</f>
        <v/>
      </c>
      <c r="M370" s="7">
        <f>'1 datos preparados'!L363</f>
        <v/>
      </c>
      <c r="N370" s="7">
        <f>'1 datos preparados'!M363</f>
        <v/>
      </c>
      <c r="O370" s="7">
        <f>'1 datos preparados'!N363</f>
        <v/>
      </c>
      <c r="P370" s="7">
        <f>'1 datos preparados'!O363</f>
        <v/>
      </c>
      <c r="Q370" s="7">
        <f>'1 datos preparados'!P363</f>
        <v/>
      </c>
      <c r="R370" s="7">
        <f>'1 datos preparados'!Q363</f>
        <v/>
      </c>
      <c r="S370" s="7">
        <f>'1 datos preparados'!R363</f>
        <v/>
      </c>
      <c r="T370" s="7">
        <f>'1 datos preparados'!S363</f>
        <v/>
      </c>
      <c r="U370" s="7">
        <f>'1 datos preparados'!T363</f>
        <v/>
      </c>
      <c r="V370" s="8">
        <f>$AC$12+D370*$AC$13+E370*$AC$14+F370*$AC$15+G370*$AC$16+H370*$AC$17+I370*$AC$18+J370*$AC$19+K370*$AC$20+L370*$AC$21+M370*$AC$22+N370*$AC$23+O370*$AC$24+P370*$AC$25+Q370*$AC$26+R370*$AC$27+S370*$AC$28+T370*$AC$29+U370*$AC$30</f>
        <v/>
      </c>
      <c r="W370" s="8">
        <f>1/(1+EXP(-V370))</f>
        <v/>
      </c>
      <c r="X370" s="9">
        <f>-IF(C370=1,LN(W370),LN(1-W370))</f>
        <v/>
      </c>
      <c r="Y370" s="10">
        <f>IF(W370&gt;$AC$34,1,0)</f>
        <v/>
      </c>
      <c r="Z370">
        <f>IF(Y370=C370,1,0)</f>
        <v/>
      </c>
    </row>
    <row r="371">
      <c r="A371">
        <f>'1 datos preparados'!A364</f>
        <v/>
      </c>
      <c r="B371" s="5">
        <f>'1 datos preparados'!U364</f>
        <v/>
      </c>
      <c r="C371">
        <f>'1 datos preparados'!B364</f>
        <v/>
      </c>
      <c r="D371" s="7">
        <f>'1 datos preparados'!C364</f>
        <v/>
      </c>
      <c r="E371" s="7">
        <f>'1 datos preparados'!D364</f>
        <v/>
      </c>
      <c r="F371" s="7">
        <f>'1 datos preparados'!E364</f>
        <v/>
      </c>
      <c r="G371" s="7">
        <f>'1 datos preparados'!F364</f>
        <v/>
      </c>
      <c r="H371" s="7">
        <f>'1 datos preparados'!G364</f>
        <v/>
      </c>
      <c r="I371" s="7">
        <f>'1 datos preparados'!H364</f>
        <v/>
      </c>
      <c r="J371" s="7">
        <f>'1 datos preparados'!I364</f>
        <v/>
      </c>
      <c r="K371" s="7">
        <f>'1 datos preparados'!J364</f>
        <v/>
      </c>
      <c r="L371" s="7">
        <f>'1 datos preparados'!K364</f>
        <v/>
      </c>
      <c r="M371" s="7">
        <f>'1 datos preparados'!L364</f>
        <v/>
      </c>
      <c r="N371" s="7">
        <f>'1 datos preparados'!M364</f>
        <v/>
      </c>
      <c r="O371" s="7">
        <f>'1 datos preparados'!N364</f>
        <v/>
      </c>
      <c r="P371" s="7">
        <f>'1 datos preparados'!O364</f>
        <v/>
      </c>
      <c r="Q371" s="7">
        <f>'1 datos preparados'!P364</f>
        <v/>
      </c>
      <c r="R371" s="7">
        <f>'1 datos preparados'!Q364</f>
        <v/>
      </c>
      <c r="S371" s="7">
        <f>'1 datos preparados'!R364</f>
        <v/>
      </c>
      <c r="T371" s="7">
        <f>'1 datos preparados'!S364</f>
        <v/>
      </c>
      <c r="U371" s="7">
        <f>'1 datos preparados'!T364</f>
        <v/>
      </c>
      <c r="V371" s="8">
        <f>$AC$12+D371*$AC$13+E371*$AC$14+F371*$AC$15+G371*$AC$16+H371*$AC$17+I371*$AC$18+J371*$AC$19+K371*$AC$20+L371*$AC$21+M371*$AC$22+N371*$AC$23+O371*$AC$24+P371*$AC$25+Q371*$AC$26+R371*$AC$27+S371*$AC$28+T371*$AC$29+U371*$AC$30</f>
        <v/>
      </c>
      <c r="W371" s="8">
        <f>1/(1+EXP(-V371))</f>
        <v/>
      </c>
      <c r="X371" s="9">
        <f>-IF(C371=1,LN(W371),LN(1-W371))</f>
        <v/>
      </c>
      <c r="Y371" s="10">
        <f>IF(W371&gt;$AC$34,1,0)</f>
        <v/>
      </c>
      <c r="Z371">
        <f>IF(Y371=C371,1,0)</f>
        <v/>
      </c>
    </row>
    <row r="372">
      <c r="A372">
        <f>'1 datos preparados'!A365</f>
        <v/>
      </c>
      <c r="B372" s="5">
        <f>'1 datos preparados'!U365</f>
        <v/>
      </c>
      <c r="C372">
        <f>'1 datos preparados'!B365</f>
        <v/>
      </c>
      <c r="D372" s="7">
        <f>'1 datos preparados'!C365</f>
        <v/>
      </c>
      <c r="E372" s="7">
        <f>'1 datos preparados'!D365</f>
        <v/>
      </c>
      <c r="F372" s="7">
        <f>'1 datos preparados'!E365</f>
        <v/>
      </c>
      <c r="G372" s="7">
        <f>'1 datos preparados'!F365</f>
        <v/>
      </c>
      <c r="H372" s="7">
        <f>'1 datos preparados'!G365</f>
        <v/>
      </c>
      <c r="I372" s="7">
        <f>'1 datos preparados'!H365</f>
        <v/>
      </c>
      <c r="J372" s="7">
        <f>'1 datos preparados'!I365</f>
        <v/>
      </c>
      <c r="K372" s="7">
        <f>'1 datos preparados'!J365</f>
        <v/>
      </c>
      <c r="L372" s="7">
        <f>'1 datos preparados'!K365</f>
        <v/>
      </c>
      <c r="M372" s="7">
        <f>'1 datos preparados'!L365</f>
        <v/>
      </c>
      <c r="N372" s="7">
        <f>'1 datos preparados'!M365</f>
        <v/>
      </c>
      <c r="O372" s="7">
        <f>'1 datos preparados'!N365</f>
        <v/>
      </c>
      <c r="P372" s="7">
        <f>'1 datos preparados'!O365</f>
        <v/>
      </c>
      <c r="Q372" s="7">
        <f>'1 datos preparados'!P365</f>
        <v/>
      </c>
      <c r="R372" s="7">
        <f>'1 datos preparados'!Q365</f>
        <v/>
      </c>
      <c r="S372" s="7">
        <f>'1 datos preparados'!R365</f>
        <v/>
      </c>
      <c r="T372" s="7">
        <f>'1 datos preparados'!S365</f>
        <v/>
      </c>
      <c r="U372" s="7">
        <f>'1 datos preparados'!T365</f>
        <v/>
      </c>
      <c r="V372" s="8">
        <f>$AC$12+D372*$AC$13+E372*$AC$14+F372*$AC$15+G372*$AC$16+H372*$AC$17+I372*$AC$18+J372*$AC$19+K372*$AC$20+L372*$AC$21+M372*$AC$22+N372*$AC$23+O372*$AC$24+P372*$AC$25+Q372*$AC$26+R372*$AC$27+S372*$AC$28+T372*$AC$29+U372*$AC$30</f>
        <v/>
      </c>
      <c r="W372" s="8">
        <f>1/(1+EXP(-V372))</f>
        <v/>
      </c>
      <c r="X372" s="9">
        <f>-IF(C372=1,LN(W372),LN(1-W372))</f>
        <v/>
      </c>
      <c r="Y372" s="10">
        <f>IF(W372&gt;$AC$34,1,0)</f>
        <v/>
      </c>
      <c r="Z372">
        <f>IF(Y372=C372,1,0)</f>
        <v/>
      </c>
    </row>
    <row r="373">
      <c r="A373">
        <f>'1 datos preparados'!A366</f>
        <v/>
      </c>
      <c r="B373" s="5">
        <f>'1 datos preparados'!U366</f>
        <v/>
      </c>
      <c r="C373">
        <f>'1 datos preparados'!B366</f>
        <v/>
      </c>
      <c r="D373" s="7">
        <f>'1 datos preparados'!C366</f>
        <v/>
      </c>
      <c r="E373" s="7">
        <f>'1 datos preparados'!D366</f>
        <v/>
      </c>
      <c r="F373" s="7">
        <f>'1 datos preparados'!E366</f>
        <v/>
      </c>
      <c r="G373" s="7">
        <f>'1 datos preparados'!F366</f>
        <v/>
      </c>
      <c r="H373" s="7">
        <f>'1 datos preparados'!G366</f>
        <v/>
      </c>
      <c r="I373" s="7">
        <f>'1 datos preparados'!H366</f>
        <v/>
      </c>
      <c r="J373" s="7">
        <f>'1 datos preparados'!I366</f>
        <v/>
      </c>
      <c r="K373" s="7">
        <f>'1 datos preparados'!J366</f>
        <v/>
      </c>
      <c r="L373" s="7">
        <f>'1 datos preparados'!K366</f>
        <v/>
      </c>
      <c r="M373" s="7">
        <f>'1 datos preparados'!L366</f>
        <v/>
      </c>
      <c r="N373" s="7">
        <f>'1 datos preparados'!M366</f>
        <v/>
      </c>
      <c r="O373" s="7">
        <f>'1 datos preparados'!N366</f>
        <v/>
      </c>
      <c r="P373" s="7">
        <f>'1 datos preparados'!O366</f>
        <v/>
      </c>
      <c r="Q373" s="7">
        <f>'1 datos preparados'!P366</f>
        <v/>
      </c>
      <c r="R373" s="7">
        <f>'1 datos preparados'!Q366</f>
        <v/>
      </c>
      <c r="S373" s="7">
        <f>'1 datos preparados'!R366</f>
        <v/>
      </c>
      <c r="T373" s="7">
        <f>'1 datos preparados'!S366</f>
        <v/>
      </c>
      <c r="U373" s="7">
        <f>'1 datos preparados'!T366</f>
        <v/>
      </c>
      <c r="V373" s="8">
        <f>$AC$12+D373*$AC$13+E373*$AC$14+F373*$AC$15+G373*$AC$16+H373*$AC$17+I373*$AC$18+J373*$AC$19+K373*$AC$20+L373*$AC$21+M373*$AC$22+N373*$AC$23+O373*$AC$24+P373*$AC$25+Q373*$AC$26+R373*$AC$27+S373*$AC$28+T373*$AC$29+U373*$AC$30</f>
        <v/>
      </c>
      <c r="W373" s="8">
        <f>1/(1+EXP(-V373))</f>
        <v/>
      </c>
      <c r="X373" s="9">
        <f>-IF(C373=1,LN(W373),LN(1-W373))</f>
        <v/>
      </c>
      <c r="Y373" s="10">
        <f>IF(W373&gt;$AC$34,1,0)</f>
        <v/>
      </c>
      <c r="Z373">
        <f>IF(Y373=C373,1,0)</f>
        <v/>
      </c>
    </row>
    <row r="374">
      <c r="A374">
        <f>'1 datos preparados'!A367</f>
        <v/>
      </c>
      <c r="B374" s="5">
        <f>'1 datos preparados'!U367</f>
        <v/>
      </c>
      <c r="C374">
        <f>'1 datos preparados'!B367</f>
        <v/>
      </c>
      <c r="D374" s="7">
        <f>'1 datos preparados'!C367</f>
        <v/>
      </c>
      <c r="E374" s="7">
        <f>'1 datos preparados'!D367</f>
        <v/>
      </c>
      <c r="F374" s="7">
        <f>'1 datos preparados'!E367</f>
        <v/>
      </c>
      <c r="G374" s="7">
        <f>'1 datos preparados'!F367</f>
        <v/>
      </c>
      <c r="H374" s="7">
        <f>'1 datos preparados'!G367</f>
        <v/>
      </c>
      <c r="I374" s="7">
        <f>'1 datos preparados'!H367</f>
        <v/>
      </c>
      <c r="J374" s="7">
        <f>'1 datos preparados'!I367</f>
        <v/>
      </c>
      <c r="K374" s="7">
        <f>'1 datos preparados'!J367</f>
        <v/>
      </c>
      <c r="L374" s="7">
        <f>'1 datos preparados'!K367</f>
        <v/>
      </c>
      <c r="M374" s="7">
        <f>'1 datos preparados'!L367</f>
        <v/>
      </c>
      <c r="N374" s="7">
        <f>'1 datos preparados'!M367</f>
        <v/>
      </c>
      <c r="O374" s="7">
        <f>'1 datos preparados'!N367</f>
        <v/>
      </c>
      <c r="P374" s="7">
        <f>'1 datos preparados'!O367</f>
        <v/>
      </c>
      <c r="Q374" s="7">
        <f>'1 datos preparados'!P367</f>
        <v/>
      </c>
      <c r="R374" s="7">
        <f>'1 datos preparados'!Q367</f>
        <v/>
      </c>
      <c r="S374" s="7">
        <f>'1 datos preparados'!R367</f>
        <v/>
      </c>
      <c r="T374" s="7">
        <f>'1 datos preparados'!S367</f>
        <v/>
      </c>
      <c r="U374" s="7">
        <f>'1 datos preparados'!T367</f>
        <v/>
      </c>
      <c r="V374" s="8">
        <f>$AC$12+D374*$AC$13+E374*$AC$14+F374*$AC$15+G374*$AC$16+H374*$AC$17+I374*$AC$18+J374*$AC$19+K374*$AC$20+L374*$AC$21+M374*$AC$22+N374*$AC$23+O374*$AC$24+P374*$AC$25+Q374*$AC$26+R374*$AC$27+S374*$AC$28+T374*$AC$29+U374*$AC$30</f>
        <v/>
      </c>
      <c r="W374" s="8">
        <f>1/(1+EXP(-V374))</f>
        <v/>
      </c>
      <c r="X374" s="9">
        <f>-IF(C374=1,LN(W374),LN(1-W374))</f>
        <v/>
      </c>
      <c r="Y374" s="10">
        <f>IF(W374&gt;$AC$34,1,0)</f>
        <v/>
      </c>
      <c r="Z374">
        <f>IF(Y374=C374,1,0)</f>
        <v/>
      </c>
    </row>
    <row r="375">
      <c r="A375">
        <f>'1 datos preparados'!A368</f>
        <v/>
      </c>
      <c r="B375" s="5">
        <f>'1 datos preparados'!U368</f>
        <v/>
      </c>
      <c r="C375">
        <f>'1 datos preparados'!B368</f>
        <v/>
      </c>
      <c r="D375" s="7">
        <f>'1 datos preparados'!C368</f>
        <v/>
      </c>
      <c r="E375" s="7">
        <f>'1 datos preparados'!D368</f>
        <v/>
      </c>
      <c r="F375" s="7">
        <f>'1 datos preparados'!E368</f>
        <v/>
      </c>
      <c r="G375" s="7">
        <f>'1 datos preparados'!F368</f>
        <v/>
      </c>
      <c r="H375" s="7">
        <f>'1 datos preparados'!G368</f>
        <v/>
      </c>
      <c r="I375" s="7">
        <f>'1 datos preparados'!H368</f>
        <v/>
      </c>
      <c r="J375" s="7">
        <f>'1 datos preparados'!I368</f>
        <v/>
      </c>
      <c r="K375" s="7">
        <f>'1 datos preparados'!J368</f>
        <v/>
      </c>
      <c r="L375" s="7">
        <f>'1 datos preparados'!K368</f>
        <v/>
      </c>
      <c r="M375" s="7">
        <f>'1 datos preparados'!L368</f>
        <v/>
      </c>
      <c r="N375" s="7">
        <f>'1 datos preparados'!M368</f>
        <v/>
      </c>
      <c r="O375" s="7">
        <f>'1 datos preparados'!N368</f>
        <v/>
      </c>
      <c r="P375" s="7">
        <f>'1 datos preparados'!O368</f>
        <v/>
      </c>
      <c r="Q375" s="7">
        <f>'1 datos preparados'!P368</f>
        <v/>
      </c>
      <c r="R375" s="7">
        <f>'1 datos preparados'!Q368</f>
        <v/>
      </c>
      <c r="S375" s="7">
        <f>'1 datos preparados'!R368</f>
        <v/>
      </c>
      <c r="T375" s="7">
        <f>'1 datos preparados'!S368</f>
        <v/>
      </c>
      <c r="U375" s="7">
        <f>'1 datos preparados'!T368</f>
        <v/>
      </c>
      <c r="V375" s="8">
        <f>$AC$12+D375*$AC$13+E375*$AC$14+F375*$AC$15+G375*$AC$16+H375*$AC$17+I375*$AC$18+J375*$AC$19+K375*$AC$20+L375*$AC$21+M375*$AC$22+N375*$AC$23+O375*$AC$24+P375*$AC$25+Q375*$AC$26+R375*$AC$27+S375*$AC$28+T375*$AC$29+U375*$AC$30</f>
        <v/>
      </c>
      <c r="W375" s="8">
        <f>1/(1+EXP(-V375))</f>
        <v/>
      </c>
      <c r="X375" s="9">
        <f>-IF(C375=1,LN(W375),LN(1-W375))</f>
        <v/>
      </c>
      <c r="Y375" s="10">
        <f>IF(W375&gt;$AC$34,1,0)</f>
        <v/>
      </c>
      <c r="Z375">
        <f>IF(Y375=C375,1,0)</f>
        <v/>
      </c>
    </row>
    <row r="376">
      <c r="A376">
        <f>'1 datos preparados'!A369</f>
        <v/>
      </c>
      <c r="B376" s="5">
        <f>'1 datos preparados'!U369</f>
        <v/>
      </c>
      <c r="C376">
        <f>'1 datos preparados'!B369</f>
        <v/>
      </c>
      <c r="D376" s="7">
        <f>'1 datos preparados'!C369</f>
        <v/>
      </c>
      <c r="E376" s="7">
        <f>'1 datos preparados'!D369</f>
        <v/>
      </c>
      <c r="F376" s="7">
        <f>'1 datos preparados'!E369</f>
        <v/>
      </c>
      <c r="G376" s="7">
        <f>'1 datos preparados'!F369</f>
        <v/>
      </c>
      <c r="H376" s="7">
        <f>'1 datos preparados'!G369</f>
        <v/>
      </c>
      <c r="I376" s="7">
        <f>'1 datos preparados'!H369</f>
        <v/>
      </c>
      <c r="J376" s="7">
        <f>'1 datos preparados'!I369</f>
        <v/>
      </c>
      <c r="K376" s="7">
        <f>'1 datos preparados'!J369</f>
        <v/>
      </c>
      <c r="L376" s="7">
        <f>'1 datos preparados'!K369</f>
        <v/>
      </c>
      <c r="M376" s="7">
        <f>'1 datos preparados'!L369</f>
        <v/>
      </c>
      <c r="N376" s="7">
        <f>'1 datos preparados'!M369</f>
        <v/>
      </c>
      <c r="O376" s="7">
        <f>'1 datos preparados'!N369</f>
        <v/>
      </c>
      <c r="P376" s="7">
        <f>'1 datos preparados'!O369</f>
        <v/>
      </c>
      <c r="Q376" s="7">
        <f>'1 datos preparados'!P369</f>
        <v/>
      </c>
      <c r="R376" s="7">
        <f>'1 datos preparados'!Q369</f>
        <v/>
      </c>
      <c r="S376" s="7">
        <f>'1 datos preparados'!R369</f>
        <v/>
      </c>
      <c r="T376" s="7">
        <f>'1 datos preparados'!S369</f>
        <v/>
      </c>
      <c r="U376" s="7">
        <f>'1 datos preparados'!T369</f>
        <v/>
      </c>
      <c r="V376" s="8">
        <f>$AC$12+D376*$AC$13+E376*$AC$14+F376*$AC$15+G376*$AC$16+H376*$AC$17+I376*$AC$18+J376*$AC$19+K376*$AC$20+L376*$AC$21+M376*$AC$22+N376*$AC$23+O376*$AC$24+P376*$AC$25+Q376*$AC$26+R376*$AC$27+S376*$AC$28+T376*$AC$29+U376*$AC$30</f>
        <v/>
      </c>
      <c r="W376" s="8">
        <f>1/(1+EXP(-V376))</f>
        <v/>
      </c>
      <c r="X376" s="9">
        <f>-IF(C376=1,LN(W376),LN(1-W376))</f>
        <v/>
      </c>
      <c r="Y376" s="10">
        <f>IF(W376&gt;$AC$34,1,0)</f>
        <v/>
      </c>
      <c r="Z376">
        <f>IF(Y376=C376,1,0)</f>
        <v/>
      </c>
    </row>
    <row r="377">
      <c r="A377">
        <f>'1 datos preparados'!A370</f>
        <v/>
      </c>
      <c r="B377" s="5">
        <f>'1 datos preparados'!U370</f>
        <v/>
      </c>
      <c r="C377">
        <f>'1 datos preparados'!B370</f>
        <v/>
      </c>
      <c r="D377" s="7">
        <f>'1 datos preparados'!C370</f>
        <v/>
      </c>
      <c r="E377" s="7">
        <f>'1 datos preparados'!D370</f>
        <v/>
      </c>
      <c r="F377" s="7">
        <f>'1 datos preparados'!E370</f>
        <v/>
      </c>
      <c r="G377" s="7">
        <f>'1 datos preparados'!F370</f>
        <v/>
      </c>
      <c r="H377" s="7">
        <f>'1 datos preparados'!G370</f>
        <v/>
      </c>
      <c r="I377" s="7">
        <f>'1 datos preparados'!H370</f>
        <v/>
      </c>
      <c r="J377" s="7">
        <f>'1 datos preparados'!I370</f>
        <v/>
      </c>
      <c r="K377" s="7">
        <f>'1 datos preparados'!J370</f>
        <v/>
      </c>
      <c r="L377" s="7">
        <f>'1 datos preparados'!K370</f>
        <v/>
      </c>
      <c r="M377" s="7">
        <f>'1 datos preparados'!L370</f>
        <v/>
      </c>
      <c r="N377" s="7">
        <f>'1 datos preparados'!M370</f>
        <v/>
      </c>
      <c r="O377" s="7">
        <f>'1 datos preparados'!N370</f>
        <v/>
      </c>
      <c r="P377" s="7">
        <f>'1 datos preparados'!O370</f>
        <v/>
      </c>
      <c r="Q377" s="7">
        <f>'1 datos preparados'!P370</f>
        <v/>
      </c>
      <c r="R377" s="7">
        <f>'1 datos preparados'!Q370</f>
        <v/>
      </c>
      <c r="S377" s="7">
        <f>'1 datos preparados'!R370</f>
        <v/>
      </c>
      <c r="T377" s="7">
        <f>'1 datos preparados'!S370</f>
        <v/>
      </c>
      <c r="U377" s="7">
        <f>'1 datos preparados'!T370</f>
        <v/>
      </c>
      <c r="V377" s="8">
        <f>$AC$12+D377*$AC$13+E377*$AC$14+F377*$AC$15+G377*$AC$16+H377*$AC$17+I377*$AC$18+J377*$AC$19+K377*$AC$20+L377*$AC$21+M377*$AC$22+N377*$AC$23+O377*$AC$24+P377*$AC$25+Q377*$AC$26+R377*$AC$27+S377*$AC$28+T377*$AC$29+U377*$AC$30</f>
        <v/>
      </c>
      <c r="W377" s="8">
        <f>1/(1+EXP(-V377))</f>
        <v/>
      </c>
      <c r="X377" s="9">
        <f>-IF(C377=1,LN(W377),LN(1-W377))</f>
        <v/>
      </c>
      <c r="Y377" s="10">
        <f>IF(W377&gt;$AC$34,1,0)</f>
        <v/>
      </c>
      <c r="Z377">
        <f>IF(Y377=C377,1,0)</f>
        <v/>
      </c>
    </row>
    <row r="378">
      <c r="A378">
        <f>'1 datos preparados'!A371</f>
        <v/>
      </c>
      <c r="B378" s="5">
        <f>'1 datos preparados'!U371</f>
        <v/>
      </c>
      <c r="C378">
        <f>'1 datos preparados'!B371</f>
        <v/>
      </c>
      <c r="D378" s="7">
        <f>'1 datos preparados'!C371</f>
        <v/>
      </c>
      <c r="E378" s="7">
        <f>'1 datos preparados'!D371</f>
        <v/>
      </c>
      <c r="F378" s="7">
        <f>'1 datos preparados'!E371</f>
        <v/>
      </c>
      <c r="G378" s="7">
        <f>'1 datos preparados'!F371</f>
        <v/>
      </c>
      <c r="H378" s="7">
        <f>'1 datos preparados'!G371</f>
        <v/>
      </c>
      <c r="I378" s="7">
        <f>'1 datos preparados'!H371</f>
        <v/>
      </c>
      <c r="J378" s="7">
        <f>'1 datos preparados'!I371</f>
        <v/>
      </c>
      <c r="K378" s="7">
        <f>'1 datos preparados'!J371</f>
        <v/>
      </c>
      <c r="L378" s="7">
        <f>'1 datos preparados'!K371</f>
        <v/>
      </c>
      <c r="M378" s="7">
        <f>'1 datos preparados'!L371</f>
        <v/>
      </c>
      <c r="N378" s="7">
        <f>'1 datos preparados'!M371</f>
        <v/>
      </c>
      <c r="O378" s="7">
        <f>'1 datos preparados'!N371</f>
        <v/>
      </c>
      <c r="P378" s="7">
        <f>'1 datos preparados'!O371</f>
        <v/>
      </c>
      <c r="Q378" s="7">
        <f>'1 datos preparados'!P371</f>
        <v/>
      </c>
      <c r="R378" s="7">
        <f>'1 datos preparados'!Q371</f>
        <v/>
      </c>
      <c r="S378" s="7">
        <f>'1 datos preparados'!R371</f>
        <v/>
      </c>
      <c r="T378" s="7">
        <f>'1 datos preparados'!S371</f>
        <v/>
      </c>
      <c r="U378" s="7">
        <f>'1 datos preparados'!T371</f>
        <v/>
      </c>
      <c r="V378" s="8">
        <f>$AC$12+D378*$AC$13+E378*$AC$14+F378*$AC$15+G378*$AC$16+H378*$AC$17+I378*$AC$18+J378*$AC$19+K378*$AC$20+L378*$AC$21+M378*$AC$22+N378*$AC$23+O378*$AC$24+P378*$AC$25+Q378*$AC$26+R378*$AC$27+S378*$AC$28+T378*$AC$29+U378*$AC$30</f>
        <v/>
      </c>
      <c r="W378" s="8">
        <f>1/(1+EXP(-V378))</f>
        <v/>
      </c>
      <c r="X378" s="9">
        <f>-IF(C378=1,LN(W378),LN(1-W378))</f>
        <v/>
      </c>
      <c r="Y378" s="10">
        <f>IF(W378&gt;$AC$34,1,0)</f>
        <v/>
      </c>
      <c r="Z378">
        <f>IF(Y378=C378,1,0)</f>
        <v/>
      </c>
    </row>
    <row r="379">
      <c r="A379">
        <f>'1 datos preparados'!A372</f>
        <v/>
      </c>
      <c r="B379" s="5">
        <f>'1 datos preparados'!U372</f>
        <v/>
      </c>
      <c r="C379">
        <f>'1 datos preparados'!B372</f>
        <v/>
      </c>
      <c r="D379" s="7">
        <f>'1 datos preparados'!C372</f>
        <v/>
      </c>
      <c r="E379" s="7">
        <f>'1 datos preparados'!D372</f>
        <v/>
      </c>
      <c r="F379" s="7">
        <f>'1 datos preparados'!E372</f>
        <v/>
      </c>
      <c r="G379" s="7">
        <f>'1 datos preparados'!F372</f>
        <v/>
      </c>
      <c r="H379" s="7">
        <f>'1 datos preparados'!G372</f>
        <v/>
      </c>
      <c r="I379" s="7">
        <f>'1 datos preparados'!H372</f>
        <v/>
      </c>
      <c r="J379" s="7">
        <f>'1 datos preparados'!I372</f>
        <v/>
      </c>
      <c r="K379" s="7">
        <f>'1 datos preparados'!J372</f>
        <v/>
      </c>
      <c r="L379" s="7">
        <f>'1 datos preparados'!K372</f>
        <v/>
      </c>
      <c r="M379" s="7">
        <f>'1 datos preparados'!L372</f>
        <v/>
      </c>
      <c r="N379" s="7">
        <f>'1 datos preparados'!M372</f>
        <v/>
      </c>
      <c r="O379" s="7">
        <f>'1 datos preparados'!N372</f>
        <v/>
      </c>
      <c r="P379" s="7">
        <f>'1 datos preparados'!O372</f>
        <v/>
      </c>
      <c r="Q379" s="7">
        <f>'1 datos preparados'!P372</f>
        <v/>
      </c>
      <c r="R379" s="7">
        <f>'1 datos preparados'!Q372</f>
        <v/>
      </c>
      <c r="S379" s="7">
        <f>'1 datos preparados'!R372</f>
        <v/>
      </c>
      <c r="T379" s="7">
        <f>'1 datos preparados'!S372</f>
        <v/>
      </c>
      <c r="U379" s="7">
        <f>'1 datos preparados'!T372</f>
        <v/>
      </c>
      <c r="V379" s="8">
        <f>$AC$12+D379*$AC$13+E379*$AC$14+F379*$AC$15+G379*$AC$16+H379*$AC$17+I379*$AC$18+J379*$AC$19+K379*$AC$20+L379*$AC$21+M379*$AC$22+N379*$AC$23+O379*$AC$24+P379*$AC$25+Q379*$AC$26+R379*$AC$27+S379*$AC$28+T379*$AC$29+U379*$AC$30</f>
        <v/>
      </c>
      <c r="W379" s="8">
        <f>1/(1+EXP(-V379))</f>
        <v/>
      </c>
      <c r="X379" s="9">
        <f>-IF(C379=1,LN(W379),LN(1-W379))</f>
        <v/>
      </c>
      <c r="Y379" s="10">
        <f>IF(W379&gt;$AC$34,1,0)</f>
        <v/>
      </c>
      <c r="Z379">
        <f>IF(Y379=C379,1,0)</f>
        <v/>
      </c>
    </row>
    <row r="380">
      <c r="A380">
        <f>'1 datos preparados'!A373</f>
        <v/>
      </c>
      <c r="B380" s="5">
        <f>'1 datos preparados'!U373</f>
        <v/>
      </c>
      <c r="C380">
        <f>'1 datos preparados'!B373</f>
        <v/>
      </c>
      <c r="D380" s="7">
        <f>'1 datos preparados'!C373</f>
        <v/>
      </c>
      <c r="E380" s="7">
        <f>'1 datos preparados'!D373</f>
        <v/>
      </c>
      <c r="F380" s="7">
        <f>'1 datos preparados'!E373</f>
        <v/>
      </c>
      <c r="G380" s="7">
        <f>'1 datos preparados'!F373</f>
        <v/>
      </c>
      <c r="H380" s="7">
        <f>'1 datos preparados'!G373</f>
        <v/>
      </c>
      <c r="I380" s="7">
        <f>'1 datos preparados'!H373</f>
        <v/>
      </c>
      <c r="J380" s="7">
        <f>'1 datos preparados'!I373</f>
        <v/>
      </c>
      <c r="K380" s="7">
        <f>'1 datos preparados'!J373</f>
        <v/>
      </c>
      <c r="L380" s="7">
        <f>'1 datos preparados'!K373</f>
        <v/>
      </c>
      <c r="M380" s="7">
        <f>'1 datos preparados'!L373</f>
        <v/>
      </c>
      <c r="N380" s="7">
        <f>'1 datos preparados'!M373</f>
        <v/>
      </c>
      <c r="O380" s="7">
        <f>'1 datos preparados'!N373</f>
        <v/>
      </c>
      <c r="P380" s="7">
        <f>'1 datos preparados'!O373</f>
        <v/>
      </c>
      <c r="Q380" s="7">
        <f>'1 datos preparados'!P373</f>
        <v/>
      </c>
      <c r="R380" s="7">
        <f>'1 datos preparados'!Q373</f>
        <v/>
      </c>
      <c r="S380" s="7">
        <f>'1 datos preparados'!R373</f>
        <v/>
      </c>
      <c r="T380" s="7">
        <f>'1 datos preparados'!S373</f>
        <v/>
      </c>
      <c r="U380" s="7">
        <f>'1 datos preparados'!T373</f>
        <v/>
      </c>
      <c r="V380" s="8">
        <f>$AC$12+D380*$AC$13+E380*$AC$14+F380*$AC$15+G380*$AC$16+H380*$AC$17+I380*$AC$18+J380*$AC$19+K380*$AC$20+L380*$AC$21+M380*$AC$22+N380*$AC$23+O380*$AC$24+P380*$AC$25+Q380*$AC$26+R380*$AC$27+S380*$AC$28+T380*$AC$29+U380*$AC$30</f>
        <v/>
      </c>
      <c r="W380" s="8">
        <f>1/(1+EXP(-V380))</f>
        <v/>
      </c>
      <c r="X380" s="9">
        <f>-IF(C380=1,LN(W380),LN(1-W380))</f>
        <v/>
      </c>
      <c r="Y380" s="10">
        <f>IF(W380&gt;$AC$34,1,0)</f>
        <v/>
      </c>
      <c r="Z380">
        <f>IF(Y380=C380,1,0)</f>
        <v/>
      </c>
    </row>
    <row r="381">
      <c r="A381">
        <f>'1 datos preparados'!A374</f>
        <v/>
      </c>
      <c r="B381" s="5">
        <f>'1 datos preparados'!U374</f>
        <v/>
      </c>
      <c r="C381">
        <f>'1 datos preparados'!B374</f>
        <v/>
      </c>
      <c r="D381" s="7">
        <f>'1 datos preparados'!C374</f>
        <v/>
      </c>
      <c r="E381" s="7">
        <f>'1 datos preparados'!D374</f>
        <v/>
      </c>
      <c r="F381" s="7">
        <f>'1 datos preparados'!E374</f>
        <v/>
      </c>
      <c r="G381" s="7">
        <f>'1 datos preparados'!F374</f>
        <v/>
      </c>
      <c r="H381" s="7">
        <f>'1 datos preparados'!G374</f>
        <v/>
      </c>
      <c r="I381" s="7">
        <f>'1 datos preparados'!H374</f>
        <v/>
      </c>
      <c r="J381" s="7">
        <f>'1 datos preparados'!I374</f>
        <v/>
      </c>
      <c r="K381" s="7">
        <f>'1 datos preparados'!J374</f>
        <v/>
      </c>
      <c r="L381" s="7">
        <f>'1 datos preparados'!K374</f>
        <v/>
      </c>
      <c r="M381" s="7">
        <f>'1 datos preparados'!L374</f>
        <v/>
      </c>
      <c r="N381" s="7">
        <f>'1 datos preparados'!M374</f>
        <v/>
      </c>
      <c r="O381" s="7">
        <f>'1 datos preparados'!N374</f>
        <v/>
      </c>
      <c r="P381" s="7">
        <f>'1 datos preparados'!O374</f>
        <v/>
      </c>
      <c r="Q381" s="7">
        <f>'1 datos preparados'!P374</f>
        <v/>
      </c>
      <c r="R381" s="7">
        <f>'1 datos preparados'!Q374</f>
        <v/>
      </c>
      <c r="S381" s="7">
        <f>'1 datos preparados'!R374</f>
        <v/>
      </c>
      <c r="T381" s="7">
        <f>'1 datos preparados'!S374</f>
        <v/>
      </c>
      <c r="U381" s="7">
        <f>'1 datos preparados'!T374</f>
        <v/>
      </c>
      <c r="V381" s="8">
        <f>$AC$12+D381*$AC$13+E381*$AC$14+F381*$AC$15+G381*$AC$16+H381*$AC$17+I381*$AC$18+J381*$AC$19+K381*$AC$20+L381*$AC$21+M381*$AC$22+N381*$AC$23+O381*$AC$24+P381*$AC$25+Q381*$AC$26+R381*$AC$27+S381*$AC$28+T381*$AC$29+U381*$AC$30</f>
        <v/>
      </c>
      <c r="W381" s="8">
        <f>1/(1+EXP(-V381))</f>
        <v/>
      </c>
      <c r="X381" s="9">
        <f>-IF(C381=1,LN(W381),LN(1-W381))</f>
        <v/>
      </c>
      <c r="Y381" s="10">
        <f>IF(W381&gt;$AC$34,1,0)</f>
        <v/>
      </c>
      <c r="Z381">
        <f>IF(Y381=C381,1,0)</f>
        <v/>
      </c>
    </row>
    <row r="382">
      <c r="A382">
        <f>'1 datos preparados'!A375</f>
        <v/>
      </c>
      <c r="B382" s="5">
        <f>'1 datos preparados'!U375</f>
        <v/>
      </c>
      <c r="C382">
        <f>'1 datos preparados'!B375</f>
        <v/>
      </c>
      <c r="D382" s="7">
        <f>'1 datos preparados'!C375</f>
        <v/>
      </c>
      <c r="E382" s="7">
        <f>'1 datos preparados'!D375</f>
        <v/>
      </c>
      <c r="F382" s="7">
        <f>'1 datos preparados'!E375</f>
        <v/>
      </c>
      <c r="G382" s="7">
        <f>'1 datos preparados'!F375</f>
        <v/>
      </c>
      <c r="H382" s="7">
        <f>'1 datos preparados'!G375</f>
        <v/>
      </c>
      <c r="I382" s="7">
        <f>'1 datos preparados'!H375</f>
        <v/>
      </c>
      <c r="J382" s="7">
        <f>'1 datos preparados'!I375</f>
        <v/>
      </c>
      <c r="K382" s="7">
        <f>'1 datos preparados'!J375</f>
        <v/>
      </c>
      <c r="L382" s="7">
        <f>'1 datos preparados'!K375</f>
        <v/>
      </c>
      <c r="M382" s="7">
        <f>'1 datos preparados'!L375</f>
        <v/>
      </c>
      <c r="N382" s="7">
        <f>'1 datos preparados'!M375</f>
        <v/>
      </c>
      <c r="O382" s="7">
        <f>'1 datos preparados'!N375</f>
        <v/>
      </c>
      <c r="P382" s="7">
        <f>'1 datos preparados'!O375</f>
        <v/>
      </c>
      <c r="Q382" s="7">
        <f>'1 datos preparados'!P375</f>
        <v/>
      </c>
      <c r="R382" s="7">
        <f>'1 datos preparados'!Q375</f>
        <v/>
      </c>
      <c r="S382" s="7">
        <f>'1 datos preparados'!R375</f>
        <v/>
      </c>
      <c r="T382" s="7">
        <f>'1 datos preparados'!S375</f>
        <v/>
      </c>
      <c r="U382" s="7">
        <f>'1 datos preparados'!T375</f>
        <v/>
      </c>
      <c r="V382" s="8">
        <f>$AC$12+D382*$AC$13+E382*$AC$14+F382*$AC$15+G382*$AC$16+H382*$AC$17+I382*$AC$18+J382*$AC$19+K382*$AC$20+L382*$AC$21+M382*$AC$22+N382*$AC$23+O382*$AC$24+P382*$AC$25+Q382*$AC$26+R382*$AC$27+S382*$AC$28+T382*$AC$29+U382*$AC$30</f>
        <v/>
      </c>
      <c r="W382" s="8">
        <f>1/(1+EXP(-V382))</f>
        <v/>
      </c>
      <c r="X382" s="9">
        <f>-IF(C382=1,LN(W382),LN(1-W382))</f>
        <v/>
      </c>
      <c r="Y382" s="10">
        <f>IF(W382&gt;$AC$34,1,0)</f>
        <v/>
      </c>
      <c r="Z382">
        <f>IF(Y382=C382,1,0)</f>
        <v/>
      </c>
    </row>
    <row r="383">
      <c r="A383">
        <f>'1 datos preparados'!A376</f>
        <v/>
      </c>
      <c r="B383" s="5">
        <f>'1 datos preparados'!U376</f>
        <v/>
      </c>
      <c r="C383">
        <f>'1 datos preparados'!B376</f>
        <v/>
      </c>
      <c r="D383" s="7">
        <f>'1 datos preparados'!C376</f>
        <v/>
      </c>
      <c r="E383" s="7">
        <f>'1 datos preparados'!D376</f>
        <v/>
      </c>
      <c r="F383" s="7">
        <f>'1 datos preparados'!E376</f>
        <v/>
      </c>
      <c r="G383" s="7">
        <f>'1 datos preparados'!F376</f>
        <v/>
      </c>
      <c r="H383" s="7">
        <f>'1 datos preparados'!G376</f>
        <v/>
      </c>
      <c r="I383" s="7">
        <f>'1 datos preparados'!H376</f>
        <v/>
      </c>
      <c r="J383" s="7">
        <f>'1 datos preparados'!I376</f>
        <v/>
      </c>
      <c r="K383" s="7">
        <f>'1 datos preparados'!J376</f>
        <v/>
      </c>
      <c r="L383" s="7">
        <f>'1 datos preparados'!K376</f>
        <v/>
      </c>
      <c r="M383" s="7">
        <f>'1 datos preparados'!L376</f>
        <v/>
      </c>
      <c r="N383" s="7">
        <f>'1 datos preparados'!M376</f>
        <v/>
      </c>
      <c r="O383" s="7">
        <f>'1 datos preparados'!N376</f>
        <v/>
      </c>
      <c r="P383" s="7">
        <f>'1 datos preparados'!O376</f>
        <v/>
      </c>
      <c r="Q383" s="7">
        <f>'1 datos preparados'!P376</f>
        <v/>
      </c>
      <c r="R383" s="7">
        <f>'1 datos preparados'!Q376</f>
        <v/>
      </c>
      <c r="S383" s="7">
        <f>'1 datos preparados'!R376</f>
        <v/>
      </c>
      <c r="T383" s="7">
        <f>'1 datos preparados'!S376</f>
        <v/>
      </c>
      <c r="U383" s="7">
        <f>'1 datos preparados'!T376</f>
        <v/>
      </c>
      <c r="V383" s="8">
        <f>$AC$12+D383*$AC$13+E383*$AC$14+F383*$AC$15+G383*$AC$16+H383*$AC$17+I383*$AC$18+J383*$AC$19+K383*$AC$20+L383*$AC$21+M383*$AC$22+N383*$AC$23+O383*$AC$24+P383*$AC$25+Q383*$AC$26+R383*$AC$27+S383*$AC$28+T383*$AC$29+U383*$AC$30</f>
        <v/>
      </c>
      <c r="W383" s="8">
        <f>1/(1+EXP(-V383))</f>
        <v/>
      </c>
      <c r="X383" s="9">
        <f>-IF(C383=1,LN(W383),LN(1-W383))</f>
        <v/>
      </c>
      <c r="Y383" s="10">
        <f>IF(W383&gt;$AC$34,1,0)</f>
        <v/>
      </c>
      <c r="Z383">
        <f>IF(Y383=C383,1,0)</f>
        <v/>
      </c>
    </row>
    <row r="384">
      <c r="A384">
        <f>'1 datos preparados'!A377</f>
        <v/>
      </c>
      <c r="B384" s="5">
        <f>'1 datos preparados'!U377</f>
        <v/>
      </c>
      <c r="C384">
        <f>'1 datos preparados'!B377</f>
        <v/>
      </c>
      <c r="D384" s="7">
        <f>'1 datos preparados'!C377</f>
        <v/>
      </c>
      <c r="E384" s="7">
        <f>'1 datos preparados'!D377</f>
        <v/>
      </c>
      <c r="F384" s="7">
        <f>'1 datos preparados'!E377</f>
        <v/>
      </c>
      <c r="G384" s="7">
        <f>'1 datos preparados'!F377</f>
        <v/>
      </c>
      <c r="H384" s="7">
        <f>'1 datos preparados'!G377</f>
        <v/>
      </c>
      <c r="I384" s="7">
        <f>'1 datos preparados'!H377</f>
        <v/>
      </c>
      <c r="J384" s="7">
        <f>'1 datos preparados'!I377</f>
        <v/>
      </c>
      <c r="K384" s="7">
        <f>'1 datos preparados'!J377</f>
        <v/>
      </c>
      <c r="L384" s="7">
        <f>'1 datos preparados'!K377</f>
        <v/>
      </c>
      <c r="M384" s="7">
        <f>'1 datos preparados'!L377</f>
        <v/>
      </c>
      <c r="N384" s="7">
        <f>'1 datos preparados'!M377</f>
        <v/>
      </c>
      <c r="O384" s="7">
        <f>'1 datos preparados'!N377</f>
        <v/>
      </c>
      <c r="P384" s="7">
        <f>'1 datos preparados'!O377</f>
        <v/>
      </c>
      <c r="Q384" s="7">
        <f>'1 datos preparados'!P377</f>
        <v/>
      </c>
      <c r="R384" s="7">
        <f>'1 datos preparados'!Q377</f>
        <v/>
      </c>
      <c r="S384" s="7">
        <f>'1 datos preparados'!R377</f>
        <v/>
      </c>
      <c r="T384" s="7">
        <f>'1 datos preparados'!S377</f>
        <v/>
      </c>
      <c r="U384" s="7">
        <f>'1 datos preparados'!T377</f>
        <v/>
      </c>
      <c r="V384" s="8">
        <f>$AC$12+D384*$AC$13+E384*$AC$14+F384*$AC$15+G384*$AC$16+H384*$AC$17+I384*$AC$18+J384*$AC$19+K384*$AC$20+L384*$AC$21+M384*$AC$22+N384*$AC$23+O384*$AC$24+P384*$AC$25+Q384*$AC$26+R384*$AC$27+S384*$AC$28+T384*$AC$29+U384*$AC$30</f>
        <v/>
      </c>
      <c r="W384" s="8">
        <f>1/(1+EXP(-V384))</f>
        <v/>
      </c>
      <c r="X384" s="9">
        <f>-IF(C384=1,LN(W384),LN(1-W384))</f>
        <v/>
      </c>
      <c r="Y384" s="10">
        <f>IF(W384&gt;$AC$34,1,0)</f>
        <v/>
      </c>
      <c r="Z384">
        <f>IF(Y384=C384,1,0)</f>
        <v/>
      </c>
    </row>
    <row r="385">
      <c r="A385">
        <f>'1 datos preparados'!A378</f>
        <v/>
      </c>
      <c r="B385" s="5">
        <f>'1 datos preparados'!U378</f>
        <v/>
      </c>
      <c r="C385">
        <f>'1 datos preparados'!B378</f>
        <v/>
      </c>
      <c r="D385" s="7">
        <f>'1 datos preparados'!C378</f>
        <v/>
      </c>
      <c r="E385" s="7">
        <f>'1 datos preparados'!D378</f>
        <v/>
      </c>
      <c r="F385" s="7">
        <f>'1 datos preparados'!E378</f>
        <v/>
      </c>
      <c r="G385" s="7">
        <f>'1 datos preparados'!F378</f>
        <v/>
      </c>
      <c r="H385" s="7">
        <f>'1 datos preparados'!G378</f>
        <v/>
      </c>
      <c r="I385" s="7">
        <f>'1 datos preparados'!H378</f>
        <v/>
      </c>
      <c r="J385" s="7">
        <f>'1 datos preparados'!I378</f>
        <v/>
      </c>
      <c r="K385" s="7">
        <f>'1 datos preparados'!J378</f>
        <v/>
      </c>
      <c r="L385" s="7">
        <f>'1 datos preparados'!K378</f>
        <v/>
      </c>
      <c r="M385" s="7">
        <f>'1 datos preparados'!L378</f>
        <v/>
      </c>
      <c r="N385" s="7">
        <f>'1 datos preparados'!M378</f>
        <v/>
      </c>
      <c r="O385" s="7">
        <f>'1 datos preparados'!N378</f>
        <v/>
      </c>
      <c r="P385" s="7">
        <f>'1 datos preparados'!O378</f>
        <v/>
      </c>
      <c r="Q385" s="7">
        <f>'1 datos preparados'!P378</f>
        <v/>
      </c>
      <c r="R385" s="7">
        <f>'1 datos preparados'!Q378</f>
        <v/>
      </c>
      <c r="S385" s="7">
        <f>'1 datos preparados'!R378</f>
        <v/>
      </c>
      <c r="T385" s="7">
        <f>'1 datos preparados'!S378</f>
        <v/>
      </c>
      <c r="U385" s="7">
        <f>'1 datos preparados'!T378</f>
        <v/>
      </c>
      <c r="V385" s="8">
        <f>$AC$12+D385*$AC$13+E385*$AC$14+F385*$AC$15+G385*$AC$16+H385*$AC$17+I385*$AC$18+J385*$AC$19+K385*$AC$20+L385*$AC$21+M385*$AC$22+N385*$AC$23+O385*$AC$24+P385*$AC$25+Q385*$AC$26+R385*$AC$27+S385*$AC$28+T385*$AC$29+U385*$AC$30</f>
        <v/>
      </c>
      <c r="W385" s="8">
        <f>1/(1+EXP(-V385))</f>
        <v/>
      </c>
      <c r="X385" s="9">
        <f>-IF(C385=1,LN(W385),LN(1-W385))</f>
        <v/>
      </c>
      <c r="Y385" s="10">
        <f>IF(W385&gt;$AC$34,1,0)</f>
        <v/>
      </c>
      <c r="Z385">
        <f>IF(Y385=C385,1,0)</f>
        <v/>
      </c>
    </row>
    <row r="386">
      <c r="A386">
        <f>'1 datos preparados'!A379</f>
        <v/>
      </c>
      <c r="B386" s="5">
        <f>'1 datos preparados'!U379</f>
        <v/>
      </c>
      <c r="C386">
        <f>'1 datos preparados'!B379</f>
        <v/>
      </c>
      <c r="D386" s="7">
        <f>'1 datos preparados'!C379</f>
        <v/>
      </c>
      <c r="E386" s="7">
        <f>'1 datos preparados'!D379</f>
        <v/>
      </c>
      <c r="F386" s="7">
        <f>'1 datos preparados'!E379</f>
        <v/>
      </c>
      <c r="G386" s="7">
        <f>'1 datos preparados'!F379</f>
        <v/>
      </c>
      <c r="H386" s="7">
        <f>'1 datos preparados'!G379</f>
        <v/>
      </c>
      <c r="I386" s="7">
        <f>'1 datos preparados'!H379</f>
        <v/>
      </c>
      <c r="J386" s="7">
        <f>'1 datos preparados'!I379</f>
        <v/>
      </c>
      <c r="K386" s="7">
        <f>'1 datos preparados'!J379</f>
        <v/>
      </c>
      <c r="L386" s="7">
        <f>'1 datos preparados'!K379</f>
        <v/>
      </c>
      <c r="M386" s="7">
        <f>'1 datos preparados'!L379</f>
        <v/>
      </c>
      <c r="N386" s="7">
        <f>'1 datos preparados'!M379</f>
        <v/>
      </c>
      <c r="O386" s="7">
        <f>'1 datos preparados'!N379</f>
        <v/>
      </c>
      <c r="P386" s="7">
        <f>'1 datos preparados'!O379</f>
        <v/>
      </c>
      <c r="Q386" s="7">
        <f>'1 datos preparados'!P379</f>
        <v/>
      </c>
      <c r="R386" s="7">
        <f>'1 datos preparados'!Q379</f>
        <v/>
      </c>
      <c r="S386" s="7">
        <f>'1 datos preparados'!R379</f>
        <v/>
      </c>
      <c r="T386" s="7">
        <f>'1 datos preparados'!S379</f>
        <v/>
      </c>
      <c r="U386" s="7">
        <f>'1 datos preparados'!T379</f>
        <v/>
      </c>
      <c r="V386" s="8">
        <f>$AC$12+D386*$AC$13+E386*$AC$14+F386*$AC$15+G386*$AC$16+H386*$AC$17+I386*$AC$18+J386*$AC$19+K386*$AC$20+L386*$AC$21+M386*$AC$22+N386*$AC$23+O386*$AC$24+P386*$AC$25+Q386*$AC$26+R386*$AC$27+S386*$AC$28+T386*$AC$29+U386*$AC$30</f>
        <v/>
      </c>
      <c r="W386" s="8">
        <f>1/(1+EXP(-V386))</f>
        <v/>
      </c>
      <c r="X386" s="9">
        <f>-IF(C386=1,LN(W386),LN(1-W386))</f>
        <v/>
      </c>
      <c r="Y386" s="10">
        <f>IF(W386&gt;$AC$34,1,0)</f>
        <v/>
      </c>
      <c r="Z386">
        <f>IF(Y386=C386,1,0)</f>
        <v/>
      </c>
    </row>
    <row r="387">
      <c r="A387">
        <f>'1 datos preparados'!A380</f>
        <v/>
      </c>
      <c r="B387" s="5">
        <f>'1 datos preparados'!U380</f>
        <v/>
      </c>
      <c r="C387">
        <f>'1 datos preparados'!B380</f>
        <v/>
      </c>
      <c r="D387" s="7">
        <f>'1 datos preparados'!C380</f>
        <v/>
      </c>
      <c r="E387" s="7">
        <f>'1 datos preparados'!D380</f>
        <v/>
      </c>
      <c r="F387" s="7">
        <f>'1 datos preparados'!E380</f>
        <v/>
      </c>
      <c r="G387" s="7">
        <f>'1 datos preparados'!F380</f>
        <v/>
      </c>
      <c r="H387" s="7">
        <f>'1 datos preparados'!G380</f>
        <v/>
      </c>
      <c r="I387" s="7">
        <f>'1 datos preparados'!H380</f>
        <v/>
      </c>
      <c r="J387" s="7">
        <f>'1 datos preparados'!I380</f>
        <v/>
      </c>
      <c r="K387" s="7">
        <f>'1 datos preparados'!J380</f>
        <v/>
      </c>
      <c r="L387" s="7">
        <f>'1 datos preparados'!K380</f>
        <v/>
      </c>
      <c r="M387" s="7">
        <f>'1 datos preparados'!L380</f>
        <v/>
      </c>
      <c r="N387" s="7">
        <f>'1 datos preparados'!M380</f>
        <v/>
      </c>
      <c r="O387" s="7">
        <f>'1 datos preparados'!N380</f>
        <v/>
      </c>
      <c r="P387" s="7">
        <f>'1 datos preparados'!O380</f>
        <v/>
      </c>
      <c r="Q387" s="7">
        <f>'1 datos preparados'!P380</f>
        <v/>
      </c>
      <c r="R387" s="7">
        <f>'1 datos preparados'!Q380</f>
        <v/>
      </c>
      <c r="S387" s="7">
        <f>'1 datos preparados'!R380</f>
        <v/>
      </c>
      <c r="T387" s="7">
        <f>'1 datos preparados'!S380</f>
        <v/>
      </c>
      <c r="U387" s="7">
        <f>'1 datos preparados'!T380</f>
        <v/>
      </c>
      <c r="V387" s="8">
        <f>$AC$12+D387*$AC$13+E387*$AC$14+F387*$AC$15+G387*$AC$16+H387*$AC$17+I387*$AC$18+J387*$AC$19+K387*$AC$20+L387*$AC$21+M387*$AC$22+N387*$AC$23+O387*$AC$24+P387*$AC$25+Q387*$AC$26+R387*$AC$27+S387*$AC$28+T387*$AC$29+U387*$AC$30</f>
        <v/>
      </c>
      <c r="W387" s="8">
        <f>1/(1+EXP(-V387))</f>
        <v/>
      </c>
      <c r="X387" s="9">
        <f>-IF(C387=1,LN(W387),LN(1-W387))</f>
        <v/>
      </c>
      <c r="Y387" s="10">
        <f>IF(W387&gt;$AC$34,1,0)</f>
        <v/>
      </c>
      <c r="Z387">
        <f>IF(Y387=C387,1,0)</f>
        <v/>
      </c>
    </row>
    <row r="388">
      <c r="A388">
        <f>'1 datos preparados'!A381</f>
        <v/>
      </c>
      <c r="B388" s="5">
        <f>'1 datos preparados'!U381</f>
        <v/>
      </c>
      <c r="C388">
        <f>'1 datos preparados'!B381</f>
        <v/>
      </c>
      <c r="D388" s="7">
        <f>'1 datos preparados'!C381</f>
        <v/>
      </c>
      <c r="E388" s="7">
        <f>'1 datos preparados'!D381</f>
        <v/>
      </c>
      <c r="F388" s="7">
        <f>'1 datos preparados'!E381</f>
        <v/>
      </c>
      <c r="G388" s="7">
        <f>'1 datos preparados'!F381</f>
        <v/>
      </c>
      <c r="H388" s="7">
        <f>'1 datos preparados'!G381</f>
        <v/>
      </c>
      <c r="I388" s="7">
        <f>'1 datos preparados'!H381</f>
        <v/>
      </c>
      <c r="J388" s="7">
        <f>'1 datos preparados'!I381</f>
        <v/>
      </c>
      <c r="K388" s="7">
        <f>'1 datos preparados'!J381</f>
        <v/>
      </c>
      <c r="L388" s="7">
        <f>'1 datos preparados'!K381</f>
        <v/>
      </c>
      <c r="M388" s="7">
        <f>'1 datos preparados'!L381</f>
        <v/>
      </c>
      <c r="N388" s="7">
        <f>'1 datos preparados'!M381</f>
        <v/>
      </c>
      <c r="O388" s="7">
        <f>'1 datos preparados'!N381</f>
        <v/>
      </c>
      <c r="P388" s="7">
        <f>'1 datos preparados'!O381</f>
        <v/>
      </c>
      <c r="Q388" s="7">
        <f>'1 datos preparados'!P381</f>
        <v/>
      </c>
      <c r="R388" s="7">
        <f>'1 datos preparados'!Q381</f>
        <v/>
      </c>
      <c r="S388" s="7">
        <f>'1 datos preparados'!R381</f>
        <v/>
      </c>
      <c r="T388" s="7">
        <f>'1 datos preparados'!S381</f>
        <v/>
      </c>
      <c r="U388" s="7">
        <f>'1 datos preparados'!T381</f>
        <v/>
      </c>
      <c r="V388" s="8">
        <f>$AC$12+D388*$AC$13+E388*$AC$14+F388*$AC$15+G388*$AC$16+H388*$AC$17+I388*$AC$18+J388*$AC$19+K388*$AC$20+L388*$AC$21+M388*$AC$22+N388*$AC$23+O388*$AC$24+P388*$AC$25+Q388*$AC$26+R388*$AC$27+S388*$AC$28+T388*$AC$29+U388*$AC$30</f>
        <v/>
      </c>
      <c r="W388" s="8">
        <f>1/(1+EXP(-V388))</f>
        <v/>
      </c>
      <c r="X388" s="9">
        <f>-IF(C388=1,LN(W388),LN(1-W388))</f>
        <v/>
      </c>
      <c r="Y388" s="10">
        <f>IF(W388&gt;$AC$34,1,0)</f>
        <v/>
      </c>
      <c r="Z388">
        <f>IF(Y388=C388,1,0)</f>
        <v/>
      </c>
    </row>
    <row r="389">
      <c r="A389">
        <f>'1 datos preparados'!A382</f>
        <v/>
      </c>
      <c r="B389" s="5">
        <f>'1 datos preparados'!U382</f>
        <v/>
      </c>
      <c r="C389">
        <f>'1 datos preparados'!B382</f>
        <v/>
      </c>
      <c r="D389" s="7">
        <f>'1 datos preparados'!C382</f>
        <v/>
      </c>
      <c r="E389" s="7">
        <f>'1 datos preparados'!D382</f>
        <v/>
      </c>
      <c r="F389" s="7">
        <f>'1 datos preparados'!E382</f>
        <v/>
      </c>
      <c r="G389" s="7">
        <f>'1 datos preparados'!F382</f>
        <v/>
      </c>
      <c r="H389" s="7">
        <f>'1 datos preparados'!G382</f>
        <v/>
      </c>
      <c r="I389" s="7">
        <f>'1 datos preparados'!H382</f>
        <v/>
      </c>
      <c r="J389" s="7">
        <f>'1 datos preparados'!I382</f>
        <v/>
      </c>
      <c r="K389" s="7">
        <f>'1 datos preparados'!J382</f>
        <v/>
      </c>
      <c r="L389" s="7">
        <f>'1 datos preparados'!K382</f>
        <v/>
      </c>
      <c r="M389" s="7">
        <f>'1 datos preparados'!L382</f>
        <v/>
      </c>
      <c r="N389" s="7">
        <f>'1 datos preparados'!M382</f>
        <v/>
      </c>
      <c r="O389" s="7">
        <f>'1 datos preparados'!N382</f>
        <v/>
      </c>
      <c r="P389" s="7">
        <f>'1 datos preparados'!O382</f>
        <v/>
      </c>
      <c r="Q389" s="7">
        <f>'1 datos preparados'!P382</f>
        <v/>
      </c>
      <c r="R389" s="7">
        <f>'1 datos preparados'!Q382</f>
        <v/>
      </c>
      <c r="S389" s="7">
        <f>'1 datos preparados'!R382</f>
        <v/>
      </c>
      <c r="T389" s="7">
        <f>'1 datos preparados'!S382</f>
        <v/>
      </c>
      <c r="U389" s="7">
        <f>'1 datos preparados'!T382</f>
        <v/>
      </c>
      <c r="V389" s="8">
        <f>$AC$12+D389*$AC$13+E389*$AC$14+F389*$AC$15+G389*$AC$16+H389*$AC$17+I389*$AC$18+J389*$AC$19+K389*$AC$20+L389*$AC$21+M389*$AC$22+N389*$AC$23+O389*$AC$24+P389*$AC$25+Q389*$AC$26+R389*$AC$27+S389*$AC$28+T389*$AC$29+U389*$AC$30</f>
        <v/>
      </c>
      <c r="W389" s="8">
        <f>1/(1+EXP(-V389))</f>
        <v/>
      </c>
      <c r="X389" s="9">
        <f>-IF(C389=1,LN(W389),LN(1-W389))</f>
        <v/>
      </c>
      <c r="Y389" s="10">
        <f>IF(W389&gt;$AC$34,1,0)</f>
        <v/>
      </c>
      <c r="Z389">
        <f>IF(Y389=C389,1,0)</f>
        <v/>
      </c>
    </row>
    <row r="390">
      <c r="A390">
        <f>'1 datos preparados'!A383</f>
        <v/>
      </c>
      <c r="B390" s="5">
        <f>'1 datos preparados'!U383</f>
        <v/>
      </c>
      <c r="C390">
        <f>'1 datos preparados'!B383</f>
        <v/>
      </c>
      <c r="D390" s="7">
        <f>'1 datos preparados'!C383</f>
        <v/>
      </c>
      <c r="E390" s="7">
        <f>'1 datos preparados'!D383</f>
        <v/>
      </c>
      <c r="F390" s="7">
        <f>'1 datos preparados'!E383</f>
        <v/>
      </c>
      <c r="G390" s="7">
        <f>'1 datos preparados'!F383</f>
        <v/>
      </c>
      <c r="H390" s="7">
        <f>'1 datos preparados'!G383</f>
        <v/>
      </c>
      <c r="I390" s="7">
        <f>'1 datos preparados'!H383</f>
        <v/>
      </c>
      <c r="J390" s="7">
        <f>'1 datos preparados'!I383</f>
        <v/>
      </c>
      <c r="K390" s="7">
        <f>'1 datos preparados'!J383</f>
        <v/>
      </c>
      <c r="L390" s="7">
        <f>'1 datos preparados'!K383</f>
        <v/>
      </c>
      <c r="M390" s="7">
        <f>'1 datos preparados'!L383</f>
        <v/>
      </c>
      <c r="N390" s="7">
        <f>'1 datos preparados'!M383</f>
        <v/>
      </c>
      <c r="O390" s="7">
        <f>'1 datos preparados'!N383</f>
        <v/>
      </c>
      <c r="P390" s="7">
        <f>'1 datos preparados'!O383</f>
        <v/>
      </c>
      <c r="Q390" s="7">
        <f>'1 datos preparados'!P383</f>
        <v/>
      </c>
      <c r="R390" s="7">
        <f>'1 datos preparados'!Q383</f>
        <v/>
      </c>
      <c r="S390" s="7">
        <f>'1 datos preparados'!R383</f>
        <v/>
      </c>
      <c r="T390" s="7">
        <f>'1 datos preparados'!S383</f>
        <v/>
      </c>
      <c r="U390" s="7">
        <f>'1 datos preparados'!T383</f>
        <v/>
      </c>
      <c r="V390" s="8">
        <f>$AC$12+D390*$AC$13+E390*$AC$14+F390*$AC$15+G390*$AC$16+H390*$AC$17+I390*$AC$18+J390*$AC$19+K390*$AC$20+L390*$AC$21+M390*$AC$22+N390*$AC$23+O390*$AC$24+P390*$AC$25+Q390*$AC$26+R390*$AC$27+S390*$AC$28+T390*$AC$29+U390*$AC$30</f>
        <v/>
      </c>
      <c r="W390" s="8">
        <f>1/(1+EXP(-V390))</f>
        <v/>
      </c>
      <c r="X390" s="9">
        <f>-IF(C390=1,LN(W390),LN(1-W390))</f>
        <v/>
      </c>
      <c r="Y390" s="10">
        <f>IF(W390&gt;$AC$34,1,0)</f>
        <v/>
      </c>
      <c r="Z390">
        <f>IF(Y390=C390,1,0)</f>
        <v/>
      </c>
    </row>
    <row r="391">
      <c r="A391">
        <f>'1 datos preparados'!A384</f>
        <v/>
      </c>
      <c r="B391" s="5">
        <f>'1 datos preparados'!U384</f>
        <v/>
      </c>
      <c r="C391">
        <f>'1 datos preparados'!B384</f>
        <v/>
      </c>
      <c r="D391" s="7">
        <f>'1 datos preparados'!C384</f>
        <v/>
      </c>
      <c r="E391" s="7">
        <f>'1 datos preparados'!D384</f>
        <v/>
      </c>
      <c r="F391" s="7">
        <f>'1 datos preparados'!E384</f>
        <v/>
      </c>
      <c r="G391" s="7">
        <f>'1 datos preparados'!F384</f>
        <v/>
      </c>
      <c r="H391" s="7">
        <f>'1 datos preparados'!G384</f>
        <v/>
      </c>
      <c r="I391" s="7">
        <f>'1 datos preparados'!H384</f>
        <v/>
      </c>
      <c r="J391" s="7">
        <f>'1 datos preparados'!I384</f>
        <v/>
      </c>
      <c r="K391" s="7">
        <f>'1 datos preparados'!J384</f>
        <v/>
      </c>
      <c r="L391" s="7">
        <f>'1 datos preparados'!K384</f>
        <v/>
      </c>
      <c r="M391" s="7">
        <f>'1 datos preparados'!L384</f>
        <v/>
      </c>
      <c r="N391" s="7">
        <f>'1 datos preparados'!M384</f>
        <v/>
      </c>
      <c r="O391" s="7">
        <f>'1 datos preparados'!N384</f>
        <v/>
      </c>
      <c r="P391" s="7">
        <f>'1 datos preparados'!O384</f>
        <v/>
      </c>
      <c r="Q391" s="7">
        <f>'1 datos preparados'!P384</f>
        <v/>
      </c>
      <c r="R391" s="7">
        <f>'1 datos preparados'!Q384</f>
        <v/>
      </c>
      <c r="S391" s="7">
        <f>'1 datos preparados'!R384</f>
        <v/>
      </c>
      <c r="T391" s="7">
        <f>'1 datos preparados'!S384</f>
        <v/>
      </c>
      <c r="U391" s="7">
        <f>'1 datos preparados'!T384</f>
        <v/>
      </c>
      <c r="V391" s="8">
        <f>$AC$12+D391*$AC$13+E391*$AC$14+F391*$AC$15+G391*$AC$16+H391*$AC$17+I391*$AC$18+J391*$AC$19+K391*$AC$20+L391*$AC$21+M391*$AC$22+N391*$AC$23+O391*$AC$24+P391*$AC$25+Q391*$AC$26+R391*$AC$27+S391*$AC$28+T391*$AC$29+U391*$AC$30</f>
        <v/>
      </c>
      <c r="W391" s="8">
        <f>1/(1+EXP(-V391))</f>
        <v/>
      </c>
      <c r="X391" s="9">
        <f>-IF(C391=1,LN(W391),LN(1-W391))</f>
        <v/>
      </c>
      <c r="Y391" s="10">
        <f>IF(W391&gt;$AC$34,1,0)</f>
        <v/>
      </c>
      <c r="Z391">
        <f>IF(Y391=C391,1,0)</f>
        <v/>
      </c>
    </row>
    <row r="392">
      <c r="A392">
        <f>'1 datos preparados'!A385</f>
        <v/>
      </c>
      <c r="B392" s="5">
        <f>'1 datos preparados'!U385</f>
        <v/>
      </c>
      <c r="C392">
        <f>'1 datos preparados'!B385</f>
        <v/>
      </c>
      <c r="D392" s="7">
        <f>'1 datos preparados'!C385</f>
        <v/>
      </c>
      <c r="E392" s="7">
        <f>'1 datos preparados'!D385</f>
        <v/>
      </c>
      <c r="F392" s="7">
        <f>'1 datos preparados'!E385</f>
        <v/>
      </c>
      <c r="G392" s="7">
        <f>'1 datos preparados'!F385</f>
        <v/>
      </c>
      <c r="H392" s="7">
        <f>'1 datos preparados'!G385</f>
        <v/>
      </c>
      <c r="I392" s="7">
        <f>'1 datos preparados'!H385</f>
        <v/>
      </c>
      <c r="J392" s="7">
        <f>'1 datos preparados'!I385</f>
        <v/>
      </c>
      <c r="K392" s="7">
        <f>'1 datos preparados'!J385</f>
        <v/>
      </c>
      <c r="L392" s="7">
        <f>'1 datos preparados'!K385</f>
        <v/>
      </c>
      <c r="M392" s="7">
        <f>'1 datos preparados'!L385</f>
        <v/>
      </c>
      <c r="N392" s="7">
        <f>'1 datos preparados'!M385</f>
        <v/>
      </c>
      <c r="O392" s="7">
        <f>'1 datos preparados'!N385</f>
        <v/>
      </c>
      <c r="P392" s="7">
        <f>'1 datos preparados'!O385</f>
        <v/>
      </c>
      <c r="Q392" s="7">
        <f>'1 datos preparados'!P385</f>
        <v/>
      </c>
      <c r="R392" s="7">
        <f>'1 datos preparados'!Q385</f>
        <v/>
      </c>
      <c r="S392" s="7">
        <f>'1 datos preparados'!R385</f>
        <v/>
      </c>
      <c r="T392" s="7">
        <f>'1 datos preparados'!S385</f>
        <v/>
      </c>
      <c r="U392" s="7">
        <f>'1 datos preparados'!T385</f>
        <v/>
      </c>
      <c r="V392" s="8">
        <f>$AC$12+D392*$AC$13+E392*$AC$14+F392*$AC$15+G392*$AC$16+H392*$AC$17+I392*$AC$18+J392*$AC$19+K392*$AC$20+L392*$AC$21+M392*$AC$22+N392*$AC$23+O392*$AC$24+P392*$AC$25+Q392*$AC$26+R392*$AC$27+S392*$AC$28+T392*$AC$29+U392*$AC$30</f>
        <v/>
      </c>
      <c r="W392" s="8">
        <f>1/(1+EXP(-V392))</f>
        <v/>
      </c>
      <c r="X392" s="9">
        <f>-IF(C392=1,LN(W392),LN(1-W392))</f>
        <v/>
      </c>
      <c r="Y392" s="10">
        <f>IF(W392&gt;$AC$34,1,0)</f>
        <v/>
      </c>
      <c r="Z392">
        <f>IF(Y392=C392,1,0)</f>
        <v/>
      </c>
    </row>
    <row r="393">
      <c r="A393">
        <f>'1 datos preparados'!A386</f>
        <v/>
      </c>
      <c r="B393" s="5">
        <f>'1 datos preparados'!U386</f>
        <v/>
      </c>
      <c r="C393">
        <f>'1 datos preparados'!B386</f>
        <v/>
      </c>
      <c r="D393" s="7">
        <f>'1 datos preparados'!C386</f>
        <v/>
      </c>
      <c r="E393" s="7">
        <f>'1 datos preparados'!D386</f>
        <v/>
      </c>
      <c r="F393" s="7">
        <f>'1 datos preparados'!E386</f>
        <v/>
      </c>
      <c r="G393" s="7">
        <f>'1 datos preparados'!F386</f>
        <v/>
      </c>
      <c r="H393" s="7">
        <f>'1 datos preparados'!G386</f>
        <v/>
      </c>
      <c r="I393" s="7">
        <f>'1 datos preparados'!H386</f>
        <v/>
      </c>
      <c r="J393" s="7">
        <f>'1 datos preparados'!I386</f>
        <v/>
      </c>
      <c r="K393" s="7">
        <f>'1 datos preparados'!J386</f>
        <v/>
      </c>
      <c r="L393" s="7">
        <f>'1 datos preparados'!K386</f>
        <v/>
      </c>
      <c r="M393" s="7">
        <f>'1 datos preparados'!L386</f>
        <v/>
      </c>
      <c r="N393" s="7">
        <f>'1 datos preparados'!M386</f>
        <v/>
      </c>
      <c r="O393" s="7">
        <f>'1 datos preparados'!N386</f>
        <v/>
      </c>
      <c r="P393" s="7">
        <f>'1 datos preparados'!O386</f>
        <v/>
      </c>
      <c r="Q393" s="7">
        <f>'1 datos preparados'!P386</f>
        <v/>
      </c>
      <c r="R393" s="7">
        <f>'1 datos preparados'!Q386</f>
        <v/>
      </c>
      <c r="S393" s="7">
        <f>'1 datos preparados'!R386</f>
        <v/>
      </c>
      <c r="T393" s="7">
        <f>'1 datos preparados'!S386</f>
        <v/>
      </c>
      <c r="U393" s="7">
        <f>'1 datos preparados'!T386</f>
        <v/>
      </c>
      <c r="V393" s="8">
        <f>$AC$12+D393*$AC$13+E393*$AC$14+F393*$AC$15+G393*$AC$16+H393*$AC$17+I393*$AC$18+J393*$AC$19+K393*$AC$20+L393*$AC$21+M393*$AC$22+N393*$AC$23+O393*$AC$24+P393*$AC$25+Q393*$AC$26+R393*$AC$27+S393*$AC$28+T393*$AC$29+U393*$AC$30</f>
        <v/>
      </c>
      <c r="W393" s="8">
        <f>1/(1+EXP(-V393))</f>
        <v/>
      </c>
      <c r="X393" s="9">
        <f>-IF(C393=1,LN(W393),LN(1-W393))</f>
        <v/>
      </c>
      <c r="Y393" s="10">
        <f>IF(W393&gt;$AC$34,1,0)</f>
        <v/>
      </c>
      <c r="Z393">
        <f>IF(Y393=C393,1,0)</f>
        <v/>
      </c>
    </row>
    <row r="394">
      <c r="A394">
        <f>'1 datos preparados'!A387</f>
        <v/>
      </c>
      <c r="B394" s="5">
        <f>'1 datos preparados'!U387</f>
        <v/>
      </c>
      <c r="C394">
        <f>'1 datos preparados'!B387</f>
        <v/>
      </c>
      <c r="D394" s="7">
        <f>'1 datos preparados'!C387</f>
        <v/>
      </c>
      <c r="E394" s="7">
        <f>'1 datos preparados'!D387</f>
        <v/>
      </c>
      <c r="F394" s="7">
        <f>'1 datos preparados'!E387</f>
        <v/>
      </c>
      <c r="G394" s="7">
        <f>'1 datos preparados'!F387</f>
        <v/>
      </c>
      <c r="H394" s="7">
        <f>'1 datos preparados'!G387</f>
        <v/>
      </c>
      <c r="I394" s="7">
        <f>'1 datos preparados'!H387</f>
        <v/>
      </c>
      <c r="J394" s="7">
        <f>'1 datos preparados'!I387</f>
        <v/>
      </c>
      <c r="K394" s="7">
        <f>'1 datos preparados'!J387</f>
        <v/>
      </c>
      <c r="L394" s="7">
        <f>'1 datos preparados'!K387</f>
        <v/>
      </c>
      <c r="M394" s="7">
        <f>'1 datos preparados'!L387</f>
        <v/>
      </c>
      <c r="N394" s="7">
        <f>'1 datos preparados'!M387</f>
        <v/>
      </c>
      <c r="O394" s="7">
        <f>'1 datos preparados'!N387</f>
        <v/>
      </c>
      <c r="P394" s="7">
        <f>'1 datos preparados'!O387</f>
        <v/>
      </c>
      <c r="Q394" s="7">
        <f>'1 datos preparados'!P387</f>
        <v/>
      </c>
      <c r="R394" s="7">
        <f>'1 datos preparados'!Q387</f>
        <v/>
      </c>
      <c r="S394" s="7">
        <f>'1 datos preparados'!R387</f>
        <v/>
      </c>
      <c r="T394" s="7">
        <f>'1 datos preparados'!S387</f>
        <v/>
      </c>
      <c r="U394" s="7">
        <f>'1 datos preparados'!T387</f>
        <v/>
      </c>
      <c r="V394" s="8">
        <f>$AC$12+D394*$AC$13+E394*$AC$14+F394*$AC$15+G394*$AC$16+H394*$AC$17+I394*$AC$18+J394*$AC$19+K394*$AC$20+L394*$AC$21+M394*$AC$22+N394*$AC$23+O394*$AC$24+P394*$AC$25+Q394*$AC$26+R394*$AC$27+S394*$AC$28+T394*$AC$29+U394*$AC$30</f>
        <v/>
      </c>
      <c r="W394" s="8">
        <f>1/(1+EXP(-V394))</f>
        <v/>
      </c>
      <c r="X394" s="9">
        <f>-IF(C394=1,LN(W394),LN(1-W394))</f>
        <v/>
      </c>
      <c r="Y394" s="10">
        <f>IF(W394&gt;$AC$34,1,0)</f>
        <v/>
      </c>
      <c r="Z394">
        <f>IF(Y394=C394,1,0)</f>
        <v/>
      </c>
    </row>
    <row r="395">
      <c r="A395">
        <f>'1 datos preparados'!A388</f>
        <v/>
      </c>
      <c r="B395" s="5">
        <f>'1 datos preparados'!U388</f>
        <v/>
      </c>
      <c r="C395">
        <f>'1 datos preparados'!B388</f>
        <v/>
      </c>
      <c r="D395" s="7">
        <f>'1 datos preparados'!C388</f>
        <v/>
      </c>
      <c r="E395" s="7">
        <f>'1 datos preparados'!D388</f>
        <v/>
      </c>
      <c r="F395" s="7">
        <f>'1 datos preparados'!E388</f>
        <v/>
      </c>
      <c r="G395" s="7">
        <f>'1 datos preparados'!F388</f>
        <v/>
      </c>
      <c r="H395" s="7">
        <f>'1 datos preparados'!G388</f>
        <v/>
      </c>
      <c r="I395" s="7">
        <f>'1 datos preparados'!H388</f>
        <v/>
      </c>
      <c r="J395" s="7">
        <f>'1 datos preparados'!I388</f>
        <v/>
      </c>
      <c r="K395" s="7">
        <f>'1 datos preparados'!J388</f>
        <v/>
      </c>
      <c r="L395" s="7">
        <f>'1 datos preparados'!K388</f>
        <v/>
      </c>
      <c r="M395" s="7">
        <f>'1 datos preparados'!L388</f>
        <v/>
      </c>
      <c r="N395" s="7">
        <f>'1 datos preparados'!M388</f>
        <v/>
      </c>
      <c r="O395" s="7">
        <f>'1 datos preparados'!N388</f>
        <v/>
      </c>
      <c r="P395" s="7">
        <f>'1 datos preparados'!O388</f>
        <v/>
      </c>
      <c r="Q395" s="7">
        <f>'1 datos preparados'!P388</f>
        <v/>
      </c>
      <c r="R395" s="7">
        <f>'1 datos preparados'!Q388</f>
        <v/>
      </c>
      <c r="S395" s="7">
        <f>'1 datos preparados'!R388</f>
        <v/>
      </c>
      <c r="T395" s="7">
        <f>'1 datos preparados'!S388</f>
        <v/>
      </c>
      <c r="U395" s="7">
        <f>'1 datos preparados'!T388</f>
        <v/>
      </c>
      <c r="V395" s="8">
        <f>$AC$12+D395*$AC$13+E395*$AC$14+F395*$AC$15+G395*$AC$16+H395*$AC$17+I395*$AC$18+J395*$AC$19+K395*$AC$20+L395*$AC$21+M395*$AC$22+N395*$AC$23+O395*$AC$24+P395*$AC$25+Q395*$AC$26+R395*$AC$27+S395*$AC$28+T395*$AC$29+U395*$AC$30</f>
        <v/>
      </c>
      <c r="W395" s="8">
        <f>1/(1+EXP(-V395))</f>
        <v/>
      </c>
      <c r="X395" s="9">
        <f>-IF(C395=1,LN(W395),LN(1-W395))</f>
        <v/>
      </c>
      <c r="Y395" s="10">
        <f>IF(W395&gt;$AC$34,1,0)</f>
        <v/>
      </c>
      <c r="Z395">
        <f>IF(Y395=C395,1,0)</f>
        <v/>
      </c>
    </row>
    <row r="396">
      <c r="A396">
        <f>'1 datos preparados'!A389</f>
        <v/>
      </c>
      <c r="B396" s="5">
        <f>'1 datos preparados'!U389</f>
        <v/>
      </c>
      <c r="C396">
        <f>'1 datos preparados'!B389</f>
        <v/>
      </c>
      <c r="D396" s="7">
        <f>'1 datos preparados'!C389</f>
        <v/>
      </c>
      <c r="E396" s="7">
        <f>'1 datos preparados'!D389</f>
        <v/>
      </c>
      <c r="F396" s="7">
        <f>'1 datos preparados'!E389</f>
        <v/>
      </c>
      <c r="G396" s="7">
        <f>'1 datos preparados'!F389</f>
        <v/>
      </c>
      <c r="H396" s="7">
        <f>'1 datos preparados'!G389</f>
        <v/>
      </c>
      <c r="I396" s="7">
        <f>'1 datos preparados'!H389</f>
        <v/>
      </c>
      <c r="J396" s="7">
        <f>'1 datos preparados'!I389</f>
        <v/>
      </c>
      <c r="K396" s="7">
        <f>'1 datos preparados'!J389</f>
        <v/>
      </c>
      <c r="L396" s="7">
        <f>'1 datos preparados'!K389</f>
        <v/>
      </c>
      <c r="M396" s="7">
        <f>'1 datos preparados'!L389</f>
        <v/>
      </c>
      <c r="N396" s="7">
        <f>'1 datos preparados'!M389</f>
        <v/>
      </c>
      <c r="O396" s="7">
        <f>'1 datos preparados'!N389</f>
        <v/>
      </c>
      <c r="P396" s="7">
        <f>'1 datos preparados'!O389</f>
        <v/>
      </c>
      <c r="Q396" s="7">
        <f>'1 datos preparados'!P389</f>
        <v/>
      </c>
      <c r="R396" s="7">
        <f>'1 datos preparados'!Q389</f>
        <v/>
      </c>
      <c r="S396" s="7">
        <f>'1 datos preparados'!R389</f>
        <v/>
      </c>
      <c r="T396" s="7">
        <f>'1 datos preparados'!S389</f>
        <v/>
      </c>
      <c r="U396" s="7">
        <f>'1 datos preparados'!T389</f>
        <v/>
      </c>
      <c r="V396" s="8">
        <f>$AC$12+D396*$AC$13+E396*$AC$14+F396*$AC$15+G396*$AC$16+H396*$AC$17+I396*$AC$18+J396*$AC$19+K396*$AC$20+L396*$AC$21+M396*$AC$22+N396*$AC$23+O396*$AC$24+P396*$AC$25+Q396*$AC$26+R396*$AC$27+S396*$AC$28+T396*$AC$29+U396*$AC$30</f>
        <v/>
      </c>
      <c r="W396" s="8">
        <f>1/(1+EXP(-V396))</f>
        <v/>
      </c>
      <c r="X396" s="9">
        <f>-IF(C396=1,LN(W396),LN(1-W396))</f>
        <v/>
      </c>
      <c r="Y396" s="10">
        <f>IF(W396&gt;$AC$34,1,0)</f>
        <v/>
      </c>
      <c r="Z396">
        <f>IF(Y396=C396,1,0)</f>
        <v/>
      </c>
    </row>
    <row r="397">
      <c r="A397">
        <f>'1 datos preparados'!A390</f>
        <v/>
      </c>
      <c r="B397" s="5">
        <f>'1 datos preparados'!U390</f>
        <v/>
      </c>
      <c r="C397">
        <f>'1 datos preparados'!B390</f>
        <v/>
      </c>
      <c r="D397" s="7">
        <f>'1 datos preparados'!C390</f>
        <v/>
      </c>
      <c r="E397" s="7">
        <f>'1 datos preparados'!D390</f>
        <v/>
      </c>
      <c r="F397" s="7">
        <f>'1 datos preparados'!E390</f>
        <v/>
      </c>
      <c r="G397" s="7">
        <f>'1 datos preparados'!F390</f>
        <v/>
      </c>
      <c r="H397" s="7">
        <f>'1 datos preparados'!G390</f>
        <v/>
      </c>
      <c r="I397" s="7">
        <f>'1 datos preparados'!H390</f>
        <v/>
      </c>
      <c r="J397" s="7">
        <f>'1 datos preparados'!I390</f>
        <v/>
      </c>
      <c r="K397" s="7">
        <f>'1 datos preparados'!J390</f>
        <v/>
      </c>
      <c r="L397" s="7">
        <f>'1 datos preparados'!K390</f>
        <v/>
      </c>
      <c r="M397" s="7">
        <f>'1 datos preparados'!L390</f>
        <v/>
      </c>
      <c r="N397" s="7">
        <f>'1 datos preparados'!M390</f>
        <v/>
      </c>
      <c r="O397" s="7">
        <f>'1 datos preparados'!N390</f>
        <v/>
      </c>
      <c r="P397" s="7">
        <f>'1 datos preparados'!O390</f>
        <v/>
      </c>
      <c r="Q397" s="7">
        <f>'1 datos preparados'!P390</f>
        <v/>
      </c>
      <c r="R397" s="7">
        <f>'1 datos preparados'!Q390</f>
        <v/>
      </c>
      <c r="S397" s="7">
        <f>'1 datos preparados'!R390</f>
        <v/>
      </c>
      <c r="T397" s="7">
        <f>'1 datos preparados'!S390</f>
        <v/>
      </c>
      <c r="U397" s="7">
        <f>'1 datos preparados'!T390</f>
        <v/>
      </c>
      <c r="V397" s="8">
        <f>$AC$12+D397*$AC$13+E397*$AC$14+F397*$AC$15+G397*$AC$16+H397*$AC$17+I397*$AC$18+J397*$AC$19+K397*$AC$20+L397*$AC$21+M397*$AC$22+N397*$AC$23+O397*$AC$24+P397*$AC$25+Q397*$AC$26+R397*$AC$27+S397*$AC$28+T397*$AC$29+U397*$AC$30</f>
        <v/>
      </c>
      <c r="W397" s="8">
        <f>1/(1+EXP(-V397))</f>
        <v/>
      </c>
      <c r="X397" s="9">
        <f>-IF(C397=1,LN(W397),LN(1-W397))</f>
        <v/>
      </c>
      <c r="Y397" s="10">
        <f>IF(W397&gt;$AC$34,1,0)</f>
        <v/>
      </c>
      <c r="Z397">
        <f>IF(Y397=C397,1,0)</f>
        <v/>
      </c>
    </row>
    <row r="398">
      <c r="A398">
        <f>'1 datos preparados'!A391</f>
        <v/>
      </c>
      <c r="B398" s="5">
        <f>'1 datos preparados'!U391</f>
        <v/>
      </c>
      <c r="C398">
        <f>'1 datos preparados'!B391</f>
        <v/>
      </c>
      <c r="D398" s="7">
        <f>'1 datos preparados'!C391</f>
        <v/>
      </c>
      <c r="E398" s="7">
        <f>'1 datos preparados'!D391</f>
        <v/>
      </c>
      <c r="F398" s="7">
        <f>'1 datos preparados'!E391</f>
        <v/>
      </c>
      <c r="G398" s="7">
        <f>'1 datos preparados'!F391</f>
        <v/>
      </c>
      <c r="H398" s="7">
        <f>'1 datos preparados'!G391</f>
        <v/>
      </c>
      <c r="I398" s="7">
        <f>'1 datos preparados'!H391</f>
        <v/>
      </c>
      <c r="J398" s="7">
        <f>'1 datos preparados'!I391</f>
        <v/>
      </c>
      <c r="K398" s="7">
        <f>'1 datos preparados'!J391</f>
        <v/>
      </c>
      <c r="L398" s="7">
        <f>'1 datos preparados'!K391</f>
        <v/>
      </c>
      <c r="M398" s="7">
        <f>'1 datos preparados'!L391</f>
        <v/>
      </c>
      <c r="N398" s="7">
        <f>'1 datos preparados'!M391</f>
        <v/>
      </c>
      <c r="O398" s="7">
        <f>'1 datos preparados'!N391</f>
        <v/>
      </c>
      <c r="P398" s="7">
        <f>'1 datos preparados'!O391</f>
        <v/>
      </c>
      <c r="Q398" s="7">
        <f>'1 datos preparados'!P391</f>
        <v/>
      </c>
      <c r="R398" s="7">
        <f>'1 datos preparados'!Q391</f>
        <v/>
      </c>
      <c r="S398" s="7">
        <f>'1 datos preparados'!R391</f>
        <v/>
      </c>
      <c r="T398" s="7">
        <f>'1 datos preparados'!S391</f>
        <v/>
      </c>
      <c r="U398" s="7">
        <f>'1 datos preparados'!T391</f>
        <v/>
      </c>
      <c r="V398" s="8">
        <f>$AC$12+D398*$AC$13+E398*$AC$14+F398*$AC$15+G398*$AC$16+H398*$AC$17+I398*$AC$18+J398*$AC$19+K398*$AC$20+L398*$AC$21+M398*$AC$22+N398*$AC$23+O398*$AC$24+P398*$AC$25+Q398*$AC$26+R398*$AC$27+S398*$AC$28+T398*$AC$29+U398*$AC$30</f>
        <v/>
      </c>
      <c r="W398" s="8">
        <f>1/(1+EXP(-V398))</f>
        <v/>
      </c>
      <c r="X398" s="9">
        <f>-IF(C398=1,LN(W398),LN(1-W398))</f>
        <v/>
      </c>
      <c r="Y398" s="10">
        <f>IF(W398&gt;$AC$34,1,0)</f>
        <v/>
      </c>
      <c r="Z398">
        <f>IF(Y398=C398,1,0)</f>
        <v/>
      </c>
    </row>
    <row r="399">
      <c r="A399">
        <f>'1 datos preparados'!A392</f>
        <v/>
      </c>
      <c r="B399" s="5">
        <f>'1 datos preparados'!U392</f>
        <v/>
      </c>
      <c r="C399">
        <f>'1 datos preparados'!B392</f>
        <v/>
      </c>
      <c r="D399" s="7">
        <f>'1 datos preparados'!C392</f>
        <v/>
      </c>
      <c r="E399" s="7">
        <f>'1 datos preparados'!D392</f>
        <v/>
      </c>
      <c r="F399" s="7">
        <f>'1 datos preparados'!E392</f>
        <v/>
      </c>
      <c r="G399" s="7">
        <f>'1 datos preparados'!F392</f>
        <v/>
      </c>
      <c r="H399" s="7">
        <f>'1 datos preparados'!G392</f>
        <v/>
      </c>
      <c r="I399" s="7">
        <f>'1 datos preparados'!H392</f>
        <v/>
      </c>
      <c r="J399" s="7">
        <f>'1 datos preparados'!I392</f>
        <v/>
      </c>
      <c r="K399" s="7">
        <f>'1 datos preparados'!J392</f>
        <v/>
      </c>
      <c r="L399" s="7">
        <f>'1 datos preparados'!K392</f>
        <v/>
      </c>
      <c r="M399" s="7">
        <f>'1 datos preparados'!L392</f>
        <v/>
      </c>
      <c r="N399" s="7">
        <f>'1 datos preparados'!M392</f>
        <v/>
      </c>
      <c r="O399" s="7">
        <f>'1 datos preparados'!N392</f>
        <v/>
      </c>
      <c r="P399" s="7">
        <f>'1 datos preparados'!O392</f>
        <v/>
      </c>
      <c r="Q399" s="7">
        <f>'1 datos preparados'!P392</f>
        <v/>
      </c>
      <c r="R399" s="7">
        <f>'1 datos preparados'!Q392</f>
        <v/>
      </c>
      <c r="S399" s="7">
        <f>'1 datos preparados'!R392</f>
        <v/>
      </c>
      <c r="T399" s="7">
        <f>'1 datos preparados'!S392</f>
        <v/>
      </c>
      <c r="U399" s="7">
        <f>'1 datos preparados'!T392</f>
        <v/>
      </c>
      <c r="V399" s="8">
        <f>$AC$12+D399*$AC$13+E399*$AC$14+F399*$AC$15+G399*$AC$16+H399*$AC$17+I399*$AC$18+J399*$AC$19+K399*$AC$20+L399*$AC$21+M399*$AC$22+N399*$AC$23+O399*$AC$24+P399*$AC$25+Q399*$AC$26+R399*$AC$27+S399*$AC$28+T399*$AC$29+U399*$AC$30</f>
        <v/>
      </c>
      <c r="W399" s="8">
        <f>1/(1+EXP(-V399))</f>
        <v/>
      </c>
      <c r="X399" s="9">
        <f>-IF(C399=1,LN(W399),LN(1-W399))</f>
        <v/>
      </c>
      <c r="Y399" s="10">
        <f>IF(W399&gt;$AC$34,1,0)</f>
        <v/>
      </c>
      <c r="Z399">
        <f>IF(Y399=C399,1,0)</f>
        <v/>
      </c>
    </row>
    <row r="400">
      <c r="A400">
        <f>'1 datos preparados'!A393</f>
        <v/>
      </c>
      <c r="B400" s="5">
        <f>'1 datos preparados'!U393</f>
        <v/>
      </c>
      <c r="C400">
        <f>'1 datos preparados'!B393</f>
        <v/>
      </c>
      <c r="D400" s="7">
        <f>'1 datos preparados'!C393</f>
        <v/>
      </c>
      <c r="E400" s="7">
        <f>'1 datos preparados'!D393</f>
        <v/>
      </c>
      <c r="F400" s="7">
        <f>'1 datos preparados'!E393</f>
        <v/>
      </c>
      <c r="G400" s="7">
        <f>'1 datos preparados'!F393</f>
        <v/>
      </c>
      <c r="H400" s="7">
        <f>'1 datos preparados'!G393</f>
        <v/>
      </c>
      <c r="I400" s="7">
        <f>'1 datos preparados'!H393</f>
        <v/>
      </c>
      <c r="J400" s="7">
        <f>'1 datos preparados'!I393</f>
        <v/>
      </c>
      <c r="K400" s="7">
        <f>'1 datos preparados'!J393</f>
        <v/>
      </c>
      <c r="L400" s="7">
        <f>'1 datos preparados'!K393</f>
        <v/>
      </c>
      <c r="M400" s="7">
        <f>'1 datos preparados'!L393</f>
        <v/>
      </c>
      <c r="N400" s="7">
        <f>'1 datos preparados'!M393</f>
        <v/>
      </c>
      <c r="O400" s="7">
        <f>'1 datos preparados'!N393</f>
        <v/>
      </c>
      <c r="P400" s="7">
        <f>'1 datos preparados'!O393</f>
        <v/>
      </c>
      <c r="Q400" s="7">
        <f>'1 datos preparados'!P393</f>
        <v/>
      </c>
      <c r="R400" s="7">
        <f>'1 datos preparados'!Q393</f>
        <v/>
      </c>
      <c r="S400" s="7">
        <f>'1 datos preparados'!R393</f>
        <v/>
      </c>
      <c r="T400" s="7">
        <f>'1 datos preparados'!S393</f>
        <v/>
      </c>
      <c r="U400" s="7">
        <f>'1 datos preparados'!T393</f>
        <v/>
      </c>
      <c r="V400" s="8">
        <f>$AC$12+D400*$AC$13+E400*$AC$14+F400*$AC$15+G400*$AC$16+H400*$AC$17+I400*$AC$18+J400*$AC$19+K400*$AC$20+L400*$AC$21+M400*$AC$22+N400*$AC$23+O400*$AC$24+P400*$AC$25+Q400*$AC$26+R400*$AC$27+S400*$AC$28+T400*$AC$29+U400*$AC$30</f>
        <v/>
      </c>
      <c r="W400" s="8">
        <f>1/(1+EXP(-V400))</f>
        <v/>
      </c>
      <c r="X400" s="9">
        <f>-IF(C400=1,LN(W400),LN(1-W400))</f>
        <v/>
      </c>
      <c r="Y400" s="10">
        <f>IF(W400&gt;$AC$34,1,0)</f>
        <v/>
      </c>
      <c r="Z400">
        <f>IF(Y400=C400,1,0)</f>
        <v/>
      </c>
    </row>
    <row r="401">
      <c r="A401">
        <f>'1 datos preparados'!A394</f>
        <v/>
      </c>
      <c r="B401" s="5">
        <f>'1 datos preparados'!U394</f>
        <v/>
      </c>
      <c r="C401">
        <f>'1 datos preparados'!B394</f>
        <v/>
      </c>
      <c r="D401" s="7">
        <f>'1 datos preparados'!C394</f>
        <v/>
      </c>
      <c r="E401" s="7">
        <f>'1 datos preparados'!D394</f>
        <v/>
      </c>
      <c r="F401" s="7">
        <f>'1 datos preparados'!E394</f>
        <v/>
      </c>
      <c r="G401" s="7">
        <f>'1 datos preparados'!F394</f>
        <v/>
      </c>
      <c r="H401" s="7">
        <f>'1 datos preparados'!G394</f>
        <v/>
      </c>
      <c r="I401" s="7">
        <f>'1 datos preparados'!H394</f>
        <v/>
      </c>
      <c r="J401" s="7">
        <f>'1 datos preparados'!I394</f>
        <v/>
      </c>
      <c r="K401" s="7">
        <f>'1 datos preparados'!J394</f>
        <v/>
      </c>
      <c r="L401" s="7">
        <f>'1 datos preparados'!K394</f>
        <v/>
      </c>
      <c r="M401" s="7">
        <f>'1 datos preparados'!L394</f>
        <v/>
      </c>
      <c r="N401" s="7">
        <f>'1 datos preparados'!M394</f>
        <v/>
      </c>
      <c r="O401" s="7">
        <f>'1 datos preparados'!N394</f>
        <v/>
      </c>
      <c r="P401" s="7">
        <f>'1 datos preparados'!O394</f>
        <v/>
      </c>
      <c r="Q401" s="7">
        <f>'1 datos preparados'!P394</f>
        <v/>
      </c>
      <c r="R401" s="7">
        <f>'1 datos preparados'!Q394</f>
        <v/>
      </c>
      <c r="S401" s="7">
        <f>'1 datos preparados'!R394</f>
        <v/>
      </c>
      <c r="T401" s="7">
        <f>'1 datos preparados'!S394</f>
        <v/>
      </c>
      <c r="U401" s="7">
        <f>'1 datos preparados'!T394</f>
        <v/>
      </c>
      <c r="V401" s="8">
        <f>$AC$12+D401*$AC$13+E401*$AC$14+F401*$AC$15+G401*$AC$16+H401*$AC$17+I401*$AC$18+J401*$AC$19+K401*$AC$20+L401*$AC$21+M401*$AC$22+N401*$AC$23+O401*$AC$24+P401*$AC$25+Q401*$AC$26+R401*$AC$27+S401*$AC$28+T401*$AC$29+U401*$AC$30</f>
        <v/>
      </c>
      <c r="W401" s="8">
        <f>1/(1+EXP(-V401))</f>
        <v/>
      </c>
      <c r="X401" s="9">
        <f>-IF(C401=1,LN(W401),LN(1-W401))</f>
        <v/>
      </c>
      <c r="Y401" s="10">
        <f>IF(W401&gt;$AC$34,1,0)</f>
        <v/>
      </c>
      <c r="Z401">
        <f>IF(Y401=C401,1,0)</f>
        <v/>
      </c>
    </row>
    <row r="402">
      <c r="A402">
        <f>'1 datos preparados'!A395</f>
        <v/>
      </c>
      <c r="B402" s="5">
        <f>'1 datos preparados'!U395</f>
        <v/>
      </c>
      <c r="C402">
        <f>'1 datos preparados'!B395</f>
        <v/>
      </c>
      <c r="D402" s="7">
        <f>'1 datos preparados'!C395</f>
        <v/>
      </c>
      <c r="E402" s="7">
        <f>'1 datos preparados'!D395</f>
        <v/>
      </c>
      <c r="F402" s="7">
        <f>'1 datos preparados'!E395</f>
        <v/>
      </c>
      <c r="G402" s="7">
        <f>'1 datos preparados'!F395</f>
        <v/>
      </c>
      <c r="H402" s="7">
        <f>'1 datos preparados'!G395</f>
        <v/>
      </c>
      <c r="I402" s="7">
        <f>'1 datos preparados'!H395</f>
        <v/>
      </c>
      <c r="J402" s="7">
        <f>'1 datos preparados'!I395</f>
        <v/>
      </c>
      <c r="K402" s="7">
        <f>'1 datos preparados'!J395</f>
        <v/>
      </c>
      <c r="L402" s="7">
        <f>'1 datos preparados'!K395</f>
        <v/>
      </c>
      <c r="M402" s="7">
        <f>'1 datos preparados'!L395</f>
        <v/>
      </c>
      <c r="N402" s="7">
        <f>'1 datos preparados'!M395</f>
        <v/>
      </c>
      <c r="O402" s="7">
        <f>'1 datos preparados'!N395</f>
        <v/>
      </c>
      <c r="P402" s="7">
        <f>'1 datos preparados'!O395</f>
        <v/>
      </c>
      <c r="Q402" s="7">
        <f>'1 datos preparados'!P395</f>
        <v/>
      </c>
      <c r="R402" s="7">
        <f>'1 datos preparados'!Q395</f>
        <v/>
      </c>
      <c r="S402" s="7">
        <f>'1 datos preparados'!R395</f>
        <v/>
      </c>
      <c r="T402" s="7">
        <f>'1 datos preparados'!S395</f>
        <v/>
      </c>
      <c r="U402" s="7">
        <f>'1 datos preparados'!T395</f>
        <v/>
      </c>
      <c r="V402" s="8">
        <f>$AC$12+D402*$AC$13+E402*$AC$14+F402*$AC$15+G402*$AC$16+H402*$AC$17+I402*$AC$18+J402*$AC$19+K402*$AC$20+L402*$AC$21+M402*$AC$22+N402*$AC$23+O402*$AC$24+P402*$AC$25+Q402*$AC$26+R402*$AC$27+S402*$AC$28+T402*$AC$29+U402*$AC$30</f>
        <v/>
      </c>
      <c r="W402" s="8">
        <f>1/(1+EXP(-V402))</f>
        <v/>
      </c>
      <c r="X402" s="9">
        <f>-IF(C402=1,LN(W402),LN(1-W402))</f>
        <v/>
      </c>
      <c r="Y402" s="10">
        <f>IF(W402&gt;$AC$34,1,0)</f>
        <v/>
      </c>
      <c r="Z402">
        <f>IF(Y402=C402,1,0)</f>
        <v/>
      </c>
    </row>
    <row r="403">
      <c r="A403">
        <f>'1 datos preparados'!A396</f>
        <v/>
      </c>
      <c r="B403" s="5">
        <f>'1 datos preparados'!U396</f>
        <v/>
      </c>
      <c r="C403">
        <f>'1 datos preparados'!B396</f>
        <v/>
      </c>
      <c r="D403" s="7">
        <f>'1 datos preparados'!C396</f>
        <v/>
      </c>
      <c r="E403" s="7">
        <f>'1 datos preparados'!D396</f>
        <v/>
      </c>
      <c r="F403" s="7">
        <f>'1 datos preparados'!E396</f>
        <v/>
      </c>
      <c r="G403" s="7">
        <f>'1 datos preparados'!F396</f>
        <v/>
      </c>
      <c r="H403" s="7">
        <f>'1 datos preparados'!G396</f>
        <v/>
      </c>
      <c r="I403" s="7">
        <f>'1 datos preparados'!H396</f>
        <v/>
      </c>
      <c r="J403" s="7">
        <f>'1 datos preparados'!I396</f>
        <v/>
      </c>
      <c r="K403" s="7">
        <f>'1 datos preparados'!J396</f>
        <v/>
      </c>
      <c r="L403" s="7">
        <f>'1 datos preparados'!K396</f>
        <v/>
      </c>
      <c r="M403" s="7">
        <f>'1 datos preparados'!L396</f>
        <v/>
      </c>
      <c r="N403" s="7">
        <f>'1 datos preparados'!M396</f>
        <v/>
      </c>
      <c r="O403" s="7">
        <f>'1 datos preparados'!N396</f>
        <v/>
      </c>
      <c r="P403" s="7">
        <f>'1 datos preparados'!O396</f>
        <v/>
      </c>
      <c r="Q403" s="7">
        <f>'1 datos preparados'!P396</f>
        <v/>
      </c>
      <c r="R403" s="7">
        <f>'1 datos preparados'!Q396</f>
        <v/>
      </c>
      <c r="S403" s="7">
        <f>'1 datos preparados'!R396</f>
        <v/>
      </c>
      <c r="T403" s="7">
        <f>'1 datos preparados'!S396</f>
        <v/>
      </c>
      <c r="U403" s="7">
        <f>'1 datos preparados'!T396</f>
        <v/>
      </c>
      <c r="V403" s="8">
        <f>$AC$12+D403*$AC$13+E403*$AC$14+F403*$AC$15+G403*$AC$16+H403*$AC$17+I403*$AC$18+J403*$AC$19+K403*$AC$20+L403*$AC$21+M403*$AC$22+N403*$AC$23+O403*$AC$24+P403*$AC$25+Q403*$AC$26+R403*$AC$27+S403*$AC$28+T403*$AC$29+U403*$AC$30</f>
        <v/>
      </c>
      <c r="W403" s="8">
        <f>1/(1+EXP(-V403))</f>
        <v/>
      </c>
      <c r="X403" s="9">
        <f>-IF(C403=1,LN(W403),LN(1-W403))</f>
        <v/>
      </c>
      <c r="Y403" s="10">
        <f>IF(W403&gt;$AC$34,1,0)</f>
        <v/>
      </c>
      <c r="Z403">
        <f>IF(Y403=C403,1,0)</f>
        <v/>
      </c>
    </row>
    <row r="404">
      <c r="A404">
        <f>'1 datos preparados'!A397</f>
        <v/>
      </c>
      <c r="B404" s="5">
        <f>'1 datos preparados'!U397</f>
        <v/>
      </c>
      <c r="C404">
        <f>'1 datos preparados'!B397</f>
        <v/>
      </c>
      <c r="D404" s="7">
        <f>'1 datos preparados'!C397</f>
        <v/>
      </c>
      <c r="E404" s="7">
        <f>'1 datos preparados'!D397</f>
        <v/>
      </c>
      <c r="F404" s="7">
        <f>'1 datos preparados'!E397</f>
        <v/>
      </c>
      <c r="G404" s="7">
        <f>'1 datos preparados'!F397</f>
        <v/>
      </c>
      <c r="H404" s="7">
        <f>'1 datos preparados'!G397</f>
        <v/>
      </c>
      <c r="I404" s="7">
        <f>'1 datos preparados'!H397</f>
        <v/>
      </c>
      <c r="J404" s="7">
        <f>'1 datos preparados'!I397</f>
        <v/>
      </c>
      <c r="K404" s="7">
        <f>'1 datos preparados'!J397</f>
        <v/>
      </c>
      <c r="L404" s="7">
        <f>'1 datos preparados'!K397</f>
        <v/>
      </c>
      <c r="M404" s="7">
        <f>'1 datos preparados'!L397</f>
        <v/>
      </c>
      <c r="N404" s="7">
        <f>'1 datos preparados'!M397</f>
        <v/>
      </c>
      <c r="O404" s="7">
        <f>'1 datos preparados'!N397</f>
        <v/>
      </c>
      <c r="P404" s="7">
        <f>'1 datos preparados'!O397</f>
        <v/>
      </c>
      <c r="Q404" s="7">
        <f>'1 datos preparados'!P397</f>
        <v/>
      </c>
      <c r="R404" s="7">
        <f>'1 datos preparados'!Q397</f>
        <v/>
      </c>
      <c r="S404" s="7">
        <f>'1 datos preparados'!R397</f>
        <v/>
      </c>
      <c r="T404" s="7">
        <f>'1 datos preparados'!S397</f>
        <v/>
      </c>
      <c r="U404" s="7">
        <f>'1 datos preparados'!T397</f>
        <v/>
      </c>
      <c r="V404" s="8">
        <f>$AC$12+D404*$AC$13+E404*$AC$14+F404*$AC$15+G404*$AC$16+H404*$AC$17+I404*$AC$18+J404*$AC$19+K404*$AC$20+L404*$AC$21+M404*$AC$22+N404*$AC$23+O404*$AC$24+P404*$AC$25+Q404*$AC$26+R404*$AC$27+S404*$AC$28+T404*$AC$29+U404*$AC$30</f>
        <v/>
      </c>
      <c r="W404" s="8">
        <f>1/(1+EXP(-V404))</f>
        <v/>
      </c>
      <c r="X404" s="9">
        <f>-IF(C404=1,LN(W404),LN(1-W404))</f>
        <v/>
      </c>
      <c r="Y404" s="10">
        <f>IF(W404&gt;$AC$34,1,0)</f>
        <v/>
      </c>
      <c r="Z404">
        <f>IF(Y404=C404,1,0)</f>
        <v/>
      </c>
    </row>
    <row r="405">
      <c r="A405">
        <f>'1 datos preparados'!A398</f>
        <v/>
      </c>
      <c r="B405" s="5">
        <f>'1 datos preparados'!U398</f>
        <v/>
      </c>
      <c r="C405">
        <f>'1 datos preparados'!B398</f>
        <v/>
      </c>
      <c r="D405" s="7">
        <f>'1 datos preparados'!C398</f>
        <v/>
      </c>
      <c r="E405" s="7">
        <f>'1 datos preparados'!D398</f>
        <v/>
      </c>
      <c r="F405" s="7">
        <f>'1 datos preparados'!E398</f>
        <v/>
      </c>
      <c r="G405" s="7">
        <f>'1 datos preparados'!F398</f>
        <v/>
      </c>
      <c r="H405" s="7">
        <f>'1 datos preparados'!G398</f>
        <v/>
      </c>
      <c r="I405" s="7">
        <f>'1 datos preparados'!H398</f>
        <v/>
      </c>
      <c r="J405" s="7">
        <f>'1 datos preparados'!I398</f>
        <v/>
      </c>
      <c r="K405" s="7">
        <f>'1 datos preparados'!J398</f>
        <v/>
      </c>
      <c r="L405" s="7">
        <f>'1 datos preparados'!K398</f>
        <v/>
      </c>
      <c r="M405" s="7">
        <f>'1 datos preparados'!L398</f>
        <v/>
      </c>
      <c r="N405" s="7">
        <f>'1 datos preparados'!M398</f>
        <v/>
      </c>
      <c r="O405" s="7">
        <f>'1 datos preparados'!N398</f>
        <v/>
      </c>
      <c r="P405" s="7">
        <f>'1 datos preparados'!O398</f>
        <v/>
      </c>
      <c r="Q405" s="7">
        <f>'1 datos preparados'!P398</f>
        <v/>
      </c>
      <c r="R405" s="7">
        <f>'1 datos preparados'!Q398</f>
        <v/>
      </c>
      <c r="S405" s="7">
        <f>'1 datos preparados'!R398</f>
        <v/>
      </c>
      <c r="T405" s="7">
        <f>'1 datos preparados'!S398</f>
        <v/>
      </c>
      <c r="U405" s="7">
        <f>'1 datos preparados'!T398</f>
        <v/>
      </c>
      <c r="V405" s="8">
        <f>$AC$12+D405*$AC$13+E405*$AC$14+F405*$AC$15+G405*$AC$16+H405*$AC$17+I405*$AC$18+J405*$AC$19+K405*$AC$20+L405*$AC$21+M405*$AC$22+N405*$AC$23+O405*$AC$24+P405*$AC$25+Q405*$AC$26+R405*$AC$27+S405*$AC$28+T405*$AC$29+U405*$AC$30</f>
        <v/>
      </c>
      <c r="W405" s="8">
        <f>1/(1+EXP(-V405))</f>
        <v/>
      </c>
      <c r="X405" s="9">
        <f>-IF(C405=1,LN(W405),LN(1-W405))</f>
        <v/>
      </c>
      <c r="Y405" s="10">
        <f>IF(W405&gt;$AC$34,1,0)</f>
        <v/>
      </c>
      <c r="Z405">
        <f>IF(Y405=C405,1,0)</f>
        <v/>
      </c>
    </row>
    <row r="406">
      <c r="A406">
        <f>'1 datos preparados'!A399</f>
        <v/>
      </c>
      <c r="B406" s="5">
        <f>'1 datos preparados'!U399</f>
        <v/>
      </c>
      <c r="C406">
        <f>'1 datos preparados'!B399</f>
        <v/>
      </c>
      <c r="D406" s="7">
        <f>'1 datos preparados'!C399</f>
        <v/>
      </c>
      <c r="E406" s="7">
        <f>'1 datos preparados'!D399</f>
        <v/>
      </c>
      <c r="F406" s="7">
        <f>'1 datos preparados'!E399</f>
        <v/>
      </c>
      <c r="G406" s="7">
        <f>'1 datos preparados'!F399</f>
        <v/>
      </c>
      <c r="H406" s="7">
        <f>'1 datos preparados'!G399</f>
        <v/>
      </c>
      <c r="I406" s="7">
        <f>'1 datos preparados'!H399</f>
        <v/>
      </c>
      <c r="J406" s="7">
        <f>'1 datos preparados'!I399</f>
        <v/>
      </c>
      <c r="K406" s="7">
        <f>'1 datos preparados'!J399</f>
        <v/>
      </c>
      <c r="L406" s="7">
        <f>'1 datos preparados'!K399</f>
        <v/>
      </c>
      <c r="M406" s="7">
        <f>'1 datos preparados'!L399</f>
        <v/>
      </c>
      <c r="N406" s="7">
        <f>'1 datos preparados'!M399</f>
        <v/>
      </c>
      <c r="O406" s="7">
        <f>'1 datos preparados'!N399</f>
        <v/>
      </c>
      <c r="P406" s="7">
        <f>'1 datos preparados'!O399</f>
        <v/>
      </c>
      <c r="Q406" s="7">
        <f>'1 datos preparados'!P399</f>
        <v/>
      </c>
      <c r="R406" s="7">
        <f>'1 datos preparados'!Q399</f>
        <v/>
      </c>
      <c r="S406" s="7">
        <f>'1 datos preparados'!R399</f>
        <v/>
      </c>
      <c r="T406" s="7">
        <f>'1 datos preparados'!S399</f>
        <v/>
      </c>
      <c r="U406" s="7">
        <f>'1 datos preparados'!T399</f>
        <v/>
      </c>
      <c r="V406" s="8">
        <f>$AC$12+D406*$AC$13+E406*$AC$14+F406*$AC$15+G406*$AC$16+H406*$AC$17+I406*$AC$18+J406*$AC$19+K406*$AC$20+L406*$AC$21+M406*$AC$22+N406*$AC$23+O406*$AC$24+P406*$AC$25+Q406*$AC$26+R406*$AC$27+S406*$AC$28+T406*$AC$29+U406*$AC$30</f>
        <v/>
      </c>
      <c r="W406" s="8">
        <f>1/(1+EXP(-V406))</f>
        <v/>
      </c>
      <c r="X406" s="9">
        <f>-IF(C406=1,LN(W406),LN(1-W406))</f>
        <v/>
      </c>
      <c r="Y406" s="10">
        <f>IF(W406&gt;$AC$34,1,0)</f>
        <v/>
      </c>
      <c r="Z406">
        <f>IF(Y406=C406,1,0)</f>
        <v/>
      </c>
    </row>
    <row r="407">
      <c r="A407">
        <f>'1 datos preparados'!A400</f>
        <v/>
      </c>
      <c r="B407" s="5">
        <f>'1 datos preparados'!U400</f>
        <v/>
      </c>
      <c r="C407">
        <f>'1 datos preparados'!B400</f>
        <v/>
      </c>
      <c r="D407" s="7">
        <f>'1 datos preparados'!C400</f>
        <v/>
      </c>
      <c r="E407" s="7">
        <f>'1 datos preparados'!D400</f>
        <v/>
      </c>
      <c r="F407" s="7">
        <f>'1 datos preparados'!E400</f>
        <v/>
      </c>
      <c r="G407" s="7">
        <f>'1 datos preparados'!F400</f>
        <v/>
      </c>
      <c r="H407" s="7">
        <f>'1 datos preparados'!G400</f>
        <v/>
      </c>
      <c r="I407" s="7">
        <f>'1 datos preparados'!H400</f>
        <v/>
      </c>
      <c r="J407" s="7">
        <f>'1 datos preparados'!I400</f>
        <v/>
      </c>
      <c r="K407" s="7">
        <f>'1 datos preparados'!J400</f>
        <v/>
      </c>
      <c r="L407" s="7">
        <f>'1 datos preparados'!K400</f>
        <v/>
      </c>
      <c r="M407" s="7">
        <f>'1 datos preparados'!L400</f>
        <v/>
      </c>
      <c r="N407" s="7">
        <f>'1 datos preparados'!M400</f>
        <v/>
      </c>
      <c r="O407" s="7">
        <f>'1 datos preparados'!N400</f>
        <v/>
      </c>
      <c r="P407" s="7">
        <f>'1 datos preparados'!O400</f>
        <v/>
      </c>
      <c r="Q407" s="7">
        <f>'1 datos preparados'!P400</f>
        <v/>
      </c>
      <c r="R407" s="7">
        <f>'1 datos preparados'!Q400</f>
        <v/>
      </c>
      <c r="S407" s="7">
        <f>'1 datos preparados'!R400</f>
        <v/>
      </c>
      <c r="T407" s="7">
        <f>'1 datos preparados'!S400</f>
        <v/>
      </c>
      <c r="U407" s="7">
        <f>'1 datos preparados'!T400</f>
        <v/>
      </c>
      <c r="V407" s="8">
        <f>$AC$12+D407*$AC$13+E407*$AC$14+F407*$AC$15+G407*$AC$16+H407*$AC$17+I407*$AC$18+J407*$AC$19+K407*$AC$20+L407*$AC$21+M407*$AC$22+N407*$AC$23+O407*$AC$24+P407*$AC$25+Q407*$AC$26+R407*$AC$27+S407*$AC$28+T407*$AC$29+U407*$AC$30</f>
        <v/>
      </c>
      <c r="W407" s="8">
        <f>1/(1+EXP(-V407))</f>
        <v/>
      </c>
      <c r="X407" s="9">
        <f>-IF(C407=1,LN(W407),LN(1-W407))</f>
        <v/>
      </c>
      <c r="Y407" s="10">
        <f>IF(W407&gt;$AC$34,1,0)</f>
        <v/>
      </c>
      <c r="Z407">
        <f>IF(Y407=C407,1,0)</f>
        <v/>
      </c>
    </row>
    <row r="408">
      <c r="A408">
        <f>'1 datos preparados'!A401</f>
        <v/>
      </c>
      <c r="B408" s="5">
        <f>'1 datos preparados'!U401</f>
        <v/>
      </c>
      <c r="C408">
        <f>'1 datos preparados'!B401</f>
        <v/>
      </c>
      <c r="D408" s="7">
        <f>'1 datos preparados'!C401</f>
        <v/>
      </c>
      <c r="E408" s="7">
        <f>'1 datos preparados'!D401</f>
        <v/>
      </c>
      <c r="F408" s="7">
        <f>'1 datos preparados'!E401</f>
        <v/>
      </c>
      <c r="G408" s="7">
        <f>'1 datos preparados'!F401</f>
        <v/>
      </c>
      <c r="H408" s="7">
        <f>'1 datos preparados'!G401</f>
        <v/>
      </c>
      <c r="I408" s="7">
        <f>'1 datos preparados'!H401</f>
        <v/>
      </c>
      <c r="J408" s="7">
        <f>'1 datos preparados'!I401</f>
        <v/>
      </c>
      <c r="K408" s="7">
        <f>'1 datos preparados'!J401</f>
        <v/>
      </c>
      <c r="L408" s="7">
        <f>'1 datos preparados'!K401</f>
        <v/>
      </c>
      <c r="M408" s="7">
        <f>'1 datos preparados'!L401</f>
        <v/>
      </c>
      <c r="N408" s="7">
        <f>'1 datos preparados'!M401</f>
        <v/>
      </c>
      <c r="O408" s="7">
        <f>'1 datos preparados'!N401</f>
        <v/>
      </c>
      <c r="P408" s="7">
        <f>'1 datos preparados'!O401</f>
        <v/>
      </c>
      <c r="Q408" s="7">
        <f>'1 datos preparados'!P401</f>
        <v/>
      </c>
      <c r="R408" s="7">
        <f>'1 datos preparados'!Q401</f>
        <v/>
      </c>
      <c r="S408" s="7">
        <f>'1 datos preparados'!R401</f>
        <v/>
      </c>
      <c r="T408" s="7">
        <f>'1 datos preparados'!S401</f>
        <v/>
      </c>
      <c r="U408" s="7">
        <f>'1 datos preparados'!T401</f>
        <v/>
      </c>
      <c r="V408" s="8">
        <f>$AC$12+D408*$AC$13+E408*$AC$14+F408*$AC$15+G408*$AC$16+H408*$AC$17+I408*$AC$18+J408*$AC$19+K408*$AC$20+L408*$AC$21+M408*$AC$22+N408*$AC$23+O408*$AC$24+P408*$AC$25+Q408*$AC$26+R408*$AC$27+S408*$AC$28+T408*$AC$29+U408*$AC$30</f>
        <v/>
      </c>
      <c r="W408" s="8">
        <f>1/(1+EXP(-V408))</f>
        <v/>
      </c>
      <c r="X408" s="9">
        <f>-IF(C408=1,LN(W408),LN(1-W408))</f>
        <v/>
      </c>
      <c r="Y408" s="10">
        <f>IF(W408&gt;$AC$34,1,0)</f>
        <v/>
      </c>
      <c r="Z408">
        <f>IF(Y408=C408,1,0)</f>
        <v/>
      </c>
    </row>
    <row r="409">
      <c r="A409">
        <f>'1 datos preparados'!A402</f>
        <v/>
      </c>
      <c r="B409" s="5">
        <f>'1 datos preparados'!U402</f>
        <v/>
      </c>
      <c r="C409">
        <f>'1 datos preparados'!B402</f>
        <v/>
      </c>
      <c r="D409" s="7">
        <f>'1 datos preparados'!C402</f>
        <v/>
      </c>
      <c r="E409" s="7">
        <f>'1 datos preparados'!D402</f>
        <v/>
      </c>
      <c r="F409" s="7">
        <f>'1 datos preparados'!E402</f>
        <v/>
      </c>
      <c r="G409" s="7">
        <f>'1 datos preparados'!F402</f>
        <v/>
      </c>
      <c r="H409" s="7">
        <f>'1 datos preparados'!G402</f>
        <v/>
      </c>
      <c r="I409" s="7">
        <f>'1 datos preparados'!H402</f>
        <v/>
      </c>
      <c r="J409" s="7">
        <f>'1 datos preparados'!I402</f>
        <v/>
      </c>
      <c r="K409" s="7">
        <f>'1 datos preparados'!J402</f>
        <v/>
      </c>
      <c r="L409" s="7">
        <f>'1 datos preparados'!K402</f>
        <v/>
      </c>
      <c r="M409" s="7">
        <f>'1 datos preparados'!L402</f>
        <v/>
      </c>
      <c r="N409" s="7">
        <f>'1 datos preparados'!M402</f>
        <v/>
      </c>
      <c r="O409" s="7">
        <f>'1 datos preparados'!N402</f>
        <v/>
      </c>
      <c r="P409" s="7">
        <f>'1 datos preparados'!O402</f>
        <v/>
      </c>
      <c r="Q409" s="7">
        <f>'1 datos preparados'!P402</f>
        <v/>
      </c>
      <c r="R409" s="7">
        <f>'1 datos preparados'!Q402</f>
        <v/>
      </c>
      <c r="S409" s="7">
        <f>'1 datos preparados'!R402</f>
        <v/>
      </c>
      <c r="T409" s="7">
        <f>'1 datos preparados'!S402</f>
        <v/>
      </c>
      <c r="U409" s="7">
        <f>'1 datos preparados'!T402</f>
        <v/>
      </c>
      <c r="V409" s="8">
        <f>$AC$12+D409*$AC$13+E409*$AC$14+F409*$AC$15+G409*$AC$16+H409*$AC$17+I409*$AC$18+J409*$AC$19+K409*$AC$20+L409*$AC$21+M409*$AC$22+N409*$AC$23+O409*$AC$24+P409*$AC$25+Q409*$AC$26+R409*$AC$27+S409*$AC$28+T409*$AC$29+U409*$AC$30</f>
        <v/>
      </c>
      <c r="W409" s="8">
        <f>1/(1+EXP(-V409))</f>
        <v/>
      </c>
      <c r="X409" s="9">
        <f>-IF(C409=1,LN(W409),LN(1-W409))</f>
        <v/>
      </c>
      <c r="Y409" s="10">
        <f>IF(W409&gt;$AC$34,1,0)</f>
        <v/>
      </c>
      <c r="Z409">
        <f>IF(Y409=C409,1,0)</f>
        <v/>
      </c>
    </row>
    <row r="410">
      <c r="A410">
        <f>'1 datos preparados'!A403</f>
        <v/>
      </c>
      <c r="B410" s="5">
        <f>'1 datos preparados'!U403</f>
        <v/>
      </c>
      <c r="C410">
        <f>'1 datos preparados'!B403</f>
        <v/>
      </c>
      <c r="D410" s="7">
        <f>'1 datos preparados'!C403</f>
        <v/>
      </c>
      <c r="E410" s="7">
        <f>'1 datos preparados'!D403</f>
        <v/>
      </c>
      <c r="F410" s="7">
        <f>'1 datos preparados'!E403</f>
        <v/>
      </c>
      <c r="G410" s="7">
        <f>'1 datos preparados'!F403</f>
        <v/>
      </c>
      <c r="H410" s="7">
        <f>'1 datos preparados'!G403</f>
        <v/>
      </c>
      <c r="I410" s="7">
        <f>'1 datos preparados'!H403</f>
        <v/>
      </c>
      <c r="J410" s="7">
        <f>'1 datos preparados'!I403</f>
        <v/>
      </c>
      <c r="K410" s="7">
        <f>'1 datos preparados'!J403</f>
        <v/>
      </c>
      <c r="L410" s="7">
        <f>'1 datos preparados'!K403</f>
        <v/>
      </c>
      <c r="M410" s="7">
        <f>'1 datos preparados'!L403</f>
        <v/>
      </c>
      <c r="N410" s="7">
        <f>'1 datos preparados'!M403</f>
        <v/>
      </c>
      <c r="O410" s="7">
        <f>'1 datos preparados'!N403</f>
        <v/>
      </c>
      <c r="P410" s="7">
        <f>'1 datos preparados'!O403</f>
        <v/>
      </c>
      <c r="Q410" s="7">
        <f>'1 datos preparados'!P403</f>
        <v/>
      </c>
      <c r="R410" s="7">
        <f>'1 datos preparados'!Q403</f>
        <v/>
      </c>
      <c r="S410" s="7">
        <f>'1 datos preparados'!R403</f>
        <v/>
      </c>
      <c r="T410" s="7">
        <f>'1 datos preparados'!S403</f>
        <v/>
      </c>
      <c r="U410" s="7">
        <f>'1 datos preparados'!T403</f>
        <v/>
      </c>
      <c r="V410" s="8">
        <f>$AC$12+D410*$AC$13+E410*$AC$14+F410*$AC$15+G410*$AC$16+H410*$AC$17+I410*$AC$18+J410*$AC$19+K410*$AC$20+L410*$AC$21+M410*$AC$22+N410*$AC$23+O410*$AC$24+P410*$AC$25+Q410*$AC$26+R410*$AC$27+S410*$AC$28+T410*$AC$29+U410*$AC$30</f>
        <v/>
      </c>
      <c r="W410" s="8">
        <f>1/(1+EXP(-V410))</f>
        <v/>
      </c>
      <c r="X410" s="9">
        <f>-IF(C410=1,LN(W410),LN(1-W410))</f>
        <v/>
      </c>
      <c r="Y410" s="10">
        <f>IF(W410&gt;$AC$34,1,0)</f>
        <v/>
      </c>
      <c r="Z410">
        <f>IF(Y410=C410,1,0)</f>
        <v/>
      </c>
    </row>
    <row r="411">
      <c r="A411">
        <f>'1 datos preparados'!A404</f>
        <v/>
      </c>
      <c r="B411" s="5">
        <f>'1 datos preparados'!U404</f>
        <v/>
      </c>
      <c r="C411">
        <f>'1 datos preparados'!B404</f>
        <v/>
      </c>
      <c r="D411" s="7">
        <f>'1 datos preparados'!C404</f>
        <v/>
      </c>
      <c r="E411" s="7">
        <f>'1 datos preparados'!D404</f>
        <v/>
      </c>
      <c r="F411" s="7">
        <f>'1 datos preparados'!E404</f>
        <v/>
      </c>
      <c r="G411" s="7">
        <f>'1 datos preparados'!F404</f>
        <v/>
      </c>
      <c r="H411" s="7">
        <f>'1 datos preparados'!G404</f>
        <v/>
      </c>
      <c r="I411" s="7">
        <f>'1 datos preparados'!H404</f>
        <v/>
      </c>
      <c r="J411" s="7">
        <f>'1 datos preparados'!I404</f>
        <v/>
      </c>
      <c r="K411" s="7">
        <f>'1 datos preparados'!J404</f>
        <v/>
      </c>
      <c r="L411" s="7">
        <f>'1 datos preparados'!K404</f>
        <v/>
      </c>
      <c r="M411" s="7">
        <f>'1 datos preparados'!L404</f>
        <v/>
      </c>
      <c r="N411" s="7">
        <f>'1 datos preparados'!M404</f>
        <v/>
      </c>
      <c r="O411" s="7">
        <f>'1 datos preparados'!N404</f>
        <v/>
      </c>
      <c r="P411" s="7">
        <f>'1 datos preparados'!O404</f>
        <v/>
      </c>
      <c r="Q411" s="7">
        <f>'1 datos preparados'!P404</f>
        <v/>
      </c>
      <c r="R411" s="7">
        <f>'1 datos preparados'!Q404</f>
        <v/>
      </c>
      <c r="S411" s="7">
        <f>'1 datos preparados'!R404</f>
        <v/>
      </c>
      <c r="T411" s="7">
        <f>'1 datos preparados'!S404</f>
        <v/>
      </c>
      <c r="U411" s="7">
        <f>'1 datos preparados'!T404</f>
        <v/>
      </c>
      <c r="V411" s="8">
        <f>$AC$12+D411*$AC$13+E411*$AC$14+F411*$AC$15+G411*$AC$16+H411*$AC$17+I411*$AC$18+J411*$AC$19+K411*$AC$20+L411*$AC$21+M411*$AC$22+N411*$AC$23+O411*$AC$24+P411*$AC$25+Q411*$AC$26+R411*$AC$27+S411*$AC$28+T411*$AC$29+U411*$AC$30</f>
        <v/>
      </c>
      <c r="W411" s="8">
        <f>1/(1+EXP(-V411))</f>
        <v/>
      </c>
      <c r="X411" s="9">
        <f>-IF(C411=1,LN(W411),LN(1-W411))</f>
        <v/>
      </c>
      <c r="Y411" s="10">
        <f>IF(W411&gt;$AC$34,1,0)</f>
        <v/>
      </c>
      <c r="Z411">
        <f>IF(Y411=C411,1,0)</f>
        <v/>
      </c>
    </row>
    <row r="412">
      <c r="A412">
        <f>'1 datos preparados'!A405</f>
        <v/>
      </c>
      <c r="B412" s="5">
        <f>'1 datos preparados'!U405</f>
        <v/>
      </c>
      <c r="C412">
        <f>'1 datos preparados'!B405</f>
        <v/>
      </c>
      <c r="D412" s="7">
        <f>'1 datos preparados'!C405</f>
        <v/>
      </c>
      <c r="E412" s="7">
        <f>'1 datos preparados'!D405</f>
        <v/>
      </c>
      <c r="F412" s="7">
        <f>'1 datos preparados'!E405</f>
        <v/>
      </c>
      <c r="G412" s="7">
        <f>'1 datos preparados'!F405</f>
        <v/>
      </c>
      <c r="H412" s="7">
        <f>'1 datos preparados'!G405</f>
        <v/>
      </c>
      <c r="I412" s="7">
        <f>'1 datos preparados'!H405</f>
        <v/>
      </c>
      <c r="J412" s="7">
        <f>'1 datos preparados'!I405</f>
        <v/>
      </c>
      <c r="K412" s="7">
        <f>'1 datos preparados'!J405</f>
        <v/>
      </c>
      <c r="L412" s="7">
        <f>'1 datos preparados'!K405</f>
        <v/>
      </c>
      <c r="M412" s="7">
        <f>'1 datos preparados'!L405</f>
        <v/>
      </c>
      <c r="N412" s="7">
        <f>'1 datos preparados'!M405</f>
        <v/>
      </c>
      <c r="O412" s="7">
        <f>'1 datos preparados'!N405</f>
        <v/>
      </c>
      <c r="P412" s="7">
        <f>'1 datos preparados'!O405</f>
        <v/>
      </c>
      <c r="Q412" s="7">
        <f>'1 datos preparados'!P405</f>
        <v/>
      </c>
      <c r="R412" s="7">
        <f>'1 datos preparados'!Q405</f>
        <v/>
      </c>
      <c r="S412" s="7">
        <f>'1 datos preparados'!R405</f>
        <v/>
      </c>
      <c r="T412" s="7">
        <f>'1 datos preparados'!S405</f>
        <v/>
      </c>
      <c r="U412" s="7">
        <f>'1 datos preparados'!T405</f>
        <v/>
      </c>
      <c r="V412" s="8">
        <f>$AC$12+D412*$AC$13+E412*$AC$14+F412*$AC$15+G412*$AC$16+H412*$AC$17+I412*$AC$18+J412*$AC$19+K412*$AC$20+L412*$AC$21+M412*$AC$22+N412*$AC$23+O412*$AC$24+P412*$AC$25+Q412*$AC$26+R412*$AC$27+S412*$AC$28+T412*$AC$29+U412*$AC$30</f>
        <v/>
      </c>
      <c r="W412" s="8">
        <f>1/(1+EXP(-V412))</f>
        <v/>
      </c>
      <c r="X412" s="9">
        <f>-IF(C412=1,LN(W412),LN(1-W412))</f>
        <v/>
      </c>
      <c r="Y412" s="10">
        <f>IF(W412&gt;$AC$34,1,0)</f>
        <v/>
      </c>
      <c r="Z412">
        <f>IF(Y412=C412,1,0)</f>
        <v/>
      </c>
    </row>
    <row r="413">
      <c r="A413">
        <f>'1 datos preparados'!A406</f>
        <v/>
      </c>
      <c r="B413" s="5">
        <f>'1 datos preparados'!U406</f>
        <v/>
      </c>
      <c r="C413">
        <f>'1 datos preparados'!B406</f>
        <v/>
      </c>
      <c r="D413" s="7">
        <f>'1 datos preparados'!C406</f>
        <v/>
      </c>
      <c r="E413" s="7">
        <f>'1 datos preparados'!D406</f>
        <v/>
      </c>
      <c r="F413" s="7">
        <f>'1 datos preparados'!E406</f>
        <v/>
      </c>
      <c r="G413" s="7">
        <f>'1 datos preparados'!F406</f>
        <v/>
      </c>
      <c r="H413" s="7">
        <f>'1 datos preparados'!G406</f>
        <v/>
      </c>
      <c r="I413" s="7">
        <f>'1 datos preparados'!H406</f>
        <v/>
      </c>
      <c r="J413" s="7">
        <f>'1 datos preparados'!I406</f>
        <v/>
      </c>
      <c r="K413" s="7">
        <f>'1 datos preparados'!J406</f>
        <v/>
      </c>
      <c r="L413" s="7">
        <f>'1 datos preparados'!K406</f>
        <v/>
      </c>
      <c r="M413" s="7">
        <f>'1 datos preparados'!L406</f>
        <v/>
      </c>
      <c r="N413" s="7">
        <f>'1 datos preparados'!M406</f>
        <v/>
      </c>
      <c r="O413" s="7">
        <f>'1 datos preparados'!N406</f>
        <v/>
      </c>
      <c r="P413" s="7">
        <f>'1 datos preparados'!O406</f>
        <v/>
      </c>
      <c r="Q413" s="7">
        <f>'1 datos preparados'!P406</f>
        <v/>
      </c>
      <c r="R413" s="7">
        <f>'1 datos preparados'!Q406</f>
        <v/>
      </c>
      <c r="S413" s="7">
        <f>'1 datos preparados'!R406</f>
        <v/>
      </c>
      <c r="T413" s="7">
        <f>'1 datos preparados'!S406</f>
        <v/>
      </c>
      <c r="U413" s="7">
        <f>'1 datos preparados'!T406</f>
        <v/>
      </c>
      <c r="V413" s="8">
        <f>$AC$12+D413*$AC$13+E413*$AC$14+F413*$AC$15+G413*$AC$16+H413*$AC$17+I413*$AC$18+J413*$AC$19+K413*$AC$20+L413*$AC$21+M413*$AC$22+N413*$AC$23+O413*$AC$24+P413*$AC$25+Q413*$AC$26+R413*$AC$27+S413*$AC$28+T413*$AC$29+U413*$AC$30</f>
        <v/>
      </c>
      <c r="W413" s="8">
        <f>1/(1+EXP(-V413))</f>
        <v/>
      </c>
      <c r="X413" s="9">
        <f>-IF(C413=1,LN(W413),LN(1-W413))</f>
        <v/>
      </c>
      <c r="Y413" s="10">
        <f>IF(W413&gt;$AC$34,1,0)</f>
        <v/>
      </c>
      <c r="Z413">
        <f>IF(Y413=C413,1,0)</f>
        <v/>
      </c>
    </row>
    <row r="414">
      <c r="A414">
        <f>'1 datos preparados'!A407</f>
        <v/>
      </c>
      <c r="B414" s="5">
        <f>'1 datos preparados'!U407</f>
        <v/>
      </c>
      <c r="C414">
        <f>'1 datos preparados'!B407</f>
        <v/>
      </c>
      <c r="D414" s="7">
        <f>'1 datos preparados'!C407</f>
        <v/>
      </c>
      <c r="E414" s="7">
        <f>'1 datos preparados'!D407</f>
        <v/>
      </c>
      <c r="F414" s="7">
        <f>'1 datos preparados'!E407</f>
        <v/>
      </c>
      <c r="G414" s="7">
        <f>'1 datos preparados'!F407</f>
        <v/>
      </c>
      <c r="H414" s="7">
        <f>'1 datos preparados'!G407</f>
        <v/>
      </c>
      <c r="I414" s="7">
        <f>'1 datos preparados'!H407</f>
        <v/>
      </c>
      <c r="J414" s="7">
        <f>'1 datos preparados'!I407</f>
        <v/>
      </c>
      <c r="K414" s="7">
        <f>'1 datos preparados'!J407</f>
        <v/>
      </c>
      <c r="L414" s="7">
        <f>'1 datos preparados'!K407</f>
        <v/>
      </c>
      <c r="M414" s="7">
        <f>'1 datos preparados'!L407</f>
        <v/>
      </c>
      <c r="N414" s="7">
        <f>'1 datos preparados'!M407</f>
        <v/>
      </c>
      <c r="O414" s="7">
        <f>'1 datos preparados'!N407</f>
        <v/>
      </c>
      <c r="P414" s="7">
        <f>'1 datos preparados'!O407</f>
        <v/>
      </c>
      <c r="Q414" s="7">
        <f>'1 datos preparados'!P407</f>
        <v/>
      </c>
      <c r="R414" s="7">
        <f>'1 datos preparados'!Q407</f>
        <v/>
      </c>
      <c r="S414" s="7">
        <f>'1 datos preparados'!R407</f>
        <v/>
      </c>
      <c r="T414" s="7">
        <f>'1 datos preparados'!S407</f>
        <v/>
      </c>
      <c r="U414" s="7">
        <f>'1 datos preparados'!T407</f>
        <v/>
      </c>
      <c r="V414" s="8">
        <f>$AC$12+D414*$AC$13+E414*$AC$14+F414*$AC$15+G414*$AC$16+H414*$AC$17+I414*$AC$18+J414*$AC$19+K414*$AC$20+L414*$AC$21+M414*$AC$22+N414*$AC$23+O414*$AC$24+P414*$AC$25+Q414*$AC$26+R414*$AC$27+S414*$AC$28+T414*$AC$29+U414*$AC$30</f>
        <v/>
      </c>
      <c r="W414" s="8">
        <f>1/(1+EXP(-V414))</f>
        <v/>
      </c>
      <c r="X414" s="9">
        <f>-IF(C414=1,LN(W414),LN(1-W414))</f>
        <v/>
      </c>
      <c r="Y414" s="10">
        <f>IF(W414&gt;$AC$34,1,0)</f>
        <v/>
      </c>
      <c r="Z414">
        <f>IF(Y414=C414,1,0)</f>
        <v/>
      </c>
    </row>
    <row r="415">
      <c r="A415">
        <f>'1 datos preparados'!A408</f>
        <v/>
      </c>
      <c r="B415" s="5">
        <f>'1 datos preparados'!U408</f>
        <v/>
      </c>
      <c r="C415">
        <f>'1 datos preparados'!B408</f>
        <v/>
      </c>
      <c r="D415" s="7">
        <f>'1 datos preparados'!C408</f>
        <v/>
      </c>
      <c r="E415" s="7">
        <f>'1 datos preparados'!D408</f>
        <v/>
      </c>
      <c r="F415" s="7">
        <f>'1 datos preparados'!E408</f>
        <v/>
      </c>
      <c r="G415" s="7">
        <f>'1 datos preparados'!F408</f>
        <v/>
      </c>
      <c r="H415" s="7">
        <f>'1 datos preparados'!G408</f>
        <v/>
      </c>
      <c r="I415" s="7">
        <f>'1 datos preparados'!H408</f>
        <v/>
      </c>
      <c r="J415" s="7">
        <f>'1 datos preparados'!I408</f>
        <v/>
      </c>
      <c r="K415" s="7">
        <f>'1 datos preparados'!J408</f>
        <v/>
      </c>
      <c r="L415" s="7">
        <f>'1 datos preparados'!K408</f>
        <v/>
      </c>
      <c r="M415" s="7">
        <f>'1 datos preparados'!L408</f>
        <v/>
      </c>
      <c r="N415" s="7">
        <f>'1 datos preparados'!M408</f>
        <v/>
      </c>
      <c r="O415" s="7">
        <f>'1 datos preparados'!N408</f>
        <v/>
      </c>
      <c r="P415" s="7">
        <f>'1 datos preparados'!O408</f>
        <v/>
      </c>
      <c r="Q415" s="7">
        <f>'1 datos preparados'!P408</f>
        <v/>
      </c>
      <c r="R415" s="7">
        <f>'1 datos preparados'!Q408</f>
        <v/>
      </c>
      <c r="S415" s="7">
        <f>'1 datos preparados'!R408</f>
        <v/>
      </c>
      <c r="T415" s="7">
        <f>'1 datos preparados'!S408</f>
        <v/>
      </c>
      <c r="U415" s="7">
        <f>'1 datos preparados'!T408</f>
        <v/>
      </c>
      <c r="V415" s="8">
        <f>$AC$12+D415*$AC$13+E415*$AC$14+F415*$AC$15+G415*$AC$16+H415*$AC$17+I415*$AC$18+J415*$AC$19+K415*$AC$20+L415*$AC$21+M415*$AC$22+N415*$AC$23+O415*$AC$24+P415*$AC$25+Q415*$AC$26+R415*$AC$27+S415*$AC$28+T415*$AC$29+U415*$AC$30</f>
        <v/>
      </c>
      <c r="W415" s="8">
        <f>1/(1+EXP(-V415))</f>
        <v/>
      </c>
      <c r="X415" s="9">
        <f>-IF(C415=1,LN(W415),LN(1-W415))</f>
        <v/>
      </c>
      <c r="Y415" s="10">
        <f>IF(W415&gt;$AC$34,1,0)</f>
        <v/>
      </c>
      <c r="Z415">
        <f>IF(Y415=C415,1,0)</f>
        <v/>
      </c>
    </row>
    <row r="416">
      <c r="A416">
        <f>'1 datos preparados'!A409</f>
        <v/>
      </c>
      <c r="B416" s="5">
        <f>'1 datos preparados'!U409</f>
        <v/>
      </c>
      <c r="C416">
        <f>'1 datos preparados'!B409</f>
        <v/>
      </c>
      <c r="D416" s="7">
        <f>'1 datos preparados'!C409</f>
        <v/>
      </c>
      <c r="E416" s="7">
        <f>'1 datos preparados'!D409</f>
        <v/>
      </c>
      <c r="F416" s="7">
        <f>'1 datos preparados'!E409</f>
        <v/>
      </c>
      <c r="G416" s="7">
        <f>'1 datos preparados'!F409</f>
        <v/>
      </c>
      <c r="H416" s="7">
        <f>'1 datos preparados'!G409</f>
        <v/>
      </c>
      <c r="I416" s="7">
        <f>'1 datos preparados'!H409</f>
        <v/>
      </c>
      <c r="J416" s="7">
        <f>'1 datos preparados'!I409</f>
        <v/>
      </c>
      <c r="K416" s="7">
        <f>'1 datos preparados'!J409</f>
        <v/>
      </c>
      <c r="L416" s="7">
        <f>'1 datos preparados'!K409</f>
        <v/>
      </c>
      <c r="M416" s="7">
        <f>'1 datos preparados'!L409</f>
        <v/>
      </c>
      <c r="N416" s="7">
        <f>'1 datos preparados'!M409</f>
        <v/>
      </c>
      <c r="O416" s="7">
        <f>'1 datos preparados'!N409</f>
        <v/>
      </c>
      <c r="P416" s="7">
        <f>'1 datos preparados'!O409</f>
        <v/>
      </c>
      <c r="Q416" s="7">
        <f>'1 datos preparados'!P409</f>
        <v/>
      </c>
      <c r="R416" s="7">
        <f>'1 datos preparados'!Q409</f>
        <v/>
      </c>
      <c r="S416" s="7">
        <f>'1 datos preparados'!R409</f>
        <v/>
      </c>
      <c r="T416" s="7">
        <f>'1 datos preparados'!S409</f>
        <v/>
      </c>
      <c r="U416" s="7">
        <f>'1 datos preparados'!T409</f>
        <v/>
      </c>
      <c r="V416" s="8">
        <f>$AC$12+D416*$AC$13+E416*$AC$14+F416*$AC$15+G416*$AC$16+H416*$AC$17+I416*$AC$18+J416*$AC$19+K416*$AC$20+L416*$AC$21+M416*$AC$22+N416*$AC$23+O416*$AC$24+P416*$AC$25+Q416*$AC$26+R416*$AC$27+S416*$AC$28+T416*$AC$29+U416*$AC$30</f>
        <v/>
      </c>
      <c r="W416" s="8">
        <f>1/(1+EXP(-V416))</f>
        <v/>
      </c>
      <c r="X416" s="9">
        <f>-IF(C416=1,LN(W416),LN(1-W416))</f>
        <v/>
      </c>
      <c r="Y416" s="10">
        <f>IF(W416&gt;$AC$34,1,0)</f>
        <v/>
      </c>
      <c r="Z416">
        <f>IF(Y416=C416,1,0)</f>
        <v/>
      </c>
    </row>
    <row r="417">
      <c r="A417">
        <f>'1 datos preparados'!A410</f>
        <v/>
      </c>
      <c r="B417" s="5">
        <f>'1 datos preparados'!U410</f>
        <v/>
      </c>
      <c r="C417">
        <f>'1 datos preparados'!B410</f>
        <v/>
      </c>
      <c r="D417" s="7">
        <f>'1 datos preparados'!C410</f>
        <v/>
      </c>
      <c r="E417" s="7">
        <f>'1 datos preparados'!D410</f>
        <v/>
      </c>
      <c r="F417" s="7">
        <f>'1 datos preparados'!E410</f>
        <v/>
      </c>
      <c r="G417" s="7">
        <f>'1 datos preparados'!F410</f>
        <v/>
      </c>
      <c r="H417" s="7">
        <f>'1 datos preparados'!G410</f>
        <v/>
      </c>
      <c r="I417" s="7">
        <f>'1 datos preparados'!H410</f>
        <v/>
      </c>
      <c r="J417" s="7">
        <f>'1 datos preparados'!I410</f>
        <v/>
      </c>
      <c r="K417" s="7">
        <f>'1 datos preparados'!J410</f>
        <v/>
      </c>
      <c r="L417" s="7">
        <f>'1 datos preparados'!K410</f>
        <v/>
      </c>
      <c r="M417" s="7">
        <f>'1 datos preparados'!L410</f>
        <v/>
      </c>
      <c r="N417" s="7">
        <f>'1 datos preparados'!M410</f>
        <v/>
      </c>
      <c r="O417" s="7">
        <f>'1 datos preparados'!N410</f>
        <v/>
      </c>
      <c r="P417" s="7">
        <f>'1 datos preparados'!O410</f>
        <v/>
      </c>
      <c r="Q417" s="7">
        <f>'1 datos preparados'!P410</f>
        <v/>
      </c>
      <c r="R417" s="7">
        <f>'1 datos preparados'!Q410</f>
        <v/>
      </c>
      <c r="S417" s="7">
        <f>'1 datos preparados'!R410</f>
        <v/>
      </c>
      <c r="T417" s="7">
        <f>'1 datos preparados'!S410</f>
        <v/>
      </c>
      <c r="U417" s="7">
        <f>'1 datos preparados'!T410</f>
        <v/>
      </c>
      <c r="V417" s="8">
        <f>$AC$12+D417*$AC$13+E417*$AC$14+F417*$AC$15+G417*$AC$16+H417*$AC$17+I417*$AC$18+J417*$AC$19+K417*$AC$20+L417*$AC$21+M417*$AC$22+N417*$AC$23+O417*$AC$24+P417*$AC$25+Q417*$AC$26+R417*$AC$27+S417*$AC$28+T417*$AC$29+U417*$AC$30</f>
        <v/>
      </c>
      <c r="W417" s="8">
        <f>1/(1+EXP(-V417))</f>
        <v/>
      </c>
      <c r="X417" s="9">
        <f>-IF(C417=1,LN(W417),LN(1-W417))</f>
        <v/>
      </c>
      <c r="Y417" s="10">
        <f>IF(W417&gt;$AC$34,1,0)</f>
        <v/>
      </c>
      <c r="Z417">
        <f>IF(Y417=C417,1,0)</f>
        <v/>
      </c>
    </row>
    <row r="418">
      <c r="A418">
        <f>'1 datos preparados'!A411</f>
        <v/>
      </c>
      <c r="B418" s="5">
        <f>'1 datos preparados'!U411</f>
        <v/>
      </c>
      <c r="C418">
        <f>'1 datos preparados'!B411</f>
        <v/>
      </c>
      <c r="D418" s="7">
        <f>'1 datos preparados'!C411</f>
        <v/>
      </c>
      <c r="E418" s="7">
        <f>'1 datos preparados'!D411</f>
        <v/>
      </c>
      <c r="F418" s="7">
        <f>'1 datos preparados'!E411</f>
        <v/>
      </c>
      <c r="G418" s="7">
        <f>'1 datos preparados'!F411</f>
        <v/>
      </c>
      <c r="H418" s="7">
        <f>'1 datos preparados'!G411</f>
        <v/>
      </c>
      <c r="I418" s="7">
        <f>'1 datos preparados'!H411</f>
        <v/>
      </c>
      <c r="J418" s="7">
        <f>'1 datos preparados'!I411</f>
        <v/>
      </c>
      <c r="K418" s="7">
        <f>'1 datos preparados'!J411</f>
        <v/>
      </c>
      <c r="L418" s="7">
        <f>'1 datos preparados'!K411</f>
        <v/>
      </c>
      <c r="M418" s="7">
        <f>'1 datos preparados'!L411</f>
        <v/>
      </c>
      <c r="N418" s="7">
        <f>'1 datos preparados'!M411</f>
        <v/>
      </c>
      <c r="O418" s="7">
        <f>'1 datos preparados'!N411</f>
        <v/>
      </c>
      <c r="P418" s="7">
        <f>'1 datos preparados'!O411</f>
        <v/>
      </c>
      <c r="Q418" s="7">
        <f>'1 datos preparados'!P411</f>
        <v/>
      </c>
      <c r="R418" s="7">
        <f>'1 datos preparados'!Q411</f>
        <v/>
      </c>
      <c r="S418" s="7">
        <f>'1 datos preparados'!R411</f>
        <v/>
      </c>
      <c r="T418" s="7">
        <f>'1 datos preparados'!S411</f>
        <v/>
      </c>
      <c r="U418" s="7">
        <f>'1 datos preparados'!T411</f>
        <v/>
      </c>
      <c r="V418" s="8">
        <f>$AC$12+D418*$AC$13+E418*$AC$14+F418*$AC$15+G418*$AC$16+H418*$AC$17+I418*$AC$18+J418*$AC$19+K418*$AC$20+L418*$AC$21+M418*$AC$22+N418*$AC$23+O418*$AC$24+P418*$AC$25+Q418*$AC$26+R418*$AC$27+S418*$AC$28+T418*$AC$29+U418*$AC$30</f>
        <v/>
      </c>
      <c r="W418" s="8">
        <f>1/(1+EXP(-V418))</f>
        <v/>
      </c>
      <c r="X418" s="9">
        <f>-IF(C418=1,LN(W418),LN(1-W418))</f>
        <v/>
      </c>
      <c r="Y418" s="10">
        <f>IF(W418&gt;$AC$34,1,0)</f>
        <v/>
      </c>
      <c r="Z418">
        <f>IF(Y418=C418,1,0)</f>
        <v/>
      </c>
    </row>
    <row r="419">
      <c r="A419">
        <f>'1 datos preparados'!A412</f>
        <v/>
      </c>
      <c r="B419" s="5">
        <f>'1 datos preparados'!U412</f>
        <v/>
      </c>
      <c r="C419">
        <f>'1 datos preparados'!B412</f>
        <v/>
      </c>
      <c r="D419" s="7">
        <f>'1 datos preparados'!C412</f>
        <v/>
      </c>
      <c r="E419" s="7">
        <f>'1 datos preparados'!D412</f>
        <v/>
      </c>
      <c r="F419" s="7">
        <f>'1 datos preparados'!E412</f>
        <v/>
      </c>
      <c r="G419" s="7">
        <f>'1 datos preparados'!F412</f>
        <v/>
      </c>
      <c r="H419" s="7">
        <f>'1 datos preparados'!G412</f>
        <v/>
      </c>
      <c r="I419" s="7">
        <f>'1 datos preparados'!H412</f>
        <v/>
      </c>
      <c r="J419" s="7">
        <f>'1 datos preparados'!I412</f>
        <v/>
      </c>
      <c r="K419" s="7">
        <f>'1 datos preparados'!J412</f>
        <v/>
      </c>
      <c r="L419" s="7">
        <f>'1 datos preparados'!K412</f>
        <v/>
      </c>
      <c r="M419" s="7">
        <f>'1 datos preparados'!L412</f>
        <v/>
      </c>
      <c r="N419" s="7">
        <f>'1 datos preparados'!M412</f>
        <v/>
      </c>
      <c r="O419" s="7">
        <f>'1 datos preparados'!N412</f>
        <v/>
      </c>
      <c r="P419" s="7">
        <f>'1 datos preparados'!O412</f>
        <v/>
      </c>
      <c r="Q419" s="7">
        <f>'1 datos preparados'!P412</f>
        <v/>
      </c>
      <c r="R419" s="7">
        <f>'1 datos preparados'!Q412</f>
        <v/>
      </c>
      <c r="S419" s="7">
        <f>'1 datos preparados'!R412</f>
        <v/>
      </c>
      <c r="T419" s="7">
        <f>'1 datos preparados'!S412</f>
        <v/>
      </c>
      <c r="U419" s="7">
        <f>'1 datos preparados'!T412</f>
        <v/>
      </c>
      <c r="V419" s="8">
        <f>$AC$12+D419*$AC$13+E419*$AC$14+F419*$AC$15+G419*$AC$16+H419*$AC$17+I419*$AC$18+J419*$AC$19+K419*$AC$20+L419*$AC$21+M419*$AC$22+N419*$AC$23+O419*$AC$24+P419*$AC$25+Q419*$AC$26+R419*$AC$27+S419*$AC$28+T419*$AC$29+U419*$AC$30</f>
        <v/>
      </c>
      <c r="W419" s="8">
        <f>1/(1+EXP(-V419))</f>
        <v/>
      </c>
      <c r="X419" s="9">
        <f>-IF(C419=1,LN(W419),LN(1-W419))</f>
        <v/>
      </c>
      <c r="Y419" s="10">
        <f>IF(W419&gt;$AC$34,1,0)</f>
        <v/>
      </c>
      <c r="Z419">
        <f>IF(Y419=C419,1,0)</f>
        <v/>
      </c>
    </row>
    <row r="420">
      <c r="A420">
        <f>'1 datos preparados'!A413</f>
        <v/>
      </c>
      <c r="B420" s="5">
        <f>'1 datos preparados'!U413</f>
        <v/>
      </c>
      <c r="C420">
        <f>'1 datos preparados'!B413</f>
        <v/>
      </c>
      <c r="D420" s="7">
        <f>'1 datos preparados'!C413</f>
        <v/>
      </c>
      <c r="E420" s="7">
        <f>'1 datos preparados'!D413</f>
        <v/>
      </c>
      <c r="F420" s="7">
        <f>'1 datos preparados'!E413</f>
        <v/>
      </c>
      <c r="G420" s="7">
        <f>'1 datos preparados'!F413</f>
        <v/>
      </c>
      <c r="H420" s="7">
        <f>'1 datos preparados'!G413</f>
        <v/>
      </c>
      <c r="I420" s="7">
        <f>'1 datos preparados'!H413</f>
        <v/>
      </c>
      <c r="J420" s="7">
        <f>'1 datos preparados'!I413</f>
        <v/>
      </c>
      <c r="K420" s="7">
        <f>'1 datos preparados'!J413</f>
        <v/>
      </c>
      <c r="L420" s="7">
        <f>'1 datos preparados'!K413</f>
        <v/>
      </c>
      <c r="M420" s="7">
        <f>'1 datos preparados'!L413</f>
        <v/>
      </c>
      <c r="N420" s="7">
        <f>'1 datos preparados'!M413</f>
        <v/>
      </c>
      <c r="O420" s="7">
        <f>'1 datos preparados'!N413</f>
        <v/>
      </c>
      <c r="P420" s="7">
        <f>'1 datos preparados'!O413</f>
        <v/>
      </c>
      <c r="Q420" s="7">
        <f>'1 datos preparados'!P413</f>
        <v/>
      </c>
      <c r="R420" s="7">
        <f>'1 datos preparados'!Q413</f>
        <v/>
      </c>
      <c r="S420" s="7">
        <f>'1 datos preparados'!R413</f>
        <v/>
      </c>
      <c r="T420" s="7">
        <f>'1 datos preparados'!S413</f>
        <v/>
      </c>
      <c r="U420" s="7">
        <f>'1 datos preparados'!T413</f>
        <v/>
      </c>
      <c r="V420" s="8">
        <f>$AC$12+D420*$AC$13+E420*$AC$14+F420*$AC$15+G420*$AC$16+H420*$AC$17+I420*$AC$18+J420*$AC$19+K420*$AC$20+L420*$AC$21+M420*$AC$22+N420*$AC$23+O420*$AC$24+P420*$AC$25+Q420*$AC$26+R420*$AC$27+S420*$AC$28+T420*$AC$29+U420*$AC$30</f>
        <v/>
      </c>
      <c r="W420" s="8">
        <f>1/(1+EXP(-V420))</f>
        <v/>
      </c>
      <c r="X420" s="9">
        <f>-IF(C420=1,LN(W420),LN(1-W420))</f>
        <v/>
      </c>
      <c r="Y420" s="10">
        <f>IF(W420&gt;$AC$34,1,0)</f>
        <v/>
      </c>
      <c r="Z420">
        <f>IF(Y420=C420,1,0)</f>
        <v/>
      </c>
    </row>
    <row r="421">
      <c r="A421">
        <f>'1 datos preparados'!A414</f>
        <v/>
      </c>
      <c r="B421" s="5">
        <f>'1 datos preparados'!U414</f>
        <v/>
      </c>
      <c r="C421">
        <f>'1 datos preparados'!B414</f>
        <v/>
      </c>
      <c r="D421" s="7">
        <f>'1 datos preparados'!C414</f>
        <v/>
      </c>
      <c r="E421" s="7">
        <f>'1 datos preparados'!D414</f>
        <v/>
      </c>
      <c r="F421" s="7">
        <f>'1 datos preparados'!E414</f>
        <v/>
      </c>
      <c r="G421" s="7">
        <f>'1 datos preparados'!F414</f>
        <v/>
      </c>
      <c r="H421" s="7">
        <f>'1 datos preparados'!G414</f>
        <v/>
      </c>
      <c r="I421" s="7">
        <f>'1 datos preparados'!H414</f>
        <v/>
      </c>
      <c r="J421" s="7">
        <f>'1 datos preparados'!I414</f>
        <v/>
      </c>
      <c r="K421" s="7">
        <f>'1 datos preparados'!J414</f>
        <v/>
      </c>
      <c r="L421" s="7">
        <f>'1 datos preparados'!K414</f>
        <v/>
      </c>
      <c r="M421" s="7">
        <f>'1 datos preparados'!L414</f>
        <v/>
      </c>
      <c r="N421" s="7">
        <f>'1 datos preparados'!M414</f>
        <v/>
      </c>
      <c r="O421" s="7">
        <f>'1 datos preparados'!N414</f>
        <v/>
      </c>
      <c r="P421" s="7">
        <f>'1 datos preparados'!O414</f>
        <v/>
      </c>
      <c r="Q421" s="7">
        <f>'1 datos preparados'!P414</f>
        <v/>
      </c>
      <c r="R421" s="7">
        <f>'1 datos preparados'!Q414</f>
        <v/>
      </c>
      <c r="S421" s="7">
        <f>'1 datos preparados'!R414</f>
        <v/>
      </c>
      <c r="T421" s="7">
        <f>'1 datos preparados'!S414</f>
        <v/>
      </c>
      <c r="U421" s="7">
        <f>'1 datos preparados'!T414</f>
        <v/>
      </c>
      <c r="V421" s="8">
        <f>$AC$12+D421*$AC$13+E421*$AC$14+F421*$AC$15+G421*$AC$16+H421*$AC$17+I421*$AC$18+J421*$AC$19+K421*$AC$20+L421*$AC$21+M421*$AC$22+N421*$AC$23+O421*$AC$24+P421*$AC$25+Q421*$AC$26+R421*$AC$27+S421*$AC$28+T421*$AC$29+U421*$AC$30</f>
        <v/>
      </c>
      <c r="W421" s="8">
        <f>1/(1+EXP(-V421))</f>
        <v/>
      </c>
      <c r="X421" s="9">
        <f>-IF(C421=1,LN(W421),LN(1-W421))</f>
        <v/>
      </c>
      <c r="Y421" s="10">
        <f>IF(W421&gt;$AC$34,1,0)</f>
        <v/>
      </c>
      <c r="Z421">
        <f>IF(Y421=C421,1,0)</f>
        <v/>
      </c>
    </row>
    <row r="422">
      <c r="A422">
        <f>'1 datos preparados'!A415</f>
        <v/>
      </c>
      <c r="B422" s="5">
        <f>'1 datos preparados'!U415</f>
        <v/>
      </c>
      <c r="C422">
        <f>'1 datos preparados'!B415</f>
        <v/>
      </c>
      <c r="D422" s="7">
        <f>'1 datos preparados'!C415</f>
        <v/>
      </c>
      <c r="E422" s="7">
        <f>'1 datos preparados'!D415</f>
        <v/>
      </c>
      <c r="F422" s="7">
        <f>'1 datos preparados'!E415</f>
        <v/>
      </c>
      <c r="G422" s="7">
        <f>'1 datos preparados'!F415</f>
        <v/>
      </c>
      <c r="H422" s="7">
        <f>'1 datos preparados'!G415</f>
        <v/>
      </c>
      <c r="I422" s="7">
        <f>'1 datos preparados'!H415</f>
        <v/>
      </c>
      <c r="J422" s="7">
        <f>'1 datos preparados'!I415</f>
        <v/>
      </c>
      <c r="K422" s="7">
        <f>'1 datos preparados'!J415</f>
        <v/>
      </c>
      <c r="L422" s="7">
        <f>'1 datos preparados'!K415</f>
        <v/>
      </c>
      <c r="M422" s="7">
        <f>'1 datos preparados'!L415</f>
        <v/>
      </c>
      <c r="N422" s="7">
        <f>'1 datos preparados'!M415</f>
        <v/>
      </c>
      <c r="O422" s="7">
        <f>'1 datos preparados'!N415</f>
        <v/>
      </c>
      <c r="P422" s="7">
        <f>'1 datos preparados'!O415</f>
        <v/>
      </c>
      <c r="Q422" s="7">
        <f>'1 datos preparados'!P415</f>
        <v/>
      </c>
      <c r="R422" s="7">
        <f>'1 datos preparados'!Q415</f>
        <v/>
      </c>
      <c r="S422" s="7">
        <f>'1 datos preparados'!R415</f>
        <v/>
      </c>
      <c r="T422" s="7">
        <f>'1 datos preparados'!S415</f>
        <v/>
      </c>
      <c r="U422" s="7">
        <f>'1 datos preparados'!T415</f>
        <v/>
      </c>
      <c r="V422" s="8">
        <f>$AC$12+D422*$AC$13+E422*$AC$14+F422*$AC$15+G422*$AC$16+H422*$AC$17+I422*$AC$18+J422*$AC$19+K422*$AC$20+L422*$AC$21+M422*$AC$22+N422*$AC$23+O422*$AC$24+P422*$AC$25+Q422*$AC$26+R422*$AC$27+S422*$AC$28+T422*$AC$29+U422*$AC$30</f>
        <v/>
      </c>
      <c r="W422" s="8">
        <f>1/(1+EXP(-V422))</f>
        <v/>
      </c>
      <c r="X422" s="9">
        <f>-IF(C422=1,LN(W422),LN(1-W422))</f>
        <v/>
      </c>
      <c r="Y422" s="10">
        <f>IF(W422&gt;$AC$34,1,0)</f>
        <v/>
      </c>
      <c r="Z422">
        <f>IF(Y422=C422,1,0)</f>
        <v/>
      </c>
    </row>
    <row r="423">
      <c r="A423">
        <f>'1 datos preparados'!A416</f>
        <v/>
      </c>
      <c r="B423" s="5">
        <f>'1 datos preparados'!U416</f>
        <v/>
      </c>
      <c r="C423">
        <f>'1 datos preparados'!B416</f>
        <v/>
      </c>
      <c r="D423" s="7">
        <f>'1 datos preparados'!C416</f>
        <v/>
      </c>
      <c r="E423" s="7">
        <f>'1 datos preparados'!D416</f>
        <v/>
      </c>
      <c r="F423" s="7">
        <f>'1 datos preparados'!E416</f>
        <v/>
      </c>
      <c r="G423" s="7">
        <f>'1 datos preparados'!F416</f>
        <v/>
      </c>
      <c r="H423" s="7">
        <f>'1 datos preparados'!G416</f>
        <v/>
      </c>
      <c r="I423" s="7">
        <f>'1 datos preparados'!H416</f>
        <v/>
      </c>
      <c r="J423" s="7">
        <f>'1 datos preparados'!I416</f>
        <v/>
      </c>
      <c r="K423" s="7">
        <f>'1 datos preparados'!J416</f>
        <v/>
      </c>
      <c r="L423" s="7">
        <f>'1 datos preparados'!K416</f>
        <v/>
      </c>
      <c r="M423" s="7">
        <f>'1 datos preparados'!L416</f>
        <v/>
      </c>
      <c r="N423" s="7">
        <f>'1 datos preparados'!M416</f>
        <v/>
      </c>
      <c r="O423" s="7">
        <f>'1 datos preparados'!N416</f>
        <v/>
      </c>
      <c r="P423" s="7">
        <f>'1 datos preparados'!O416</f>
        <v/>
      </c>
      <c r="Q423" s="7">
        <f>'1 datos preparados'!P416</f>
        <v/>
      </c>
      <c r="R423" s="7">
        <f>'1 datos preparados'!Q416</f>
        <v/>
      </c>
      <c r="S423" s="7">
        <f>'1 datos preparados'!R416</f>
        <v/>
      </c>
      <c r="T423" s="7">
        <f>'1 datos preparados'!S416</f>
        <v/>
      </c>
      <c r="U423" s="7">
        <f>'1 datos preparados'!T416</f>
        <v/>
      </c>
      <c r="V423" s="8">
        <f>$AC$12+D423*$AC$13+E423*$AC$14+F423*$AC$15+G423*$AC$16+H423*$AC$17+I423*$AC$18+J423*$AC$19+K423*$AC$20+L423*$AC$21+M423*$AC$22+N423*$AC$23+O423*$AC$24+P423*$AC$25+Q423*$AC$26+R423*$AC$27+S423*$AC$28+T423*$AC$29+U423*$AC$30</f>
        <v/>
      </c>
      <c r="W423" s="8">
        <f>1/(1+EXP(-V423))</f>
        <v/>
      </c>
      <c r="X423" s="9">
        <f>-IF(C423=1,LN(W423),LN(1-W423))</f>
        <v/>
      </c>
      <c r="Y423" s="10">
        <f>IF(W423&gt;$AC$34,1,0)</f>
        <v/>
      </c>
      <c r="Z423">
        <f>IF(Y423=C423,1,0)</f>
        <v/>
      </c>
    </row>
    <row r="424">
      <c r="A424">
        <f>'1 datos preparados'!A417</f>
        <v/>
      </c>
      <c r="B424" s="5">
        <f>'1 datos preparados'!U417</f>
        <v/>
      </c>
      <c r="C424">
        <f>'1 datos preparados'!B417</f>
        <v/>
      </c>
      <c r="D424" s="7">
        <f>'1 datos preparados'!C417</f>
        <v/>
      </c>
      <c r="E424" s="7">
        <f>'1 datos preparados'!D417</f>
        <v/>
      </c>
      <c r="F424" s="7">
        <f>'1 datos preparados'!E417</f>
        <v/>
      </c>
      <c r="G424" s="7">
        <f>'1 datos preparados'!F417</f>
        <v/>
      </c>
      <c r="H424" s="7">
        <f>'1 datos preparados'!G417</f>
        <v/>
      </c>
      <c r="I424" s="7">
        <f>'1 datos preparados'!H417</f>
        <v/>
      </c>
      <c r="J424" s="7">
        <f>'1 datos preparados'!I417</f>
        <v/>
      </c>
      <c r="K424" s="7">
        <f>'1 datos preparados'!J417</f>
        <v/>
      </c>
      <c r="L424" s="7">
        <f>'1 datos preparados'!K417</f>
        <v/>
      </c>
      <c r="M424" s="7">
        <f>'1 datos preparados'!L417</f>
        <v/>
      </c>
      <c r="N424" s="7">
        <f>'1 datos preparados'!M417</f>
        <v/>
      </c>
      <c r="O424" s="7">
        <f>'1 datos preparados'!N417</f>
        <v/>
      </c>
      <c r="P424" s="7">
        <f>'1 datos preparados'!O417</f>
        <v/>
      </c>
      <c r="Q424" s="7">
        <f>'1 datos preparados'!P417</f>
        <v/>
      </c>
      <c r="R424" s="7">
        <f>'1 datos preparados'!Q417</f>
        <v/>
      </c>
      <c r="S424" s="7">
        <f>'1 datos preparados'!R417</f>
        <v/>
      </c>
      <c r="T424" s="7">
        <f>'1 datos preparados'!S417</f>
        <v/>
      </c>
      <c r="U424" s="7">
        <f>'1 datos preparados'!T417</f>
        <v/>
      </c>
      <c r="V424" s="8">
        <f>$AC$12+D424*$AC$13+E424*$AC$14+F424*$AC$15+G424*$AC$16+H424*$AC$17+I424*$AC$18+J424*$AC$19+K424*$AC$20+L424*$AC$21+M424*$AC$22+N424*$AC$23+O424*$AC$24+P424*$AC$25+Q424*$AC$26+R424*$AC$27+S424*$AC$28+T424*$AC$29+U424*$AC$30</f>
        <v/>
      </c>
      <c r="W424" s="8">
        <f>1/(1+EXP(-V424))</f>
        <v/>
      </c>
      <c r="X424" s="9">
        <f>-IF(C424=1,LN(W424),LN(1-W424))</f>
        <v/>
      </c>
      <c r="Y424" s="10">
        <f>IF(W424&gt;$AC$34,1,0)</f>
        <v/>
      </c>
      <c r="Z424">
        <f>IF(Y424=C424,1,0)</f>
        <v/>
      </c>
    </row>
    <row r="425">
      <c r="A425">
        <f>'1 datos preparados'!A418</f>
        <v/>
      </c>
      <c r="B425" s="5">
        <f>'1 datos preparados'!U418</f>
        <v/>
      </c>
      <c r="C425">
        <f>'1 datos preparados'!B418</f>
        <v/>
      </c>
      <c r="D425" s="7">
        <f>'1 datos preparados'!C418</f>
        <v/>
      </c>
      <c r="E425" s="7">
        <f>'1 datos preparados'!D418</f>
        <v/>
      </c>
      <c r="F425" s="7">
        <f>'1 datos preparados'!E418</f>
        <v/>
      </c>
      <c r="G425" s="7">
        <f>'1 datos preparados'!F418</f>
        <v/>
      </c>
      <c r="H425" s="7">
        <f>'1 datos preparados'!G418</f>
        <v/>
      </c>
      <c r="I425" s="7">
        <f>'1 datos preparados'!H418</f>
        <v/>
      </c>
      <c r="J425" s="7">
        <f>'1 datos preparados'!I418</f>
        <v/>
      </c>
      <c r="K425" s="7">
        <f>'1 datos preparados'!J418</f>
        <v/>
      </c>
      <c r="L425" s="7">
        <f>'1 datos preparados'!K418</f>
        <v/>
      </c>
      <c r="M425" s="7">
        <f>'1 datos preparados'!L418</f>
        <v/>
      </c>
      <c r="N425" s="7">
        <f>'1 datos preparados'!M418</f>
        <v/>
      </c>
      <c r="O425" s="7">
        <f>'1 datos preparados'!N418</f>
        <v/>
      </c>
      <c r="P425" s="7">
        <f>'1 datos preparados'!O418</f>
        <v/>
      </c>
      <c r="Q425" s="7">
        <f>'1 datos preparados'!P418</f>
        <v/>
      </c>
      <c r="R425" s="7">
        <f>'1 datos preparados'!Q418</f>
        <v/>
      </c>
      <c r="S425" s="7">
        <f>'1 datos preparados'!R418</f>
        <v/>
      </c>
      <c r="T425" s="7">
        <f>'1 datos preparados'!S418</f>
        <v/>
      </c>
      <c r="U425" s="7">
        <f>'1 datos preparados'!T418</f>
        <v/>
      </c>
      <c r="V425" s="8">
        <f>$AC$12+D425*$AC$13+E425*$AC$14+F425*$AC$15+G425*$AC$16+H425*$AC$17+I425*$AC$18+J425*$AC$19+K425*$AC$20+L425*$AC$21+M425*$AC$22+N425*$AC$23+O425*$AC$24+P425*$AC$25+Q425*$AC$26+R425*$AC$27+S425*$AC$28+T425*$AC$29+U425*$AC$30</f>
        <v/>
      </c>
      <c r="W425" s="8">
        <f>1/(1+EXP(-V425))</f>
        <v/>
      </c>
      <c r="X425" s="9">
        <f>-IF(C425=1,LN(W425),LN(1-W425))</f>
        <v/>
      </c>
      <c r="Y425" s="10">
        <f>IF(W425&gt;$AC$34,1,0)</f>
        <v/>
      </c>
      <c r="Z425">
        <f>IF(Y425=C425,1,0)</f>
        <v/>
      </c>
    </row>
    <row r="426">
      <c r="A426">
        <f>'1 datos preparados'!A419</f>
        <v/>
      </c>
      <c r="B426" s="5">
        <f>'1 datos preparados'!U419</f>
        <v/>
      </c>
      <c r="C426">
        <f>'1 datos preparados'!B419</f>
        <v/>
      </c>
      <c r="D426" s="7">
        <f>'1 datos preparados'!C419</f>
        <v/>
      </c>
      <c r="E426" s="7">
        <f>'1 datos preparados'!D419</f>
        <v/>
      </c>
      <c r="F426" s="7">
        <f>'1 datos preparados'!E419</f>
        <v/>
      </c>
      <c r="G426" s="7">
        <f>'1 datos preparados'!F419</f>
        <v/>
      </c>
      <c r="H426" s="7">
        <f>'1 datos preparados'!G419</f>
        <v/>
      </c>
      <c r="I426" s="7">
        <f>'1 datos preparados'!H419</f>
        <v/>
      </c>
      <c r="J426" s="7">
        <f>'1 datos preparados'!I419</f>
        <v/>
      </c>
      <c r="K426" s="7">
        <f>'1 datos preparados'!J419</f>
        <v/>
      </c>
      <c r="L426" s="7">
        <f>'1 datos preparados'!K419</f>
        <v/>
      </c>
      <c r="M426" s="7">
        <f>'1 datos preparados'!L419</f>
        <v/>
      </c>
      <c r="N426" s="7">
        <f>'1 datos preparados'!M419</f>
        <v/>
      </c>
      <c r="O426" s="7">
        <f>'1 datos preparados'!N419</f>
        <v/>
      </c>
      <c r="P426" s="7">
        <f>'1 datos preparados'!O419</f>
        <v/>
      </c>
      <c r="Q426" s="7">
        <f>'1 datos preparados'!P419</f>
        <v/>
      </c>
      <c r="R426" s="7">
        <f>'1 datos preparados'!Q419</f>
        <v/>
      </c>
      <c r="S426" s="7">
        <f>'1 datos preparados'!R419</f>
        <v/>
      </c>
      <c r="T426" s="7">
        <f>'1 datos preparados'!S419</f>
        <v/>
      </c>
      <c r="U426" s="7">
        <f>'1 datos preparados'!T419</f>
        <v/>
      </c>
      <c r="V426" s="8">
        <f>$AC$12+D426*$AC$13+E426*$AC$14+F426*$AC$15+G426*$AC$16+H426*$AC$17+I426*$AC$18+J426*$AC$19+K426*$AC$20+L426*$AC$21+M426*$AC$22+N426*$AC$23+O426*$AC$24+P426*$AC$25+Q426*$AC$26+R426*$AC$27+S426*$AC$28+T426*$AC$29+U426*$AC$30</f>
        <v/>
      </c>
      <c r="W426" s="8">
        <f>1/(1+EXP(-V426))</f>
        <v/>
      </c>
      <c r="X426" s="9">
        <f>-IF(C426=1,LN(W426),LN(1-W426))</f>
        <v/>
      </c>
      <c r="Y426" s="10">
        <f>IF(W426&gt;$AC$34,1,0)</f>
        <v/>
      </c>
      <c r="Z426">
        <f>IF(Y426=C426,1,0)</f>
        <v/>
      </c>
    </row>
    <row r="427">
      <c r="A427">
        <f>'1 datos preparados'!A420</f>
        <v/>
      </c>
      <c r="B427" s="5">
        <f>'1 datos preparados'!U420</f>
        <v/>
      </c>
      <c r="C427">
        <f>'1 datos preparados'!B420</f>
        <v/>
      </c>
      <c r="D427" s="7">
        <f>'1 datos preparados'!C420</f>
        <v/>
      </c>
      <c r="E427" s="7">
        <f>'1 datos preparados'!D420</f>
        <v/>
      </c>
      <c r="F427" s="7">
        <f>'1 datos preparados'!E420</f>
        <v/>
      </c>
      <c r="G427" s="7">
        <f>'1 datos preparados'!F420</f>
        <v/>
      </c>
      <c r="H427" s="7">
        <f>'1 datos preparados'!G420</f>
        <v/>
      </c>
      <c r="I427" s="7">
        <f>'1 datos preparados'!H420</f>
        <v/>
      </c>
      <c r="J427" s="7">
        <f>'1 datos preparados'!I420</f>
        <v/>
      </c>
      <c r="K427" s="7">
        <f>'1 datos preparados'!J420</f>
        <v/>
      </c>
      <c r="L427" s="7">
        <f>'1 datos preparados'!K420</f>
        <v/>
      </c>
      <c r="M427" s="7">
        <f>'1 datos preparados'!L420</f>
        <v/>
      </c>
      <c r="N427" s="7">
        <f>'1 datos preparados'!M420</f>
        <v/>
      </c>
      <c r="O427" s="7">
        <f>'1 datos preparados'!N420</f>
        <v/>
      </c>
      <c r="P427" s="7">
        <f>'1 datos preparados'!O420</f>
        <v/>
      </c>
      <c r="Q427" s="7">
        <f>'1 datos preparados'!P420</f>
        <v/>
      </c>
      <c r="R427" s="7">
        <f>'1 datos preparados'!Q420</f>
        <v/>
      </c>
      <c r="S427" s="7">
        <f>'1 datos preparados'!R420</f>
        <v/>
      </c>
      <c r="T427" s="7">
        <f>'1 datos preparados'!S420</f>
        <v/>
      </c>
      <c r="U427" s="7">
        <f>'1 datos preparados'!T420</f>
        <v/>
      </c>
      <c r="V427" s="8">
        <f>$AC$12+D427*$AC$13+E427*$AC$14+F427*$AC$15+G427*$AC$16+H427*$AC$17+I427*$AC$18+J427*$AC$19+K427*$AC$20+L427*$AC$21+M427*$AC$22+N427*$AC$23+O427*$AC$24+P427*$AC$25+Q427*$AC$26+R427*$AC$27+S427*$AC$28+T427*$AC$29+U427*$AC$30</f>
        <v/>
      </c>
      <c r="W427" s="8">
        <f>1/(1+EXP(-V427))</f>
        <v/>
      </c>
      <c r="X427" s="9">
        <f>-IF(C427=1,LN(W427),LN(1-W427))</f>
        <v/>
      </c>
      <c r="Y427" s="10">
        <f>IF(W427&gt;$AC$34,1,0)</f>
        <v/>
      </c>
      <c r="Z427">
        <f>IF(Y427=C427,1,0)</f>
        <v/>
      </c>
    </row>
    <row r="428">
      <c r="A428">
        <f>'1 datos preparados'!A421</f>
        <v/>
      </c>
      <c r="B428" s="5">
        <f>'1 datos preparados'!U421</f>
        <v/>
      </c>
      <c r="C428">
        <f>'1 datos preparados'!B421</f>
        <v/>
      </c>
      <c r="D428" s="7">
        <f>'1 datos preparados'!C421</f>
        <v/>
      </c>
      <c r="E428" s="7">
        <f>'1 datos preparados'!D421</f>
        <v/>
      </c>
      <c r="F428" s="7">
        <f>'1 datos preparados'!E421</f>
        <v/>
      </c>
      <c r="G428" s="7">
        <f>'1 datos preparados'!F421</f>
        <v/>
      </c>
      <c r="H428" s="7">
        <f>'1 datos preparados'!G421</f>
        <v/>
      </c>
      <c r="I428" s="7">
        <f>'1 datos preparados'!H421</f>
        <v/>
      </c>
      <c r="J428" s="7">
        <f>'1 datos preparados'!I421</f>
        <v/>
      </c>
      <c r="K428" s="7">
        <f>'1 datos preparados'!J421</f>
        <v/>
      </c>
      <c r="L428" s="7">
        <f>'1 datos preparados'!K421</f>
        <v/>
      </c>
      <c r="M428" s="7">
        <f>'1 datos preparados'!L421</f>
        <v/>
      </c>
      <c r="N428" s="7">
        <f>'1 datos preparados'!M421</f>
        <v/>
      </c>
      <c r="O428" s="7">
        <f>'1 datos preparados'!N421</f>
        <v/>
      </c>
      <c r="P428" s="7">
        <f>'1 datos preparados'!O421</f>
        <v/>
      </c>
      <c r="Q428" s="7">
        <f>'1 datos preparados'!P421</f>
        <v/>
      </c>
      <c r="R428" s="7">
        <f>'1 datos preparados'!Q421</f>
        <v/>
      </c>
      <c r="S428" s="7">
        <f>'1 datos preparados'!R421</f>
        <v/>
      </c>
      <c r="T428" s="7">
        <f>'1 datos preparados'!S421</f>
        <v/>
      </c>
      <c r="U428" s="7">
        <f>'1 datos preparados'!T421</f>
        <v/>
      </c>
      <c r="V428" s="8">
        <f>$AC$12+D428*$AC$13+E428*$AC$14+F428*$AC$15+G428*$AC$16+H428*$AC$17+I428*$AC$18+J428*$AC$19+K428*$AC$20+L428*$AC$21+M428*$AC$22+N428*$AC$23+O428*$AC$24+P428*$AC$25+Q428*$AC$26+R428*$AC$27+S428*$AC$28+T428*$AC$29+U428*$AC$30</f>
        <v/>
      </c>
      <c r="W428" s="8">
        <f>1/(1+EXP(-V428))</f>
        <v/>
      </c>
      <c r="X428" s="9">
        <f>-IF(C428=1,LN(W428),LN(1-W428))</f>
        <v/>
      </c>
      <c r="Y428" s="10">
        <f>IF(W428&gt;$AC$34,1,0)</f>
        <v/>
      </c>
      <c r="Z428">
        <f>IF(Y428=C428,1,0)</f>
        <v/>
      </c>
    </row>
    <row r="429">
      <c r="A429">
        <f>'1 datos preparados'!A422</f>
        <v/>
      </c>
      <c r="B429" s="5">
        <f>'1 datos preparados'!U422</f>
        <v/>
      </c>
      <c r="C429">
        <f>'1 datos preparados'!B422</f>
        <v/>
      </c>
      <c r="D429" s="7">
        <f>'1 datos preparados'!C422</f>
        <v/>
      </c>
      <c r="E429" s="7">
        <f>'1 datos preparados'!D422</f>
        <v/>
      </c>
      <c r="F429" s="7">
        <f>'1 datos preparados'!E422</f>
        <v/>
      </c>
      <c r="G429" s="7">
        <f>'1 datos preparados'!F422</f>
        <v/>
      </c>
      <c r="H429" s="7">
        <f>'1 datos preparados'!G422</f>
        <v/>
      </c>
      <c r="I429" s="7">
        <f>'1 datos preparados'!H422</f>
        <v/>
      </c>
      <c r="J429" s="7">
        <f>'1 datos preparados'!I422</f>
        <v/>
      </c>
      <c r="K429" s="7">
        <f>'1 datos preparados'!J422</f>
        <v/>
      </c>
      <c r="L429" s="7">
        <f>'1 datos preparados'!K422</f>
        <v/>
      </c>
      <c r="M429" s="7">
        <f>'1 datos preparados'!L422</f>
        <v/>
      </c>
      <c r="N429" s="7">
        <f>'1 datos preparados'!M422</f>
        <v/>
      </c>
      <c r="O429" s="7">
        <f>'1 datos preparados'!N422</f>
        <v/>
      </c>
      <c r="P429" s="7">
        <f>'1 datos preparados'!O422</f>
        <v/>
      </c>
      <c r="Q429" s="7">
        <f>'1 datos preparados'!P422</f>
        <v/>
      </c>
      <c r="R429" s="7">
        <f>'1 datos preparados'!Q422</f>
        <v/>
      </c>
      <c r="S429" s="7">
        <f>'1 datos preparados'!R422</f>
        <v/>
      </c>
      <c r="T429" s="7">
        <f>'1 datos preparados'!S422</f>
        <v/>
      </c>
      <c r="U429" s="7">
        <f>'1 datos preparados'!T422</f>
        <v/>
      </c>
      <c r="V429" s="8">
        <f>$AC$12+D429*$AC$13+E429*$AC$14+F429*$AC$15+G429*$AC$16+H429*$AC$17+I429*$AC$18+J429*$AC$19+K429*$AC$20+L429*$AC$21+M429*$AC$22+N429*$AC$23+O429*$AC$24+P429*$AC$25+Q429*$AC$26+R429*$AC$27+S429*$AC$28+T429*$AC$29+U429*$AC$30</f>
        <v/>
      </c>
      <c r="W429" s="8">
        <f>1/(1+EXP(-V429))</f>
        <v/>
      </c>
      <c r="X429" s="9">
        <f>-IF(C429=1,LN(W429),LN(1-W429))</f>
        <v/>
      </c>
      <c r="Y429" s="10">
        <f>IF(W429&gt;$AC$34,1,0)</f>
        <v/>
      </c>
      <c r="Z429">
        <f>IF(Y429=C429,1,0)</f>
        <v/>
      </c>
    </row>
    <row r="430">
      <c r="A430">
        <f>'1 datos preparados'!A423</f>
        <v/>
      </c>
      <c r="B430" s="5">
        <f>'1 datos preparados'!U423</f>
        <v/>
      </c>
      <c r="C430">
        <f>'1 datos preparados'!B423</f>
        <v/>
      </c>
      <c r="D430" s="7">
        <f>'1 datos preparados'!C423</f>
        <v/>
      </c>
      <c r="E430" s="7">
        <f>'1 datos preparados'!D423</f>
        <v/>
      </c>
      <c r="F430" s="7">
        <f>'1 datos preparados'!E423</f>
        <v/>
      </c>
      <c r="G430" s="7">
        <f>'1 datos preparados'!F423</f>
        <v/>
      </c>
      <c r="H430" s="7">
        <f>'1 datos preparados'!G423</f>
        <v/>
      </c>
      <c r="I430" s="7">
        <f>'1 datos preparados'!H423</f>
        <v/>
      </c>
      <c r="J430" s="7">
        <f>'1 datos preparados'!I423</f>
        <v/>
      </c>
      <c r="K430" s="7">
        <f>'1 datos preparados'!J423</f>
        <v/>
      </c>
      <c r="L430" s="7">
        <f>'1 datos preparados'!K423</f>
        <v/>
      </c>
      <c r="M430" s="7">
        <f>'1 datos preparados'!L423</f>
        <v/>
      </c>
      <c r="N430" s="7">
        <f>'1 datos preparados'!M423</f>
        <v/>
      </c>
      <c r="O430" s="7">
        <f>'1 datos preparados'!N423</f>
        <v/>
      </c>
      <c r="P430" s="7">
        <f>'1 datos preparados'!O423</f>
        <v/>
      </c>
      <c r="Q430" s="7">
        <f>'1 datos preparados'!P423</f>
        <v/>
      </c>
      <c r="R430" s="7">
        <f>'1 datos preparados'!Q423</f>
        <v/>
      </c>
      <c r="S430" s="7">
        <f>'1 datos preparados'!R423</f>
        <v/>
      </c>
      <c r="T430" s="7">
        <f>'1 datos preparados'!S423</f>
        <v/>
      </c>
      <c r="U430" s="7">
        <f>'1 datos preparados'!T423</f>
        <v/>
      </c>
      <c r="V430" s="8">
        <f>$AC$12+D430*$AC$13+E430*$AC$14+F430*$AC$15+G430*$AC$16+H430*$AC$17+I430*$AC$18+J430*$AC$19+K430*$AC$20+L430*$AC$21+M430*$AC$22+N430*$AC$23+O430*$AC$24+P430*$AC$25+Q430*$AC$26+R430*$AC$27+S430*$AC$28+T430*$AC$29+U430*$AC$30</f>
        <v/>
      </c>
      <c r="W430" s="8">
        <f>1/(1+EXP(-V430))</f>
        <v/>
      </c>
      <c r="X430" s="9">
        <f>-IF(C430=1,LN(W430),LN(1-W430))</f>
        <v/>
      </c>
      <c r="Y430" s="10">
        <f>IF(W430&gt;$AC$34,1,0)</f>
        <v/>
      </c>
      <c r="Z430">
        <f>IF(Y430=C430,1,0)</f>
        <v/>
      </c>
    </row>
    <row r="431">
      <c r="A431">
        <f>'1 datos preparados'!A424</f>
        <v/>
      </c>
      <c r="B431" s="5">
        <f>'1 datos preparados'!U424</f>
        <v/>
      </c>
      <c r="C431">
        <f>'1 datos preparados'!B424</f>
        <v/>
      </c>
      <c r="D431" s="7">
        <f>'1 datos preparados'!C424</f>
        <v/>
      </c>
      <c r="E431" s="7">
        <f>'1 datos preparados'!D424</f>
        <v/>
      </c>
      <c r="F431" s="7">
        <f>'1 datos preparados'!E424</f>
        <v/>
      </c>
      <c r="G431" s="7">
        <f>'1 datos preparados'!F424</f>
        <v/>
      </c>
      <c r="H431" s="7">
        <f>'1 datos preparados'!G424</f>
        <v/>
      </c>
      <c r="I431" s="7">
        <f>'1 datos preparados'!H424</f>
        <v/>
      </c>
      <c r="J431" s="7">
        <f>'1 datos preparados'!I424</f>
        <v/>
      </c>
      <c r="K431" s="7">
        <f>'1 datos preparados'!J424</f>
        <v/>
      </c>
      <c r="L431" s="7">
        <f>'1 datos preparados'!K424</f>
        <v/>
      </c>
      <c r="M431" s="7">
        <f>'1 datos preparados'!L424</f>
        <v/>
      </c>
      <c r="N431" s="7">
        <f>'1 datos preparados'!M424</f>
        <v/>
      </c>
      <c r="O431" s="7">
        <f>'1 datos preparados'!N424</f>
        <v/>
      </c>
      <c r="P431" s="7">
        <f>'1 datos preparados'!O424</f>
        <v/>
      </c>
      <c r="Q431" s="7">
        <f>'1 datos preparados'!P424</f>
        <v/>
      </c>
      <c r="R431" s="7">
        <f>'1 datos preparados'!Q424</f>
        <v/>
      </c>
      <c r="S431" s="7">
        <f>'1 datos preparados'!R424</f>
        <v/>
      </c>
      <c r="T431" s="7">
        <f>'1 datos preparados'!S424</f>
        <v/>
      </c>
      <c r="U431" s="7">
        <f>'1 datos preparados'!T424</f>
        <v/>
      </c>
      <c r="V431" s="8">
        <f>$AC$12+D431*$AC$13+E431*$AC$14+F431*$AC$15+G431*$AC$16+H431*$AC$17+I431*$AC$18+J431*$AC$19+K431*$AC$20+L431*$AC$21+M431*$AC$22+N431*$AC$23+O431*$AC$24+P431*$AC$25+Q431*$AC$26+R431*$AC$27+S431*$AC$28+T431*$AC$29+U431*$AC$30</f>
        <v/>
      </c>
      <c r="W431" s="8">
        <f>1/(1+EXP(-V431))</f>
        <v/>
      </c>
      <c r="X431" s="9">
        <f>-IF(C431=1,LN(W431),LN(1-W431))</f>
        <v/>
      </c>
      <c r="Y431" s="10">
        <f>IF(W431&gt;$AC$34,1,0)</f>
        <v/>
      </c>
      <c r="Z431">
        <f>IF(Y431=C431,1,0)</f>
        <v/>
      </c>
    </row>
    <row r="432">
      <c r="A432">
        <f>'1 datos preparados'!A425</f>
        <v/>
      </c>
      <c r="B432" s="5">
        <f>'1 datos preparados'!U425</f>
        <v/>
      </c>
      <c r="C432">
        <f>'1 datos preparados'!B425</f>
        <v/>
      </c>
      <c r="D432" s="7">
        <f>'1 datos preparados'!C425</f>
        <v/>
      </c>
      <c r="E432" s="7">
        <f>'1 datos preparados'!D425</f>
        <v/>
      </c>
      <c r="F432" s="7">
        <f>'1 datos preparados'!E425</f>
        <v/>
      </c>
      <c r="G432" s="7">
        <f>'1 datos preparados'!F425</f>
        <v/>
      </c>
      <c r="H432" s="7">
        <f>'1 datos preparados'!G425</f>
        <v/>
      </c>
      <c r="I432" s="7">
        <f>'1 datos preparados'!H425</f>
        <v/>
      </c>
      <c r="J432" s="7">
        <f>'1 datos preparados'!I425</f>
        <v/>
      </c>
      <c r="K432" s="7">
        <f>'1 datos preparados'!J425</f>
        <v/>
      </c>
      <c r="L432" s="7">
        <f>'1 datos preparados'!K425</f>
        <v/>
      </c>
      <c r="M432" s="7">
        <f>'1 datos preparados'!L425</f>
        <v/>
      </c>
      <c r="N432" s="7">
        <f>'1 datos preparados'!M425</f>
        <v/>
      </c>
      <c r="O432" s="7">
        <f>'1 datos preparados'!N425</f>
        <v/>
      </c>
      <c r="P432" s="7">
        <f>'1 datos preparados'!O425</f>
        <v/>
      </c>
      <c r="Q432" s="7">
        <f>'1 datos preparados'!P425</f>
        <v/>
      </c>
      <c r="R432" s="7">
        <f>'1 datos preparados'!Q425</f>
        <v/>
      </c>
      <c r="S432" s="7">
        <f>'1 datos preparados'!R425</f>
        <v/>
      </c>
      <c r="T432" s="7">
        <f>'1 datos preparados'!S425</f>
        <v/>
      </c>
      <c r="U432" s="7">
        <f>'1 datos preparados'!T425</f>
        <v/>
      </c>
      <c r="V432" s="8">
        <f>$AC$12+D432*$AC$13+E432*$AC$14+F432*$AC$15+G432*$AC$16+H432*$AC$17+I432*$AC$18+J432*$AC$19+K432*$AC$20+L432*$AC$21+M432*$AC$22+N432*$AC$23+O432*$AC$24+P432*$AC$25+Q432*$AC$26+R432*$AC$27+S432*$AC$28+T432*$AC$29+U432*$AC$30</f>
        <v/>
      </c>
      <c r="W432" s="8">
        <f>1/(1+EXP(-V432))</f>
        <v/>
      </c>
      <c r="X432" s="9">
        <f>-IF(C432=1,LN(W432),LN(1-W432))</f>
        <v/>
      </c>
      <c r="Y432" s="10">
        <f>IF(W432&gt;$AC$34,1,0)</f>
        <v/>
      </c>
      <c r="Z432">
        <f>IF(Y432=C432,1,0)</f>
        <v/>
      </c>
    </row>
    <row r="433">
      <c r="A433">
        <f>'1 datos preparados'!A426</f>
        <v/>
      </c>
      <c r="B433" s="5">
        <f>'1 datos preparados'!U426</f>
        <v/>
      </c>
      <c r="C433">
        <f>'1 datos preparados'!B426</f>
        <v/>
      </c>
      <c r="D433" s="7">
        <f>'1 datos preparados'!C426</f>
        <v/>
      </c>
      <c r="E433" s="7">
        <f>'1 datos preparados'!D426</f>
        <v/>
      </c>
      <c r="F433" s="7">
        <f>'1 datos preparados'!E426</f>
        <v/>
      </c>
      <c r="G433" s="7">
        <f>'1 datos preparados'!F426</f>
        <v/>
      </c>
      <c r="H433" s="7">
        <f>'1 datos preparados'!G426</f>
        <v/>
      </c>
      <c r="I433" s="7">
        <f>'1 datos preparados'!H426</f>
        <v/>
      </c>
      <c r="J433" s="7">
        <f>'1 datos preparados'!I426</f>
        <v/>
      </c>
      <c r="K433" s="7">
        <f>'1 datos preparados'!J426</f>
        <v/>
      </c>
      <c r="L433" s="7">
        <f>'1 datos preparados'!K426</f>
        <v/>
      </c>
      <c r="M433" s="7">
        <f>'1 datos preparados'!L426</f>
        <v/>
      </c>
      <c r="N433" s="7">
        <f>'1 datos preparados'!M426</f>
        <v/>
      </c>
      <c r="O433" s="7">
        <f>'1 datos preparados'!N426</f>
        <v/>
      </c>
      <c r="P433" s="7">
        <f>'1 datos preparados'!O426</f>
        <v/>
      </c>
      <c r="Q433" s="7">
        <f>'1 datos preparados'!P426</f>
        <v/>
      </c>
      <c r="R433" s="7">
        <f>'1 datos preparados'!Q426</f>
        <v/>
      </c>
      <c r="S433" s="7">
        <f>'1 datos preparados'!R426</f>
        <v/>
      </c>
      <c r="T433" s="7">
        <f>'1 datos preparados'!S426</f>
        <v/>
      </c>
      <c r="U433" s="7">
        <f>'1 datos preparados'!T426</f>
        <v/>
      </c>
      <c r="V433" s="8">
        <f>$AC$12+D433*$AC$13+E433*$AC$14+F433*$AC$15+G433*$AC$16+H433*$AC$17+I433*$AC$18+J433*$AC$19+K433*$AC$20+L433*$AC$21+M433*$AC$22+N433*$AC$23+O433*$AC$24+P433*$AC$25+Q433*$AC$26+R433*$AC$27+S433*$AC$28+T433*$AC$29+U433*$AC$30</f>
        <v/>
      </c>
      <c r="W433" s="8">
        <f>1/(1+EXP(-V433))</f>
        <v/>
      </c>
      <c r="X433" s="9">
        <f>-IF(C433=1,LN(W433),LN(1-W433))</f>
        <v/>
      </c>
      <c r="Y433" s="10">
        <f>IF(W433&gt;$AC$34,1,0)</f>
        <v/>
      </c>
      <c r="Z433">
        <f>IF(Y433=C433,1,0)</f>
        <v/>
      </c>
    </row>
    <row r="434">
      <c r="A434">
        <f>'1 datos preparados'!A427</f>
        <v/>
      </c>
      <c r="B434" s="5">
        <f>'1 datos preparados'!U427</f>
        <v/>
      </c>
      <c r="C434">
        <f>'1 datos preparados'!B427</f>
        <v/>
      </c>
      <c r="D434" s="7">
        <f>'1 datos preparados'!C427</f>
        <v/>
      </c>
      <c r="E434" s="7">
        <f>'1 datos preparados'!D427</f>
        <v/>
      </c>
      <c r="F434" s="7">
        <f>'1 datos preparados'!E427</f>
        <v/>
      </c>
      <c r="G434" s="7">
        <f>'1 datos preparados'!F427</f>
        <v/>
      </c>
      <c r="H434" s="7">
        <f>'1 datos preparados'!G427</f>
        <v/>
      </c>
      <c r="I434" s="7">
        <f>'1 datos preparados'!H427</f>
        <v/>
      </c>
      <c r="J434" s="7">
        <f>'1 datos preparados'!I427</f>
        <v/>
      </c>
      <c r="K434" s="7">
        <f>'1 datos preparados'!J427</f>
        <v/>
      </c>
      <c r="L434" s="7">
        <f>'1 datos preparados'!K427</f>
        <v/>
      </c>
      <c r="M434" s="7">
        <f>'1 datos preparados'!L427</f>
        <v/>
      </c>
      <c r="N434" s="7">
        <f>'1 datos preparados'!M427</f>
        <v/>
      </c>
      <c r="O434" s="7">
        <f>'1 datos preparados'!N427</f>
        <v/>
      </c>
      <c r="P434" s="7">
        <f>'1 datos preparados'!O427</f>
        <v/>
      </c>
      <c r="Q434" s="7">
        <f>'1 datos preparados'!P427</f>
        <v/>
      </c>
      <c r="R434" s="7">
        <f>'1 datos preparados'!Q427</f>
        <v/>
      </c>
      <c r="S434" s="7">
        <f>'1 datos preparados'!R427</f>
        <v/>
      </c>
      <c r="T434" s="7">
        <f>'1 datos preparados'!S427</f>
        <v/>
      </c>
      <c r="U434" s="7">
        <f>'1 datos preparados'!T427</f>
        <v/>
      </c>
      <c r="V434" s="8">
        <f>$AC$12+D434*$AC$13+E434*$AC$14+F434*$AC$15+G434*$AC$16+H434*$AC$17+I434*$AC$18+J434*$AC$19+K434*$AC$20+L434*$AC$21+M434*$AC$22+N434*$AC$23+O434*$AC$24+P434*$AC$25+Q434*$AC$26+R434*$AC$27+S434*$AC$28+T434*$AC$29+U434*$AC$30</f>
        <v/>
      </c>
      <c r="W434" s="8">
        <f>1/(1+EXP(-V434))</f>
        <v/>
      </c>
      <c r="X434" s="9">
        <f>-IF(C434=1,LN(W434),LN(1-W434))</f>
        <v/>
      </c>
      <c r="Y434" s="10">
        <f>IF(W434&gt;$AC$34,1,0)</f>
        <v/>
      </c>
      <c r="Z434">
        <f>IF(Y434=C434,1,0)</f>
        <v/>
      </c>
    </row>
    <row r="435">
      <c r="A435">
        <f>'1 datos preparados'!A428</f>
        <v/>
      </c>
      <c r="B435" s="5">
        <f>'1 datos preparados'!U428</f>
        <v/>
      </c>
      <c r="C435">
        <f>'1 datos preparados'!B428</f>
        <v/>
      </c>
      <c r="D435" s="7">
        <f>'1 datos preparados'!C428</f>
        <v/>
      </c>
      <c r="E435" s="7">
        <f>'1 datos preparados'!D428</f>
        <v/>
      </c>
      <c r="F435" s="7">
        <f>'1 datos preparados'!E428</f>
        <v/>
      </c>
      <c r="G435" s="7">
        <f>'1 datos preparados'!F428</f>
        <v/>
      </c>
      <c r="H435" s="7">
        <f>'1 datos preparados'!G428</f>
        <v/>
      </c>
      <c r="I435" s="7">
        <f>'1 datos preparados'!H428</f>
        <v/>
      </c>
      <c r="J435" s="7">
        <f>'1 datos preparados'!I428</f>
        <v/>
      </c>
      <c r="K435" s="7">
        <f>'1 datos preparados'!J428</f>
        <v/>
      </c>
      <c r="L435" s="7">
        <f>'1 datos preparados'!K428</f>
        <v/>
      </c>
      <c r="M435" s="7">
        <f>'1 datos preparados'!L428</f>
        <v/>
      </c>
      <c r="N435" s="7">
        <f>'1 datos preparados'!M428</f>
        <v/>
      </c>
      <c r="O435" s="7">
        <f>'1 datos preparados'!N428</f>
        <v/>
      </c>
      <c r="P435" s="7">
        <f>'1 datos preparados'!O428</f>
        <v/>
      </c>
      <c r="Q435" s="7">
        <f>'1 datos preparados'!P428</f>
        <v/>
      </c>
      <c r="R435" s="7">
        <f>'1 datos preparados'!Q428</f>
        <v/>
      </c>
      <c r="S435" s="7">
        <f>'1 datos preparados'!R428</f>
        <v/>
      </c>
      <c r="T435" s="7">
        <f>'1 datos preparados'!S428</f>
        <v/>
      </c>
      <c r="U435" s="7">
        <f>'1 datos preparados'!T428</f>
        <v/>
      </c>
      <c r="V435" s="8">
        <f>$AC$12+D435*$AC$13+E435*$AC$14+F435*$AC$15+G435*$AC$16+H435*$AC$17+I435*$AC$18+J435*$AC$19+K435*$AC$20+L435*$AC$21+M435*$AC$22+N435*$AC$23+O435*$AC$24+P435*$AC$25+Q435*$AC$26+R435*$AC$27+S435*$AC$28+T435*$AC$29+U435*$AC$30</f>
        <v/>
      </c>
      <c r="W435" s="8">
        <f>1/(1+EXP(-V435))</f>
        <v/>
      </c>
      <c r="X435" s="9">
        <f>-IF(C435=1,LN(W435),LN(1-W435))</f>
        <v/>
      </c>
      <c r="Y435" s="10">
        <f>IF(W435&gt;$AC$34,1,0)</f>
        <v/>
      </c>
      <c r="Z435">
        <f>IF(Y435=C435,1,0)</f>
        <v/>
      </c>
    </row>
    <row r="436">
      <c r="A436">
        <f>'1 datos preparados'!A429</f>
        <v/>
      </c>
      <c r="B436" s="5">
        <f>'1 datos preparados'!U429</f>
        <v/>
      </c>
      <c r="C436">
        <f>'1 datos preparados'!B429</f>
        <v/>
      </c>
      <c r="D436" s="7">
        <f>'1 datos preparados'!C429</f>
        <v/>
      </c>
      <c r="E436" s="7">
        <f>'1 datos preparados'!D429</f>
        <v/>
      </c>
      <c r="F436" s="7">
        <f>'1 datos preparados'!E429</f>
        <v/>
      </c>
      <c r="G436" s="7">
        <f>'1 datos preparados'!F429</f>
        <v/>
      </c>
      <c r="H436" s="7">
        <f>'1 datos preparados'!G429</f>
        <v/>
      </c>
      <c r="I436" s="7">
        <f>'1 datos preparados'!H429</f>
        <v/>
      </c>
      <c r="J436" s="7">
        <f>'1 datos preparados'!I429</f>
        <v/>
      </c>
      <c r="K436" s="7">
        <f>'1 datos preparados'!J429</f>
        <v/>
      </c>
      <c r="L436" s="7">
        <f>'1 datos preparados'!K429</f>
        <v/>
      </c>
      <c r="M436" s="7">
        <f>'1 datos preparados'!L429</f>
        <v/>
      </c>
      <c r="N436" s="7">
        <f>'1 datos preparados'!M429</f>
        <v/>
      </c>
      <c r="O436" s="7">
        <f>'1 datos preparados'!N429</f>
        <v/>
      </c>
      <c r="P436" s="7">
        <f>'1 datos preparados'!O429</f>
        <v/>
      </c>
      <c r="Q436" s="7">
        <f>'1 datos preparados'!P429</f>
        <v/>
      </c>
      <c r="R436" s="7">
        <f>'1 datos preparados'!Q429</f>
        <v/>
      </c>
      <c r="S436" s="7">
        <f>'1 datos preparados'!R429</f>
        <v/>
      </c>
      <c r="T436" s="7">
        <f>'1 datos preparados'!S429</f>
        <v/>
      </c>
      <c r="U436" s="7">
        <f>'1 datos preparados'!T429</f>
        <v/>
      </c>
      <c r="V436" s="8">
        <f>$AC$12+D436*$AC$13+E436*$AC$14+F436*$AC$15+G436*$AC$16+H436*$AC$17+I436*$AC$18+J436*$AC$19+K436*$AC$20+L436*$AC$21+M436*$AC$22+N436*$AC$23+O436*$AC$24+P436*$AC$25+Q436*$AC$26+R436*$AC$27+S436*$AC$28+T436*$AC$29+U436*$AC$30</f>
        <v/>
      </c>
      <c r="W436" s="8">
        <f>1/(1+EXP(-V436))</f>
        <v/>
      </c>
      <c r="X436" s="9">
        <f>-IF(C436=1,LN(W436),LN(1-W436))</f>
        <v/>
      </c>
      <c r="Y436" s="10">
        <f>IF(W436&gt;$AC$34,1,0)</f>
        <v/>
      </c>
      <c r="Z436">
        <f>IF(Y436=C436,1,0)</f>
        <v/>
      </c>
    </row>
    <row r="437">
      <c r="A437">
        <f>'1 datos preparados'!A430</f>
        <v/>
      </c>
      <c r="B437" s="5">
        <f>'1 datos preparados'!U430</f>
        <v/>
      </c>
      <c r="C437">
        <f>'1 datos preparados'!B430</f>
        <v/>
      </c>
      <c r="D437" s="7">
        <f>'1 datos preparados'!C430</f>
        <v/>
      </c>
      <c r="E437" s="7">
        <f>'1 datos preparados'!D430</f>
        <v/>
      </c>
      <c r="F437" s="7">
        <f>'1 datos preparados'!E430</f>
        <v/>
      </c>
      <c r="G437" s="7">
        <f>'1 datos preparados'!F430</f>
        <v/>
      </c>
      <c r="H437" s="7">
        <f>'1 datos preparados'!G430</f>
        <v/>
      </c>
      <c r="I437" s="7">
        <f>'1 datos preparados'!H430</f>
        <v/>
      </c>
      <c r="J437" s="7">
        <f>'1 datos preparados'!I430</f>
        <v/>
      </c>
      <c r="K437" s="7">
        <f>'1 datos preparados'!J430</f>
        <v/>
      </c>
      <c r="L437" s="7">
        <f>'1 datos preparados'!K430</f>
        <v/>
      </c>
      <c r="M437" s="7">
        <f>'1 datos preparados'!L430</f>
        <v/>
      </c>
      <c r="N437" s="7">
        <f>'1 datos preparados'!M430</f>
        <v/>
      </c>
      <c r="O437" s="7">
        <f>'1 datos preparados'!N430</f>
        <v/>
      </c>
      <c r="P437" s="7">
        <f>'1 datos preparados'!O430</f>
        <v/>
      </c>
      <c r="Q437" s="7">
        <f>'1 datos preparados'!P430</f>
        <v/>
      </c>
      <c r="R437" s="7">
        <f>'1 datos preparados'!Q430</f>
        <v/>
      </c>
      <c r="S437" s="7">
        <f>'1 datos preparados'!R430</f>
        <v/>
      </c>
      <c r="T437" s="7">
        <f>'1 datos preparados'!S430</f>
        <v/>
      </c>
      <c r="U437" s="7">
        <f>'1 datos preparados'!T430</f>
        <v/>
      </c>
      <c r="V437" s="8">
        <f>$AC$12+D437*$AC$13+E437*$AC$14+F437*$AC$15+G437*$AC$16+H437*$AC$17+I437*$AC$18+J437*$AC$19+K437*$AC$20+L437*$AC$21+M437*$AC$22+N437*$AC$23+O437*$AC$24+P437*$AC$25+Q437*$AC$26+R437*$AC$27+S437*$AC$28+T437*$AC$29+U437*$AC$30</f>
        <v/>
      </c>
      <c r="W437" s="8">
        <f>1/(1+EXP(-V437))</f>
        <v/>
      </c>
      <c r="X437" s="9">
        <f>-IF(C437=1,LN(W437),LN(1-W437))</f>
        <v/>
      </c>
      <c r="Y437" s="10">
        <f>IF(W437&gt;$AC$34,1,0)</f>
        <v/>
      </c>
      <c r="Z437">
        <f>IF(Y437=C437,1,0)</f>
        <v/>
      </c>
    </row>
    <row r="438">
      <c r="A438">
        <f>'1 datos preparados'!A431</f>
        <v/>
      </c>
      <c r="B438" s="5">
        <f>'1 datos preparados'!U431</f>
        <v/>
      </c>
      <c r="C438">
        <f>'1 datos preparados'!B431</f>
        <v/>
      </c>
      <c r="D438" s="7">
        <f>'1 datos preparados'!C431</f>
        <v/>
      </c>
      <c r="E438" s="7">
        <f>'1 datos preparados'!D431</f>
        <v/>
      </c>
      <c r="F438" s="7">
        <f>'1 datos preparados'!E431</f>
        <v/>
      </c>
      <c r="G438" s="7">
        <f>'1 datos preparados'!F431</f>
        <v/>
      </c>
      <c r="H438" s="7">
        <f>'1 datos preparados'!G431</f>
        <v/>
      </c>
      <c r="I438" s="7">
        <f>'1 datos preparados'!H431</f>
        <v/>
      </c>
      <c r="J438" s="7">
        <f>'1 datos preparados'!I431</f>
        <v/>
      </c>
      <c r="K438" s="7">
        <f>'1 datos preparados'!J431</f>
        <v/>
      </c>
      <c r="L438" s="7">
        <f>'1 datos preparados'!K431</f>
        <v/>
      </c>
      <c r="M438" s="7">
        <f>'1 datos preparados'!L431</f>
        <v/>
      </c>
      <c r="N438" s="7">
        <f>'1 datos preparados'!M431</f>
        <v/>
      </c>
      <c r="O438" s="7">
        <f>'1 datos preparados'!N431</f>
        <v/>
      </c>
      <c r="P438" s="7">
        <f>'1 datos preparados'!O431</f>
        <v/>
      </c>
      <c r="Q438" s="7">
        <f>'1 datos preparados'!P431</f>
        <v/>
      </c>
      <c r="R438" s="7">
        <f>'1 datos preparados'!Q431</f>
        <v/>
      </c>
      <c r="S438" s="7">
        <f>'1 datos preparados'!R431</f>
        <v/>
      </c>
      <c r="T438" s="7">
        <f>'1 datos preparados'!S431</f>
        <v/>
      </c>
      <c r="U438" s="7">
        <f>'1 datos preparados'!T431</f>
        <v/>
      </c>
      <c r="V438" s="8">
        <f>$AC$12+D438*$AC$13+E438*$AC$14+F438*$AC$15+G438*$AC$16+H438*$AC$17+I438*$AC$18+J438*$AC$19+K438*$AC$20+L438*$AC$21+M438*$AC$22+N438*$AC$23+O438*$AC$24+P438*$AC$25+Q438*$AC$26+R438*$AC$27+S438*$AC$28+T438*$AC$29+U438*$AC$30</f>
        <v/>
      </c>
      <c r="W438" s="8">
        <f>1/(1+EXP(-V438))</f>
        <v/>
      </c>
      <c r="X438" s="9">
        <f>-IF(C438=1,LN(W438),LN(1-W438))</f>
        <v/>
      </c>
      <c r="Y438" s="10">
        <f>IF(W438&gt;$AC$34,1,0)</f>
        <v/>
      </c>
      <c r="Z438">
        <f>IF(Y438=C438,1,0)</f>
        <v/>
      </c>
    </row>
    <row r="439">
      <c r="A439">
        <f>'1 datos preparados'!A432</f>
        <v/>
      </c>
      <c r="B439" s="5">
        <f>'1 datos preparados'!U432</f>
        <v/>
      </c>
      <c r="C439">
        <f>'1 datos preparados'!B432</f>
        <v/>
      </c>
      <c r="D439" s="7">
        <f>'1 datos preparados'!C432</f>
        <v/>
      </c>
      <c r="E439" s="7">
        <f>'1 datos preparados'!D432</f>
        <v/>
      </c>
      <c r="F439" s="7">
        <f>'1 datos preparados'!E432</f>
        <v/>
      </c>
      <c r="G439" s="7">
        <f>'1 datos preparados'!F432</f>
        <v/>
      </c>
      <c r="H439" s="7">
        <f>'1 datos preparados'!G432</f>
        <v/>
      </c>
      <c r="I439" s="7">
        <f>'1 datos preparados'!H432</f>
        <v/>
      </c>
      <c r="J439" s="7">
        <f>'1 datos preparados'!I432</f>
        <v/>
      </c>
      <c r="K439" s="7">
        <f>'1 datos preparados'!J432</f>
        <v/>
      </c>
      <c r="L439" s="7">
        <f>'1 datos preparados'!K432</f>
        <v/>
      </c>
      <c r="M439" s="7">
        <f>'1 datos preparados'!L432</f>
        <v/>
      </c>
      <c r="N439" s="7">
        <f>'1 datos preparados'!M432</f>
        <v/>
      </c>
      <c r="O439" s="7">
        <f>'1 datos preparados'!N432</f>
        <v/>
      </c>
      <c r="P439" s="7">
        <f>'1 datos preparados'!O432</f>
        <v/>
      </c>
      <c r="Q439" s="7">
        <f>'1 datos preparados'!P432</f>
        <v/>
      </c>
      <c r="R439" s="7">
        <f>'1 datos preparados'!Q432</f>
        <v/>
      </c>
      <c r="S439" s="7">
        <f>'1 datos preparados'!R432</f>
        <v/>
      </c>
      <c r="T439" s="7">
        <f>'1 datos preparados'!S432</f>
        <v/>
      </c>
      <c r="U439" s="7">
        <f>'1 datos preparados'!T432</f>
        <v/>
      </c>
      <c r="V439" s="8">
        <f>$AC$12+D439*$AC$13+E439*$AC$14+F439*$AC$15+G439*$AC$16+H439*$AC$17+I439*$AC$18+J439*$AC$19+K439*$AC$20+L439*$AC$21+M439*$AC$22+N439*$AC$23+O439*$AC$24+P439*$AC$25+Q439*$AC$26+R439*$AC$27+S439*$AC$28+T439*$AC$29+U439*$AC$30</f>
        <v/>
      </c>
      <c r="W439" s="8">
        <f>1/(1+EXP(-V439))</f>
        <v/>
      </c>
      <c r="X439" s="9">
        <f>-IF(C439=1,LN(W439),LN(1-W439))</f>
        <v/>
      </c>
      <c r="Y439" s="10">
        <f>IF(W439&gt;$AC$34,1,0)</f>
        <v/>
      </c>
      <c r="Z439">
        <f>IF(Y439=C439,1,0)</f>
        <v/>
      </c>
    </row>
    <row r="440">
      <c r="A440">
        <f>'1 datos preparados'!A433</f>
        <v/>
      </c>
      <c r="B440" s="5">
        <f>'1 datos preparados'!U433</f>
        <v/>
      </c>
      <c r="C440">
        <f>'1 datos preparados'!B433</f>
        <v/>
      </c>
      <c r="D440" s="7">
        <f>'1 datos preparados'!C433</f>
        <v/>
      </c>
      <c r="E440" s="7">
        <f>'1 datos preparados'!D433</f>
        <v/>
      </c>
      <c r="F440" s="7">
        <f>'1 datos preparados'!E433</f>
        <v/>
      </c>
      <c r="G440" s="7">
        <f>'1 datos preparados'!F433</f>
        <v/>
      </c>
      <c r="H440" s="7">
        <f>'1 datos preparados'!G433</f>
        <v/>
      </c>
      <c r="I440" s="7">
        <f>'1 datos preparados'!H433</f>
        <v/>
      </c>
      <c r="J440" s="7">
        <f>'1 datos preparados'!I433</f>
        <v/>
      </c>
      <c r="K440" s="7">
        <f>'1 datos preparados'!J433</f>
        <v/>
      </c>
      <c r="L440" s="7">
        <f>'1 datos preparados'!K433</f>
        <v/>
      </c>
      <c r="M440" s="7">
        <f>'1 datos preparados'!L433</f>
        <v/>
      </c>
      <c r="N440" s="7">
        <f>'1 datos preparados'!M433</f>
        <v/>
      </c>
      <c r="O440" s="7">
        <f>'1 datos preparados'!N433</f>
        <v/>
      </c>
      <c r="P440" s="7">
        <f>'1 datos preparados'!O433</f>
        <v/>
      </c>
      <c r="Q440" s="7">
        <f>'1 datos preparados'!P433</f>
        <v/>
      </c>
      <c r="R440" s="7">
        <f>'1 datos preparados'!Q433</f>
        <v/>
      </c>
      <c r="S440" s="7">
        <f>'1 datos preparados'!R433</f>
        <v/>
      </c>
      <c r="T440" s="7">
        <f>'1 datos preparados'!S433</f>
        <v/>
      </c>
      <c r="U440" s="7">
        <f>'1 datos preparados'!T433</f>
        <v/>
      </c>
      <c r="V440" s="8">
        <f>$AC$12+D440*$AC$13+E440*$AC$14+F440*$AC$15+G440*$AC$16+H440*$AC$17+I440*$AC$18+J440*$AC$19+K440*$AC$20+L440*$AC$21+M440*$AC$22+N440*$AC$23+O440*$AC$24+P440*$AC$25+Q440*$AC$26+R440*$AC$27+S440*$AC$28+T440*$AC$29+U440*$AC$30</f>
        <v/>
      </c>
      <c r="W440" s="8">
        <f>1/(1+EXP(-V440))</f>
        <v/>
      </c>
      <c r="X440" s="9">
        <f>-IF(C440=1,LN(W440),LN(1-W440))</f>
        <v/>
      </c>
      <c r="Y440" s="10">
        <f>IF(W440&gt;$AC$34,1,0)</f>
        <v/>
      </c>
      <c r="Z440">
        <f>IF(Y440=C440,1,0)</f>
        <v/>
      </c>
    </row>
    <row r="441">
      <c r="A441">
        <f>'1 datos preparados'!A434</f>
        <v/>
      </c>
      <c r="B441" s="5">
        <f>'1 datos preparados'!U434</f>
        <v/>
      </c>
      <c r="C441">
        <f>'1 datos preparados'!B434</f>
        <v/>
      </c>
      <c r="D441" s="7">
        <f>'1 datos preparados'!C434</f>
        <v/>
      </c>
      <c r="E441" s="7">
        <f>'1 datos preparados'!D434</f>
        <v/>
      </c>
      <c r="F441" s="7">
        <f>'1 datos preparados'!E434</f>
        <v/>
      </c>
      <c r="G441" s="7">
        <f>'1 datos preparados'!F434</f>
        <v/>
      </c>
      <c r="H441" s="7">
        <f>'1 datos preparados'!G434</f>
        <v/>
      </c>
      <c r="I441" s="7">
        <f>'1 datos preparados'!H434</f>
        <v/>
      </c>
      <c r="J441" s="7">
        <f>'1 datos preparados'!I434</f>
        <v/>
      </c>
      <c r="K441" s="7">
        <f>'1 datos preparados'!J434</f>
        <v/>
      </c>
      <c r="L441" s="7">
        <f>'1 datos preparados'!K434</f>
        <v/>
      </c>
      <c r="M441" s="7">
        <f>'1 datos preparados'!L434</f>
        <v/>
      </c>
      <c r="N441" s="7">
        <f>'1 datos preparados'!M434</f>
        <v/>
      </c>
      <c r="O441" s="7">
        <f>'1 datos preparados'!N434</f>
        <v/>
      </c>
      <c r="P441" s="7">
        <f>'1 datos preparados'!O434</f>
        <v/>
      </c>
      <c r="Q441" s="7">
        <f>'1 datos preparados'!P434</f>
        <v/>
      </c>
      <c r="R441" s="7">
        <f>'1 datos preparados'!Q434</f>
        <v/>
      </c>
      <c r="S441" s="7">
        <f>'1 datos preparados'!R434</f>
        <v/>
      </c>
      <c r="T441" s="7">
        <f>'1 datos preparados'!S434</f>
        <v/>
      </c>
      <c r="U441" s="7">
        <f>'1 datos preparados'!T434</f>
        <v/>
      </c>
      <c r="V441" s="8">
        <f>$AC$12+D441*$AC$13+E441*$AC$14+F441*$AC$15+G441*$AC$16+H441*$AC$17+I441*$AC$18+J441*$AC$19+K441*$AC$20+L441*$AC$21+M441*$AC$22+N441*$AC$23+O441*$AC$24+P441*$AC$25+Q441*$AC$26+R441*$AC$27+S441*$AC$28+T441*$AC$29+U441*$AC$30</f>
        <v/>
      </c>
      <c r="W441" s="8">
        <f>1/(1+EXP(-V441))</f>
        <v/>
      </c>
      <c r="X441" s="9">
        <f>-IF(C441=1,LN(W441),LN(1-W441))</f>
        <v/>
      </c>
      <c r="Y441" s="10">
        <f>IF(W441&gt;$AC$34,1,0)</f>
        <v/>
      </c>
      <c r="Z441">
        <f>IF(Y441=C441,1,0)</f>
        <v/>
      </c>
    </row>
    <row r="442">
      <c r="A442">
        <f>'1 datos preparados'!A435</f>
        <v/>
      </c>
      <c r="B442" s="5">
        <f>'1 datos preparados'!U435</f>
        <v/>
      </c>
      <c r="C442">
        <f>'1 datos preparados'!B435</f>
        <v/>
      </c>
      <c r="D442" s="7">
        <f>'1 datos preparados'!C435</f>
        <v/>
      </c>
      <c r="E442" s="7">
        <f>'1 datos preparados'!D435</f>
        <v/>
      </c>
      <c r="F442" s="7">
        <f>'1 datos preparados'!E435</f>
        <v/>
      </c>
      <c r="G442" s="7">
        <f>'1 datos preparados'!F435</f>
        <v/>
      </c>
      <c r="H442" s="7">
        <f>'1 datos preparados'!G435</f>
        <v/>
      </c>
      <c r="I442" s="7">
        <f>'1 datos preparados'!H435</f>
        <v/>
      </c>
      <c r="J442" s="7">
        <f>'1 datos preparados'!I435</f>
        <v/>
      </c>
      <c r="K442" s="7">
        <f>'1 datos preparados'!J435</f>
        <v/>
      </c>
      <c r="L442" s="7">
        <f>'1 datos preparados'!K435</f>
        <v/>
      </c>
      <c r="M442" s="7">
        <f>'1 datos preparados'!L435</f>
        <v/>
      </c>
      <c r="N442" s="7">
        <f>'1 datos preparados'!M435</f>
        <v/>
      </c>
      <c r="O442" s="7">
        <f>'1 datos preparados'!N435</f>
        <v/>
      </c>
      <c r="P442" s="7">
        <f>'1 datos preparados'!O435</f>
        <v/>
      </c>
      <c r="Q442" s="7">
        <f>'1 datos preparados'!P435</f>
        <v/>
      </c>
      <c r="R442" s="7">
        <f>'1 datos preparados'!Q435</f>
        <v/>
      </c>
      <c r="S442" s="7">
        <f>'1 datos preparados'!R435</f>
        <v/>
      </c>
      <c r="T442" s="7">
        <f>'1 datos preparados'!S435</f>
        <v/>
      </c>
      <c r="U442" s="7">
        <f>'1 datos preparados'!T435</f>
        <v/>
      </c>
      <c r="V442" s="8">
        <f>$AC$12+D442*$AC$13+E442*$AC$14+F442*$AC$15+G442*$AC$16+H442*$AC$17+I442*$AC$18+J442*$AC$19+K442*$AC$20+L442*$AC$21+M442*$AC$22+N442*$AC$23+O442*$AC$24+P442*$AC$25+Q442*$AC$26+R442*$AC$27+S442*$AC$28+T442*$AC$29+U442*$AC$30</f>
        <v/>
      </c>
      <c r="W442" s="8">
        <f>1/(1+EXP(-V442))</f>
        <v/>
      </c>
      <c r="X442" s="9">
        <f>-IF(C442=1,LN(W442),LN(1-W442))</f>
        <v/>
      </c>
      <c r="Y442" s="10">
        <f>IF(W442&gt;$AC$34,1,0)</f>
        <v/>
      </c>
      <c r="Z442">
        <f>IF(Y442=C442,1,0)</f>
        <v/>
      </c>
    </row>
    <row r="443">
      <c r="A443">
        <f>'1 datos preparados'!A436</f>
        <v/>
      </c>
      <c r="B443" s="5">
        <f>'1 datos preparados'!U436</f>
        <v/>
      </c>
      <c r="C443">
        <f>'1 datos preparados'!B436</f>
        <v/>
      </c>
      <c r="D443" s="7">
        <f>'1 datos preparados'!C436</f>
        <v/>
      </c>
      <c r="E443" s="7">
        <f>'1 datos preparados'!D436</f>
        <v/>
      </c>
      <c r="F443" s="7">
        <f>'1 datos preparados'!E436</f>
        <v/>
      </c>
      <c r="G443" s="7">
        <f>'1 datos preparados'!F436</f>
        <v/>
      </c>
      <c r="H443" s="7">
        <f>'1 datos preparados'!G436</f>
        <v/>
      </c>
      <c r="I443" s="7">
        <f>'1 datos preparados'!H436</f>
        <v/>
      </c>
      <c r="J443" s="7">
        <f>'1 datos preparados'!I436</f>
        <v/>
      </c>
      <c r="K443" s="7">
        <f>'1 datos preparados'!J436</f>
        <v/>
      </c>
      <c r="L443" s="7">
        <f>'1 datos preparados'!K436</f>
        <v/>
      </c>
      <c r="M443" s="7">
        <f>'1 datos preparados'!L436</f>
        <v/>
      </c>
      <c r="N443" s="7">
        <f>'1 datos preparados'!M436</f>
        <v/>
      </c>
      <c r="O443" s="7">
        <f>'1 datos preparados'!N436</f>
        <v/>
      </c>
      <c r="P443" s="7">
        <f>'1 datos preparados'!O436</f>
        <v/>
      </c>
      <c r="Q443" s="7">
        <f>'1 datos preparados'!P436</f>
        <v/>
      </c>
      <c r="R443" s="7">
        <f>'1 datos preparados'!Q436</f>
        <v/>
      </c>
      <c r="S443" s="7">
        <f>'1 datos preparados'!R436</f>
        <v/>
      </c>
      <c r="T443" s="7">
        <f>'1 datos preparados'!S436</f>
        <v/>
      </c>
      <c r="U443" s="7">
        <f>'1 datos preparados'!T436</f>
        <v/>
      </c>
      <c r="V443" s="8">
        <f>$AC$12+D443*$AC$13+E443*$AC$14+F443*$AC$15+G443*$AC$16+H443*$AC$17+I443*$AC$18+J443*$AC$19+K443*$AC$20+L443*$AC$21+M443*$AC$22+N443*$AC$23+O443*$AC$24+P443*$AC$25+Q443*$AC$26+R443*$AC$27+S443*$AC$28+T443*$AC$29+U443*$AC$30</f>
        <v/>
      </c>
      <c r="W443" s="8">
        <f>1/(1+EXP(-V443))</f>
        <v/>
      </c>
      <c r="X443" s="9">
        <f>-IF(C443=1,LN(W443),LN(1-W443))</f>
        <v/>
      </c>
      <c r="Y443" s="10">
        <f>IF(W443&gt;$AC$34,1,0)</f>
        <v/>
      </c>
      <c r="Z443">
        <f>IF(Y443=C443,1,0)</f>
        <v/>
      </c>
    </row>
    <row r="444">
      <c r="A444">
        <f>'1 datos preparados'!A437</f>
        <v/>
      </c>
      <c r="B444" s="5">
        <f>'1 datos preparados'!U437</f>
        <v/>
      </c>
      <c r="C444">
        <f>'1 datos preparados'!B437</f>
        <v/>
      </c>
      <c r="D444" s="7">
        <f>'1 datos preparados'!C437</f>
        <v/>
      </c>
      <c r="E444" s="7">
        <f>'1 datos preparados'!D437</f>
        <v/>
      </c>
      <c r="F444" s="7">
        <f>'1 datos preparados'!E437</f>
        <v/>
      </c>
      <c r="G444" s="7">
        <f>'1 datos preparados'!F437</f>
        <v/>
      </c>
      <c r="H444" s="7">
        <f>'1 datos preparados'!G437</f>
        <v/>
      </c>
      <c r="I444" s="7">
        <f>'1 datos preparados'!H437</f>
        <v/>
      </c>
      <c r="J444" s="7">
        <f>'1 datos preparados'!I437</f>
        <v/>
      </c>
      <c r="K444" s="7">
        <f>'1 datos preparados'!J437</f>
        <v/>
      </c>
      <c r="L444" s="7">
        <f>'1 datos preparados'!K437</f>
        <v/>
      </c>
      <c r="M444" s="7">
        <f>'1 datos preparados'!L437</f>
        <v/>
      </c>
      <c r="N444" s="7">
        <f>'1 datos preparados'!M437</f>
        <v/>
      </c>
      <c r="O444" s="7">
        <f>'1 datos preparados'!N437</f>
        <v/>
      </c>
      <c r="P444" s="7">
        <f>'1 datos preparados'!O437</f>
        <v/>
      </c>
      <c r="Q444" s="7">
        <f>'1 datos preparados'!P437</f>
        <v/>
      </c>
      <c r="R444" s="7">
        <f>'1 datos preparados'!Q437</f>
        <v/>
      </c>
      <c r="S444" s="7">
        <f>'1 datos preparados'!R437</f>
        <v/>
      </c>
      <c r="T444" s="7">
        <f>'1 datos preparados'!S437</f>
        <v/>
      </c>
      <c r="U444" s="7">
        <f>'1 datos preparados'!T437</f>
        <v/>
      </c>
      <c r="V444" s="8">
        <f>$AC$12+D444*$AC$13+E444*$AC$14+F444*$AC$15+G444*$AC$16+H444*$AC$17+I444*$AC$18+J444*$AC$19+K444*$AC$20+L444*$AC$21+M444*$AC$22+N444*$AC$23+O444*$AC$24+P444*$AC$25+Q444*$AC$26+R444*$AC$27+S444*$AC$28+T444*$AC$29+U444*$AC$30</f>
        <v/>
      </c>
      <c r="W444" s="8">
        <f>1/(1+EXP(-V444))</f>
        <v/>
      </c>
      <c r="X444" s="9">
        <f>-IF(C444=1,LN(W444),LN(1-W444))</f>
        <v/>
      </c>
      <c r="Y444" s="10">
        <f>IF(W444&gt;$AC$34,1,0)</f>
        <v/>
      </c>
      <c r="Z444">
        <f>IF(Y444=C444,1,0)</f>
        <v/>
      </c>
    </row>
    <row r="445">
      <c r="A445">
        <f>'1 datos preparados'!A438</f>
        <v/>
      </c>
      <c r="B445" s="5">
        <f>'1 datos preparados'!U438</f>
        <v/>
      </c>
      <c r="C445">
        <f>'1 datos preparados'!B438</f>
        <v/>
      </c>
      <c r="D445" s="7">
        <f>'1 datos preparados'!C438</f>
        <v/>
      </c>
      <c r="E445" s="7">
        <f>'1 datos preparados'!D438</f>
        <v/>
      </c>
      <c r="F445" s="7">
        <f>'1 datos preparados'!E438</f>
        <v/>
      </c>
      <c r="G445" s="7">
        <f>'1 datos preparados'!F438</f>
        <v/>
      </c>
      <c r="H445" s="7">
        <f>'1 datos preparados'!G438</f>
        <v/>
      </c>
      <c r="I445" s="7">
        <f>'1 datos preparados'!H438</f>
        <v/>
      </c>
      <c r="J445" s="7">
        <f>'1 datos preparados'!I438</f>
        <v/>
      </c>
      <c r="K445" s="7">
        <f>'1 datos preparados'!J438</f>
        <v/>
      </c>
      <c r="L445" s="7">
        <f>'1 datos preparados'!K438</f>
        <v/>
      </c>
      <c r="M445" s="7">
        <f>'1 datos preparados'!L438</f>
        <v/>
      </c>
      <c r="N445" s="7">
        <f>'1 datos preparados'!M438</f>
        <v/>
      </c>
      <c r="O445" s="7">
        <f>'1 datos preparados'!N438</f>
        <v/>
      </c>
      <c r="P445" s="7">
        <f>'1 datos preparados'!O438</f>
        <v/>
      </c>
      <c r="Q445" s="7">
        <f>'1 datos preparados'!P438</f>
        <v/>
      </c>
      <c r="R445" s="7">
        <f>'1 datos preparados'!Q438</f>
        <v/>
      </c>
      <c r="S445" s="7">
        <f>'1 datos preparados'!R438</f>
        <v/>
      </c>
      <c r="T445" s="7">
        <f>'1 datos preparados'!S438</f>
        <v/>
      </c>
      <c r="U445" s="7">
        <f>'1 datos preparados'!T438</f>
        <v/>
      </c>
      <c r="V445" s="8">
        <f>$AC$12+D445*$AC$13+E445*$AC$14+F445*$AC$15+G445*$AC$16+H445*$AC$17+I445*$AC$18+J445*$AC$19+K445*$AC$20+L445*$AC$21+M445*$AC$22+N445*$AC$23+O445*$AC$24+P445*$AC$25+Q445*$AC$26+R445*$AC$27+S445*$AC$28+T445*$AC$29+U445*$AC$30</f>
        <v/>
      </c>
      <c r="W445" s="8">
        <f>1/(1+EXP(-V445))</f>
        <v/>
      </c>
      <c r="X445" s="9">
        <f>-IF(C445=1,LN(W445),LN(1-W445))</f>
        <v/>
      </c>
      <c r="Y445" s="10">
        <f>IF(W445&gt;$AC$34,1,0)</f>
        <v/>
      </c>
      <c r="Z445">
        <f>IF(Y445=C445,1,0)</f>
        <v/>
      </c>
    </row>
    <row r="446">
      <c r="A446">
        <f>'1 datos preparados'!A439</f>
        <v/>
      </c>
      <c r="B446" s="5">
        <f>'1 datos preparados'!U439</f>
        <v/>
      </c>
      <c r="C446">
        <f>'1 datos preparados'!B439</f>
        <v/>
      </c>
      <c r="D446" s="7">
        <f>'1 datos preparados'!C439</f>
        <v/>
      </c>
      <c r="E446" s="7">
        <f>'1 datos preparados'!D439</f>
        <v/>
      </c>
      <c r="F446" s="7">
        <f>'1 datos preparados'!E439</f>
        <v/>
      </c>
      <c r="G446" s="7">
        <f>'1 datos preparados'!F439</f>
        <v/>
      </c>
      <c r="H446" s="7">
        <f>'1 datos preparados'!G439</f>
        <v/>
      </c>
      <c r="I446" s="7">
        <f>'1 datos preparados'!H439</f>
        <v/>
      </c>
      <c r="J446" s="7">
        <f>'1 datos preparados'!I439</f>
        <v/>
      </c>
      <c r="K446" s="7">
        <f>'1 datos preparados'!J439</f>
        <v/>
      </c>
      <c r="L446" s="7">
        <f>'1 datos preparados'!K439</f>
        <v/>
      </c>
      <c r="M446" s="7">
        <f>'1 datos preparados'!L439</f>
        <v/>
      </c>
      <c r="N446" s="7">
        <f>'1 datos preparados'!M439</f>
        <v/>
      </c>
      <c r="O446" s="7">
        <f>'1 datos preparados'!N439</f>
        <v/>
      </c>
      <c r="P446" s="7">
        <f>'1 datos preparados'!O439</f>
        <v/>
      </c>
      <c r="Q446" s="7">
        <f>'1 datos preparados'!P439</f>
        <v/>
      </c>
      <c r="R446" s="7">
        <f>'1 datos preparados'!Q439</f>
        <v/>
      </c>
      <c r="S446" s="7">
        <f>'1 datos preparados'!R439</f>
        <v/>
      </c>
      <c r="T446" s="7">
        <f>'1 datos preparados'!S439</f>
        <v/>
      </c>
      <c r="U446" s="7">
        <f>'1 datos preparados'!T439</f>
        <v/>
      </c>
      <c r="V446" s="8">
        <f>$AC$12+D446*$AC$13+E446*$AC$14+F446*$AC$15+G446*$AC$16+H446*$AC$17+I446*$AC$18+J446*$AC$19+K446*$AC$20+L446*$AC$21+M446*$AC$22+N446*$AC$23+O446*$AC$24+P446*$AC$25+Q446*$AC$26+R446*$AC$27+S446*$AC$28+T446*$AC$29+U446*$AC$30</f>
        <v/>
      </c>
      <c r="W446" s="8">
        <f>1/(1+EXP(-V446))</f>
        <v/>
      </c>
      <c r="X446" s="9">
        <f>-IF(C446=1,LN(W446),LN(1-W446))</f>
        <v/>
      </c>
      <c r="Y446" s="10">
        <f>IF(W446&gt;$AC$34,1,0)</f>
        <v/>
      </c>
      <c r="Z446">
        <f>IF(Y446=C446,1,0)</f>
        <v/>
      </c>
    </row>
    <row r="447">
      <c r="A447">
        <f>'1 datos preparados'!A440</f>
        <v/>
      </c>
      <c r="B447" s="5">
        <f>'1 datos preparados'!U440</f>
        <v/>
      </c>
      <c r="C447">
        <f>'1 datos preparados'!B440</f>
        <v/>
      </c>
      <c r="D447" s="7">
        <f>'1 datos preparados'!C440</f>
        <v/>
      </c>
      <c r="E447" s="7">
        <f>'1 datos preparados'!D440</f>
        <v/>
      </c>
      <c r="F447" s="7">
        <f>'1 datos preparados'!E440</f>
        <v/>
      </c>
      <c r="G447" s="7">
        <f>'1 datos preparados'!F440</f>
        <v/>
      </c>
      <c r="H447" s="7">
        <f>'1 datos preparados'!G440</f>
        <v/>
      </c>
      <c r="I447" s="7">
        <f>'1 datos preparados'!H440</f>
        <v/>
      </c>
      <c r="J447" s="7">
        <f>'1 datos preparados'!I440</f>
        <v/>
      </c>
      <c r="K447" s="7">
        <f>'1 datos preparados'!J440</f>
        <v/>
      </c>
      <c r="L447" s="7">
        <f>'1 datos preparados'!K440</f>
        <v/>
      </c>
      <c r="M447" s="7">
        <f>'1 datos preparados'!L440</f>
        <v/>
      </c>
      <c r="N447" s="7">
        <f>'1 datos preparados'!M440</f>
        <v/>
      </c>
      <c r="O447" s="7">
        <f>'1 datos preparados'!N440</f>
        <v/>
      </c>
      <c r="P447" s="7">
        <f>'1 datos preparados'!O440</f>
        <v/>
      </c>
      <c r="Q447" s="7">
        <f>'1 datos preparados'!P440</f>
        <v/>
      </c>
      <c r="R447" s="7">
        <f>'1 datos preparados'!Q440</f>
        <v/>
      </c>
      <c r="S447" s="7">
        <f>'1 datos preparados'!R440</f>
        <v/>
      </c>
      <c r="T447" s="7">
        <f>'1 datos preparados'!S440</f>
        <v/>
      </c>
      <c r="U447" s="7">
        <f>'1 datos preparados'!T440</f>
        <v/>
      </c>
      <c r="V447" s="8">
        <f>$AC$12+D447*$AC$13+E447*$AC$14+F447*$AC$15+G447*$AC$16+H447*$AC$17+I447*$AC$18+J447*$AC$19+K447*$AC$20+L447*$AC$21+M447*$AC$22+N447*$AC$23+O447*$AC$24+P447*$AC$25+Q447*$AC$26+R447*$AC$27+S447*$AC$28+T447*$AC$29+U447*$AC$30</f>
        <v/>
      </c>
      <c r="W447" s="8">
        <f>1/(1+EXP(-V447))</f>
        <v/>
      </c>
      <c r="X447" s="9">
        <f>-IF(C447=1,LN(W447),LN(1-W447))</f>
        <v/>
      </c>
      <c r="Y447" s="10">
        <f>IF(W447&gt;$AC$34,1,0)</f>
        <v/>
      </c>
      <c r="Z447">
        <f>IF(Y447=C447,1,0)</f>
        <v/>
      </c>
    </row>
    <row r="448">
      <c r="A448">
        <f>'1 datos preparados'!A441</f>
        <v/>
      </c>
      <c r="B448" s="5">
        <f>'1 datos preparados'!U441</f>
        <v/>
      </c>
      <c r="C448">
        <f>'1 datos preparados'!B441</f>
        <v/>
      </c>
      <c r="D448" s="7">
        <f>'1 datos preparados'!C441</f>
        <v/>
      </c>
      <c r="E448" s="7">
        <f>'1 datos preparados'!D441</f>
        <v/>
      </c>
      <c r="F448" s="7">
        <f>'1 datos preparados'!E441</f>
        <v/>
      </c>
      <c r="G448" s="7">
        <f>'1 datos preparados'!F441</f>
        <v/>
      </c>
      <c r="H448" s="7">
        <f>'1 datos preparados'!G441</f>
        <v/>
      </c>
      <c r="I448" s="7">
        <f>'1 datos preparados'!H441</f>
        <v/>
      </c>
      <c r="J448" s="7">
        <f>'1 datos preparados'!I441</f>
        <v/>
      </c>
      <c r="K448" s="7">
        <f>'1 datos preparados'!J441</f>
        <v/>
      </c>
      <c r="L448" s="7">
        <f>'1 datos preparados'!K441</f>
        <v/>
      </c>
      <c r="M448" s="7">
        <f>'1 datos preparados'!L441</f>
        <v/>
      </c>
      <c r="N448" s="7">
        <f>'1 datos preparados'!M441</f>
        <v/>
      </c>
      <c r="O448" s="7">
        <f>'1 datos preparados'!N441</f>
        <v/>
      </c>
      <c r="P448" s="7">
        <f>'1 datos preparados'!O441</f>
        <v/>
      </c>
      <c r="Q448" s="7">
        <f>'1 datos preparados'!P441</f>
        <v/>
      </c>
      <c r="R448" s="7">
        <f>'1 datos preparados'!Q441</f>
        <v/>
      </c>
      <c r="S448" s="7">
        <f>'1 datos preparados'!R441</f>
        <v/>
      </c>
      <c r="T448" s="7">
        <f>'1 datos preparados'!S441</f>
        <v/>
      </c>
      <c r="U448" s="7">
        <f>'1 datos preparados'!T441</f>
        <v/>
      </c>
      <c r="V448" s="8">
        <f>$AC$12+D448*$AC$13+E448*$AC$14+F448*$AC$15+G448*$AC$16+H448*$AC$17+I448*$AC$18+J448*$AC$19+K448*$AC$20+L448*$AC$21+M448*$AC$22+N448*$AC$23+O448*$AC$24+P448*$AC$25+Q448*$AC$26+R448*$AC$27+S448*$AC$28+T448*$AC$29+U448*$AC$30</f>
        <v/>
      </c>
      <c r="W448" s="8">
        <f>1/(1+EXP(-V448))</f>
        <v/>
      </c>
      <c r="X448" s="9">
        <f>-IF(C448=1,LN(W448),LN(1-W448))</f>
        <v/>
      </c>
      <c r="Y448" s="10">
        <f>IF(W448&gt;$AC$34,1,0)</f>
        <v/>
      </c>
      <c r="Z448">
        <f>IF(Y448=C448,1,0)</f>
        <v/>
      </c>
    </row>
    <row r="449">
      <c r="A449">
        <f>'1 datos preparados'!A442</f>
        <v/>
      </c>
      <c r="B449" s="5">
        <f>'1 datos preparados'!U442</f>
        <v/>
      </c>
      <c r="C449">
        <f>'1 datos preparados'!B442</f>
        <v/>
      </c>
      <c r="D449" s="7">
        <f>'1 datos preparados'!C442</f>
        <v/>
      </c>
      <c r="E449" s="7">
        <f>'1 datos preparados'!D442</f>
        <v/>
      </c>
      <c r="F449" s="7">
        <f>'1 datos preparados'!E442</f>
        <v/>
      </c>
      <c r="G449" s="7">
        <f>'1 datos preparados'!F442</f>
        <v/>
      </c>
      <c r="H449" s="7">
        <f>'1 datos preparados'!G442</f>
        <v/>
      </c>
      <c r="I449" s="7">
        <f>'1 datos preparados'!H442</f>
        <v/>
      </c>
      <c r="J449" s="7">
        <f>'1 datos preparados'!I442</f>
        <v/>
      </c>
      <c r="K449" s="7">
        <f>'1 datos preparados'!J442</f>
        <v/>
      </c>
      <c r="L449" s="7">
        <f>'1 datos preparados'!K442</f>
        <v/>
      </c>
      <c r="M449" s="7">
        <f>'1 datos preparados'!L442</f>
        <v/>
      </c>
      <c r="N449" s="7">
        <f>'1 datos preparados'!M442</f>
        <v/>
      </c>
      <c r="O449" s="7">
        <f>'1 datos preparados'!N442</f>
        <v/>
      </c>
      <c r="P449" s="7">
        <f>'1 datos preparados'!O442</f>
        <v/>
      </c>
      <c r="Q449" s="7">
        <f>'1 datos preparados'!P442</f>
        <v/>
      </c>
      <c r="R449" s="7">
        <f>'1 datos preparados'!Q442</f>
        <v/>
      </c>
      <c r="S449" s="7">
        <f>'1 datos preparados'!R442</f>
        <v/>
      </c>
      <c r="T449" s="7">
        <f>'1 datos preparados'!S442</f>
        <v/>
      </c>
      <c r="U449" s="7">
        <f>'1 datos preparados'!T442</f>
        <v/>
      </c>
      <c r="V449" s="8">
        <f>$AC$12+D449*$AC$13+E449*$AC$14+F449*$AC$15+G449*$AC$16+H449*$AC$17+I449*$AC$18+J449*$AC$19+K449*$AC$20+L449*$AC$21+M449*$AC$22+N449*$AC$23+O449*$AC$24+P449*$AC$25+Q449*$AC$26+R449*$AC$27+S449*$AC$28+T449*$AC$29+U449*$AC$30</f>
        <v/>
      </c>
      <c r="W449" s="8">
        <f>1/(1+EXP(-V449))</f>
        <v/>
      </c>
      <c r="X449" s="9">
        <f>-IF(C449=1,LN(W449),LN(1-W449))</f>
        <v/>
      </c>
      <c r="Y449" s="10">
        <f>IF(W449&gt;$AC$34,1,0)</f>
        <v/>
      </c>
      <c r="Z449">
        <f>IF(Y449=C449,1,0)</f>
        <v/>
      </c>
    </row>
    <row r="450">
      <c r="A450">
        <f>'1 datos preparados'!A443</f>
        <v/>
      </c>
      <c r="B450" s="5">
        <f>'1 datos preparados'!U443</f>
        <v/>
      </c>
      <c r="C450">
        <f>'1 datos preparados'!B443</f>
        <v/>
      </c>
      <c r="D450" s="7">
        <f>'1 datos preparados'!C443</f>
        <v/>
      </c>
      <c r="E450" s="7">
        <f>'1 datos preparados'!D443</f>
        <v/>
      </c>
      <c r="F450" s="7">
        <f>'1 datos preparados'!E443</f>
        <v/>
      </c>
      <c r="G450" s="7">
        <f>'1 datos preparados'!F443</f>
        <v/>
      </c>
      <c r="H450" s="7">
        <f>'1 datos preparados'!G443</f>
        <v/>
      </c>
      <c r="I450" s="7">
        <f>'1 datos preparados'!H443</f>
        <v/>
      </c>
      <c r="J450" s="7">
        <f>'1 datos preparados'!I443</f>
        <v/>
      </c>
      <c r="K450" s="7">
        <f>'1 datos preparados'!J443</f>
        <v/>
      </c>
      <c r="L450" s="7">
        <f>'1 datos preparados'!K443</f>
        <v/>
      </c>
      <c r="M450" s="7">
        <f>'1 datos preparados'!L443</f>
        <v/>
      </c>
      <c r="N450" s="7">
        <f>'1 datos preparados'!M443</f>
        <v/>
      </c>
      <c r="O450" s="7">
        <f>'1 datos preparados'!N443</f>
        <v/>
      </c>
      <c r="P450" s="7">
        <f>'1 datos preparados'!O443</f>
        <v/>
      </c>
      <c r="Q450" s="7">
        <f>'1 datos preparados'!P443</f>
        <v/>
      </c>
      <c r="R450" s="7">
        <f>'1 datos preparados'!Q443</f>
        <v/>
      </c>
      <c r="S450" s="7">
        <f>'1 datos preparados'!R443</f>
        <v/>
      </c>
      <c r="T450" s="7">
        <f>'1 datos preparados'!S443</f>
        <v/>
      </c>
      <c r="U450" s="7">
        <f>'1 datos preparados'!T443</f>
        <v/>
      </c>
      <c r="V450" s="8">
        <f>$AC$12+D450*$AC$13+E450*$AC$14+F450*$AC$15+G450*$AC$16+H450*$AC$17+I450*$AC$18+J450*$AC$19+K450*$AC$20+L450*$AC$21+M450*$AC$22+N450*$AC$23+O450*$AC$24+P450*$AC$25+Q450*$AC$26+R450*$AC$27+S450*$AC$28+T450*$AC$29+U450*$AC$30</f>
        <v/>
      </c>
      <c r="W450" s="8">
        <f>1/(1+EXP(-V450))</f>
        <v/>
      </c>
      <c r="X450" s="9">
        <f>-IF(C450=1,LN(W450),LN(1-W450))</f>
        <v/>
      </c>
      <c r="Y450" s="10">
        <f>IF(W450&gt;$AC$34,1,0)</f>
        <v/>
      </c>
      <c r="Z450">
        <f>IF(Y450=C450,1,0)</f>
        <v/>
      </c>
    </row>
    <row r="451">
      <c r="A451">
        <f>'1 datos preparados'!A444</f>
        <v/>
      </c>
      <c r="B451" s="5">
        <f>'1 datos preparados'!U444</f>
        <v/>
      </c>
      <c r="C451">
        <f>'1 datos preparados'!B444</f>
        <v/>
      </c>
      <c r="D451" s="7">
        <f>'1 datos preparados'!C444</f>
        <v/>
      </c>
      <c r="E451" s="7">
        <f>'1 datos preparados'!D444</f>
        <v/>
      </c>
      <c r="F451" s="7">
        <f>'1 datos preparados'!E444</f>
        <v/>
      </c>
      <c r="G451" s="7">
        <f>'1 datos preparados'!F444</f>
        <v/>
      </c>
      <c r="H451" s="7">
        <f>'1 datos preparados'!G444</f>
        <v/>
      </c>
      <c r="I451" s="7">
        <f>'1 datos preparados'!H444</f>
        <v/>
      </c>
      <c r="J451" s="7">
        <f>'1 datos preparados'!I444</f>
        <v/>
      </c>
      <c r="K451" s="7">
        <f>'1 datos preparados'!J444</f>
        <v/>
      </c>
      <c r="L451" s="7">
        <f>'1 datos preparados'!K444</f>
        <v/>
      </c>
      <c r="M451" s="7">
        <f>'1 datos preparados'!L444</f>
        <v/>
      </c>
      <c r="N451" s="7">
        <f>'1 datos preparados'!M444</f>
        <v/>
      </c>
      <c r="O451" s="7">
        <f>'1 datos preparados'!N444</f>
        <v/>
      </c>
      <c r="P451" s="7">
        <f>'1 datos preparados'!O444</f>
        <v/>
      </c>
      <c r="Q451" s="7">
        <f>'1 datos preparados'!P444</f>
        <v/>
      </c>
      <c r="R451" s="7">
        <f>'1 datos preparados'!Q444</f>
        <v/>
      </c>
      <c r="S451" s="7">
        <f>'1 datos preparados'!R444</f>
        <v/>
      </c>
      <c r="T451" s="7">
        <f>'1 datos preparados'!S444</f>
        <v/>
      </c>
      <c r="U451" s="7">
        <f>'1 datos preparados'!T444</f>
        <v/>
      </c>
      <c r="V451" s="8">
        <f>$AC$12+D451*$AC$13+E451*$AC$14+F451*$AC$15+G451*$AC$16+H451*$AC$17+I451*$AC$18+J451*$AC$19+K451*$AC$20+L451*$AC$21+M451*$AC$22+N451*$AC$23+O451*$AC$24+P451*$AC$25+Q451*$AC$26+R451*$AC$27+S451*$AC$28+T451*$AC$29+U451*$AC$30</f>
        <v/>
      </c>
      <c r="W451" s="8">
        <f>1/(1+EXP(-V451))</f>
        <v/>
      </c>
      <c r="X451" s="9">
        <f>-IF(C451=1,LN(W451),LN(1-W451))</f>
        <v/>
      </c>
      <c r="Y451" s="10">
        <f>IF(W451&gt;$AC$34,1,0)</f>
        <v/>
      </c>
      <c r="Z451">
        <f>IF(Y451=C451,1,0)</f>
        <v/>
      </c>
    </row>
    <row r="452">
      <c r="A452">
        <f>'1 datos preparados'!A445</f>
        <v/>
      </c>
      <c r="B452" s="5">
        <f>'1 datos preparados'!U445</f>
        <v/>
      </c>
      <c r="C452">
        <f>'1 datos preparados'!B445</f>
        <v/>
      </c>
      <c r="D452" s="7">
        <f>'1 datos preparados'!C445</f>
        <v/>
      </c>
      <c r="E452" s="7">
        <f>'1 datos preparados'!D445</f>
        <v/>
      </c>
      <c r="F452" s="7">
        <f>'1 datos preparados'!E445</f>
        <v/>
      </c>
      <c r="G452" s="7">
        <f>'1 datos preparados'!F445</f>
        <v/>
      </c>
      <c r="H452" s="7">
        <f>'1 datos preparados'!G445</f>
        <v/>
      </c>
      <c r="I452" s="7">
        <f>'1 datos preparados'!H445</f>
        <v/>
      </c>
      <c r="J452" s="7">
        <f>'1 datos preparados'!I445</f>
        <v/>
      </c>
      <c r="K452" s="7">
        <f>'1 datos preparados'!J445</f>
        <v/>
      </c>
      <c r="L452" s="7">
        <f>'1 datos preparados'!K445</f>
        <v/>
      </c>
      <c r="M452" s="7">
        <f>'1 datos preparados'!L445</f>
        <v/>
      </c>
      <c r="N452" s="7">
        <f>'1 datos preparados'!M445</f>
        <v/>
      </c>
      <c r="O452" s="7">
        <f>'1 datos preparados'!N445</f>
        <v/>
      </c>
      <c r="P452" s="7">
        <f>'1 datos preparados'!O445</f>
        <v/>
      </c>
      <c r="Q452" s="7">
        <f>'1 datos preparados'!P445</f>
        <v/>
      </c>
      <c r="R452" s="7">
        <f>'1 datos preparados'!Q445</f>
        <v/>
      </c>
      <c r="S452" s="7">
        <f>'1 datos preparados'!R445</f>
        <v/>
      </c>
      <c r="T452" s="7">
        <f>'1 datos preparados'!S445</f>
        <v/>
      </c>
      <c r="U452" s="7">
        <f>'1 datos preparados'!T445</f>
        <v/>
      </c>
      <c r="V452" s="8">
        <f>$AC$12+D452*$AC$13+E452*$AC$14+F452*$AC$15+G452*$AC$16+H452*$AC$17+I452*$AC$18+J452*$AC$19+K452*$AC$20+L452*$AC$21+M452*$AC$22+N452*$AC$23+O452*$AC$24+P452*$AC$25+Q452*$AC$26+R452*$AC$27+S452*$AC$28+T452*$AC$29+U452*$AC$30</f>
        <v/>
      </c>
      <c r="W452" s="8">
        <f>1/(1+EXP(-V452))</f>
        <v/>
      </c>
      <c r="X452" s="9">
        <f>-IF(C452=1,LN(W452),LN(1-W452))</f>
        <v/>
      </c>
      <c r="Y452" s="10">
        <f>IF(W452&gt;$AC$34,1,0)</f>
        <v/>
      </c>
      <c r="Z452">
        <f>IF(Y452=C452,1,0)</f>
        <v/>
      </c>
    </row>
    <row r="453">
      <c r="A453">
        <f>'1 datos preparados'!A446</f>
        <v/>
      </c>
      <c r="B453" s="5">
        <f>'1 datos preparados'!U446</f>
        <v/>
      </c>
      <c r="C453">
        <f>'1 datos preparados'!B446</f>
        <v/>
      </c>
      <c r="D453" s="7">
        <f>'1 datos preparados'!C446</f>
        <v/>
      </c>
      <c r="E453" s="7">
        <f>'1 datos preparados'!D446</f>
        <v/>
      </c>
      <c r="F453" s="7">
        <f>'1 datos preparados'!E446</f>
        <v/>
      </c>
      <c r="G453" s="7">
        <f>'1 datos preparados'!F446</f>
        <v/>
      </c>
      <c r="H453" s="7">
        <f>'1 datos preparados'!G446</f>
        <v/>
      </c>
      <c r="I453" s="7">
        <f>'1 datos preparados'!H446</f>
        <v/>
      </c>
      <c r="J453" s="7">
        <f>'1 datos preparados'!I446</f>
        <v/>
      </c>
      <c r="K453" s="7">
        <f>'1 datos preparados'!J446</f>
        <v/>
      </c>
      <c r="L453" s="7">
        <f>'1 datos preparados'!K446</f>
        <v/>
      </c>
      <c r="M453" s="7">
        <f>'1 datos preparados'!L446</f>
        <v/>
      </c>
      <c r="N453" s="7">
        <f>'1 datos preparados'!M446</f>
        <v/>
      </c>
      <c r="O453" s="7">
        <f>'1 datos preparados'!N446</f>
        <v/>
      </c>
      <c r="P453" s="7">
        <f>'1 datos preparados'!O446</f>
        <v/>
      </c>
      <c r="Q453" s="7">
        <f>'1 datos preparados'!P446</f>
        <v/>
      </c>
      <c r="R453" s="7">
        <f>'1 datos preparados'!Q446</f>
        <v/>
      </c>
      <c r="S453" s="7">
        <f>'1 datos preparados'!R446</f>
        <v/>
      </c>
      <c r="T453" s="7">
        <f>'1 datos preparados'!S446</f>
        <v/>
      </c>
      <c r="U453" s="7">
        <f>'1 datos preparados'!T446</f>
        <v/>
      </c>
      <c r="V453" s="8">
        <f>$AC$12+D453*$AC$13+E453*$AC$14+F453*$AC$15+G453*$AC$16+H453*$AC$17+I453*$AC$18+J453*$AC$19+K453*$AC$20+L453*$AC$21+M453*$AC$22+N453*$AC$23+O453*$AC$24+P453*$AC$25+Q453*$AC$26+R453*$AC$27+S453*$AC$28+T453*$AC$29+U453*$AC$30</f>
        <v/>
      </c>
      <c r="W453" s="8">
        <f>1/(1+EXP(-V453))</f>
        <v/>
      </c>
      <c r="X453" s="9">
        <f>-IF(C453=1,LN(W453),LN(1-W453))</f>
        <v/>
      </c>
      <c r="Y453" s="10">
        <f>IF(W453&gt;$AC$34,1,0)</f>
        <v/>
      </c>
      <c r="Z453">
        <f>IF(Y453=C453,1,0)</f>
        <v/>
      </c>
    </row>
    <row r="454">
      <c r="A454">
        <f>'1 datos preparados'!A447</f>
        <v/>
      </c>
      <c r="B454" s="5">
        <f>'1 datos preparados'!U447</f>
        <v/>
      </c>
      <c r="C454">
        <f>'1 datos preparados'!B447</f>
        <v/>
      </c>
      <c r="D454" s="7">
        <f>'1 datos preparados'!C447</f>
        <v/>
      </c>
      <c r="E454" s="7">
        <f>'1 datos preparados'!D447</f>
        <v/>
      </c>
      <c r="F454" s="7">
        <f>'1 datos preparados'!E447</f>
        <v/>
      </c>
      <c r="G454" s="7">
        <f>'1 datos preparados'!F447</f>
        <v/>
      </c>
      <c r="H454" s="7">
        <f>'1 datos preparados'!G447</f>
        <v/>
      </c>
      <c r="I454" s="7">
        <f>'1 datos preparados'!H447</f>
        <v/>
      </c>
      <c r="J454" s="7">
        <f>'1 datos preparados'!I447</f>
        <v/>
      </c>
      <c r="K454" s="7">
        <f>'1 datos preparados'!J447</f>
        <v/>
      </c>
      <c r="L454" s="7">
        <f>'1 datos preparados'!K447</f>
        <v/>
      </c>
      <c r="M454" s="7">
        <f>'1 datos preparados'!L447</f>
        <v/>
      </c>
      <c r="N454" s="7">
        <f>'1 datos preparados'!M447</f>
        <v/>
      </c>
      <c r="O454" s="7">
        <f>'1 datos preparados'!N447</f>
        <v/>
      </c>
      <c r="P454" s="7">
        <f>'1 datos preparados'!O447</f>
        <v/>
      </c>
      <c r="Q454" s="7">
        <f>'1 datos preparados'!P447</f>
        <v/>
      </c>
      <c r="R454" s="7">
        <f>'1 datos preparados'!Q447</f>
        <v/>
      </c>
      <c r="S454" s="7">
        <f>'1 datos preparados'!R447</f>
        <v/>
      </c>
      <c r="T454" s="7">
        <f>'1 datos preparados'!S447</f>
        <v/>
      </c>
      <c r="U454" s="7">
        <f>'1 datos preparados'!T447</f>
        <v/>
      </c>
      <c r="V454" s="8">
        <f>$AC$12+D454*$AC$13+E454*$AC$14+F454*$AC$15+G454*$AC$16+H454*$AC$17+I454*$AC$18+J454*$AC$19+K454*$AC$20+L454*$AC$21+M454*$AC$22+N454*$AC$23+O454*$AC$24+P454*$AC$25+Q454*$AC$26+R454*$AC$27+S454*$AC$28+T454*$AC$29+U454*$AC$30</f>
        <v/>
      </c>
      <c r="W454" s="8">
        <f>1/(1+EXP(-V454))</f>
        <v/>
      </c>
      <c r="X454" s="9">
        <f>-IF(C454=1,LN(W454),LN(1-W454))</f>
        <v/>
      </c>
      <c r="Y454" s="10">
        <f>IF(W454&gt;$AC$34,1,0)</f>
        <v/>
      </c>
      <c r="Z454">
        <f>IF(Y454=C454,1,0)</f>
        <v/>
      </c>
    </row>
    <row r="455">
      <c r="A455">
        <f>'1 datos preparados'!A448</f>
        <v/>
      </c>
      <c r="B455" s="5">
        <f>'1 datos preparados'!U448</f>
        <v/>
      </c>
      <c r="C455">
        <f>'1 datos preparados'!B448</f>
        <v/>
      </c>
      <c r="D455" s="7">
        <f>'1 datos preparados'!C448</f>
        <v/>
      </c>
      <c r="E455" s="7">
        <f>'1 datos preparados'!D448</f>
        <v/>
      </c>
      <c r="F455" s="7">
        <f>'1 datos preparados'!E448</f>
        <v/>
      </c>
      <c r="G455" s="7">
        <f>'1 datos preparados'!F448</f>
        <v/>
      </c>
      <c r="H455" s="7">
        <f>'1 datos preparados'!G448</f>
        <v/>
      </c>
      <c r="I455" s="7">
        <f>'1 datos preparados'!H448</f>
        <v/>
      </c>
      <c r="J455" s="7">
        <f>'1 datos preparados'!I448</f>
        <v/>
      </c>
      <c r="K455" s="7">
        <f>'1 datos preparados'!J448</f>
        <v/>
      </c>
      <c r="L455" s="7">
        <f>'1 datos preparados'!K448</f>
        <v/>
      </c>
      <c r="M455" s="7">
        <f>'1 datos preparados'!L448</f>
        <v/>
      </c>
      <c r="N455" s="7">
        <f>'1 datos preparados'!M448</f>
        <v/>
      </c>
      <c r="O455" s="7">
        <f>'1 datos preparados'!N448</f>
        <v/>
      </c>
      <c r="P455" s="7">
        <f>'1 datos preparados'!O448</f>
        <v/>
      </c>
      <c r="Q455" s="7">
        <f>'1 datos preparados'!P448</f>
        <v/>
      </c>
      <c r="R455" s="7">
        <f>'1 datos preparados'!Q448</f>
        <v/>
      </c>
      <c r="S455" s="7">
        <f>'1 datos preparados'!R448</f>
        <v/>
      </c>
      <c r="T455" s="7">
        <f>'1 datos preparados'!S448</f>
        <v/>
      </c>
      <c r="U455" s="7">
        <f>'1 datos preparados'!T448</f>
        <v/>
      </c>
      <c r="V455" s="8">
        <f>$AC$12+D455*$AC$13+E455*$AC$14+F455*$AC$15+G455*$AC$16+H455*$AC$17+I455*$AC$18+J455*$AC$19+K455*$AC$20+L455*$AC$21+M455*$AC$22+N455*$AC$23+O455*$AC$24+P455*$AC$25+Q455*$AC$26+R455*$AC$27+S455*$AC$28+T455*$AC$29+U455*$AC$30</f>
        <v/>
      </c>
      <c r="W455" s="8">
        <f>1/(1+EXP(-V455))</f>
        <v/>
      </c>
      <c r="X455" s="9">
        <f>-IF(C455=1,LN(W455),LN(1-W455))</f>
        <v/>
      </c>
      <c r="Y455" s="10">
        <f>IF(W455&gt;$AC$34,1,0)</f>
        <v/>
      </c>
      <c r="Z455">
        <f>IF(Y455=C455,1,0)</f>
        <v/>
      </c>
    </row>
    <row r="456">
      <c r="A456">
        <f>'1 datos preparados'!A449</f>
        <v/>
      </c>
      <c r="B456" s="5">
        <f>'1 datos preparados'!U449</f>
        <v/>
      </c>
      <c r="C456">
        <f>'1 datos preparados'!B449</f>
        <v/>
      </c>
      <c r="D456" s="7">
        <f>'1 datos preparados'!C449</f>
        <v/>
      </c>
      <c r="E456" s="7">
        <f>'1 datos preparados'!D449</f>
        <v/>
      </c>
      <c r="F456" s="7">
        <f>'1 datos preparados'!E449</f>
        <v/>
      </c>
      <c r="G456" s="7">
        <f>'1 datos preparados'!F449</f>
        <v/>
      </c>
      <c r="H456" s="7">
        <f>'1 datos preparados'!G449</f>
        <v/>
      </c>
      <c r="I456" s="7">
        <f>'1 datos preparados'!H449</f>
        <v/>
      </c>
      <c r="J456" s="7">
        <f>'1 datos preparados'!I449</f>
        <v/>
      </c>
      <c r="K456" s="7">
        <f>'1 datos preparados'!J449</f>
        <v/>
      </c>
      <c r="L456" s="7">
        <f>'1 datos preparados'!K449</f>
        <v/>
      </c>
      <c r="M456" s="7">
        <f>'1 datos preparados'!L449</f>
        <v/>
      </c>
      <c r="N456" s="7">
        <f>'1 datos preparados'!M449</f>
        <v/>
      </c>
      <c r="O456" s="7">
        <f>'1 datos preparados'!N449</f>
        <v/>
      </c>
      <c r="P456" s="7">
        <f>'1 datos preparados'!O449</f>
        <v/>
      </c>
      <c r="Q456" s="7">
        <f>'1 datos preparados'!P449</f>
        <v/>
      </c>
      <c r="R456" s="7">
        <f>'1 datos preparados'!Q449</f>
        <v/>
      </c>
      <c r="S456" s="7">
        <f>'1 datos preparados'!R449</f>
        <v/>
      </c>
      <c r="T456" s="7">
        <f>'1 datos preparados'!S449</f>
        <v/>
      </c>
      <c r="U456" s="7">
        <f>'1 datos preparados'!T449</f>
        <v/>
      </c>
      <c r="V456" s="8">
        <f>$AC$12+D456*$AC$13+E456*$AC$14+F456*$AC$15+G456*$AC$16+H456*$AC$17+I456*$AC$18+J456*$AC$19+K456*$AC$20+L456*$AC$21+M456*$AC$22+N456*$AC$23+O456*$AC$24+P456*$AC$25+Q456*$AC$26+R456*$AC$27+S456*$AC$28+T456*$AC$29+U456*$AC$30</f>
        <v/>
      </c>
      <c r="W456" s="8">
        <f>1/(1+EXP(-V456))</f>
        <v/>
      </c>
      <c r="X456" s="9">
        <f>-IF(C456=1,LN(W456),LN(1-W456))</f>
        <v/>
      </c>
      <c r="Y456" s="10">
        <f>IF(W456&gt;$AC$34,1,0)</f>
        <v/>
      </c>
      <c r="Z456">
        <f>IF(Y456=C456,1,0)</f>
        <v/>
      </c>
    </row>
    <row r="457">
      <c r="A457">
        <f>'1 datos preparados'!A450</f>
        <v/>
      </c>
      <c r="B457" s="5">
        <f>'1 datos preparados'!U450</f>
        <v/>
      </c>
      <c r="C457">
        <f>'1 datos preparados'!B450</f>
        <v/>
      </c>
      <c r="D457" s="7">
        <f>'1 datos preparados'!C450</f>
        <v/>
      </c>
      <c r="E457" s="7">
        <f>'1 datos preparados'!D450</f>
        <v/>
      </c>
      <c r="F457" s="7">
        <f>'1 datos preparados'!E450</f>
        <v/>
      </c>
      <c r="G457" s="7">
        <f>'1 datos preparados'!F450</f>
        <v/>
      </c>
      <c r="H457" s="7">
        <f>'1 datos preparados'!G450</f>
        <v/>
      </c>
      <c r="I457" s="7">
        <f>'1 datos preparados'!H450</f>
        <v/>
      </c>
      <c r="J457" s="7">
        <f>'1 datos preparados'!I450</f>
        <v/>
      </c>
      <c r="K457" s="7">
        <f>'1 datos preparados'!J450</f>
        <v/>
      </c>
      <c r="L457" s="7">
        <f>'1 datos preparados'!K450</f>
        <v/>
      </c>
      <c r="M457" s="7">
        <f>'1 datos preparados'!L450</f>
        <v/>
      </c>
      <c r="N457" s="7">
        <f>'1 datos preparados'!M450</f>
        <v/>
      </c>
      <c r="O457" s="7">
        <f>'1 datos preparados'!N450</f>
        <v/>
      </c>
      <c r="P457" s="7">
        <f>'1 datos preparados'!O450</f>
        <v/>
      </c>
      <c r="Q457" s="7">
        <f>'1 datos preparados'!P450</f>
        <v/>
      </c>
      <c r="R457" s="7">
        <f>'1 datos preparados'!Q450</f>
        <v/>
      </c>
      <c r="S457" s="7">
        <f>'1 datos preparados'!R450</f>
        <v/>
      </c>
      <c r="T457" s="7">
        <f>'1 datos preparados'!S450</f>
        <v/>
      </c>
      <c r="U457" s="7">
        <f>'1 datos preparados'!T450</f>
        <v/>
      </c>
      <c r="V457" s="8">
        <f>$AC$12+D457*$AC$13+E457*$AC$14+F457*$AC$15+G457*$AC$16+H457*$AC$17+I457*$AC$18+J457*$AC$19+K457*$AC$20+L457*$AC$21+M457*$AC$22+N457*$AC$23+O457*$AC$24+P457*$AC$25+Q457*$AC$26+R457*$AC$27+S457*$AC$28+T457*$AC$29+U457*$AC$30</f>
        <v/>
      </c>
      <c r="W457" s="8">
        <f>1/(1+EXP(-V457))</f>
        <v/>
      </c>
      <c r="X457" s="9">
        <f>-IF(C457=1,LN(W457),LN(1-W457))</f>
        <v/>
      </c>
      <c r="Y457" s="10">
        <f>IF(W457&gt;$AC$34,1,0)</f>
        <v/>
      </c>
      <c r="Z457">
        <f>IF(Y457=C457,1,0)</f>
        <v/>
      </c>
    </row>
    <row r="458">
      <c r="A458">
        <f>'1 datos preparados'!A451</f>
        <v/>
      </c>
      <c r="B458" s="5">
        <f>'1 datos preparados'!U451</f>
        <v/>
      </c>
      <c r="C458">
        <f>'1 datos preparados'!B451</f>
        <v/>
      </c>
      <c r="D458" s="7">
        <f>'1 datos preparados'!C451</f>
        <v/>
      </c>
      <c r="E458" s="7">
        <f>'1 datos preparados'!D451</f>
        <v/>
      </c>
      <c r="F458" s="7">
        <f>'1 datos preparados'!E451</f>
        <v/>
      </c>
      <c r="G458" s="7">
        <f>'1 datos preparados'!F451</f>
        <v/>
      </c>
      <c r="H458" s="7">
        <f>'1 datos preparados'!G451</f>
        <v/>
      </c>
      <c r="I458" s="7">
        <f>'1 datos preparados'!H451</f>
        <v/>
      </c>
      <c r="J458" s="7">
        <f>'1 datos preparados'!I451</f>
        <v/>
      </c>
      <c r="K458" s="7">
        <f>'1 datos preparados'!J451</f>
        <v/>
      </c>
      <c r="L458" s="7">
        <f>'1 datos preparados'!K451</f>
        <v/>
      </c>
      <c r="M458" s="7">
        <f>'1 datos preparados'!L451</f>
        <v/>
      </c>
      <c r="N458" s="7">
        <f>'1 datos preparados'!M451</f>
        <v/>
      </c>
      <c r="O458" s="7">
        <f>'1 datos preparados'!N451</f>
        <v/>
      </c>
      <c r="P458" s="7">
        <f>'1 datos preparados'!O451</f>
        <v/>
      </c>
      <c r="Q458" s="7">
        <f>'1 datos preparados'!P451</f>
        <v/>
      </c>
      <c r="R458" s="7">
        <f>'1 datos preparados'!Q451</f>
        <v/>
      </c>
      <c r="S458" s="7">
        <f>'1 datos preparados'!R451</f>
        <v/>
      </c>
      <c r="T458" s="7">
        <f>'1 datos preparados'!S451</f>
        <v/>
      </c>
      <c r="U458" s="7">
        <f>'1 datos preparados'!T451</f>
        <v/>
      </c>
      <c r="V458" s="8">
        <f>$AC$12+D458*$AC$13+E458*$AC$14+F458*$AC$15+G458*$AC$16+H458*$AC$17+I458*$AC$18+J458*$AC$19+K458*$AC$20+L458*$AC$21+M458*$AC$22+N458*$AC$23+O458*$AC$24+P458*$AC$25+Q458*$AC$26+R458*$AC$27+S458*$AC$28+T458*$AC$29+U458*$AC$30</f>
        <v/>
      </c>
      <c r="W458" s="8">
        <f>1/(1+EXP(-V458))</f>
        <v/>
      </c>
      <c r="X458" s="9">
        <f>-IF(C458=1,LN(W458),LN(1-W458))</f>
        <v/>
      </c>
      <c r="Y458" s="10">
        <f>IF(W458&gt;$AC$34,1,0)</f>
        <v/>
      </c>
      <c r="Z458">
        <f>IF(Y458=C458,1,0)</f>
        <v/>
      </c>
    </row>
    <row r="459">
      <c r="A459">
        <f>'1 datos preparados'!A452</f>
        <v/>
      </c>
      <c r="B459" s="5">
        <f>'1 datos preparados'!U452</f>
        <v/>
      </c>
      <c r="C459">
        <f>'1 datos preparados'!B452</f>
        <v/>
      </c>
      <c r="D459" s="7">
        <f>'1 datos preparados'!C452</f>
        <v/>
      </c>
      <c r="E459" s="7">
        <f>'1 datos preparados'!D452</f>
        <v/>
      </c>
      <c r="F459" s="7">
        <f>'1 datos preparados'!E452</f>
        <v/>
      </c>
      <c r="G459" s="7">
        <f>'1 datos preparados'!F452</f>
        <v/>
      </c>
      <c r="H459" s="7">
        <f>'1 datos preparados'!G452</f>
        <v/>
      </c>
      <c r="I459" s="7">
        <f>'1 datos preparados'!H452</f>
        <v/>
      </c>
      <c r="J459" s="7">
        <f>'1 datos preparados'!I452</f>
        <v/>
      </c>
      <c r="K459" s="7">
        <f>'1 datos preparados'!J452</f>
        <v/>
      </c>
      <c r="L459" s="7">
        <f>'1 datos preparados'!K452</f>
        <v/>
      </c>
      <c r="M459" s="7">
        <f>'1 datos preparados'!L452</f>
        <v/>
      </c>
      <c r="N459" s="7">
        <f>'1 datos preparados'!M452</f>
        <v/>
      </c>
      <c r="O459" s="7">
        <f>'1 datos preparados'!N452</f>
        <v/>
      </c>
      <c r="P459" s="7">
        <f>'1 datos preparados'!O452</f>
        <v/>
      </c>
      <c r="Q459" s="7">
        <f>'1 datos preparados'!P452</f>
        <v/>
      </c>
      <c r="R459" s="7">
        <f>'1 datos preparados'!Q452</f>
        <v/>
      </c>
      <c r="S459" s="7">
        <f>'1 datos preparados'!R452</f>
        <v/>
      </c>
      <c r="T459" s="7">
        <f>'1 datos preparados'!S452</f>
        <v/>
      </c>
      <c r="U459" s="7">
        <f>'1 datos preparados'!T452</f>
        <v/>
      </c>
      <c r="V459" s="8">
        <f>$AC$12+D459*$AC$13+E459*$AC$14+F459*$AC$15+G459*$AC$16+H459*$AC$17+I459*$AC$18+J459*$AC$19+K459*$AC$20+L459*$AC$21+M459*$AC$22+N459*$AC$23+O459*$AC$24+P459*$AC$25+Q459*$AC$26+R459*$AC$27+S459*$AC$28+T459*$AC$29+U459*$AC$30</f>
        <v/>
      </c>
      <c r="W459" s="8">
        <f>1/(1+EXP(-V459))</f>
        <v/>
      </c>
      <c r="X459" s="9">
        <f>-IF(C459=1,LN(W459),LN(1-W459))</f>
        <v/>
      </c>
      <c r="Y459" s="10">
        <f>IF(W459&gt;$AC$34,1,0)</f>
        <v/>
      </c>
      <c r="Z459">
        <f>IF(Y459=C459,1,0)</f>
        <v/>
      </c>
    </row>
    <row r="460">
      <c r="A460">
        <f>'1 datos preparados'!A453</f>
        <v/>
      </c>
      <c r="B460" s="5">
        <f>'1 datos preparados'!U453</f>
        <v/>
      </c>
      <c r="C460">
        <f>'1 datos preparados'!B453</f>
        <v/>
      </c>
      <c r="D460" s="7">
        <f>'1 datos preparados'!C453</f>
        <v/>
      </c>
      <c r="E460" s="7">
        <f>'1 datos preparados'!D453</f>
        <v/>
      </c>
      <c r="F460" s="7">
        <f>'1 datos preparados'!E453</f>
        <v/>
      </c>
      <c r="G460" s="7">
        <f>'1 datos preparados'!F453</f>
        <v/>
      </c>
      <c r="H460" s="7">
        <f>'1 datos preparados'!G453</f>
        <v/>
      </c>
      <c r="I460" s="7">
        <f>'1 datos preparados'!H453</f>
        <v/>
      </c>
      <c r="J460" s="7">
        <f>'1 datos preparados'!I453</f>
        <v/>
      </c>
      <c r="K460" s="7">
        <f>'1 datos preparados'!J453</f>
        <v/>
      </c>
      <c r="L460" s="7">
        <f>'1 datos preparados'!K453</f>
        <v/>
      </c>
      <c r="M460" s="7">
        <f>'1 datos preparados'!L453</f>
        <v/>
      </c>
      <c r="N460" s="7">
        <f>'1 datos preparados'!M453</f>
        <v/>
      </c>
      <c r="O460" s="7">
        <f>'1 datos preparados'!N453</f>
        <v/>
      </c>
      <c r="P460" s="7">
        <f>'1 datos preparados'!O453</f>
        <v/>
      </c>
      <c r="Q460" s="7">
        <f>'1 datos preparados'!P453</f>
        <v/>
      </c>
      <c r="R460" s="7">
        <f>'1 datos preparados'!Q453</f>
        <v/>
      </c>
      <c r="S460" s="7">
        <f>'1 datos preparados'!R453</f>
        <v/>
      </c>
      <c r="T460" s="7">
        <f>'1 datos preparados'!S453</f>
        <v/>
      </c>
      <c r="U460" s="7">
        <f>'1 datos preparados'!T453</f>
        <v/>
      </c>
      <c r="V460" s="8">
        <f>$AC$12+D460*$AC$13+E460*$AC$14+F460*$AC$15+G460*$AC$16+H460*$AC$17+I460*$AC$18+J460*$AC$19+K460*$AC$20+L460*$AC$21+M460*$AC$22+N460*$AC$23+O460*$AC$24+P460*$AC$25+Q460*$AC$26+R460*$AC$27+S460*$AC$28+T460*$AC$29+U460*$AC$30</f>
        <v/>
      </c>
      <c r="W460" s="8">
        <f>1/(1+EXP(-V460))</f>
        <v/>
      </c>
      <c r="X460" s="9">
        <f>-IF(C460=1,LN(W460),LN(1-W460))</f>
        <v/>
      </c>
      <c r="Y460" s="10">
        <f>IF(W460&gt;$AC$34,1,0)</f>
        <v/>
      </c>
      <c r="Z460">
        <f>IF(Y460=C460,1,0)</f>
        <v/>
      </c>
    </row>
    <row r="461">
      <c r="A461">
        <f>'1 datos preparados'!A454</f>
        <v/>
      </c>
      <c r="B461" s="5">
        <f>'1 datos preparados'!U454</f>
        <v/>
      </c>
      <c r="C461">
        <f>'1 datos preparados'!B454</f>
        <v/>
      </c>
      <c r="D461" s="7">
        <f>'1 datos preparados'!C454</f>
        <v/>
      </c>
      <c r="E461" s="7">
        <f>'1 datos preparados'!D454</f>
        <v/>
      </c>
      <c r="F461" s="7">
        <f>'1 datos preparados'!E454</f>
        <v/>
      </c>
      <c r="G461" s="7">
        <f>'1 datos preparados'!F454</f>
        <v/>
      </c>
      <c r="H461" s="7">
        <f>'1 datos preparados'!G454</f>
        <v/>
      </c>
      <c r="I461" s="7">
        <f>'1 datos preparados'!H454</f>
        <v/>
      </c>
      <c r="J461" s="7">
        <f>'1 datos preparados'!I454</f>
        <v/>
      </c>
      <c r="K461" s="7">
        <f>'1 datos preparados'!J454</f>
        <v/>
      </c>
      <c r="L461" s="7">
        <f>'1 datos preparados'!K454</f>
        <v/>
      </c>
      <c r="M461" s="7">
        <f>'1 datos preparados'!L454</f>
        <v/>
      </c>
      <c r="N461" s="7">
        <f>'1 datos preparados'!M454</f>
        <v/>
      </c>
      <c r="O461" s="7">
        <f>'1 datos preparados'!N454</f>
        <v/>
      </c>
      <c r="P461" s="7">
        <f>'1 datos preparados'!O454</f>
        <v/>
      </c>
      <c r="Q461" s="7">
        <f>'1 datos preparados'!P454</f>
        <v/>
      </c>
      <c r="R461" s="7">
        <f>'1 datos preparados'!Q454</f>
        <v/>
      </c>
      <c r="S461" s="7">
        <f>'1 datos preparados'!R454</f>
        <v/>
      </c>
      <c r="T461" s="7">
        <f>'1 datos preparados'!S454</f>
        <v/>
      </c>
      <c r="U461" s="7">
        <f>'1 datos preparados'!T454</f>
        <v/>
      </c>
      <c r="V461" s="8">
        <f>$AC$12+D461*$AC$13+E461*$AC$14+F461*$AC$15+G461*$AC$16+H461*$AC$17+I461*$AC$18+J461*$AC$19+K461*$AC$20+L461*$AC$21+M461*$AC$22+N461*$AC$23+O461*$AC$24+P461*$AC$25+Q461*$AC$26+R461*$AC$27+S461*$AC$28+T461*$AC$29+U461*$AC$30</f>
        <v/>
      </c>
      <c r="W461" s="8">
        <f>1/(1+EXP(-V461))</f>
        <v/>
      </c>
      <c r="X461" s="9">
        <f>-IF(C461=1,LN(W461),LN(1-W461))</f>
        <v/>
      </c>
      <c r="Y461" s="10">
        <f>IF(W461&gt;$AC$34,1,0)</f>
        <v/>
      </c>
      <c r="Z461">
        <f>IF(Y461=C461,1,0)</f>
        <v/>
      </c>
    </row>
    <row r="462">
      <c r="A462">
        <f>'1 datos preparados'!A455</f>
        <v/>
      </c>
      <c r="B462" s="5">
        <f>'1 datos preparados'!U455</f>
        <v/>
      </c>
      <c r="C462">
        <f>'1 datos preparados'!B455</f>
        <v/>
      </c>
      <c r="D462" s="7">
        <f>'1 datos preparados'!C455</f>
        <v/>
      </c>
      <c r="E462" s="7">
        <f>'1 datos preparados'!D455</f>
        <v/>
      </c>
      <c r="F462" s="7">
        <f>'1 datos preparados'!E455</f>
        <v/>
      </c>
      <c r="G462" s="7">
        <f>'1 datos preparados'!F455</f>
        <v/>
      </c>
      <c r="H462" s="7">
        <f>'1 datos preparados'!G455</f>
        <v/>
      </c>
      <c r="I462" s="7">
        <f>'1 datos preparados'!H455</f>
        <v/>
      </c>
      <c r="J462" s="7">
        <f>'1 datos preparados'!I455</f>
        <v/>
      </c>
      <c r="K462" s="7">
        <f>'1 datos preparados'!J455</f>
        <v/>
      </c>
      <c r="L462" s="7">
        <f>'1 datos preparados'!K455</f>
        <v/>
      </c>
      <c r="M462" s="7">
        <f>'1 datos preparados'!L455</f>
        <v/>
      </c>
      <c r="N462" s="7">
        <f>'1 datos preparados'!M455</f>
        <v/>
      </c>
      <c r="O462" s="7">
        <f>'1 datos preparados'!N455</f>
        <v/>
      </c>
      <c r="P462" s="7">
        <f>'1 datos preparados'!O455</f>
        <v/>
      </c>
      <c r="Q462" s="7">
        <f>'1 datos preparados'!P455</f>
        <v/>
      </c>
      <c r="R462" s="7">
        <f>'1 datos preparados'!Q455</f>
        <v/>
      </c>
      <c r="S462" s="7">
        <f>'1 datos preparados'!R455</f>
        <v/>
      </c>
      <c r="T462" s="7">
        <f>'1 datos preparados'!S455</f>
        <v/>
      </c>
      <c r="U462" s="7">
        <f>'1 datos preparados'!T455</f>
        <v/>
      </c>
      <c r="V462" s="8">
        <f>$AC$12+D462*$AC$13+E462*$AC$14+F462*$AC$15+G462*$AC$16+H462*$AC$17+I462*$AC$18+J462*$AC$19+K462*$AC$20+L462*$AC$21+M462*$AC$22+N462*$AC$23+O462*$AC$24+P462*$AC$25+Q462*$AC$26+R462*$AC$27+S462*$AC$28+T462*$AC$29+U462*$AC$30</f>
        <v/>
      </c>
      <c r="W462" s="8">
        <f>1/(1+EXP(-V462))</f>
        <v/>
      </c>
      <c r="X462" s="9">
        <f>-IF(C462=1,LN(W462),LN(1-W462))</f>
        <v/>
      </c>
      <c r="Y462" s="10">
        <f>IF(W462&gt;$AC$34,1,0)</f>
        <v/>
      </c>
      <c r="Z462">
        <f>IF(Y462=C462,1,0)</f>
        <v/>
      </c>
    </row>
    <row r="463">
      <c r="A463">
        <f>'1 datos preparados'!A456</f>
        <v/>
      </c>
      <c r="B463" s="5">
        <f>'1 datos preparados'!U456</f>
        <v/>
      </c>
      <c r="C463">
        <f>'1 datos preparados'!B456</f>
        <v/>
      </c>
      <c r="D463" s="7">
        <f>'1 datos preparados'!C456</f>
        <v/>
      </c>
      <c r="E463" s="7">
        <f>'1 datos preparados'!D456</f>
        <v/>
      </c>
      <c r="F463" s="7">
        <f>'1 datos preparados'!E456</f>
        <v/>
      </c>
      <c r="G463" s="7">
        <f>'1 datos preparados'!F456</f>
        <v/>
      </c>
      <c r="H463" s="7">
        <f>'1 datos preparados'!G456</f>
        <v/>
      </c>
      <c r="I463" s="7">
        <f>'1 datos preparados'!H456</f>
        <v/>
      </c>
      <c r="J463" s="7">
        <f>'1 datos preparados'!I456</f>
        <v/>
      </c>
      <c r="K463" s="7">
        <f>'1 datos preparados'!J456</f>
        <v/>
      </c>
      <c r="L463" s="7">
        <f>'1 datos preparados'!K456</f>
        <v/>
      </c>
      <c r="M463" s="7">
        <f>'1 datos preparados'!L456</f>
        <v/>
      </c>
      <c r="N463" s="7">
        <f>'1 datos preparados'!M456</f>
        <v/>
      </c>
      <c r="O463" s="7">
        <f>'1 datos preparados'!N456</f>
        <v/>
      </c>
      <c r="P463" s="7">
        <f>'1 datos preparados'!O456</f>
        <v/>
      </c>
      <c r="Q463" s="7">
        <f>'1 datos preparados'!P456</f>
        <v/>
      </c>
      <c r="R463" s="7">
        <f>'1 datos preparados'!Q456</f>
        <v/>
      </c>
      <c r="S463" s="7">
        <f>'1 datos preparados'!R456</f>
        <v/>
      </c>
      <c r="T463" s="7">
        <f>'1 datos preparados'!S456</f>
        <v/>
      </c>
      <c r="U463" s="7">
        <f>'1 datos preparados'!T456</f>
        <v/>
      </c>
      <c r="V463" s="8">
        <f>$AC$12+D463*$AC$13+E463*$AC$14+F463*$AC$15+G463*$AC$16+H463*$AC$17+I463*$AC$18+J463*$AC$19+K463*$AC$20+L463*$AC$21+M463*$AC$22+N463*$AC$23+O463*$AC$24+P463*$AC$25+Q463*$AC$26+R463*$AC$27+S463*$AC$28+T463*$AC$29+U463*$AC$30</f>
        <v/>
      </c>
      <c r="W463" s="8">
        <f>1/(1+EXP(-V463))</f>
        <v/>
      </c>
      <c r="X463" s="9">
        <f>-IF(C463=1,LN(W463),LN(1-W463))</f>
        <v/>
      </c>
      <c r="Y463" s="10">
        <f>IF(W463&gt;$AC$34,1,0)</f>
        <v/>
      </c>
      <c r="Z463">
        <f>IF(Y463=C463,1,0)</f>
        <v/>
      </c>
    </row>
    <row r="464">
      <c r="A464">
        <f>'1 datos preparados'!A457</f>
        <v/>
      </c>
      <c r="B464" s="5">
        <f>'1 datos preparados'!U457</f>
        <v/>
      </c>
      <c r="C464">
        <f>'1 datos preparados'!B457</f>
        <v/>
      </c>
      <c r="D464" s="7">
        <f>'1 datos preparados'!C457</f>
        <v/>
      </c>
      <c r="E464" s="7">
        <f>'1 datos preparados'!D457</f>
        <v/>
      </c>
      <c r="F464" s="7">
        <f>'1 datos preparados'!E457</f>
        <v/>
      </c>
      <c r="G464" s="7">
        <f>'1 datos preparados'!F457</f>
        <v/>
      </c>
      <c r="H464" s="7">
        <f>'1 datos preparados'!G457</f>
        <v/>
      </c>
      <c r="I464" s="7">
        <f>'1 datos preparados'!H457</f>
        <v/>
      </c>
      <c r="J464" s="7">
        <f>'1 datos preparados'!I457</f>
        <v/>
      </c>
      <c r="K464" s="7">
        <f>'1 datos preparados'!J457</f>
        <v/>
      </c>
      <c r="L464" s="7">
        <f>'1 datos preparados'!K457</f>
        <v/>
      </c>
      <c r="M464" s="7">
        <f>'1 datos preparados'!L457</f>
        <v/>
      </c>
      <c r="N464" s="7">
        <f>'1 datos preparados'!M457</f>
        <v/>
      </c>
      <c r="O464" s="7">
        <f>'1 datos preparados'!N457</f>
        <v/>
      </c>
      <c r="P464" s="7">
        <f>'1 datos preparados'!O457</f>
        <v/>
      </c>
      <c r="Q464" s="7">
        <f>'1 datos preparados'!P457</f>
        <v/>
      </c>
      <c r="R464" s="7">
        <f>'1 datos preparados'!Q457</f>
        <v/>
      </c>
      <c r="S464" s="7">
        <f>'1 datos preparados'!R457</f>
        <v/>
      </c>
      <c r="T464" s="7">
        <f>'1 datos preparados'!S457</f>
        <v/>
      </c>
      <c r="U464" s="7">
        <f>'1 datos preparados'!T457</f>
        <v/>
      </c>
      <c r="V464" s="8">
        <f>$AC$12+D464*$AC$13+E464*$AC$14+F464*$AC$15+G464*$AC$16+H464*$AC$17+I464*$AC$18+J464*$AC$19+K464*$AC$20+L464*$AC$21+M464*$AC$22+N464*$AC$23+O464*$AC$24+P464*$AC$25+Q464*$AC$26+R464*$AC$27+S464*$AC$28+T464*$AC$29+U464*$AC$30</f>
        <v/>
      </c>
      <c r="W464" s="8">
        <f>1/(1+EXP(-V464))</f>
        <v/>
      </c>
      <c r="X464" s="9">
        <f>-IF(C464=1,LN(W464),LN(1-W464))</f>
        <v/>
      </c>
      <c r="Y464" s="10">
        <f>IF(W464&gt;$AC$34,1,0)</f>
        <v/>
      </c>
      <c r="Z464">
        <f>IF(Y464=C464,1,0)</f>
        <v/>
      </c>
    </row>
    <row r="465">
      <c r="A465">
        <f>'1 datos preparados'!A458</f>
        <v/>
      </c>
      <c r="B465" s="5">
        <f>'1 datos preparados'!U458</f>
        <v/>
      </c>
      <c r="C465">
        <f>'1 datos preparados'!B458</f>
        <v/>
      </c>
      <c r="D465" s="7">
        <f>'1 datos preparados'!C458</f>
        <v/>
      </c>
      <c r="E465" s="7">
        <f>'1 datos preparados'!D458</f>
        <v/>
      </c>
      <c r="F465" s="7">
        <f>'1 datos preparados'!E458</f>
        <v/>
      </c>
      <c r="G465" s="7">
        <f>'1 datos preparados'!F458</f>
        <v/>
      </c>
      <c r="H465" s="7">
        <f>'1 datos preparados'!G458</f>
        <v/>
      </c>
      <c r="I465" s="7">
        <f>'1 datos preparados'!H458</f>
        <v/>
      </c>
      <c r="J465" s="7">
        <f>'1 datos preparados'!I458</f>
        <v/>
      </c>
      <c r="K465" s="7">
        <f>'1 datos preparados'!J458</f>
        <v/>
      </c>
      <c r="L465" s="7">
        <f>'1 datos preparados'!K458</f>
        <v/>
      </c>
      <c r="M465" s="7">
        <f>'1 datos preparados'!L458</f>
        <v/>
      </c>
      <c r="N465" s="7">
        <f>'1 datos preparados'!M458</f>
        <v/>
      </c>
      <c r="O465" s="7">
        <f>'1 datos preparados'!N458</f>
        <v/>
      </c>
      <c r="P465" s="7">
        <f>'1 datos preparados'!O458</f>
        <v/>
      </c>
      <c r="Q465" s="7">
        <f>'1 datos preparados'!P458</f>
        <v/>
      </c>
      <c r="R465" s="7">
        <f>'1 datos preparados'!Q458</f>
        <v/>
      </c>
      <c r="S465" s="7">
        <f>'1 datos preparados'!R458</f>
        <v/>
      </c>
      <c r="T465" s="7">
        <f>'1 datos preparados'!S458</f>
        <v/>
      </c>
      <c r="U465" s="7">
        <f>'1 datos preparados'!T458</f>
        <v/>
      </c>
      <c r="V465" s="8">
        <f>$AC$12+D465*$AC$13+E465*$AC$14+F465*$AC$15+G465*$AC$16+H465*$AC$17+I465*$AC$18+J465*$AC$19+K465*$AC$20+L465*$AC$21+M465*$AC$22+N465*$AC$23+O465*$AC$24+P465*$AC$25+Q465*$AC$26+R465*$AC$27+S465*$AC$28+T465*$AC$29+U465*$AC$30</f>
        <v/>
      </c>
      <c r="W465" s="8">
        <f>1/(1+EXP(-V465))</f>
        <v/>
      </c>
      <c r="X465" s="9">
        <f>-IF(C465=1,LN(W465),LN(1-W465))</f>
        <v/>
      </c>
      <c r="Y465" s="10">
        <f>IF(W465&gt;$AC$34,1,0)</f>
        <v/>
      </c>
      <c r="Z465">
        <f>IF(Y465=C465,1,0)</f>
        <v/>
      </c>
    </row>
    <row r="466">
      <c r="A466">
        <f>'1 datos preparados'!A459</f>
        <v/>
      </c>
      <c r="B466" s="5">
        <f>'1 datos preparados'!U459</f>
        <v/>
      </c>
      <c r="C466">
        <f>'1 datos preparados'!B459</f>
        <v/>
      </c>
      <c r="D466" s="7">
        <f>'1 datos preparados'!C459</f>
        <v/>
      </c>
      <c r="E466" s="7">
        <f>'1 datos preparados'!D459</f>
        <v/>
      </c>
      <c r="F466" s="7">
        <f>'1 datos preparados'!E459</f>
        <v/>
      </c>
      <c r="G466" s="7">
        <f>'1 datos preparados'!F459</f>
        <v/>
      </c>
      <c r="H466" s="7">
        <f>'1 datos preparados'!G459</f>
        <v/>
      </c>
      <c r="I466" s="7">
        <f>'1 datos preparados'!H459</f>
        <v/>
      </c>
      <c r="J466" s="7">
        <f>'1 datos preparados'!I459</f>
        <v/>
      </c>
      <c r="K466" s="7">
        <f>'1 datos preparados'!J459</f>
        <v/>
      </c>
      <c r="L466" s="7">
        <f>'1 datos preparados'!K459</f>
        <v/>
      </c>
      <c r="M466" s="7">
        <f>'1 datos preparados'!L459</f>
        <v/>
      </c>
      <c r="N466" s="7">
        <f>'1 datos preparados'!M459</f>
        <v/>
      </c>
      <c r="O466" s="7">
        <f>'1 datos preparados'!N459</f>
        <v/>
      </c>
      <c r="P466" s="7">
        <f>'1 datos preparados'!O459</f>
        <v/>
      </c>
      <c r="Q466" s="7">
        <f>'1 datos preparados'!P459</f>
        <v/>
      </c>
      <c r="R466" s="7">
        <f>'1 datos preparados'!Q459</f>
        <v/>
      </c>
      <c r="S466" s="7">
        <f>'1 datos preparados'!R459</f>
        <v/>
      </c>
      <c r="T466" s="7">
        <f>'1 datos preparados'!S459</f>
        <v/>
      </c>
      <c r="U466" s="7">
        <f>'1 datos preparados'!T459</f>
        <v/>
      </c>
      <c r="V466" s="8">
        <f>$AC$12+D466*$AC$13+E466*$AC$14+F466*$AC$15+G466*$AC$16+H466*$AC$17+I466*$AC$18+J466*$AC$19+K466*$AC$20+L466*$AC$21+M466*$AC$22+N466*$AC$23+O466*$AC$24+P466*$AC$25+Q466*$AC$26+R466*$AC$27+S466*$AC$28+T466*$AC$29+U466*$AC$30</f>
        <v/>
      </c>
      <c r="W466" s="8">
        <f>1/(1+EXP(-V466))</f>
        <v/>
      </c>
      <c r="X466" s="9">
        <f>-IF(C466=1,LN(W466),LN(1-W466))</f>
        <v/>
      </c>
      <c r="Y466" s="10">
        <f>IF(W466&gt;$AC$34,1,0)</f>
        <v/>
      </c>
      <c r="Z466">
        <f>IF(Y466=C466,1,0)</f>
        <v/>
      </c>
    </row>
    <row r="467">
      <c r="A467">
        <f>'1 datos preparados'!A460</f>
        <v/>
      </c>
      <c r="B467" s="5">
        <f>'1 datos preparados'!U460</f>
        <v/>
      </c>
      <c r="C467">
        <f>'1 datos preparados'!B460</f>
        <v/>
      </c>
      <c r="D467" s="7">
        <f>'1 datos preparados'!C460</f>
        <v/>
      </c>
      <c r="E467" s="7">
        <f>'1 datos preparados'!D460</f>
        <v/>
      </c>
      <c r="F467" s="7">
        <f>'1 datos preparados'!E460</f>
        <v/>
      </c>
      <c r="G467" s="7">
        <f>'1 datos preparados'!F460</f>
        <v/>
      </c>
      <c r="H467" s="7">
        <f>'1 datos preparados'!G460</f>
        <v/>
      </c>
      <c r="I467" s="7">
        <f>'1 datos preparados'!H460</f>
        <v/>
      </c>
      <c r="J467" s="7">
        <f>'1 datos preparados'!I460</f>
        <v/>
      </c>
      <c r="K467" s="7">
        <f>'1 datos preparados'!J460</f>
        <v/>
      </c>
      <c r="L467" s="7">
        <f>'1 datos preparados'!K460</f>
        <v/>
      </c>
      <c r="M467" s="7">
        <f>'1 datos preparados'!L460</f>
        <v/>
      </c>
      <c r="N467" s="7">
        <f>'1 datos preparados'!M460</f>
        <v/>
      </c>
      <c r="O467" s="7">
        <f>'1 datos preparados'!N460</f>
        <v/>
      </c>
      <c r="P467" s="7">
        <f>'1 datos preparados'!O460</f>
        <v/>
      </c>
      <c r="Q467" s="7">
        <f>'1 datos preparados'!P460</f>
        <v/>
      </c>
      <c r="R467" s="7">
        <f>'1 datos preparados'!Q460</f>
        <v/>
      </c>
      <c r="S467" s="7">
        <f>'1 datos preparados'!R460</f>
        <v/>
      </c>
      <c r="T467" s="7">
        <f>'1 datos preparados'!S460</f>
        <v/>
      </c>
      <c r="U467" s="7">
        <f>'1 datos preparados'!T460</f>
        <v/>
      </c>
      <c r="V467" s="8">
        <f>$AC$12+D467*$AC$13+E467*$AC$14+F467*$AC$15+G467*$AC$16+H467*$AC$17+I467*$AC$18+J467*$AC$19+K467*$AC$20+L467*$AC$21+M467*$AC$22+N467*$AC$23+O467*$AC$24+P467*$AC$25+Q467*$AC$26+R467*$AC$27+S467*$AC$28+T467*$AC$29+U467*$AC$30</f>
        <v/>
      </c>
      <c r="W467" s="8">
        <f>1/(1+EXP(-V467))</f>
        <v/>
      </c>
      <c r="X467" s="9">
        <f>-IF(C467=1,LN(W467),LN(1-W467))</f>
        <v/>
      </c>
      <c r="Y467" s="10">
        <f>IF(W467&gt;$AC$34,1,0)</f>
        <v/>
      </c>
      <c r="Z467">
        <f>IF(Y467=C467,1,0)</f>
        <v/>
      </c>
    </row>
    <row r="468">
      <c r="A468">
        <f>'1 datos preparados'!A461</f>
        <v/>
      </c>
      <c r="B468" s="5">
        <f>'1 datos preparados'!U461</f>
        <v/>
      </c>
      <c r="C468">
        <f>'1 datos preparados'!B461</f>
        <v/>
      </c>
      <c r="D468" s="7">
        <f>'1 datos preparados'!C461</f>
        <v/>
      </c>
      <c r="E468" s="7">
        <f>'1 datos preparados'!D461</f>
        <v/>
      </c>
      <c r="F468" s="7">
        <f>'1 datos preparados'!E461</f>
        <v/>
      </c>
      <c r="G468" s="7">
        <f>'1 datos preparados'!F461</f>
        <v/>
      </c>
      <c r="H468" s="7">
        <f>'1 datos preparados'!G461</f>
        <v/>
      </c>
      <c r="I468" s="7">
        <f>'1 datos preparados'!H461</f>
        <v/>
      </c>
      <c r="J468" s="7">
        <f>'1 datos preparados'!I461</f>
        <v/>
      </c>
      <c r="K468" s="7">
        <f>'1 datos preparados'!J461</f>
        <v/>
      </c>
      <c r="L468" s="7">
        <f>'1 datos preparados'!K461</f>
        <v/>
      </c>
      <c r="M468" s="7">
        <f>'1 datos preparados'!L461</f>
        <v/>
      </c>
      <c r="N468" s="7">
        <f>'1 datos preparados'!M461</f>
        <v/>
      </c>
      <c r="O468" s="7">
        <f>'1 datos preparados'!N461</f>
        <v/>
      </c>
      <c r="P468" s="7">
        <f>'1 datos preparados'!O461</f>
        <v/>
      </c>
      <c r="Q468" s="7">
        <f>'1 datos preparados'!P461</f>
        <v/>
      </c>
      <c r="R468" s="7">
        <f>'1 datos preparados'!Q461</f>
        <v/>
      </c>
      <c r="S468" s="7">
        <f>'1 datos preparados'!R461</f>
        <v/>
      </c>
      <c r="T468" s="7">
        <f>'1 datos preparados'!S461</f>
        <v/>
      </c>
      <c r="U468" s="7">
        <f>'1 datos preparados'!T461</f>
        <v/>
      </c>
      <c r="V468" s="8">
        <f>$AC$12+D468*$AC$13+E468*$AC$14+F468*$AC$15+G468*$AC$16+H468*$AC$17+I468*$AC$18+J468*$AC$19+K468*$AC$20+L468*$AC$21+M468*$AC$22+N468*$AC$23+O468*$AC$24+P468*$AC$25+Q468*$AC$26+R468*$AC$27+S468*$AC$28+T468*$AC$29+U468*$AC$30</f>
        <v/>
      </c>
      <c r="W468" s="8">
        <f>1/(1+EXP(-V468))</f>
        <v/>
      </c>
      <c r="X468" s="9">
        <f>-IF(C468=1,LN(W468),LN(1-W468))</f>
        <v/>
      </c>
      <c r="Y468" s="10">
        <f>IF(W468&gt;$AC$34,1,0)</f>
        <v/>
      </c>
      <c r="Z468">
        <f>IF(Y468=C468,1,0)</f>
        <v/>
      </c>
    </row>
    <row r="469">
      <c r="A469">
        <f>'1 datos preparados'!A462</f>
        <v/>
      </c>
      <c r="B469" s="5">
        <f>'1 datos preparados'!U462</f>
        <v/>
      </c>
      <c r="C469">
        <f>'1 datos preparados'!B462</f>
        <v/>
      </c>
      <c r="D469" s="7">
        <f>'1 datos preparados'!C462</f>
        <v/>
      </c>
      <c r="E469" s="7">
        <f>'1 datos preparados'!D462</f>
        <v/>
      </c>
      <c r="F469" s="7">
        <f>'1 datos preparados'!E462</f>
        <v/>
      </c>
      <c r="G469" s="7">
        <f>'1 datos preparados'!F462</f>
        <v/>
      </c>
      <c r="H469" s="7">
        <f>'1 datos preparados'!G462</f>
        <v/>
      </c>
      <c r="I469" s="7">
        <f>'1 datos preparados'!H462</f>
        <v/>
      </c>
      <c r="J469" s="7">
        <f>'1 datos preparados'!I462</f>
        <v/>
      </c>
      <c r="K469" s="7">
        <f>'1 datos preparados'!J462</f>
        <v/>
      </c>
      <c r="L469" s="7">
        <f>'1 datos preparados'!K462</f>
        <v/>
      </c>
      <c r="M469" s="7">
        <f>'1 datos preparados'!L462</f>
        <v/>
      </c>
      <c r="N469" s="7">
        <f>'1 datos preparados'!M462</f>
        <v/>
      </c>
      <c r="O469" s="7">
        <f>'1 datos preparados'!N462</f>
        <v/>
      </c>
      <c r="P469" s="7">
        <f>'1 datos preparados'!O462</f>
        <v/>
      </c>
      <c r="Q469" s="7">
        <f>'1 datos preparados'!P462</f>
        <v/>
      </c>
      <c r="R469" s="7">
        <f>'1 datos preparados'!Q462</f>
        <v/>
      </c>
      <c r="S469" s="7">
        <f>'1 datos preparados'!R462</f>
        <v/>
      </c>
      <c r="T469" s="7">
        <f>'1 datos preparados'!S462</f>
        <v/>
      </c>
      <c r="U469" s="7">
        <f>'1 datos preparados'!T462</f>
        <v/>
      </c>
      <c r="V469" s="8">
        <f>$AC$12+D469*$AC$13+E469*$AC$14+F469*$AC$15+G469*$AC$16+H469*$AC$17+I469*$AC$18+J469*$AC$19+K469*$AC$20+L469*$AC$21+M469*$AC$22+N469*$AC$23+O469*$AC$24+P469*$AC$25+Q469*$AC$26+R469*$AC$27+S469*$AC$28+T469*$AC$29+U469*$AC$30</f>
        <v/>
      </c>
      <c r="W469" s="8">
        <f>1/(1+EXP(-V469))</f>
        <v/>
      </c>
      <c r="X469" s="9">
        <f>-IF(C469=1,LN(W469),LN(1-W469))</f>
        <v/>
      </c>
      <c r="Y469" s="10">
        <f>IF(W469&gt;$AC$34,1,0)</f>
        <v/>
      </c>
      <c r="Z469">
        <f>IF(Y469=C469,1,0)</f>
        <v/>
      </c>
    </row>
    <row r="470">
      <c r="A470">
        <f>'1 datos preparados'!A463</f>
        <v/>
      </c>
      <c r="B470" s="5">
        <f>'1 datos preparados'!U463</f>
        <v/>
      </c>
      <c r="C470">
        <f>'1 datos preparados'!B463</f>
        <v/>
      </c>
      <c r="D470" s="7">
        <f>'1 datos preparados'!C463</f>
        <v/>
      </c>
      <c r="E470" s="7">
        <f>'1 datos preparados'!D463</f>
        <v/>
      </c>
      <c r="F470" s="7">
        <f>'1 datos preparados'!E463</f>
        <v/>
      </c>
      <c r="G470" s="7">
        <f>'1 datos preparados'!F463</f>
        <v/>
      </c>
      <c r="H470" s="7">
        <f>'1 datos preparados'!G463</f>
        <v/>
      </c>
      <c r="I470" s="7">
        <f>'1 datos preparados'!H463</f>
        <v/>
      </c>
      <c r="J470" s="7">
        <f>'1 datos preparados'!I463</f>
        <v/>
      </c>
      <c r="K470" s="7">
        <f>'1 datos preparados'!J463</f>
        <v/>
      </c>
      <c r="L470" s="7">
        <f>'1 datos preparados'!K463</f>
        <v/>
      </c>
      <c r="M470" s="7">
        <f>'1 datos preparados'!L463</f>
        <v/>
      </c>
      <c r="N470" s="7">
        <f>'1 datos preparados'!M463</f>
        <v/>
      </c>
      <c r="O470" s="7">
        <f>'1 datos preparados'!N463</f>
        <v/>
      </c>
      <c r="P470" s="7">
        <f>'1 datos preparados'!O463</f>
        <v/>
      </c>
      <c r="Q470" s="7">
        <f>'1 datos preparados'!P463</f>
        <v/>
      </c>
      <c r="R470" s="7">
        <f>'1 datos preparados'!Q463</f>
        <v/>
      </c>
      <c r="S470" s="7">
        <f>'1 datos preparados'!R463</f>
        <v/>
      </c>
      <c r="T470" s="7">
        <f>'1 datos preparados'!S463</f>
        <v/>
      </c>
      <c r="U470" s="7">
        <f>'1 datos preparados'!T463</f>
        <v/>
      </c>
      <c r="V470" s="8">
        <f>$AC$12+D470*$AC$13+E470*$AC$14+F470*$AC$15+G470*$AC$16+H470*$AC$17+I470*$AC$18+J470*$AC$19+K470*$AC$20+L470*$AC$21+M470*$AC$22+N470*$AC$23+O470*$AC$24+P470*$AC$25+Q470*$AC$26+R470*$AC$27+S470*$AC$28+T470*$AC$29+U470*$AC$30</f>
        <v/>
      </c>
      <c r="W470" s="8">
        <f>1/(1+EXP(-V470))</f>
        <v/>
      </c>
      <c r="X470" s="9">
        <f>-IF(C470=1,LN(W470),LN(1-W470))</f>
        <v/>
      </c>
      <c r="Y470" s="10">
        <f>IF(W470&gt;$AC$34,1,0)</f>
        <v/>
      </c>
      <c r="Z470">
        <f>IF(Y470=C470,1,0)</f>
        <v/>
      </c>
    </row>
    <row r="471">
      <c r="A471">
        <f>'1 datos preparados'!A464</f>
        <v/>
      </c>
      <c r="B471" s="5">
        <f>'1 datos preparados'!U464</f>
        <v/>
      </c>
      <c r="C471">
        <f>'1 datos preparados'!B464</f>
        <v/>
      </c>
      <c r="D471" s="7">
        <f>'1 datos preparados'!C464</f>
        <v/>
      </c>
      <c r="E471" s="7">
        <f>'1 datos preparados'!D464</f>
        <v/>
      </c>
      <c r="F471" s="7">
        <f>'1 datos preparados'!E464</f>
        <v/>
      </c>
      <c r="G471" s="7">
        <f>'1 datos preparados'!F464</f>
        <v/>
      </c>
      <c r="H471" s="7">
        <f>'1 datos preparados'!G464</f>
        <v/>
      </c>
      <c r="I471" s="7">
        <f>'1 datos preparados'!H464</f>
        <v/>
      </c>
      <c r="J471" s="7">
        <f>'1 datos preparados'!I464</f>
        <v/>
      </c>
      <c r="K471" s="7">
        <f>'1 datos preparados'!J464</f>
        <v/>
      </c>
      <c r="L471" s="7">
        <f>'1 datos preparados'!K464</f>
        <v/>
      </c>
      <c r="M471" s="7">
        <f>'1 datos preparados'!L464</f>
        <v/>
      </c>
      <c r="N471" s="7">
        <f>'1 datos preparados'!M464</f>
        <v/>
      </c>
      <c r="O471" s="7">
        <f>'1 datos preparados'!N464</f>
        <v/>
      </c>
      <c r="P471" s="7">
        <f>'1 datos preparados'!O464</f>
        <v/>
      </c>
      <c r="Q471" s="7">
        <f>'1 datos preparados'!P464</f>
        <v/>
      </c>
      <c r="R471" s="7">
        <f>'1 datos preparados'!Q464</f>
        <v/>
      </c>
      <c r="S471" s="7">
        <f>'1 datos preparados'!R464</f>
        <v/>
      </c>
      <c r="T471" s="7">
        <f>'1 datos preparados'!S464</f>
        <v/>
      </c>
      <c r="U471" s="7">
        <f>'1 datos preparados'!T464</f>
        <v/>
      </c>
      <c r="V471" s="8">
        <f>$AC$12+D471*$AC$13+E471*$AC$14+F471*$AC$15+G471*$AC$16+H471*$AC$17+I471*$AC$18+J471*$AC$19+K471*$AC$20+L471*$AC$21+M471*$AC$22+N471*$AC$23+O471*$AC$24+P471*$AC$25+Q471*$AC$26+R471*$AC$27+S471*$AC$28+T471*$AC$29+U471*$AC$30</f>
        <v/>
      </c>
      <c r="W471" s="8">
        <f>1/(1+EXP(-V471))</f>
        <v/>
      </c>
      <c r="X471" s="9">
        <f>-IF(C471=1,LN(W471),LN(1-W471))</f>
        <v/>
      </c>
      <c r="Y471" s="10">
        <f>IF(W471&gt;$AC$34,1,0)</f>
        <v/>
      </c>
      <c r="Z471">
        <f>IF(Y471=C471,1,0)</f>
        <v/>
      </c>
    </row>
    <row r="472">
      <c r="A472">
        <f>'1 datos preparados'!A465</f>
        <v/>
      </c>
      <c r="B472" s="5">
        <f>'1 datos preparados'!U465</f>
        <v/>
      </c>
      <c r="C472">
        <f>'1 datos preparados'!B465</f>
        <v/>
      </c>
      <c r="D472" s="7">
        <f>'1 datos preparados'!C465</f>
        <v/>
      </c>
      <c r="E472" s="7">
        <f>'1 datos preparados'!D465</f>
        <v/>
      </c>
      <c r="F472" s="7">
        <f>'1 datos preparados'!E465</f>
        <v/>
      </c>
      <c r="G472" s="7">
        <f>'1 datos preparados'!F465</f>
        <v/>
      </c>
      <c r="H472" s="7">
        <f>'1 datos preparados'!G465</f>
        <v/>
      </c>
      <c r="I472" s="7">
        <f>'1 datos preparados'!H465</f>
        <v/>
      </c>
      <c r="J472" s="7">
        <f>'1 datos preparados'!I465</f>
        <v/>
      </c>
      <c r="K472" s="7">
        <f>'1 datos preparados'!J465</f>
        <v/>
      </c>
      <c r="L472" s="7">
        <f>'1 datos preparados'!K465</f>
        <v/>
      </c>
      <c r="M472" s="7">
        <f>'1 datos preparados'!L465</f>
        <v/>
      </c>
      <c r="N472" s="7">
        <f>'1 datos preparados'!M465</f>
        <v/>
      </c>
      <c r="O472" s="7">
        <f>'1 datos preparados'!N465</f>
        <v/>
      </c>
      <c r="P472" s="7">
        <f>'1 datos preparados'!O465</f>
        <v/>
      </c>
      <c r="Q472" s="7">
        <f>'1 datos preparados'!P465</f>
        <v/>
      </c>
      <c r="R472" s="7">
        <f>'1 datos preparados'!Q465</f>
        <v/>
      </c>
      <c r="S472" s="7">
        <f>'1 datos preparados'!R465</f>
        <v/>
      </c>
      <c r="T472" s="7">
        <f>'1 datos preparados'!S465</f>
        <v/>
      </c>
      <c r="U472" s="7">
        <f>'1 datos preparados'!T465</f>
        <v/>
      </c>
      <c r="V472" s="8">
        <f>$AC$12+D472*$AC$13+E472*$AC$14+F472*$AC$15+G472*$AC$16+H472*$AC$17+I472*$AC$18+J472*$AC$19+K472*$AC$20+L472*$AC$21+M472*$AC$22+N472*$AC$23+O472*$AC$24+P472*$AC$25+Q472*$AC$26+R472*$AC$27+S472*$AC$28+T472*$AC$29+U472*$AC$30</f>
        <v/>
      </c>
      <c r="W472" s="8">
        <f>1/(1+EXP(-V472))</f>
        <v/>
      </c>
      <c r="X472" s="9">
        <f>-IF(C472=1,LN(W472),LN(1-W472))</f>
        <v/>
      </c>
      <c r="Y472" s="10">
        <f>IF(W472&gt;$AC$34,1,0)</f>
        <v/>
      </c>
      <c r="Z472">
        <f>IF(Y472=C472,1,0)</f>
        <v/>
      </c>
    </row>
    <row r="473">
      <c r="A473">
        <f>'1 datos preparados'!A466</f>
        <v/>
      </c>
      <c r="B473" s="5">
        <f>'1 datos preparados'!U466</f>
        <v/>
      </c>
      <c r="C473">
        <f>'1 datos preparados'!B466</f>
        <v/>
      </c>
      <c r="D473" s="7">
        <f>'1 datos preparados'!C466</f>
        <v/>
      </c>
      <c r="E473" s="7">
        <f>'1 datos preparados'!D466</f>
        <v/>
      </c>
      <c r="F473" s="7">
        <f>'1 datos preparados'!E466</f>
        <v/>
      </c>
      <c r="G473" s="7">
        <f>'1 datos preparados'!F466</f>
        <v/>
      </c>
      <c r="H473" s="7">
        <f>'1 datos preparados'!G466</f>
        <v/>
      </c>
      <c r="I473" s="7">
        <f>'1 datos preparados'!H466</f>
        <v/>
      </c>
      <c r="J473" s="7">
        <f>'1 datos preparados'!I466</f>
        <v/>
      </c>
      <c r="K473" s="7">
        <f>'1 datos preparados'!J466</f>
        <v/>
      </c>
      <c r="L473" s="7">
        <f>'1 datos preparados'!K466</f>
        <v/>
      </c>
      <c r="M473" s="7">
        <f>'1 datos preparados'!L466</f>
        <v/>
      </c>
      <c r="N473" s="7">
        <f>'1 datos preparados'!M466</f>
        <v/>
      </c>
      <c r="O473" s="7">
        <f>'1 datos preparados'!N466</f>
        <v/>
      </c>
      <c r="P473" s="7">
        <f>'1 datos preparados'!O466</f>
        <v/>
      </c>
      <c r="Q473" s="7">
        <f>'1 datos preparados'!P466</f>
        <v/>
      </c>
      <c r="R473" s="7">
        <f>'1 datos preparados'!Q466</f>
        <v/>
      </c>
      <c r="S473" s="7">
        <f>'1 datos preparados'!R466</f>
        <v/>
      </c>
      <c r="T473" s="7">
        <f>'1 datos preparados'!S466</f>
        <v/>
      </c>
      <c r="U473" s="7">
        <f>'1 datos preparados'!T466</f>
        <v/>
      </c>
      <c r="V473" s="8">
        <f>$AC$12+D473*$AC$13+E473*$AC$14+F473*$AC$15+G473*$AC$16+H473*$AC$17+I473*$AC$18+J473*$AC$19+K473*$AC$20+L473*$AC$21+M473*$AC$22+N473*$AC$23+O473*$AC$24+P473*$AC$25+Q473*$AC$26+R473*$AC$27+S473*$AC$28+T473*$AC$29+U473*$AC$30</f>
        <v/>
      </c>
      <c r="W473" s="8">
        <f>1/(1+EXP(-V473))</f>
        <v/>
      </c>
      <c r="X473" s="9">
        <f>-IF(C473=1,LN(W473),LN(1-W473))</f>
        <v/>
      </c>
      <c r="Y473" s="10">
        <f>IF(W473&gt;$AC$34,1,0)</f>
        <v/>
      </c>
      <c r="Z473">
        <f>IF(Y473=C473,1,0)</f>
        <v/>
      </c>
    </row>
    <row r="474">
      <c r="A474">
        <f>'1 datos preparados'!A467</f>
        <v/>
      </c>
      <c r="B474" s="5">
        <f>'1 datos preparados'!U467</f>
        <v/>
      </c>
      <c r="C474">
        <f>'1 datos preparados'!B467</f>
        <v/>
      </c>
      <c r="D474" s="7">
        <f>'1 datos preparados'!C467</f>
        <v/>
      </c>
      <c r="E474" s="7">
        <f>'1 datos preparados'!D467</f>
        <v/>
      </c>
      <c r="F474" s="7">
        <f>'1 datos preparados'!E467</f>
        <v/>
      </c>
      <c r="G474" s="7">
        <f>'1 datos preparados'!F467</f>
        <v/>
      </c>
      <c r="H474" s="7">
        <f>'1 datos preparados'!G467</f>
        <v/>
      </c>
      <c r="I474" s="7">
        <f>'1 datos preparados'!H467</f>
        <v/>
      </c>
      <c r="J474" s="7">
        <f>'1 datos preparados'!I467</f>
        <v/>
      </c>
      <c r="K474" s="7">
        <f>'1 datos preparados'!J467</f>
        <v/>
      </c>
      <c r="L474" s="7">
        <f>'1 datos preparados'!K467</f>
        <v/>
      </c>
      <c r="M474" s="7">
        <f>'1 datos preparados'!L467</f>
        <v/>
      </c>
      <c r="N474" s="7">
        <f>'1 datos preparados'!M467</f>
        <v/>
      </c>
      <c r="O474" s="7">
        <f>'1 datos preparados'!N467</f>
        <v/>
      </c>
      <c r="P474" s="7">
        <f>'1 datos preparados'!O467</f>
        <v/>
      </c>
      <c r="Q474" s="7">
        <f>'1 datos preparados'!P467</f>
        <v/>
      </c>
      <c r="R474" s="7">
        <f>'1 datos preparados'!Q467</f>
        <v/>
      </c>
      <c r="S474" s="7">
        <f>'1 datos preparados'!R467</f>
        <v/>
      </c>
      <c r="T474" s="7">
        <f>'1 datos preparados'!S467</f>
        <v/>
      </c>
      <c r="U474" s="7">
        <f>'1 datos preparados'!T467</f>
        <v/>
      </c>
      <c r="V474" s="8">
        <f>$AC$12+D474*$AC$13+E474*$AC$14+F474*$AC$15+G474*$AC$16+H474*$AC$17+I474*$AC$18+J474*$AC$19+K474*$AC$20+L474*$AC$21+M474*$AC$22+N474*$AC$23+O474*$AC$24+P474*$AC$25+Q474*$AC$26+R474*$AC$27+S474*$AC$28+T474*$AC$29+U474*$AC$30</f>
        <v/>
      </c>
      <c r="W474" s="8">
        <f>1/(1+EXP(-V474))</f>
        <v/>
      </c>
      <c r="X474" s="9">
        <f>-IF(C474=1,LN(W474),LN(1-W474))</f>
        <v/>
      </c>
      <c r="Y474" s="10">
        <f>IF(W474&gt;$AC$34,1,0)</f>
        <v/>
      </c>
      <c r="Z474">
        <f>IF(Y474=C474,1,0)</f>
        <v/>
      </c>
    </row>
    <row r="475">
      <c r="A475">
        <f>'1 datos preparados'!A468</f>
        <v/>
      </c>
      <c r="B475" s="5">
        <f>'1 datos preparados'!U468</f>
        <v/>
      </c>
      <c r="C475">
        <f>'1 datos preparados'!B468</f>
        <v/>
      </c>
      <c r="D475" s="7">
        <f>'1 datos preparados'!C468</f>
        <v/>
      </c>
      <c r="E475" s="7">
        <f>'1 datos preparados'!D468</f>
        <v/>
      </c>
      <c r="F475" s="7">
        <f>'1 datos preparados'!E468</f>
        <v/>
      </c>
      <c r="G475" s="7">
        <f>'1 datos preparados'!F468</f>
        <v/>
      </c>
      <c r="H475" s="7">
        <f>'1 datos preparados'!G468</f>
        <v/>
      </c>
      <c r="I475" s="7">
        <f>'1 datos preparados'!H468</f>
        <v/>
      </c>
      <c r="J475" s="7">
        <f>'1 datos preparados'!I468</f>
        <v/>
      </c>
      <c r="K475" s="7">
        <f>'1 datos preparados'!J468</f>
        <v/>
      </c>
      <c r="L475" s="7">
        <f>'1 datos preparados'!K468</f>
        <v/>
      </c>
      <c r="M475" s="7">
        <f>'1 datos preparados'!L468</f>
        <v/>
      </c>
      <c r="N475" s="7">
        <f>'1 datos preparados'!M468</f>
        <v/>
      </c>
      <c r="O475" s="7">
        <f>'1 datos preparados'!N468</f>
        <v/>
      </c>
      <c r="P475" s="7">
        <f>'1 datos preparados'!O468</f>
        <v/>
      </c>
      <c r="Q475" s="7">
        <f>'1 datos preparados'!P468</f>
        <v/>
      </c>
      <c r="R475" s="7">
        <f>'1 datos preparados'!Q468</f>
        <v/>
      </c>
      <c r="S475" s="7">
        <f>'1 datos preparados'!R468</f>
        <v/>
      </c>
      <c r="T475" s="7">
        <f>'1 datos preparados'!S468</f>
        <v/>
      </c>
      <c r="U475" s="7">
        <f>'1 datos preparados'!T468</f>
        <v/>
      </c>
      <c r="V475" s="8">
        <f>$AC$12+D475*$AC$13+E475*$AC$14+F475*$AC$15+G475*$AC$16+H475*$AC$17+I475*$AC$18+J475*$AC$19+K475*$AC$20+L475*$AC$21+M475*$AC$22+N475*$AC$23+O475*$AC$24+P475*$AC$25+Q475*$AC$26+R475*$AC$27+S475*$AC$28+T475*$AC$29+U475*$AC$30</f>
        <v/>
      </c>
      <c r="W475" s="8">
        <f>1/(1+EXP(-V475))</f>
        <v/>
      </c>
      <c r="X475" s="9">
        <f>-IF(C475=1,LN(W475),LN(1-W475))</f>
        <v/>
      </c>
      <c r="Y475" s="10">
        <f>IF(W475&gt;$AC$34,1,0)</f>
        <v/>
      </c>
      <c r="Z475">
        <f>IF(Y475=C475,1,0)</f>
        <v/>
      </c>
    </row>
    <row r="476">
      <c r="A476">
        <f>'1 datos preparados'!A469</f>
        <v/>
      </c>
      <c r="B476" s="5">
        <f>'1 datos preparados'!U469</f>
        <v/>
      </c>
      <c r="C476">
        <f>'1 datos preparados'!B469</f>
        <v/>
      </c>
      <c r="D476" s="7">
        <f>'1 datos preparados'!C469</f>
        <v/>
      </c>
      <c r="E476" s="7">
        <f>'1 datos preparados'!D469</f>
        <v/>
      </c>
      <c r="F476" s="7">
        <f>'1 datos preparados'!E469</f>
        <v/>
      </c>
      <c r="G476" s="7">
        <f>'1 datos preparados'!F469</f>
        <v/>
      </c>
      <c r="H476" s="7">
        <f>'1 datos preparados'!G469</f>
        <v/>
      </c>
      <c r="I476" s="7">
        <f>'1 datos preparados'!H469</f>
        <v/>
      </c>
      <c r="J476" s="7">
        <f>'1 datos preparados'!I469</f>
        <v/>
      </c>
      <c r="K476" s="7">
        <f>'1 datos preparados'!J469</f>
        <v/>
      </c>
      <c r="L476" s="7">
        <f>'1 datos preparados'!K469</f>
        <v/>
      </c>
      <c r="M476" s="7">
        <f>'1 datos preparados'!L469</f>
        <v/>
      </c>
      <c r="N476" s="7">
        <f>'1 datos preparados'!M469</f>
        <v/>
      </c>
      <c r="O476" s="7">
        <f>'1 datos preparados'!N469</f>
        <v/>
      </c>
      <c r="P476" s="7">
        <f>'1 datos preparados'!O469</f>
        <v/>
      </c>
      <c r="Q476" s="7">
        <f>'1 datos preparados'!P469</f>
        <v/>
      </c>
      <c r="R476" s="7">
        <f>'1 datos preparados'!Q469</f>
        <v/>
      </c>
      <c r="S476" s="7">
        <f>'1 datos preparados'!R469</f>
        <v/>
      </c>
      <c r="T476" s="7">
        <f>'1 datos preparados'!S469</f>
        <v/>
      </c>
      <c r="U476" s="7">
        <f>'1 datos preparados'!T469</f>
        <v/>
      </c>
      <c r="V476" s="8">
        <f>$AC$12+D476*$AC$13+E476*$AC$14+F476*$AC$15+G476*$AC$16+H476*$AC$17+I476*$AC$18+J476*$AC$19+K476*$AC$20+L476*$AC$21+M476*$AC$22+N476*$AC$23+O476*$AC$24+P476*$AC$25+Q476*$AC$26+R476*$AC$27+S476*$AC$28+T476*$AC$29+U476*$AC$30</f>
        <v/>
      </c>
      <c r="W476" s="8">
        <f>1/(1+EXP(-V476))</f>
        <v/>
      </c>
      <c r="X476" s="9">
        <f>-IF(C476=1,LN(W476),LN(1-W476))</f>
        <v/>
      </c>
      <c r="Y476" s="10">
        <f>IF(W476&gt;$AC$34,1,0)</f>
        <v/>
      </c>
      <c r="Z476">
        <f>IF(Y476=C476,1,0)</f>
        <v/>
      </c>
    </row>
    <row r="477">
      <c r="A477">
        <f>'1 datos preparados'!A470</f>
        <v/>
      </c>
      <c r="B477" s="5">
        <f>'1 datos preparados'!U470</f>
        <v/>
      </c>
      <c r="C477">
        <f>'1 datos preparados'!B470</f>
        <v/>
      </c>
      <c r="D477" s="7">
        <f>'1 datos preparados'!C470</f>
        <v/>
      </c>
      <c r="E477" s="7">
        <f>'1 datos preparados'!D470</f>
        <v/>
      </c>
      <c r="F477" s="7">
        <f>'1 datos preparados'!E470</f>
        <v/>
      </c>
      <c r="G477" s="7">
        <f>'1 datos preparados'!F470</f>
        <v/>
      </c>
      <c r="H477" s="7">
        <f>'1 datos preparados'!G470</f>
        <v/>
      </c>
      <c r="I477" s="7">
        <f>'1 datos preparados'!H470</f>
        <v/>
      </c>
      <c r="J477" s="7">
        <f>'1 datos preparados'!I470</f>
        <v/>
      </c>
      <c r="K477" s="7">
        <f>'1 datos preparados'!J470</f>
        <v/>
      </c>
      <c r="L477" s="7">
        <f>'1 datos preparados'!K470</f>
        <v/>
      </c>
      <c r="M477" s="7">
        <f>'1 datos preparados'!L470</f>
        <v/>
      </c>
      <c r="N477" s="7">
        <f>'1 datos preparados'!M470</f>
        <v/>
      </c>
      <c r="O477" s="7">
        <f>'1 datos preparados'!N470</f>
        <v/>
      </c>
      <c r="P477" s="7">
        <f>'1 datos preparados'!O470</f>
        <v/>
      </c>
      <c r="Q477" s="7">
        <f>'1 datos preparados'!P470</f>
        <v/>
      </c>
      <c r="R477" s="7">
        <f>'1 datos preparados'!Q470</f>
        <v/>
      </c>
      <c r="S477" s="7">
        <f>'1 datos preparados'!R470</f>
        <v/>
      </c>
      <c r="T477" s="7">
        <f>'1 datos preparados'!S470</f>
        <v/>
      </c>
      <c r="U477" s="7">
        <f>'1 datos preparados'!T470</f>
        <v/>
      </c>
      <c r="V477" s="8">
        <f>$AC$12+D477*$AC$13+E477*$AC$14+F477*$AC$15+G477*$AC$16+H477*$AC$17+I477*$AC$18+J477*$AC$19+K477*$AC$20+L477*$AC$21+M477*$AC$22+N477*$AC$23+O477*$AC$24+P477*$AC$25+Q477*$AC$26+R477*$AC$27+S477*$AC$28+T477*$AC$29+U477*$AC$30</f>
        <v/>
      </c>
      <c r="W477" s="8">
        <f>1/(1+EXP(-V477))</f>
        <v/>
      </c>
      <c r="X477" s="9">
        <f>-IF(C477=1,LN(W477),LN(1-W477))</f>
        <v/>
      </c>
      <c r="Y477" s="10">
        <f>IF(W477&gt;$AC$34,1,0)</f>
        <v/>
      </c>
      <c r="Z477">
        <f>IF(Y477=C477,1,0)</f>
        <v/>
      </c>
    </row>
    <row r="478">
      <c r="A478">
        <f>'1 datos preparados'!A471</f>
        <v/>
      </c>
      <c r="B478" s="5">
        <f>'1 datos preparados'!U471</f>
        <v/>
      </c>
      <c r="C478">
        <f>'1 datos preparados'!B471</f>
        <v/>
      </c>
      <c r="D478" s="7">
        <f>'1 datos preparados'!C471</f>
        <v/>
      </c>
      <c r="E478" s="7">
        <f>'1 datos preparados'!D471</f>
        <v/>
      </c>
      <c r="F478" s="7">
        <f>'1 datos preparados'!E471</f>
        <v/>
      </c>
      <c r="G478" s="7">
        <f>'1 datos preparados'!F471</f>
        <v/>
      </c>
      <c r="H478" s="7">
        <f>'1 datos preparados'!G471</f>
        <v/>
      </c>
      <c r="I478" s="7">
        <f>'1 datos preparados'!H471</f>
        <v/>
      </c>
      <c r="J478" s="7">
        <f>'1 datos preparados'!I471</f>
        <v/>
      </c>
      <c r="K478" s="7">
        <f>'1 datos preparados'!J471</f>
        <v/>
      </c>
      <c r="L478" s="7">
        <f>'1 datos preparados'!K471</f>
        <v/>
      </c>
      <c r="M478" s="7">
        <f>'1 datos preparados'!L471</f>
        <v/>
      </c>
      <c r="N478" s="7">
        <f>'1 datos preparados'!M471</f>
        <v/>
      </c>
      <c r="O478" s="7">
        <f>'1 datos preparados'!N471</f>
        <v/>
      </c>
      <c r="P478" s="7">
        <f>'1 datos preparados'!O471</f>
        <v/>
      </c>
      <c r="Q478" s="7">
        <f>'1 datos preparados'!P471</f>
        <v/>
      </c>
      <c r="R478" s="7">
        <f>'1 datos preparados'!Q471</f>
        <v/>
      </c>
      <c r="S478" s="7">
        <f>'1 datos preparados'!R471</f>
        <v/>
      </c>
      <c r="T478" s="7">
        <f>'1 datos preparados'!S471</f>
        <v/>
      </c>
      <c r="U478" s="7">
        <f>'1 datos preparados'!T471</f>
        <v/>
      </c>
      <c r="V478" s="8">
        <f>$AC$12+D478*$AC$13+E478*$AC$14+F478*$AC$15+G478*$AC$16+H478*$AC$17+I478*$AC$18+J478*$AC$19+K478*$AC$20+L478*$AC$21+M478*$AC$22+N478*$AC$23+O478*$AC$24+P478*$AC$25+Q478*$AC$26+R478*$AC$27+S478*$AC$28+T478*$AC$29+U478*$AC$30</f>
        <v/>
      </c>
      <c r="W478" s="8">
        <f>1/(1+EXP(-V478))</f>
        <v/>
      </c>
      <c r="X478" s="9">
        <f>-IF(C478=1,LN(W478),LN(1-W478))</f>
        <v/>
      </c>
      <c r="Y478" s="10">
        <f>IF(W478&gt;$AC$34,1,0)</f>
        <v/>
      </c>
      <c r="Z478">
        <f>IF(Y478=C478,1,0)</f>
        <v/>
      </c>
    </row>
    <row r="479">
      <c r="A479">
        <f>'1 datos preparados'!A472</f>
        <v/>
      </c>
      <c r="B479" s="5">
        <f>'1 datos preparados'!U472</f>
        <v/>
      </c>
      <c r="C479">
        <f>'1 datos preparados'!B472</f>
        <v/>
      </c>
      <c r="D479" s="7">
        <f>'1 datos preparados'!C472</f>
        <v/>
      </c>
      <c r="E479" s="7">
        <f>'1 datos preparados'!D472</f>
        <v/>
      </c>
      <c r="F479" s="7">
        <f>'1 datos preparados'!E472</f>
        <v/>
      </c>
      <c r="G479" s="7">
        <f>'1 datos preparados'!F472</f>
        <v/>
      </c>
      <c r="H479" s="7">
        <f>'1 datos preparados'!G472</f>
        <v/>
      </c>
      <c r="I479" s="7">
        <f>'1 datos preparados'!H472</f>
        <v/>
      </c>
      <c r="J479" s="7">
        <f>'1 datos preparados'!I472</f>
        <v/>
      </c>
      <c r="K479" s="7">
        <f>'1 datos preparados'!J472</f>
        <v/>
      </c>
      <c r="L479" s="7">
        <f>'1 datos preparados'!K472</f>
        <v/>
      </c>
      <c r="M479" s="7">
        <f>'1 datos preparados'!L472</f>
        <v/>
      </c>
      <c r="N479" s="7">
        <f>'1 datos preparados'!M472</f>
        <v/>
      </c>
      <c r="O479" s="7">
        <f>'1 datos preparados'!N472</f>
        <v/>
      </c>
      <c r="P479" s="7">
        <f>'1 datos preparados'!O472</f>
        <v/>
      </c>
      <c r="Q479" s="7">
        <f>'1 datos preparados'!P472</f>
        <v/>
      </c>
      <c r="R479" s="7">
        <f>'1 datos preparados'!Q472</f>
        <v/>
      </c>
      <c r="S479" s="7">
        <f>'1 datos preparados'!R472</f>
        <v/>
      </c>
      <c r="T479" s="7">
        <f>'1 datos preparados'!S472</f>
        <v/>
      </c>
      <c r="U479" s="7">
        <f>'1 datos preparados'!T472</f>
        <v/>
      </c>
      <c r="V479" s="8">
        <f>$AC$12+D479*$AC$13+E479*$AC$14+F479*$AC$15+G479*$AC$16+H479*$AC$17+I479*$AC$18+J479*$AC$19+K479*$AC$20+L479*$AC$21+M479*$AC$22+N479*$AC$23+O479*$AC$24+P479*$AC$25+Q479*$AC$26+R479*$AC$27+S479*$AC$28+T479*$AC$29+U479*$AC$30</f>
        <v/>
      </c>
      <c r="W479" s="8">
        <f>1/(1+EXP(-V479))</f>
        <v/>
      </c>
      <c r="X479" s="9">
        <f>-IF(C479=1,LN(W479),LN(1-W479))</f>
        <v/>
      </c>
      <c r="Y479" s="10">
        <f>IF(W479&gt;$AC$34,1,0)</f>
        <v/>
      </c>
      <c r="Z479">
        <f>IF(Y479=C479,1,0)</f>
        <v/>
      </c>
    </row>
    <row r="480">
      <c r="A480">
        <f>'1 datos preparados'!A473</f>
        <v/>
      </c>
      <c r="B480" s="5">
        <f>'1 datos preparados'!U473</f>
        <v/>
      </c>
      <c r="C480">
        <f>'1 datos preparados'!B473</f>
        <v/>
      </c>
      <c r="D480" s="7">
        <f>'1 datos preparados'!C473</f>
        <v/>
      </c>
      <c r="E480" s="7">
        <f>'1 datos preparados'!D473</f>
        <v/>
      </c>
      <c r="F480" s="7">
        <f>'1 datos preparados'!E473</f>
        <v/>
      </c>
      <c r="G480" s="7">
        <f>'1 datos preparados'!F473</f>
        <v/>
      </c>
      <c r="H480" s="7">
        <f>'1 datos preparados'!G473</f>
        <v/>
      </c>
      <c r="I480" s="7">
        <f>'1 datos preparados'!H473</f>
        <v/>
      </c>
      <c r="J480" s="7">
        <f>'1 datos preparados'!I473</f>
        <v/>
      </c>
      <c r="K480" s="7">
        <f>'1 datos preparados'!J473</f>
        <v/>
      </c>
      <c r="L480" s="7">
        <f>'1 datos preparados'!K473</f>
        <v/>
      </c>
      <c r="M480" s="7">
        <f>'1 datos preparados'!L473</f>
        <v/>
      </c>
      <c r="N480" s="7">
        <f>'1 datos preparados'!M473</f>
        <v/>
      </c>
      <c r="O480" s="7">
        <f>'1 datos preparados'!N473</f>
        <v/>
      </c>
      <c r="P480" s="7">
        <f>'1 datos preparados'!O473</f>
        <v/>
      </c>
      <c r="Q480" s="7">
        <f>'1 datos preparados'!P473</f>
        <v/>
      </c>
      <c r="R480" s="7">
        <f>'1 datos preparados'!Q473</f>
        <v/>
      </c>
      <c r="S480" s="7">
        <f>'1 datos preparados'!R473</f>
        <v/>
      </c>
      <c r="T480" s="7">
        <f>'1 datos preparados'!S473</f>
        <v/>
      </c>
      <c r="U480" s="7">
        <f>'1 datos preparados'!T473</f>
        <v/>
      </c>
      <c r="V480" s="8">
        <f>$AC$12+D480*$AC$13+E480*$AC$14+F480*$AC$15+G480*$AC$16+H480*$AC$17+I480*$AC$18+J480*$AC$19+K480*$AC$20+L480*$AC$21+M480*$AC$22+N480*$AC$23+O480*$AC$24+P480*$AC$25+Q480*$AC$26+R480*$AC$27+S480*$AC$28+T480*$AC$29+U480*$AC$30</f>
        <v/>
      </c>
      <c r="W480" s="8">
        <f>1/(1+EXP(-V480))</f>
        <v/>
      </c>
      <c r="X480" s="9">
        <f>-IF(C480=1,LN(W480),LN(1-W480))</f>
        <v/>
      </c>
      <c r="Y480" s="10">
        <f>IF(W480&gt;$AC$34,1,0)</f>
        <v/>
      </c>
      <c r="Z480">
        <f>IF(Y480=C480,1,0)</f>
        <v/>
      </c>
    </row>
    <row r="481">
      <c r="A481">
        <f>'1 datos preparados'!A474</f>
        <v/>
      </c>
      <c r="B481" s="5">
        <f>'1 datos preparados'!U474</f>
        <v/>
      </c>
      <c r="C481">
        <f>'1 datos preparados'!B474</f>
        <v/>
      </c>
      <c r="D481" s="7">
        <f>'1 datos preparados'!C474</f>
        <v/>
      </c>
      <c r="E481" s="7">
        <f>'1 datos preparados'!D474</f>
        <v/>
      </c>
      <c r="F481" s="7">
        <f>'1 datos preparados'!E474</f>
        <v/>
      </c>
      <c r="G481" s="7">
        <f>'1 datos preparados'!F474</f>
        <v/>
      </c>
      <c r="H481" s="7">
        <f>'1 datos preparados'!G474</f>
        <v/>
      </c>
      <c r="I481" s="7">
        <f>'1 datos preparados'!H474</f>
        <v/>
      </c>
      <c r="J481" s="7">
        <f>'1 datos preparados'!I474</f>
        <v/>
      </c>
      <c r="K481" s="7">
        <f>'1 datos preparados'!J474</f>
        <v/>
      </c>
      <c r="L481" s="7">
        <f>'1 datos preparados'!K474</f>
        <v/>
      </c>
      <c r="M481" s="7">
        <f>'1 datos preparados'!L474</f>
        <v/>
      </c>
      <c r="N481" s="7">
        <f>'1 datos preparados'!M474</f>
        <v/>
      </c>
      <c r="O481" s="7">
        <f>'1 datos preparados'!N474</f>
        <v/>
      </c>
      <c r="P481" s="7">
        <f>'1 datos preparados'!O474</f>
        <v/>
      </c>
      <c r="Q481" s="7">
        <f>'1 datos preparados'!P474</f>
        <v/>
      </c>
      <c r="R481" s="7">
        <f>'1 datos preparados'!Q474</f>
        <v/>
      </c>
      <c r="S481" s="7">
        <f>'1 datos preparados'!R474</f>
        <v/>
      </c>
      <c r="T481" s="7">
        <f>'1 datos preparados'!S474</f>
        <v/>
      </c>
      <c r="U481" s="7">
        <f>'1 datos preparados'!T474</f>
        <v/>
      </c>
      <c r="V481" s="8">
        <f>$AC$12+D481*$AC$13+E481*$AC$14+F481*$AC$15+G481*$AC$16+H481*$AC$17+I481*$AC$18+J481*$AC$19+K481*$AC$20+L481*$AC$21+M481*$AC$22+N481*$AC$23+O481*$AC$24+P481*$AC$25+Q481*$AC$26+R481*$AC$27+S481*$AC$28+T481*$AC$29+U481*$AC$30</f>
        <v/>
      </c>
      <c r="W481" s="8">
        <f>1/(1+EXP(-V481))</f>
        <v/>
      </c>
      <c r="X481" s="9">
        <f>-IF(C481=1,LN(W481),LN(1-W481))</f>
        <v/>
      </c>
      <c r="Y481" s="10">
        <f>IF(W481&gt;$AC$34,1,0)</f>
        <v/>
      </c>
      <c r="Z481">
        <f>IF(Y481=C481,1,0)</f>
        <v/>
      </c>
    </row>
    <row r="482">
      <c r="A482">
        <f>'1 datos preparados'!A475</f>
        <v/>
      </c>
      <c r="B482" s="5">
        <f>'1 datos preparados'!U475</f>
        <v/>
      </c>
      <c r="C482">
        <f>'1 datos preparados'!B475</f>
        <v/>
      </c>
      <c r="D482" s="7">
        <f>'1 datos preparados'!C475</f>
        <v/>
      </c>
      <c r="E482" s="7">
        <f>'1 datos preparados'!D475</f>
        <v/>
      </c>
      <c r="F482" s="7">
        <f>'1 datos preparados'!E475</f>
        <v/>
      </c>
      <c r="G482" s="7">
        <f>'1 datos preparados'!F475</f>
        <v/>
      </c>
      <c r="H482" s="7">
        <f>'1 datos preparados'!G475</f>
        <v/>
      </c>
      <c r="I482" s="7">
        <f>'1 datos preparados'!H475</f>
        <v/>
      </c>
      <c r="J482" s="7">
        <f>'1 datos preparados'!I475</f>
        <v/>
      </c>
      <c r="K482" s="7">
        <f>'1 datos preparados'!J475</f>
        <v/>
      </c>
      <c r="L482" s="7">
        <f>'1 datos preparados'!K475</f>
        <v/>
      </c>
      <c r="M482" s="7">
        <f>'1 datos preparados'!L475</f>
        <v/>
      </c>
      <c r="N482" s="7">
        <f>'1 datos preparados'!M475</f>
        <v/>
      </c>
      <c r="O482" s="7">
        <f>'1 datos preparados'!N475</f>
        <v/>
      </c>
      <c r="P482" s="7">
        <f>'1 datos preparados'!O475</f>
        <v/>
      </c>
      <c r="Q482" s="7">
        <f>'1 datos preparados'!P475</f>
        <v/>
      </c>
      <c r="R482" s="7">
        <f>'1 datos preparados'!Q475</f>
        <v/>
      </c>
      <c r="S482" s="7">
        <f>'1 datos preparados'!R475</f>
        <v/>
      </c>
      <c r="T482" s="7">
        <f>'1 datos preparados'!S475</f>
        <v/>
      </c>
      <c r="U482" s="7">
        <f>'1 datos preparados'!T475</f>
        <v/>
      </c>
      <c r="V482" s="8">
        <f>$AC$12+D482*$AC$13+E482*$AC$14+F482*$AC$15+G482*$AC$16+H482*$AC$17+I482*$AC$18+J482*$AC$19+K482*$AC$20+L482*$AC$21+M482*$AC$22+N482*$AC$23+O482*$AC$24+P482*$AC$25+Q482*$AC$26+R482*$AC$27+S482*$AC$28+T482*$AC$29+U482*$AC$30</f>
        <v/>
      </c>
      <c r="W482" s="8">
        <f>1/(1+EXP(-V482))</f>
        <v/>
      </c>
      <c r="X482" s="9">
        <f>-IF(C482=1,LN(W482),LN(1-W482))</f>
        <v/>
      </c>
      <c r="Y482" s="10">
        <f>IF(W482&gt;$AC$34,1,0)</f>
        <v/>
      </c>
      <c r="Z482">
        <f>IF(Y482=C482,1,0)</f>
        <v/>
      </c>
    </row>
    <row r="483">
      <c r="A483">
        <f>'1 datos preparados'!A476</f>
        <v/>
      </c>
      <c r="B483" s="5">
        <f>'1 datos preparados'!U476</f>
        <v/>
      </c>
      <c r="C483">
        <f>'1 datos preparados'!B476</f>
        <v/>
      </c>
      <c r="D483" s="7">
        <f>'1 datos preparados'!C476</f>
        <v/>
      </c>
      <c r="E483" s="7">
        <f>'1 datos preparados'!D476</f>
        <v/>
      </c>
      <c r="F483" s="7">
        <f>'1 datos preparados'!E476</f>
        <v/>
      </c>
      <c r="G483" s="7">
        <f>'1 datos preparados'!F476</f>
        <v/>
      </c>
      <c r="H483" s="7">
        <f>'1 datos preparados'!G476</f>
        <v/>
      </c>
      <c r="I483" s="7">
        <f>'1 datos preparados'!H476</f>
        <v/>
      </c>
      <c r="J483" s="7">
        <f>'1 datos preparados'!I476</f>
        <v/>
      </c>
      <c r="K483" s="7">
        <f>'1 datos preparados'!J476</f>
        <v/>
      </c>
      <c r="L483" s="7">
        <f>'1 datos preparados'!K476</f>
        <v/>
      </c>
      <c r="M483" s="7">
        <f>'1 datos preparados'!L476</f>
        <v/>
      </c>
      <c r="N483" s="7">
        <f>'1 datos preparados'!M476</f>
        <v/>
      </c>
      <c r="O483" s="7">
        <f>'1 datos preparados'!N476</f>
        <v/>
      </c>
      <c r="P483" s="7">
        <f>'1 datos preparados'!O476</f>
        <v/>
      </c>
      <c r="Q483" s="7">
        <f>'1 datos preparados'!P476</f>
        <v/>
      </c>
      <c r="R483" s="7">
        <f>'1 datos preparados'!Q476</f>
        <v/>
      </c>
      <c r="S483" s="7">
        <f>'1 datos preparados'!R476</f>
        <v/>
      </c>
      <c r="T483" s="7">
        <f>'1 datos preparados'!S476</f>
        <v/>
      </c>
      <c r="U483" s="7">
        <f>'1 datos preparados'!T476</f>
        <v/>
      </c>
      <c r="V483" s="8">
        <f>$AC$12+D483*$AC$13+E483*$AC$14+F483*$AC$15+G483*$AC$16+H483*$AC$17+I483*$AC$18+J483*$AC$19+K483*$AC$20+L483*$AC$21+M483*$AC$22+N483*$AC$23+O483*$AC$24+P483*$AC$25+Q483*$AC$26+R483*$AC$27+S483*$AC$28+T483*$AC$29+U483*$AC$30</f>
        <v/>
      </c>
      <c r="W483" s="8">
        <f>1/(1+EXP(-V483))</f>
        <v/>
      </c>
      <c r="X483" s="9">
        <f>-IF(C483=1,LN(W483),LN(1-W483))</f>
        <v/>
      </c>
      <c r="Y483" s="10">
        <f>IF(W483&gt;$AC$34,1,0)</f>
        <v/>
      </c>
      <c r="Z483">
        <f>IF(Y483=C483,1,0)</f>
        <v/>
      </c>
    </row>
    <row r="484">
      <c r="A484">
        <f>'1 datos preparados'!A477</f>
        <v/>
      </c>
      <c r="B484" s="5">
        <f>'1 datos preparados'!U477</f>
        <v/>
      </c>
      <c r="C484">
        <f>'1 datos preparados'!B477</f>
        <v/>
      </c>
      <c r="D484" s="7">
        <f>'1 datos preparados'!C477</f>
        <v/>
      </c>
      <c r="E484" s="7">
        <f>'1 datos preparados'!D477</f>
        <v/>
      </c>
      <c r="F484" s="7">
        <f>'1 datos preparados'!E477</f>
        <v/>
      </c>
      <c r="G484" s="7">
        <f>'1 datos preparados'!F477</f>
        <v/>
      </c>
      <c r="H484" s="7">
        <f>'1 datos preparados'!G477</f>
        <v/>
      </c>
      <c r="I484" s="7">
        <f>'1 datos preparados'!H477</f>
        <v/>
      </c>
      <c r="J484" s="7">
        <f>'1 datos preparados'!I477</f>
        <v/>
      </c>
      <c r="K484" s="7">
        <f>'1 datos preparados'!J477</f>
        <v/>
      </c>
      <c r="L484" s="7">
        <f>'1 datos preparados'!K477</f>
        <v/>
      </c>
      <c r="M484" s="7">
        <f>'1 datos preparados'!L477</f>
        <v/>
      </c>
      <c r="N484" s="7">
        <f>'1 datos preparados'!M477</f>
        <v/>
      </c>
      <c r="O484" s="7">
        <f>'1 datos preparados'!N477</f>
        <v/>
      </c>
      <c r="P484" s="7">
        <f>'1 datos preparados'!O477</f>
        <v/>
      </c>
      <c r="Q484" s="7">
        <f>'1 datos preparados'!P477</f>
        <v/>
      </c>
      <c r="R484" s="7">
        <f>'1 datos preparados'!Q477</f>
        <v/>
      </c>
      <c r="S484" s="7">
        <f>'1 datos preparados'!R477</f>
        <v/>
      </c>
      <c r="T484" s="7">
        <f>'1 datos preparados'!S477</f>
        <v/>
      </c>
      <c r="U484" s="7">
        <f>'1 datos preparados'!T477</f>
        <v/>
      </c>
      <c r="V484" s="8">
        <f>$AC$12+D484*$AC$13+E484*$AC$14+F484*$AC$15+G484*$AC$16+H484*$AC$17+I484*$AC$18+J484*$AC$19+K484*$AC$20+L484*$AC$21+M484*$AC$22+N484*$AC$23+O484*$AC$24+P484*$AC$25+Q484*$AC$26+R484*$AC$27+S484*$AC$28+T484*$AC$29+U484*$AC$30</f>
        <v/>
      </c>
      <c r="W484" s="8">
        <f>1/(1+EXP(-V484))</f>
        <v/>
      </c>
      <c r="X484" s="9">
        <f>-IF(C484=1,LN(W484),LN(1-W484))</f>
        <v/>
      </c>
      <c r="Y484" s="10">
        <f>IF(W484&gt;$AC$34,1,0)</f>
        <v/>
      </c>
      <c r="Z484">
        <f>IF(Y484=C484,1,0)</f>
        <v/>
      </c>
    </row>
    <row r="485">
      <c r="A485">
        <f>'1 datos preparados'!A478</f>
        <v/>
      </c>
      <c r="B485" s="5">
        <f>'1 datos preparados'!U478</f>
        <v/>
      </c>
      <c r="C485">
        <f>'1 datos preparados'!B478</f>
        <v/>
      </c>
      <c r="D485" s="7">
        <f>'1 datos preparados'!C478</f>
        <v/>
      </c>
      <c r="E485" s="7">
        <f>'1 datos preparados'!D478</f>
        <v/>
      </c>
      <c r="F485" s="7">
        <f>'1 datos preparados'!E478</f>
        <v/>
      </c>
      <c r="G485" s="7">
        <f>'1 datos preparados'!F478</f>
        <v/>
      </c>
      <c r="H485" s="7">
        <f>'1 datos preparados'!G478</f>
        <v/>
      </c>
      <c r="I485" s="7">
        <f>'1 datos preparados'!H478</f>
        <v/>
      </c>
      <c r="J485" s="7">
        <f>'1 datos preparados'!I478</f>
        <v/>
      </c>
      <c r="K485" s="7">
        <f>'1 datos preparados'!J478</f>
        <v/>
      </c>
      <c r="L485" s="7">
        <f>'1 datos preparados'!K478</f>
        <v/>
      </c>
      <c r="M485" s="7">
        <f>'1 datos preparados'!L478</f>
        <v/>
      </c>
      <c r="N485" s="7">
        <f>'1 datos preparados'!M478</f>
        <v/>
      </c>
      <c r="O485" s="7">
        <f>'1 datos preparados'!N478</f>
        <v/>
      </c>
      <c r="P485" s="7">
        <f>'1 datos preparados'!O478</f>
        <v/>
      </c>
      <c r="Q485" s="7">
        <f>'1 datos preparados'!P478</f>
        <v/>
      </c>
      <c r="R485" s="7">
        <f>'1 datos preparados'!Q478</f>
        <v/>
      </c>
      <c r="S485" s="7">
        <f>'1 datos preparados'!R478</f>
        <v/>
      </c>
      <c r="T485" s="7">
        <f>'1 datos preparados'!S478</f>
        <v/>
      </c>
      <c r="U485" s="7">
        <f>'1 datos preparados'!T478</f>
        <v/>
      </c>
      <c r="V485" s="8">
        <f>$AC$12+D485*$AC$13+E485*$AC$14+F485*$AC$15+G485*$AC$16+H485*$AC$17+I485*$AC$18+J485*$AC$19+K485*$AC$20+L485*$AC$21+M485*$AC$22+N485*$AC$23+O485*$AC$24+P485*$AC$25+Q485*$AC$26+R485*$AC$27+S485*$AC$28+T485*$AC$29+U485*$AC$30</f>
        <v/>
      </c>
      <c r="W485" s="8">
        <f>1/(1+EXP(-V485))</f>
        <v/>
      </c>
      <c r="X485" s="9">
        <f>-IF(C485=1,LN(W485),LN(1-W485))</f>
        <v/>
      </c>
      <c r="Y485" s="10">
        <f>IF(W485&gt;$AC$34,1,0)</f>
        <v/>
      </c>
      <c r="Z485">
        <f>IF(Y485=C485,1,0)</f>
        <v/>
      </c>
    </row>
    <row r="486">
      <c r="A486">
        <f>'1 datos preparados'!A479</f>
        <v/>
      </c>
      <c r="B486" s="5">
        <f>'1 datos preparados'!U479</f>
        <v/>
      </c>
      <c r="C486">
        <f>'1 datos preparados'!B479</f>
        <v/>
      </c>
      <c r="D486" s="7">
        <f>'1 datos preparados'!C479</f>
        <v/>
      </c>
      <c r="E486" s="7">
        <f>'1 datos preparados'!D479</f>
        <v/>
      </c>
      <c r="F486" s="7">
        <f>'1 datos preparados'!E479</f>
        <v/>
      </c>
      <c r="G486" s="7">
        <f>'1 datos preparados'!F479</f>
        <v/>
      </c>
      <c r="H486" s="7">
        <f>'1 datos preparados'!G479</f>
        <v/>
      </c>
      <c r="I486" s="7">
        <f>'1 datos preparados'!H479</f>
        <v/>
      </c>
      <c r="J486" s="7">
        <f>'1 datos preparados'!I479</f>
        <v/>
      </c>
      <c r="K486" s="7">
        <f>'1 datos preparados'!J479</f>
        <v/>
      </c>
      <c r="L486" s="7">
        <f>'1 datos preparados'!K479</f>
        <v/>
      </c>
      <c r="M486" s="7">
        <f>'1 datos preparados'!L479</f>
        <v/>
      </c>
      <c r="N486" s="7">
        <f>'1 datos preparados'!M479</f>
        <v/>
      </c>
      <c r="O486" s="7">
        <f>'1 datos preparados'!N479</f>
        <v/>
      </c>
      <c r="P486" s="7">
        <f>'1 datos preparados'!O479</f>
        <v/>
      </c>
      <c r="Q486" s="7">
        <f>'1 datos preparados'!P479</f>
        <v/>
      </c>
      <c r="R486" s="7">
        <f>'1 datos preparados'!Q479</f>
        <v/>
      </c>
      <c r="S486" s="7">
        <f>'1 datos preparados'!R479</f>
        <v/>
      </c>
      <c r="T486" s="7">
        <f>'1 datos preparados'!S479</f>
        <v/>
      </c>
      <c r="U486" s="7">
        <f>'1 datos preparados'!T479</f>
        <v/>
      </c>
      <c r="V486" s="8">
        <f>$AC$12+D486*$AC$13+E486*$AC$14+F486*$AC$15+G486*$AC$16+H486*$AC$17+I486*$AC$18+J486*$AC$19+K486*$AC$20+L486*$AC$21+M486*$AC$22+N486*$AC$23+O486*$AC$24+P486*$AC$25+Q486*$AC$26+R486*$AC$27+S486*$AC$28+T486*$AC$29+U486*$AC$30</f>
        <v/>
      </c>
      <c r="W486" s="8">
        <f>1/(1+EXP(-V486))</f>
        <v/>
      </c>
      <c r="X486" s="9">
        <f>-IF(C486=1,LN(W486),LN(1-W486))</f>
        <v/>
      </c>
      <c r="Y486" s="10">
        <f>IF(W486&gt;$AC$34,1,0)</f>
        <v/>
      </c>
      <c r="Z486">
        <f>IF(Y486=C486,1,0)</f>
        <v/>
      </c>
    </row>
    <row r="487">
      <c r="A487">
        <f>'1 datos preparados'!A480</f>
        <v/>
      </c>
      <c r="B487" s="5">
        <f>'1 datos preparados'!U480</f>
        <v/>
      </c>
      <c r="C487">
        <f>'1 datos preparados'!B480</f>
        <v/>
      </c>
      <c r="D487" s="7">
        <f>'1 datos preparados'!C480</f>
        <v/>
      </c>
      <c r="E487" s="7">
        <f>'1 datos preparados'!D480</f>
        <v/>
      </c>
      <c r="F487" s="7">
        <f>'1 datos preparados'!E480</f>
        <v/>
      </c>
      <c r="G487" s="7">
        <f>'1 datos preparados'!F480</f>
        <v/>
      </c>
      <c r="H487" s="7">
        <f>'1 datos preparados'!G480</f>
        <v/>
      </c>
      <c r="I487" s="7">
        <f>'1 datos preparados'!H480</f>
        <v/>
      </c>
      <c r="J487" s="7">
        <f>'1 datos preparados'!I480</f>
        <v/>
      </c>
      <c r="K487" s="7">
        <f>'1 datos preparados'!J480</f>
        <v/>
      </c>
      <c r="L487" s="7">
        <f>'1 datos preparados'!K480</f>
        <v/>
      </c>
      <c r="M487" s="7">
        <f>'1 datos preparados'!L480</f>
        <v/>
      </c>
      <c r="N487" s="7">
        <f>'1 datos preparados'!M480</f>
        <v/>
      </c>
      <c r="O487" s="7">
        <f>'1 datos preparados'!N480</f>
        <v/>
      </c>
      <c r="P487" s="7">
        <f>'1 datos preparados'!O480</f>
        <v/>
      </c>
      <c r="Q487" s="7">
        <f>'1 datos preparados'!P480</f>
        <v/>
      </c>
      <c r="R487" s="7">
        <f>'1 datos preparados'!Q480</f>
        <v/>
      </c>
      <c r="S487" s="7">
        <f>'1 datos preparados'!R480</f>
        <v/>
      </c>
      <c r="T487" s="7">
        <f>'1 datos preparados'!S480</f>
        <v/>
      </c>
      <c r="U487" s="7">
        <f>'1 datos preparados'!T480</f>
        <v/>
      </c>
      <c r="V487" s="8">
        <f>$AC$12+D487*$AC$13+E487*$AC$14+F487*$AC$15+G487*$AC$16+H487*$AC$17+I487*$AC$18+J487*$AC$19+K487*$AC$20+L487*$AC$21+M487*$AC$22+N487*$AC$23+O487*$AC$24+P487*$AC$25+Q487*$AC$26+R487*$AC$27+S487*$AC$28+T487*$AC$29+U487*$AC$30</f>
        <v/>
      </c>
      <c r="W487" s="8">
        <f>1/(1+EXP(-V487))</f>
        <v/>
      </c>
      <c r="X487" s="9">
        <f>-IF(C487=1,LN(W487),LN(1-W487))</f>
        <v/>
      </c>
      <c r="Y487" s="10">
        <f>IF(W487&gt;$AC$34,1,0)</f>
        <v/>
      </c>
      <c r="Z487">
        <f>IF(Y487=C487,1,0)</f>
        <v/>
      </c>
    </row>
    <row r="488">
      <c r="A488">
        <f>'1 datos preparados'!A481</f>
        <v/>
      </c>
      <c r="B488" s="5">
        <f>'1 datos preparados'!U481</f>
        <v/>
      </c>
      <c r="C488">
        <f>'1 datos preparados'!B481</f>
        <v/>
      </c>
      <c r="D488" s="7">
        <f>'1 datos preparados'!C481</f>
        <v/>
      </c>
      <c r="E488" s="7">
        <f>'1 datos preparados'!D481</f>
        <v/>
      </c>
      <c r="F488" s="7">
        <f>'1 datos preparados'!E481</f>
        <v/>
      </c>
      <c r="G488" s="7">
        <f>'1 datos preparados'!F481</f>
        <v/>
      </c>
      <c r="H488" s="7">
        <f>'1 datos preparados'!G481</f>
        <v/>
      </c>
      <c r="I488" s="7">
        <f>'1 datos preparados'!H481</f>
        <v/>
      </c>
      <c r="J488" s="7">
        <f>'1 datos preparados'!I481</f>
        <v/>
      </c>
      <c r="K488" s="7">
        <f>'1 datos preparados'!J481</f>
        <v/>
      </c>
      <c r="L488" s="7">
        <f>'1 datos preparados'!K481</f>
        <v/>
      </c>
      <c r="M488" s="7">
        <f>'1 datos preparados'!L481</f>
        <v/>
      </c>
      <c r="N488" s="7">
        <f>'1 datos preparados'!M481</f>
        <v/>
      </c>
      <c r="O488" s="7">
        <f>'1 datos preparados'!N481</f>
        <v/>
      </c>
      <c r="P488" s="7">
        <f>'1 datos preparados'!O481</f>
        <v/>
      </c>
      <c r="Q488" s="7">
        <f>'1 datos preparados'!P481</f>
        <v/>
      </c>
      <c r="R488" s="7">
        <f>'1 datos preparados'!Q481</f>
        <v/>
      </c>
      <c r="S488" s="7">
        <f>'1 datos preparados'!R481</f>
        <v/>
      </c>
      <c r="T488" s="7">
        <f>'1 datos preparados'!S481</f>
        <v/>
      </c>
      <c r="U488" s="7">
        <f>'1 datos preparados'!T481</f>
        <v/>
      </c>
      <c r="V488" s="8">
        <f>$AC$12+D488*$AC$13+E488*$AC$14+F488*$AC$15+G488*$AC$16+H488*$AC$17+I488*$AC$18+J488*$AC$19+K488*$AC$20+L488*$AC$21+M488*$AC$22+N488*$AC$23+O488*$AC$24+P488*$AC$25+Q488*$AC$26+R488*$AC$27+S488*$AC$28+T488*$AC$29+U488*$AC$30</f>
        <v/>
      </c>
      <c r="W488" s="8">
        <f>1/(1+EXP(-V488))</f>
        <v/>
      </c>
      <c r="X488" s="9">
        <f>-IF(C488=1,LN(W488),LN(1-W488))</f>
        <v/>
      </c>
      <c r="Y488" s="10">
        <f>IF(W488&gt;$AC$34,1,0)</f>
        <v/>
      </c>
      <c r="Z488">
        <f>IF(Y488=C488,1,0)</f>
        <v/>
      </c>
    </row>
    <row r="489">
      <c r="A489">
        <f>'1 datos preparados'!A482</f>
        <v/>
      </c>
      <c r="B489" s="5">
        <f>'1 datos preparados'!U482</f>
        <v/>
      </c>
      <c r="C489">
        <f>'1 datos preparados'!B482</f>
        <v/>
      </c>
      <c r="D489" s="7">
        <f>'1 datos preparados'!C482</f>
        <v/>
      </c>
      <c r="E489" s="7">
        <f>'1 datos preparados'!D482</f>
        <v/>
      </c>
      <c r="F489" s="7">
        <f>'1 datos preparados'!E482</f>
        <v/>
      </c>
      <c r="G489" s="7">
        <f>'1 datos preparados'!F482</f>
        <v/>
      </c>
      <c r="H489" s="7">
        <f>'1 datos preparados'!G482</f>
        <v/>
      </c>
      <c r="I489" s="7">
        <f>'1 datos preparados'!H482</f>
        <v/>
      </c>
      <c r="J489" s="7">
        <f>'1 datos preparados'!I482</f>
        <v/>
      </c>
      <c r="K489" s="7">
        <f>'1 datos preparados'!J482</f>
        <v/>
      </c>
      <c r="L489" s="7">
        <f>'1 datos preparados'!K482</f>
        <v/>
      </c>
      <c r="M489" s="7">
        <f>'1 datos preparados'!L482</f>
        <v/>
      </c>
      <c r="N489" s="7">
        <f>'1 datos preparados'!M482</f>
        <v/>
      </c>
      <c r="O489" s="7">
        <f>'1 datos preparados'!N482</f>
        <v/>
      </c>
      <c r="P489" s="7">
        <f>'1 datos preparados'!O482</f>
        <v/>
      </c>
      <c r="Q489" s="7">
        <f>'1 datos preparados'!P482</f>
        <v/>
      </c>
      <c r="R489" s="7">
        <f>'1 datos preparados'!Q482</f>
        <v/>
      </c>
      <c r="S489" s="7">
        <f>'1 datos preparados'!R482</f>
        <v/>
      </c>
      <c r="T489" s="7">
        <f>'1 datos preparados'!S482</f>
        <v/>
      </c>
      <c r="U489" s="7">
        <f>'1 datos preparados'!T482</f>
        <v/>
      </c>
      <c r="V489" s="8">
        <f>$AC$12+D489*$AC$13+E489*$AC$14+F489*$AC$15+G489*$AC$16+H489*$AC$17+I489*$AC$18+J489*$AC$19+K489*$AC$20+L489*$AC$21+M489*$AC$22+N489*$AC$23+O489*$AC$24+P489*$AC$25+Q489*$AC$26+R489*$AC$27+S489*$AC$28+T489*$AC$29+U489*$AC$30</f>
        <v/>
      </c>
      <c r="W489" s="8">
        <f>1/(1+EXP(-V489))</f>
        <v/>
      </c>
      <c r="X489" s="9">
        <f>-IF(C489=1,LN(W489),LN(1-W489))</f>
        <v/>
      </c>
      <c r="Y489" s="10">
        <f>IF(W489&gt;$AC$34,1,0)</f>
        <v/>
      </c>
      <c r="Z489">
        <f>IF(Y489=C489,1,0)</f>
        <v/>
      </c>
    </row>
    <row r="490">
      <c r="A490">
        <f>'1 datos preparados'!A483</f>
        <v/>
      </c>
      <c r="B490" s="5">
        <f>'1 datos preparados'!U483</f>
        <v/>
      </c>
      <c r="C490">
        <f>'1 datos preparados'!B483</f>
        <v/>
      </c>
      <c r="D490" s="7">
        <f>'1 datos preparados'!C483</f>
        <v/>
      </c>
      <c r="E490" s="7">
        <f>'1 datos preparados'!D483</f>
        <v/>
      </c>
      <c r="F490" s="7">
        <f>'1 datos preparados'!E483</f>
        <v/>
      </c>
      <c r="G490" s="7">
        <f>'1 datos preparados'!F483</f>
        <v/>
      </c>
      <c r="H490" s="7">
        <f>'1 datos preparados'!G483</f>
        <v/>
      </c>
      <c r="I490" s="7">
        <f>'1 datos preparados'!H483</f>
        <v/>
      </c>
      <c r="J490" s="7">
        <f>'1 datos preparados'!I483</f>
        <v/>
      </c>
      <c r="K490" s="7">
        <f>'1 datos preparados'!J483</f>
        <v/>
      </c>
      <c r="L490" s="7">
        <f>'1 datos preparados'!K483</f>
        <v/>
      </c>
      <c r="M490" s="7">
        <f>'1 datos preparados'!L483</f>
        <v/>
      </c>
      <c r="N490" s="7">
        <f>'1 datos preparados'!M483</f>
        <v/>
      </c>
      <c r="O490" s="7">
        <f>'1 datos preparados'!N483</f>
        <v/>
      </c>
      <c r="P490" s="7">
        <f>'1 datos preparados'!O483</f>
        <v/>
      </c>
      <c r="Q490" s="7">
        <f>'1 datos preparados'!P483</f>
        <v/>
      </c>
      <c r="R490" s="7">
        <f>'1 datos preparados'!Q483</f>
        <v/>
      </c>
      <c r="S490" s="7">
        <f>'1 datos preparados'!R483</f>
        <v/>
      </c>
      <c r="T490" s="7">
        <f>'1 datos preparados'!S483</f>
        <v/>
      </c>
      <c r="U490" s="7">
        <f>'1 datos preparados'!T483</f>
        <v/>
      </c>
      <c r="V490" s="8">
        <f>$AC$12+D490*$AC$13+E490*$AC$14+F490*$AC$15+G490*$AC$16+H490*$AC$17+I490*$AC$18+J490*$AC$19+K490*$AC$20+L490*$AC$21+M490*$AC$22+N490*$AC$23+O490*$AC$24+P490*$AC$25+Q490*$AC$26+R490*$AC$27+S490*$AC$28+T490*$AC$29+U490*$AC$30</f>
        <v/>
      </c>
      <c r="W490" s="8">
        <f>1/(1+EXP(-V490))</f>
        <v/>
      </c>
      <c r="X490" s="9">
        <f>-IF(C490=1,LN(W490),LN(1-W490))</f>
        <v/>
      </c>
      <c r="Y490" s="10">
        <f>IF(W490&gt;$AC$34,1,0)</f>
        <v/>
      </c>
      <c r="Z490">
        <f>IF(Y490=C490,1,0)</f>
        <v/>
      </c>
    </row>
    <row r="491">
      <c r="A491">
        <f>'1 datos preparados'!A484</f>
        <v/>
      </c>
      <c r="B491" s="5">
        <f>'1 datos preparados'!U484</f>
        <v/>
      </c>
      <c r="C491">
        <f>'1 datos preparados'!B484</f>
        <v/>
      </c>
      <c r="D491" s="7">
        <f>'1 datos preparados'!C484</f>
        <v/>
      </c>
      <c r="E491" s="7">
        <f>'1 datos preparados'!D484</f>
        <v/>
      </c>
      <c r="F491" s="7">
        <f>'1 datos preparados'!E484</f>
        <v/>
      </c>
      <c r="G491" s="7">
        <f>'1 datos preparados'!F484</f>
        <v/>
      </c>
      <c r="H491" s="7">
        <f>'1 datos preparados'!G484</f>
        <v/>
      </c>
      <c r="I491" s="7">
        <f>'1 datos preparados'!H484</f>
        <v/>
      </c>
      <c r="J491" s="7">
        <f>'1 datos preparados'!I484</f>
        <v/>
      </c>
      <c r="K491" s="7">
        <f>'1 datos preparados'!J484</f>
        <v/>
      </c>
      <c r="L491" s="7">
        <f>'1 datos preparados'!K484</f>
        <v/>
      </c>
      <c r="M491" s="7">
        <f>'1 datos preparados'!L484</f>
        <v/>
      </c>
      <c r="N491" s="7">
        <f>'1 datos preparados'!M484</f>
        <v/>
      </c>
      <c r="O491" s="7">
        <f>'1 datos preparados'!N484</f>
        <v/>
      </c>
      <c r="P491" s="7">
        <f>'1 datos preparados'!O484</f>
        <v/>
      </c>
      <c r="Q491" s="7">
        <f>'1 datos preparados'!P484</f>
        <v/>
      </c>
      <c r="R491" s="7">
        <f>'1 datos preparados'!Q484</f>
        <v/>
      </c>
      <c r="S491" s="7">
        <f>'1 datos preparados'!R484</f>
        <v/>
      </c>
      <c r="T491" s="7">
        <f>'1 datos preparados'!S484</f>
        <v/>
      </c>
      <c r="U491" s="7">
        <f>'1 datos preparados'!T484</f>
        <v/>
      </c>
      <c r="V491" s="8">
        <f>$AC$12+D491*$AC$13+E491*$AC$14+F491*$AC$15+G491*$AC$16+H491*$AC$17+I491*$AC$18+J491*$AC$19+K491*$AC$20+L491*$AC$21+M491*$AC$22+N491*$AC$23+O491*$AC$24+P491*$AC$25+Q491*$AC$26+R491*$AC$27+S491*$AC$28+T491*$AC$29+U491*$AC$30</f>
        <v/>
      </c>
      <c r="W491" s="8">
        <f>1/(1+EXP(-V491))</f>
        <v/>
      </c>
      <c r="X491" s="9">
        <f>-IF(C491=1,LN(W491),LN(1-W491))</f>
        <v/>
      </c>
      <c r="Y491" s="10">
        <f>IF(W491&gt;$AC$34,1,0)</f>
        <v/>
      </c>
      <c r="Z491">
        <f>IF(Y491=C491,1,0)</f>
        <v/>
      </c>
    </row>
    <row r="492">
      <c r="A492">
        <f>'1 datos preparados'!A485</f>
        <v/>
      </c>
      <c r="B492" s="5">
        <f>'1 datos preparados'!U485</f>
        <v/>
      </c>
      <c r="C492">
        <f>'1 datos preparados'!B485</f>
        <v/>
      </c>
      <c r="D492" s="7">
        <f>'1 datos preparados'!C485</f>
        <v/>
      </c>
      <c r="E492" s="7">
        <f>'1 datos preparados'!D485</f>
        <v/>
      </c>
      <c r="F492" s="7">
        <f>'1 datos preparados'!E485</f>
        <v/>
      </c>
      <c r="G492" s="7">
        <f>'1 datos preparados'!F485</f>
        <v/>
      </c>
      <c r="H492" s="7">
        <f>'1 datos preparados'!G485</f>
        <v/>
      </c>
      <c r="I492" s="7">
        <f>'1 datos preparados'!H485</f>
        <v/>
      </c>
      <c r="J492" s="7">
        <f>'1 datos preparados'!I485</f>
        <v/>
      </c>
      <c r="K492" s="7">
        <f>'1 datos preparados'!J485</f>
        <v/>
      </c>
      <c r="L492" s="7">
        <f>'1 datos preparados'!K485</f>
        <v/>
      </c>
      <c r="M492" s="7">
        <f>'1 datos preparados'!L485</f>
        <v/>
      </c>
      <c r="N492" s="7">
        <f>'1 datos preparados'!M485</f>
        <v/>
      </c>
      <c r="O492" s="7">
        <f>'1 datos preparados'!N485</f>
        <v/>
      </c>
      <c r="P492" s="7">
        <f>'1 datos preparados'!O485</f>
        <v/>
      </c>
      <c r="Q492" s="7">
        <f>'1 datos preparados'!P485</f>
        <v/>
      </c>
      <c r="R492" s="7">
        <f>'1 datos preparados'!Q485</f>
        <v/>
      </c>
      <c r="S492" s="7">
        <f>'1 datos preparados'!R485</f>
        <v/>
      </c>
      <c r="T492" s="7">
        <f>'1 datos preparados'!S485</f>
        <v/>
      </c>
      <c r="U492" s="7">
        <f>'1 datos preparados'!T485</f>
        <v/>
      </c>
      <c r="V492" s="8">
        <f>$AC$12+D492*$AC$13+E492*$AC$14+F492*$AC$15+G492*$AC$16+H492*$AC$17+I492*$AC$18+J492*$AC$19+K492*$AC$20+L492*$AC$21+M492*$AC$22+N492*$AC$23+O492*$AC$24+P492*$AC$25+Q492*$AC$26+R492*$AC$27+S492*$AC$28+T492*$AC$29+U492*$AC$30</f>
        <v/>
      </c>
      <c r="W492" s="8">
        <f>1/(1+EXP(-V492))</f>
        <v/>
      </c>
      <c r="X492" s="9">
        <f>-IF(C492=1,LN(W492),LN(1-W492))</f>
        <v/>
      </c>
      <c r="Y492" s="10">
        <f>IF(W492&gt;$AC$34,1,0)</f>
        <v/>
      </c>
      <c r="Z492">
        <f>IF(Y492=C492,1,0)</f>
        <v/>
      </c>
    </row>
    <row r="493">
      <c r="A493">
        <f>'1 datos preparados'!A486</f>
        <v/>
      </c>
      <c r="B493" s="5">
        <f>'1 datos preparados'!U486</f>
        <v/>
      </c>
      <c r="C493">
        <f>'1 datos preparados'!B486</f>
        <v/>
      </c>
      <c r="D493" s="7">
        <f>'1 datos preparados'!C486</f>
        <v/>
      </c>
      <c r="E493" s="7">
        <f>'1 datos preparados'!D486</f>
        <v/>
      </c>
      <c r="F493" s="7">
        <f>'1 datos preparados'!E486</f>
        <v/>
      </c>
      <c r="G493" s="7">
        <f>'1 datos preparados'!F486</f>
        <v/>
      </c>
      <c r="H493" s="7">
        <f>'1 datos preparados'!G486</f>
        <v/>
      </c>
      <c r="I493" s="7">
        <f>'1 datos preparados'!H486</f>
        <v/>
      </c>
      <c r="J493" s="7">
        <f>'1 datos preparados'!I486</f>
        <v/>
      </c>
      <c r="K493" s="7">
        <f>'1 datos preparados'!J486</f>
        <v/>
      </c>
      <c r="L493" s="7">
        <f>'1 datos preparados'!K486</f>
        <v/>
      </c>
      <c r="M493" s="7">
        <f>'1 datos preparados'!L486</f>
        <v/>
      </c>
      <c r="N493" s="7">
        <f>'1 datos preparados'!M486</f>
        <v/>
      </c>
      <c r="O493" s="7">
        <f>'1 datos preparados'!N486</f>
        <v/>
      </c>
      <c r="P493" s="7">
        <f>'1 datos preparados'!O486</f>
        <v/>
      </c>
      <c r="Q493" s="7">
        <f>'1 datos preparados'!P486</f>
        <v/>
      </c>
      <c r="R493" s="7">
        <f>'1 datos preparados'!Q486</f>
        <v/>
      </c>
      <c r="S493" s="7">
        <f>'1 datos preparados'!R486</f>
        <v/>
      </c>
      <c r="T493" s="7">
        <f>'1 datos preparados'!S486</f>
        <v/>
      </c>
      <c r="U493" s="7">
        <f>'1 datos preparados'!T486</f>
        <v/>
      </c>
      <c r="V493" s="8">
        <f>$AC$12+D493*$AC$13+E493*$AC$14+F493*$AC$15+G493*$AC$16+H493*$AC$17+I493*$AC$18+J493*$AC$19+K493*$AC$20+L493*$AC$21+M493*$AC$22+N493*$AC$23+O493*$AC$24+P493*$AC$25+Q493*$AC$26+R493*$AC$27+S493*$AC$28+T493*$AC$29+U493*$AC$30</f>
        <v/>
      </c>
      <c r="W493" s="8">
        <f>1/(1+EXP(-V493))</f>
        <v/>
      </c>
      <c r="X493" s="9">
        <f>-IF(C493=1,LN(W493),LN(1-W493))</f>
        <v/>
      </c>
      <c r="Y493" s="10">
        <f>IF(W493&gt;$AC$34,1,0)</f>
        <v/>
      </c>
      <c r="Z493">
        <f>IF(Y493=C493,1,0)</f>
        <v/>
      </c>
    </row>
    <row r="494">
      <c r="A494">
        <f>'1 datos preparados'!A487</f>
        <v/>
      </c>
      <c r="B494" s="5">
        <f>'1 datos preparados'!U487</f>
        <v/>
      </c>
      <c r="C494">
        <f>'1 datos preparados'!B487</f>
        <v/>
      </c>
      <c r="D494" s="7">
        <f>'1 datos preparados'!C487</f>
        <v/>
      </c>
      <c r="E494" s="7">
        <f>'1 datos preparados'!D487</f>
        <v/>
      </c>
      <c r="F494" s="7">
        <f>'1 datos preparados'!E487</f>
        <v/>
      </c>
      <c r="G494" s="7">
        <f>'1 datos preparados'!F487</f>
        <v/>
      </c>
      <c r="H494" s="7">
        <f>'1 datos preparados'!G487</f>
        <v/>
      </c>
      <c r="I494" s="7">
        <f>'1 datos preparados'!H487</f>
        <v/>
      </c>
      <c r="J494" s="7">
        <f>'1 datos preparados'!I487</f>
        <v/>
      </c>
      <c r="K494" s="7">
        <f>'1 datos preparados'!J487</f>
        <v/>
      </c>
      <c r="L494" s="7">
        <f>'1 datos preparados'!K487</f>
        <v/>
      </c>
      <c r="M494" s="7">
        <f>'1 datos preparados'!L487</f>
        <v/>
      </c>
      <c r="N494" s="7">
        <f>'1 datos preparados'!M487</f>
        <v/>
      </c>
      <c r="O494" s="7">
        <f>'1 datos preparados'!N487</f>
        <v/>
      </c>
      <c r="P494" s="7">
        <f>'1 datos preparados'!O487</f>
        <v/>
      </c>
      <c r="Q494" s="7">
        <f>'1 datos preparados'!P487</f>
        <v/>
      </c>
      <c r="R494" s="7">
        <f>'1 datos preparados'!Q487</f>
        <v/>
      </c>
      <c r="S494" s="7">
        <f>'1 datos preparados'!R487</f>
        <v/>
      </c>
      <c r="T494" s="7">
        <f>'1 datos preparados'!S487</f>
        <v/>
      </c>
      <c r="U494" s="7">
        <f>'1 datos preparados'!T487</f>
        <v/>
      </c>
      <c r="V494" s="8">
        <f>$AC$12+D494*$AC$13+E494*$AC$14+F494*$AC$15+G494*$AC$16+H494*$AC$17+I494*$AC$18+J494*$AC$19+K494*$AC$20+L494*$AC$21+M494*$AC$22+N494*$AC$23+O494*$AC$24+P494*$AC$25+Q494*$AC$26+R494*$AC$27+S494*$AC$28+T494*$AC$29+U494*$AC$30</f>
        <v/>
      </c>
      <c r="W494" s="8">
        <f>1/(1+EXP(-V494))</f>
        <v/>
      </c>
      <c r="X494" s="9">
        <f>-IF(C494=1,LN(W494),LN(1-W494))</f>
        <v/>
      </c>
      <c r="Y494" s="10">
        <f>IF(W494&gt;$AC$34,1,0)</f>
        <v/>
      </c>
      <c r="Z494">
        <f>IF(Y494=C494,1,0)</f>
        <v/>
      </c>
    </row>
    <row r="495">
      <c r="A495">
        <f>'1 datos preparados'!A488</f>
        <v/>
      </c>
      <c r="B495" s="5">
        <f>'1 datos preparados'!U488</f>
        <v/>
      </c>
      <c r="C495">
        <f>'1 datos preparados'!B488</f>
        <v/>
      </c>
      <c r="D495" s="7">
        <f>'1 datos preparados'!C488</f>
        <v/>
      </c>
      <c r="E495" s="7">
        <f>'1 datos preparados'!D488</f>
        <v/>
      </c>
      <c r="F495" s="7">
        <f>'1 datos preparados'!E488</f>
        <v/>
      </c>
      <c r="G495" s="7">
        <f>'1 datos preparados'!F488</f>
        <v/>
      </c>
      <c r="H495" s="7">
        <f>'1 datos preparados'!G488</f>
        <v/>
      </c>
      <c r="I495" s="7">
        <f>'1 datos preparados'!H488</f>
        <v/>
      </c>
      <c r="J495" s="7">
        <f>'1 datos preparados'!I488</f>
        <v/>
      </c>
      <c r="K495" s="7">
        <f>'1 datos preparados'!J488</f>
        <v/>
      </c>
      <c r="L495" s="7">
        <f>'1 datos preparados'!K488</f>
        <v/>
      </c>
      <c r="M495" s="7">
        <f>'1 datos preparados'!L488</f>
        <v/>
      </c>
      <c r="N495" s="7">
        <f>'1 datos preparados'!M488</f>
        <v/>
      </c>
      <c r="O495" s="7">
        <f>'1 datos preparados'!N488</f>
        <v/>
      </c>
      <c r="P495" s="7">
        <f>'1 datos preparados'!O488</f>
        <v/>
      </c>
      <c r="Q495" s="7">
        <f>'1 datos preparados'!P488</f>
        <v/>
      </c>
      <c r="R495" s="7">
        <f>'1 datos preparados'!Q488</f>
        <v/>
      </c>
      <c r="S495" s="7">
        <f>'1 datos preparados'!R488</f>
        <v/>
      </c>
      <c r="T495" s="7">
        <f>'1 datos preparados'!S488</f>
        <v/>
      </c>
      <c r="U495" s="7">
        <f>'1 datos preparados'!T488</f>
        <v/>
      </c>
      <c r="V495" s="8">
        <f>$AC$12+D495*$AC$13+E495*$AC$14+F495*$AC$15+G495*$AC$16+H495*$AC$17+I495*$AC$18+J495*$AC$19+K495*$AC$20+L495*$AC$21+M495*$AC$22+N495*$AC$23+O495*$AC$24+P495*$AC$25+Q495*$AC$26+R495*$AC$27+S495*$AC$28+T495*$AC$29+U495*$AC$30</f>
        <v/>
      </c>
      <c r="W495" s="8">
        <f>1/(1+EXP(-V495))</f>
        <v/>
      </c>
      <c r="X495" s="9">
        <f>-IF(C495=1,LN(W495),LN(1-W495))</f>
        <v/>
      </c>
      <c r="Y495" s="10">
        <f>IF(W495&gt;$AC$34,1,0)</f>
        <v/>
      </c>
      <c r="Z495">
        <f>IF(Y495=C495,1,0)</f>
        <v/>
      </c>
    </row>
    <row r="496">
      <c r="A496">
        <f>'1 datos preparados'!A489</f>
        <v/>
      </c>
      <c r="B496" s="5">
        <f>'1 datos preparados'!U489</f>
        <v/>
      </c>
      <c r="C496">
        <f>'1 datos preparados'!B489</f>
        <v/>
      </c>
      <c r="D496" s="7">
        <f>'1 datos preparados'!C489</f>
        <v/>
      </c>
      <c r="E496" s="7">
        <f>'1 datos preparados'!D489</f>
        <v/>
      </c>
      <c r="F496" s="7">
        <f>'1 datos preparados'!E489</f>
        <v/>
      </c>
      <c r="G496" s="7">
        <f>'1 datos preparados'!F489</f>
        <v/>
      </c>
      <c r="H496" s="7">
        <f>'1 datos preparados'!G489</f>
        <v/>
      </c>
      <c r="I496" s="7">
        <f>'1 datos preparados'!H489</f>
        <v/>
      </c>
      <c r="J496" s="7">
        <f>'1 datos preparados'!I489</f>
        <v/>
      </c>
      <c r="K496" s="7">
        <f>'1 datos preparados'!J489</f>
        <v/>
      </c>
      <c r="L496" s="7">
        <f>'1 datos preparados'!K489</f>
        <v/>
      </c>
      <c r="M496" s="7">
        <f>'1 datos preparados'!L489</f>
        <v/>
      </c>
      <c r="N496" s="7">
        <f>'1 datos preparados'!M489</f>
        <v/>
      </c>
      <c r="O496" s="7">
        <f>'1 datos preparados'!N489</f>
        <v/>
      </c>
      <c r="P496" s="7">
        <f>'1 datos preparados'!O489</f>
        <v/>
      </c>
      <c r="Q496" s="7">
        <f>'1 datos preparados'!P489</f>
        <v/>
      </c>
      <c r="R496" s="7">
        <f>'1 datos preparados'!Q489</f>
        <v/>
      </c>
      <c r="S496" s="7">
        <f>'1 datos preparados'!R489</f>
        <v/>
      </c>
      <c r="T496" s="7">
        <f>'1 datos preparados'!S489</f>
        <v/>
      </c>
      <c r="U496" s="7">
        <f>'1 datos preparados'!T489</f>
        <v/>
      </c>
      <c r="V496" s="8">
        <f>$AC$12+D496*$AC$13+E496*$AC$14+F496*$AC$15+G496*$AC$16+H496*$AC$17+I496*$AC$18+J496*$AC$19+K496*$AC$20+L496*$AC$21+M496*$AC$22+N496*$AC$23+O496*$AC$24+P496*$AC$25+Q496*$AC$26+R496*$AC$27+S496*$AC$28+T496*$AC$29+U496*$AC$30</f>
        <v/>
      </c>
      <c r="W496" s="8">
        <f>1/(1+EXP(-V496))</f>
        <v/>
      </c>
      <c r="X496" s="9">
        <f>-IF(C496=1,LN(W496),LN(1-W496))</f>
        <v/>
      </c>
      <c r="Y496" s="10">
        <f>IF(W496&gt;$AC$34,1,0)</f>
        <v/>
      </c>
      <c r="Z496">
        <f>IF(Y496=C496,1,0)</f>
        <v/>
      </c>
    </row>
    <row r="497">
      <c r="A497">
        <f>'1 datos preparados'!A490</f>
        <v/>
      </c>
      <c r="B497" s="5">
        <f>'1 datos preparados'!U490</f>
        <v/>
      </c>
      <c r="C497">
        <f>'1 datos preparados'!B490</f>
        <v/>
      </c>
      <c r="D497" s="7">
        <f>'1 datos preparados'!C490</f>
        <v/>
      </c>
      <c r="E497" s="7">
        <f>'1 datos preparados'!D490</f>
        <v/>
      </c>
      <c r="F497" s="7">
        <f>'1 datos preparados'!E490</f>
        <v/>
      </c>
      <c r="G497" s="7">
        <f>'1 datos preparados'!F490</f>
        <v/>
      </c>
      <c r="H497" s="7">
        <f>'1 datos preparados'!G490</f>
        <v/>
      </c>
      <c r="I497" s="7">
        <f>'1 datos preparados'!H490</f>
        <v/>
      </c>
      <c r="J497" s="7">
        <f>'1 datos preparados'!I490</f>
        <v/>
      </c>
      <c r="K497" s="7">
        <f>'1 datos preparados'!J490</f>
        <v/>
      </c>
      <c r="L497" s="7">
        <f>'1 datos preparados'!K490</f>
        <v/>
      </c>
      <c r="M497" s="7">
        <f>'1 datos preparados'!L490</f>
        <v/>
      </c>
      <c r="N497" s="7">
        <f>'1 datos preparados'!M490</f>
        <v/>
      </c>
      <c r="O497" s="7">
        <f>'1 datos preparados'!N490</f>
        <v/>
      </c>
      <c r="P497" s="7">
        <f>'1 datos preparados'!O490</f>
        <v/>
      </c>
      <c r="Q497" s="7">
        <f>'1 datos preparados'!P490</f>
        <v/>
      </c>
      <c r="R497" s="7">
        <f>'1 datos preparados'!Q490</f>
        <v/>
      </c>
      <c r="S497" s="7">
        <f>'1 datos preparados'!R490</f>
        <v/>
      </c>
      <c r="T497" s="7">
        <f>'1 datos preparados'!S490</f>
        <v/>
      </c>
      <c r="U497" s="7">
        <f>'1 datos preparados'!T490</f>
        <v/>
      </c>
      <c r="V497" s="8">
        <f>$AC$12+D497*$AC$13+E497*$AC$14+F497*$AC$15+G497*$AC$16+H497*$AC$17+I497*$AC$18+J497*$AC$19+K497*$AC$20+L497*$AC$21+M497*$AC$22+N497*$AC$23+O497*$AC$24+P497*$AC$25+Q497*$AC$26+R497*$AC$27+S497*$AC$28+T497*$AC$29+U497*$AC$30</f>
        <v/>
      </c>
      <c r="W497" s="8">
        <f>1/(1+EXP(-V497))</f>
        <v/>
      </c>
      <c r="X497" s="9">
        <f>-IF(C497=1,LN(W497),LN(1-W497))</f>
        <v/>
      </c>
      <c r="Y497" s="10">
        <f>IF(W497&gt;$AC$34,1,0)</f>
        <v/>
      </c>
      <c r="Z497">
        <f>IF(Y497=C497,1,0)</f>
        <v/>
      </c>
    </row>
    <row r="498">
      <c r="A498">
        <f>'1 datos preparados'!A491</f>
        <v/>
      </c>
      <c r="B498" s="5">
        <f>'1 datos preparados'!U491</f>
        <v/>
      </c>
      <c r="C498">
        <f>'1 datos preparados'!B491</f>
        <v/>
      </c>
      <c r="D498" s="7">
        <f>'1 datos preparados'!C491</f>
        <v/>
      </c>
      <c r="E498" s="7">
        <f>'1 datos preparados'!D491</f>
        <v/>
      </c>
      <c r="F498" s="7">
        <f>'1 datos preparados'!E491</f>
        <v/>
      </c>
      <c r="G498" s="7">
        <f>'1 datos preparados'!F491</f>
        <v/>
      </c>
      <c r="H498" s="7">
        <f>'1 datos preparados'!G491</f>
        <v/>
      </c>
      <c r="I498" s="7">
        <f>'1 datos preparados'!H491</f>
        <v/>
      </c>
      <c r="J498" s="7">
        <f>'1 datos preparados'!I491</f>
        <v/>
      </c>
      <c r="K498" s="7">
        <f>'1 datos preparados'!J491</f>
        <v/>
      </c>
      <c r="L498" s="7">
        <f>'1 datos preparados'!K491</f>
        <v/>
      </c>
      <c r="M498" s="7">
        <f>'1 datos preparados'!L491</f>
        <v/>
      </c>
      <c r="N498" s="7">
        <f>'1 datos preparados'!M491</f>
        <v/>
      </c>
      <c r="O498" s="7">
        <f>'1 datos preparados'!N491</f>
        <v/>
      </c>
      <c r="P498" s="7">
        <f>'1 datos preparados'!O491</f>
        <v/>
      </c>
      <c r="Q498" s="7">
        <f>'1 datos preparados'!P491</f>
        <v/>
      </c>
      <c r="R498" s="7">
        <f>'1 datos preparados'!Q491</f>
        <v/>
      </c>
      <c r="S498" s="7">
        <f>'1 datos preparados'!R491</f>
        <v/>
      </c>
      <c r="T498" s="7">
        <f>'1 datos preparados'!S491</f>
        <v/>
      </c>
      <c r="U498" s="7">
        <f>'1 datos preparados'!T491</f>
        <v/>
      </c>
      <c r="V498" s="8">
        <f>$AC$12+D498*$AC$13+E498*$AC$14+F498*$AC$15+G498*$AC$16+H498*$AC$17+I498*$AC$18+J498*$AC$19+K498*$AC$20+L498*$AC$21+M498*$AC$22+N498*$AC$23+O498*$AC$24+P498*$AC$25+Q498*$AC$26+R498*$AC$27+S498*$AC$28+T498*$AC$29+U498*$AC$30</f>
        <v/>
      </c>
      <c r="W498" s="8">
        <f>1/(1+EXP(-V498))</f>
        <v/>
      </c>
      <c r="X498" s="9">
        <f>-IF(C498=1,LN(W498),LN(1-W498))</f>
        <v/>
      </c>
      <c r="Y498" s="10">
        <f>IF(W498&gt;$AC$34,1,0)</f>
        <v/>
      </c>
      <c r="Z498">
        <f>IF(Y498=C498,1,0)</f>
        <v/>
      </c>
    </row>
    <row r="499">
      <c r="A499">
        <f>'1 datos preparados'!A492</f>
        <v/>
      </c>
      <c r="B499" s="5">
        <f>'1 datos preparados'!U492</f>
        <v/>
      </c>
      <c r="C499">
        <f>'1 datos preparados'!B492</f>
        <v/>
      </c>
      <c r="D499" s="7">
        <f>'1 datos preparados'!C492</f>
        <v/>
      </c>
      <c r="E499" s="7">
        <f>'1 datos preparados'!D492</f>
        <v/>
      </c>
      <c r="F499" s="7">
        <f>'1 datos preparados'!E492</f>
        <v/>
      </c>
      <c r="G499" s="7">
        <f>'1 datos preparados'!F492</f>
        <v/>
      </c>
      <c r="H499" s="7">
        <f>'1 datos preparados'!G492</f>
        <v/>
      </c>
      <c r="I499" s="7">
        <f>'1 datos preparados'!H492</f>
        <v/>
      </c>
      <c r="J499" s="7">
        <f>'1 datos preparados'!I492</f>
        <v/>
      </c>
      <c r="K499" s="7">
        <f>'1 datos preparados'!J492</f>
        <v/>
      </c>
      <c r="L499" s="7">
        <f>'1 datos preparados'!K492</f>
        <v/>
      </c>
      <c r="M499" s="7">
        <f>'1 datos preparados'!L492</f>
        <v/>
      </c>
      <c r="N499" s="7">
        <f>'1 datos preparados'!M492</f>
        <v/>
      </c>
      <c r="O499" s="7">
        <f>'1 datos preparados'!N492</f>
        <v/>
      </c>
      <c r="P499" s="7">
        <f>'1 datos preparados'!O492</f>
        <v/>
      </c>
      <c r="Q499" s="7">
        <f>'1 datos preparados'!P492</f>
        <v/>
      </c>
      <c r="R499" s="7">
        <f>'1 datos preparados'!Q492</f>
        <v/>
      </c>
      <c r="S499" s="7">
        <f>'1 datos preparados'!R492</f>
        <v/>
      </c>
      <c r="T499" s="7">
        <f>'1 datos preparados'!S492</f>
        <v/>
      </c>
      <c r="U499" s="7">
        <f>'1 datos preparados'!T492</f>
        <v/>
      </c>
      <c r="V499" s="8">
        <f>$AC$12+D499*$AC$13+E499*$AC$14+F499*$AC$15+G499*$AC$16+H499*$AC$17+I499*$AC$18+J499*$AC$19+K499*$AC$20+L499*$AC$21+M499*$AC$22+N499*$AC$23+O499*$AC$24+P499*$AC$25+Q499*$AC$26+R499*$AC$27+S499*$AC$28+T499*$AC$29+U499*$AC$30</f>
        <v/>
      </c>
      <c r="W499" s="8">
        <f>1/(1+EXP(-V499))</f>
        <v/>
      </c>
      <c r="X499" s="9">
        <f>-IF(C499=1,LN(W499),LN(1-W499))</f>
        <v/>
      </c>
      <c r="Y499" s="10">
        <f>IF(W499&gt;$AC$34,1,0)</f>
        <v/>
      </c>
      <c r="Z499">
        <f>IF(Y499=C499,1,0)</f>
        <v/>
      </c>
    </row>
    <row r="500">
      <c r="A500">
        <f>'1 datos preparados'!A493</f>
        <v/>
      </c>
      <c r="B500" s="5">
        <f>'1 datos preparados'!U493</f>
        <v/>
      </c>
      <c r="C500">
        <f>'1 datos preparados'!B493</f>
        <v/>
      </c>
      <c r="D500" s="7">
        <f>'1 datos preparados'!C493</f>
        <v/>
      </c>
      <c r="E500" s="7">
        <f>'1 datos preparados'!D493</f>
        <v/>
      </c>
      <c r="F500" s="7">
        <f>'1 datos preparados'!E493</f>
        <v/>
      </c>
      <c r="G500" s="7">
        <f>'1 datos preparados'!F493</f>
        <v/>
      </c>
      <c r="H500" s="7">
        <f>'1 datos preparados'!G493</f>
        <v/>
      </c>
      <c r="I500" s="7">
        <f>'1 datos preparados'!H493</f>
        <v/>
      </c>
      <c r="J500" s="7">
        <f>'1 datos preparados'!I493</f>
        <v/>
      </c>
      <c r="K500" s="7">
        <f>'1 datos preparados'!J493</f>
        <v/>
      </c>
      <c r="L500" s="7">
        <f>'1 datos preparados'!K493</f>
        <v/>
      </c>
      <c r="M500" s="7">
        <f>'1 datos preparados'!L493</f>
        <v/>
      </c>
      <c r="N500" s="7">
        <f>'1 datos preparados'!M493</f>
        <v/>
      </c>
      <c r="O500" s="7">
        <f>'1 datos preparados'!N493</f>
        <v/>
      </c>
      <c r="P500" s="7">
        <f>'1 datos preparados'!O493</f>
        <v/>
      </c>
      <c r="Q500" s="7">
        <f>'1 datos preparados'!P493</f>
        <v/>
      </c>
      <c r="R500" s="7">
        <f>'1 datos preparados'!Q493</f>
        <v/>
      </c>
      <c r="S500" s="7">
        <f>'1 datos preparados'!R493</f>
        <v/>
      </c>
      <c r="T500" s="7">
        <f>'1 datos preparados'!S493</f>
        <v/>
      </c>
      <c r="U500" s="7">
        <f>'1 datos preparados'!T493</f>
        <v/>
      </c>
      <c r="V500" s="8">
        <f>$AC$12+D500*$AC$13+E500*$AC$14+F500*$AC$15+G500*$AC$16+H500*$AC$17+I500*$AC$18+J500*$AC$19+K500*$AC$20+L500*$AC$21+M500*$AC$22+N500*$AC$23+O500*$AC$24+P500*$AC$25+Q500*$AC$26+R500*$AC$27+S500*$AC$28+T500*$AC$29+U500*$AC$30</f>
        <v/>
      </c>
      <c r="W500" s="8">
        <f>1/(1+EXP(-V500))</f>
        <v/>
      </c>
      <c r="X500" s="9">
        <f>-IF(C500=1,LN(W500),LN(1-W500))</f>
        <v/>
      </c>
      <c r="Y500" s="10">
        <f>IF(W500&gt;$AC$34,1,0)</f>
        <v/>
      </c>
      <c r="Z500">
        <f>IF(Y500=C500,1,0)</f>
        <v/>
      </c>
    </row>
    <row r="501">
      <c r="A501">
        <f>'1 datos preparados'!A494</f>
        <v/>
      </c>
      <c r="B501" s="5">
        <f>'1 datos preparados'!U494</f>
        <v/>
      </c>
      <c r="C501">
        <f>'1 datos preparados'!B494</f>
        <v/>
      </c>
      <c r="D501" s="7">
        <f>'1 datos preparados'!C494</f>
        <v/>
      </c>
      <c r="E501" s="7">
        <f>'1 datos preparados'!D494</f>
        <v/>
      </c>
      <c r="F501" s="7">
        <f>'1 datos preparados'!E494</f>
        <v/>
      </c>
      <c r="G501" s="7">
        <f>'1 datos preparados'!F494</f>
        <v/>
      </c>
      <c r="H501" s="7">
        <f>'1 datos preparados'!G494</f>
        <v/>
      </c>
      <c r="I501" s="7">
        <f>'1 datos preparados'!H494</f>
        <v/>
      </c>
      <c r="J501" s="7">
        <f>'1 datos preparados'!I494</f>
        <v/>
      </c>
      <c r="K501" s="7">
        <f>'1 datos preparados'!J494</f>
        <v/>
      </c>
      <c r="L501" s="7">
        <f>'1 datos preparados'!K494</f>
        <v/>
      </c>
      <c r="M501" s="7">
        <f>'1 datos preparados'!L494</f>
        <v/>
      </c>
      <c r="N501" s="7">
        <f>'1 datos preparados'!M494</f>
        <v/>
      </c>
      <c r="O501" s="7">
        <f>'1 datos preparados'!N494</f>
        <v/>
      </c>
      <c r="P501" s="7">
        <f>'1 datos preparados'!O494</f>
        <v/>
      </c>
      <c r="Q501" s="7">
        <f>'1 datos preparados'!P494</f>
        <v/>
      </c>
      <c r="R501" s="7">
        <f>'1 datos preparados'!Q494</f>
        <v/>
      </c>
      <c r="S501" s="7">
        <f>'1 datos preparados'!R494</f>
        <v/>
      </c>
      <c r="T501" s="7">
        <f>'1 datos preparados'!S494</f>
        <v/>
      </c>
      <c r="U501" s="7">
        <f>'1 datos preparados'!T494</f>
        <v/>
      </c>
      <c r="V501" s="8">
        <f>$AC$12+D501*$AC$13+E501*$AC$14+F501*$AC$15+G501*$AC$16+H501*$AC$17+I501*$AC$18+J501*$AC$19+K501*$AC$20+L501*$AC$21+M501*$AC$22+N501*$AC$23+O501*$AC$24+P501*$AC$25+Q501*$AC$26+R501*$AC$27+S501*$AC$28+T501*$AC$29+U501*$AC$30</f>
        <v/>
      </c>
      <c r="W501" s="8">
        <f>1/(1+EXP(-V501))</f>
        <v/>
      </c>
      <c r="X501" s="9">
        <f>-IF(C501=1,LN(W501),LN(1-W501))</f>
        <v/>
      </c>
      <c r="Y501" s="10">
        <f>IF(W501&gt;$AC$34,1,0)</f>
        <v/>
      </c>
      <c r="Z501">
        <f>IF(Y501=C501,1,0)</f>
        <v/>
      </c>
    </row>
    <row r="502">
      <c r="A502">
        <f>'1 datos preparados'!A495</f>
        <v/>
      </c>
      <c r="B502" s="5">
        <f>'1 datos preparados'!U495</f>
        <v/>
      </c>
      <c r="C502">
        <f>'1 datos preparados'!B495</f>
        <v/>
      </c>
      <c r="D502" s="7">
        <f>'1 datos preparados'!C495</f>
        <v/>
      </c>
      <c r="E502" s="7">
        <f>'1 datos preparados'!D495</f>
        <v/>
      </c>
      <c r="F502" s="7">
        <f>'1 datos preparados'!E495</f>
        <v/>
      </c>
      <c r="G502" s="7">
        <f>'1 datos preparados'!F495</f>
        <v/>
      </c>
      <c r="H502" s="7">
        <f>'1 datos preparados'!G495</f>
        <v/>
      </c>
      <c r="I502" s="7">
        <f>'1 datos preparados'!H495</f>
        <v/>
      </c>
      <c r="J502" s="7">
        <f>'1 datos preparados'!I495</f>
        <v/>
      </c>
      <c r="K502" s="7">
        <f>'1 datos preparados'!J495</f>
        <v/>
      </c>
      <c r="L502" s="7">
        <f>'1 datos preparados'!K495</f>
        <v/>
      </c>
      <c r="M502" s="7">
        <f>'1 datos preparados'!L495</f>
        <v/>
      </c>
      <c r="N502" s="7">
        <f>'1 datos preparados'!M495</f>
        <v/>
      </c>
      <c r="O502" s="7">
        <f>'1 datos preparados'!N495</f>
        <v/>
      </c>
      <c r="P502" s="7">
        <f>'1 datos preparados'!O495</f>
        <v/>
      </c>
      <c r="Q502" s="7">
        <f>'1 datos preparados'!P495</f>
        <v/>
      </c>
      <c r="R502" s="7">
        <f>'1 datos preparados'!Q495</f>
        <v/>
      </c>
      <c r="S502" s="7">
        <f>'1 datos preparados'!R495</f>
        <v/>
      </c>
      <c r="T502" s="7">
        <f>'1 datos preparados'!S495</f>
        <v/>
      </c>
      <c r="U502" s="7">
        <f>'1 datos preparados'!T495</f>
        <v/>
      </c>
      <c r="V502" s="8">
        <f>$AC$12+D502*$AC$13+E502*$AC$14+F502*$AC$15+G502*$AC$16+H502*$AC$17+I502*$AC$18+J502*$AC$19+K502*$AC$20+L502*$AC$21+M502*$AC$22+N502*$AC$23+O502*$AC$24+P502*$AC$25+Q502*$AC$26+R502*$AC$27+S502*$AC$28+T502*$AC$29+U502*$AC$30</f>
        <v/>
      </c>
      <c r="W502" s="8">
        <f>1/(1+EXP(-V502))</f>
        <v/>
      </c>
      <c r="X502" s="9">
        <f>-IF(C502=1,LN(W502),LN(1-W502))</f>
        <v/>
      </c>
      <c r="Y502" s="10">
        <f>IF(W502&gt;$AC$34,1,0)</f>
        <v/>
      </c>
      <c r="Z502">
        <f>IF(Y502=C502,1,0)</f>
        <v/>
      </c>
    </row>
    <row r="503">
      <c r="A503">
        <f>'1 datos preparados'!A496</f>
        <v/>
      </c>
      <c r="B503" s="5">
        <f>'1 datos preparados'!U496</f>
        <v/>
      </c>
      <c r="C503">
        <f>'1 datos preparados'!B496</f>
        <v/>
      </c>
      <c r="D503" s="7">
        <f>'1 datos preparados'!C496</f>
        <v/>
      </c>
      <c r="E503" s="7">
        <f>'1 datos preparados'!D496</f>
        <v/>
      </c>
      <c r="F503" s="7">
        <f>'1 datos preparados'!E496</f>
        <v/>
      </c>
      <c r="G503" s="7">
        <f>'1 datos preparados'!F496</f>
        <v/>
      </c>
      <c r="H503" s="7">
        <f>'1 datos preparados'!G496</f>
        <v/>
      </c>
      <c r="I503" s="7">
        <f>'1 datos preparados'!H496</f>
        <v/>
      </c>
      <c r="J503" s="7">
        <f>'1 datos preparados'!I496</f>
        <v/>
      </c>
      <c r="K503" s="7">
        <f>'1 datos preparados'!J496</f>
        <v/>
      </c>
      <c r="L503" s="7">
        <f>'1 datos preparados'!K496</f>
        <v/>
      </c>
      <c r="M503" s="7">
        <f>'1 datos preparados'!L496</f>
        <v/>
      </c>
      <c r="N503" s="7">
        <f>'1 datos preparados'!M496</f>
        <v/>
      </c>
      <c r="O503" s="7">
        <f>'1 datos preparados'!N496</f>
        <v/>
      </c>
      <c r="P503" s="7">
        <f>'1 datos preparados'!O496</f>
        <v/>
      </c>
      <c r="Q503" s="7">
        <f>'1 datos preparados'!P496</f>
        <v/>
      </c>
      <c r="R503" s="7">
        <f>'1 datos preparados'!Q496</f>
        <v/>
      </c>
      <c r="S503" s="7">
        <f>'1 datos preparados'!R496</f>
        <v/>
      </c>
      <c r="T503" s="7">
        <f>'1 datos preparados'!S496</f>
        <v/>
      </c>
      <c r="U503" s="7">
        <f>'1 datos preparados'!T496</f>
        <v/>
      </c>
      <c r="V503" s="8">
        <f>$AC$12+D503*$AC$13+E503*$AC$14+F503*$AC$15+G503*$AC$16+H503*$AC$17+I503*$AC$18+J503*$AC$19+K503*$AC$20+L503*$AC$21+M503*$AC$22+N503*$AC$23+O503*$AC$24+P503*$AC$25+Q503*$AC$26+R503*$AC$27+S503*$AC$28+T503*$AC$29+U503*$AC$30</f>
        <v/>
      </c>
      <c r="W503" s="8">
        <f>1/(1+EXP(-V503))</f>
        <v/>
      </c>
      <c r="X503" s="9">
        <f>-IF(C503=1,LN(W503),LN(1-W503))</f>
        <v/>
      </c>
      <c r="Y503" s="10">
        <f>IF(W503&gt;$AC$34,1,0)</f>
        <v/>
      </c>
      <c r="Z503">
        <f>IF(Y503=C503,1,0)</f>
        <v/>
      </c>
    </row>
    <row r="504">
      <c r="A504">
        <f>'1 datos preparados'!A497</f>
        <v/>
      </c>
      <c r="B504" s="5">
        <f>'1 datos preparados'!U497</f>
        <v/>
      </c>
      <c r="C504">
        <f>'1 datos preparados'!B497</f>
        <v/>
      </c>
      <c r="D504" s="7">
        <f>'1 datos preparados'!C497</f>
        <v/>
      </c>
      <c r="E504" s="7">
        <f>'1 datos preparados'!D497</f>
        <v/>
      </c>
      <c r="F504" s="7">
        <f>'1 datos preparados'!E497</f>
        <v/>
      </c>
      <c r="G504" s="7">
        <f>'1 datos preparados'!F497</f>
        <v/>
      </c>
      <c r="H504" s="7">
        <f>'1 datos preparados'!G497</f>
        <v/>
      </c>
      <c r="I504" s="7">
        <f>'1 datos preparados'!H497</f>
        <v/>
      </c>
      <c r="J504" s="7">
        <f>'1 datos preparados'!I497</f>
        <v/>
      </c>
      <c r="K504" s="7">
        <f>'1 datos preparados'!J497</f>
        <v/>
      </c>
      <c r="L504" s="7">
        <f>'1 datos preparados'!K497</f>
        <v/>
      </c>
      <c r="M504" s="7">
        <f>'1 datos preparados'!L497</f>
        <v/>
      </c>
      <c r="N504" s="7">
        <f>'1 datos preparados'!M497</f>
        <v/>
      </c>
      <c r="O504" s="7">
        <f>'1 datos preparados'!N497</f>
        <v/>
      </c>
      <c r="P504" s="7">
        <f>'1 datos preparados'!O497</f>
        <v/>
      </c>
      <c r="Q504" s="7">
        <f>'1 datos preparados'!P497</f>
        <v/>
      </c>
      <c r="R504" s="7">
        <f>'1 datos preparados'!Q497</f>
        <v/>
      </c>
      <c r="S504" s="7">
        <f>'1 datos preparados'!R497</f>
        <v/>
      </c>
      <c r="T504" s="7">
        <f>'1 datos preparados'!S497</f>
        <v/>
      </c>
      <c r="U504" s="7">
        <f>'1 datos preparados'!T497</f>
        <v/>
      </c>
      <c r="V504" s="8">
        <f>$AC$12+D504*$AC$13+E504*$AC$14+F504*$AC$15+G504*$AC$16+H504*$AC$17+I504*$AC$18+J504*$AC$19+K504*$AC$20+L504*$AC$21+M504*$AC$22+N504*$AC$23+O504*$AC$24+P504*$AC$25+Q504*$AC$26+R504*$AC$27+S504*$AC$28+T504*$AC$29+U504*$AC$30</f>
        <v/>
      </c>
      <c r="W504" s="8">
        <f>1/(1+EXP(-V504))</f>
        <v/>
      </c>
      <c r="X504" s="9">
        <f>-IF(C504=1,LN(W504),LN(1-W504))</f>
        <v/>
      </c>
      <c r="Y504" s="10">
        <f>IF(W504&gt;$AC$34,1,0)</f>
        <v/>
      </c>
      <c r="Z504">
        <f>IF(Y504=C504,1,0)</f>
        <v/>
      </c>
    </row>
    <row r="505">
      <c r="A505">
        <f>'1 datos preparados'!A498</f>
        <v/>
      </c>
      <c r="B505" s="5">
        <f>'1 datos preparados'!U498</f>
        <v/>
      </c>
      <c r="C505">
        <f>'1 datos preparados'!B498</f>
        <v/>
      </c>
      <c r="D505" s="7">
        <f>'1 datos preparados'!C498</f>
        <v/>
      </c>
      <c r="E505" s="7">
        <f>'1 datos preparados'!D498</f>
        <v/>
      </c>
      <c r="F505" s="7">
        <f>'1 datos preparados'!E498</f>
        <v/>
      </c>
      <c r="G505" s="7">
        <f>'1 datos preparados'!F498</f>
        <v/>
      </c>
      <c r="H505" s="7">
        <f>'1 datos preparados'!G498</f>
        <v/>
      </c>
      <c r="I505" s="7">
        <f>'1 datos preparados'!H498</f>
        <v/>
      </c>
      <c r="J505" s="7">
        <f>'1 datos preparados'!I498</f>
        <v/>
      </c>
      <c r="K505" s="7">
        <f>'1 datos preparados'!J498</f>
        <v/>
      </c>
      <c r="L505" s="7">
        <f>'1 datos preparados'!K498</f>
        <v/>
      </c>
      <c r="M505" s="7">
        <f>'1 datos preparados'!L498</f>
        <v/>
      </c>
      <c r="N505" s="7">
        <f>'1 datos preparados'!M498</f>
        <v/>
      </c>
      <c r="O505" s="7">
        <f>'1 datos preparados'!N498</f>
        <v/>
      </c>
      <c r="P505" s="7">
        <f>'1 datos preparados'!O498</f>
        <v/>
      </c>
      <c r="Q505" s="7">
        <f>'1 datos preparados'!P498</f>
        <v/>
      </c>
      <c r="R505" s="7">
        <f>'1 datos preparados'!Q498</f>
        <v/>
      </c>
      <c r="S505" s="7">
        <f>'1 datos preparados'!R498</f>
        <v/>
      </c>
      <c r="T505" s="7">
        <f>'1 datos preparados'!S498</f>
        <v/>
      </c>
      <c r="U505" s="7">
        <f>'1 datos preparados'!T498</f>
        <v/>
      </c>
      <c r="V505" s="8">
        <f>$AC$12+D505*$AC$13+E505*$AC$14+F505*$AC$15+G505*$AC$16+H505*$AC$17+I505*$AC$18+J505*$AC$19+K505*$AC$20+L505*$AC$21+M505*$AC$22+N505*$AC$23+O505*$AC$24+P505*$AC$25+Q505*$AC$26+R505*$AC$27+S505*$AC$28+T505*$AC$29+U505*$AC$30</f>
        <v/>
      </c>
      <c r="W505" s="8">
        <f>1/(1+EXP(-V505))</f>
        <v/>
      </c>
      <c r="X505" s="9">
        <f>-IF(C505=1,LN(W505),LN(1-W505))</f>
        <v/>
      </c>
      <c r="Y505" s="10">
        <f>IF(W505&gt;$AC$34,1,0)</f>
        <v/>
      </c>
      <c r="Z505">
        <f>IF(Y505=C505,1,0)</f>
        <v/>
      </c>
    </row>
    <row r="506">
      <c r="A506">
        <f>'1 datos preparados'!A499</f>
        <v/>
      </c>
      <c r="B506" s="5">
        <f>'1 datos preparados'!U499</f>
        <v/>
      </c>
      <c r="C506">
        <f>'1 datos preparados'!B499</f>
        <v/>
      </c>
      <c r="D506" s="7">
        <f>'1 datos preparados'!C499</f>
        <v/>
      </c>
      <c r="E506" s="7">
        <f>'1 datos preparados'!D499</f>
        <v/>
      </c>
      <c r="F506" s="7">
        <f>'1 datos preparados'!E499</f>
        <v/>
      </c>
      <c r="G506" s="7">
        <f>'1 datos preparados'!F499</f>
        <v/>
      </c>
      <c r="H506" s="7">
        <f>'1 datos preparados'!G499</f>
        <v/>
      </c>
      <c r="I506" s="7">
        <f>'1 datos preparados'!H499</f>
        <v/>
      </c>
      <c r="J506" s="7">
        <f>'1 datos preparados'!I499</f>
        <v/>
      </c>
      <c r="K506" s="7">
        <f>'1 datos preparados'!J499</f>
        <v/>
      </c>
      <c r="L506" s="7">
        <f>'1 datos preparados'!K499</f>
        <v/>
      </c>
      <c r="M506" s="7">
        <f>'1 datos preparados'!L499</f>
        <v/>
      </c>
      <c r="N506" s="7">
        <f>'1 datos preparados'!M499</f>
        <v/>
      </c>
      <c r="O506" s="7">
        <f>'1 datos preparados'!N499</f>
        <v/>
      </c>
      <c r="P506" s="7">
        <f>'1 datos preparados'!O499</f>
        <v/>
      </c>
      <c r="Q506" s="7">
        <f>'1 datos preparados'!P499</f>
        <v/>
      </c>
      <c r="R506" s="7">
        <f>'1 datos preparados'!Q499</f>
        <v/>
      </c>
      <c r="S506" s="7">
        <f>'1 datos preparados'!R499</f>
        <v/>
      </c>
      <c r="T506" s="7">
        <f>'1 datos preparados'!S499</f>
        <v/>
      </c>
      <c r="U506" s="7">
        <f>'1 datos preparados'!T499</f>
        <v/>
      </c>
      <c r="V506" s="8">
        <f>$AC$12+D506*$AC$13+E506*$AC$14+F506*$AC$15+G506*$AC$16+H506*$AC$17+I506*$AC$18+J506*$AC$19+K506*$AC$20+L506*$AC$21+M506*$AC$22+N506*$AC$23+O506*$AC$24+P506*$AC$25+Q506*$AC$26+R506*$AC$27+S506*$AC$28+T506*$AC$29+U506*$AC$30</f>
        <v/>
      </c>
      <c r="W506" s="8">
        <f>1/(1+EXP(-V506))</f>
        <v/>
      </c>
      <c r="X506" s="9">
        <f>-IF(C506=1,LN(W506),LN(1-W506))</f>
        <v/>
      </c>
      <c r="Y506" s="10">
        <f>IF(W506&gt;$AC$34,1,0)</f>
        <v/>
      </c>
      <c r="Z506">
        <f>IF(Y506=C506,1,0)</f>
        <v/>
      </c>
    </row>
    <row r="507">
      <c r="A507">
        <f>'1 datos preparados'!A500</f>
        <v/>
      </c>
      <c r="B507" s="5">
        <f>'1 datos preparados'!U500</f>
        <v/>
      </c>
      <c r="C507">
        <f>'1 datos preparados'!B500</f>
        <v/>
      </c>
      <c r="D507" s="7">
        <f>'1 datos preparados'!C500</f>
        <v/>
      </c>
      <c r="E507" s="7">
        <f>'1 datos preparados'!D500</f>
        <v/>
      </c>
      <c r="F507" s="7">
        <f>'1 datos preparados'!E500</f>
        <v/>
      </c>
      <c r="G507" s="7">
        <f>'1 datos preparados'!F500</f>
        <v/>
      </c>
      <c r="H507" s="7">
        <f>'1 datos preparados'!G500</f>
        <v/>
      </c>
      <c r="I507" s="7">
        <f>'1 datos preparados'!H500</f>
        <v/>
      </c>
      <c r="J507" s="7">
        <f>'1 datos preparados'!I500</f>
        <v/>
      </c>
      <c r="K507" s="7">
        <f>'1 datos preparados'!J500</f>
        <v/>
      </c>
      <c r="L507" s="7">
        <f>'1 datos preparados'!K500</f>
        <v/>
      </c>
      <c r="M507" s="7">
        <f>'1 datos preparados'!L500</f>
        <v/>
      </c>
      <c r="N507" s="7">
        <f>'1 datos preparados'!M500</f>
        <v/>
      </c>
      <c r="O507" s="7">
        <f>'1 datos preparados'!N500</f>
        <v/>
      </c>
      <c r="P507" s="7">
        <f>'1 datos preparados'!O500</f>
        <v/>
      </c>
      <c r="Q507" s="7">
        <f>'1 datos preparados'!P500</f>
        <v/>
      </c>
      <c r="R507" s="7">
        <f>'1 datos preparados'!Q500</f>
        <v/>
      </c>
      <c r="S507" s="7">
        <f>'1 datos preparados'!R500</f>
        <v/>
      </c>
      <c r="T507" s="7">
        <f>'1 datos preparados'!S500</f>
        <v/>
      </c>
      <c r="U507" s="7">
        <f>'1 datos preparados'!T500</f>
        <v/>
      </c>
      <c r="V507" s="8">
        <f>$AC$12+D507*$AC$13+E507*$AC$14+F507*$AC$15+G507*$AC$16+H507*$AC$17+I507*$AC$18+J507*$AC$19+K507*$AC$20+L507*$AC$21+M507*$AC$22+N507*$AC$23+O507*$AC$24+P507*$AC$25+Q507*$AC$26+R507*$AC$27+S507*$AC$28+T507*$AC$29+U507*$AC$30</f>
        <v/>
      </c>
      <c r="W507" s="8">
        <f>1/(1+EXP(-V507))</f>
        <v/>
      </c>
      <c r="X507" s="9">
        <f>-IF(C507=1,LN(W507),LN(1-W507))</f>
        <v/>
      </c>
      <c r="Y507" s="10">
        <f>IF(W507&gt;$AC$34,1,0)</f>
        <v/>
      </c>
      <c r="Z507">
        <f>IF(Y507=C507,1,0)</f>
        <v/>
      </c>
    </row>
    <row r="508">
      <c r="A508">
        <f>'1 datos preparados'!A501</f>
        <v/>
      </c>
      <c r="B508" s="5">
        <f>'1 datos preparados'!U501</f>
        <v/>
      </c>
      <c r="C508">
        <f>'1 datos preparados'!B501</f>
        <v/>
      </c>
      <c r="D508" s="7">
        <f>'1 datos preparados'!C501</f>
        <v/>
      </c>
      <c r="E508" s="7">
        <f>'1 datos preparados'!D501</f>
        <v/>
      </c>
      <c r="F508" s="7">
        <f>'1 datos preparados'!E501</f>
        <v/>
      </c>
      <c r="G508" s="7">
        <f>'1 datos preparados'!F501</f>
        <v/>
      </c>
      <c r="H508" s="7">
        <f>'1 datos preparados'!G501</f>
        <v/>
      </c>
      <c r="I508" s="7">
        <f>'1 datos preparados'!H501</f>
        <v/>
      </c>
      <c r="J508" s="7">
        <f>'1 datos preparados'!I501</f>
        <v/>
      </c>
      <c r="K508" s="7">
        <f>'1 datos preparados'!J501</f>
        <v/>
      </c>
      <c r="L508" s="7">
        <f>'1 datos preparados'!K501</f>
        <v/>
      </c>
      <c r="M508" s="7">
        <f>'1 datos preparados'!L501</f>
        <v/>
      </c>
      <c r="N508" s="7">
        <f>'1 datos preparados'!M501</f>
        <v/>
      </c>
      <c r="O508" s="7">
        <f>'1 datos preparados'!N501</f>
        <v/>
      </c>
      <c r="P508" s="7">
        <f>'1 datos preparados'!O501</f>
        <v/>
      </c>
      <c r="Q508" s="7">
        <f>'1 datos preparados'!P501</f>
        <v/>
      </c>
      <c r="R508" s="7">
        <f>'1 datos preparados'!Q501</f>
        <v/>
      </c>
      <c r="S508" s="7">
        <f>'1 datos preparados'!R501</f>
        <v/>
      </c>
      <c r="T508" s="7">
        <f>'1 datos preparados'!S501</f>
        <v/>
      </c>
      <c r="U508" s="7">
        <f>'1 datos preparados'!T501</f>
        <v/>
      </c>
      <c r="V508" s="8">
        <f>$AC$12+D508*$AC$13+E508*$AC$14+F508*$AC$15+G508*$AC$16+H508*$AC$17+I508*$AC$18+J508*$AC$19+K508*$AC$20+L508*$AC$21+M508*$AC$22+N508*$AC$23+O508*$AC$24+P508*$AC$25+Q508*$AC$26+R508*$AC$27+S508*$AC$28+T508*$AC$29+U508*$AC$30</f>
        <v/>
      </c>
      <c r="W508" s="8">
        <f>1/(1+EXP(-V508))</f>
        <v/>
      </c>
      <c r="X508" s="9">
        <f>-IF(C508=1,LN(W508),LN(1-W508))</f>
        <v/>
      </c>
      <c r="Y508" s="10">
        <f>IF(W508&gt;$AC$34,1,0)</f>
        <v/>
      </c>
      <c r="Z508">
        <f>IF(Y508=C508,1,0)</f>
        <v/>
      </c>
    </row>
    <row r="509">
      <c r="A509">
        <f>'1 datos preparados'!A502</f>
        <v/>
      </c>
      <c r="B509" s="5">
        <f>'1 datos preparados'!U502</f>
        <v/>
      </c>
      <c r="C509">
        <f>'1 datos preparados'!B502</f>
        <v/>
      </c>
      <c r="D509" s="7">
        <f>'1 datos preparados'!C502</f>
        <v/>
      </c>
      <c r="E509" s="7">
        <f>'1 datos preparados'!D502</f>
        <v/>
      </c>
      <c r="F509" s="7">
        <f>'1 datos preparados'!E502</f>
        <v/>
      </c>
      <c r="G509" s="7">
        <f>'1 datos preparados'!F502</f>
        <v/>
      </c>
      <c r="H509" s="7">
        <f>'1 datos preparados'!G502</f>
        <v/>
      </c>
      <c r="I509" s="7">
        <f>'1 datos preparados'!H502</f>
        <v/>
      </c>
      <c r="J509" s="7">
        <f>'1 datos preparados'!I502</f>
        <v/>
      </c>
      <c r="K509" s="7">
        <f>'1 datos preparados'!J502</f>
        <v/>
      </c>
      <c r="L509" s="7">
        <f>'1 datos preparados'!K502</f>
        <v/>
      </c>
      <c r="M509" s="7">
        <f>'1 datos preparados'!L502</f>
        <v/>
      </c>
      <c r="N509" s="7">
        <f>'1 datos preparados'!M502</f>
        <v/>
      </c>
      <c r="O509" s="7">
        <f>'1 datos preparados'!N502</f>
        <v/>
      </c>
      <c r="P509" s="7">
        <f>'1 datos preparados'!O502</f>
        <v/>
      </c>
      <c r="Q509" s="7">
        <f>'1 datos preparados'!P502</f>
        <v/>
      </c>
      <c r="R509" s="7">
        <f>'1 datos preparados'!Q502</f>
        <v/>
      </c>
      <c r="S509" s="7">
        <f>'1 datos preparados'!R502</f>
        <v/>
      </c>
      <c r="T509" s="7">
        <f>'1 datos preparados'!S502</f>
        <v/>
      </c>
      <c r="U509" s="7">
        <f>'1 datos preparados'!T502</f>
        <v/>
      </c>
      <c r="V509" s="8">
        <f>$AC$12+D509*$AC$13+E509*$AC$14+F509*$AC$15+G509*$AC$16+H509*$AC$17+I509*$AC$18+J509*$AC$19+K509*$AC$20+L509*$AC$21+M509*$AC$22+N509*$AC$23+O509*$AC$24+P509*$AC$25+Q509*$AC$26+R509*$AC$27+S509*$AC$28+T509*$AC$29+U509*$AC$30</f>
        <v/>
      </c>
      <c r="W509" s="8">
        <f>1/(1+EXP(-V509))</f>
        <v/>
      </c>
      <c r="X509" s="9">
        <f>-IF(C509=1,LN(W509),LN(1-W509))</f>
        <v/>
      </c>
      <c r="Y509" s="10">
        <f>IF(W509&gt;$AC$34,1,0)</f>
        <v/>
      </c>
      <c r="Z509">
        <f>IF(Y509=C509,1,0)</f>
        <v/>
      </c>
    </row>
    <row r="510">
      <c r="A510">
        <f>'1 datos preparados'!A503</f>
        <v/>
      </c>
      <c r="B510" s="5">
        <f>'1 datos preparados'!U503</f>
        <v/>
      </c>
      <c r="C510">
        <f>'1 datos preparados'!B503</f>
        <v/>
      </c>
      <c r="D510" s="7">
        <f>'1 datos preparados'!C503</f>
        <v/>
      </c>
      <c r="E510" s="7">
        <f>'1 datos preparados'!D503</f>
        <v/>
      </c>
      <c r="F510" s="7">
        <f>'1 datos preparados'!E503</f>
        <v/>
      </c>
      <c r="G510" s="7">
        <f>'1 datos preparados'!F503</f>
        <v/>
      </c>
      <c r="H510" s="7">
        <f>'1 datos preparados'!G503</f>
        <v/>
      </c>
      <c r="I510" s="7">
        <f>'1 datos preparados'!H503</f>
        <v/>
      </c>
      <c r="J510" s="7">
        <f>'1 datos preparados'!I503</f>
        <v/>
      </c>
      <c r="K510" s="7">
        <f>'1 datos preparados'!J503</f>
        <v/>
      </c>
      <c r="L510" s="7">
        <f>'1 datos preparados'!K503</f>
        <v/>
      </c>
      <c r="M510" s="7">
        <f>'1 datos preparados'!L503</f>
        <v/>
      </c>
      <c r="N510" s="7">
        <f>'1 datos preparados'!M503</f>
        <v/>
      </c>
      <c r="O510" s="7">
        <f>'1 datos preparados'!N503</f>
        <v/>
      </c>
      <c r="P510" s="7">
        <f>'1 datos preparados'!O503</f>
        <v/>
      </c>
      <c r="Q510" s="7">
        <f>'1 datos preparados'!P503</f>
        <v/>
      </c>
      <c r="R510" s="7">
        <f>'1 datos preparados'!Q503</f>
        <v/>
      </c>
      <c r="S510" s="7">
        <f>'1 datos preparados'!R503</f>
        <v/>
      </c>
      <c r="T510" s="7">
        <f>'1 datos preparados'!S503</f>
        <v/>
      </c>
      <c r="U510" s="7">
        <f>'1 datos preparados'!T503</f>
        <v/>
      </c>
      <c r="V510" s="8">
        <f>$AC$12+D510*$AC$13+E510*$AC$14+F510*$AC$15+G510*$AC$16+H510*$AC$17+I510*$AC$18+J510*$AC$19+K510*$AC$20+L510*$AC$21+M510*$AC$22+N510*$AC$23+O510*$AC$24+P510*$AC$25+Q510*$AC$26+R510*$AC$27+S510*$AC$28+T510*$AC$29+U510*$AC$30</f>
        <v/>
      </c>
      <c r="W510" s="8">
        <f>1/(1+EXP(-V510))</f>
        <v/>
      </c>
      <c r="X510" s="9">
        <f>-IF(C510=1,LN(W510),LN(1-W510))</f>
        <v/>
      </c>
      <c r="Y510" s="10">
        <f>IF(W510&gt;$AC$34,1,0)</f>
        <v/>
      </c>
      <c r="Z510">
        <f>IF(Y510=C510,1,0)</f>
        <v/>
      </c>
    </row>
    <row r="511">
      <c r="A511">
        <f>'1 datos preparados'!A504</f>
        <v/>
      </c>
      <c r="B511" s="5">
        <f>'1 datos preparados'!U504</f>
        <v/>
      </c>
      <c r="C511">
        <f>'1 datos preparados'!B504</f>
        <v/>
      </c>
      <c r="D511" s="7">
        <f>'1 datos preparados'!C504</f>
        <v/>
      </c>
      <c r="E511" s="7">
        <f>'1 datos preparados'!D504</f>
        <v/>
      </c>
      <c r="F511" s="7">
        <f>'1 datos preparados'!E504</f>
        <v/>
      </c>
      <c r="G511" s="7">
        <f>'1 datos preparados'!F504</f>
        <v/>
      </c>
      <c r="H511" s="7">
        <f>'1 datos preparados'!G504</f>
        <v/>
      </c>
      <c r="I511" s="7">
        <f>'1 datos preparados'!H504</f>
        <v/>
      </c>
      <c r="J511" s="7">
        <f>'1 datos preparados'!I504</f>
        <v/>
      </c>
      <c r="K511" s="7">
        <f>'1 datos preparados'!J504</f>
        <v/>
      </c>
      <c r="L511" s="7">
        <f>'1 datos preparados'!K504</f>
        <v/>
      </c>
      <c r="M511" s="7">
        <f>'1 datos preparados'!L504</f>
        <v/>
      </c>
      <c r="N511" s="7">
        <f>'1 datos preparados'!M504</f>
        <v/>
      </c>
      <c r="O511" s="7">
        <f>'1 datos preparados'!N504</f>
        <v/>
      </c>
      <c r="P511" s="7">
        <f>'1 datos preparados'!O504</f>
        <v/>
      </c>
      <c r="Q511" s="7">
        <f>'1 datos preparados'!P504</f>
        <v/>
      </c>
      <c r="R511" s="7">
        <f>'1 datos preparados'!Q504</f>
        <v/>
      </c>
      <c r="S511" s="7">
        <f>'1 datos preparados'!R504</f>
        <v/>
      </c>
      <c r="T511" s="7">
        <f>'1 datos preparados'!S504</f>
        <v/>
      </c>
      <c r="U511" s="7">
        <f>'1 datos preparados'!T504</f>
        <v/>
      </c>
      <c r="V511" s="8">
        <f>$AC$12+D511*$AC$13+E511*$AC$14+F511*$AC$15+G511*$AC$16+H511*$AC$17+I511*$AC$18+J511*$AC$19+K511*$AC$20+L511*$AC$21+M511*$AC$22+N511*$AC$23+O511*$AC$24+P511*$AC$25+Q511*$AC$26+R511*$AC$27+S511*$AC$28+T511*$AC$29+U511*$AC$30</f>
        <v/>
      </c>
      <c r="W511" s="8">
        <f>1/(1+EXP(-V511))</f>
        <v/>
      </c>
      <c r="X511" s="9">
        <f>-IF(C511=1,LN(W511),LN(1-W511))</f>
        <v/>
      </c>
      <c r="Y511" s="10">
        <f>IF(W511&gt;$AC$34,1,0)</f>
        <v/>
      </c>
      <c r="Z511">
        <f>IF(Y511=C511,1,0)</f>
        <v/>
      </c>
    </row>
    <row r="512">
      <c r="A512">
        <f>'1 datos preparados'!A505</f>
        <v/>
      </c>
      <c r="B512" s="5">
        <f>'1 datos preparados'!U505</f>
        <v/>
      </c>
      <c r="C512">
        <f>'1 datos preparados'!B505</f>
        <v/>
      </c>
      <c r="D512" s="7">
        <f>'1 datos preparados'!C505</f>
        <v/>
      </c>
      <c r="E512" s="7">
        <f>'1 datos preparados'!D505</f>
        <v/>
      </c>
      <c r="F512" s="7">
        <f>'1 datos preparados'!E505</f>
        <v/>
      </c>
      <c r="G512" s="7">
        <f>'1 datos preparados'!F505</f>
        <v/>
      </c>
      <c r="H512" s="7">
        <f>'1 datos preparados'!G505</f>
        <v/>
      </c>
      <c r="I512" s="7">
        <f>'1 datos preparados'!H505</f>
        <v/>
      </c>
      <c r="J512" s="7">
        <f>'1 datos preparados'!I505</f>
        <v/>
      </c>
      <c r="K512" s="7">
        <f>'1 datos preparados'!J505</f>
        <v/>
      </c>
      <c r="L512" s="7">
        <f>'1 datos preparados'!K505</f>
        <v/>
      </c>
      <c r="M512" s="7">
        <f>'1 datos preparados'!L505</f>
        <v/>
      </c>
      <c r="N512" s="7">
        <f>'1 datos preparados'!M505</f>
        <v/>
      </c>
      <c r="O512" s="7">
        <f>'1 datos preparados'!N505</f>
        <v/>
      </c>
      <c r="P512" s="7">
        <f>'1 datos preparados'!O505</f>
        <v/>
      </c>
      <c r="Q512" s="7">
        <f>'1 datos preparados'!P505</f>
        <v/>
      </c>
      <c r="R512" s="7">
        <f>'1 datos preparados'!Q505</f>
        <v/>
      </c>
      <c r="S512" s="7">
        <f>'1 datos preparados'!R505</f>
        <v/>
      </c>
      <c r="T512" s="7">
        <f>'1 datos preparados'!S505</f>
        <v/>
      </c>
      <c r="U512" s="7">
        <f>'1 datos preparados'!T505</f>
        <v/>
      </c>
      <c r="V512" s="8">
        <f>$AC$12+D512*$AC$13+E512*$AC$14+F512*$AC$15+G512*$AC$16+H512*$AC$17+I512*$AC$18+J512*$AC$19+K512*$AC$20+L512*$AC$21+M512*$AC$22+N512*$AC$23+O512*$AC$24+P512*$AC$25+Q512*$AC$26+R512*$AC$27+S512*$AC$28+T512*$AC$29+U512*$AC$30</f>
        <v/>
      </c>
      <c r="W512" s="8">
        <f>1/(1+EXP(-V512))</f>
        <v/>
      </c>
      <c r="X512" s="9">
        <f>-IF(C512=1,LN(W512),LN(1-W512))</f>
        <v/>
      </c>
      <c r="Y512" s="10">
        <f>IF(W512&gt;$AC$34,1,0)</f>
        <v/>
      </c>
      <c r="Z512">
        <f>IF(Y512=C512,1,0)</f>
        <v/>
      </c>
    </row>
    <row r="513">
      <c r="A513">
        <f>'1 datos preparados'!A506</f>
        <v/>
      </c>
      <c r="B513" s="5">
        <f>'1 datos preparados'!U506</f>
        <v/>
      </c>
      <c r="C513">
        <f>'1 datos preparados'!B506</f>
        <v/>
      </c>
      <c r="D513" s="7">
        <f>'1 datos preparados'!C506</f>
        <v/>
      </c>
      <c r="E513" s="7">
        <f>'1 datos preparados'!D506</f>
        <v/>
      </c>
      <c r="F513" s="7">
        <f>'1 datos preparados'!E506</f>
        <v/>
      </c>
      <c r="G513" s="7">
        <f>'1 datos preparados'!F506</f>
        <v/>
      </c>
      <c r="H513" s="7">
        <f>'1 datos preparados'!G506</f>
        <v/>
      </c>
      <c r="I513" s="7">
        <f>'1 datos preparados'!H506</f>
        <v/>
      </c>
      <c r="J513" s="7">
        <f>'1 datos preparados'!I506</f>
        <v/>
      </c>
      <c r="K513" s="7">
        <f>'1 datos preparados'!J506</f>
        <v/>
      </c>
      <c r="L513" s="7">
        <f>'1 datos preparados'!K506</f>
        <v/>
      </c>
      <c r="M513" s="7">
        <f>'1 datos preparados'!L506</f>
        <v/>
      </c>
      <c r="N513" s="7">
        <f>'1 datos preparados'!M506</f>
        <v/>
      </c>
      <c r="O513" s="7">
        <f>'1 datos preparados'!N506</f>
        <v/>
      </c>
      <c r="P513" s="7">
        <f>'1 datos preparados'!O506</f>
        <v/>
      </c>
      <c r="Q513" s="7">
        <f>'1 datos preparados'!P506</f>
        <v/>
      </c>
      <c r="R513" s="7">
        <f>'1 datos preparados'!Q506</f>
        <v/>
      </c>
      <c r="S513" s="7">
        <f>'1 datos preparados'!R506</f>
        <v/>
      </c>
      <c r="T513" s="7">
        <f>'1 datos preparados'!S506</f>
        <v/>
      </c>
      <c r="U513" s="7">
        <f>'1 datos preparados'!T506</f>
        <v/>
      </c>
      <c r="V513" s="8">
        <f>$AC$12+D513*$AC$13+E513*$AC$14+F513*$AC$15+G513*$AC$16+H513*$AC$17+I513*$AC$18+J513*$AC$19+K513*$AC$20+L513*$AC$21+M513*$AC$22+N513*$AC$23+O513*$AC$24+P513*$AC$25+Q513*$AC$26+R513*$AC$27+S513*$AC$28+T513*$AC$29+U513*$AC$30</f>
        <v/>
      </c>
      <c r="W513" s="8">
        <f>1/(1+EXP(-V513))</f>
        <v/>
      </c>
      <c r="X513" s="9">
        <f>-IF(C513=1,LN(W513),LN(1-W513))</f>
        <v/>
      </c>
      <c r="Y513" s="10">
        <f>IF(W513&gt;$AC$34,1,0)</f>
        <v/>
      </c>
      <c r="Z513">
        <f>IF(Y513=C513,1,0)</f>
        <v/>
      </c>
    </row>
    <row r="514">
      <c r="A514">
        <f>'1 datos preparados'!A507</f>
        <v/>
      </c>
      <c r="B514" s="5">
        <f>'1 datos preparados'!U507</f>
        <v/>
      </c>
      <c r="C514">
        <f>'1 datos preparados'!B507</f>
        <v/>
      </c>
      <c r="D514" s="7">
        <f>'1 datos preparados'!C507</f>
        <v/>
      </c>
      <c r="E514" s="7">
        <f>'1 datos preparados'!D507</f>
        <v/>
      </c>
      <c r="F514" s="7">
        <f>'1 datos preparados'!E507</f>
        <v/>
      </c>
      <c r="G514" s="7">
        <f>'1 datos preparados'!F507</f>
        <v/>
      </c>
      <c r="H514" s="7">
        <f>'1 datos preparados'!G507</f>
        <v/>
      </c>
      <c r="I514" s="7">
        <f>'1 datos preparados'!H507</f>
        <v/>
      </c>
      <c r="J514" s="7">
        <f>'1 datos preparados'!I507</f>
        <v/>
      </c>
      <c r="K514" s="7">
        <f>'1 datos preparados'!J507</f>
        <v/>
      </c>
      <c r="L514" s="7">
        <f>'1 datos preparados'!K507</f>
        <v/>
      </c>
      <c r="M514" s="7">
        <f>'1 datos preparados'!L507</f>
        <v/>
      </c>
      <c r="N514" s="7">
        <f>'1 datos preparados'!M507</f>
        <v/>
      </c>
      <c r="O514" s="7">
        <f>'1 datos preparados'!N507</f>
        <v/>
      </c>
      <c r="P514" s="7">
        <f>'1 datos preparados'!O507</f>
        <v/>
      </c>
      <c r="Q514" s="7">
        <f>'1 datos preparados'!P507</f>
        <v/>
      </c>
      <c r="R514" s="7">
        <f>'1 datos preparados'!Q507</f>
        <v/>
      </c>
      <c r="S514" s="7">
        <f>'1 datos preparados'!R507</f>
        <v/>
      </c>
      <c r="T514" s="7">
        <f>'1 datos preparados'!S507</f>
        <v/>
      </c>
      <c r="U514" s="7">
        <f>'1 datos preparados'!T507</f>
        <v/>
      </c>
      <c r="V514" s="8">
        <f>$AC$12+D514*$AC$13+E514*$AC$14+F514*$AC$15+G514*$AC$16+H514*$AC$17+I514*$AC$18+J514*$AC$19+K514*$AC$20+L514*$AC$21+M514*$AC$22+N514*$AC$23+O514*$AC$24+P514*$AC$25+Q514*$AC$26+R514*$AC$27+S514*$AC$28+T514*$AC$29+U514*$AC$30</f>
        <v/>
      </c>
      <c r="W514" s="8">
        <f>1/(1+EXP(-V514))</f>
        <v/>
      </c>
      <c r="X514" s="9">
        <f>-IF(C514=1,LN(W514),LN(1-W514))</f>
        <v/>
      </c>
      <c r="Y514" s="10">
        <f>IF(W514&gt;$AC$34,1,0)</f>
        <v/>
      </c>
      <c r="Z514">
        <f>IF(Y514=C514,1,0)</f>
        <v/>
      </c>
    </row>
    <row r="515">
      <c r="A515">
        <f>'1 datos preparados'!A508</f>
        <v/>
      </c>
      <c r="B515" s="5">
        <f>'1 datos preparados'!U508</f>
        <v/>
      </c>
      <c r="C515">
        <f>'1 datos preparados'!B508</f>
        <v/>
      </c>
      <c r="D515" s="7">
        <f>'1 datos preparados'!C508</f>
        <v/>
      </c>
      <c r="E515" s="7">
        <f>'1 datos preparados'!D508</f>
        <v/>
      </c>
      <c r="F515" s="7">
        <f>'1 datos preparados'!E508</f>
        <v/>
      </c>
      <c r="G515" s="7">
        <f>'1 datos preparados'!F508</f>
        <v/>
      </c>
      <c r="H515" s="7">
        <f>'1 datos preparados'!G508</f>
        <v/>
      </c>
      <c r="I515" s="7">
        <f>'1 datos preparados'!H508</f>
        <v/>
      </c>
      <c r="J515" s="7">
        <f>'1 datos preparados'!I508</f>
        <v/>
      </c>
      <c r="K515" s="7">
        <f>'1 datos preparados'!J508</f>
        <v/>
      </c>
      <c r="L515" s="7">
        <f>'1 datos preparados'!K508</f>
        <v/>
      </c>
      <c r="M515" s="7">
        <f>'1 datos preparados'!L508</f>
        <v/>
      </c>
      <c r="N515" s="7">
        <f>'1 datos preparados'!M508</f>
        <v/>
      </c>
      <c r="O515" s="7">
        <f>'1 datos preparados'!N508</f>
        <v/>
      </c>
      <c r="P515" s="7">
        <f>'1 datos preparados'!O508</f>
        <v/>
      </c>
      <c r="Q515" s="7">
        <f>'1 datos preparados'!P508</f>
        <v/>
      </c>
      <c r="R515" s="7">
        <f>'1 datos preparados'!Q508</f>
        <v/>
      </c>
      <c r="S515" s="7">
        <f>'1 datos preparados'!R508</f>
        <v/>
      </c>
      <c r="T515" s="7">
        <f>'1 datos preparados'!S508</f>
        <v/>
      </c>
      <c r="U515" s="7">
        <f>'1 datos preparados'!T508</f>
        <v/>
      </c>
      <c r="V515" s="8">
        <f>$AC$12+D515*$AC$13+E515*$AC$14+F515*$AC$15+G515*$AC$16+H515*$AC$17+I515*$AC$18+J515*$AC$19+K515*$AC$20+L515*$AC$21+M515*$AC$22+N515*$AC$23+O515*$AC$24+P515*$AC$25+Q515*$AC$26+R515*$AC$27+S515*$AC$28+T515*$AC$29+U515*$AC$30</f>
        <v/>
      </c>
      <c r="W515" s="8">
        <f>1/(1+EXP(-V515))</f>
        <v/>
      </c>
      <c r="X515" s="9">
        <f>-IF(C515=1,LN(W515),LN(1-W515))</f>
        <v/>
      </c>
      <c r="Y515" s="10">
        <f>IF(W515&gt;$AC$34,1,0)</f>
        <v/>
      </c>
      <c r="Z515">
        <f>IF(Y515=C515,1,0)</f>
        <v/>
      </c>
    </row>
    <row r="516">
      <c r="A516">
        <f>'1 datos preparados'!A509</f>
        <v/>
      </c>
      <c r="B516" s="5">
        <f>'1 datos preparados'!U509</f>
        <v/>
      </c>
      <c r="C516">
        <f>'1 datos preparados'!B509</f>
        <v/>
      </c>
      <c r="D516" s="7">
        <f>'1 datos preparados'!C509</f>
        <v/>
      </c>
      <c r="E516" s="7">
        <f>'1 datos preparados'!D509</f>
        <v/>
      </c>
      <c r="F516" s="7">
        <f>'1 datos preparados'!E509</f>
        <v/>
      </c>
      <c r="G516" s="7">
        <f>'1 datos preparados'!F509</f>
        <v/>
      </c>
      <c r="H516" s="7">
        <f>'1 datos preparados'!G509</f>
        <v/>
      </c>
      <c r="I516" s="7">
        <f>'1 datos preparados'!H509</f>
        <v/>
      </c>
      <c r="J516" s="7">
        <f>'1 datos preparados'!I509</f>
        <v/>
      </c>
      <c r="K516" s="7">
        <f>'1 datos preparados'!J509</f>
        <v/>
      </c>
      <c r="L516" s="7">
        <f>'1 datos preparados'!K509</f>
        <v/>
      </c>
      <c r="M516" s="7">
        <f>'1 datos preparados'!L509</f>
        <v/>
      </c>
      <c r="N516" s="7">
        <f>'1 datos preparados'!M509</f>
        <v/>
      </c>
      <c r="O516" s="7">
        <f>'1 datos preparados'!N509</f>
        <v/>
      </c>
      <c r="P516" s="7">
        <f>'1 datos preparados'!O509</f>
        <v/>
      </c>
      <c r="Q516" s="7">
        <f>'1 datos preparados'!P509</f>
        <v/>
      </c>
      <c r="R516" s="7">
        <f>'1 datos preparados'!Q509</f>
        <v/>
      </c>
      <c r="S516" s="7">
        <f>'1 datos preparados'!R509</f>
        <v/>
      </c>
      <c r="T516" s="7">
        <f>'1 datos preparados'!S509</f>
        <v/>
      </c>
      <c r="U516" s="7">
        <f>'1 datos preparados'!T509</f>
        <v/>
      </c>
      <c r="V516" s="8">
        <f>$AC$12+D516*$AC$13+E516*$AC$14+F516*$AC$15+G516*$AC$16+H516*$AC$17+I516*$AC$18+J516*$AC$19+K516*$AC$20+L516*$AC$21+M516*$AC$22+N516*$AC$23+O516*$AC$24+P516*$AC$25+Q516*$AC$26+R516*$AC$27+S516*$AC$28+T516*$AC$29+U516*$AC$30</f>
        <v/>
      </c>
      <c r="W516" s="8">
        <f>1/(1+EXP(-V516))</f>
        <v/>
      </c>
      <c r="X516" s="9">
        <f>-IF(C516=1,LN(W516),LN(1-W516))</f>
        <v/>
      </c>
      <c r="Y516" s="10">
        <f>IF(W516&gt;$AC$34,1,0)</f>
        <v/>
      </c>
      <c r="Z516">
        <f>IF(Y516=C516,1,0)</f>
        <v/>
      </c>
    </row>
    <row r="517">
      <c r="A517">
        <f>'1 datos preparados'!A510</f>
        <v/>
      </c>
      <c r="B517" s="5">
        <f>'1 datos preparados'!U510</f>
        <v/>
      </c>
      <c r="C517">
        <f>'1 datos preparados'!B510</f>
        <v/>
      </c>
      <c r="D517" s="7">
        <f>'1 datos preparados'!C510</f>
        <v/>
      </c>
      <c r="E517" s="7">
        <f>'1 datos preparados'!D510</f>
        <v/>
      </c>
      <c r="F517" s="7">
        <f>'1 datos preparados'!E510</f>
        <v/>
      </c>
      <c r="G517" s="7">
        <f>'1 datos preparados'!F510</f>
        <v/>
      </c>
      <c r="H517" s="7">
        <f>'1 datos preparados'!G510</f>
        <v/>
      </c>
      <c r="I517" s="7">
        <f>'1 datos preparados'!H510</f>
        <v/>
      </c>
      <c r="J517" s="7">
        <f>'1 datos preparados'!I510</f>
        <v/>
      </c>
      <c r="K517" s="7">
        <f>'1 datos preparados'!J510</f>
        <v/>
      </c>
      <c r="L517" s="7">
        <f>'1 datos preparados'!K510</f>
        <v/>
      </c>
      <c r="M517" s="7">
        <f>'1 datos preparados'!L510</f>
        <v/>
      </c>
      <c r="N517" s="7">
        <f>'1 datos preparados'!M510</f>
        <v/>
      </c>
      <c r="O517" s="7">
        <f>'1 datos preparados'!N510</f>
        <v/>
      </c>
      <c r="P517" s="7">
        <f>'1 datos preparados'!O510</f>
        <v/>
      </c>
      <c r="Q517" s="7">
        <f>'1 datos preparados'!P510</f>
        <v/>
      </c>
      <c r="R517" s="7">
        <f>'1 datos preparados'!Q510</f>
        <v/>
      </c>
      <c r="S517" s="7">
        <f>'1 datos preparados'!R510</f>
        <v/>
      </c>
      <c r="T517" s="7">
        <f>'1 datos preparados'!S510</f>
        <v/>
      </c>
      <c r="U517" s="7">
        <f>'1 datos preparados'!T510</f>
        <v/>
      </c>
      <c r="V517" s="8">
        <f>$AC$12+D517*$AC$13+E517*$AC$14+F517*$AC$15+G517*$AC$16+H517*$AC$17+I517*$AC$18+J517*$AC$19+K517*$AC$20+L517*$AC$21+M517*$AC$22+N517*$AC$23+O517*$AC$24+P517*$AC$25+Q517*$AC$26+R517*$AC$27+S517*$AC$28+T517*$AC$29+U517*$AC$30</f>
        <v/>
      </c>
      <c r="W517" s="8">
        <f>1/(1+EXP(-V517))</f>
        <v/>
      </c>
      <c r="X517" s="9">
        <f>-IF(C517=1,LN(W517),LN(1-W517))</f>
        <v/>
      </c>
      <c r="Y517" s="10">
        <f>IF(W517&gt;$AC$34,1,0)</f>
        <v/>
      </c>
      <c r="Z517">
        <f>IF(Y517=C517,1,0)</f>
        <v/>
      </c>
    </row>
    <row r="518">
      <c r="A518">
        <f>'1 datos preparados'!A511</f>
        <v/>
      </c>
      <c r="B518" s="5">
        <f>'1 datos preparados'!U511</f>
        <v/>
      </c>
      <c r="C518">
        <f>'1 datos preparados'!B511</f>
        <v/>
      </c>
      <c r="D518" s="7">
        <f>'1 datos preparados'!C511</f>
        <v/>
      </c>
      <c r="E518" s="7">
        <f>'1 datos preparados'!D511</f>
        <v/>
      </c>
      <c r="F518" s="7">
        <f>'1 datos preparados'!E511</f>
        <v/>
      </c>
      <c r="G518" s="7">
        <f>'1 datos preparados'!F511</f>
        <v/>
      </c>
      <c r="H518" s="7">
        <f>'1 datos preparados'!G511</f>
        <v/>
      </c>
      <c r="I518" s="7">
        <f>'1 datos preparados'!H511</f>
        <v/>
      </c>
      <c r="J518" s="7">
        <f>'1 datos preparados'!I511</f>
        <v/>
      </c>
      <c r="K518" s="7">
        <f>'1 datos preparados'!J511</f>
        <v/>
      </c>
      <c r="L518" s="7">
        <f>'1 datos preparados'!K511</f>
        <v/>
      </c>
      <c r="M518" s="7">
        <f>'1 datos preparados'!L511</f>
        <v/>
      </c>
      <c r="N518" s="7">
        <f>'1 datos preparados'!M511</f>
        <v/>
      </c>
      <c r="O518" s="7">
        <f>'1 datos preparados'!N511</f>
        <v/>
      </c>
      <c r="P518" s="7">
        <f>'1 datos preparados'!O511</f>
        <v/>
      </c>
      <c r="Q518" s="7">
        <f>'1 datos preparados'!P511</f>
        <v/>
      </c>
      <c r="R518" s="7">
        <f>'1 datos preparados'!Q511</f>
        <v/>
      </c>
      <c r="S518" s="7">
        <f>'1 datos preparados'!R511</f>
        <v/>
      </c>
      <c r="T518" s="7">
        <f>'1 datos preparados'!S511</f>
        <v/>
      </c>
      <c r="U518" s="7">
        <f>'1 datos preparados'!T511</f>
        <v/>
      </c>
      <c r="V518" s="8">
        <f>$AC$12+D518*$AC$13+E518*$AC$14+F518*$AC$15+G518*$AC$16+H518*$AC$17+I518*$AC$18+J518*$AC$19+K518*$AC$20+L518*$AC$21+M518*$AC$22+N518*$AC$23+O518*$AC$24+P518*$AC$25+Q518*$AC$26+R518*$AC$27+S518*$AC$28+T518*$AC$29+U518*$AC$30</f>
        <v/>
      </c>
      <c r="W518" s="8">
        <f>1/(1+EXP(-V518))</f>
        <v/>
      </c>
      <c r="X518" s="9">
        <f>-IF(C518=1,LN(W518),LN(1-W518))</f>
        <v/>
      </c>
      <c r="Y518" s="10">
        <f>IF(W518&gt;$AC$34,1,0)</f>
        <v/>
      </c>
      <c r="Z518">
        <f>IF(Y518=C518,1,0)</f>
        <v/>
      </c>
    </row>
    <row r="519">
      <c r="A519">
        <f>'1 datos preparados'!A512</f>
        <v/>
      </c>
      <c r="B519" s="5">
        <f>'1 datos preparados'!U512</f>
        <v/>
      </c>
      <c r="C519">
        <f>'1 datos preparados'!B512</f>
        <v/>
      </c>
      <c r="D519" s="7">
        <f>'1 datos preparados'!C512</f>
        <v/>
      </c>
      <c r="E519" s="7">
        <f>'1 datos preparados'!D512</f>
        <v/>
      </c>
      <c r="F519" s="7">
        <f>'1 datos preparados'!E512</f>
        <v/>
      </c>
      <c r="G519" s="7">
        <f>'1 datos preparados'!F512</f>
        <v/>
      </c>
      <c r="H519" s="7">
        <f>'1 datos preparados'!G512</f>
        <v/>
      </c>
      <c r="I519" s="7">
        <f>'1 datos preparados'!H512</f>
        <v/>
      </c>
      <c r="J519" s="7">
        <f>'1 datos preparados'!I512</f>
        <v/>
      </c>
      <c r="K519" s="7">
        <f>'1 datos preparados'!J512</f>
        <v/>
      </c>
      <c r="L519" s="7">
        <f>'1 datos preparados'!K512</f>
        <v/>
      </c>
      <c r="M519" s="7">
        <f>'1 datos preparados'!L512</f>
        <v/>
      </c>
      <c r="N519" s="7">
        <f>'1 datos preparados'!M512</f>
        <v/>
      </c>
      <c r="O519" s="7">
        <f>'1 datos preparados'!N512</f>
        <v/>
      </c>
      <c r="P519" s="7">
        <f>'1 datos preparados'!O512</f>
        <v/>
      </c>
      <c r="Q519" s="7">
        <f>'1 datos preparados'!P512</f>
        <v/>
      </c>
      <c r="R519" s="7">
        <f>'1 datos preparados'!Q512</f>
        <v/>
      </c>
      <c r="S519" s="7">
        <f>'1 datos preparados'!R512</f>
        <v/>
      </c>
      <c r="T519" s="7">
        <f>'1 datos preparados'!S512</f>
        <v/>
      </c>
      <c r="U519" s="7">
        <f>'1 datos preparados'!T512</f>
        <v/>
      </c>
      <c r="V519" s="8">
        <f>$AC$12+D519*$AC$13+E519*$AC$14+F519*$AC$15+G519*$AC$16+H519*$AC$17+I519*$AC$18+J519*$AC$19+K519*$AC$20+L519*$AC$21+M519*$AC$22+N519*$AC$23+O519*$AC$24+P519*$AC$25+Q519*$AC$26+R519*$AC$27+S519*$AC$28+T519*$AC$29+U519*$AC$30</f>
        <v/>
      </c>
      <c r="W519" s="8">
        <f>1/(1+EXP(-V519))</f>
        <v/>
      </c>
      <c r="X519" s="9">
        <f>-IF(C519=1,LN(W519),LN(1-W519))</f>
        <v/>
      </c>
      <c r="Y519" s="10">
        <f>IF(W519&gt;$AC$34,1,0)</f>
        <v/>
      </c>
      <c r="Z519">
        <f>IF(Y519=C519,1,0)</f>
        <v/>
      </c>
    </row>
    <row r="520">
      <c r="A520">
        <f>'1 datos preparados'!A513</f>
        <v/>
      </c>
      <c r="B520" s="5">
        <f>'1 datos preparados'!U513</f>
        <v/>
      </c>
      <c r="C520">
        <f>'1 datos preparados'!B513</f>
        <v/>
      </c>
      <c r="D520" s="7">
        <f>'1 datos preparados'!C513</f>
        <v/>
      </c>
      <c r="E520" s="7">
        <f>'1 datos preparados'!D513</f>
        <v/>
      </c>
      <c r="F520" s="7">
        <f>'1 datos preparados'!E513</f>
        <v/>
      </c>
      <c r="G520" s="7">
        <f>'1 datos preparados'!F513</f>
        <v/>
      </c>
      <c r="H520" s="7">
        <f>'1 datos preparados'!G513</f>
        <v/>
      </c>
      <c r="I520" s="7">
        <f>'1 datos preparados'!H513</f>
        <v/>
      </c>
      <c r="J520" s="7">
        <f>'1 datos preparados'!I513</f>
        <v/>
      </c>
      <c r="K520" s="7">
        <f>'1 datos preparados'!J513</f>
        <v/>
      </c>
      <c r="L520" s="7">
        <f>'1 datos preparados'!K513</f>
        <v/>
      </c>
      <c r="M520" s="7">
        <f>'1 datos preparados'!L513</f>
        <v/>
      </c>
      <c r="N520" s="7">
        <f>'1 datos preparados'!M513</f>
        <v/>
      </c>
      <c r="O520" s="7">
        <f>'1 datos preparados'!N513</f>
        <v/>
      </c>
      <c r="P520" s="7">
        <f>'1 datos preparados'!O513</f>
        <v/>
      </c>
      <c r="Q520" s="7">
        <f>'1 datos preparados'!P513</f>
        <v/>
      </c>
      <c r="R520" s="7">
        <f>'1 datos preparados'!Q513</f>
        <v/>
      </c>
      <c r="S520" s="7">
        <f>'1 datos preparados'!R513</f>
        <v/>
      </c>
      <c r="T520" s="7">
        <f>'1 datos preparados'!S513</f>
        <v/>
      </c>
      <c r="U520" s="7">
        <f>'1 datos preparados'!T513</f>
        <v/>
      </c>
      <c r="V520" s="8">
        <f>$AC$12+D520*$AC$13+E520*$AC$14+F520*$AC$15+G520*$AC$16+H520*$AC$17+I520*$AC$18+J520*$AC$19+K520*$AC$20+L520*$AC$21+M520*$AC$22+N520*$AC$23+O520*$AC$24+P520*$AC$25+Q520*$AC$26+R520*$AC$27+S520*$AC$28+T520*$AC$29+U520*$AC$30</f>
        <v/>
      </c>
      <c r="W520" s="8">
        <f>1/(1+EXP(-V520))</f>
        <v/>
      </c>
      <c r="X520" s="9">
        <f>-IF(C520=1,LN(W520),LN(1-W520))</f>
        <v/>
      </c>
      <c r="Y520" s="10">
        <f>IF(W520&gt;$AC$34,1,0)</f>
        <v/>
      </c>
      <c r="Z520">
        <f>IF(Y520=C520,1,0)</f>
        <v/>
      </c>
    </row>
    <row r="521">
      <c r="A521">
        <f>'1 datos preparados'!A514</f>
        <v/>
      </c>
      <c r="B521" s="5">
        <f>'1 datos preparados'!U514</f>
        <v/>
      </c>
      <c r="C521">
        <f>'1 datos preparados'!B514</f>
        <v/>
      </c>
      <c r="D521" s="7">
        <f>'1 datos preparados'!C514</f>
        <v/>
      </c>
      <c r="E521" s="7">
        <f>'1 datos preparados'!D514</f>
        <v/>
      </c>
      <c r="F521" s="7">
        <f>'1 datos preparados'!E514</f>
        <v/>
      </c>
      <c r="G521" s="7">
        <f>'1 datos preparados'!F514</f>
        <v/>
      </c>
      <c r="H521" s="7">
        <f>'1 datos preparados'!G514</f>
        <v/>
      </c>
      <c r="I521" s="7">
        <f>'1 datos preparados'!H514</f>
        <v/>
      </c>
      <c r="J521" s="7">
        <f>'1 datos preparados'!I514</f>
        <v/>
      </c>
      <c r="K521" s="7">
        <f>'1 datos preparados'!J514</f>
        <v/>
      </c>
      <c r="L521" s="7">
        <f>'1 datos preparados'!K514</f>
        <v/>
      </c>
      <c r="M521" s="7">
        <f>'1 datos preparados'!L514</f>
        <v/>
      </c>
      <c r="N521" s="7">
        <f>'1 datos preparados'!M514</f>
        <v/>
      </c>
      <c r="O521" s="7">
        <f>'1 datos preparados'!N514</f>
        <v/>
      </c>
      <c r="P521" s="7">
        <f>'1 datos preparados'!O514</f>
        <v/>
      </c>
      <c r="Q521" s="7">
        <f>'1 datos preparados'!P514</f>
        <v/>
      </c>
      <c r="R521" s="7">
        <f>'1 datos preparados'!Q514</f>
        <v/>
      </c>
      <c r="S521" s="7">
        <f>'1 datos preparados'!R514</f>
        <v/>
      </c>
      <c r="T521" s="7">
        <f>'1 datos preparados'!S514</f>
        <v/>
      </c>
      <c r="U521" s="7">
        <f>'1 datos preparados'!T514</f>
        <v/>
      </c>
      <c r="V521" s="8">
        <f>$AC$12+D521*$AC$13+E521*$AC$14+F521*$AC$15+G521*$AC$16+H521*$AC$17+I521*$AC$18+J521*$AC$19+K521*$AC$20+L521*$AC$21+M521*$AC$22+N521*$AC$23+O521*$AC$24+P521*$AC$25+Q521*$AC$26+R521*$AC$27+S521*$AC$28+T521*$AC$29+U521*$AC$30</f>
        <v/>
      </c>
      <c r="W521" s="8">
        <f>1/(1+EXP(-V521))</f>
        <v/>
      </c>
      <c r="X521" s="9">
        <f>-IF(C521=1,LN(W521),LN(1-W521))</f>
        <v/>
      </c>
      <c r="Y521" s="10">
        <f>IF(W521&gt;$AC$34,1,0)</f>
        <v/>
      </c>
      <c r="Z521">
        <f>IF(Y521=C521,1,0)</f>
        <v/>
      </c>
    </row>
    <row r="522">
      <c r="A522">
        <f>'1 datos preparados'!A515</f>
        <v/>
      </c>
      <c r="B522" s="5">
        <f>'1 datos preparados'!U515</f>
        <v/>
      </c>
      <c r="C522">
        <f>'1 datos preparados'!B515</f>
        <v/>
      </c>
      <c r="D522" s="7">
        <f>'1 datos preparados'!C515</f>
        <v/>
      </c>
      <c r="E522" s="7">
        <f>'1 datos preparados'!D515</f>
        <v/>
      </c>
      <c r="F522" s="7">
        <f>'1 datos preparados'!E515</f>
        <v/>
      </c>
      <c r="G522" s="7">
        <f>'1 datos preparados'!F515</f>
        <v/>
      </c>
      <c r="H522" s="7">
        <f>'1 datos preparados'!G515</f>
        <v/>
      </c>
      <c r="I522" s="7">
        <f>'1 datos preparados'!H515</f>
        <v/>
      </c>
      <c r="J522" s="7">
        <f>'1 datos preparados'!I515</f>
        <v/>
      </c>
      <c r="K522" s="7">
        <f>'1 datos preparados'!J515</f>
        <v/>
      </c>
      <c r="L522" s="7">
        <f>'1 datos preparados'!K515</f>
        <v/>
      </c>
      <c r="M522" s="7">
        <f>'1 datos preparados'!L515</f>
        <v/>
      </c>
      <c r="N522" s="7">
        <f>'1 datos preparados'!M515</f>
        <v/>
      </c>
      <c r="O522" s="7">
        <f>'1 datos preparados'!N515</f>
        <v/>
      </c>
      <c r="P522" s="7">
        <f>'1 datos preparados'!O515</f>
        <v/>
      </c>
      <c r="Q522" s="7">
        <f>'1 datos preparados'!P515</f>
        <v/>
      </c>
      <c r="R522" s="7">
        <f>'1 datos preparados'!Q515</f>
        <v/>
      </c>
      <c r="S522" s="7">
        <f>'1 datos preparados'!R515</f>
        <v/>
      </c>
      <c r="T522" s="7">
        <f>'1 datos preparados'!S515</f>
        <v/>
      </c>
      <c r="U522" s="7">
        <f>'1 datos preparados'!T515</f>
        <v/>
      </c>
      <c r="V522" s="8">
        <f>$AC$12+D522*$AC$13+E522*$AC$14+F522*$AC$15+G522*$AC$16+H522*$AC$17+I522*$AC$18+J522*$AC$19+K522*$AC$20+L522*$AC$21+M522*$AC$22+N522*$AC$23+O522*$AC$24+P522*$AC$25+Q522*$AC$26+R522*$AC$27+S522*$AC$28+T522*$AC$29+U522*$AC$30</f>
        <v/>
      </c>
      <c r="W522" s="8">
        <f>1/(1+EXP(-V522))</f>
        <v/>
      </c>
      <c r="X522" s="9">
        <f>-IF(C522=1,LN(W522),LN(1-W522))</f>
        <v/>
      </c>
      <c r="Y522" s="10">
        <f>IF(W522&gt;$AC$34,1,0)</f>
        <v/>
      </c>
      <c r="Z522">
        <f>IF(Y522=C522,1,0)</f>
        <v/>
      </c>
    </row>
    <row r="523">
      <c r="A523">
        <f>'1 datos preparados'!A516</f>
        <v/>
      </c>
      <c r="B523" s="5">
        <f>'1 datos preparados'!U516</f>
        <v/>
      </c>
      <c r="C523">
        <f>'1 datos preparados'!B516</f>
        <v/>
      </c>
      <c r="D523" s="7">
        <f>'1 datos preparados'!C516</f>
        <v/>
      </c>
      <c r="E523" s="7">
        <f>'1 datos preparados'!D516</f>
        <v/>
      </c>
      <c r="F523" s="7">
        <f>'1 datos preparados'!E516</f>
        <v/>
      </c>
      <c r="G523" s="7">
        <f>'1 datos preparados'!F516</f>
        <v/>
      </c>
      <c r="H523" s="7">
        <f>'1 datos preparados'!G516</f>
        <v/>
      </c>
      <c r="I523" s="7">
        <f>'1 datos preparados'!H516</f>
        <v/>
      </c>
      <c r="J523" s="7">
        <f>'1 datos preparados'!I516</f>
        <v/>
      </c>
      <c r="K523" s="7">
        <f>'1 datos preparados'!J516</f>
        <v/>
      </c>
      <c r="L523" s="7">
        <f>'1 datos preparados'!K516</f>
        <v/>
      </c>
      <c r="M523" s="7">
        <f>'1 datos preparados'!L516</f>
        <v/>
      </c>
      <c r="N523" s="7">
        <f>'1 datos preparados'!M516</f>
        <v/>
      </c>
      <c r="O523" s="7">
        <f>'1 datos preparados'!N516</f>
        <v/>
      </c>
      <c r="P523" s="7">
        <f>'1 datos preparados'!O516</f>
        <v/>
      </c>
      <c r="Q523" s="7">
        <f>'1 datos preparados'!P516</f>
        <v/>
      </c>
      <c r="R523" s="7">
        <f>'1 datos preparados'!Q516</f>
        <v/>
      </c>
      <c r="S523" s="7">
        <f>'1 datos preparados'!R516</f>
        <v/>
      </c>
      <c r="T523" s="7">
        <f>'1 datos preparados'!S516</f>
        <v/>
      </c>
      <c r="U523" s="7">
        <f>'1 datos preparados'!T516</f>
        <v/>
      </c>
      <c r="V523" s="8">
        <f>$AC$12+D523*$AC$13+E523*$AC$14+F523*$AC$15+G523*$AC$16+H523*$AC$17+I523*$AC$18+J523*$AC$19+K523*$AC$20+L523*$AC$21+M523*$AC$22+N523*$AC$23+O523*$AC$24+P523*$AC$25+Q523*$AC$26+R523*$AC$27+S523*$AC$28+T523*$AC$29+U523*$AC$30</f>
        <v/>
      </c>
      <c r="W523" s="8">
        <f>1/(1+EXP(-V523))</f>
        <v/>
      </c>
      <c r="X523" s="9">
        <f>-IF(C523=1,LN(W523),LN(1-W523))</f>
        <v/>
      </c>
      <c r="Y523" s="10">
        <f>IF(W523&gt;$AC$34,1,0)</f>
        <v/>
      </c>
      <c r="Z523">
        <f>IF(Y523=C523,1,0)</f>
        <v/>
      </c>
    </row>
    <row r="524">
      <c r="A524">
        <f>'1 datos preparados'!A517</f>
        <v/>
      </c>
      <c r="B524" s="5">
        <f>'1 datos preparados'!U517</f>
        <v/>
      </c>
      <c r="C524">
        <f>'1 datos preparados'!B517</f>
        <v/>
      </c>
      <c r="D524" s="7">
        <f>'1 datos preparados'!C517</f>
        <v/>
      </c>
      <c r="E524" s="7">
        <f>'1 datos preparados'!D517</f>
        <v/>
      </c>
      <c r="F524" s="7">
        <f>'1 datos preparados'!E517</f>
        <v/>
      </c>
      <c r="G524" s="7">
        <f>'1 datos preparados'!F517</f>
        <v/>
      </c>
      <c r="H524" s="7">
        <f>'1 datos preparados'!G517</f>
        <v/>
      </c>
      <c r="I524" s="7">
        <f>'1 datos preparados'!H517</f>
        <v/>
      </c>
      <c r="J524" s="7">
        <f>'1 datos preparados'!I517</f>
        <v/>
      </c>
      <c r="K524" s="7">
        <f>'1 datos preparados'!J517</f>
        <v/>
      </c>
      <c r="L524" s="7">
        <f>'1 datos preparados'!K517</f>
        <v/>
      </c>
      <c r="M524" s="7">
        <f>'1 datos preparados'!L517</f>
        <v/>
      </c>
      <c r="N524" s="7">
        <f>'1 datos preparados'!M517</f>
        <v/>
      </c>
      <c r="O524" s="7">
        <f>'1 datos preparados'!N517</f>
        <v/>
      </c>
      <c r="P524" s="7">
        <f>'1 datos preparados'!O517</f>
        <v/>
      </c>
      <c r="Q524" s="7">
        <f>'1 datos preparados'!P517</f>
        <v/>
      </c>
      <c r="R524" s="7">
        <f>'1 datos preparados'!Q517</f>
        <v/>
      </c>
      <c r="S524" s="7">
        <f>'1 datos preparados'!R517</f>
        <v/>
      </c>
      <c r="T524" s="7">
        <f>'1 datos preparados'!S517</f>
        <v/>
      </c>
      <c r="U524" s="7">
        <f>'1 datos preparados'!T517</f>
        <v/>
      </c>
      <c r="V524" s="8">
        <f>$AC$12+D524*$AC$13+E524*$AC$14+F524*$AC$15+G524*$AC$16+H524*$AC$17+I524*$AC$18+J524*$AC$19+K524*$AC$20+L524*$AC$21+M524*$AC$22+N524*$AC$23+O524*$AC$24+P524*$AC$25+Q524*$AC$26+R524*$AC$27+S524*$AC$28+T524*$AC$29+U524*$AC$30</f>
        <v/>
      </c>
      <c r="W524" s="8">
        <f>1/(1+EXP(-V524))</f>
        <v/>
      </c>
      <c r="X524" s="9">
        <f>-IF(C524=1,LN(W524),LN(1-W524))</f>
        <v/>
      </c>
      <c r="Y524" s="10">
        <f>IF(W524&gt;$AC$34,1,0)</f>
        <v/>
      </c>
      <c r="Z524">
        <f>IF(Y524=C524,1,0)</f>
        <v/>
      </c>
    </row>
    <row r="525">
      <c r="A525">
        <f>'1 datos preparados'!A518</f>
        <v/>
      </c>
      <c r="B525" s="5">
        <f>'1 datos preparados'!U518</f>
        <v/>
      </c>
      <c r="C525">
        <f>'1 datos preparados'!B518</f>
        <v/>
      </c>
      <c r="D525" s="7">
        <f>'1 datos preparados'!C518</f>
        <v/>
      </c>
      <c r="E525" s="7">
        <f>'1 datos preparados'!D518</f>
        <v/>
      </c>
      <c r="F525" s="7">
        <f>'1 datos preparados'!E518</f>
        <v/>
      </c>
      <c r="G525" s="7">
        <f>'1 datos preparados'!F518</f>
        <v/>
      </c>
      <c r="H525" s="7">
        <f>'1 datos preparados'!G518</f>
        <v/>
      </c>
      <c r="I525" s="7">
        <f>'1 datos preparados'!H518</f>
        <v/>
      </c>
      <c r="J525" s="7">
        <f>'1 datos preparados'!I518</f>
        <v/>
      </c>
      <c r="K525" s="7">
        <f>'1 datos preparados'!J518</f>
        <v/>
      </c>
      <c r="L525" s="7">
        <f>'1 datos preparados'!K518</f>
        <v/>
      </c>
      <c r="M525" s="7">
        <f>'1 datos preparados'!L518</f>
        <v/>
      </c>
      <c r="N525" s="7">
        <f>'1 datos preparados'!M518</f>
        <v/>
      </c>
      <c r="O525" s="7">
        <f>'1 datos preparados'!N518</f>
        <v/>
      </c>
      <c r="P525" s="7">
        <f>'1 datos preparados'!O518</f>
        <v/>
      </c>
      <c r="Q525" s="7">
        <f>'1 datos preparados'!P518</f>
        <v/>
      </c>
      <c r="R525" s="7">
        <f>'1 datos preparados'!Q518</f>
        <v/>
      </c>
      <c r="S525" s="7">
        <f>'1 datos preparados'!R518</f>
        <v/>
      </c>
      <c r="T525" s="7">
        <f>'1 datos preparados'!S518</f>
        <v/>
      </c>
      <c r="U525" s="7">
        <f>'1 datos preparados'!T518</f>
        <v/>
      </c>
      <c r="V525" s="8">
        <f>$AC$12+D525*$AC$13+E525*$AC$14+F525*$AC$15+G525*$AC$16+H525*$AC$17+I525*$AC$18+J525*$AC$19+K525*$AC$20+L525*$AC$21+M525*$AC$22+N525*$AC$23+O525*$AC$24+P525*$AC$25+Q525*$AC$26+R525*$AC$27+S525*$AC$28+T525*$AC$29+U525*$AC$30</f>
        <v/>
      </c>
      <c r="W525" s="8">
        <f>1/(1+EXP(-V525))</f>
        <v/>
      </c>
      <c r="X525" s="9">
        <f>-IF(C525=1,LN(W525),LN(1-W525))</f>
        <v/>
      </c>
      <c r="Y525" s="10">
        <f>IF(W525&gt;$AC$34,1,0)</f>
        <v/>
      </c>
      <c r="Z525">
        <f>IF(Y525=C525,1,0)</f>
        <v/>
      </c>
    </row>
    <row r="526">
      <c r="A526">
        <f>'1 datos preparados'!A519</f>
        <v/>
      </c>
      <c r="B526" s="5">
        <f>'1 datos preparados'!U519</f>
        <v/>
      </c>
      <c r="C526">
        <f>'1 datos preparados'!B519</f>
        <v/>
      </c>
      <c r="D526" s="7">
        <f>'1 datos preparados'!C519</f>
        <v/>
      </c>
      <c r="E526" s="7">
        <f>'1 datos preparados'!D519</f>
        <v/>
      </c>
      <c r="F526" s="7">
        <f>'1 datos preparados'!E519</f>
        <v/>
      </c>
      <c r="G526" s="7">
        <f>'1 datos preparados'!F519</f>
        <v/>
      </c>
      <c r="H526" s="7">
        <f>'1 datos preparados'!G519</f>
        <v/>
      </c>
      <c r="I526" s="7">
        <f>'1 datos preparados'!H519</f>
        <v/>
      </c>
      <c r="J526" s="7">
        <f>'1 datos preparados'!I519</f>
        <v/>
      </c>
      <c r="K526" s="7">
        <f>'1 datos preparados'!J519</f>
        <v/>
      </c>
      <c r="L526" s="7">
        <f>'1 datos preparados'!K519</f>
        <v/>
      </c>
      <c r="M526" s="7">
        <f>'1 datos preparados'!L519</f>
        <v/>
      </c>
      <c r="N526" s="7">
        <f>'1 datos preparados'!M519</f>
        <v/>
      </c>
      <c r="O526" s="7">
        <f>'1 datos preparados'!N519</f>
        <v/>
      </c>
      <c r="P526" s="7">
        <f>'1 datos preparados'!O519</f>
        <v/>
      </c>
      <c r="Q526" s="7">
        <f>'1 datos preparados'!P519</f>
        <v/>
      </c>
      <c r="R526" s="7">
        <f>'1 datos preparados'!Q519</f>
        <v/>
      </c>
      <c r="S526" s="7">
        <f>'1 datos preparados'!R519</f>
        <v/>
      </c>
      <c r="T526" s="7">
        <f>'1 datos preparados'!S519</f>
        <v/>
      </c>
      <c r="U526" s="7">
        <f>'1 datos preparados'!T519</f>
        <v/>
      </c>
      <c r="V526" s="8">
        <f>$AC$12+D526*$AC$13+E526*$AC$14+F526*$AC$15+G526*$AC$16+H526*$AC$17+I526*$AC$18+J526*$AC$19+K526*$AC$20+L526*$AC$21+M526*$AC$22+N526*$AC$23+O526*$AC$24+P526*$AC$25+Q526*$AC$26+R526*$AC$27+S526*$AC$28+T526*$AC$29+U526*$AC$30</f>
        <v/>
      </c>
      <c r="W526" s="8">
        <f>1/(1+EXP(-V526))</f>
        <v/>
      </c>
      <c r="X526" s="9">
        <f>-IF(C526=1,LN(W526),LN(1-W526))</f>
        <v/>
      </c>
      <c r="Y526" s="10">
        <f>IF(W526&gt;$AC$34,1,0)</f>
        <v/>
      </c>
      <c r="Z526">
        <f>IF(Y526=C526,1,0)</f>
        <v/>
      </c>
    </row>
    <row r="527">
      <c r="A527">
        <f>'1 datos preparados'!A520</f>
        <v/>
      </c>
      <c r="B527" s="5">
        <f>'1 datos preparados'!U520</f>
        <v/>
      </c>
      <c r="C527">
        <f>'1 datos preparados'!B520</f>
        <v/>
      </c>
      <c r="D527" s="7">
        <f>'1 datos preparados'!C520</f>
        <v/>
      </c>
      <c r="E527" s="7">
        <f>'1 datos preparados'!D520</f>
        <v/>
      </c>
      <c r="F527" s="7">
        <f>'1 datos preparados'!E520</f>
        <v/>
      </c>
      <c r="G527" s="7">
        <f>'1 datos preparados'!F520</f>
        <v/>
      </c>
      <c r="H527" s="7">
        <f>'1 datos preparados'!G520</f>
        <v/>
      </c>
      <c r="I527" s="7">
        <f>'1 datos preparados'!H520</f>
        <v/>
      </c>
      <c r="J527" s="7">
        <f>'1 datos preparados'!I520</f>
        <v/>
      </c>
      <c r="K527" s="7">
        <f>'1 datos preparados'!J520</f>
        <v/>
      </c>
      <c r="L527" s="7">
        <f>'1 datos preparados'!K520</f>
        <v/>
      </c>
      <c r="M527" s="7">
        <f>'1 datos preparados'!L520</f>
        <v/>
      </c>
      <c r="N527" s="7">
        <f>'1 datos preparados'!M520</f>
        <v/>
      </c>
      <c r="O527" s="7">
        <f>'1 datos preparados'!N520</f>
        <v/>
      </c>
      <c r="P527" s="7">
        <f>'1 datos preparados'!O520</f>
        <v/>
      </c>
      <c r="Q527" s="7">
        <f>'1 datos preparados'!P520</f>
        <v/>
      </c>
      <c r="R527" s="7">
        <f>'1 datos preparados'!Q520</f>
        <v/>
      </c>
      <c r="S527" s="7">
        <f>'1 datos preparados'!R520</f>
        <v/>
      </c>
      <c r="T527" s="7">
        <f>'1 datos preparados'!S520</f>
        <v/>
      </c>
      <c r="U527" s="7">
        <f>'1 datos preparados'!T520</f>
        <v/>
      </c>
      <c r="V527" s="8">
        <f>$AC$12+D527*$AC$13+E527*$AC$14+F527*$AC$15+G527*$AC$16+H527*$AC$17+I527*$AC$18+J527*$AC$19+K527*$AC$20+L527*$AC$21+M527*$AC$22+N527*$AC$23+O527*$AC$24+P527*$AC$25+Q527*$AC$26+R527*$AC$27+S527*$AC$28+T527*$AC$29+U527*$AC$30</f>
        <v/>
      </c>
      <c r="W527" s="8">
        <f>1/(1+EXP(-V527))</f>
        <v/>
      </c>
      <c r="X527" s="9">
        <f>-IF(C527=1,LN(W527),LN(1-W527))</f>
        <v/>
      </c>
      <c r="Y527" s="10">
        <f>IF(W527&gt;$AC$34,1,0)</f>
        <v/>
      </c>
      <c r="Z527">
        <f>IF(Y527=C527,1,0)</f>
        <v/>
      </c>
    </row>
    <row r="528">
      <c r="A528">
        <f>'1 datos preparados'!A521</f>
        <v/>
      </c>
      <c r="B528" s="5">
        <f>'1 datos preparados'!U521</f>
        <v/>
      </c>
      <c r="C528">
        <f>'1 datos preparados'!B521</f>
        <v/>
      </c>
      <c r="D528" s="7">
        <f>'1 datos preparados'!C521</f>
        <v/>
      </c>
      <c r="E528" s="7">
        <f>'1 datos preparados'!D521</f>
        <v/>
      </c>
      <c r="F528" s="7">
        <f>'1 datos preparados'!E521</f>
        <v/>
      </c>
      <c r="G528" s="7">
        <f>'1 datos preparados'!F521</f>
        <v/>
      </c>
      <c r="H528" s="7">
        <f>'1 datos preparados'!G521</f>
        <v/>
      </c>
      <c r="I528" s="7">
        <f>'1 datos preparados'!H521</f>
        <v/>
      </c>
      <c r="J528" s="7">
        <f>'1 datos preparados'!I521</f>
        <v/>
      </c>
      <c r="K528" s="7">
        <f>'1 datos preparados'!J521</f>
        <v/>
      </c>
      <c r="L528" s="7">
        <f>'1 datos preparados'!K521</f>
        <v/>
      </c>
      <c r="M528" s="7">
        <f>'1 datos preparados'!L521</f>
        <v/>
      </c>
      <c r="N528" s="7">
        <f>'1 datos preparados'!M521</f>
        <v/>
      </c>
      <c r="O528" s="7">
        <f>'1 datos preparados'!N521</f>
        <v/>
      </c>
      <c r="P528" s="7">
        <f>'1 datos preparados'!O521</f>
        <v/>
      </c>
      <c r="Q528" s="7">
        <f>'1 datos preparados'!P521</f>
        <v/>
      </c>
      <c r="R528" s="7">
        <f>'1 datos preparados'!Q521</f>
        <v/>
      </c>
      <c r="S528" s="7">
        <f>'1 datos preparados'!R521</f>
        <v/>
      </c>
      <c r="T528" s="7">
        <f>'1 datos preparados'!S521</f>
        <v/>
      </c>
      <c r="U528" s="7">
        <f>'1 datos preparados'!T521</f>
        <v/>
      </c>
      <c r="V528" s="8">
        <f>$AC$12+D528*$AC$13+E528*$AC$14+F528*$AC$15+G528*$AC$16+H528*$AC$17+I528*$AC$18+J528*$AC$19+K528*$AC$20+L528*$AC$21+M528*$AC$22+N528*$AC$23+O528*$AC$24+P528*$AC$25+Q528*$AC$26+R528*$AC$27+S528*$AC$28+T528*$AC$29+U528*$AC$30</f>
        <v/>
      </c>
      <c r="W528" s="8">
        <f>1/(1+EXP(-V528))</f>
        <v/>
      </c>
      <c r="X528" s="9">
        <f>-IF(C528=1,LN(W528),LN(1-W528))</f>
        <v/>
      </c>
      <c r="Y528" s="10">
        <f>IF(W528&gt;$AC$34,1,0)</f>
        <v/>
      </c>
      <c r="Z528">
        <f>IF(Y528=C528,1,0)</f>
        <v/>
      </c>
    </row>
    <row r="529">
      <c r="A529">
        <f>'1 datos preparados'!A522</f>
        <v/>
      </c>
      <c r="B529" s="5">
        <f>'1 datos preparados'!U522</f>
        <v/>
      </c>
      <c r="C529">
        <f>'1 datos preparados'!B522</f>
        <v/>
      </c>
      <c r="D529" s="7">
        <f>'1 datos preparados'!C522</f>
        <v/>
      </c>
      <c r="E529" s="7">
        <f>'1 datos preparados'!D522</f>
        <v/>
      </c>
      <c r="F529" s="7">
        <f>'1 datos preparados'!E522</f>
        <v/>
      </c>
      <c r="G529" s="7">
        <f>'1 datos preparados'!F522</f>
        <v/>
      </c>
      <c r="H529" s="7">
        <f>'1 datos preparados'!G522</f>
        <v/>
      </c>
      <c r="I529" s="7">
        <f>'1 datos preparados'!H522</f>
        <v/>
      </c>
      <c r="J529" s="7">
        <f>'1 datos preparados'!I522</f>
        <v/>
      </c>
      <c r="K529" s="7">
        <f>'1 datos preparados'!J522</f>
        <v/>
      </c>
      <c r="L529" s="7">
        <f>'1 datos preparados'!K522</f>
        <v/>
      </c>
      <c r="M529" s="7">
        <f>'1 datos preparados'!L522</f>
        <v/>
      </c>
      <c r="N529" s="7">
        <f>'1 datos preparados'!M522</f>
        <v/>
      </c>
      <c r="O529" s="7">
        <f>'1 datos preparados'!N522</f>
        <v/>
      </c>
      <c r="P529" s="7">
        <f>'1 datos preparados'!O522</f>
        <v/>
      </c>
      <c r="Q529" s="7">
        <f>'1 datos preparados'!P522</f>
        <v/>
      </c>
      <c r="R529" s="7">
        <f>'1 datos preparados'!Q522</f>
        <v/>
      </c>
      <c r="S529" s="7">
        <f>'1 datos preparados'!R522</f>
        <v/>
      </c>
      <c r="T529" s="7">
        <f>'1 datos preparados'!S522</f>
        <v/>
      </c>
      <c r="U529" s="7">
        <f>'1 datos preparados'!T522</f>
        <v/>
      </c>
      <c r="V529" s="8">
        <f>$AC$12+D529*$AC$13+E529*$AC$14+F529*$AC$15+G529*$AC$16+H529*$AC$17+I529*$AC$18+J529*$AC$19+K529*$AC$20+L529*$AC$21+M529*$AC$22+N529*$AC$23+O529*$AC$24+P529*$AC$25+Q529*$AC$26+R529*$AC$27+S529*$AC$28+T529*$AC$29+U529*$AC$30</f>
        <v/>
      </c>
      <c r="W529" s="8">
        <f>1/(1+EXP(-V529))</f>
        <v/>
      </c>
      <c r="X529" s="9">
        <f>-IF(C529=1,LN(W529),LN(1-W529))</f>
        <v/>
      </c>
      <c r="Y529" s="10">
        <f>IF(W529&gt;$AC$34,1,0)</f>
        <v/>
      </c>
      <c r="Z529">
        <f>IF(Y529=C529,1,0)</f>
        <v/>
      </c>
    </row>
    <row r="530">
      <c r="A530">
        <f>'1 datos preparados'!A523</f>
        <v/>
      </c>
      <c r="B530" s="5">
        <f>'1 datos preparados'!U523</f>
        <v/>
      </c>
      <c r="C530">
        <f>'1 datos preparados'!B523</f>
        <v/>
      </c>
      <c r="D530" s="7">
        <f>'1 datos preparados'!C523</f>
        <v/>
      </c>
      <c r="E530" s="7">
        <f>'1 datos preparados'!D523</f>
        <v/>
      </c>
      <c r="F530" s="7">
        <f>'1 datos preparados'!E523</f>
        <v/>
      </c>
      <c r="G530" s="7">
        <f>'1 datos preparados'!F523</f>
        <v/>
      </c>
      <c r="H530" s="7">
        <f>'1 datos preparados'!G523</f>
        <v/>
      </c>
      <c r="I530" s="7">
        <f>'1 datos preparados'!H523</f>
        <v/>
      </c>
      <c r="J530" s="7">
        <f>'1 datos preparados'!I523</f>
        <v/>
      </c>
      <c r="K530" s="7">
        <f>'1 datos preparados'!J523</f>
        <v/>
      </c>
      <c r="L530" s="7">
        <f>'1 datos preparados'!K523</f>
        <v/>
      </c>
      <c r="M530" s="7">
        <f>'1 datos preparados'!L523</f>
        <v/>
      </c>
      <c r="N530" s="7">
        <f>'1 datos preparados'!M523</f>
        <v/>
      </c>
      <c r="O530" s="7">
        <f>'1 datos preparados'!N523</f>
        <v/>
      </c>
      <c r="P530" s="7">
        <f>'1 datos preparados'!O523</f>
        <v/>
      </c>
      <c r="Q530" s="7">
        <f>'1 datos preparados'!P523</f>
        <v/>
      </c>
      <c r="R530" s="7">
        <f>'1 datos preparados'!Q523</f>
        <v/>
      </c>
      <c r="S530" s="7">
        <f>'1 datos preparados'!R523</f>
        <v/>
      </c>
      <c r="T530" s="7">
        <f>'1 datos preparados'!S523</f>
        <v/>
      </c>
      <c r="U530" s="7">
        <f>'1 datos preparados'!T523</f>
        <v/>
      </c>
      <c r="V530" s="8">
        <f>$AC$12+D530*$AC$13+E530*$AC$14+F530*$AC$15+G530*$AC$16+H530*$AC$17+I530*$AC$18+J530*$AC$19+K530*$AC$20+L530*$AC$21+M530*$AC$22+N530*$AC$23+O530*$AC$24+P530*$AC$25+Q530*$AC$26+R530*$AC$27+S530*$AC$28+T530*$AC$29+U530*$AC$30</f>
        <v/>
      </c>
      <c r="W530" s="8">
        <f>1/(1+EXP(-V530))</f>
        <v/>
      </c>
      <c r="X530" s="9">
        <f>-IF(C530=1,LN(W530),LN(1-W530))</f>
        <v/>
      </c>
      <c r="Y530" s="10">
        <f>IF(W530&gt;$AC$34,1,0)</f>
        <v/>
      </c>
      <c r="Z530">
        <f>IF(Y530=C530,1,0)</f>
        <v/>
      </c>
    </row>
    <row r="531">
      <c r="A531">
        <f>'1 datos preparados'!A524</f>
        <v/>
      </c>
      <c r="B531" s="5">
        <f>'1 datos preparados'!U524</f>
        <v/>
      </c>
      <c r="C531">
        <f>'1 datos preparados'!B524</f>
        <v/>
      </c>
      <c r="D531" s="7">
        <f>'1 datos preparados'!C524</f>
        <v/>
      </c>
      <c r="E531" s="7">
        <f>'1 datos preparados'!D524</f>
        <v/>
      </c>
      <c r="F531" s="7">
        <f>'1 datos preparados'!E524</f>
        <v/>
      </c>
      <c r="G531" s="7">
        <f>'1 datos preparados'!F524</f>
        <v/>
      </c>
      <c r="H531" s="7">
        <f>'1 datos preparados'!G524</f>
        <v/>
      </c>
      <c r="I531" s="7">
        <f>'1 datos preparados'!H524</f>
        <v/>
      </c>
      <c r="J531" s="7">
        <f>'1 datos preparados'!I524</f>
        <v/>
      </c>
      <c r="K531" s="7">
        <f>'1 datos preparados'!J524</f>
        <v/>
      </c>
      <c r="L531" s="7">
        <f>'1 datos preparados'!K524</f>
        <v/>
      </c>
      <c r="M531" s="7">
        <f>'1 datos preparados'!L524</f>
        <v/>
      </c>
      <c r="N531" s="7">
        <f>'1 datos preparados'!M524</f>
        <v/>
      </c>
      <c r="O531" s="7">
        <f>'1 datos preparados'!N524</f>
        <v/>
      </c>
      <c r="P531" s="7">
        <f>'1 datos preparados'!O524</f>
        <v/>
      </c>
      <c r="Q531" s="7">
        <f>'1 datos preparados'!P524</f>
        <v/>
      </c>
      <c r="R531" s="7">
        <f>'1 datos preparados'!Q524</f>
        <v/>
      </c>
      <c r="S531" s="7">
        <f>'1 datos preparados'!R524</f>
        <v/>
      </c>
      <c r="T531" s="7">
        <f>'1 datos preparados'!S524</f>
        <v/>
      </c>
      <c r="U531" s="7">
        <f>'1 datos preparados'!T524</f>
        <v/>
      </c>
      <c r="V531" s="8">
        <f>$AC$12+D531*$AC$13+E531*$AC$14+F531*$AC$15+G531*$AC$16+H531*$AC$17+I531*$AC$18+J531*$AC$19+K531*$AC$20+L531*$AC$21+M531*$AC$22+N531*$AC$23+O531*$AC$24+P531*$AC$25+Q531*$AC$26+R531*$AC$27+S531*$AC$28+T531*$AC$29+U531*$AC$30</f>
        <v/>
      </c>
      <c r="W531" s="8">
        <f>1/(1+EXP(-V531))</f>
        <v/>
      </c>
      <c r="X531" s="9">
        <f>-IF(C531=1,LN(W531),LN(1-W531))</f>
        <v/>
      </c>
      <c r="Y531" s="10">
        <f>IF(W531&gt;$AC$34,1,0)</f>
        <v/>
      </c>
      <c r="Z531">
        <f>IF(Y531=C531,1,0)</f>
        <v/>
      </c>
    </row>
    <row r="532">
      <c r="A532">
        <f>'1 datos preparados'!A525</f>
        <v/>
      </c>
      <c r="B532" s="5">
        <f>'1 datos preparados'!U525</f>
        <v/>
      </c>
      <c r="C532">
        <f>'1 datos preparados'!B525</f>
        <v/>
      </c>
      <c r="D532" s="7">
        <f>'1 datos preparados'!C525</f>
        <v/>
      </c>
      <c r="E532" s="7">
        <f>'1 datos preparados'!D525</f>
        <v/>
      </c>
      <c r="F532" s="7">
        <f>'1 datos preparados'!E525</f>
        <v/>
      </c>
      <c r="G532" s="7">
        <f>'1 datos preparados'!F525</f>
        <v/>
      </c>
      <c r="H532" s="7">
        <f>'1 datos preparados'!G525</f>
        <v/>
      </c>
      <c r="I532" s="7">
        <f>'1 datos preparados'!H525</f>
        <v/>
      </c>
      <c r="J532" s="7">
        <f>'1 datos preparados'!I525</f>
        <v/>
      </c>
      <c r="K532" s="7">
        <f>'1 datos preparados'!J525</f>
        <v/>
      </c>
      <c r="L532" s="7">
        <f>'1 datos preparados'!K525</f>
        <v/>
      </c>
      <c r="M532" s="7">
        <f>'1 datos preparados'!L525</f>
        <v/>
      </c>
      <c r="N532" s="7">
        <f>'1 datos preparados'!M525</f>
        <v/>
      </c>
      <c r="O532" s="7">
        <f>'1 datos preparados'!N525</f>
        <v/>
      </c>
      <c r="P532" s="7">
        <f>'1 datos preparados'!O525</f>
        <v/>
      </c>
      <c r="Q532" s="7">
        <f>'1 datos preparados'!P525</f>
        <v/>
      </c>
      <c r="R532" s="7">
        <f>'1 datos preparados'!Q525</f>
        <v/>
      </c>
      <c r="S532" s="7">
        <f>'1 datos preparados'!R525</f>
        <v/>
      </c>
      <c r="T532" s="7">
        <f>'1 datos preparados'!S525</f>
        <v/>
      </c>
      <c r="U532" s="7">
        <f>'1 datos preparados'!T525</f>
        <v/>
      </c>
      <c r="V532" s="8">
        <f>$AC$12+D532*$AC$13+E532*$AC$14+F532*$AC$15+G532*$AC$16+H532*$AC$17+I532*$AC$18+J532*$AC$19+K532*$AC$20+L532*$AC$21+M532*$AC$22+N532*$AC$23+O532*$AC$24+P532*$AC$25+Q532*$AC$26+R532*$AC$27+S532*$AC$28+T532*$AC$29+U532*$AC$30</f>
        <v/>
      </c>
      <c r="W532" s="8">
        <f>1/(1+EXP(-V532))</f>
        <v/>
      </c>
      <c r="X532" s="9">
        <f>-IF(C532=1,LN(W532),LN(1-W532))</f>
        <v/>
      </c>
      <c r="Y532" s="10">
        <f>IF(W532&gt;$AC$34,1,0)</f>
        <v/>
      </c>
      <c r="Z532">
        <f>IF(Y532=C532,1,0)</f>
        <v/>
      </c>
    </row>
    <row r="533">
      <c r="A533">
        <f>'1 datos preparados'!A526</f>
        <v/>
      </c>
      <c r="B533" s="5">
        <f>'1 datos preparados'!U526</f>
        <v/>
      </c>
      <c r="C533">
        <f>'1 datos preparados'!B526</f>
        <v/>
      </c>
      <c r="D533" s="7">
        <f>'1 datos preparados'!C526</f>
        <v/>
      </c>
      <c r="E533" s="7">
        <f>'1 datos preparados'!D526</f>
        <v/>
      </c>
      <c r="F533" s="7">
        <f>'1 datos preparados'!E526</f>
        <v/>
      </c>
      <c r="G533" s="7">
        <f>'1 datos preparados'!F526</f>
        <v/>
      </c>
      <c r="H533" s="7">
        <f>'1 datos preparados'!G526</f>
        <v/>
      </c>
      <c r="I533" s="7">
        <f>'1 datos preparados'!H526</f>
        <v/>
      </c>
      <c r="J533" s="7">
        <f>'1 datos preparados'!I526</f>
        <v/>
      </c>
      <c r="K533" s="7">
        <f>'1 datos preparados'!J526</f>
        <v/>
      </c>
      <c r="L533" s="7">
        <f>'1 datos preparados'!K526</f>
        <v/>
      </c>
      <c r="M533" s="7">
        <f>'1 datos preparados'!L526</f>
        <v/>
      </c>
      <c r="N533" s="7">
        <f>'1 datos preparados'!M526</f>
        <v/>
      </c>
      <c r="O533" s="7">
        <f>'1 datos preparados'!N526</f>
        <v/>
      </c>
      <c r="P533" s="7">
        <f>'1 datos preparados'!O526</f>
        <v/>
      </c>
      <c r="Q533" s="7">
        <f>'1 datos preparados'!P526</f>
        <v/>
      </c>
      <c r="R533" s="7">
        <f>'1 datos preparados'!Q526</f>
        <v/>
      </c>
      <c r="S533" s="7">
        <f>'1 datos preparados'!R526</f>
        <v/>
      </c>
      <c r="T533" s="7">
        <f>'1 datos preparados'!S526</f>
        <v/>
      </c>
      <c r="U533" s="7">
        <f>'1 datos preparados'!T526</f>
        <v/>
      </c>
      <c r="V533" s="8">
        <f>$AC$12+D533*$AC$13+E533*$AC$14+F533*$AC$15+G533*$AC$16+H533*$AC$17+I533*$AC$18+J533*$AC$19+K533*$AC$20+L533*$AC$21+M533*$AC$22+N533*$AC$23+O533*$AC$24+P533*$AC$25+Q533*$AC$26+R533*$AC$27+S533*$AC$28+T533*$AC$29+U533*$AC$30</f>
        <v/>
      </c>
      <c r="W533" s="8">
        <f>1/(1+EXP(-V533))</f>
        <v/>
      </c>
      <c r="X533" s="9">
        <f>-IF(C533=1,LN(W533),LN(1-W533))</f>
        <v/>
      </c>
      <c r="Y533" s="10">
        <f>IF(W533&gt;$AC$34,1,0)</f>
        <v/>
      </c>
      <c r="Z533">
        <f>IF(Y533=C533,1,0)</f>
        <v/>
      </c>
    </row>
    <row r="534">
      <c r="A534">
        <f>'1 datos preparados'!A527</f>
        <v/>
      </c>
      <c r="B534" s="5">
        <f>'1 datos preparados'!U527</f>
        <v/>
      </c>
      <c r="C534">
        <f>'1 datos preparados'!B527</f>
        <v/>
      </c>
      <c r="D534" s="7">
        <f>'1 datos preparados'!C527</f>
        <v/>
      </c>
      <c r="E534" s="7">
        <f>'1 datos preparados'!D527</f>
        <v/>
      </c>
      <c r="F534" s="7">
        <f>'1 datos preparados'!E527</f>
        <v/>
      </c>
      <c r="G534" s="7">
        <f>'1 datos preparados'!F527</f>
        <v/>
      </c>
      <c r="H534" s="7">
        <f>'1 datos preparados'!G527</f>
        <v/>
      </c>
      <c r="I534" s="7">
        <f>'1 datos preparados'!H527</f>
        <v/>
      </c>
      <c r="J534" s="7">
        <f>'1 datos preparados'!I527</f>
        <v/>
      </c>
      <c r="K534" s="7">
        <f>'1 datos preparados'!J527</f>
        <v/>
      </c>
      <c r="L534" s="7">
        <f>'1 datos preparados'!K527</f>
        <v/>
      </c>
      <c r="M534" s="7">
        <f>'1 datos preparados'!L527</f>
        <v/>
      </c>
      <c r="N534" s="7">
        <f>'1 datos preparados'!M527</f>
        <v/>
      </c>
      <c r="O534" s="7">
        <f>'1 datos preparados'!N527</f>
        <v/>
      </c>
      <c r="P534" s="7">
        <f>'1 datos preparados'!O527</f>
        <v/>
      </c>
      <c r="Q534" s="7">
        <f>'1 datos preparados'!P527</f>
        <v/>
      </c>
      <c r="R534" s="7">
        <f>'1 datos preparados'!Q527</f>
        <v/>
      </c>
      <c r="S534" s="7">
        <f>'1 datos preparados'!R527</f>
        <v/>
      </c>
      <c r="T534" s="7">
        <f>'1 datos preparados'!S527</f>
        <v/>
      </c>
      <c r="U534" s="7">
        <f>'1 datos preparados'!T527</f>
        <v/>
      </c>
      <c r="V534" s="8">
        <f>$AC$12+D534*$AC$13+E534*$AC$14+F534*$AC$15+G534*$AC$16+H534*$AC$17+I534*$AC$18+J534*$AC$19+K534*$AC$20+L534*$AC$21+M534*$AC$22+N534*$AC$23+O534*$AC$24+P534*$AC$25+Q534*$AC$26+R534*$AC$27+S534*$AC$28+T534*$AC$29+U534*$AC$30</f>
        <v/>
      </c>
      <c r="W534" s="8">
        <f>1/(1+EXP(-V534))</f>
        <v/>
      </c>
      <c r="X534" s="9">
        <f>-IF(C534=1,LN(W534),LN(1-W534))</f>
        <v/>
      </c>
      <c r="Y534" s="10">
        <f>IF(W534&gt;$AC$34,1,0)</f>
        <v/>
      </c>
      <c r="Z534">
        <f>IF(Y534=C534,1,0)</f>
        <v/>
      </c>
    </row>
    <row r="535">
      <c r="A535">
        <f>'1 datos preparados'!A528</f>
        <v/>
      </c>
      <c r="B535" s="5">
        <f>'1 datos preparados'!U528</f>
        <v/>
      </c>
      <c r="C535">
        <f>'1 datos preparados'!B528</f>
        <v/>
      </c>
      <c r="D535" s="7">
        <f>'1 datos preparados'!C528</f>
        <v/>
      </c>
      <c r="E535" s="7">
        <f>'1 datos preparados'!D528</f>
        <v/>
      </c>
      <c r="F535" s="7">
        <f>'1 datos preparados'!E528</f>
        <v/>
      </c>
      <c r="G535" s="7">
        <f>'1 datos preparados'!F528</f>
        <v/>
      </c>
      <c r="H535" s="7">
        <f>'1 datos preparados'!G528</f>
        <v/>
      </c>
      <c r="I535" s="7">
        <f>'1 datos preparados'!H528</f>
        <v/>
      </c>
      <c r="J535" s="7">
        <f>'1 datos preparados'!I528</f>
        <v/>
      </c>
      <c r="K535" s="7">
        <f>'1 datos preparados'!J528</f>
        <v/>
      </c>
      <c r="L535" s="7">
        <f>'1 datos preparados'!K528</f>
        <v/>
      </c>
      <c r="M535" s="7">
        <f>'1 datos preparados'!L528</f>
        <v/>
      </c>
      <c r="N535" s="7">
        <f>'1 datos preparados'!M528</f>
        <v/>
      </c>
      <c r="O535" s="7">
        <f>'1 datos preparados'!N528</f>
        <v/>
      </c>
      <c r="P535" s="7">
        <f>'1 datos preparados'!O528</f>
        <v/>
      </c>
      <c r="Q535" s="7">
        <f>'1 datos preparados'!P528</f>
        <v/>
      </c>
      <c r="R535" s="7">
        <f>'1 datos preparados'!Q528</f>
        <v/>
      </c>
      <c r="S535" s="7">
        <f>'1 datos preparados'!R528</f>
        <v/>
      </c>
      <c r="T535" s="7">
        <f>'1 datos preparados'!S528</f>
        <v/>
      </c>
      <c r="U535" s="7">
        <f>'1 datos preparados'!T528</f>
        <v/>
      </c>
      <c r="V535" s="8">
        <f>$AC$12+D535*$AC$13+E535*$AC$14+F535*$AC$15+G535*$AC$16+H535*$AC$17+I535*$AC$18+J535*$AC$19+K535*$AC$20+L535*$AC$21+M535*$AC$22+N535*$AC$23+O535*$AC$24+P535*$AC$25+Q535*$AC$26+R535*$AC$27+S535*$AC$28+T535*$AC$29+U535*$AC$30</f>
        <v/>
      </c>
      <c r="W535" s="8">
        <f>1/(1+EXP(-V535))</f>
        <v/>
      </c>
      <c r="X535" s="9">
        <f>-IF(C535=1,LN(W535),LN(1-W535))</f>
        <v/>
      </c>
      <c r="Y535" s="10">
        <f>IF(W535&gt;$AC$34,1,0)</f>
        <v/>
      </c>
      <c r="Z535">
        <f>IF(Y535=C535,1,0)</f>
        <v/>
      </c>
    </row>
    <row r="536">
      <c r="A536">
        <f>'1 datos preparados'!A529</f>
        <v/>
      </c>
      <c r="B536" s="5">
        <f>'1 datos preparados'!U529</f>
        <v/>
      </c>
      <c r="C536">
        <f>'1 datos preparados'!B529</f>
        <v/>
      </c>
      <c r="D536" s="7">
        <f>'1 datos preparados'!C529</f>
        <v/>
      </c>
      <c r="E536" s="7">
        <f>'1 datos preparados'!D529</f>
        <v/>
      </c>
      <c r="F536" s="7">
        <f>'1 datos preparados'!E529</f>
        <v/>
      </c>
      <c r="G536" s="7">
        <f>'1 datos preparados'!F529</f>
        <v/>
      </c>
      <c r="H536" s="7">
        <f>'1 datos preparados'!G529</f>
        <v/>
      </c>
      <c r="I536" s="7">
        <f>'1 datos preparados'!H529</f>
        <v/>
      </c>
      <c r="J536" s="7">
        <f>'1 datos preparados'!I529</f>
        <v/>
      </c>
      <c r="K536" s="7">
        <f>'1 datos preparados'!J529</f>
        <v/>
      </c>
      <c r="L536" s="7">
        <f>'1 datos preparados'!K529</f>
        <v/>
      </c>
      <c r="M536" s="7">
        <f>'1 datos preparados'!L529</f>
        <v/>
      </c>
      <c r="N536" s="7">
        <f>'1 datos preparados'!M529</f>
        <v/>
      </c>
      <c r="O536" s="7">
        <f>'1 datos preparados'!N529</f>
        <v/>
      </c>
      <c r="P536" s="7">
        <f>'1 datos preparados'!O529</f>
        <v/>
      </c>
      <c r="Q536" s="7">
        <f>'1 datos preparados'!P529</f>
        <v/>
      </c>
      <c r="R536" s="7">
        <f>'1 datos preparados'!Q529</f>
        <v/>
      </c>
      <c r="S536" s="7">
        <f>'1 datos preparados'!R529</f>
        <v/>
      </c>
      <c r="T536" s="7">
        <f>'1 datos preparados'!S529</f>
        <v/>
      </c>
      <c r="U536" s="7">
        <f>'1 datos preparados'!T529</f>
        <v/>
      </c>
      <c r="V536" s="8">
        <f>$AC$12+D536*$AC$13+E536*$AC$14+F536*$AC$15+G536*$AC$16+H536*$AC$17+I536*$AC$18+J536*$AC$19+K536*$AC$20+L536*$AC$21+M536*$AC$22+N536*$AC$23+O536*$AC$24+P536*$AC$25+Q536*$AC$26+R536*$AC$27+S536*$AC$28+T536*$AC$29+U536*$AC$30</f>
        <v/>
      </c>
      <c r="W536" s="8">
        <f>1/(1+EXP(-V536))</f>
        <v/>
      </c>
      <c r="X536" s="9">
        <f>-IF(C536=1,LN(W536),LN(1-W536))</f>
        <v/>
      </c>
      <c r="Y536" s="10">
        <f>IF(W536&gt;$AC$34,1,0)</f>
        <v/>
      </c>
      <c r="Z536">
        <f>IF(Y536=C536,1,0)</f>
        <v/>
      </c>
    </row>
    <row r="537">
      <c r="A537">
        <f>'1 datos preparados'!A530</f>
        <v/>
      </c>
      <c r="B537" s="5">
        <f>'1 datos preparados'!U530</f>
        <v/>
      </c>
      <c r="C537">
        <f>'1 datos preparados'!B530</f>
        <v/>
      </c>
      <c r="D537" s="7">
        <f>'1 datos preparados'!C530</f>
        <v/>
      </c>
      <c r="E537" s="7">
        <f>'1 datos preparados'!D530</f>
        <v/>
      </c>
      <c r="F537" s="7">
        <f>'1 datos preparados'!E530</f>
        <v/>
      </c>
      <c r="G537" s="7">
        <f>'1 datos preparados'!F530</f>
        <v/>
      </c>
      <c r="H537" s="7">
        <f>'1 datos preparados'!G530</f>
        <v/>
      </c>
      <c r="I537" s="7">
        <f>'1 datos preparados'!H530</f>
        <v/>
      </c>
      <c r="J537" s="7">
        <f>'1 datos preparados'!I530</f>
        <v/>
      </c>
      <c r="K537" s="7">
        <f>'1 datos preparados'!J530</f>
        <v/>
      </c>
      <c r="L537" s="7">
        <f>'1 datos preparados'!K530</f>
        <v/>
      </c>
      <c r="M537" s="7">
        <f>'1 datos preparados'!L530</f>
        <v/>
      </c>
      <c r="N537" s="7">
        <f>'1 datos preparados'!M530</f>
        <v/>
      </c>
      <c r="O537" s="7">
        <f>'1 datos preparados'!N530</f>
        <v/>
      </c>
      <c r="P537" s="7">
        <f>'1 datos preparados'!O530</f>
        <v/>
      </c>
      <c r="Q537" s="7">
        <f>'1 datos preparados'!P530</f>
        <v/>
      </c>
      <c r="R537" s="7">
        <f>'1 datos preparados'!Q530</f>
        <v/>
      </c>
      <c r="S537" s="7">
        <f>'1 datos preparados'!R530</f>
        <v/>
      </c>
      <c r="T537" s="7">
        <f>'1 datos preparados'!S530</f>
        <v/>
      </c>
      <c r="U537" s="7">
        <f>'1 datos preparados'!T530</f>
        <v/>
      </c>
      <c r="V537" s="8">
        <f>$AC$12+D537*$AC$13+E537*$AC$14+F537*$AC$15+G537*$AC$16+H537*$AC$17+I537*$AC$18+J537*$AC$19+K537*$AC$20+L537*$AC$21+M537*$AC$22+N537*$AC$23+O537*$AC$24+P537*$AC$25+Q537*$AC$26+R537*$AC$27+S537*$AC$28+T537*$AC$29+U537*$AC$30</f>
        <v/>
      </c>
      <c r="W537" s="8">
        <f>1/(1+EXP(-V537))</f>
        <v/>
      </c>
      <c r="X537" s="9">
        <f>-IF(C537=1,LN(W537),LN(1-W537))</f>
        <v/>
      </c>
      <c r="Y537" s="10">
        <f>IF(W537&gt;$AC$34,1,0)</f>
        <v/>
      </c>
      <c r="Z537">
        <f>IF(Y537=C537,1,0)</f>
        <v/>
      </c>
    </row>
    <row r="538">
      <c r="A538">
        <f>'1 datos preparados'!A531</f>
        <v/>
      </c>
      <c r="B538" s="5">
        <f>'1 datos preparados'!U531</f>
        <v/>
      </c>
      <c r="C538">
        <f>'1 datos preparados'!B531</f>
        <v/>
      </c>
      <c r="D538" s="7">
        <f>'1 datos preparados'!C531</f>
        <v/>
      </c>
      <c r="E538" s="7">
        <f>'1 datos preparados'!D531</f>
        <v/>
      </c>
      <c r="F538" s="7">
        <f>'1 datos preparados'!E531</f>
        <v/>
      </c>
      <c r="G538" s="7">
        <f>'1 datos preparados'!F531</f>
        <v/>
      </c>
      <c r="H538" s="7">
        <f>'1 datos preparados'!G531</f>
        <v/>
      </c>
      <c r="I538" s="7">
        <f>'1 datos preparados'!H531</f>
        <v/>
      </c>
      <c r="J538" s="7">
        <f>'1 datos preparados'!I531</f>
        <v/>
      </c>
      <c r="K538" s="7">
        <f>'1 datos preparados'!J531</f>
        <v/>
      </c>
      <c r="L538" s="7">
        <f>'1 datos preparados'!K531</f>
        <v/>
      </c>
      <c r="M538" s="7">
        <f>'1 datos preparados'!L531</f>
        <v/>
      </c>
      <c r="N538" s="7">
        <f>'1 datos preparados'!M531</f>
        <v/>
      </c>
      <c r="O538" s="7">
        <f>'1 datos preparados'!N531</f>
        <v/>
      </c>
      <c r="P538" s="7">
        <f>'1 datos preparados'!O531</f>
        <v/>
      </c>
      <c r="Q538" s="7">
        <f>'1 datos preparados'!P531</f>
        <v/>
      </c>
      <c r="R538" s="7">
        <f>'1 datos preparados'!Q531</f>
        <v/>
      </c>
      <c r="S538" s="7">
        <f>'1 datos preparados'!R531</f>
        <v/>
      </c>
      <c r="T538" s="7">
        <f>'1 datos preparados'!S531</f>
        <v/>
      </c>
      <c r="U538" s="7">
        <f>'1 datos preparados'!T531</f>
        <v/>
      </c>
      <c r="V538" s="8">
        <f>$AC$12+D538*$AC$13+E538*$AC$14+F538*$AC$15+G538*$AC$16+H538*$AC$17+I538*$AC$18+J538*$AC$19+K538*$AC$20+L538*$AC$21+M538*$AC$22+N538*$AC$23+O538*$AC$24+P538*$AC$25+Q538*$AC$26+R538*$AC$27+S538*$AC$28+T538*$AC$29+U538*$AC$30</f>
        <v/>
      </c>
      <c r="W538" s="8">
        <f>1/(1+EXP(-V538))</f>
        <v/>
      </c>
      <c r="X538" s="9">
        <f>-IF(C538=1,LN(W538),LN(1-W538))</f>
        <v/>
      </c>
      <c r="Y538" s="10">
        <f>IF(W538&gt;$AC$34,1,0)</f>
        <v/>
      </c>
      <c r="Z538">
        <f>IF(Y538=C538,1,0)</f>
        <v/>
      </c>
    </row>
    <row r="539">
      <c r="A539">
        <f>'1 datos preparados'!A532</f>
        <v/>
      </c>
      <c r="B539" s="5">
        <f>'1 datos preparados'!U532</f>
        <v/>
      </c>
      <c r="C539">
        <f>'1 datos preparados'!B532</f>
        <v/>
      </c>
      <c r="D539" s="7">
        <f>'1 datos preparados'!C532</f>
        <v/>
      </c>
      <c r="E539" s="7">
        <f>'1 datos preparados'!D532</f>
        <v/>
      </c>
      <c r="F539" s="7">
        <f>'1 datos preparados'!E532</f>
        <v/>
      </c>
      <c r="G539" s="7">
        <f>'1 datos preparados'!F532</f>
        <v/>
      </c>
      <c r="H539" s="7">
        <f>'1 datos preparados'!G532</f>
        <v/>
      </c>
      <c r="I539" s="7">
        <f>'1 datos preparados'!H532</f>
        <v/>
      </c>
      <c r="J539" s="7">
        <f>'1 datos preparados'!I532</f>
        <v/>
      </c>
      <c r="K539" s="7">
        <f>'1 datos preparados'!J532</f>
        <v/>
      </c>
      <c r="L539" s="7">
        <f>'1 datos preparados'!K532</f>
        <v/>
      </c>
      <c r="M539" s="7">
        <f>'1 datos preparados'!L532</f>
        <v/>
      </c>
      <c r="N539" s="7">
        <f>'1 datos preparados'!M532</f>
        <v/>
      </c>
      <c r="O539" s="7">
        <f>'1 datos preparados'!N532</f>
        <v/>
      </c>
      <c r="P539" s="7">
        <f>'1 datos preparados'!O532</f>
        <v/>
      </c>
      <c r="Q539" s="7">
        <f>'1 datos preparados'!P532</f>
        <v/>
      </c>
      <c r="R539" s="7">
        <f>'1 datos preparados'!Q532</f>
        <v/>
      </c>
      <c r="S539" s="7">
        <f>'1 datos preparados'!R532</f>
        <v/>
      </c>
      <c r="T539" s="7">
        <f>'1 datos preparados'!S532</f>
        <v/>
      </c>
      <c r="U539" s="7">
        <f>'1 datos preparados'!T532</f>
        <v/>
      </c>
      <c r="V539" s="8">
        <f>$AC$12+D539*$AC$13+E539*$AC$14+F539*$AC$15+G539*$AC$16+H539*$AC$17+I539*$AC$18+J539*$AC$19+K539*$AC$20+L539*$AC$21+M539*$AC$22+N539*$AC$23+O539*$AC$24+P539*$AC$25+Q539*$AC$26+R539*$AC$27+S539*$AC$28+T539*$AC$29+U539*$AC$30</f>
        <v/>
      </c>
      <c r="W539" s="8">
        <f>1/(1+EXP(-V539))</f>
        <v/>
      </c>
      <c r="X539" s="9">
        <f>-IF(C539=1,LN(W539),LN(1-W539))</f>
        <v/>
      </c>
      <c r="Y539" s="10">
        <f>IF(W539&gt;$AC$34,1,0)</f>
        <v/>
      </c>
      <c r="Z539">
        <f>IF(Y539=C539,1,0)</f>
        <v/>
      </c>
    </row>
    <row r="540">
      <c r="A540">
        <f>'1 datos preparados'!A533</f>
        <v/>
      </c>
      <c r="B540" s="5">
        <f>'1 datos preparados'!U533</f>
        <v/>
      </c>
      <c r="C540">
        <f>'1 datos preparados'!B533</f>
        <v/>
      </c>
      <c r="D540" s="7">
        <f>'1 datos preparados'!C533</f>
        <v/>
      </c>
      <c r="E540" s="7">
        <f>'1 datos preparados'!D533</f>
        <v/>
      </c>
      <c r="F540" s="7">
        <f>'1 datos preparados'!E533</f>
        <v/>
      </c>
      <c r="G540" s="7">
        <f>'1 datos preparados'!F533</f>
        <v/>
      </c>
      <c r="H540" s="7">
        <f>'1 datos preparados'!G533</f>
        <v/>
      </c>
      <c r="I540" s="7">
        <f>'1 datos preparados'!H533</f>
        <v/>
      </c>
      <c r="J540" s="7">
        <f>'1 datos preparados'!I533</f>
        <v/>
      </c>
      <c r="K540" s="7">
        <f>'1 datos preparados'!J533</f>
        <v/>
      </c>
      <c r="L540" s="7">
        <f>'1 datos preparados'!K533</f>
        <v/>
      </c>
      <c r="M540" s="7">
        <f>'1 datos preparados'!L533</f>
        <v/>
      </c>
      <c r="N540" s="7">
        <f>'1 datos preparados'!M533</f>
        <v/>
      </c>
      <c r="O540" s="7">
        <f>'1 datos preparados'!N533</f>
        <v/>
      </c>
      <c r="P540" s="7">
        <f>'1 datos preparados'!O533</f>
        <v/>
      </c>
      <c r="Q540" s="7">
        <f>'1 datos preparados'!P533</f>
        <v/>
      </c>
      <c r="R540" s="7">
        <f>'1 datos preparados'!Q533</f>
        <v/>
      </c>
      <c r="S540" s="7">
        <f>'1 datos preparados'!R533</f>
        <v/>
      </c>
      <c r="T540" s="7">
        <f>'1 datos preparados'!S533</f>
        <v/>
      </c>
      <c r="U540" s="7">
        <f>'1 datos preparados'!T533</f>
        <v/>
      </c>
      <c r="V540" s="8">
        <f>$AC$12+D540*$AC$13+E540*$AC$14+F540*$AC$15+G540*$AC$16+H540*$AC$17+I540*$AC$18+J540*$AC$19+K540*$AC$20+L540*$AC$21+M540*$AC$22+N540*$AC$23+O540*$AC$24+P540*$AC$25+Q540*$AC$26+R540*$AC$27+S540*$AC$28+T540*$AC$29+U540*$AC$30</f>
        <v/>
      </c>
      <c r="W540" s="8">
        <f>1/(1+EXP(-V540))</f>
        <v/>
      </c>
      <c r="X540" s="9">
        <f>-IF(C540=1,LN(W540),LN(1-W540))</f>
        <v/>
      </c>
      <c r="Y540" s="10">
        <f>IF(W540&gt;$AC$34,1,0)</f>
        <v/>
      </c>
      <c r="Z540">
        <f>IF(Y540=C540,1,0)</f>
        <v/>
      </c>
    </row>
    <row r="541">
      <c r="A541">
        <f>'1 datos preparados'!A534</f>
        <v/>
      </c>
      <c r="B541" s="5">
        <f>'1 datos preparados'!U534</f>
        <v/>
      </c>
      <c r="C541">
        <f>'1 datos preparados'!B534</f>
        <v/>
      </c>
      <c r="D541" s="7">
        <f>'1 datos preparados'!C534</f>
        <v/>
      </c>
      <c r="E541" s="7">
        <f>'1 datos preparados'!D534</f>
        <v/>
      </c>
      <c r="F541" s="7">
        <f>'1 datos preparados'!E534</f>
        <v/>
      </c>
      <c r="G541" s="7">
        <f>'1 datos preparados'!F534</f>
        <v/>
      </c>
      <c r="H541" s="7">
        <f>'1 datos preparados'!G534</f>
        <v/>
      </c>
      <c r="I541" s="7">
        <f>'1 datos preparados'!H534</f>
        <v/>
      </c>
      <c r="J541" s="7">
        <f>'1 datos preparados'!I534</f>
        <v/>
      </c>
      <c r="K541" s="7">
        <f>'1 datos preparados'!J534</f>
        <v/>
      </c>
      <c r="L541" s="7">
        <f>'1 datos preparados'!K534</f>
        <v/>
      </c>
      <c r="M541" s="7">
        <f>'1 datos preparados'!L534</f>
        <v/>
      </c>
      <c r="N541" s="7">
        <f>'1 datos preparados'!M534</f>
        <v/>
      </c>
      <c r="O541" s="7">
        <f>'1 datos preparados'!N534</f>
        <v/>
      </c>
      <c r="P541" s="7">
        <f>'1 datos preparados'!O534</f>
        <v/>
      </c>
      <c r="Q541" s="7">
        <f>'1 datos preparados'!P534</f>
        <v/>
      </c>
      <c r="R541" s="7">
        <f>'1 datos preparados'!Q534</f>
        <v/>
      </c>
      <c r="S541" s="7">
        <f>'1 datos preparados'!R534</f>
        <v/>
      </c>
      <c r="T541" s="7">
        <f>'1 datos preparados'!S534</f>
        <v/>
      </c>
      <c r="U541" s="7">
        <f>'1 datos preparados'!T534</f>
        <v/>
      </c>
      <c r="V541" s="8">
        <f>$AC$12+D541*$AC$13+E541*$AC$14+F541*$AC$15+G541*$AC$16+H541*$AC$17+I541*$AC$18+J541*$AC$19+K541*$AC$20+L541*$AC$21+M541*$AC$22+N541*$AC$23+O541*$AC$24+P541*$AC$25+Q541*$AC$26+R541*$AC$27+S541*$AC$28+T541*$AC$29+U541*$AC$30</f>
        <v/>
      </c>
      <c r="W541" s="8">
        <f>1/(1+EXP(-V541))</f>
        <v/>
      </c>
      <c r="X541" s="9">
        <f>-IF(C541=1,LN(W541),LN(1-W541))</f>
        <v/>
      </c>
      <c r="Y541" s="10">
        <f>IF(W541&gt;$AC$34,1,0)</f>
        <v/>
      </c>
      <c r="Z541">
        <f>IF(Y541=C541,1,0)</f>
        <v/>
      </c>
    </row>
    <row r="542">
      <c r="A542">
        <f>'1 datos preparados'!A535</f>
        <v/>
      </c>
      <c r="B542" s="5">
        <f>'1 datos preparados'!U535</f>
        <v/>
      </c>
      <c r="C542">
        <f>'1 datos preparados'!B535</f>
        <v/>
      </c>
      <c r="D542" s="7">
        <f>'1 datos preparados'!C535</f>
        <v/>
      </c>
      <c r="E542" s="7">
        <f>'1 datos preparados'!D535</f>
        <v/>
      </c>
      <c r="F542" s="7">
        <f>'1 datos preparados'!E535</f>
        <v/>
      </c>
      <c r="G542" s="7">
        <f>'1 datos preparados'!F535</f>
        <v/>
      </c>
      <c r="H542" s="7">
        <f>'1 datos preparados'!G535</f>
        <v/>
      </c>
      <c r="I542" s="7">
        <f>'1 datos preparados'!H535</f>
        <v/>
      </c>
      <c r="J542" s="7">
        <f>'1 datos preparados'!I535</f>
        <v/>
      </c>
      <c r="K542" s="7">
        <f>'1 datos preparados'!J535</f>
        <v/>
      </c>
      <c r="L542" s="7">
        <f>'1 datos preparados'!K535</f>
        <v/>
      </c>
      <c r="M542" s="7">
        <f>'1 datos preparados'!L535</f>
        <v/>
      </c>
      <c r="N542" s="7">
        <f>'1 datos preparados'!M535</f>
        <v/>
      </c>
      <c r="O542" s="7">
        <f>'1 datos preparados'!N535</f>
        <v/>
      </c>
      <c r="P542" s="7">
        <f>'1 datos preparados'!O535</f>
        <v/>
      </c>
      <c r="Q542" s="7">
        <f>'1 datos preparados'!P535</f>
        <v/>
      </c>
      <c r="R542" s="7">
        <f>'1 datos preparados'!Q535</f>
        <v/>
      </c>
      <c r="S542" s="7">
        <f>'1 datos preparados'!R535</f>
        <v/>
      </c>
      <c r="T542" s="7">
        <f>'1 datos preparados'!S535</f>
        <v/>
      </c>
      <c r="U542" s="7">
        <f>'1 datos preparados'!T535</f>
        <v/>
      </c>
      <c r="V542" s="8">
        <f>$AC$12+D542*$AC$13+E542*$AC$14+F542*$AC$15+G542*$AC$16+H542*$AC$17+I542*$AC$18+J542*$AC$19+K542*$AC$20+L542*$AC$21+M542*$AC$22+N542*$AC$23+O542*$AC$24+P542*$AC$25+Q542*$AC$26+R542*$AC$27+S542*$AC$28+T542*$AC$29+U542*$AC$30</f>
        <v/>
      </c>
      <c r="W542" s="8">
        <f>1/(1+EXP(-V542))</f>
        <v/>
      </c>
      <c r="X542" s="9">
        <f>-IF(C542=1,LN(W542),LN(1-W542))</f>
        <v/>
      </c>
      <c r="Y542" s="10">
        <f>IF(W542&gt;$AC$34,1,0)</f>
        <v/>
      </c>
      <c r="Z542">
        <f>IF(Y542=C542,1,0)</f>
        <v/>
      </c>
    </row>
    <row r="543">
      <c r="A543">
        <f>'1 datos preparados'!A536</f>
        <v/>
      </c>
      <c r="B543" s="5">
        <f>'1 datos preparados'!U536</f>
        <v/>
      </c>
      <c r="C543">
        <f>'1 datos preparados'!B536</f>
        <v/>
      </c>
      <c r="D543" s="7">
        <f>'1 datos preparados'!C536</f>
        <v/>
      </c>
      <c r="E543" s="7">
        <f>'1 datos preparados'!D536</f>
        <v/>
      </c>
      <c r="F543" s="7">
        <f>'1 datos preparados'!E536</f>
        <v/>
      </c>
      <c r="G543" s="7">
        <f>'1 datos preparados'!F536</f>
        <v/>
      </c>
      <c r="H543" s="7">
        <f>'1 datos preparados'!G536</f>
        <v/>
      </c>
      <c r="I543" s="7">
        <f>'1 datos preparados'!H536</f>
        <v/>
      </c>
      <c r="J543" s="7">
        <f>'1 datos preparados'!I536</f>
        <v/>
      </c>
      <c r="K543" s="7">
        <f>'1 datos preparados'!J536</f>
        <v/>
      </c>
      <c r="L543" s="7">
        <f>'1 datos preparados'!K536</f>
        <v/>
      </c>
      <c r="M543" s="7">
        <f>'1 datos preparados'!L536</f>
        <v/>
      </c>
      <c r="N543" s="7">
        <f>'1 datos preparados'!M536</f>
        <v/>
      </c>
      <c r="O543" s="7">
        <f>'1 datos preparados'!N536</f>
        <v/>
      </c>
      <c r="P543" s="7">
        <f>'1 datos preparados'!O536</f>
        <v/>
      </c>
      <c r="Q543" s="7">
        <f>'1 datos preparados'!P536</f>
        <v/>
      </c>
      <c r="R543" s="7">
        <f>'1 datos preparados'!Q536</f>
        <v/>
      </c>
      <c r="S543" s="7">
        <f>'1 datos preparados'!R536</f>
        <v/>
      </c>
      <c r="T543" s="7">
        <f>'1 datos preparados'!S536</f>
        <v/>
      </c>
      <c r="U543" s="7">
        <f>'1 datos preparados'!T536</f>
        <v/>
      </c>
      <c r="V543" s="8">
        <f>$AC$12+D543*$AC$13+E543*$AC$14+F543*$AC$15+G543*$AC$16+H543*$AC$17+I543*$AC$18+J543*$AC$19+K543*$AC$20+L543*$AC$21+M543*$AC$22+N543*$AC$23+O543*$AC$24+P543*$AC$25+Q543*$AC$26+R543*$AC$27+S543*$AC$28+T543*$AC$29+U543*$AC$30</f>
        <v/>
      </c>
      <c r="W543" s="8">
        <f>1/(1+EXP(-V543))</f>
        <v/>
      </c>
      <c r="X543" s="9">
        <f>-IF(C543=1,LN(W543),LN(1-W543))</f>
        <v/>
      </c>
      <c r="Y543" s="10">
        <f>IF(W543&gt;$AC$34,1,0)</f>
        <v/>
      </c>
      <c r="Z543">
        <f>IF(Y543=C543,1,0)</f>
        <v/>
      </c>
    </row>
    <row r="544">
      <c r="A544">
        <f>'1 datos preparados'!A537</f>
        <v/>
      </c>
      <c r="B544" s="5">
        <f>'1 datos preparados'!U537</f>
        <v/>
      </c>
      <c r="C544">
        <f>'1 datos preparados'!B537</f>
        <v/>
      </c>
      <c r="D544" s="7">
        <f>'1 datos preparados'!C537</f>
        <v/>
      </c>
      <c r="E544" s="7">
        <f>'1 datos preparados'!D537</f>
        <v/>
      </c>
      <c r="F544" s="7">
        <f>'1 datos preparados'!E537</f>
        <v/>
      </c>
      <c r="G544" s="7">
        <f>'1 datos preparados'!F537</f>
        <v/>
      </c>
      <c r="H544" s="7">
        <f>'1 datos preparados'!G537</f>
        <v/>
      </c>
      <c r="I544" s="7">
        <f>'1 datos preparados'!H537</f>
        <v/>
      </c>
      <c r="J544" s="7">
        <f>'1 datos preparados'!I537</f>
        <v/>
      </c>
      <c r="K544" s="7">
        <f>'1 datos preparados'!J537</f>
        <v/>
      </c>
      <c r="L544" s="7">
        <f>'1 datos preparados'!K537</f>
        <v/>
      </c>
      <c r="M544" s="7">
        <f>'1 datos preparados'!L537</f>
        <v/>
      </c>
      <c r="N544" s="7">
        <f>'1 datos preparados'!M537</f>
        <v/>
      </c>
      <c r="O544" s="7">
        <f>'1 datos preparados'!N537</f>
        <v/>
      </c>
      <c r="P544" s="7">
        <f>'1 datos preparados'!O537</f>
        <v/>
      </c>
      <c r="Q544" s="7">
        <f>'1 datos preparados'!P537</f>
        <v/>
      </c>
      <c r="R544" s="7">
        <f>'1 datos preparados'!Q537</f>
        <v/>
      </c>
      <c r="S544" s="7">
        <f>'1 datos preparados'!R537</f>
        <v/>
      </c>
      <c r="T544" s="7">
        <f>'1 datos preparados'!S537</f>
        <v/>
      </c>
      <c r="U544" s="7">
        <f>'1 datos preparados'!T537</f>
        <v/>
      </c>
      <c r="V544" s="8">
        <f>$AC$12+D544*$AC$13+E544*$AC$14+F544*$AC$15+G544*$AC$16+H544*$AC$17+I544*$AC$18+J544*$AC$19+K544*$AC$20+L544*$AC$21+M544*$AC$22+N544*$AC$23+O544*$AC$24+P544*$AC$25+Q544*$AC$26+R544*$AC$27+S544*$AC$28+T544*$AC$29+U544*$AC$30</f>
        <v/>
      </c>
      <c r="W544" s="8">
        <f>1/(1+EXP(-V544))</f>
        <v/>
      </c>
      <c r="X544" s="9">
        <f>-IF(C544=1,LN(W544),LN(1-W544))</f>
        <v/>
      </c>
      <c r="Y544" s="10">
        <f>IF(W544&gt;$AC$34,1,0)</f>
        <v/>
      </c>
      <c r="Z544">
        <f>IF(Y544=C544,1,0)</f>
        <v/>
      </c>
    </row>
    <row r="545">
      <c r="A545">
        <f>'1 datos preparados'!A538</f>
        <v/>
      </c>
      <c r="B545" s="5">
        <f>'1 datos preparados'!U538</f>
        <v/>
      </c>
      <c r="C545">
        <f>'1 datos preparados'!B538</f>
        <v/>
      </c>
      <c r="D545" s="7">
        <f>'1 datos preparados'!C538</f>
        <v/>
      </c>
      <c r="E545" s="7">
        <f>'1 datos preparados'!D538</f>
        <v/>
      </c>
      <c r="F545" s="7">
        <f>'1 datos preparados'!E538</f>
        <v/>
      </c>
      <c r="G545" s="7">
        <f>'1 datos preparados'!F538</f>
        <v/>
      </c>
      <c r="H545" s="7">
        <f>'1 datos preparados'!G538</f>
        <v/>
      </c>
      <c r="I545" s="7">
        <f>'1 datos preparados'!H538</f>
        <v/>
      </c>
      <c r="J545" s="7">
        <f>'1 datos preparados'!I538</f>
        <v/>
      </c>
      <c r="K545" s="7">
        <f>'1 datos preparados'!J538</f>
        <v/>
      </c>
      <c r="L545" s="7">
        <f>'1 datos preparados'!K538</f>
        <v/>
      </c>
      <c r="M545" s="7">
        <f>'1 datos preparados'!L538</f>
        <v/>
      </c>
      <c r="N545" s="7">
        <f>'1 datos preparados'!M538</f>
        <v/>
      </c>
      <c r="O545" s="7">
        <f>'1 datos preparados'!N538</f>
        <v/>
      </c>
      <c r="P545" s="7">
        <f>'1 datos preparados'!O538</f>
        <v/>
      </c>
      <c r="Q545" s="7">
        <f>'1 datos preparados'!P538</f>
        <v/>
      </c>
      <c r="R545" s="7">
        <f>'1 datos preparados'!Q538</f>
        <v/>
      </c>
      <c r="S545" s="7">
        <f>'1 datos preparados'!R538</f>
        <v/>
      </c>
      <c r="T545" s="7">
        <f>'1 datos preparados'!S538</f>
        <v/>
      </c>
      <c r="U545" s="7">
        <f>'1 datos preparados'!T538</f>
        <v/>
      </c>
      <c r="V545" s="8">
        <f>$AC$12+D545*$AC$13+E545*$AC$14+F545*$AC$15+G545*$AC$16+H545*$AC$17+I545*$AC$18+J545*$AC$19+K545*$AC$20+L545*$AC$21+M545*$AC$22+N545*$AC$23+O545*$AC$24+P545*$AC$25+Q545*$AC$26+R545*$AC$27+S545*$AC$28+T545*$AC$29+U545*$AC$30</f>
        <v/>
      </c>
      <c r="W545" s="8">
        <f>1/(1+EXP(-V545))</f>
        <v/>
      </c>
      <c r="X545" s="9">
        <f>-IF(C545=1,LN(W545),LN(1-W545))</f>
        <v/>
      </c>
      <c r="Y545" s="10">
        <f>IF(W545&gt;$AC$34,1,0)</f>
        <v/>
      </c>
      <c r="Z545">
        <f>IF(Y545=C545,1,0)</f>
        <v/>
      </c>
    </row>
    <row r="546">
      <c r="A546">
        <f>'1 datos preparados'!A539</f>
        <v/>
      </c>
      <c r="B546" s="5">
        <f>'1 datos preparados'!U539</f>
        <v/>
      </c>
      <c r="C546">
        <f>'1 datos preparados'!B539</f>
        <v/>
      </c>
      <c r="D546" s="7">
        <f>'1 datos preparados'!C539</f>
        <v/>
      </c>
      <c r="E546" s="7">
        <f>'1 datos preparados'!D539</f>
        <v/>
      </c>
      <c r="F546" s="7">
        <f>'1 datos preparados'!E539</f>
        <v/>
      </c>
      <c r="G546" s="7">
        <f>'1 datos preparados'!F539</f>
        <v/>
      </c>
      <c r="H546" s="7">
        <f>'1 datos preparados'!G539</f>
        <v/>
      </c>
      <c r="I546" s="7">
        <f>'1 datos preparados'!H539</f>
        <v/>
      </c>
      <c r="J546" s="7">
        <f>'1 datos preparados'!I539</f>
        <v/>
      </c>
      <c r="K546" s="7">
        <f>'1 datos preparados'!J539</f>
        <v/>
      </c>
      <c r="L546" s="7">
        <f>'1 datos preparados'!K539</f>
        <v/>
      </c>
      <c r="M546" s="7">
        <f>'1 datos preparados'!L539</f>
        <v/>
      </c>
      <c r="N546" s="7">
        <f>'1 datos preparados'!M539</f>
        <v/>
      </c>
      <c r="O546" s="7">
        <f>'1 datos preparados'!N539</f>
        <v/>
      </c>
      <c r="P546" s="7">
        <f>'1 datos preparados'!O539</f>
        <v/>
      </c>
      <c r="Q546" s="7">
        <f>'1 datos preparados'!P539</f>
        <v/>
      </c>
      <c r="R546" s="7">
        <f>'1 datos preparados'!Q539</f>
        <v/>
      </c>
      <c r="S546" s="7">
        <f>'1 datos preparados'!R539</f>
        <v/>
      </c>
      <c r="T546" s="7">
        <f>'1 datos preparados'!S539</f>
        <v/>
      </c>
      <c r="U546" s="7">
        <f>'1 datos preparados'!T539</f>
        <v/>
      </c>
      <c r="V546" s="8">
        <f>$AC$12+D546*$AC$13+E546*$AC$14+F546*$AC$15+G546*$AC$16+H546*$AC$17+I546*$AC$18+J546*$AC$19+K546*$AC$20+L546*$AC$21+M546*$AC$22+N546*$AC$23+O546*$AC$24+P546*$AC$25+Q546*$AC$26+R546*$AC$27+S546*$AC$28+T546*$AC$29+U546*$AC$30</f>
        <v/>
      </c>
      <c r="W546" s="8">
        <f>1/(1+EXP(-V546))</f>
        <v/>
      </c>
      <c r="X546" s="9">
        <f>-IF(C546=1,LN(W546),LN(1-W546))</f>
        <v/>
      </c>
      <c r="Y546" s="10">
        <f>IF(W546&gt;$AC$34,1,0)</f>
        <v/>
      </c>
      <c r="Z546">
        <f>IF(Y546=C546,1,0)</f>
        <v/>
      </c>
    </row>
    <row r="547">
      <c r="A547">
        <f>'1 datos preparados'!A540</f>
        <v/>
      </c>
      <c r="B547" s="5">
        <f>'1 datos preparados'!U540</f>
        <v/>
      </c>
      <c r="C547">
        <f>'1 datos preparados'!B540</f>
        <v/>
      </c>
      <c r="D547" s="7">
        <f>'1 datos preparados'!C540</f>
        <v/>
      </c>
      <c r="E547" s="7">
        <f>'1 datos preparados'!D540</f>
        <v/>
      </c>
      <c r="F547" s="7">
        <f>'1 datos preparados'!E540</f>
        <v/>
      </c>
      <c r="G547" s="7">
        <f>'1 datos preparados'!F540</f>
        <v/>
      </c>
      <c r="H547" s="7">
        <f>'1 datos preparados'!G540</f>
        <v/>
      </c>
      <c r="I547" s="7">
        <f>'1 datos preparados'!H540</f>
        <v/>
      </c>
      <c r="J547" s="7">
        <f>'1 datos preparados'!I540</f>
        <v/>
      </c>
      <c r="K547" s="7">
        <f>'1 datos preparados'!J540</f>
        <v/>
      </c>
      <c r="L547" s="7">
        <f>'1 datos preparados'!K540</f>
        <v/>
      </c>
      <c r="M547" s="7">
        <f>'1 datos preparados'!L540</f>
        <v/>
      </c>
      <c r="N547" s="7">
        <f>'1 datos preparados'!M540</f>
        <v/>
      </c>
      <c r="O547" s="7">
        <f>'1 datos preparados'!N540</f>
        <v/>
      </c>
      <c r="P547" s="7">
        <f>'1 datos preparados'!O540</f>
        <v/>
      </c>
      <c r="Q547" s="7">
        <f>'1 datos preparados'!P540</f>
        <v/>
      </c>
      <c r="R547" s="7">
        <f>'1 datos preparados'!Q540</f>
        <v/>
      </c>
      <c r="S547" s="7">
        <f>'1 datos preparados'!R540</f>
        <v/>
      </c>
      <c r="T547" s="7">
        <f>'1 datos preparados'!S540</f>
        <v/>
      </c>
      <c r="U547" s="7">
        <f>'1 datos preparados'!T540</f>
        <v/>
      </c>
      <c r="V547" s="8">
        <f>$AC$12+D547*$AC$13+E547*$AC$14+F547*$AC$15+G547*$AC$16+H547*$AC$17+I547*$AC$18+J547*$AC$19+K547*$AC$20+L547*$AC$21+M547*$AC$22+N547*$AC$23+O547*$AC$24+P547*$AC$25+Q547*$AC$26+R547*$AC$27+S547*$AC$28+T547*$AC$29+U547*$AC$30</f>
        <v/>
      </c>
      <c r="W547" s="8">
        <f>1/(1+EXP(-V547))</f>
        <v/>
      </c>
      <c r="X547" s="9">
        <f>-IF(C547=1,LN(W547),LN(1-W547))</f>
        <v/>
      </c>
      <c r="Y547" s="10">
        <f>IF(W547&gt;$AC$34,1,0)</f>
        <v/>
      </c>
      <c r="Z547">
        <f>IF(Y547=C547,1,0)</f>
        <v/>
      </c>
    </row>
    <row r="548">
      <c r="A548">
        <f>'1 datos preparados'!A541</f>
        <v/>
      </c>
      <c r="B548" s="5">
        <f>'1 datos preparados'!U541</f>
        <v/>
      </c>
      <c r="C548">
        <f>'1 datos preparados'!B541</f>
        <v/>
      </c>
      <c r="D548" s="7">
        <f>'1 datos preparados'!C541</f>
        <v/>
      </c>
      <c r="E548" s="7">
        <f>'1 datos preparados'!D541</f>
        <v/>
      </c>
      <c r="F548" s="7">
        <f>'1 datos preparados'!E541</f>
        <v/>
      </c>
      <c r="G548" s="7">
        <f>'1 datos preparados'!F541</f>
        <v/>
      </c>
      <c r="H548" s="7">
        <f>'1 datos preparados'!G541</f>
        <v/>
      </c>
      <c r="I548" s="7">
        <f>'1 datos preparados'!H541</f>
        <v/>
      </c>
      <c r="J548" s="7">
        <f>'1 datos preparados'!I541</f>
        <v/>
      </c>
      <c r="K548" s="7">
        <f>'1 datos preparados'!J541</f>
        <v/>
      </c>
      <c r="L548" s="7">
        <f>'1 datos preparados'!K541</f>
        <v/>
      </c>
      <c r="M548" s="7">
        <f>'1 datos preparados'!L541</f>
        <v/>
      </c>
      <c r="N548" s="7">
        <f>'1 datos preparados'!M541</f>
        <v/>
      </c>
      <c r="O548" s="7">
        <f>'1 datos preparados'!N541</f>
        <v/>
      </c>
      <c r="P548" s="7">
        <f>'1 datos preparados'!O541</f>
        <v/>
      </c>
      <c r="Q548" s="7">
        <f>'1 datos preparados'!P541</f>
        <v/>
      </c>
      <c r="R548" s="7">
        <f>'1 datos preparados'!Q541</f>
        <v/>
      </c>
      <c r="S548" s="7">
        <f>'1 datos preparados'!R541</f>
        <v/>
      </c>
      <c r="T548" s="7">
        <f>'1 datos preparados'!S541</f>
        <v/>
      </c>
      <c r="U548" s="7">
        <f>'1 datos preparados'!T541</f>
        <v/>
      </c>
      <c r="V548" s="8">
        <f>$AC$12+D548*$AC$13+E548*$AC$14+F548*$AC$15+G548*$AC$16+H548*$AC$17+I548*$AC$18+J548*$AC$19+K548*$AC$20+L548*$AC$21+M548*$AC$22+N548*$AC$23+O548*$AC$24+P548*$AC$25+Q548*$AC$26+R548*$AC$27+S548*$AC$28+T548*$AC$29+U548*$AC$30</f>
        <v/>
      </c>
      <c r="W548" s="8">
        <f>1/(1+EXP(-V548))</f>
        <v/>
      </c>
      <c r="X548" s="9">
        <f>-IF(C548=1,LN(W548),LN(1-W548))</f>
        <v/>
      </c>
      <c r="Y548" s="10">
        <f>IF(W548&gt;$AC$34,1,0)</f>
        <v/>
      </c>
      <c r="Z548">
        <f>IF(Y548=C548,1,0)</f>
        <v/>
      </c>
    </row>
    <row r="549">
      <c r="A549">
        <f>'1 datos preparados'!A542</f>
        <v/>
      </c>
      <c r="B549" s="5">
        <f>'1 datos preparados'!U542</f>
        <v/>
      </c>
      <c r="C549">
        <f>'1 datos preparados'!B542</f>
        <v/>
      </c>
      <c r="D549" s="7">
        <f>'1 datos preparados'!C542</f>
        <v/>
      </c>
      <c r="E549" s="7">
        <f>'1 datos preparados'!D542</f>
        <v/>
      </c>
      <c r="F549" s="7">
        <f>'1 datos preparados'!E542</f>
        <v/>
      </c>
      <c r="G549" s="7">
        <f>'1 datos preparados'!F542</f>
        <v/>
      </c>
      <c r="H549" s="7">
        <f>'1 datos preparados'!G542</f>
        <v/>
      </c>
      <c r="I549" s="7">
        <f>'1 datos preparados'!H542</f>
        <v/>
      </c>
      <c r="J549" s="7">
        <f>'1 datos preparados'!I542</f>
        <v/>
      </c>
      <c r="K549" s="7">
        <f>'1 datos preparados'!J542</f>
        <v/>
      </c>
      <c r="L549" s="7">
        <f>'1 datos preparados'!K542</f>
        <v/>
      </c>
      <c r="M549" s="7">
        <f>'1 datos preparados'!L542</f>
        <v/>
      </c>
      <c r="N549" s="7">
        <f>'1 datos preparados'!M542</f>
        <v/>
      </c>
      <c r="O549" s="7">
        <f>'1 datos preparados'!N542</f>
        <v/>
      </c>
      <c r="P549" s="7">
        <f>'1 datos preparados'!O542</f>
        <v/>
      </c>
      <c r="Q549" s="7">
        <f>'1 datos preparados'!P542</f>
        <v/>
      </c>
      <c r="R549" s="7">
        <f>'1 datos preparados'!Q542</f>
        <v/>
      </c>
      <c r="S549" s="7">
        <f>'1 datos preparados'!R542</f>
        <v/>
      </c>
      <c r="T549" s="7">
        <f>'1 datos preparados'!S542</f>
        <v/>
      </c>
      <c r="U549" s="7">
        <f>'1 datos preparados'!T542</f>
        <v/>
      </c>
      <c r="V549" s="8">
        <f>$AC$12+D549*$AC$13+E549*$AC$14+F549*$AC$15+G549*$AC$16+H549*$AC$17+I549*$AC$18+J549*$AC$19+K549*$AC$20+L549*$AC$21+M549*$AC$22+N549*$AC$23+O549*$AC$24+P549*$AC$25+Q549*$AC$26+R549*$AC$27+S549*$AC$28+T549*$AC$29+U549*$AC$30</f>
        <v/>
      </c>
      <c r="W549" s="8">
        <f>1/(1+EXP(-V549))</f>
        <v/>
      </c>
      <c r="X549" s="9">
        <f>-IF(C549=1,LN(W549),LN(1-W549))</f>
        <v/>
      </c>
      <c r="Y549" s="10">
        <f>IF(W549&gt;$AC$34,1,0)</f>
        <v/>
      </c>
      <c r="Z549">
        <f>IF(Y549=C549,1,0)</f>
        <v/>
      </c>
    </row>
    <row r="550">
      <c r="A550">
        <f>'1 datos preparados'!A543</f>
        <v/>
      </c>
      <c r="B550" s="5">
        <f>'1 datos preparados'!U543</f>
        <v/>
      </c>
      <c r="C550">
        <f>'1 datos preparados'!B543</f>
        <v/>
      </c>
      <c r="D550" s="7">
        <f>'1 datos preparados'!C543</f>
        <v/>
      </c>
      <c r="E550" s="7">
        <f>'1 datos preparados'!D543</f>
        <v/>
      </c>
      <c r="F550" s="7">
        <f>'1 datos preparados'!E543</f>
        <v/>
      </c>
      <c r="G550" s="7">
        <f>'1 datos preparados'!F543</f>
        <v/>
      </c>
      <c r="H550" s="7">
        <f>'1 datos preparados'!G543</f>
        <v/>
      </c>
      <c r="I550" s="7">
        <f>'1 datos preparados'!H543</f>
        <v/>
      </c>
      <c r="J550" s="7">
        <f>'1 datos preparados'!I543</f>
        <v/>
      </c>
      <c r="K550" s="7">
        <f>'1 datos preparados'!J543</f>
        <v/>
      </c>
      <c r="L550" s="7">
        <f>'1 datos preparados'!K543</f>
        <v/>
      </c>
      <c r="M550" s="7">
        <f>'1 datos preparados'!L543</f>
        <v/>
      </c>
      <c r="N550" s="7">
        <f>'1 datos preparados'!M543</f>
        <v/>
      </c>
      <c r="O550" s="7">
        <f>'1 datos preparados'!N543</f>
        <v/>
      </c>
      <c r="P550" s="7">
        <f>'1 datos preparados'!O543</f>
        <v/>
      </c>
      <c r="Q550" s="7">
        <f>'1 datos preparados'!P543</f>
        <v/>
      </c>
      <c r="R550" s="7">
        <f>'1 datos preparados'!Q543</f>
        <v/>
      </c>
      <c r="S550" s="7">
        <f>'1 datos preparados'!R543</f>
        <v/>
      </c>
      <c r="T550" s="7">
        <f>'1 datos preparados'!S543</f>
        <v/>
      </c>
      <c r="U550" s="7">
        <f>'1 datos preparados'!T543</f>
        <v/>
      </c>
      <c r="V550" s="8">
        <f>$AC$12+D550*$AC$13+E550*$AC$14+F550*$AC$15+G550*$AC$16+H550*$AC$17+I550*$AC$18+J550*$AC$19+K550*$AC$20+L550*$AC$21+M550*$AC$22+N550*$AC$23+O550*$AC$24+P550*$AC$25+Q550*$AC$26+R550*$AC$27+S550*$AC$28+T550*$AC$29+U550*$AC$30</f>
        <v/>
      </c>
      <c r="W550" s="8">
        <f>1/(1+EXP(-V550))</f>
        <v/>
      </c>
      <c r="X550" s="9">
        <f>-IF(C550=1,LN(W550),LN(1-W550))</f>
        <v/>
      </c>
      <c r="Y550" s="10">
        <f>IF(W550&gt;$AC$34,1,0)</f>
        <v/>
      </c>
      <c r="Z550">
        <f>IF(Y550=C550,1,0)</f>
        <v/>
      </c>
    </row>
    <row r="551">
      <c r="A551">
        <f>'1 datos preparados'!A544</f>
        <v/>
      </c>
      <c r="B551" s="5">
        <f>'1 datos preparados'!U544</f>
        <v/>
      </c>
      <c r="C551">
        <f>'1 datos preparados'!B544</f>
        <v/>
      </c>
      <c r="D551" s="7">
        <f>'1 datos preparados'!C544</f>
        <v/>
      </c>
      <c r="E551" s="7">
        <f>'1 datos preparados'!D544</f>
        <v/>
      </c>
      <c r="F551" s="7">
        <f>'1 datos preparados'!E544</f>
        <v/>
      </c>
      <c r="G551" s="7">
        <f>'1 datos preparados'!F544</f>
        <v/>
      </c>
      <c r="H551" s="7">
        <f>'1 datos preparados'!G544</f>
        <v/>
      </c>
      <c r="I551" s="7">
        <f>'1 datos preparados'!H544</f>
        <v/>
      </c>
      <c r="J551" s="7">
        <f>'1 datos preparados'!I544</f>
        <v/>
      </c>
      <c r="K551" s="7">
        <f>'1 datos preparados'!J544</f>
        <v/>
      </c>
      <c r="L551" s="7">
        <f>'1 datos preparados'!K544</f>
        <v/>
      </c>
      <c r="M551" s="7">
        <f>'1 datos preparados'!L544</f>
        <v/>
      </c>
      <c r="N551" s="7">
        <f>'1 datos preparados'!M544</f>
        <v/>
      </c>
      <c r="O551" s="7">
        <f>'1 datos preparados'!N544</f>
        <v/>
      </c>
      <c r="P551" s="7">
        <f>'1 datos preparados'!O544</f>
        <v/>
      </c>
      <c r="Q551" s="7">
        <f>'1 datos preparados'!P544</f>
        <v/>
      </c>
      <c r="R551" s="7">
        <f>'1 datos preparados'!Q544</f>
        <v/>
      </c>
      <c r="S551" s="7">
        <f>'1 datos preparados'!R544</f>
        <v/>
      </c>
      <c r="T551" s="7">
        <f>'1 datos preparados'!S544</f>
        <v/>
      </c>
      <c r="U551" s="7">
        <f>'1 datos preparados'!T544</f>
        <v/>
      </c>
      <c r="V551" s="8">
        <f>$AC$12+D551*$AC$13+E551*$AC$14+F551*$AC$15+G551*$AC$16+H551*$AC$17+I551*$AC$18+J551*$AC$19+K551*$AC$20+L551*$AC$21+M551*$AC$22+N551*$AC$23+O551*$AC$24+P551*$AC$25+Q551*$AC$26+R551*$AC$27+S551*$AC$28+T551*$AC$29+U551*$AC$30</f>
        <v/>
      </c>
      <c r="W551" s="8">
        <f>1/(1+EXP(-V551))</f>
        <v/>
      </c>
      <c r="X551" s="9">
        <f>-IF(C551=1,LN(W551),LN(1-W551))</f>
        <v/>
      </c>
      <c r="Y551" s="10">
        <f>IF(W551&gt;$AC$34,1,0)</f>
        <v/>
      </c>
      <c r="Z551">
        <f>IF(Y551=C551,1,0)</f>
        <v/>
      </c>
    </row>
    <row r="552">
      <c r="A552">
        <f>'1 datos preparados'!A545</f>
        <v/>
      </c>
      <c r="B552" s="5">
        <f>'1 datos preparados'!U545</f>
        <v/>
      </c>
      <c r="C552">
        <f>'1 datos preparados'!B545</f>
        <v/>
      </c>
      <c r="D552" s="7">
        <f>'1 datos preparados'!C545</f>
        <v/>
      </c>
      <c r="E552" s="7">
        <f>'1 datos preparados'!D545</f>
        <v/>
      </c>
      <c r="F552" s="7">
        <f>'1 datos preparados'!E545</f>
        <v/>
      </c>
      <c r="G552" s="7">
        <f>'1 datos preparados'!F545</f>
        <v/>
      </c>
      <c r="H552" s="7">
        <f>'1 datos preparados'!G545</f>
        <v/>
      </c>
      <c r="I552" s="7">
        <f>'1 datos preparados'!H545</f>
        <v/>
      </c>
      <c r="J552" s="7">
        <f>'1 datos preparados'!I545</f>
        <v/>
      </c>
      <c r="K552" s="7">
        <f>'1 datos preparados'!J545</f>
        <v/>
      </c>
      <c r="L552" s="7">
        <f>'1 datos preparados'!K545</f>
        <v/>
      </c>
      <c r="M552" s="7">
        <f>'1 datos preparados'!L545</f>
        <v/>
      </c>
      <c r="N552" s="7">
        <f>'1 datos preparados'!M545</f>
        <v/>
      </c>
      <c r="O552" s="7">
        <f>'1 datos preparados'!N545</f>
        <v/>
      </c>
      <c r="P552" s="7">
        <f>'1 datos preparados'!O545</f>
        <v/>
      </c>
      <c r="Q552" s="7">
        <f>'1 datos preparados'!P545</f>
        <v/>
      </c>
      <c r="R552" s="7">
        <f>'1 datos preparados'!Q545</f>
        <v/>
      </c>
      <c r="S552" s="7">
        <f>'1 datos preparados'!R545</f>
        <v/>
      </c>
      <c r="T552" s="7">
        <f>'1 datos preparados'!S545</f>
        <v/>
      </c>
      <c r="U552" s="7">
        <f>'1 datos preparados'!T545</f>
        <v/>
      </c>
      <c r="V552" s="8">
        <f>$AC$12+D552*$AC$13+E552*$AC$14+F552*$AC$15+G552*$AC$16+H552*$AC$17+I552*$AC$18+J552*$AC$19+K552*$AC$20+L552*$AC$21+M552*$AC$22+N552*$AC$23+O552*$AC$24+P552*$AC$25+Q552*$AC$26+R552*$AC$27+S552*$AC$28+T552*$AC$29+U552*$AC$30</f>
        <v/>
      </c>
      <c r="W552" s="8">
        <f>1/(1+EXP(-V552))</f>
        <v/>
      </c>
      <c r="X552" s="9">
        <f>-IF(C552=1,LN(W552),LN(1-W552))</f>
        <v/>
      </c>
      <c r="Y552" s="10">
        <f>IF(W552&gt;$AC$34,1,0)</f>
        <v/>
      </c>
      <c r="Z552">
        <f>IF(Y552=C552,1,0)</f>
        <v/>
      </c>
    </row>
    <row r="553">
      <c r="A553">
        <f>'1 datos preparados'!A546</f>
        <v/>
      </c>
      <c r="B553" s="5">
        <f>'1 datos preparados'!U546</f>
        <v/>
      </c>
      <c r="C553">
        <f>'1 datos preparados'!B546</f>
        <v/>
      </c>
      <c r="D553" s="7">
        <f>'1 datos preparados'!C546</f>
        <v/>
      </c>
      <c r="E553" s="7">
        <f>'1 datos preparados'!D546</f>
        <v/>
      </c>
      <c r="F553" s="7">
        <f>'1 datos preparados'!E546</f>
        <v/>
      </c>
      <c r="G553" s="7">
        <f>'1 datos preparados'!F546</f>
        <v/>
      </c>
      <c r="H553" s="7">
        <f>'1 datos preparados'!G546</f>
        <v/>
      </c>
      <c r="I553" s="7">
        <f>'1 datos preparados'!H546</f>
        <v/>
      </c>
      <c r="J553" s="7">
        <f>'1 datos preparados'!I546</f>
        <v/>
      </c>
      <c r="K553" s="7">
        <f>'1 datos preparados'!J546</f>
        <v/>
      </c>
      <c r="L553" s="7">
        <f>'1 datos preparados'!K546</f>
        <v/>
      </c>
      <c r="M553" s="7">
        <f>'1 datos preparados'!L546</f>
        <v/>
      </c>
      <c r="N553" s="7">
        <f>'1 datos preparados'!M546</f>
        <v/>
      </c>
      <c r="O553" s="7">
        <f>'1 datos preparados'!N546</f>
        <v/>
      </c>
      <c r="P553" s="7">
        <f>'1 datos preparados'!O546</f>
        <v/>
      </c>
      <c r="Q553" s="7">
        <f>'1 datos preparados'!P546</f>
        <v/>
      </c>
      <c r="R553" s="7">
        <f>'1 datos preparados'!Q546</f>
        <v/>
      </c>
      <c r="S553" s="7">
        <f>'1 datos preparados'!R546</f>
        <v/>
      </c>
      <c r="T553" s="7">
        <f>'1 datos preparados'!S546</f>
        <v/>
      </c>
      <c r="U553" s="7">
        <f>'1 datos preparados'!T546</f>
        <v/>
      </c>
      <c r="V553" s="8">
        <f>$AC$12+D553*$AC$13+E553*$AC$14+F553*$AC$15+G553*$AC$16+H553*$AC$17+I553*$AC$18+J553*$AC$19+K553*$AC$20+L553*$AC$21+M553*$AC$22+N553*$AC$23+O553*$AC$24+P553*$AC$25+Q553*$AC$26+R553*$AC$27+S553*$AC$28+T553*$AC$29+U553*$AC$30</f>
        <v/>
      </c>
      <c r="W553" s="8">
        <f>1/(1+EXP(-V553))</f>
        <v/>
      </c>
      <c r="X553" s="9">
        <f>-IF(C553=1,LN(W553),LN(1-W553))</f>
        <v/>
      </c>
      <c r="Y553" s="10">
        <f>IF(W553&gt;$AC$34,1,0)</f>
        <v/>
      </c>
      <c r="Z553">
        <f>IF(Y553=C553,1,0)</f>
        <v/>
      </c>
    </row>
    <row r="554">
      <c r="A554">
        <f>'1 datos preparados'!A547</f>
        <v/>
      </c>
      <c r="B554" s="5">
        <f>'1 datos preparados'!U547</f>
        <v/>
      </c>
      <c r="C554">
        <f>'1 datos preparados'!B547</f>
        <v/>
      </c>
      <c r="D554" s="7">
        <f>'1 datos preparados'!C547</f>
        <v/>
      </c>
      <c r="E554" s="7">
        <f>'1 datos preparados'!D547</f>
        <v/>
      </c>
      <c r="F554" s="7">
        <f>'1 datos preparados'!E547</f>
        <v/>
      </c>
      <c r="G554" s="7">
        <f>'1 datos preparados'!F547</f>
        <v/>
      </c>
      <c r="H554" s="7">
        <f>'1 datos preparados'!G547</f>
        <v/>
      </c>
      <c r="I554" s="7">
        <f>'1 datos preparados'!H547</f>
        <v/>
      </c>
      <c r="J554" s="7">
        <f>'1 datos preparados'!I547</f>
        <v/>
      </c>
      <c r="K554" s="7">
        <f>'1 datos preparados'!J547</f>
        <v/>
      </c>
      <c r="L554" s="7">
        <f>'1 datos preparados'!K547</f>
        <v/>
      </c>
      <c r="M554" s="7">
        <f>'1 datos preparados'!L547</f>
        <v/>
      </c>
      <c r="N554" s="7">
        <f>'1 datos preparados'!M547</f>
        <v/>
      </c>
      <c r="O554" s="7">
        <f>'1 datos preparados'!N547</f>
        <v/>
      </c>
      <c r="P554" s="7">
        <f>'1 datos preparados'!O547</f>
        <v/>
      </c>
      <c r="Q554" s="7">
        <f>'1 datos preparados'!P547</f>
        <v/>
      </c>
      <c r="R554" s="7">
        <f>'1 datos preparados'!Q547</f>
        <v/>
      </c>
      <c r="S554" s="7">
        <f>'1 datos preparados'!R547</f>
        <v/>
      </c>
      <c r="T554" s="7">
        <f>'1 datos preparados'!S547</f>
        <v/>
      </c>
      <c r="U554" s="7">
        <f>'1 datos preparados'!T547</f>
        <v/>
      </c>
      <c r="V554" s="8">
        <f>$AC$12+D554*$AC$13+E554*$AC$14+F554*$AC$15+G554*$AC$16+H554*$AC$17+I554*$AC$18+J554*$AC$19+K554*$AC$20+L554*$AC$21+M554*$AC$22+N554*$AC$23+O554*$AC$24+P554*$AC$25+Q554*$AC$26+R554*$AC$27+S554*$AC$28+T554*$AC$29+U554*$AC$30</f>
        <v/>
      </c>
      <c r="W554" s="8">
        <f>1/(1+EXP(-V554))</f>
        <v/>
      </c>
      <c r="X554" s="9">
        <f>-IF(C554=1,LN(W554),LN(1-W554))</f>
        <v/>
      </c>
      <c r="Y554" s="10">
        <f>IF(W554&gt;$AC$34,1,0)</f>
        <v/>
      </c>
      <c r="Z554">
        <f>IF(Y554=C554,1,0)</f>
        <v/>
      </c>
    </row>
    <row r="555">
      <c r="A555">
        <f>'1 datos preparados'!A548</f>
        <v/>
      </c>
      <c r="B555" s="5">
        <f>'1 datos preparados'!U548</f>
        <v/>
      </c>
      <c r="C555">
        <f>'1 datos preparados'!B548</f>
        <v/>
      </c>
      <c r="D555" s="7">
        <f>'1 datos preparados'!C548</f>
        <v/>
      </c>
      <c r="E555" s="7">
        <f>'1 datos preparados'!D548</f>
        <v/>
      </c>
      <c r="F555" s="7">
        <f>'1 datos preparados'!E548</f>
        <v/>
      </c>
      <c r="G555" s="7">
        <f>'1 datos preparados'!F548</f>
        <v/>
      </c>
      <c r="H555" s="7">
        <f>'1 datos preparados'!G548</f>
        <v/>
      </c>
      <c r="I555" s="7">
        <f>'1 datos preparados'!H548</f>
        <v/>
      </c>
      <c r="J555" s="7">
        <f>'1 datos preparados'!I548</f>
        <v/>
      </c>
      <c r="K555" s="7">
        <f>'1 datos preparados'!J548</f>
        <v/>
      </c>
      <c r="L555" s="7">
        <f>'1 datos preparados'!K548</f>
        <v/>
      </c>
      <c r="M555" s="7">
        <f>'1 datos preparados'!L548</f>
        <v/>
      </c>
      <c r="N555" s="7">
        <f>'1 datos preparados'!M548</f>
        <v/>
      </c>
      <c r="O555" s="7">
        <f>'1 datos preparados'!N548</f>
        <v/>
      </c>
      <c r="P555" s="7">
        <f>'1 datos preparados'!O548</f>
        <v/>
      </c>
      <c r="Q555" s="7">
        <f>'1 datos preparados'!P548</f>
        <v/>
      </c>
      <c r="R555" s="7">
        <f>'1 datos preparados'!Q548</f>
        <v/>
      </c>
      <c r="S555" s="7">
        <f>'1 datos preparados'!R548</f>
        <v/>
      </c>
      <c r="T555" s="7">
        <f>'1 datos preparados'!S548</f>
        <v/>
      </c>
      <c r="U555" s="7">
        <f>'1 datos preparados'!T548</f>
        <v/>
      </c>
      <c r="V555" s="8">
        <f>$AC$12+D555*$AC$13+E555*$AC$14+F555*$AC$15+G555*$AC$16+H555*$AC$17+I555*$AC$18+J555*$AC$19+K555*$AC$20+L555*$AC$21+M555*$AC$22+N555*$AC$23+O555*$AC$24+P555*$AC$25+Q555*$AC$26+R555*$AC$27+S555*$AC$28+T555*$AC$29+U555*$AC$30</f>
        <v/>
      </c>
      <c r="W555" s="8">
        <f>1/(1+EXP(-V555))</f>
        <v/>
      </c>
      <c r="X555" s="9">
        <f>-IF(C555=1,LN(W555),LN(1-W555))</f>
        <v/>
      </c>
      <c r="Y555" s="10">
        <f>IF(W555&gt;$AC$34,1,0)</f>
        <v/>
      </c>
      <c r="Z555">
        <f>IF(Y555=C555,1,0)</f>
        <v/>
      </c>
    </row>
    <row r="556">
      <c r="A556">
        <f>'1 datos preparados'!A549</f>
        <v/>
      </c>
      <c r="B556" s="5">
        <f>'1 datos preparados'!U549</f>
        <v/>
      </c>
      <c r="C556">
        <f>'1 datos preparados'!B549</f>
        <v/>
      </c>
      <c r="D556" s="7">
        <f>'1 datos preparados'!C549</f>
        <v/>
      </c>
      <c r="E556" s="7">
        <f>'1 datos preparados'!D549</f>
        <v/>
      </c>
      <c r="F556" s="7">
        <f>'1 datos preparados'!E549</f>
        <v/>
      </c>
      <c r="G556" s="7">
        <f>'1 datos preparados'!F549</f>
        <v/>
      </c>
      <c r="H556" s="7">
        <f>'1 datos preparados'!G549</f>
        <v/>
      </c>
      <c r="I556" s="7">
        <f>'1 datos preparados'!H549</f>
        <v/>
      </c>
      <c r="J556" s="7">
        <f>'1 datos preparados'!I549</f>
        <v/>
      </c>
      <c r="K556" s="7">
        <f>'1 datos preparados'!J549</f>
        <v/>
      </c>
      <c r="L556" s="7">
        <f>'1 datos preparados'!K549</f>
        <v/>
      </c>
      <c r="M556" s="7">
        <f>'1 datos preparados'!L549</f>
        <v/>
      </c>
      <c r="N556" s="7">
        <f>'1 datos preparados'!M549</f>
        <v/>
      </c>
      <c r="O556" s="7">
        <f>'1 datos preparados'!N549</f>
        <v/>
      </c>
      <c r="P556" s="7">
        <f>'1 datos preparados'!O549</f>
        <v/>
      </c>
      <c r="Q556" s="7">
        <f>'1 datos preparados'!P549</f>
        <v/>
      </c>
      <c r="R556" s="7">
        <f>'1 datos preparados'!Q549</f>
        <v/>
      </c>
      <c r="S556" s="7">
        <f>'1 datos preparados'!R549</f>
        <v/>
      </c>
      <c r="T556" s="7">
        <f>'1 datos preparados'!S549</f>
        <v/>
      </c>
      <c r="U556" s="7">
        <f>'1 datos preparados'!T549</f>
        <v/>
      </c>
      <c r="V556" s="8">
        <f>$AC$12+D556*$AC$13+E556*$AC$14+F556*$AC$15+G556*$AC$16+H556*$AC$17+I556*$AC$18+J556*$AC$19+K556*$AC$20+L556*$AC$21+M556*$AC$22+N556*$AC$23+O556*$AC$24+P556*$AC$25+Q556*$AC$26+R556*$AC$27+S556*$AC$28+T556*$AC$29+U556*$AC$30</f>
        <v/>
      </c>
      <c r="W556" s="8">
        <f>1/(1+EXP(-V556))</f>
        <v/>
      </c>
      <c r="X556" s="9">
        <f>-IF(C556=1,LN(W556),LN(1-W556))</f>
        <v/>
      </c>
      <c r="Y556" s="10">
        <f>IF(W556&gt;$AC$34,1,0)</f>
        <v/>
      </c>
      <c r="Z556">
        <f>IF(Y556=C556,1,0)</f>
        <v/>
      </c>
    </row>
    <row r="557">
      <c r="A557">
        <f>'1 datos preparados'!A550</f>
        <v/>
      </c>
      <c r="B557" s="5">
        <f>'1 datos preparados'!U550</f>
        <v/>
      </c>
      <c r="C557">
        <f>'1 datos preparados'!B550</f>
        <v/>
      </c>
      <c r="D557" s="7">
        <f>'1 datos preparados'!C550</f>
        <v/>
      </c>
      <c r="E557" s="7">
        <f>'1 datos preparados'!D550</f>
        <v/>
      </c>
      <c r="F557" s="7">
        <f>'1 datos preparados'!E550</f>
        <v/>
      </c>
      <c r="G557" s="7">
        <f>'1 datos preparados'!F550</f>
        <v/>
      </c>
      <c r="H557" s="7">
        <f>'1 datos preparados'!G550</f>
        <v/>
      </c>
      <c r="I557" s="7">
        <f>'1 datos preparados'!H550</f>
        <v/>
      </c>
      <c r="J557" s="7">
        <f>'1 datos preparados'!I550</f>
        <v/>
      </c>
      <c r="K557" s="7">
        <f>'1 datos preparados'!J550</f>
        <v/>
      </c>
      <c r="L557" s="7">
        <f>'1 datos preparados'!K550</f>
        <v/>
      </c>
      <c r="M557" s="7">
        <f>'1 datos preparados'!L550</f>
        <v/>
      </c>
      <c r="N557" s="7">
        <f>'1 datos preparados'!M550</f>
        <v/>
      </c>
      <c r="O557" s="7">
        <f>'1 datos preparados'!N550</f>
        <v/>
      </c>
      <c r="P557" s="7">
        <f>'1 datos preparados'!O550</f>
        <v/>
      </c>
      <c r="Q557" s="7">
        <f>'1 datos preparados'!P550</f>
        <v/>
      </c>
      <c r="R557" s="7">
        <f>'1 datos preparados'!Q550</f>
        <v/>
      </c>
      <c r="S557" s="7">
        <f>'1 datos preparados'!R550</f>
        <v/>
      </c>
      <c r="T557" s="7">
        <f>'1 datos preparados'!S550</f>
        <v/>
      </c>
      <c r="U557" s="7">
        <f>'1 datos preparados'!T550</f>
        <v/>
      </c>
      <c r="V557" s="8">
        <f>$AC$12+D557*$AC$13+E557*$AC$14+F557*$AC$15+G557*$AC$16+H557*$AC$17+I557*$AC$18+J557*$AC$19+K557*$AC$20+L557*$AC$21+M557*$AC$22+N557*$AC$23+O557*$AC$24+P557*$AC$25+Q557*$AC$26+R557*$AC$27+S557*$AC$28+T557*$AC$29+U557*$AC$30</f>
        <v/>
      </c>
      <c r="W557" s="8">
        <f>1/(1+EXP(-V557))</f>
        <v/>
      </c>
      <c r="X557" s="9">
        <f>-IF(C557=1,LN(W557),LN(1-W557))</f>
        <v/>
      </c>
      <c r="Y557" s="10">
        <f>IF(W557&gt;$AC$34,1,0)</f>
        <v/>
      </c>
      <c r="Z557">
        <f>IF(Y557=C557,1,0)</f>
        <v/>
      </c>
    </row>
    <row r="558">
      <c r="A558">
        <f>'1 datos preparados'!A551</f>
        <v/>
      </c>
      <c r="B558" s="5">
        <f>'1 datos preparados'!U551</f>
        <v/>
      </c>
      <c r="C558">
        <f>'1 datos preparados'!B551</f>
        <v/>
      </c>
      <c r="D558" s="7">
        <f>'1 datos preparados'!C551</f>
        <v/>
      </c>
      <c r="E558" s="7">
        <f>'1 datos preparados'!D551</f>
        <v/>
      </c>
      <c r="F558" s="7">
        <f>'1 datos preparados'!E551</f>
        <v/>
      </c>
      <c r="G558" s="7">
        <f>'1 datos preparados'!F551</f>
        <v/>
      </c>
      <c r="H558" s="7">
        <f>'1 datos preparados'!G551</f>
        <v/>
      </c>
      <c r="I558" s="7">
        <f>'1 datos preparados'!H551</f>
        <v/>
      </c>
      <c r="J558" s="7">
        <f>'1 datos preparados'!I551</f>
        <v/>
      </c>
      <c r="K558" s="7">
        <f>'1 datos preparados'!J551</f>
        <v/>
      </c>
      <c r="L558" s="7">
        <f>'1 datos preparados'!K551</f>
        <v/>
      </c>
      <c r="M558" s="7">
        <f>'1 datos preparados'!L551</f>
        <v/>
      </c>
      <c r="N558" s="7">
        <f>'1 datos preparados'!M551</f>
        <v/>
      </c>
      <c r="O558" s="7">
        <f>'1 datos preparados'!N551</f>
        <v/>
      </c>
      <c r="P558" s="7">
        <f>'1 datos preparados'!O551</f>
        <v/>
      </c>
      <c r="Q558" s="7">
        <f>'1 datos preparados'!P551</f>
        <v/>
      </c>
      <c r="R558" s="7">
        <f>'1 datos preparados'!Q551</f>
        <v/>
      </c>
      <c r="S558" s="7">
        <f>'1 datos preparados'!R551</f>
        <v/>
      </c>
      <c r="T558" s="7">
        <f>'1 datos preparados'!S551</f>
        <v/>
      </c>
      <c r="U558" s="7">
        <f>'1 datos preparados'!T551</f>
        <v/>
      </c>
      <c r="V558" s="8">
        <f>$AC$12+D558*$AC$13+E558*$AC$14+F558*$AC$15+G558*$AC$16+H558*$AC$17+I558*$AC$18+J558*$AC$19+K558*$AC$20+L558*$AC$21+M558*$AC$22+N558*$AC$23+O558*$AC$24+P558*$AC$25+Q558*$AC$26+R558*$AC$27+S558*$AC$28+T558*$AC$29+U558*$AC$30</f>
        <v/>
      </c>
      <c r="W558" s="8">
        <f>1/(1+EXP(-V558))</f>
        <v/>
      </c>
      <c r="X558" s="9">
        <f>-IF(C558=1,LN(W558),LN(1-W558))</f>
        <v/>
      </c>
      <c r="Y558" s="10">
        <f>IF(W558&gt;$AC$34,1,0)</f>
        <v/>
      </c>
      <c r="Z558">
        <f>IF(Y558=C558,1,0)</f>
        <v/>
      </c>
    </row>
    <row r="559">
      <c r="A559">
        <f>'1 datos preparados'!A552</f>
        <v/>
      </c>
      <c r="B559" s="5">
        <f>'1 datos preparados'!U552</f>
        <v/>
      </c>
      <c r="C559">
        <f>'1 datos preparados'!B552</f>
        <v/>
      </c>
      <c r="D559" s="7">
        <f>'1 datos preparados'!C552</f>
        <v/>
      </c>
      <c r="E559" s="7">
        <f>'1 datos preparados'!D552</f>
        <v/>
      </c>
      <c r="F559" s="7">
        <f>'1 datos preparados'!E552</f>
        <v/>
      </c>
      <c r="G559" s="7">
        <f>'1 datos preparados'!F552</f>
        <v/>
      </c>
      <c r="H559" s="7">
        <f>'1 datos preparados'!G552</f>
        <v/>
      </c>
      <c r="I559" s="7">
        <f>'1 datos preparados'!H552</f>
        <v/>
      </c>
      <c r="J559" s="7">
        <f>'1 datos preparados'!I552</f>
        <v/>
      </c>
      <c r="K559" s="7">
        <f>'1 datos preparados'!J552</f>
        <v/>
      </c>
      <c r="L559" s="7">
        <f>'1 datos preparados'!K552</f>
        <v/>
      </c>
      <c r="M559" s="7">
        <f>'1 datos preparados'!L552</f>
        <v/>
      </c>
      <c r="N559" s="7">
        <f>'1 datos preparados'!M552</f>
        <v/>
      </c>
      <c r="O559" s="7">
        <f>'1 datos preparados'!N552</f>
        <v/>
      </c>
      <c r="P559" s="7">
        <f>'1 datos preparados'!O552</f>
        <v/>
      </c>
      <c r="Q559" s="7">
        <f>'1 datos preparados'!P552</f>
        <v/>
      </c>
      <c r="R559" s="7">
        <f>'1 datos preparados'!Q552</f>
        <v/>
      </c>
      <c r="S559" s="7">
        <f>'1 datos preparados'!R552</f>
        <v/>
      </c>
      <c r="T559" s="7">
        <f>'1 datos preparados'!S552</f>
        <v/>
      </c>
      <c r="U559" s="7">
        <f>'1 datos preparados'!T552</f>
        <v/>
      </c>
      <c r="V559" s="8">
        <f>$AC$12+D559*$AC$13+E559*$AC$14+F559*$AC$15+G559*$AC$16+H559*$AC$17+I559*$AC$18+J559*$AC$19+K559*$AC$20+L559*$AC$21+M559*$AC$22+N559*$AC$23+O559*$AC$24+P559*$AC$25+Q559*$AC$26+R559*$AC$27+S559*$AC$28+T559*$AC$29+U559*$AC$30</f>
        <v/>
      </c>
      <c r="W559" s="8">
        <f>1/(1+EXP(-V559))</f>
        <v/>
      </c>
      <c r="X559" s="9">
        <f>-IF(C559=1,LN(W559),LN(1-W559))</f>
        <v/>
      </c>
      <c r="Y559" s="10">
        <f>IF(W559&gt;$AC$34,1,0)</f>
        <v/>
      </c>
      <c r="Z559">
        <f>IF(Y559=C559,1,0)</f>
        <v/>
      </c>
    </row>
    <row r="560">
      <c r="A560">
        <f>'1 datos preparados'!A553</f>
        <v/>
      </c>
      <c r="B560" s="5">
        <f>'1 datos preparados'!U553</f>
        <v/>
      </c>
      <c r="C560">
        <f>'1 datos preparados'!B553</f>
        <v/>
      </c>
      <c r="D560" s="7">
        <f>'1 datos preparados'!C553</f>
        <v/>
      </c>
      <c r="E560" s="7">
        <f>'1 datos preparados'!D553</f>
        <v/>
      </c>
      <c r="F560" s="7">
        <f>'1 datos preparados'!E553</f>
        <v/>
      </c>
      <c r="G560" s="7">
        <f>'1 datos preparados'!F553</f>
        <v/>
      </c>
      <c r="H560" s="7">
        <f>'1 datos preparados'!G553</f>
        <v/>
      </c>
      <c r="I560" s="7">
        <f>'1 datos preparados'!H553</f>
        <v/>
      </c>
      <c r="J560" s="7">
        <f>'1 datos preparados'!I553</f>
        <v/>
      </c>
      <c r="K560" s="7">
        <f>'1 datos preparados'!J553</f>
        <v/>
      </c>
      <c r="L560" s="7">
        <f>'1 datos preparados'!K553</f>
        <v/>
      </c>
      <c r="M560" s="7">
        <f>'1 datos preparados'!L553</f>
        <v/>
      </c>
      <c r="N560" s="7">
        <f>'1 datos preparados'!M553</f>
        <v/>
      </c>
      <c r="O560" s="7">
        <f>'1 datos preparados'!N553</f>
        <v/>
      </c>
      <c r="P560" s="7">
        <f>'1 datos preparados'!O553</f>
        <v/>
      </c>
      <c r="Q560" s="7">
        <f>'1 datos preparados'!P553</f>
        <v/>
      </c>
      <c r="R560" s="7">
        <f>'1 datos preparados'!Q553</f>
        <v/>
      </c>
      <c r="S560" s="7">
        <f>'1 datos preparados'!R553</f>
        <v/>
      </c>
      <c r="T560" s="7">
        <f>'1 datos preparados'!S553</f>
        <v/>
      </c>
      <c r="U560" s="7">
        <f>'1 datos preparados'!T553</f>
        <v/>
      </c>
      <c r="V560" s="8">
        <f>$AC$12+D560*$AC$13+E560*$AC$14+F560*$AC$15+G560*$AC$16+H560*$AC$17+I560*$AC$18+J560*$AC$19+K560*$AC$20+L560*$AC$21+M560*$AC$22+N560*$AC$23+O560*$AC$24+P560*$AC$25+Q560*$AC$26+R560*$AC$27+S560*$AC$28+T560*$AC$29+U560*$AC$30</f>
        <v/>
      </c>
      <c r="W560" s="8">
        <f>1/(1+EXP(-V560))</f>
        <v/>
      </c>
      <c r="X560" s="9">
        <f>-IF(C560=1,LN(W560),LN(1-W560))</f>
        <v/>
      </c>
      <c r="Y560" s="10">
        <f>IF(W560&gt;$AC$34,1,0)</f>
        <v/>
      </c>
      <c r="Z560">
        <f>IF(Y560=C560,1,0)</f>
        <v/>
      </c>
    </row>
    <row r="561">
      <c r="A561">
        <f>'1 datos preparados'!A554</f>
        <v/>
      </c>
      <c r="B561" s="5">
        <f>'1 datos preparados'!U554</f>
        <v/>
      </c>
      <c r="C561">
        <f>'1 datos preparados'!B554</f>
        <v/>
      </c>
      <c r="D561" s="7">
        <f>'1 datos preparados'!C554</f>
        <v/>
      </c>
      <c r="E561" s="7">
        <f>'1 datos preparados'!D554</f>
        <v/>
      </c>
      <c r="F561" s="7">
        <f>'1 datos preparados'!E554</f>
        <v/>
      </c>
      <c r="G561" s="7">
        <f>'1 datos preparados'!F554</f>
        <v/>
      </c>
      <c r="H561" s="7">
        <f>'1 datos preparados'!G554</f>
        <v/>
      </c>
      <c r="I561" s="7">
        <f>'1 datos preparados'!H554</f>
        <v/>
      </c>
      <c r="J561" s="7">
        <f>'1 datos preparados'!I554</f>
        <v/>
      </c>
      <c r="K561" s="7">
        <f>'1 datos preparados'!J554</f>
        <v/>
      </c>
      <c r="L561" s="7">
        <f>'1 datos preparados'!K554</f>
        <v/>
      </c>
      <c r="M561" s="7">
        <f>'1 datos preparados'!L554</f>
        <v/>
      </c>
      <c r="N561" s="7">
        <f>'1 datos preparados'!M554</f>
        <v/>
      </c>
      <c r="O561" s="7">
        <f>'1 datos preparados'!N554</f>
        <v/>
      </c>
      <c r="P561" s="7">
        <f>'1 datos preparados'!O554</f>
        <v/>
      </c>
      <c r="Q561" s="7">
        <f>'1 datos preparados'!P554</f>
        <v/>
      </c>
      <c r="R561" s="7">
        <f>'1 datos preparados'!Q554</f>
        <v/>
      </c>
      <c r="S561" s="7">
        <f>'1 datos preparados'!R554</f>
        <v/>
      </c>
      <c r="T561" s="7">
        <f>'1 datos preparados'!S554</f>
        <v/>
      </c>
      <c r="U561" s="7">
        <f>'1 datos preparados'!T554</f>
        <v/>
      </c>
      <c r="V561" s="8">
        <f>$AC$12+D561*$AC$13+E561*$AC$14+F561*$AC$15+G561*$AC$16+H561*$AC$17+I561*$AC$18+J561*$AC$19+K561*$AC$20+L561*$AC$21+M561*$AC$22+N561*$AC$23+O561*$AC$24+P561*$AC$25+Q561*$AC$26+R561*$AC$27+S561*$AC$28+T561*$AC$29+U561*$AC$30</f>
        <v/>
      </c>
      <c r="W561" s="8">
        <f>1/(1+EXP(-V561))</f>
        <v/>
      </c>
      <c r="X561" s="9">
        <f>-IF(C561=1,LN(W561),LN(1-W561))</f>
        <v/>
      </c>
      <c r="Y561" s="10">
        <f>IF(W561&gt;$AC$34,1,0)</f>
        <v/>
      </c>
      <c r="Z561">
        <f>IF(Y561=C561,1,0)</f>
        <v/>
      </c>
    </row>
    <row r="562">
      <c r="A562">
        <f>'1 datos preparados'!A555</f>
        <v/>
      </c>
      <c r="B562" s="5">
        <f>'1 datos preparados'!U555</f>
        <v/>
      </c>
      <c r="C562">
        <f>'1 datos preparados'!B555</f>
        <v/>
      </c>
      <c r="D562" s="7">
        <f>'1 datos preparados'!C555</f>
        <v/>
      </c>
      <c r="E562" s="7">
        <f>'1 datos preparados'!D555</f>
        <v/>
      </c>
      <c r="F562" s="7">
        <f>'1 datos preparados'!E555</f>
        <v/>
      </c>
      <c r="G562" s="7">
        <f>'1 datos preparados'!F555</f>
        <v/>
      </c>
      <c r="H562" s="7">
        <f>'1 datos preparados'!G555</f>
        <v/>
      </c>
      <c r="I562" s="7">
        <f>'1 datos preparados'!H555</f>
        <v/>
      </c>
      <c r="J562" s="7">
        <f>'1 datos preparados'!I555</f>
        <v/>
      </c>
      <c r="K562" s="7">
        <f>'1 datos preparados'!J555</f>
        <v/>
      </c>
      <c r="L562" s="7">
        <f>'1 datos preparados'!K555</f>
        <v/>
      </c>
      <c r="M562" s="7">
        <f>'1 datos preparados'!L555</f>
        <v/>
      </c>
      <c r="N562" s="7">
        <f>'1 datos preparados'!M555</f>
        <v/>
      </c>
      <c r="O562" s="7">
        <f>'1 datos preparados'!N555</f>
        <v/>
      </c>
      <c r="P562" s="7">
        <f>'1 datos preparados'!O555</f>
        <v/>
      </c>
      <c r="Q562" s="7">
        <f>'1 datos preparados'!P555</f>
        <v/>
      </c>
      <c r="R562" s="7">
        <f>'1 datos preparados'!Q555</f>
        <v/>
      </c>
      <c r="S562" s="7">
        <f>'1 datos preparados'!R555</f>
        <v/>
      </c>
      <c r="T562" s="7">
        <f>'1 datos preparados'!S555</f>
        <v/>
      </c>
      <c r="U562" s="7">
        <f>'1 datos preparados'!T555</f>
        <v/>
      </c>
      <c r="V562" s="8">
        <f>$AC$12+D562*$AC$13+E562*$AC$14+F562*$AC$15+G562*$AC$16+H562*$AC$17+I562*$AC$18+J562*$AC$19+K562*$AC$20+L562*$AC$21+M562*$AC$22+N562*$AC$23+O562*$AC$24+P562*$AC$25+Q562*$AC$26+R562*$AC$27+S562*$AC$28+T562*$AC$29+U562*$AC$30</f>
        <v/>
      </c>
      <c r="W562" s="8">
        <f>1/(1+EXP(-V562))</f>
        <v/>
      </c>
      <c r="X562" s="9">
        <f>-IF(C562=1,LN(W562),LN(1-W562))</f>
        <v/>
      </c>
      <c r="Y562" s="10">
        <f>IF(W562&gt;$AC$34,1,0)</f>
        <v/>
      </c>
      <c r="Z562">
        <f>IF(Y562=C562,1,0)</f>
        <v/>
      </c>
    </row>
    <row r="563">
      <c r="A563">
        <f>'1 datos preparados'!A556</f>
        <v/>
      </c>
      <c r="B563" s="5">
        <f>'1 datos preparados'!U556</f>
        <v/>
      </c>
      <c r="C563">
        <f>'1 datos preparados'!B556</f>
        <v/>
      </c>
      <c r="D563" s="7">
        <f>'1 datos preparados'!C556</f>
        <v/>
      </c>
      <c r="E563" s="7">
        <f>'1 datos preparados'!D556</f>
        <v/>
      </c>
      <c r="F563" s="7">
        <f>'1 datos preparados'!E556</f>
        <v/>
      </c>
      <c r="G563" s="7">
        <f>'1 datos preparados'!F556</f>
        <v/>
      </c>
      <c r="H563" s="7">
        <f>'1 datos preparados'!G556</f>
        <v/>
      </c>
      <c r="I563" s="7">
        <f>'1 datos preparados'!H556</f>
        <v/>
      </c>
      <c r="J563" s="7">
        <f>'1 datos preparados'!I556</f>
        <v/>
      </c>
      <c r="K563" s="7">
        <f>'1 datos preparados'!J556</f>
        <v/>
      </c>
      <c r="L563" s="7">
        <f>'1 datos preparados'!K556</f>
        <v/>
      </c>
      <c r="M563" s="7">
        <f>'1 datos preparados'!L556</f>
        <v/>
      </c>
      <c r="N563" s="7">
        <f>'1 datos preparados'!M556</f>
        <v/>
      </c>
      <c r="O563" s="7">
        <f>'1 datos preparados'!N556</f>
        <v/>
      </c>
      <c r="P563" s="7">
        <f>'1 datos preparados'!O556</f>
        <v/>
      </c>
      <c r="Q563" s="7">
        <f>'1 datos preparados'!P556</f>
        <v/>
      </c>
      <c r="R563" s="7">
        <f>'1 datos preparados'!Q556</f>
        <v/>
      </c>
      <c r="S563" s="7">
        <f>'1 datos preparados'!R556</f>
        <v/>
      </c>
      <c r="T563" s="7">
        <f>'1 datos preparados'!S556</f>
        <v/>
      </c>
      <c r="U563" s="7">
        <f>'1 datos preparados'!T556</f>
        <v/>
      </c>
      <c r="V563" s="8">
        <f>$AC$12+D563*$AC$13+E563*$AC$14+F563*$AC$15+G563*$AC$16+H563*$AC$17+I563*$AC$18+J563*$AC$19+K563*$AC$20+L563*$AC$21+M563*$AC$22+N563*$AC$23+O563*$AC$24+P563*$AC$25+Q563*$AC$26+R563*$AC$27+S563*$AC$28+T563*$AC$29+U563*$AC$30</f>
        <v/>
      </c>
      <c r="W563" s="8">
        <f>1/(1+EXP(-V563))</f>
        <v/>
      </c>
      <c r="X563" s="9">
        <f>-IF(C563=1,LN(W563),LN(1-W563))</f>
        <v/>
      </c>
      <c r="Y563" s="10">
        <f>IF(W563&gt;$AC$34,1,0)</f>
        <v/>
      </c>
      <c r="Z563">
        <f>IF(Y563=C563,1,0)</f>
        <v/>
      </c>
    </row>
    <row r="564">
      <c r="A564">
        <f>'1 datos preparados'!A557</f>
        <v/>
      </c>
      <c r="B564" s="5">
        <f>'1 datos preparados'!U557</f>
        <v/>
      </c>
      <c r="C564">
        <f>'1 datos preparados'!B557</f>
        <v/>
      </c>
      <c r="D564" s="7">
        <f>'1 datos preparados'!C557</f>
        <v/>
      </c>
      <c r="E564" s="7">
        <f>'1 datos preparados'!D557</f>
        <v/>
      </c>
      <c r="F564" s="7">
        <f>'1 datos preparados'!E557</f>
        <v/>
      </c>
      <c r="G564" s="7">
        <f>'1 datos preparados'!F557</f>
        <v/>
      </c>
      <c r="H564" s="7">
        <f>'1 datos preparados'!G557</f>
        <v/>
      </c>
      <c r="I564" s="7">
        <f>'1 datos preparados'!H557</f>
        <v/>
      </c>
      <c r="J564" s="7">
        <f>'1 datos preparados'!I557</f>
        <v/>
      </c>
      <c r="K564" s="7">
        <f>'1 datos preparados'!J557</f>
        <v/>
      </c>
      <c r="L564" s="7">
        <f>'1 datos preparados'!K557</f>
        <v/>
      </c>
      <c r="M564" s="7">
        <f>'1 datos preparados'!L557</f>
        <v/>
      </c>
      <c r="N564" s="7">
        <f>'1 datos preparados'!M557</f>
        <v/>
      </c>
      <c r="O564" s="7">
        <f>'1 datos preparados'!N557</f>
        <v/>
      </c>
      <c r="P564" s="7">
        <f>'1 datos preparados'!O557</f>
        <v/>
      </c>
      <c r="Q564" s="7">
        <f>'1 datos preparados'!P557</f>
        <v/>
      </c>
      <c r="R564" s="7">
        <f>'1 datos preparados'!Q557</f>
        <v/>
      </c>
      <c r="S564" s="7">
        <f>'1 datos preparados'!R557</f>
        <v/>
      </c>
      <c r="T564" s="7">
        <f>'1 datos preparados'!S557</f>
        <v/>
      </c>
      <c r="U564" s="7">
        <f>'1 datos preparados'!T557</f>
        <v/>
      </c>
      <c r="V564" s="8">
        <f>$AC$12+D564*$AC$13+E564*$AC$14+F564*$AC$15+G564*$AC$16+H564*$AC$17+I564*$AC$18+J564*$AC$19+K564*$AC$20+L564*$AC$21+M564*$AC$22+N564*$AC$23+O564*$AC$24+P564*$AC$25+Q564*$AC$26+R564*$AC$27+S564*$AC$28+T564*$AC$29+U564*$AC$30</f>
        <v/>
      </c>
      <c r="W564" s="8">
        <f>1/(1+EXP(-V564))</f>
        <v/>
      </c>
      <c r="X564" s="9">
        <f>-IF(C564=1,LN(W564),LN(1-W564))</f>
        <v/>
      </c>
      <c r="Y564" s="10">
        <f>IF(W564&gt;$AC$34,1,0)</f>
        <v/>
      </c>
      <c r="Z564">
        <f>IF(Y564=C564,1,0)</f>
        <v/>
      </c>
    </row>
    <row r="565">
      <c r="A565">
        <f>'1 datos preparados'!A558</f>
        <v/>
      </c>
      <c r="B565" s="5">
        <f>'1 datos preparados'!U558</f>
        <v/>
      </c>
      <c r="C565">
        <f>'1 datos preparados'!B558</f>
        <v/>
      </c>
      <c r="D565" s="7">
        <f>'1 datos preparados'!C558</f>
        <v/>
      </c>
      <c r="E565" s="7">
        <f>'1 datos preparados'!D558</f>
        <v/>
      </c>
      <c r="F565" s="7">
        <f>'1 datos preparados'!E558</f>
        <v/>
      </c>
      <c r="G565" s="7">
        <f>'1 datos preparados'!F558</f>
        <v/>
      </c>
      <c r="H565" s="7">
        <f>'1 datos preparados'!G558</f>
        <v/>
      </c>
      <c r="I565" s="7">
        <f>'1 datos preparados'!H558</f>
        <v/>
      </c>
      <c r="J565" s="7">
        <f>'1 datos preparados'!I558</f>
        <v/>
      </c>
      <c r="K565" s="7">
        <f>'1 datos preparados'!J558</f>
        <v/>
      </c>
      <c r="L565" s="7">
        <f>'1 datos preparados'!K558</f>
        <v/>
      </c>
      <c r="M565" s="7">
        <f>'1 datos preparados'!L558</f>
        <v/>
      </c>
      <c r="N565" s="7">
        <f>'1 datos preparados'!M558</f>
        <v/>
      </c>
      <c r="O565" s="7">
        <f>'1 datos preparados'!N558</f>
        <v/>
      </c>
      <c r="P565" s="7">
        <f>'1 datos preparados'!O558</f>
        <v/>
      </c>
      <c r="Q565" s="7">
        <f>'1 datos preparados'!P558</f>
        <v/>
      </c>
      <c r="R565" s="7">
        <f>'1 datos preparados'!Q558</f>
        <v/>
      </c>
      <c r="S565" s="7">
        <f>'1 datos preparados'!R558</f>
        <v/>
      </c>
      <c r="T565" s="7">
        <f>'1 datos preparados'!S558</f>
        <v/>
      </c>
      <c r="U565" s="7">
        <f>'1 datos preparados'!T558</f>
        <v/>
      </c>
      <c r="V565" s="8">
        <f>$AC$12+D565*$AC$13+E565*$AC$14+F565*$AC$15+G565*$AC$16+H565*$AC$17+I565*$AC$18+J565*$AC$19+K565*$AC$20+L565*$AC$21+M565*$AC$22+N565*$AC$23+O565*$AC$24+P565*$AC$25+Q565*$AC$26+R565*$AC$27+S565*$AC$28+T565*$AC$29+U565*$AC$30</f>
        <v/>
      </c>
      <c r="W565" s="8">
        <f>1/(1+EXP(-V565))</f>
        <v/>
      </c>
      <c r="X565" s="9">
        <f>-IF(C565=1,LN(W565),LN(1-W565))</f>
        <v/>
      </c>
      <c r="Y565" s="10">
        <f>IF(W565&gt;$AC$34,1,0)</f>
        <v/>
      </c>
      <c r="Z565">
        <f>IF(Y565=C565,1,0)</f>
        <v/>
      </c>
    </row>
    <row r="566">
      <c r="A566">
        <f>'1 datos preparados'!A559</f>
        <v/>
      </c>
      <c r="B566" s="5">
        <f>'1 datos preparados'!U559</f>
        <v/>
      </c>
      <c r="C566">
        <f>'1 datos preparados'!B559</f>
        <v/>
      </c>
      <c r="D566" s="7">
        <f>'1 datos preparados'!C559</f>
        <v/>
      </c>
      <c r="E566" s="7">
        <f>'1 datos preparados'!D559</f>
        <v/>
      </c>
      <c r="F566" s="7">
        <f>'1 datos preparados'!E559</f>
        <v/>
      </c>
      <c r="G566" s="7">
        <f>'1 datos preparados'!F559</f>
        <v/>
      </c>
      <c r="H566" s="7">
        <f>'1 datos preparados'!G559</f>
        <v/>
      </c>
      <c r="I566" s="7">
        <f>'1 datos preparados'!H559</f>
        <v/>
      </c>
      <c r="J566" s="7">
        <f>'1 datos preparados'!I559</f>
        <v/>
      </c>
      <c r="K566" s="7">
        <f>'1 datos preparados'!J559</f>
        <v/>
      </c>
      <c r="L566" s="7">
        <f>'1 datos preparados'!K559</f>
        <v/>
      </c>
      <c r="M566" s="7">
        <f>'1 datos preparados'!L559</f>
        <v/>
      </c>
      <c r="N566" s="7">
        <f>'1 datos preparados'!M559</f>
        <v/>
      </c>
      <c r="O566" s="7">
        <f>'1 datos preparados'!N559</f>
        <v/>
      </c>
      <c r="P566" s="7">
        <f>'1 datos preparados'!O559</f>
        <v/>
      </c>
      <c r="Q566" s="7">
        <f>'1 datos preparados'!P559</f>
        <v/>
      </c>
      <c r="R566" s="7">
        <f>'1 datos preparados'!Q559</f>
        <v/>
      </c>
      <c r="S566" s="7">
        <f>'1 datos preparados'!R559</f>
        <v/>
      </c>
      <c r="T566" s="7">
        <f>'1 datos preparados'!S559</f>
        <v/>
      </c>
      <c r="U566" s="7">
        <f>'1 datos preparados'!T559</f>
        <v/>
      </c>
      <c r="V566" s="8">
        <f>$AC$12+D566*$AC$13+E566*$AC$14+F566*$AC$15+G566*$AC$16+H566*$AC$17+I566*$AC$18+J566*$AC$19+K566*$AC$20+L566*$AC$21+M566*$AC$22+N566*$AC$23+O566*$AC$24+P566*$AC$25+Q566*$AC$26+R566*$AC$27+S566*$AC$28+T566*$AC$29+U566*$AC$30</f>
        <v/>
      </c>
      <c r="W566" s="8">
        <f>1/(1+EXP(-V566))</f>
        <v/>
      </c>
      <c r="X566" s="9">
        <f>-IF(C566=1,LN(W566),LN(1-W566))</f>
        <v/>
      </c>
      <c r="Y566" s="10">
        <f>IF(W566&gt;$AC$34,1,0)</f>
        <v/>
      </c>
      <c r="Z566">
        <f>IF(Y566=C566,1,0)</f>
        <v/>
      </c>
    </row>
    <row r="567">
      <c r="A567">
        <f>'1 datos preparados'!A560</f>
        <v/>
      </c>
      <c r="B567" s="5">
        <f>'1 datos preparados'!U560</f>
        <v/>
      </c>
      <c r="C567">
        <f>'1 datos preparados'!B560</f>
        <v/>
      </c>
      <c r="D567" s="7">
        <f>'1 datos preparados'!C560</f>
        <v/>
      </c>
      <c r="E567" s="7">
        <f>'1 datos preparados'!D560</f>
        <v/>
      </c>
      <c r="F567" s="7">
        <f>'1 datos preparados'!E560</f>
        <v/>
      </c>
      <c r="G567" s="7">
        <f>'1 datos preparados'!F560</f>
        <v/>
      </c>
      <c r="H567" s="7">
        <f>'1 datos preparados'!G560</f>
        <v/>
      </c>
      <c r="I567" s="7">
        <f>'1 datos preparados'!H560</f>
        <v/>
      </c>
      <c r="J567" s="7">
        <f>'1 datos preparados'!I560</f>
        <v/>
      </c>
      <c r="K567" s="7">
        <f>'1 datos preparados'!J560</f>
        <v/>
      </c>
      <c r="L567" s="7">
        <f>'1 datos preparados'!K560</f>
        <v/>
      </c>
      <c r="M567" s="7">
        <f>'1 datos preparados'!L560</f>
        <v/>
      </c>
      <c r="N567" s="7">
        <f>'1 datos preparados'!M560</f>
        <v/>
      </c>
      <c r="O567" s="7">
        <f>'1 datos preparados'!N560</f>
        <v/>
      </c>
      <c r="P567" s="7">
        <f>'1 datos preparados'!O560</f>
        <v/>
      </c>
      <c r="Q567" s="7">
        <f>'1 datos preparados'!P560</f>
        <v/>
      </c>
      <c r="R567" s="7">
        <f>'1 datos preparados'!Q560</f>
        <v/>
      </c>
      <c r="S567" s="7">
        <f>'1 datos preparados'!R560</f>
        <v/>
      </c>
      <c r="T567" s="7">
        <f>'1 datos preparados'!S560</f>
        <v/>
      </c>
      <c r="U567" s="7">
        <f>'1 datos preparados'!T560</f>
        <v/>
      </c>
      <c r="V567" s="8">
        <f>$AC$12+D567*$AC$13+E567*$AC$14+F567*$AC$15+G567*$AC$16+H567*$AC$17+I567*$AC$18+J567*$AC$19+K567*$AC$20+L567*$AC$21+M567*$AC$22+N567*$AC$23+O567*$AC$24+P567*$AC$25+Q567*$AC$26+R567*$AC$27+S567*$AC$28+T567*$AC$29+U567*$AC$30</f>
        <v/>
      </c>
      <c r="W567" s="8">
        <f>1/(1+EXP(-V567))</f>
        <v/>
      </c>
      <c r="X567" s="9">
        <f>-IF(C567=1,LN(W567),LN(1-W567))</f>
        <v/>
      </c>
      <c r="Y567" s="10">
        <f>IF(W567&gt;$AC$34,1,0)</f>
        <v/>
      </c>
      <c r="Z567">
        <f>IF(Y567=C567,1,0)</f>
        <v/>
      </c>
    </row>
    <row r="568">
      <c r="A568">
        <f>'1 datos preparados'!A561</f>
        <v/>
      </c>
      <c r="B568" s="5">
        <f>'1 datos preparados'!U561</f>
        <v/>
      </c>
      <c r="C568">
        <f>'1 datos preparados'!B561</f>
        <v/>
      </c>
      <c r="D568" s="7">
        <f>'1 datos preparados'!C561</f>
        <v/>
      </c>
      <c r="E568" s="7">
        <f>'1 datos preparados'!D561</f>
        <v/>
      </c>
      <c r="F568" s="7">
        <f>'1 datos preparados'!E561</f>
        <v/>
      </c>
      <c r="G568" s="7">
        <f>'1 datos preparados'!F561</f>
        <v/>
      </c>
      <c r="H568" s="7">
        <f>'1 datos preparados'!G561</f>
        <v/>
      </c>
      <c r="I568" s="7">
        <f>'1 datos preparados'!H561</f>
        <v/>
      </c>
      <c r="J568" s="7">
        <f>'1 datos preparados'!I561</f>
        <v/>
      </c>
      <c r="K568" s="7">
        <f>'1 datos preparados'!J561</f>
        <v/>
      </c>
      <c r="L568" s="7">
        <f>'1 datos preparados'!K561</f>
        <v/>
      </c>
      <c r="M568" s="7">
        <f>'1 datos preparados'!L561</f>
        <v/>
      </c>
      <c r="N568" s="7">
        <f>'1 datos preparados'!M561</f>
        <v/>
      </c>
      <c r="O568" s="7">
        <f>'1 datos preparados'!N561</f>
        <v/>
      </c>
      <c r="P568" s="7">
        <f>'1 datos preparados'!O561</f>
        <v/>
      </c>
      <c r="Q568" s="7">
        <f>'1 datos preparados'!P561</f>
        <v/>
      </c>
      <c r="R568" s="7">
        <f>'1 datos preparados'!Q561</f>
        <v/>
      </c>
      <c r="S568" s="7">
        <f>'1 datos preparados'!R561</f>
        <v/>
      </c>
      <c r="T568" s="7">
        <f>'1 datos preparados'!S561</f>
        <v/>
      </c>
      <c r="U568" s="7">
        <f>'1 datos preparados'!T561</f>
        <v/>
      </c>
      <c r="V568" s="8">
        <f>$AC$12+D568*$AC$13+E568*$AC$14+F568*$AC$15+G568*$AC$16+H568*$AC$17+I568*$AC$18+J568*$AC$19+K568*$AC$20+L568*$AC$21+M568*$AC$22+N568*$AC$23+O568*$AC$24+P568*$AC$25+Q568*$AC$26+R568*$AC$27+S568*$AC$28+T568*$AC$29+U568*$AC$30</f>
        <v/>
      </c>
      <c r="W568" s="8">
        <f>1/(1+EXP(-V568))</f>
        <v/>
      </c>
      <c r="X568" s="9">
        <f>-IF(C568=1,LN(W568),LN(1-W568))</f>
        <v/>
      </c>
      <c r="Y568" s="10">
        <f>IF(W568&gt;$AC$34,1,0)</f>
        <v/>
      </c>
      <c r="Z568">
        <f>IF(Y568=C568,1,0)</f>
        <v/>
      </c>
    </row>
    <row r="569">
      <c r="A569">
        <f>'1 datos preparados'!A562</f>
        <v/>
      </c>
      <c r="B569" s="5">
        <f>'1 datos preparados'!U562</f>
        <v/>
      </c>
      <c r="C569">
        <f>'1 datos preparados'!B562</f>
        <v/>
      </c>
      <c r="D569" s="7">
        <f>'1 datos preparados'!C562</f>
        <v/>
      </c>
      <c r="E569" s="7">
        <f>'1 datos preparados'!D562</f>
        <v/>
      </c>
      <c r="F569" s="7">
        <f>'1 datos preparados'!E562</f>
        <v/>
      </c>
      <c r="G569" s="7">
        <f>'1 datos preparados'!F562</f>
        <v/>
      </c>
      <c r="H569" s="7">
        <f>'1 datos preparados'!G562</f>
        <v/>
      </c>
      <c r="I569" s="7">
        <f>'1 datos preparados'!H562</f>
        <v/>
      </c>
      <c r="J569" s="7">
        <f>'1 datos preparados'!I562</f>
        <v/>
      </c>
      <c r="K569" s="7">
        <f>'1 datos preparados'!J562</f>
        <v/>
      </c>
      <c r="L569" s="7">
        <f>'1 datos preparados'!K562</f>
        <v/>
      </c>
      <c r="M569" s="7">
        <f>'1 datos preparados'!L562</f>
        <v/>
      </c>
      <c r="N569" s="7">
        <f>'1 datos preparados'!M562</f>
        <v/>
      </c>
      <c r="O569" s="7">
        <f>'1 datos preparados'!N562</f>
        <v/>
      </c>
      <c r="P569" s="7">
        <f>'1 datos preparados'!O562</f>
        <v/>
      </c>
      <c r="Q569" s="7">
        <f>'1 datos preparados'!P562</f>
        <v/>
      </c>
      <c r="R569" s="7">
        <f>'1 datos preparados'!Q562</f>
        <v/>
      </c>
      <c r="S569" s="7">
        <f>'1 datos preparados'!R562</f>
        <v/>
      </c>
      <c r="T569" s="7">
        <f>'1 datos preparados'!S562</f>
        <v/>
      </c>
      <c r="U569" s="7">
        <f>'1 datos preparados'!T562</f>
        <v/>
      </c>
      <c r="V569" s="8">
        <f>$AC$12+D569*$AC$13+E569*$AC$14+F569*$AC$15+G569*$AC$16+H569*$AC$17+I569*$AC$18+J569*$AC$19+K569*$AC$20+L569*$AC$21+M569*$AC$22+N569*$AC$23+O569*$AC$24+P569*$AC$25+Q569*$AC$26+R569*$AC$27+S569*$AC$28+T569*$AC$29+U569*$AC$30</f>
        <v/>
      </c>
      <c r="W569" s="8">
        <f>1/(1+EXP(-V569))</f>
        <v/>
      </c>
      <c r="X569" s="9">
        <f>-IF(C569=1,LN(W569),LN(1-W569))</f>
        <v/>
      </c>
      <c r="Y569" s="10">
        <f>IF(W569&gt;$AC$34,1,0)</f>
        <v/>
      </c>
      <c r="Z569">
        <f>IF(Y569=C569,1,0)</f>
        <v/>
      </c>
    </row>
    <row r="570">
      <c r="A570">
        <f>'1 datos preparados'!A563</f>
        <v/>
      </c>
      <c r="B570" s="5">
        <f>'1 datos preparados'!U563</f>
        <v/>
      </c>
      <c r="C570">
        <f>'1 datos preparados'!B563</f>
        <v/>
      </c>
      <c r="D570" s="7">
        <f>'1 datos preparados'!C563</f>
        <v/>
      </c>
      <c r="E570" s="7">
        <f>'1 datos preparados'!D563</f>
        <v/>
      </c>
      <c r="F570" s="7">
        <f>'1 datos preparados'!E563</f>
        <v/>
      </c>
      <c r="G570" s="7">
        <f>'1 datos preparados'!F563</f>
        <v/>
      </c>
      <c r="H570" s="7">
        <f>'1 datos preparados'!G563</f>
        <v/>
      </c>
      <c r="I570" s="7">
        <f>'1 datos preparados'!H563</f>
        <v/>
      </c>
      <c r="J570" s="7">
        <f>'1 datos preparados'!I563</f>
        <v/>
      </c>
      <c r="K570" s="7">
        <f>'1 datos preparados'!J563</f>
        <v/>
      </c>
      <c r="L570" s="7">
        <f>'1 datos preparados'!K563</f>
        <v/>
      </c>
      <c r="M570" s="7">
        <f>'1 datos preparados'!L563</f>
        <v/>
      </c>
      <c r="N570" s="7">
        <f>'1 datos preparados'!M563</f>
        <v/>
      </c>
      <c r="O570" s="7">
        <f>'1 datos preparados'!N563</f>
        <v/>
      </c>
      <c r="P570" s="7">
        <f>'1 datos preparados'!O563</f>
        <v/>
      </c>
      <c r="Q570" s="7">
        <f>'1 datos preparados'!P563</f>
        <v/>
      </c>
      <c r="R570" s="7">
        <f>'1 datos preparados'!Q563</f>
        <v/>
      </c>
      <c r="S570" s="7">
        <f>'1 datos preparados'!R563</f>
        <v/>
      </c>
      <c r="T570" s="7">
        <f>'1 datos preparados'!S563</f>
        <v/>
      </c>
      <c r="U570" s="7">
        <f>'1 datos preparados'!T563</f>
        <v/>
      </c>
      <c r="V570" s="8">
        <f>$AC$12+D570*$AC$13+E570*$AC$14+F570*$AC$15+G570*$AC$16+H570*$AC$17+I570*$AC$18+J570*$AC$19+K570*$AC$20+L570*$AC$21+M570*$AC$22+N570*$AC$23+O570*$AC$24+P570*$AC$25+Q570*$AC$26+R570*$AC$27+S570*$AC$28+T570*$AC$29+U570*$AC$30</f>
        <v/>
      </c>
      <c r="W570" s="8">
        <f>1/(1+EXP(-V570))</f>
        <v/>
      </c>
      <c r="X570" s="9">
        <f>-IF(C570=1,LN(W570),LN(1-W570))</f>
        <v/>
      </c>
      <c r="Y570" s="10">
        <f>IF(W570&gt;$AC$34,1,0)</f>
        <v/>
      </c>
      <c r="Z570">
        <f>IF(Y570=C570,1,0)</f>
        <v/>
      </c>
    </row>
    <row r="571">
      <c r="A571">
        <f>'1 datos preparados'!A564</f>
        <v/>
      </c>
      <c r="B571" s="5">
        <f>'1 datos preparados'!U564</f>
        <v/>
      </c>
      <c r="C571">
        <f>'1 datos preparados'!B564</f>
        <v/>
      </c>
      <c r="D571" s="7">
        <f>'1 datos preparados'!C564</f>
        <v/>
      </c>
      <c r="E571" s="7">
        <f>'1 datos preparados'!D564</f>
        <v/>
      </c>
      <c r="F571" s="7">
        <f>'1 datos preparados'!E564</f>
        <v/>
      </c>
      <c r="G571" s="7">
        <f>'1 datos preparados'!F564</f>
        <v/>
      </c>
      <c r="H571" s="7">
        <f>'1 datos preparados'!G564</f>
        <v/>
      </c>
      <c r="I571" s="7">
        <f>'1 datos preparados'!H564</f>
        <v/>
      </c>
      <c r="J571" s="7">
        <f>'1 datos preparados'!I564</f>
        <v/>
      </c>
      <c r="K571" s="7">
        <f>'1 datos preparados'!J564</f>
        <v/>
      </c>
      <c r="L571" s="7">
        <f>'1 datos preparados'!K564</f>
        <v/>
      </c>
      <c r="M571" s="7">
        <f>'1 datos preparados'!L564</f>
        <v/>
      </c>
      <c r="N571" s="7">
        <f>'1 datos preparados'!M564</f>
        <v/>
      </c>
      <c r="O571" s="7">
        <f>'1 datos preparados'!N564</f>
        <v/>
      </c>
      <c r="P571" s="7">
        <f>'1 datos preparados'!O564</f>
        <v/>
      </c>
      <c r="Q571" s="7">
        <f>'1 datos preparados'!P564</f>
        <v/>
      </c>
      <c r="R571" s="7">
        <f>'1 datos preparados'!Q564</f>
        <v/>
      </c>
      <c r="S571" s="7">
        <f>'1 datos preparados'!R564</f>
        <v/>
      </c>
      <c r="T571" s="7">
        <f>'1 datos preparados'!S564</f>
        <v/>
      </c>
      <c r="U571" s="7">
        <f>'1 datos preparados'!T564</f>
        <v/>
      </c>
      <c r="V571" s="8">
        <f>$AC$12+D571*$AC$13+E571*$AC$14+F571*$AC$15+G571*$AC$16+H571*$AC$17+I571*$AC$18+J571*$AC$19+K571*$AC$20+L571*$AC$21+M571*$AC$22+N571*$AC$23+O571*$AC$24+P571*$AC$25+Q571*$AC$26+R571*$AC$27+S571*$AC$28+T571*$AC$29+U571*$AC$30</f>
        <v/>
      </c>
      <c r="W571" s="8">
        <f>1/(1+EXP(-V571))</f>
        <v/>
      </c>
      <c r="X571" s="9">
        <f>-IF(C571=1,LN(W571),LN(1-W571))</f>
        <v/>
      </c>
      <c r="Y571" s="10">
        <f>IF(W571&gt;$AC$34,1,0)</f>
        <v/>
      </c>
      <c r="Z571">
        <f>IF(Y571=C571,1,0)</f>
        <v/>
      </c>
    </row>
    <row r="572">
      <c r="A572">
        <f>'1 datos preparados'!A565</f>
        <v/>
      </c>
      <c r="B572" s="5">
        <f>'1 datos preparados'!U565</f>
        <v/>
      </c>
      <c r="C572">
        <f>'1 datos preparados'!B565</f>
        <v/>
      </c>
      <c r="D572" s="7">
        <f>'1 datos preparados'!C565</f>
        <v/>
      </c>
      <c r="E572" s="7">
        <f>'1 datos preparados'!D565</f>
        <v/>
      </c>
      <c r="F572" s="7">
        <f>'1 datos preparados'!E565</f>
        <v/>
      </c>
      <c r="G572" s="7">
        <f>'1 datos preparados'!F565</f>
        <v/>
      </c>
      <c r="H572" s="7">
        <f>'1 datos preparados'!G565</f>
        <v/>
      </c>
      <c r="I572" s="7">
        <f>'1 datos preparados'!H565</f>
        <v/>
      </c>
      <c r="J572" s="7">
        <f>'1 datos preparados'!I565</f>
        <v/>
      </c>
      <c r="K572" s="7">
        <f>'1 datos preparados'!J565</f>
        <v/>
      </c>
      <c r="L572" s="7">
        <f>'1 datos preparados'!K565</f>
        <v/>
      </c>
      <c r="M572" s="7">
        <f>'1 datos preparados'!L565</f>
        <v/>
      </c>
      <c r="N572" s="7">
        <f>'1 datos preparados'!M565</f>
        <v/>
      </c>
      <c r="O572" s="7">
        <f>'1 datos preparados'!N565</f>
        <v/>
      </c>
      <c r="P572" s="7">
        <f>'1 datos preparados'!O565</f>
        <v/>
      </c>
      <c r="Q572" s="7">
        <f>'1 datos preparados'!P565</f>
        <v/>
      </c>
      <c r="R572" s="7">
        <f>'1 datos preparados'!Q565</f>
        <v/>
      </c>
      <c r="S572" s="7">
        <f>'1 datos preparados'!R565</f>
        <v/>
      </c>
      <c r="T572" s="7">
        <f>'1 datos preparados'!S565</f>
        <v/>
      </c>
      <c r="U572" s="7">
        <f>'1 datos preparados'!T565</f>
        <v/>
      </c>
      <c r="V572" s="8">
        <f>$AC$12+D572*$AC$13+E572*$AC$14+F572*$AC$15+G572*$AC$16+H572*$AC$17+I572*$AC$18+J572*$AC$19+K572*$AC$20+L572*$AC$21+M572*$AC$22+N572*$AC$23+O572*$AC$24+P572*$AC$25+Q572*$AC$26+R572*$AC$27+S572*$AC$28+T572*$AC$29+U572*$AC$30</f>
        <v/>
      </c>
      <c r="W572" s="8">
        <f>1/(1+EXP(-V572))</f>
        <v/>
      </c>
      <c r="X572" s="9">
        <f>-IF(C572=1,LN(W572),LN(1-W572))</f>
        <v/>
      </c>
      <c r="Y572" s="10">
        <f>IF(W572&gt;$AC$34,1,0)</f>
        <v/>
      </c>
      <c r="Z572">
        <f>IF(Y572=C572,1,0)</f>
        <v/>
      </c>
    </row>
    <row r="573">
      <c r="A573">
        <f>'1 datos preparados'!A566</f>
        <v/>
      </c>
      <c r="B573" s="5">
        <f>'1 datos preparados'!U566</f>
        <v/>
      </c>
      <c r="C573">
        <f>'1 datos preparados'!B566</f>
        <v/>
      </c>
      <c r="D573" s="7">
        <f>'1 datos preparados'!C566</f>
        <v/>
      </c>
      <c r="E573" s="7">
        <f>'1 datos preparados'!D566</f>
        <v/>
      </c>
      <c r="F573" s="7">
        <f>'1 datos preparados'!E566</f>
        <v/>
      </c>
      <c r="G573" s="7">
        <f>'1 datos preparados'!F566</f>
        <v/>
      </c>
      <c r="H573" s="7">
        <f>'1 datos preparados'!G566</f>
        <v/>
      </c>
      <c r="I573" s="7">
        <f>'1 datos preparados'!H566</f>
        <v/>
      </c>
      <c r="J573" s="7">
        <f>'1 datos preparados'!I566</f>
        <v/>
      </c>
      <c r="K573" s="7">
        <f>'1 datos preparados'!J566</f>
        <v/>
      </c>
      <c r="L573" s="7">
        <f>'1 datos preparados'!K566</f>
        <v/>
      </c>
      <c r="M573" s="7">
        <f>'1 datos preparados'!L566</f>
        <v/>
      </c>
      <c r="N573" s="7">
        <f>'1 datos preparados'!M566</f>
        <v/>
      </c>
      <c r="O573" s="7">
        <f>'1 datos preparados'!N566</f>
        <v/>
      </c>
      <c r="P573" s="7">
        <f>'1 datos preparados'!O566</f>
        <v/>
      </c>
      <c r="Q573" s="7">
        <f>'1 datos preparados'!P566</f>
        <v/>
      </c>
      <c r="R573" s="7">
        <f>'1 datos preparados'!Q566</f>
        <v/>
      </c>
      <c r="S573" s="7">
        <f>'1 datos preparados'!R566</f>
        <v/>
      </c>
      <c r="T573" s="7">
        <f>'1 datos preparados'!S566</f>
        <v/>
      </c>
      <c r="U573" s="7">
        <f>'1 datos preparados'!T566</f>
        <v/>
      </c>
      <c r="V573" s="8">
        <f>$AC$12+D573*$AC$13+E573*$AC$14+F573*$AC$15+G573*$AC$16+H573*$AC$17+I573*$AC$18+J573*$AC$19+K573*$AC$20+L573*$AC$21+M573*$AC$22+N573*$AC$23+O573*$AC$24+P573*$AC$25+Q573*$AC$26+R573*$AC$27+S573*$AC$28+T573*$AC$29+U573*$AC$30</f>
        <v/>
      </c>
      <c r="W573" s="8">
        <f>1/(1+EXP(-V573))</f>
        <v/>
      </c>
      <c r="X573" s="9">
        <f>-IF(C573=1,LN(W573),LN(1-W573))</f>
        <v/>
      </c>
      <c r="Y573" s="10">
        <f>IF(W573&gt;$AC$34,1,0)</f>
        <v/>
      </c>
      <c r="Z573">
        <f>IF(Y573=C573,1,0)</f>
        <v/>
      </c>
    </row>
    <row r="574">
      <c r="A574">
        <f>'1 datos preparados'!A567</f>
        <v/>
      </c>
      <c r="B574" s="5">
        <f>'1 datos preparados'!U567</f>
        <v/>
      </c>
      <c r="C574">
        <f>'1 datos preparados'!B567</f>
        <v/>
      </c>
      <c r="D574" s="7">
        <f>'1 datos preparados'!C567</f>
        <v/>
      </c>
      <c r="E574" s="7">
        <f>'1 datos preparados'!D567</f>
        <v/>
      </c>
      <c r="F574" s="7">
        <f>'1 datos preparados'!E567</f>
        <v/>
      </c>
      <c r="G574" s="7">
        <f>'1 datos preparados'!F567</f>
        <v/>
      </c>
      <c r="H574" s="7">
        <f>'1 datos preparados'!G567</f>
        <v/>
      </c>
      <c r="I574" s="7">
        <f>'1 datos preparados'!H567</f>
        <v/>
      </c>
      <c r="J574" s="7">
        <f>'1 datos preparados'!I567</f>
        <v/>
      </c>
      <c r="K574" s="7">
        <f>'1 datos preparados'!J567</f>
        <v/>
      </c>
      <c r="L574" s="7">
        <f>'1 datos preparados'!K567</f>
        <v/>
      </c>
      <c r="M574" s="7">
        <f>'1 datos preparados'!L567</f>
        <v/>
      </c>
      <c r="N574" s="7">
        <f>'1 datos preparados'!M567</f>
        <v/>
      </c>
      <c r="O574" s="7">
        <f>'1 datos preparados'!N567</f>
        <v/>
      </c>
      <c r="P574" s="7">
        <f>'1 datos preparados'!O567</f>
        <v/>
      </c>
      <c r="Q574" s="7">
        <f>'1 datos preparados'!P567</f>
        <v/>
      </c>
      <c r="R574" s="7">
        <f>'1 datos preparados'!Q567</f>
        <v/>
      </c>
      <c r="S574" s="7">
        <f>'1 datos preparados'!R567</f>
        <v/>
      </c>
      <c r="T574" s="7">
        <f>'1 datos preparados'!S567</f>
        <v/>
      </c>
      <c r="U574" s="7">
        <f>'1 datos preparados'!T567</f>
        <v/>
      </c>
      <c r="V574" s="8">
        <f>$AC$12+D574*$AC$13+E574*$AC$14+F574*$AC$15+G574*$AC$16+H574*$AC$17+I574*$AC$18+J574*$AC$19+K574*$AC$20+L574*$AC$21+M574*$AC$22+N574*$AC$23+O574*$AC$24+P574*$AC$25+Q574*$AC$26+R574*$AC$27+S574*$AC$28+T574*$AC$29+U574*$AC$30</f>
        <v/>
      </c>
      <c r="W574" s="8">
        <f>1/(1+EXP(-V574))</f>
        <v/>
      </c>
      <c r="X574" s="9">
        <f>-IF(C574=1,LN(W574),LN(1-W574))</f>
        <v/>
      </c>
      <c r="Y574" s="10">
        <f>IF(W574&gt;$AC$34,1,0)</f>
        <v/>
      </c>
      <c r="Z574">
        <f>IF(Y574=C574,1,0)</f>
        <v/>
      </c>
    </row>
    <row r="575">
      <c r="A575">
        <f>'1 datos preparados'!A568</f>
        <v/>
      </c>
      <c r="B575" s="5">
        <f>'1 datos preparados'!U568</f>
        <v/>
      </c>
      <c r="C575">
        <f>'1 datos preparados'!B568</f>
        <v/>
      </c>
      <c r="D575" s="7">
        <f>'1 datos preparados'!C568</f>
        <v/>
      </c>
      <c r="E575" s="7">
        <f>'1 datos preparados'!D568</f>
        <v/>
      </c>
      <c r="F575" s="7">
        <f>'1 datos preparados'!E568</f>
        <v/>
      </c>
      <c r="G575" s="7">
        <f>'1 datos preparados'!F568</f>
        <v/>
      </c>
      <c r="H575" s="7">
        <f>'1 datos preparados'!G568</f>
        <v/>
      </c>
      <c r="I575" s="7">
        <f>'1 datos preparados'!H568</f>
        <v/>
      </c>
      <c r="J575" s="7">
        <f>'1 datos preparados'!I568</f>
        <v/>
      </c>
      <c r="K575" s="7">
        <f>'1 datos preparados'!J568</f>
        <v/>
      </c>
      <c r="L575" s="7">
        <f>'1 datos preparados'!K568</f>
        <v/>
      </c>
      <c r="M575" s="7">
        <f>'1 datos preparados'!L568</f>
        <v/>
      </c>
      <c r="N575" s="7">
        <f>'1 datos preparados'!M568</f>
        <v/>
      </c>
      <c r="O575" s="7">
        <f>'1 datos preparados'!N568</f>
        <v/>
      </c>
      <c r="P575" s="7">
        <f>'1 datos preparados'!O568</f>
        <v/>
      </c>
      <c r="Q575" s="7">
        <f>'1 datos preparados'!P568</f>
        <v/>
      </c>
      <c r="R575" s="7">
        <f>'1 datos preparados'!Q568</f>
        <v/>
      </c>
      <c r="S575" s="7">
        <f>'1 datos preparados'!R568</f>
        <v/>
      </c>
      <c r="T575" s="7">
        <f>'1 datos preparados'!S568</f>
        <v/>
      </c>
      <c r="U575" s="7">
        <f>'1 datos preparados'!T568</f>
        <v/>
      </c>
      <c r="V575" s="8">
        <f>$AC$12+D575*$AC$13+E575*$AC$14+F575*$AC$15+G575*$AC$16+H575*$AC$17+I575*$AC$18+J575*$AC$19+K575*$AC$20+L575*$AC$21+M575*$AC$22+N575*$AC$23+O575*$AC$24+P575*$AC$25+Q575*$AC$26+R575*$AC$27+S575*$AC$28+T575*$AC$29+U575*$AC$30</f>
        <v/>
      </c>
      <c r="W575" s="8">
        <f>1/(1+EXP(-V575))</f>
        <v/>
      </c>
      <c r="X575" s="9">
        <f>-IF(C575=1,LN(W575),LN(1-W575))</f>
        <v/>
      </c>
      <c r="Y575" s="10">
        <f>IF(W575&gt;$AC$34,1,0)</f>
        <v/>
      </c>
      <c r="Z575">
        <f>IF(Y575=C575,1,0)</f>
        <v/>
      </c>
    </row>
    <row r="576">
      <c r="A576">
        <f>'1 datos preparados'!A569</f>
        <v/>
      </c>
      <c r="B576" s="5">
        <f>'1 datos preparados'!U569</f>
        <v/>
      </c>
      <c r="C576">
        <f>'1 datos preparados'!B569</f>
        <v/>
      </c>
      <c r="D576" s="7">
        <f>'1 datos preparados'!C569</f>
        <v/>
      </c>
      <c r="E576" s="7">
        <f>'1 datos preparados'!D569</f>
        <v/>
      </c>
      <c r="F576" s="7">
        <f>'1 datos preparados'!E569</f>
        <v/>
      </c>
      <c r="G576" s="7">
        <f>'1 datos preparados'!F569</f>
        <v/>
      </c>
      <c r="H576" s="7">
        <f>'1 datos preparados'!G569</f>
        <v/>
      </c>
      <c r="I576" s="7">
        <f>'1 datos preparados'!H569</f>
        <v/>
      </c>
      <c r="J576" s="7">
        <f>'1 datos preparados'!I569</f>
        <v/>
      </c>
      <c r="K576" s="7">
        <f>'1 datos preparados'!J569</f>
        <v/>
      </c>
      <c r="L576" s="7">
        <f>'1 datos preparados'!K569</f>
        <v/>
      </c>
      <c r="M576" s="7">
        <f>'1 datos preparados'!L569</f>
        <v/>
      </c>
      <c r="N576" s="7">
        <f>'1 datos preparados'!M569</f>
        <v/>
      </c>
      <c r="O576" s="7">
        <f>'1 datos preparados'!N569</f>
        <v/>
      </c>
      <c r="P576" s="7">
        <f>'1 datos preparados'!O569</f>
        <v/>
      </c>
      <c r="Q576" s="7">
        <f>'1 datos preparados'!P569</f>
        <v/>
      </c>
      <c r="R576" s="7">
        <f>'1 datos preparados'!Q569</f>
        <v/>
      </c>
      <c r="S576" s="7">
        <f>'1 datos preparados'!R569</f>
        <v/>
      </c>
      <c r="T576" s="7">
        <f>'1 datos preparados'!S569</f>
        <v/>
      </c>
      <c r="U576" s="7">
        <f>'1 datos preparados'!T569</f>
        <v/>
      </c>
      <c r="V576" s="8">
        <f>$AC$12+D576*$AC$13+E576*$AC$14+F576*$AC$15+G576*$AC$16+H576*$AC$17+I576*$AC$18+J576*$AC$19+K576*$AC$20+L576*$AC$21+M576*$AC$22+N576*$AC$23+O576*$AC$24+P576*$AC$25+Q576*$AC$26+R576*$AC$27+S576*$AC$28+T576*$AC$29+U576*$AC$30</f>
        <v/>
      </c>
      <c r="W576" s="8">
        <f>1/(1+EXP(-V576))</f>
        <v/>
      </c>
      <c r="X576" s="9">
        <f>-IF(C576=1,LN(W576),LN(1-W576))</f>
        <v/>
      </c>
      <c r="Y576" s="10">
        <f>IF(W576&gt;$AC$34,1,0)</f>
        <v/>
      </c>
      <c r="Z576">
        <f>IF(Y576=C576,1,0)</f>
        <v/>
      </c>
    </row>
    <row r="577">
      <c r="A577">
        <f>'1 datos preparados'!A570</f>
        <v/>
      </c>
      <c r="B577" s="5">
        <f>'1 datos preparados'!U570</f>
        <v/>
      </c>
      <c r="C577">
        <f>'1 datos preparados'!B570</f>
        <v/>
      </c>
      <c r="D577" s="7">
        <f>'1 datos preparados'!C570</f>
        <v/>
      </c>
      <c r="E577" s="7">
        <f>'1 datos preparados'!D570</f>
        <v/>
      </c>
      <c r="F577" s="7">
        <f>'1 datos preparados'!E570</f>
        <v/>
      </c>
      <c r="G577" s="7">
        <f>'1 datos preparados'!F570</f>
        <v/>
      </c>
      <c r="H577" s="7">
        <f>'1 datos preparados'!G570</f>
        <v/>
      </c>
      <c r="I577" s="7">
        <f>'1 datos preparados'!H570</f>
        <v/>
      </c>
      <c r="J577" s="7">
        <f>'1 datos preparados'!I570</f>
        <v/>
      </c>
      <c r="K577" s="7">
        <f>'1 datos preparados'!J570</f>
        <v/>
      </c>
      <c r="L577" s="7">
        <f>'1 datos preparados'!K570</f>
        <v/>
      </c>
      <c r="M577" s="7">
        <f>'1 datos preparados'!L570</f>
        <v/>
      </c>
      <c r="N577" s="7">
        <f>'1 datos preparados'!M570</f>
        <v/>
      </c>
      <c r="O577" s="7">
        <f>'1 datos preparados'!N570</f>
        <v/>
      </c>
      <c r="P577" s="7">
        <f>'1 datos preparados'!O570</f>
        <v/>
      </c>
      <c r="Q577" s="7">
        <f>'1 datos preparados'!P570</f>
        <v/>
      </c>
      <c r="R577" s="7">
        <f>'1 datos preparados'!Q570</f>
        <v/>
      </c>
      <c r="S577" s="7">
        <f>'1 datos preparados'!R570</f>
        <v/>
      </c>
      <c r="T577" s="7">
        <f>'1 datos preparados'!S570</f>
        <v/>
      </c>
      <c r="U577" s="7">
        <f>'1 datos preparados'!T570</f>
        <v/>
      </c>
      <c r="V577" s="8">
        <f>$AC$12+D577*$AC$13+E577*$AC$14+F577*$AC$15+G577*$AC$16+H577*$AC$17+I577*$AC$18+J577*$AC$19+K577*$AC$20+L577*$AC$21+M577*$AC$22+N577*$AC$23+O577*$AC$24+P577*$AC$25+Q577*$AC$26+R577*$AC$27+S577*$AC$28+T577*$AC$29+U577*$AC$30</f>
        <v/>
      </c>
      <c r="W577" s="8">
        <f>1/(1+EXP(-V577))</f>
        <v/>
      </c>
      <c r="X577" s="9">
        <f>-IF(C577=1,LN(W577),LN(1-W577))</f>
        <v/>
      </c>
      <c r="Y577" s="10">
        <f>IF(W577&gt;$AC$34,1,0)</f>
        <v/>
      </c>
      <c r="Z577">
        <f>IF(Y577=C577,1,0)</f>
        <v/>
      </c>
    </row>
    <row r="578">
      <c r="A578">
        <f>'1 datos preparados'!A571</f>
        <v/>
      </c>
      <c r="B578" s="5">
        <f>'1 datos preparados'!U571</f>
        <v/>
      </c>
      <c r="C578">
        <f>'1 datos preparados'!B571</f>
        <v/>
      </c>
      <c r="D578" s="7">
        <f>'1 datos preparados'!C571</f>
        <v/>
      </c>
      <c r="E578" s="7">
        <f>'1 datos preparados'!D571</f>
        <v/>
      </c>
      <c r="F578" s="7">
        <f>'1 datos preparados'!E571</f>
        <v/>
      </c>
      <c r="G578" s="7">
        <f>'1 datos preparados'!F571</f>
        <v/>
      </c>
      <c r="H578" s="7">
        <f>'1 datos preparados'!G571</f>
        <v/>
      </c>
      <c r="I578" s="7">
        <f>'1 datos preparados'!H571</f>
        <v/>
      </c>
      <c r="J578" s="7">
        <f>'1 datos preparados'!I571</f>
        <v/>
      </c>
      <c r="K578" s="7">
        <f>'1 datos preparados'!J571</f>
        <v/>
      </c>
      <c r="L578" s="7">
        <f>'1 datos preparados'!K571</f>
        <v/>
      </c>
      <c r="M578" s="7">
        <f>'1 datos preparados'!L571</f>
        <v/>
      </c>
      <c r="N578" s="7">
        <f>'1 datos preparados'!M571</f>
        <v/>
      </c>
      <c r="O578" s="7">
        <f>'1 datos preparados'!N571</f>
        <v/>
      </c>
      <c r="P578" s="7">
        <f>'1 datos preparados'!O571</f>
        <v/>
      </c>
      <c r="Q578" s="7">
        <f>'1 datos preparados'!P571</f>
        <v/>
      </c>
      <c r="R578" s="7">
        <f>'1 datos preparados'!Q571</f>
        <v/>
      </c>
      <c r="S578" s="7">
        <f>'1 datos preparados'!R571</f>
        <v/>
      </c>
      <c r="T578" s="7">
        <f>'1 datos preparados'!S571</f>
        <v/>
      </c>
      <c r="U578" s="7">
        <f>'1 datos preparados'!T571</f>
        <v/>
      </c>
      <c r="V578" s="8">
        <f>$AC$12+D578*$AC$13+E578*$AC$14+F578*$AC$15+G578*$AC$16+H578*$AC$17+I578*$AC$18+J578*$AC$19+K578*$AC$20+L578*$AC$21+M578*$AC$22+N578*$AC$23+O578*$AC$24+P578*$AC$25+Q578*$AC$26+R578*$AC$27+S578*$AC$28+T578*$AC$29+U578*$AC$30</f>
        <v/>
      </c>
      <c r="W578" s="8">
        <f>1/(1+EXP(-V578))</f>
        <v/>
      </c>
      <c r="X578" s="9">
        <f>-IF(C578=1,LN(W578),LN(1-W578))</f>
        <v/>
      </c>
      <c r="Y578" s="10">
        <f>IF(W578&gt;$AC$34,1,0)</f>
        <v/>
      </c>
      <c r="Z578">
        <f>IF(Y578=C578,1,0)</f>
        <v/>
      </c>
    </row>
    <row r="579">
      <c r="A579">
        <f>'1 datos preparados'!A572</f>
        <v/>
      </c>
      <c r="B579" s="5">
        <f>'1 datos preparados'!U572</f>
        <v/>
      </c>
      <c r="C579">
        <f>'1 datos preparados'!B572</f>
        <v/>
      </c>
      <c r="D579" s="7">
        <f>'1 datos preparados'!C572</f>
        <v/>
      </c>
      <c r="E579" s="7">
        <f>'1 datos preparados'!D572</f>
        <v/>
      </c>
      <c r="F579" s="7">
        <f>'1 datos preparados'!E572</f>
        <v/>
      </c>
      <c r="G579" s="7">
        <f>'1 datos preparados'!F572</f>
        <v/>
      </c>
      <c r="H579" s="7">
        <f>'1 datos preparados'!G572</f>
        <v/>
      </c>
      <c r="I579" s="7">
        <f>'1 datos preparados'!H572</f>
        <v/>
      </c>
      <c r="J579" s="7">
        <f>'1 datos preparados'!I572</f>
        <v/>
      </c>
      <c r="K579" s="7">
        <f>'1 datos preparados'!J572</f>
        <v/>
      </c>
      <c r="L579" s="7">
        <f>'1 datos preparados'!K572</f>
        <v/>
      </c>
      <c r="M579" s="7">
        <f>'1 datos preparados'!L572</f>
        <v/>
      </c>
      <c r="N579" s="7">
        <f>'1 datos preparados'!M572</f>
        <v/>
      </c>
      <c r="O579" s="7">
        <f>'1 datos preparados'!N572</f>
        <v/>
      </c>
      <c r="P579" s="7">
        <f>'1 datos preparados'!O572</f>
        <v/>
      </c>
      <c r="Q579" s="7">
        <f>'1 datos preparados'!P572</f>
        <v/>
      </c>
      <c r="R579" s="7">
        <f>'1 datos preparados'!Q572</f>
        <v/>
      </c>
      <c r="S579" s="7">
        <f>'1 datos preparados'!R572</f>
        <v/>
      </c>
      <c r="T579" s="7">
        <f>'1 datos preparados'!S572</f>
        <v/>
      </c>
      <c r="U579" s="7">
        <f>'1 datos preparados'!T572</f>
        <v/>
      </c>
      <c r="V579" s="8">
        <f>$AC$12+D579*$AC$13+E579*$AC$14+F579*$AC$15+G579*$AC$16+H579*$AC$17+I579*$AC$18+J579*$AC$19+K579*$AC$20+L579*$AC$21+M579*$AC$22+N579*$AC$23+O579*$AC$24+P579*$AC$25+Q579*$AC$26+R579*$AC$27+S579*$AC$28+T579*$AC$29+U579*$AC$30</f>
        <v/>
      </c>
      <c r="W579" s="8">
        <f>1/(1+EXP(-V579))</f>
        <v/>
      </c>
      <c r="X579" s="9">
        <f>-IF(C579=1,LN(W579),LN(1-W579))</f>
        <v/>
      </c>
      <c r="Y579" s="10">
        <f>IF(W579&gt;$AC$34,1,0)</f>
        <v/>
      </c>
      <c r="Z579">
        <f>IF(Y579=C579,1,0)</f>
        <v/>
      </c>
    </row>
    <row r="580">
      <c r="A580">
        <f>'1 datos preparados'!A573</f>
        <v/>
      </c>
      <c r="B580" s="5">
        <f>'1 datos preparados'!U573</f>
        <v/>
      </c>
      <c r="C580">
        <f>'1 datos preparados'!B573</f>
        <v/>
      </c>
      <c r="D580" s="7">
        <f>'1 datos preparados'!C573</f>
        <v/>
      </c>
      <c r="E580" s="7">
        <f>'1 datos preparados'!D573</f>
        <v/>
      </c>
      <c r="F580" s="7">
        <f>'1 datos preparados'!E573</f>
        <v/>
      </c>
      <c r="G580" s="7">
        <f>'1 datos preparados'!F573</f>
        <v/>
      </c>
      <c r="H580" s="7">
        <f>'1 datos preparados'!G573</f>
        <v/>
      </c>
      <c r="I580" s="7">
        <f>'1 datos preparados'!H573</f>
        <v/>
      </c>
      <c r="J580" s="7">
        <f>'1 datos preparados'!I573</f>
        <v/>
      </c>
      <c r="K580" s="7">
        <f>'1 datos preparados'!J573</f>
        <v/>
      </c>
      <c r="L580" s="7">
        <f>'1 datos preparados'!K573</f>
        <v/>
      </c>
      <c r="M580" s="7">
        <f>'1 datos preparados'!L573</f>
        <v/>
      </c>
      <c r="N580" s="7">
        <f>'1 datos preparados'!M573</f>
        <v/>
      </c>
      <c r="O580" s="7">
        <f>'1 datos preparados'!N573</f>
        <v/>
      </c>
      <c r="P580" s="7">
        <f>'1 datos preparados'!O573</f>
        <v/>
      </c>
      <c r="Q580" s="7">
        <f>'1 datos preparados'!P573</f>
        <v/>
      </c>
      <c r="R580" s="7">
        <f>'1 datos preparados'!Q573</f>
        <v/>
      </c>
      <c r="S580" s="7">
        <f>'1 datos preparados'!R573</f>
        <v/>
      </c>
      <c r="T580" s="7">
        <f>'1 datos preparados'!S573</f>
        <v/>
      </c>
      <c r="U580" s="7">
        <f>'1 datos preparados'!T573</f>
        <v/>
      </c>
      <c r="V580" s="8">
        <f>$AC$12+D580*$AC$13+E580*$AC$14+F580*$AC$15+G580*$AC$16+H580*$AC$17+I580*$AC$18+J580*$AC$19+K580*$AC$20+L580*$AC$21+M580*$AC$22+N580*$AC$23+O580*$AC$24+P580*$AC$25+Q580*$AC$26+R580*$AC$27+S580*$AC$28+T580*$AC$29+U580*$AC$30</f>
        <v/>
      </c>
      <c r="W580" s="8">
        <f>1/(1+EXP(-V580))</f>
        <v/>
      </c>
      <c r="X580" s="9">
        <f>-IF(C580=1,LN(W580),LN(1-W580))</f>
        <v/>
      </c>
      <c r="Y580" s="10">
        <f>IF(W580&gt;$AC$34,1,0)</f>
        <v/>
      </c>
      <c r="Z580">
        <f>IF(Y580=C580,1,0)</f>
        <v/>
      </c>
    </row>
    <row r="581">
      <c r="A581">
        <f>'1 datos preparados'!A574</f>
        <v/>
      </c>
      <c r="B581" s="5">
        <f>'1 datos preparados'!U574</f>
        <v/>
      </c>
      <c r="C581">
        <f>'1 datos preparados'!B574</f>
        <v/>
      </c>
      <c r="D581" s="7">
        <f>'1 datos preparados'!C574</f>
        <v/>
      </c>
      <c r="E581" s="7">
        <f>'1 datos preparados'!D574</f>
        <v/>
      </c>
      <c r="F581" s="7">
        <f>'1 datos preparados'!E574</f>
        <v/>
      </c>
      <c r="G581" s="7">
        <f>'1 datos preparados'!F574</f>
        <v/>
      </c>
      <c r="H581" s="7">
        <f>'1 datos preparados'!G574</f>
        <v/>
      </c>
      <c r="I581" s="7">
        <f>'1 datos preparados'!H574</f>
        <v/>
      </c>
      <c r="J581" s="7">
        <f>'1 datos preparados'!I574</f>
        <v/>
      </c>
      <c r="K581" s="7">
        <f>'1 datos preparados'!J574</f>
        <v/>
      </c>
      <c r="L581" s="7">
        <f>'1 datos preparados'!K574</f>
        <v/>
      </c>
      <c r="M581" s="7">
        <f>'1 datos preparados'!L574</f>
        <v/>
      </c>
      <c r="N581" s="7">
        <f>'1 datos preparados'!M574</f>
        <v/>
      </c>
      <c r="O581" s="7">
        <f>'1 datos preparados'!N574</f>
        <v/>
      </c>
      <c r="P581" s="7">
        <f>'1 datos preparados'!O574</f>
        <v/>
      </c>
      <c r="Q581" s="7">
        <f>'1 datos preparados'!P574</f>
        <v/>
      </c>
      <c r="R581" s="7">
        <f>'1 datos preparados'!Q574</f>
        <v/>
      </c>
      <c r="S581" s="7">
        <f>'1 datos preparados'!R574</f>
        <v/>
      </c>
      <c r="T581" s="7">
        <f>'1 datos preparados'!S574</f>
        <v/>
      </c>
      <c r="U581" s="7">
        <f>'1 datos preparados'!T574</f>
        <v/>
      </c>
      <c r="V581" s="8">
        <f>$AC$12+D581*$AC$13+E581*$AC$14+F581*$AC$15+G581*$AC$16+H581*$AC$17+I581*$AC$18+J581*$AC$19+K581*$AC$20+L581*$AC$21+M581*$AC$22+N581*$AC$23+O581*$AC$24+P581*$AC$25+Q581*$AC$26+R581*$AC$27+S581*$AC$28+T581*$AC$29+U581*$AC$30</f>
        <v/>
      </c>
      <c r="W581" s="8">
        <f>1/(1+EXP(-V581))</f>
        <v/>
      </c>
      <c r="X581" s="9">
        <f>-IF(C581=1,LN(W581),LN(1-W581))</f>
        <v/>
      </c>
      <c r="Y581" s="10">
        <f>IF(W581&gt;$AC$34,1,0)</f>
        <v/>
      </c>
      <c r="Z581">
        <f>IF(Y581=C581,1,0)</f>
        <v/>
      </c>
    </row>
    <row r="582">
      <c r="A582">
        <f>'1 datos preparados'!A575</f>
        <v/>
      </c>
      <c r="B582" s="5">
        <f>'1 datos preparados'!U575</f>
        <v/>
      </c>
      <c r="C582">
        <f>'1 datos preparados'!B575</f>
        <v/>
      </c>
      <c r="D582" s="7">
        <f>'1 datos preparados'!C575</f>
        <v/>
      </c>
      <c r="E582" s="7">
        <f>'1 datos preparados'!D575</f>
        <v/>
      </c>
      <c r="F582" s="7">
        <f>'1 datos preparados'!E575</f>
        <v/>
      </c>
      <c r="G582" s="7">
        <f>'1 datos preparados'!F575</f>
        <v/>
      </c>
      <c r="H582" s="7">
        <f>'1 datos preparados'!G575</f>
        <v/>
      </c>
      <c r="I582" s="7">
        <f>'1 datos preparados'!H575</f>
        <v/>
      </c>
      <c r="J582" s="7">
        <f>'1 datos preparados'!I575</f>
        <v/>
      </c>
      <c r="K582" s="7">
        <f>'1 datos preparados'!J575</f>
        <v/>
      </c>
      <c r="L582" s="7">
        <f>'1 datos preparados'!K575</f>
        <v/>
      </c>
      <c r="M582" s="7">
        <f>'1 datos preparados'!L575</f>
        <v/>
      </c>
      <c r="N582" s="7">
        <f>'1 datos preparados'!M575</f>
        <v/>
      </c>
      <c r="O582" s="7">
        <f>'1 datos preparados'!N575</f>
        <v/>
      </c>
      <c r="P582" s="7">
        <f>'1 datos preparados'!O575</f>
        <v/>
      </c>
      <c r="Q582" s="7">
        <f>'1 datos preparados'!P575</f>
        <v/>
      </c>
      <c r="R582" s="7">
        <f>'1 datos preparados'!Q575</f>
        <v/>
      </c>
      <c r="S582" s="7">
        <f>'1 datos preparados'!R575</f>
        <v/>
      </c>
      <c r="T582" s="7">
        <f>'1 datos preparados'!S575</f>
        <v/>
      </c>
      <c r="U582" s="7">
        <f>'1 datos preparados'!T575</f>
        <v/>
      </c>
      <c r="V582" s="8">
        <f>$AC$12+D582*$AC$13+E582*$AC$14+F582*$AC$15+G582*$AC$16+H582*$AC$17+I582*$AC$18+J582*$AC$19+K582*$AC$20+L582*$AC$21+M582*$AC$22+N582*$AC$23+O582*$AC$24+P582*$AC$25+Q582*$AC$26+R582*$AC$27+S582*$AC$28+T582*$AC$29+U582*$AC$30</f>
        <v/>
      </c>
      <c r="W582" s="8">
        <f>1/(1+EXP(-V582))</f>
        <v/>
      </c>
      <c r="X582" s="9">
        <f>-IF(C582=1,LN(W582),LN(1-W582))</f>
        <v/>
      </c>
      <c r="Y582" s="10">
        <f>IF(W582&gt;$AC$34,1,0)</f>
        <v/>
      </c>
      <c r="Z582">
        <f>IF(Y582=C582,1,0)</f>
        <v/>
      </c>
    </row>
    <row r="583">
      <c r="A583">
        <f>'1 datos preparados'!A576</f>
        <v/>
      </c>
      <c r="B583" s="5">
        <f>'1 datos preparados'!U576</f>
        <v/>
      </c>
      <c r="C583">
        <f>'1 datos preparados'!B576</f>
        <v/>
      </c>
      <c r="D583" s="7">
        <f>'1 datos preparados'!C576</f>
        <v/>
      </c>
      <c r="E583" s="7">
        <f>'1 datos preparados'!D576</f>
        <v/>
      </c>
      <c r="F583" s="7">
        <f>'1 datos preparados'!E576</f>
        <v/>
      </c>
      <c r="G583" s="7">
        <f>'1 datos preparados'!F576</f>
        <v/>
      </c>
      <c r="H583" s="7">
        <f>'1 datos preparados'!G576</f>
        <v/>
      </c>
      <c r="I583" s="7">
        <f>'1 datos preparados'!H576</f>
        <v/>
      </c>
      <c r="J583" s="7">
        <f>'1 datos preparados'!I576</f>
        <v/>
      </c>
      <c r="K583" s="7">
        <f>'1 datos preparados'!J576</f>
        <v/>
      </c>
      <c r="L583" s="7">
        <f>'1 datos preparados'!K576</f>
        <v/>
      </c>
      <c r="M583" s="7">
        <f>'1 datos preparados'!L576</f>
        <v/>
      </c>
      <c r="N583" s="7">
        <f>'1 datos preparados'!M576</f>
        <v/>
      </c>
      <c r="O583" s="7">
        <f>'1 datos preparados'!N576</f>
        <v/>
      </c>
      <c r="P583" s="7">
        <f>'1 datos preparados'!O576</f>
        <v/>
      </c>
      <c r="Q583" s="7">
        <f>'1 datos preparados'!P576</f>
        <v/>
      </c>
      <c r="R583" s="7">
        <f>'1 datos preparados'!Q576</f>
        <v/>
      </c>
      <c r="S583" s="7">
        <f>'1 datos preparados'!R576</f>
        <v/>
      </c>
      <c r="T583" s="7">
        <f>'1 datos preparados'!S576</f>
        <v/>
      </c>
      <c r="U583" s="7">
        <f>'1 datos preparados'!T576</f>
        <v/>
      </c>
      <c r="V583" s="8">
        <f>$AC$12+D583*$AC$13+E583*$AC$14+F583*$AC$15+G583*$AC$16+H583*$AC$17+I583*$AC$18+J583*$AC$19+K583*$AC$20+L583*$AC$21+M583*$AC$22+N583*$AC$23+O583*$AC$24+P583*$AC$25+Q583*$AC$26+R583*$AC$27+S583*$AC$28+T583*$AC$29+U583*$AC$30</f>
        <v/>
      </c>
      <c r="W583" s="8">
        <f>1/(1+EXP(-V583))</f>
        <v/>
      </c>
      <c r="X583" s="9">
        <f>-IF(C583=1,LN(W583),LN(1-W583))</f>
        <v/>
      </c>
      <c r="Y583" s="10">
        <f>IF(W583&gt;$AC$34,1,0)</f>
        <v/>
      </c>
      <c r="Z583">
        <f>IF(Y583=C583,1,0)</f>
        <v/>
      </c>
    </row>
    <row r="584">
      <c r="A584">
        <f>'1 datos preparados'!A577</f>
        <v/>
      </c>
      <c r="B584" s="5">
        <f>'1 datos preparados'!U577</f>
        <v/>
      </c>
      <c r="C584">
        <f>'1 datos preparados'!B577</f>
        <v/>
      </c>
      <c r="D584" s="7">
        <f>'1 datos preparados'!C577</f>
        <v/>
      </c>
      <c r="E584" s="7">
        <f>'1 datos preparados'!D577</f>
        <v/>
      </c>
      <c r="F584" s="7">
        <f>'1 datos preparados'!E577</f>
        <v/>
      </c>
      <c r="G584" s="7">
        <f>'1 datos preparados'!F577</f>
        <v/>
      </c>
      <c r="H584" s="7">
        <f>'1 datos preparados'!G577</f>
        <v/>
      </c>
      <c r="I584" s="7">
        <f>'1 datos preparados'!H577</f>
        <v/>
      </c>
      <c r="J584" s="7">
        <f>'1 datos preparados'!I577</f>
        <v/>
      </c>
      <c r="K584" s="7">
        <f>'1 datos preparados'!J577</f>
        <v/>
      </c>
      <c r="L584" s="7">
        <f>'1 datos preparados'!K577</f>
        <v/>
      </c>
      <c r="M584" s="7">
        <f>'1 datos preparados'!L577</f>
        <v/>
      </c>
      <c r="N584" s="7">
        <f>'1 datos preparados'!M577</f>
        <v/>
      </c>
      <c r="O584" s="7">
        <f>'1 datos preparados'!N577</f>
        <v/>
      </c>
      <c r="P584" s="7">
        <f>'1 datos preparados'!O577</f>
        <v/>
      </c>
      <c r="Q584" s="7">
        <f>'1 datos preparados'!P577</f>
        <v/>
      </c>
      <c r="R584" s="7">
        <f>'1 datos preparados'!Q577</f>
        <v/>
      </c>
      <c r="S584" s="7">
        <f>'1 datos preparados'!R577</f>
        <v/>
      </c>
      <c r="T584" s="7">
        <f>'1 datos preparados'!S577</f>
        <v/>
      </c>
      <c r="U584" s="7">
        <f>'1 datos preparados'!T577</f>
        <v/>
      </c>
      <c r="V584" s="8">
        <f>$AC$12+D584*$AC$13+E584*$AC$14+F584*$AC$15+G584*$AC$16+H584*$AC$17+I584*$AC$18+J584*$AC$19+K584*$AC$20+L584*$AC$21+M584*$AC$22+N584*$AC$23+O584*$AC$24+P584*$AC$25+Q584*$AC$26+R584*$AC$27+S584*$AC$28+T584*$AC$29+U584*$AC$30</f>
        <v/>
      </c>
      <c r="W584" s="8">
        <f>1/(1+EXP(-V584))</f>
        <v/>
      </c>
      <c r="X584" s="9">
        <f>-IF(C584=1,LN(W584),LN(1-W584))</f>
        <v/>
      </c>
      <c r="Y584" s="10">
        <f>IF(W584&gt;$AC$34,1,0)</f>
        <v/>
      </c>
      <c r="Z584">
        <f>IF(Y584=C584,1,0)</f>
        <v/>
      </c>
    </row>
    <row r="585">
      <c r="A585">
        <f>'1 datos preparados'!A578</f>
        <v/>
      </c>
      <c r="B585" s="5">
        <f>'1 datos preparados'!U578</f>
        <v/>
      </c>
      <c r="C585">
        <f>'1 datos preparados'!B578</f>
        <v/>
      </c>
      <c r="D585" s="7">
        <f>'1 datos preparados'!C578</f>
        <v/>
      </c>
      <c r="E585" s="7">
        <f>'1 datos preparados'!D578</f>
        <v/>
      </c>
      <c r="F585" s="7">
        <f>'1 datos preparados'!E578</f>
        <v/>
      </c>
      <c r="G585" s="7">
        <f>'1 datos preparados'!F578</f>
        <v/>
      </c>
      <c r="H585" s="7">
        <f>'1 datos preparados'!G578</f>
        <v/>
      </c>
      <c r="I585" s="7">
        <f>'1 datos preparados'!H578</f>
        <v/>
      </c>
      <c r="J585" s="7">
        <f>'1 datos preparados'!I578</f>
        <v/>
      </c>
      <c r="K585" s="7">
        <f>'1 datos preparados'!J578</f>
        <v/>
      </c>
      <c r="L585" s="7">
        <f>'1 datos preparados'!K578</f>
        <v/>
      </c>
      <c r="M585" s="7">
        <f>'1 datos preparados'!L578</f>
        <v/>
      </c>
      <c r="N585" s="7">
        <f>'1 datos preparados'!M578</f>
        <v/>
      </c>
      <c r="O585" s="7">
        <f>'1 datos preparados'!N578</f>
        <v/>
      </c>
      <c r="P585" s="7">
        <f>'1 datos preparados'!O578</f>
        <v/>
      </c>
      <c r="Q585" s="7">
        <f>'1 datos preparados'!P578</f>
        <v/>
      </c>
      <c r="R585" s="7">
        <f>'1 datos preparados'!Q578</f>
        <v/>
      </c>
      <c r="S585" s="7">
        <f>'1 datos preparados'!R578</f>
        <v/>
      </c>
      <c r="T585" s="7">
        <f>'1 datos preparados'!S578</f>
        <v/>
      </c>
      <c r="U585" s="7">
        <f>'1 datos preparados'!T578</f>
        <v/>
      </c>
      <c r="V585" s="8">
        <f>$AC$12+D585*$AC$13+E585*$AC$14+F585*$AC$15+G585*$AC$16+H585*$AC$17+I585*$AC$18+J585*$AC$19+K585*$AC$20+L585*$AC$21+M585*$AC$22+N585*$AC$23+O585*$AC$24+P585*$AC$25+Q585*$AC$26+R585*$AC$27+S585*$AC$28+T585*$AC$29+U585*$AC$30</f>
        <v/>
      </c>
      <c r="W585" s="8">
        <f>1/(1+EXP(-V585))</f>
        <v/>
      </c>
      <c r="X585" s="9">
        <f>-IF(C585=1,LN(W585),LN(1-W585))</f>
        <v/>
      </c>
      <c r="Y585" s="10">
        <f>IF(W585&gt;$AC$34,1,0)</f>
        <v/>
      </c>
      <c r="Z585">
        <f>IF(Y585=C585,1,0)</f>
        <v/>
      </c>
    </row>
    <row r="586">
      <c r="A586">
        <f>'1 datos preparados'!A579</f>
        <v/>
      </c>
      <c r="B586" s="5">
        <f>'1 datos preparados'!U579</f>
        <v/>
      </c>
      <c r="C586">
        <f>'1 datos preparados'!B579</f>
        <v/>
      </c>
      <c r="D586" s="7">
        <f>'1 datos preparados'!C579</f>
        <v/>
      </c>
      <c r="E586" s="7">
        <f>'1 datos preparados'!D579</f>
        <v/>
      </c>
      <c r="F586" s="7">
        <f>'1 datos preparados'!E579</f>
        <v/>
      </c>
      <c r="G586" s="7">
        <f>'1 datos preparados'!F579</f>
        <v/>
      </c>
      <c r="H586" s="7">
        <f>'1 datos preparados'!G579</f>
        <v/>
      </c>
      <c r="I586" s="7">
        <f>'1 datos preparados'!H579</f>
        <v/>
      </c>
      <c r="J586" s="7">
        <f>'1 datos preparados'!I579</f>
        <v/>
      </c>
      <c r="K586" s="7">
        <f>'1 datos preparados'!J579</f>
        <v/>
      </c>
      <c r="L586" s="7">
        <f>'1 datos preparados'!K579</f>
        <v/>
      </c>
      <c r="M586" s="7">
        <f>'1 datos preparados'!L579</f>
        <v/>
      </c>
      <c r="N586" s="7">
        <f>'1 datos preparados'!M579</f>
        <v/>
      </c>
      <c r="O586" s="7">
        <f>'1 datos preparados'!N579</f>
        <v/>
      </c>
      <c r="P586" s="7">
        <f>'1 datos preparados'!O579</f>
        <v/>
      </c>
      <c r="Q586" s="7">
        <f>'1 datos preparados'!P579</f>
        <v/>
      </c>
      <c r="R586" s="7">
        <f>'1 datos preparados'!Q579</f>
        <v/>
      </c>
      <c r="S586" s="7">
        <f>'1 datos preparados'!R579</f>
        <v/>
      </c>
      <c r="T586" s="7">
        <f>'1 datos preparados'!S579</f>
        <v/>
      </c>
      <c r="U586" s="7">
        <f>'1 datos preparados'!T579</f>
        <v/>
      </c>
      <c r="V586" s="8">
        <f>$AC$12+D586*$AC$13+E586*$AC$14+F586*$AC$15+G586*$AC$16+H586*$AC$17+I586*$AC$18+J586*$AC$19+K586*$AC$20+L586*$AC$21+M586*$AC$22+N586*$AC$23+O586*$AC$24+P586*$AC$25+Q586*$AC$26+R586*$AC$27+S586*$AC$28+T586*$AC$29+U586*$AC$30</f>
        <v/>
      </c>
      <c r="W586" s="8">
        <f>1/(1+EXP(-V586))</f>
        <v/>
      </c>
      <c r="X586" s="9">
        <f>-IF(C586=1,LN(W586),LN(1-W586))</f>
        <v/>
      </c>
      <c r="Y586" s="10">
        <f>IF(W586&gt;$AC$34,1,0)</f>
        <v/>
      </c>
      <c r="Z586">
        <f>IF(Y586=C586,1,0)</f>
        <v/>
      </c>
    </row>
    <row r="587">
      <c r="A587">
        <f>'1 datos preparados'!A580</f>
        <v/>
      </c>
      <c r="B587" s="5">
        <f>'1 datos preparados'!U580</f>
        <v/>
      </c>
      <c r="C587">
        <f>'1 datos preparados'!B580</f>
        <v/>
      </c>
      <c r="D587" s="7">
        <f>'1 datos preparados'!C580</f>
        <v/>
      </c>
      <c r="E587" s="7">
        <f>'1 datos preparados'!D580</f>
        <v/>
      </c>
      <c r="F587" s="7">
        <f>'1 datos preparados'!E580</f>
        <v/>
      </c>
      <c r="G587" s="7">
        <f>'1 datos preparados'!F580</f>
        <v/>
      </c>
      <c r="H587" s="7">
        <f>'1 datos preparados'!G580</f>
        <v/>
      </c>
      <c r="I587" s="7">
        <f>'1 datos preparados'!H580</f>
        <v/>
      </c>
      <c r="J587" s="7">
        <f>'1 datos preparados'!I580</f>
        <v/>
      </c>
      <c r="K587" s="7">
        <f>'1 datos preparados'!J580</f>
        <v/>
      </c>
      <c r="L587" s="7">
        <f>'1 datos preparados'!K580</f>
        <v/>
      </c>
      <c r="M587" s="7">
        <f>'1 datos preparados'!L580</f>
        <v/>
      </c>
      <c r="N587" s="7">
        <f>'1 datos preparados'!M580</f>
        <v/>
      </c>
      <c r="O587" s="7">
        <f>'1 datos preparados'!N580</f>
        <v/>
      </c>
      <c r="P587" s="7">
        <f>'1 datos preparados'!O580</f>
        <v/>
      </c>
      <c r="Q587" s="7">
        <f>'1 datos preparados'!P580</f>
        <v/>
      </c>
      <c r="R587" s="7">
        <f>'1 datos preparados'!Q580</f>
        <v/>
      </c>
      <c r="S587" s="7">
        <f>'1 datos preparados'!R580</f>
        <v/>
      </c>
      <c r="T587" s="7">
        <f>'1 datos preparados'!S580</f>
        <v/>
      </c>
      <c r="U587" s="7">
        <f>'1 datos preparados'!T580</f>
        <v/>
      </c>
      <c r="V587" s="8">
        <f>$AC$12+D587*$AC$13+E587*$AC$14+F587*$AC$15+G587*$AC$16+H587*$AC$17+I587*$AC$18+J587*$AC$19+K587*$AC$20+L587*$AC$21+M587*$AC$22+N587*$AC$23+O587*$AC$24+P587*$AC$25+Q587*$AC$26+R587*$AC$27+S587*$AC$28+T587*$AC$29+U587*$AC$30</f>
        <v/>
      </c>
      <c r="W587" s="8">
        <f>1/(1+EXP(-V587))</f>
        <v/>
      </c>
      <c r="X587" s="9">
        <f>-IF(C587=1,LN(W587),LN(1-W587))</f>
        <v/>
      </c>
      <c r="Y587" s="10">
        <f>IF(W587&gt;$AC$34,1,0)</f>
        <v/>
      </c>
      <c r="Z587">
        <f>IF(Y587=C587,1,0)</f>
        <v/>
      </c>
    </row>
    <row r="588">
      <c r="A588">
        <f>'1 datos preparados'!A581</f>
        <v/>
      </c>
      <c r="B588" s="5">
        <f>'1 datos preparados'!U581</f>
        <v/>
      </c>
      <c r="C588">
        <f>'1 datos preparados'!B581</f>
        <v/>
      </c>
      <c r="D588" s="7">
        <f>'1 datos preparados'!C581</f>
        <v/>
      </c>
      <c r="E588" s="7">
        <f>'1 datos preparados'!D581</f>
        <v/>
      </c>
      <c r="F588" s="7">
        <f>'1 datos preparados'!E581</f>
        <v/>
      </c>
      <c r="G588" s="7">
        <f>'1 datos preparados'!F581</f>
        <v/>
      </c>
      <c r="H588" s="7">
        <f>'1 datos preparados'!G581</f>
        <v/>
      </c>
      <c r="I588" s="7">
        <f>'1 datos preparados'!H581</f>
        <v/>
      </c>
      <c r="J588" s="7">
        <f>'1 datos preparados'!I581</f>
        <v/>
      </c>
      <c r="K588" s="7">
        <f>'1 datos preparados'!J581</f>
        <v/>
      </c>
      <c r="L588" s="7">
        <f>'1 datos preparados'!K581</f>
        <v/>
      </c>
      <c r="M588" s="7">
        <f>'1 datos preparados'!L581</f>
        <v/>
      </c>
      <c r="N588" s="7">
        <f>'1 datos preparados'!M581</f>
        <v/>
      </c>
      <c r="O588" s="7">
        <f>'1 datos preparados'!N581</f>
        <v/>
      </c>
      <c r="P588" s="7">
        <f>'1 datos preparados'!O581</f>
        <v/>
      </c>
      <c r="Q588" s="7">
        <f>'1 datos preparados'!P581</f>
        <v/>
      </c>
      <c r="R588" s="7">
        <f>'1 datos preparados'!Q581</f>
        <v/>
      </c>
      <c r="S588" s="7">
        <f>'1 datos preparados'!R581</f>
        <v/>
      </c>
      <c r="T588" s="7">
        <f>'1 datos preparados'!S581</f>
        <v/>
      </c>
      <c r="U588" s="7">
        <f>'1 datos preparados'!T581</f>
        <v/>
      </c>
      <c r="V588" s="8">
        <f>$AC$12+D588*$AC$13+E588*$AC$14+F588*$AC$15+G588*$AC$16+H588*$AC$17+I588*$AC$18+J588*$AC$19+K588*$AC$20+L588*$AC$21+M588*$AC$22+N588*$AC$23+O588*$AC$24+P588*$AC$25+Q588*$AC$26+R588*$AC$27+S588*$AC$28+T588*$AC$29+U588*$AC$30</f>
        <v/>
      </c>
      <c r="W588" s="8">
        <f>1/(1+EXP(-V588))</f>
        <v/>
      </c>
      <c r="X588" s="9">
        <f>-IF(C588=1,LN(W588),LN(1-W588))</f>
        <v/>
      </c>
      <c r="Y588" s="10">
        <f>IF(W588&gt;$AC$34,1,0)</f>
        <v/>
      </c>
      <c r="Z588">
        <f>IF(Y588=C588,1,0)</f>
        <v/>
      </c>
    </row>
    <row r="589">
      <c r="A589">
        <f>'1 datos preparados'!A582</f>
        <v/>
      </c>
      <c r="B589" s="5">
        <f>'1 datos preparados'!U582</f>
        <v/>
      </c>
      <c r="C589">
        <f>'1 datos preparados'!B582</f>
        <v/>
      </c>
      <c r="D589" s="7">
        <f>'1 datos preparados'!C582</f>
        <v/>
      </c>
      <c r="E589" s="7">
        <f>'1 datos preparados'!D582</f>
        <v/>
      </c>
      <c r="F589" s="7">
        <f>'1 datos preparados'!E582</f>
        <v/>
      </c>
      <c r="G589" s="7">
        <f>'1 datos preparados'!F582</f>
        <v/>
      </c>
      <c r="H589" s="7">
        <f>'1 datos preparados'!G582</f>
        <v/>
      </c>
      <c r="I589" s="7">
        <f>'1 datos preparados'!H582</f>
        <v/>
      </c>
      <c r="J589" s="7">
        <f>'1 datos preparados'!I582</f>
        <v/>
      </c>
      <c r="K589" s="7">
        <f>'1 datos preparados'!J582</f>
        <v/>
      </c>
      <c r="L589" s="7">
        <f>'1 datos preparados'!K582</f>
        <v/>
      </c>
      <c r="M589" s="7">
        <f>'1 datos preparados'!L582</f>
        <v/>
      </c>
      <c r="N589" s="7">
        <f>'1 datos preparados'!M582</f>
        <v/>
      </c>
      <c r="O589" s="7">
        <f>'1 datos preparados'!N582</f>
        <v/>
      </c>
      <c r="P589" s="7">
        <f>'1 datos preparados'!O582</f>
        <v/>
      </c>
      <c r="Q589" s="7">
        <f>'1 datos preparados'!P582</f>
        <v/>
      </c>
      <c r="R589" s="7">
        <f>'1 datos preparados'!Q582</f>
        <v/>
      </c>
      <c r="S589" s="7">
        <f>'1 datos preparados'!R582</f>
        <v/>
      </c>
      <c r="T589" s="7">
        <f>'1 datos preparados'!S582</f>
        <v/>
      </c>
      <c r="U589" s="7">
        <f>'1 datos preparados'!T582</f>
        <v/>
      </c>
      <c r="V589" s="8">
        <f>$AC$12+D589*$AC$13+E589*$AC$14+F589*$AC$15+G589*$AC$16+H589*$AC$17+I589*$AC$18+J589*$AC$19+K589*$AC$20+L589*$AC$21+M589*$AC$22+N589*$AC$23+O589*$AC$24+P589*$AC$25+Q589*$AC$26+R589*$AC$27+S589*$AC$28+T589*$AC$29+U589*$AC$30</f>
        <v/>
      </c>
      <c r="W589" s="8">
        <f>1/(1+EXP(-V589))</f>
        <v/>
      </c>
      <c r="X589" s="9">
        <f>-IF(C589=1,LN(W589),LN(1-W589))</f>
        <v/>
      </c>
      <c r="Y589" s="10">
        <f>IF(W589&gt;$AC$34,1,0)</f>
        <v/>
      </c>
      <c r="Z589">
        <f>IF(Y589=C589,1,0)</f>
        <v/>
      </c>
    </row>
    <row r="590">
      <c r="A590">
        <f>'1 datos preparados'!A583</f>
        <v/>
      </c>
      <c r="B590" s="5">
        <f>'1 datos preparados'!U583</f>
        <v/>
      </c>
      <c r="C590">
        <f>'1 datos preparados'!B583</f>
        <v/>
      </c>
      <c r="D590" s="7">
        <f>'1 datos preparados'!C583</f>
        <v/>
      </c>
      <c r="E590" s="7">
        <f>'1 datos preparados'!D583</f>
        <v/>
      </c>
      <c r="F590" s="7">
        <f>'1 datos preparados'!E583</f>
        <v/>
      </c>
      <c r="G590" s="7">
        <f>'1 datos preparados'!F583</f>
        <v/>
      </c>
      <c r="H590" s="7">
        <f>'1 datos preparados'!G583</f>
        <v/>
      </c>
      <c r="I590" s="7">
        <f>'1 datos preparados'!H583</f>
        <v/>
      </c>
      <c r="J590" s="7">
        <f>'1 datos preparados'!I583</f>
        <v/>
      </c>
      <c r="K590" s="7">
        <f>'1 datos preparados'!J583</f>
        <v/>
      </c>
      <c r="L590" s="7">
        <f>'1 datos preparados'!K583</f>
        <v/>
      </c>
      <c r="M590" s="7">
        <f>'1 datos preparados'!L583</f>
        <v/>
      </c>
      <c r="N590" s="7">
        <f>'1 datos preparados'!M583</f>
        <v/>
      </c>
      <c r="O590" s="7">
        <f>'1 datos preparados'!N583</f>
        <v/>
      </c>
      <c r="P590" s="7">
        <f>'1 datos preparados'!O583</f>
        <v/>
      </c>
      <c r="Q590" s="7">
        <f>'1 datos preparados'!P583</f>
        <v/>
      </c>
      <c r="R590" s="7">
        <f>'1 datos preparados'!Q583</f>
        <v/>
      </c>
      <c r="S590" s="7">
        <f>'1 datos preparados'!R583</f>
        <v/>
      </c>
      <c r="T590" s="7">
        <f>'1 datos preparados'!S583</f>
        <v/>
      </c>
      <c r="U590" s="7">
        <f>'1 datos preparados'!T583</f>
        <v/>
      </c>
      <c r="V590" s="8">
        <f>$AC$12+D590*$AC$13+E590*$AC$14+F590*$AC$15+G590*$AC$16+H590*$AC$17+I590*$AC$18+J590*$AC$19+K590*$AC$20+L590*$AC$21+M590*$AC$22+N590*$AC$23+O590*$AC$24+P590*$AC$25+Q590*$AC$26+R590*$AC$27+S590*$AC$28+T590*$AC$29+U590*$AC$30</f>
        <v/>
      </c>
      <c r="W590" s="8">
        <f>1/(1+EXP(-V590))</f>
        <v/>
      </c>
      <c r="X590" s="9">
        <f>-IF(C590=1,LN(W590),LN(1-W590))</f>
        <v/>
      </c>
      <c r="Y590" s="10">
        <f>IF(W590&gt;$AC$34,1,0)</f>
        <v/>
      </c>
      <c r="Z590">
        <f>IF(Y590=C590,1,0)</f>
        <v/>
      </c>
    </row>
    <row r="591">
      <c r="A591">
        <f>'1 datos preparados'!A584</f>
        <v/>
      </c>
      <c r="B591" s="5">
        <f>'1 datos preparados'!U584</f>
        <v/>
      </c>
      <c r="C591">
        <f>'1 datos preparados'!B584</f>
        <v/>
      </c>
      <c r="D591" s="7">
        <f>'1 datos preparados'!C584</f>
        <v/>
      </c>
      <c r="E591" s="7">
        <f>'1 datos preparados'!D584</f>
        <v/>
      </c>
      <c r="F591" s="7">
        <f>'1 datos preparados'!E584</f>
        <v/>
      </c>
      <c r="G591" s="7">
        <f>'1 datos preparados'!F584</f>
        <v/>
      </c>
      <c r="H591" s="7">
        <f>'1 datos preparados'!G584</f>
        <v/>
      </c>
      <c r="I591" s="7">
        <f>'1 datos preparados'!H584</f>
        <v/>
      </c>
      <c r="J591" s="7">
        <f>'1 datos preparados'!I584</f>
        <v/>
      </c>
      <c r="K591" s="7">
        <f>'1 datos preparados'!J584</f>
        <v/>
      </c>
      <c r="L591" s="7">
        <f>'1 datos preparados'!K584</f>
        <v/>
      </c>
      <c r="M591" s="7">
        <f>'1 datos preparados'!L584</f>
        <v/>
      </c>
      <c r="N591" s="7">
        <f>'1 datos preparados'!M584</f>
        <v/>
      </c>
      <c r="O591" s="7">
        <f>'1 datos preparados'!N584</f>
        <v/>
      </c>
      <c r="P591" s="7">
        <f>'1 datos preparados'!O584</f>
        <v/>
      </c>
      <c r="Q591" s="7">
        <f>'1 datos preparados'!P584</f>
        <v/>
      </c>
      <c r="R591" s="7">
        <f>'1 datos preparados'!Q584</f>
        <v/>
      </c>
      <c r="S591" s="7">
        <f>'1 datos preparados'!R584</f>
        <v/>
      </c>
      <c r="T591" s="7">
        <f>'1 datos preparados'!S584</f>
        <v/>
      </c>
      <c r="U591" s="7">
        <f>'1 datos preparados'!T584</f>
        <v/>
      </c>
      <c r="V591" s="8">
        <f>$AC$12+D591*$AC$13+E591*$AC$14+F591*$AC$15+G591*$AC$16+H591*$AC$17+I591*$AC$18+J591*$AC$19+K591*$AC$20+L591*$AC$21+M591*$AC$22+N591*$AC$23+O591*$AC$24+P591*$AC$25+Q591*$AC$26+R591*$AC$27+S591*$AC$28+T591*$AC$29+U591*$AC$30</f>
        <v/>
      </c>
      <c r="W591" s="8">
        <f>1/(1+EXP(-V591))</f>
        <v/>
      </c>
      <c r="X591" s="9">
        <f>-IF(C591=1,LN(W591),LN(1-W591))</f>
        <v/>
      </c>
      <c r="Y591" s="10">
        <f>IF(W591&gt;$AC$34,1,0)</f>
        <v/>
      </c>
      <c r="Z591">
        <f>IF(Y591=C591,1,0)</f>
        <v/>
      </c>
    </row>
    <row r="592">
      <c r="A592">
        <f>'1 datos preparados'!A585</f>
        <v/>
      </c>
      <c r="B592" s="5">
        <f>'1 datos preparados'!U585</f>
        <v/>
      </c>
      <c r="C592">
        <f>'1 datos preparados'!B585</f>
        <v/>
      </c>
      <c r="D592" s="7">
        <f>'1 datos preparados'!C585</f>
        <v/>
      </c>
      <c r="E592" s="7">
        <f>'1 datos preparados'!D585</f>
        <v/>
      </c>
      <c r="F592" s="7">
        <f>'1 datos preparados'!E585</f>
        <v/>
      </c>
      <c r="G592" s="7">
        <f>'1 datos preparados'!F585</f>
        <v/>
      </c>
      <c r="H592" s="7">
        <f>'1 datos preparados'!G585</f>
        <v/>
      </c>
      <c r="I592" s="7">
        <f>'1 datos preparados'!H585</f>
        <v/>
      </c>
      <c r="J592" s="7">
        <f>'1 datos preparados'!I585</f>
        <v/>
      </c>
      <c r="K592" s="7">
        <f>'1 datos preparados'!J585</f>
        <v/>
      </c>
      <c r="L592" s="7">
        <f>'1 datos preparados'!K585</f>
        <v/>
      </c>
      <c r="M592" s="7">
        <f>'1 datos preparados'!L585</f>
        <v/>
      </c>
      <c r="N592" s="7">
        <f>'1 datos preparados'!M585</f>
        <v/>
      </c>
      <c r="O592" s="7">
        <f>'1 datos preparados'!N585</f>
        <v/>
      </c>
      <c r="P592" s="7">
        <f>'1 datos preparados'!O585</f>
        <v/>
      </c>
      <c r="Q592" s="7">
        <f>'1 datos preparados'!P585</f>
        <v/>
      </c>
      <c r="R592" s="7">
        <f>'1 datos preparados'!Q585</f>
        <v/>
      </c>
      <c r="S592" s="7">
        <f>'1 datos preparados'!R585</f>
        <v/>
      </c>
      <c r="T592" s="7">
        <f>'1 datos preparados'!S585</f>
        <v/>
      </c>
      <c r="U592" s="7">
        <f>'1 datos preparados'!T585</f>
        <v/>
      </c>
      <c r="V592" s="8">
        <f>$AC$12+D592*$AC$13+E592*$AC$14+F592*$AC$15+G592*$AC$16+H592*$AC$17+I592*$AC$18+J592*$AC$19+K592*$AC$20+L592*$AC$21+M592*$AC$22+N592*$AC$23+O592*$AC$24+P592*$AC$25+Q592*$AC$26+R592*$AC$27+S592*$AC$28+T592*$AC$29+U592*$AC$30</f>
        <v/>
      </c>
      <c r="W592" s="8">
        <f>1/(1+EXP(-V592))</f>
        <v/>
      </c>
      <c r="X592" s="9">
        <f>-IF(C592=1,LN(W592),LN(1-W592))</f>
        <v/>
      </c>
      <c r="Y592" s="10">
        <f>IF(W592&gt;$AC$34,1,0)</f>
        <v/>
      </c>
      <c r="Z592">
        <f>IF(Y592=C592,1,0)</f>
        <v/>
      </c>
    </row>
    <row r="593">
      <c r="A593">
        <f>'1 datos preparados'!A586</f>
        <v/>
      </c>
      <c r="B593" s="5">
        <f>'1 datos preparados'!U586</f>
        <v/>
      </c>
      <c r="C593">
        <f>'1 datos preparados'!B586</f>
        <v/>
      </c>
      <c r="D593" s="7">
        <f>'1 datos preparados'!C586</f>
        <v/>
      </c>
      <c r="E593" s="7">
        <f>'1 datos preparados'!D586</f>
        <v/>
      </c>
      <c r="F593" s="7">
        <f>'1 datos preparados'!E586</f>
        <v/>
      </c>
      <c r="G593" s="7">
        <f>'1 datos preparados'!F586</f>
        <v/>
      </c>
      <c r="H593" s="7">
        <f>'1 datos preparados'!G586</f>
        <v/>
      </c>
      <c r="I593" s="7">
        <f>'1 datos preparados'!H586</f>
        <v/>
      </c>
      <c r="J593" s="7">
        <f>'1 datos preparados'!I586</f>
        <v/>
      </c>
      <c r="K593" s="7">
        <f>'1 datos preparados'!J586</f>
        <v/>
      </c>
      <c r="L593" s="7">
        <f>'1 datos preparados'!K586</f>
        <v/>
      </c>
      <c r="M593" s="7">
        <f>'1 datos preparados'!L586</f>
        <v/>
      </c>
      <c r="N593" s="7">
        <f>'1 datos preparados'!M586</f>
        <v/>
      </c>
      <c r="O593" s="7">
        <f>'1 datos preparados'!N586</f>
        <v/>
      </c>
      <c r="P593" s="7">
        <f>'1 datos preparados'!O586</f>
        <v/>
      </c>
      <c r="Q593" s="7">
        <f>'1 datos preparados'!P586</f>
        <v/>
      </c>
      <c r="R593" s="7">
        <f>'1 datos preparados'!Q586</f>
        <v/>
      </c>
      <c r="S593" s="7">
        <f>'1 datos preparados'!R586</f>
        <v/>
      </c>
      <c r="T593" s="7">
        <f>'1 datos preparados'!S586</f>
        <v/>
      </c>
      <c r="U593" s="7">
        <f>'1 datos preparados'!T586</f>
        <v/>
      </c>
      <c r="V593" s="8">
        <f>$AC$12+D593*$AC$13+E593*$AC$14+F593*$AC$15+G593*$AC$16+H593*$AC$17+I593*$AC$18+J593*$AC$19+K593*$AC$20+L593*$AC$21+M593*$AC$22+N593*$AC$23+O593*$AC$24+P593*$AC$25+Q593*$AC$26+R593*$AC$27+S593*$AC$28+T593*$AC$29+U593*$AC$30</f>
        <v/>
      </c>
      <c r="W593" s="8">
        <f>1/(1+EXP(-V593))</f>
        <v/>
      </c>
      <c r="X593" s="9">
        <f>-IF(C593=1,LN(W593),LN(1-W593))</f>
        <v/>
      </c>
      <c r="Y593" s="10">
        <f>IF(W593&gt;$AC$34,1,0)</f>
        <v/>
      </c>
      <c r="Z593">
        <f>IF(Y593=C593,1,0)</f>
        <v/>
      </c>
    </row>
    <row r="594">
      <c r="A594">
        <f>'1 datos preparados'!A587</f>
        <v/>
      </c>
      <c r="B594" s="5">
        <f>'1 datos preparados'!U587</f>
        <v/>
      </c>
      <c r="C594">
        <f>'1 datos preparados'!B587</f>
        <v/>
      </c>
      <c r="D594" s="7">
        <f>'1 datos preparados'!C587</f>
        <v/>
      </c>
      <c r="E594" s="7">
        <f>'1 datos preparados'!D587</f>
        <v/>
      </c>
      <c r="F594" s="7">
        <f>'1 datos preparados'!E587</f>
        <v/>
      </c>
      <c r="G594" s="7">
        <f>'1 datos preparados'!F587</f>
        <v/>
      </c>
      <c r="H594" s="7">
        <f>'1 datos preparados'!G587</f>
        <v/>
      </c>
      <c r="I594" s="7">
        <f>'1 datos preparados'!H587</f>
        <v/>
      </c>
      <c r="J594" s="7">
        <f>'1 datos preparados'!I587</f>
        <v/>
      </c>
      <c r="K594" s="7">
        <f>'1 datos preparados'!J587</f>
        <v/>
      </c>
      <c r="L594" s="7">
        <f>'1 datos preparados'!K587</f>
        <v/>
      </c>
      <c r="M594" s="7">
        <f>'1 datos preparados'!L587</f>
        <v/>
      </c>
      <c r="N594" s="7">
        <f>'1 datos preparados'!M587</f>
        <v/>
      </c>
      <c r="O594" s="7">
        <f>'1 datos preparados'!N587</f>
        <v/>
      </c>
      <c r="P594" s="7">
        <f>'1 datos preparados'!O587</f>
        <v/>
      </c>
      <c r="Q594" s="7">
        <f>'1 datos preparados'!P587</f>
        <v/>
      </c>
      <c r="R594" s="7">
        <f>'1 datos preparados'!Q587</f>
        <v/>
      </c>
      <c r="S594" s="7">
        <f>'1 datos preparados'!R587</f>
        <v/>
      </c>
      <c r="T594" s="7">
        <f>'1 datos preparados'!S587</f>
        <v/>
      </c>
      <c r="U594" s="7">
        <f>'1 datos preparados'!T587</f>
        <v/>
      </c>
      <c r="V594" s="8">
        <f>$AC$12+D594*$AC$13+E594*$AC$14+F594*$AC$15+G594*$AC$16+H594*$AC$17+I594*$AC$18+J594*$AC$19+K594*$AC$20+L594*$AC$21+M594*$AC$22+N594*$AC$23+O594*$AC$24+P594*$AC$25+Q594*$AC$26+R594*$AC$27+S594*$AC$28+T594*$AC$29+U594*$AC$30</f>
        <v/>
      </c>
      <c r="W594" s="8">
        <f>1/(1+EXP(-V594))</f>
        <v/>
      </c>
      <c r="X594" s="9">
        <f>-IF(C594=1,LN(W594),LN(1-W594))</f>
        <v/>
      </c>
      <c r="Y594" s="10">
        <f>IF(W594&gt;$AC$34,1,0)</f>
        <v/>
      </c>
      <c r="Z594">
        <f>IF(Y594=C594,1,0)</f>
        <v/>
      </c>
    </row>
    <row r="595">
      <c r="A595">
        <f>'1 datos preparados'!A588</f>
        <v/>
      </c>
      <c r="B595" s="5">
        <f>'1 datos preparados'!U588</f>
        <v/>
      </c>
      <c r="C595">
        <f>'1 datos preparados'!B588</f>
        <v/>
      </c>
      <c r="D595" s="7">
        <f>'1 datos preparados'!C588</f>
        <v/>
      </c>
      <c r="E595" s="7">
        <f>'1 datos preparados'!D588</f>
        <v/>
      </c>
      <c r="F595" s="7">
        <f>'1 datos preparados'!E588</f>
        <v/>
      </c>
      <c r="G595" s="7">
        <f>'1 datos preparados'!F588</f>
        <v/>
      </c>
      <c r="H595" s="7">
        <f>'1 datos preparados'!G588</f>
        <v/>
      </c>
      <c r="I595" s="7">
        <f>'1 datos preparados'!H588</f>
        <v/>
      </c>
      <c r="J595" s="7">
        <f>'1 datos preparados'!I588</f>
        <v/>
      </c>
      <c r="K595" s="7">
        <f>'1 datos preparados'!J588</f>
        <v/>
      </c>
      <c r="L595" s="7">
        <f>'1 datos preparados'!K588</f>
        <v/>
      </c>
      <c r="M595" s="7">
        <f>'1 datos preparados'!L588</f>
        <v/>
      </c>
      <c r="N595" s="7">
        <f>'1 datos preparados'!M588</f>
        <v/>
      </c>
      <c r="O595" s="7">
        <f>'1 datos preparados'!N588</f>
        <v/>
      </c>
      <c r="P595" s="7">
        <f>'1 datos preparados'!O588</f>
        <v/>
      </c>
      <c r="Q595" s="7">
        <f>'1 datos preparados'!P588</f>
        <v/>
      </c>
      <c r="R595" s="7">
        <f>'1 datos preparados'!Q588</f>
        <v/>
      </c>
      <c r="S595" s="7">
        <f>'1 datos preparados'!R588</f>
        <v/>
      </c>
      <c r="T595" s="7">
        <f>'1 datos preparados'!S588</f>
        <v/>
      </c>
      <c r="U595" s="7">
        <f>'1 datos preparados'!T588</f>
        <v/>
      </c>
      <c r="V595" s="8">
        <f>$AC$12+D595*$AC$13+E595*$AC$14+F595*$AC$15+G595*$AC$16+H595*$AC$17+I595*$AC$18+J595*$AC$19+K595*$AC$20+L595*$AC$21+M595*$AC$22+N595*$AC$23+O595*$AC$24+P595*$AC$25+Q595*$AC$26+R595*$AC$27+S595*$AC$28+T595*$AC$29+U595*$AC$30</f>
        <v/>
      </c>
      <c r="W595" s="8">
        <f>1/(1+EXP(-V595))</f>
        <v/>
      </c>
      <c r="X595" s="9">
        <f>-IF(C595=1,LN(W595),LN(1-W595))</f>
        <v/>
      </c>
      <c r="Y595" s="10">
        <f>IF(W595&gt;$AC$34,1,0)</f>
        <v/>
      </c>
      <c r="Z595">
        <f>IF(Y595=C595,1,0)</f>
        <v/>
      </c>
    </row>
    <row r="596">
      <c r="A596">
        <f>'1 datos preparados'!A589</f>
        <v/>
      </c>
      <c r="B596" s="5">
        <f>'1 datos preparados'!U589</f>
        <v/>
      </c>
      <c r="C596">
        <f>'1 datos preparados'!B589</f>
        <v/>
      </c>
      <c r="D596" s="7">
        <f>'1 datos preparados'!C589</f>
        <v/>
      </c>
      <c r="E596" s="7">
        <f>'1 datos preparados'!D589</f>
        <v/>
      </c>
      <c r="F596" s="7">
        <f>'1 datos preparados'!E589</f>
        <v/>
      </c>
      <c r="G596" s="7">
        <f>'1 datos preparados'!F589</f>
        <v/>
      </c>
      <c r="H596" s="7">
        <f>'1 datos preparados'!G589</f>
        <v/>
      </c>
      <c r="I596" s="7">
        <f>'1 datos preparados'!H589</f>
        <v/>
      </c>
      <c r="J596" s="7">
        <f>'1 datos preparados'!I589</f>
        <v/>
      </c>
      <c r="K596" s="7">
        <f>'1 datos preparados'!J589</f>
        <v/>
      </c>
      <c r="L596" s="7">
        <f>'1 datos preparados'!K589</f>
        <v/>
      </c>
      <c r="M596" s="7">
        <f>'1 datos preparados'!L589</f>
        <v/>
      </c>
      <c r="N596" s="7">
        <f>'1 datos preparados'!M589</f>
        <v/>
      </c>
      <c r="O596" s="7">
        <f>'1 datos preparados'!N589</f>
        <v/>
      </c>
      <c r="P596" s="7">
        <f>'1 datos preparados'!O589</f>
        <v/>
      </c>
      <c r="Q596" s="7">
        <f>'1 datos preparados'!P589</f>
        <v/>
      </c>
      <c r="R596" s="7">
        <f>'1 datos preparados'!Q589</f>
        <v/>
      </c>
      <c r="S596" s="7">
        <f>'1 datos preparados'!R589</f>
        <v/>
      </c>
      <c r="T596" s="7">
        <f>'1 datos preparados'!S589</f>
        <v/>
      </c>
      <c r="U596" s="7">
        <f>'1 datos preparados'!T589</f>
        <v/>
      </c>
      <c r="V596" s="8">
        <f>$AC$12+D596*$AC$13+E596*$AC$14+F596*$AC$15+G596*$AC$16+H596*$AC$17+I596*$AC$18+J596*$AC$19+K596*$AC$20+L596*$AC$21+M596*$AC$22+N596*$AC$23+O596*$AC$24+P596*$AC$25+Q596*$AC$26+R596*$AC$27+S596*$AC$28+T596*$AC$29+U596*$AC$30</f>
        <v/>
      </c>
      <c r="W596" s="8">
        <f>1/(1+EXP(-V596))</f>
        <v/>
      </c>
      <c r="X596" s="9">
        <f>-IF(C596=1,LN(W596),LN(1-W596))</f>
        <v/>
      </c>
      <c r="Y596" s="10">
        <f>IF(W596&gt;$AC$34,1,0)</f>
        <v/>
      </c>
      <c r="Z596">
        <f>IF(Y596=C596,1,0)</f>
        <v/>
      </c>
    </row>
    <row r="597">
      <c r="A597">
        <f>'1 datos preparados'!A590</f>
        <v/>
      </c>
      <c r="B597" s="5">
        <f>'1 datos preparados'!U590</f>
        <v/>
      </c>
      <c r="C597">
        <f>'1 datos preparados'!B590</f>
        <v/>
      </c>
      <c r="D597" s="7">
        <f>'1 datos preparados'!C590</f>
        <v/>
      </c>
      <c r="E597" s="7">
        <f>'1 datos preparados'!D590</f>
        <v/>
      </c>
      <c r="F597" s="7">
        <f>'1 datos preparados'!E590</f>
        <v/>
      </c>
      <c r="G597" s="7">
        <f>'1 datos preparados'!F590</f>
        <v/>
      </c>
      <c r="H597" s="7">
        <f>'1 datos preparados'!G590</f>
        <v/>
      </c>
      <c r="I597" s="7">
        <f>'1 datos preparados'!H590</f>
        <v/>
      </c>
      <c r="J597" s="7">
        <f>'1 datos preparados'!I590</f>
        <v/>
      </c>
      <c r="K597" s="7">
        <f>'1 datos preparados'!J590</f>
        <v/>
      </c>
      <c r="L597" s="7">
        <f>'1 datos preparados'!K590</f>
        <v/>
      </c>
      <c r="M597" s="7">
        <f>'1 datos preparados'!L590</f>
        <v/>
      </c>
      <c r="N597" s="7">
        <f>'1 datos preparados'!M590</f>
        <v/>
      </c>
      <c r="O597" s="7">
        <f>'1 datos preparados'!N590</f>
        <v/>
      </c>
      <c r="P597" s="7">
        <f>'1 datos preparados'!O590</f>
        <v/>
      </c>
      <c r="Q597" s="7">
        <f>'1 datos preparados'!P590</f>
        <v/>
      </c>
      <c r="R597" s="7">
        <f>'1 datos preparados'!Q590</f>
        <v/>
      </c>
      <c r="S597" s="7">
        <f>'1 datos preparados'!R590</f>
        <v/>
      </c>
      <c r="T597" s="7">
        <f>'1 datos preparados'!S590</f>
        <v/>
      </c>
      <c r="U597" s="7">
        <f>'1 datos preparados'!T590</f>
        <v/>
      </c>
      <c r="V597" s="8">
        <f>$AC$12+D597*$AC$13+E597*$AC$14+F597*$AC$15+G597*$AC$16+H597*$AC$17+I597*$AC$18+J597*$AC$19+K597*$AC$20+L597*$AC$21+M597*$AC$22+N597*$AC$23+O597*$AC$24+P597*$AC$25+Q597*$AC$26+R597*$AC$27+S597*$AC$28+T597*$AC$29+U597*$AC$30</f>
        <v/>
      </c>
      <c r="W597" s="8">
        <f>1/(1+EXP(-V597))</f>
        <v/>
      </c>
      <c r="X597" s="9">
        <f>-IF(C597=1,LN(W597),LN(1-W597))</f>
        <v/>
      </c>
      <c r="Y597" s="10">
        <f>IF(W597&gt;$AC$34,1,0)</f>
        <v/>
      </c>
      <c r="Z597">
        <f>IF(Y597=C597,1,0)</f>
        <v/>
      </c>
    </row>
    <row r="598">
      <c r="A598">
        <f>'1 datos preparados'!A591</f>
        <v/>
      </c>
      <c r="B598" s="5">
        <f>'1 datos preparados'!U591</f>
        <v/>
      </c>
      <c r="C598">
        <f>'1 datos preparados'!B591</f>
        <v/>
      </c>
      <c r="D598" s="7">
        <f>'1 datos preparados'!C591</f>
        <v/>
      </c>
      <c r="E598" s="7">
        <f>'1 datos preparados'!D591</f>
        <v/>
      </c>
      <c r="F598" s="7">
        <f>'1 datos preparados'!E591</f>
        <v/>
      </c>
      <c r="G598" s="7">
        <f>'1 datos preparados'!F591</f>
        <v/>
      </c>
      <c r="H598" s="7">
        <f>'1 datos preparados'!G591</f>
        <v/>
      </c>
      <c r="I598" s="7">
        <f>'1 datos preparados'!H591</f>
        <v/>
      </c>
      <c r="J598" s="7">
        <f>'1 datos preparados'!I591</f>
        <v/>
      </c>
      <c r="K598" s="7">
        <f>'1 datos preparados'!J591</f>
        <v/>
      </c>
      <c r="L598" s="7">
        <f>'1 datos preparados'!K591</f>
        <v/>
      </c>
      <c r="M598" s="7">
        <f>'1 datos preparados'!L591</f>
        <v/>
      </c>
      <c r="N598" s="7">
        <f>'1 datos preparados'!M591</f>
        <v/>
      </c>
      <c r="O598" s="7">
        <f>'1 datos preparados'!N591</f>
        <v/>
      </c>
      <c r="P598" s="7">
        <f>'1 datos preparados'!O591</f>
        <v/>
      </c>
      <c r="Q598" s="7">
        <f>'1 datos preparados'!P591</f>
        <v/>
      </c>
      <c r="R598" s="7">
        <f>'1 datos preparados'!Q591</f>
        <v/>
      </c>
      <c r="S598" s="7">
        <f>'1 datos preparados'!R591</f>
        <v/>
      </c>
      <c r="T598" s="7">
        <f>'1 datos preparados'!S591</f>
        <v/>
      </c>
      <c r="U598" s="7">
        <f>'1 datos preparados'!T591</f>
        <v/>
      </c>
      <c r="V598" s="8">
        <f>$AC$12+D598*$AC$13+E598*$AC$14+F598*$AC$15+G598*$AC$16+H598*$AC$17+I598*$AC$18+J598*$AC$19+K598*$AC$20+L598*$AC$21+M598*$AC$22+N598*$AC$23+O598*$AC$24+P598*$AC$25+Q598*$AC$26+R598*$AC$27+S598*$AC$28+T598*$AC$29+U598*$AC$30</f>
        <v/>
      </c>
      <c r="W598" s="8">
        <f>1/(1+EXP(-V598))</f>
        <v/>
      </c>
      <c r="X598" s="9">
        <f>-IF(C598=1,LN(W598),LN(1-W598))</f>
        <v/>
      </c>
      <c r="Y598" s="10">
        <f>IF(W598&gt;$AC$34,1,0)</f>
        <v/>
      </c>
      <c r="Z598">
        <f>IF(Y598=C598,1,0)</f>
        <v/>
      </c>
    </row>
    <row r="599">
      <c r="A599">
        <f>'1 datos preparados'!A592</f>
        <v/>
      </c>
      <c r="B599" s="5">
        <f>'1 datos preparados'!U592</f>
        <v/>
      </c>
      <c r="C599">
        <f>'1 datos preparados'!B592</f>
        <v/>
      </c>
      <c r="D599" s="7">
        <f>'1 datos preparados'!C592</f>
        <v/>
      </c>
      <c r="E599" s="7">
        <f>'1 datos preparados'!D592</f>
        <v/>
      </c>
      <c r="F599" s="7">
        <f>'1 datos preparados'!E592</f>
        <v/>
      </c>
      <c r="G599" s="7">
        <f>'1 datos preparados'!F592</f>
        <v/>
      </c>
      <c r="H599" s="7">
        <f>'1 datos preparados'!G592</f>
        <v/>
      </c>
      <c r="I599" s="7">
        <f>'1 datos preparados'!H592</f>
        <v/>
      </c>
      <c r="J599" s="7">
        <f>'1 datos preparados'!I592</f>
        <v/>
      </c>
      <c r="K599" s="7">
        <f>'1 datos preparados'!J592</f>
        <v/>
      </c>
      <c r="L599" s="7">
        <f>'1 datos preparados'!K592</f>
        <v/>
      </c>
      <c r="M599" s="7">
        <f>'1 datos preparados'!L592</f>
        <v/>
      </c>
      <c r="N599" s="7">
        <f>'1 datos preparados'!M592</f>
        <v/>
      </c>
      <c r="O599" s="7">
        <f>'1 datos preparados'!N592</f>
        <v/>
      </c>
      <c r="P599" s="7">
        <f>'1 datos preparados'!O592</f>
        <v/>
      </c>
      <c r="Q599" s="7">
        <f>'1 datos preparados'!P592</f>
        <v/>
      </c>
      <c r="R599" s="7">
        <f>'1 datos preparados'!Q592</f>
        <v/>
      </c>
      <c r="S599" s="7">
        <f>'1 datos preparados'!R592</f>
        <v/>
      </c>
      <c r="T599" s="7">
        <f>'1 datos preparados'!S592</f>
        <v/>
      </c>
      <c r="U599" s="7">
        <f>'1 datos preparados'!T592</f>
        <v/>
      </c>
      <c r="V599" s="8">
        <f>$AC$12+D599*$AC$13+E599*$AC$14+F599*$AC$15+G599*$AC$16+H599*$AC$17+I599*$AC$18+J599*$AC$19+K599*$AC$20+L599*$AC$21+M599*$AC$22+N599*$AC$23+O599*$AC$24+P599*$AC$25+Q599*$AC$26+R599*$AC$27+S599*$AC$28+T599*$AC$29+U599*$AC$30</f>
        <v/>
      </c>
      <c r="W599" s="8">
        <f>1/(1+EXP(-V599))</f>
        <v/>
      </c>
      <c r="X599" s="9">
        <f>-IF(C599=1,LN(W599),LN(1-W599))</f>
        <v/>
      </c>
      <c r="Y599" s="10">
        <f>IF(W599&gt;$AC$34,1,0)</f>
        <v/>
      </c>
      <c r="Z599">
        <f>IF(Y599=C599,1,0)</f>
        <v/>
      </c>
    </row>
    <row r="600">
      <c r="A600">
        <f>'1 datos preparados'!A593</f>
        <v/>
      </c>
      <c r="B600" s="5">
        <f>'1 datos preparados'!U593</f>
        <v/>
      </c>
      <c r="C600">
        <f>'1 datos preparados'!B593</f>
        <v/>
      </c>
      <c r="D600" s="7">
        <f>'1 datos preparados'!C593</f>
        <v/>
      </c>
      <c r="E600" s="7">
        <f>'1 datos preparados'!D593</f>
        <v/>
      </c>
      <c r="F600" s="7">
        <f>'1 datos preparados'!E593</f>
        <v/>
      </c>
      <c r="G600" s="7">
        <f>'1 datos preparados'!F593</f>
        <v/>
      </c>
      <c r="H600" s="7">
        <f>'1 datos preparados'!G593</f>
        <v/>
      </c>
      <c r="I600" s="7">
        <f>'1 datos preparados'!H593</f>
        <v/>
      </c>
      <c r="J600" s="7">
        <f>'1 datos preparados'!I593</f>
        <v/>
      </c>
      <c r="K600" s="7">
        <f>'1 datos preparados'!J593</f>
        <v/>
      </c>
      <c r="L600" s="7">
        <f>'1 datos preparados'!K593</f>
        <v/>
      </c>
      <c r="M600" s="7">
        <f>'1 datos preparados'!L593</f>
        <v/>
      </c>
      <c r="N600" s="7">
        <f>'1 datos preparados'!M593</f>
        <v/>
      </c>
      <c r="O600" s="7">
        <f>'1 datos preparados'!N593</f>
        <v/>
      </c>
      <c r="P600" s="7">
        <f>'1 datos preparados'!O593</f>
        <v/>
      </c>
      <c r="Q600" s="7">
        <f>'1 datos preparados'!P593</f>
        <v/>
      </c>
      <c r="R600" s="7">
        <f>'1 datos preparados'!Q593</f>
        <v/>
      </c>
      <c r="S600" s="7">
        <f>'1 datos preparados'!R593</f>
        <v/>
      </c>
      <c r="T600" s="7">
        <f>'1 datos preparados'!S593</f>
        <v/>
      </c>
      <c r="U600" s="7">
        <f>'1 datos preparados'!T593</f>
        <v/>
      </c>
      <c r="V600" s="8">
        <f>$AC$12+D600*$AC$13+E600*$AC$14+F600*$AC$15+G600*$AC$16+H600*$AC$17+I600*$AC$18+J600*$AC$19+K600*$AC$20+L600*$AC$21+M600*$AC$22+N600*$AC$23+O600*$AC$24+P600*$AC$25+Q600*$AC$26+R600*$AC$27+S600*$AC$28+T600*$AC$29+U600*$AC$30</f>
        <v/>
      </c>
      <c r="W600" s="8">
        <f>1/(1+EXP(-V600))</f>
        <v/>
      </c>
      <c r="X600" s="9">
        <f>-IF(C600=1,LN(W600),LN(1-W600))</f>
        <v/>
      </c>
      <c r="Y600" s="10">
        <f>IF(W600&gt;$AC$34,1,0)</f>
        <v/>
      </c>
      <c r="Z600">
        <f>IF(Y600=C600,1,0)</f>
        <v/>
      </c>
    </row>
    <row r="601">
      <c r="A601">
        <f>'1 datos preparados'!A594</f>
        <v/>
      </c>
      <c r="B601" s="5">
        <f>'1 datos preparados'!U594</f>
        <v/>
      </c>
      <c r="C601">
        <f>'1 datos preparados'!B594</f>
        <v/>
      </c>
      <c r="D601" s="7">
        <f>'1 datos preparados'!C594</f>
        <v/>
      </c>
      <c r="E601" s="7">
        <f>'1 datos preparados'!D594</f>
        <v/>
      </c>
      <c r="F601" s="7">
        <f>'1 datos preparados'!E594</f>
        <v/>
      </c>
      <c r="G601" s="7">
        <f>'1 datos preparados'!F594</f>
        <v/>
      </c>
      <c r="H601" s="7">
        <f>'1 datos preparados'!G594</f>
        <v/>
      </c>
      <c r="I601" s="7">
        <f>'1 datos preparados'!H594</f>
        <v/>
      </c>
      <c r="J601" s="7">
        <f>'1 datos preparados'!I594</f>
        <v/>
      </c>
      <c r="K601" s="7">
        <f>'1 datos preparados'!J594</f>
        <v/>
      </c>
      <c r="L601" s="7">
        <f>'1 datos preparados'!K594</f>
        <v/>
      </c>
      <c r="M601" s="7">
        <f>'1 datos preparados'!L594</f>
        <v/>
      </c>
      <c r="N601" s="7">
        <f>'1 datos preparados'!M594</f>
        <v/>
      </c>
      <c r="O601" s="7">
        <f>'1 datos preparados'!N594</f>
        <v/>
      </c>
      <c r="P601" s="7">
        <f>'1 datos preparados'!O594</f>
        <v/>
      </c>
      <c r="Q601" s="7">
        <f>'1 datos preparados'!P594</f>
        <v/>
      </c>
      <c r="R601" s="7">
        <f>'1 datos preparados'!Q594</f>
        <v/>
      </c>
      <c r="S601" s="7">
        <f>'1 datos preparados'!R594</f>
        <v/>
      </c>
      <c r="T601" s="7">
        <f>'1 datos preparados'!S594</f>
        <v/>
      </c>
      <c r="U601" s="7">
        <f>'1 datos preparados'!T594</f>
        <v/>
      </c>
      <c r="V601" s="8">
        <f>$AC$12+D601*$AC$13+E601*$AC$14+F601*$AC$15+G601*$AC$16+H601*$AC$17+I601*$AC$18+J601*$AC$19+K601*$AC$20+L601*$AC$21+M601*$AC$22+N601*$AC$23+O601*$AC$24+P601*$AC$25+Q601*$AC$26+R601*$AC$27+S601*$AC$28+T601*$AC$29+U601*$AC$30</f>
        <v/>
      </c>
      <c r="W601" s="8">
        <f>1/(1+EXP(-V601))</f>
        <v/>
      </c>
      <c r="X601" s="9">
        <f>-IF(C601=1,LN(W601),LN(1-W601))</f>
        <v/>
      </c>
      <c r="Y601" s="10">
        <f>IF(W601&gt;$AC$34,1,0)</f>
        <v/>
      </c>
      <c r="Z601">
        <f>IF(Y601=C601,1,0)</f>
        <v/>
      </c>
    </row>
    <row r="602">
      <c r="A602">
        <f>'1 datos preparados'!A595</f>
        <v/>
      </c>
      <c r="B602" s="5">
        <f>'1 datos preparados'!U595</f>
        <v/>
      </c>
      <c r="C602">
        <f>'1 datos preparados'!B595</f>
        <v/>
      </c>
      <c r="D602" s="7">
        <f>'1 datos preparados'!C595</f>
        <v/>
      </c>
      <c r="E602" s="7">
        <f>'1 datos preparados'!D595</f>
        <v/>
      </c>
      <c r="F602" s="7">
        <f>'1 datos preparados'!E595</f>
        <v/>
      </c>
      <c r="G602" s="7">
        <f>'1 datos preparados'!F595</f>
        <v/>
      </c>
      <c r="H602" s="7">
        <f>'1 datos preparados'!G595</f>
        <v/>
      </c>
      <c r="I602" s="7">
        <f>'1 datos preparados'!H595</f>
        <v/>
      </c>
      <c r="J602" s="7">
        <f>'1 datos preparados'!I595</f>
        <v/>
      </c>
      <c r="K602" s="7">
        <f>'1 datos preparados'!J595</f>
        <v/>
      </c>
      <c r="L602" s="7">
        <f>'1 datos preparados'!K595</f>
        <v/>
      </c>
      <c r="M602" s="7">
        <f>'1 datos preparados'!L595</f>
        <v/>
      </c>
      <c r="N602" s="7">
        <f>'1 datos preparados'!M595</f>
        <v/>
      </c>
      <c r="O602" s="7">
        <f>'1 datos preparados'!N595</f>
        <v/>
      </c>
      <c r="P602" s="7">
        <f>'1 datos preparados'!O595</f>
        <v/>
      </c>
      <c r="Q602" s="7">
        <f>'1 datos preparados'!P595</f>
        <v/>
      </c>
      <c r="R602" s="7">
        <f>'1 datos preparados'!Q595</f>
        <v/>
      </c>
      <c r="S602" s="7">
        <f>'1 datos preparados'!R595</f>
        <v/>
      </c>
      <c r="T602" s="7">
        <f>'1 datos preparados'!S595</f>
        <v/>
      </c>
      <c r="U602" s="7">
        <f>'1 datos preparados'!T595</f>
        <v/>
      </c>
      <c r="V602" s="8">
        <f>$AC$12+D602*$AC$13+E602*$AC$14+F602*$AC$15+G602*$AC$16+H602*$AC$17+I602*$AC$18+J602*$AC$19+K602*$AC$20+L602*$AC$21+M602*$AC$22+N602*$AC$23+O602*$AC$24+P602*$AC$25+Q602*$AC$26+R602*$AC$27+S602*$AC$28+T602*$AC$29+U602*$AC$30</f>
        <v/>
      </c>
      <c r="W602" s="8">
        <f>1/(1+EXP(-V602))</f>
        <v/>
      </c>
      <c r="X602" s="9">
        <f>-IF(C602=1,LN(W602),LN(1-W602))</f>
        <v/>
      </c>
      <c r="Y602" s="10">
        <f>IF(W602&gt;$AC$34,1,0)</f>
        <v/>
      </c>
      <c r="Z602">
        <f>IF(Y602=C602,1,0)</f>
        <v/>
      </c>
    </row>
    <row r="603">
      <c r="A603">
        <f>'1 datos preparados'!A596</f>
        <v/>
      </c>
      <c r="B603" s="5">
        <f>'1 datos preparados'!U596</f>
        <v/>
      </c>
      <c r="C603">
        <f>'1 datos preparados'!B596</f>
        <v/>
      </c>
      <c r="D603" s="7">
        <f>'1 datos preparados'!C596</f>
        <v/>
      </c>
      <c r="E603" s="7">
        <f>'1 datos preparados'!D596</f>
        <v/>
      </c>
      <c r="F603" s="7">
        <f>'1 datos preparados'!E596</f>
        <v/>
      </c>
      <c r="G603" s="7">
        <f>'1 datos preparados'!F596</f>
        <v/>
      </c>
      <c r="H603" s="7">
        <f>'1 datos preparados'!G596</f>
        <v/>
      </c>
      <c r="I603" s="7">
        <f>'1 datos preparados'!H596</f>
        <v/>
      </c>
      <c r="J603" s="7">
        <f>'1 datos preparados'!I596</f>
        <v/>
      </c>
      <c r="K603" s="7">
        <f>'1 datos preparados'!J596</f>
        <v/>
      </c>
      <c r="L603" s="7">
        <f>'1 datos preparados'!K596</f>
        <v/>
      </c>
      <c r="M603" s="7">
        <f>'1 datos preparados'!L596</f>
        <v/>
      </c>
      <c r="N603" s="7">
        <f>'1 datos preparados'!M596</f>
        <v/>
      </c>
      <c r="O603" s="7">
        <f>'1 datos preparados'!N596</f>
        <v/>
      </c>
      <c r="P603" s="7">
        <f>'1 datos preparados'!O596</f>
        <v/>
      </c>
      <c r="Q603" s="7">
        <f>'1 datos preparados'!P596</f>
        <v/>
      </c>
      <c r="R603" s="7">
        <f>'1 datos preparados'!Q596</f>
        <v/>
      </c>
      <c r="S603" s="7">
        <f>'1 datos preparados'!R596</f>
        <v/>
      </c>
      <c r="T603" s="7">
        <f>'1 datos preparados'!S596</f>
        <v/>
      </c>
      <c r="U603" s="7">
        <f>'1 datos preparados'!T596</f>
        <v/>
      </c>
      <c r="V603" s="8">
        <f>$AC$12+D603*$AC$13+E603*$AC$14+F603*$AC$15+G603*$AC$16+H603*$AC$17+I603*$AC$18+J603*$AC$19+K603*$AC$20+L603*$AC$21+M603*$AC$22+N603*$AC$23+O603*$AC$24+P603*$AC$25+Q603*$AC$26+R603*$AC$27+S603*$AC$28+T603*$AC$29+U603*$AC$30</f>
        <v/>
      </c>
      <c r="W603" s="8">
        <f>1/(1+EXP(-V603))</f>
        <v/>
      </c>
      <c r="X603" s="9">
        <f>-IF(C603=1,LN(W603),LN(1-W603))</f>
        <v/>
      </c>
      <c r="Y603" s="10">
        <f>IF(W603&gt;$AC$34,1,0)</f>
        <v/>
      </c>
      <c r="Z603">
        <f>IF(Y603=C603,1,0)</f>
        <v/>
      </c>
    </row>
    <row r="604">
      <c r="A604">
        <f>'1 datos preparados'!A597</f>
        <v/>
      </c>
      <c r="B604" s="5">
        <f>'1 datos preparados'!U597</f>
        <v/>
      </c>
      <c r="C604">
        <f>'1 datos preparados'!B597</f>
        <v/>
      </c>
      <c r="D604" s="7">
        <f>'1 datos preparados'!C597</f>
        <v/>
      </c>
      <c r="E604" s="7">
        <f>'1 datos preparados'!D597</f>
        <v/>
      </c>
      <c r="F604" s="7">
        <f>'1 datos preparados'!E597</f>
        <v/>
      </c>
      <c r="G604" s="7">
        <f>'1 datos preparados'!F597</f>
        <v/>
      </c>
      <c r="H604" s="7">
        <f>'1 datos preparados'!G597</f>
        <v/>
      </c>
      <c r="I604" s="7">
        <f>'1 datos preparados'!H597</f>
        <v/>
      </c>
      <c r="J604" s="7">
        <f>'1 datos preparados'!I597</f>
        <v/>
      </c>
      <c r="K604" s="7">
        <f>'1 datos preparados'!J597</f>
        <v/>
      </c>
      <c r="L604" s="7">
        <f>'1 datos preparados'!K597</f>
        <v/>
      </c>
      <c r="M604" s="7">
        <f>'1 datos preparados'!L597</f>
        <v/>
      </c>
      <c r="N604" s="7">
        <f>'1 datos preparados'!M597</f>
        <v/>
      </c>
      <c r="O604" s="7">
        <f>'1 datos preparados'!N597</f>
        <v/>
      </c>
      <c r="P604" s="7">
        <f>'1 datos preparados'!O597</f>
        <v/>
      </c>
      <c r="Q604" s="7">
        <f>'1 datos preparados'!P597</f>
        <v/>
      </c>
      <c r="R604" s="7">
        <f>'1 datos preparados'!Q597</f>
        <v/>
      </c>
      <c r="S604" s="7">
        <f>'1 datos preparados'!R597</f>
        <v/>
      </c>
      <c r="T604" s="7">
        <f>'1 datos preparados'!S597</f>
        <v/>
      </c>
      <c r="U604" s="7">
        <f>'1 datos preparados'!T597</f>
        <v/>
      </c>
      <c r="V604" s="8">
        <f>$AC$12+D604*$AC$13+E604*$AC$14+F604*$AC$15+G604*$AC$16+H604*$AC$17+I604*$AC$18+J604*$AC$19+K604*$AC$20+L604*$AC$21+M604*$AC$22+N604*$AC$23+O604*$AC$24+P604*$AC$25+Q604*$AC$26+R604*$AC$27+S604*$AC$28+T604*$AC$29+U604*$AC$30</f>
        <v/>
      </c>
      <c r="W604" s="8">
        <f>1/(1+EXP(-V604))</f>
        <v/>
      </c>
      <c r="X604" s="9">
        <f>-IF(C604=1,LN(W604),LN(1-W604))</f>
        <v/>
      </c>
      <c r="Y604" s="10">
        <f>IF(W604&gt;$AC$34,1,0)</f>
        <v/>
      </c>
      <c r="Z604">
        <f>IF(Y604=C604,1,0)</f>
        <v/>
      </c>
    </row>
    <row r="605">
      <c r="A605">
        <f>'1 datos preparados'!A598</f>
        <v/>
      </c>
      <c r="B605" s="5">
        <f>'1 datos preparados'!U598</f>
        <v/>
      </c>
      <c r="C605">
        <f>'1 datos preparados'!B598</f>
        <v/>
      </c>
      <c r="D605" s="7">
        <f>'1 datos preparados'!C598</f>
        <v/>
      </c>
      <c r="E605" s="7">
        <f>'1 datos preparados'!D598</f>
        <v/>
      </c>
      <c r="F605" s="7">
        <f>'1 datos preparados'!E598</f>
        <v/>
      </c>
      <c r="G605" s="7">
        <f>'1 datos preparados'!F598</f>
        <v/>
      </c>
      <c r="H605" s="7">
        <f>'1 datos preparados'!G598</f>
        <v/>
      </c>
      <c r="I605" s="7">
        <f>'1 datos preparados'!H598</f>
        <v/>
      </c>
      <c r="J605" s="7">
        <f>'1 datos preparados'!I598</f>
        <v/>
      </c>
      <c r="K605" s="7">
        <f>'1 datos preparados'!J598</f>
        <v/>
      </c>
      <c r="L605" s="7">
        <f>'1 datos preparados'!K598</f>
        <v/>
      </c>
      <c r="M605" s="7">
        <f>'1 datos preparados'!L598</f>
        <v/>
      </c>
      <c r="N605" s="7">
        <f>'1 datos preparados'!M598</f>
        <v/>
      </c>
      <c r="O605" s="7">
        <f>'1 datos preparados'!N598</f>
        <v/>
      </c>
      <c r="P605" s="7">
        <f>'1 datos preparados'!O598</f>
        <v/>
      </c>
      <c r="Q605" s="7">
        <f>'1 datos preparados'!P598</f>
        <v/>
      </c>
      <c r="R605" s="7">
        <f>'1 datos preparados'!Q598</f>
        <v/>
      </c>
      <c r="S605" s="7">
        <f>'1 datos preparados'!R598</f>
        <v/>
      </c>
      <c r="T605" s="7">
        <f>'1 datos preparados'!S598</f>
        <v/>
      </c>
      <c r="U605" s="7">
        <f>'1 datos preparados'!T598</f>
        <v/>
      </c>
      <c r="V605" s="8">
        <f>$AC$12+D605*$AC$13+E605*$AC$14+F605*$AC$15+G605*$AC$16+H605*$AC$17+I605*$AC$18+J605*$AC$19+K605*$AC$20+L605*$AC$21+M605*$AC$22+N605*$AC$23+O605*$AC$24+P605*$AC$25+Q605*$AC$26+R605*$AC$27+S605*$AC$28+T605*$AC$29+U605*$AC$30</f>
        <v/>
      </c>
      <c r="W605" s="8">
        <f>1/(1+EXP(-V605))</f>
        <v/>
      </c>
      <c r="X605" s="9">
        <f>-IF(C605=1,LN(W605),LN(1-W605))</f>
        <v/>
      </c>
      <c r="Y605" s="10">
        <f>IF(W605&gt;$AC$34,1,0)</f>
        <v/>
      </c>
      <c r="Z605">
        <f>IF(Y605=C605,1,0)</f>
        <v/>
      </c>
    </row>
    <row r="606">
      <c r="A606">
        <f>'1 datos preparados'!A599</f>
        <v/>
      </c>
      <c r="B606" s="5">
        <f>'1 datos preparados'!U599</f>
        <v/>
      </c>
      <c r="C606">
        <f>'1 datos preparados'!B599</f>
        <v/>
      </c>
      <c r="D606" s="7">
        <f>'1 datos preparados'!C599</f>
        <v/>
      </c>
      <c r="E606" s="7">
        <f>'1 datos preparados'!D599</f>
        <v/>
      </c>
      <c r="F606" s="7">
        <f>'1 datos preparados'!E599</f>
        <v/>
      </c>
      <c r="G606" s="7">
        <f>'1 datos preparados'!F599</f>
        <v/>
      </c>
      <c r="H606" s="7">
        <f>'1 datos preparados'!G599</f>
        <v/>
      </c>
      <c r="I606" s="7">
        <f>'1 datos preparados'!H599</f>
        <v/>
      </c>
      <c r="J606" s="7">
        <f>'1 datos preparados'!I599</f>
        <v/>
      </c>
      <c r="K606" s="7">
        <f>'1 datos preparados'!J599</f>
        <v/>
      </c>
      <c r="L606" s="7">
        <f>'1 datos preparados'!K599</f>
        <v/>
      </c>
      <c r="M606" s="7">
        <f>'1 datos preparados'!L599</f>
        <v/>
      </c>
      <c r="N606" s="7">
        <f>'1 datos preparados'!M599</f>
        <v/>
      </c>
      <c r="O606" s="7">
        <f>'1 datos preparados'!N599</f>
        <v/>
      </c>
      <c r="P606" s="7">
        <f>'1 datos preparados'!O599</f>
        <v/>
      </c>
      <c r="Q606" s="7">
        <f>'1 datos preparados'!P599</f>
        <v/>
      </c>
      <c r="R606" s="7">
        <f>'1 datos preparados'!Q599</f>
        <v/>
      </c>
      <c r="S606" s="7">
        <f>'1 datos preparados'!R599</f>
        <v/>
      </c>
      <c r="T606" s="7">
        <f>'1 datos preparados'!S599</f>
        <v/>
      </c>
      <c r="U606" s="7">
        <f>'1 datos preparados'!T599</f>
        <v/>
      </c>
      <c r="V606" s="8">
        <f>$AC$12+D606*$AC$13+E606*$AC$14+F606*$AC$15+G606*$AC$16+H606*$AC$17+I606*$AC$18+J606*$AC$19+K606*$AC$20+L606*$AC$21+M606*$AC$22+N606*$AC$23+O606*$AC$24+P606*$AC$25+Q606*$AC$26+R606*$AC$27+S606*$AC$28+T606*$AC$29+U606*$AC$30</f>
        <v/>
      </c>
      <c r="W606" s="8">
        <f>1/(1+EXP(-V606))</f>
        <v/>
      </c>
      <c r="X606" s="9">
        <f>-IF(C606=1,LN(W606),LN(1-W606))</f>
        <v/>
      </c>
      <c r="Y606" s="10">
        <f>IF(W606&gt;$AC$34,1,0)</f>
        <v/>
      </c>
      <c r="Z606">
        <f>IF(Y606=C606,1,0)</f>
        <v/>
      </c>
    </row>
    <row r="607">
      <c r="A607">
        <f>'1 datos preparados'!A600</f>
        <v/>
      </c>
      <c r="B607" s="5">
        <f>'1 datos preparados'!U600</f>
        <v/>
      </c>
      <c r="C607">
        <f>'1 datos preparados'!B600</f>
        <v/>
      </c>
      <c r="D607" s="7">
        <f>'1 datos preparados'!C600</f>
        <v/>
      </c>
      <c r="E607" s="7">
        <f>'1 datos preparados'!D600</f>
        <v/>
      </c>
      <c r="F607" s="7">
        <f>'1 datos preparados'!E600</f>
        <v/>
      </c>
      <c r="G607" s="7">
        <f>'1 datos preparados'!F600</f>
        <v/>
      </c>
      <c r="H607" s="7">
        <f>'1 datos preparados'!G600</f>
        <v/>
      </c>
      <c r="I607" s="7">
        <f>'1 datos preparados'!H600</f>
        <v/>
      </c>
      <c r="J607" s="7">
        <f>'1 datos preparados'!I600</f>
        <v/>
      </c>
      <c r="K607" s="7">
        <f>'1 datos preparados'!J600</f>
        <v/>
      </c>
      <c r="L607" s="7">
        <f>'1 datos preparados'!K600</f>
        <v/>
      </c>
      <c r="M607" s="7">
        <f>'1 datos preparados'!L600</f>
        <v/>
      </c>
      <c r="N607" s="7">
        <f>'1 datos preparados'!M600</f>
        <v/>
      </c>
      <c r="O607" s="7">
        <f>'1 datos preparados'!N600</f>
        <v/>
      </c>
      <c r="P607" s="7">
        <f>'1 datos preparados'!O600</f>
        <v/>
      </c>
      <c r="Q607" s="7">
        <f>'1 datos preparados'!P600</f>
        <v/>
      </c>
      <c r="R607" s="7">
        <f>'1 datos preparados'!Q600</f>
        <v/>
      </c>
      <c r="S607" s="7">
        <f>'1 datos preparados'!R600</f>
        <v/>
      </c>
      <c r="T607" s="7">
        <f>'1 datos preparados'!S600</f>
        <v/>
      </c>
      <c r="U607" s="7">
        <f>'1 datos preparados'!T600</f>
        <v/>
      </c>
      <c r="V607" s="8">
        <f>$AC$12+D607*$AC$13+E607*$AC$14+F607*$AC$15+G607*$AC$16+H607*$AC$17+I607*$AC$18+J607*$AC$19+K607*$AC$20+L607*$AC$21+M607*$AC$22+N607*$AC$23+O607*$AC$24+P607*$AC$25+Q607*$AC$26+R607*$AC$27+S607*$AC$28+T607*$AC$29+U607*$AC$30</f>
        <v/>
      </c>
      <c r="W607" s="8">
        <f>1/(1+EXP(-V607))</f>
        <v/>
      </c>
      <c r="X607" s="9">
        <f>-IF(C607=1,LN(W607),LN(1-W607))</f>
        <v/>
      </c>
      <c r="Y607" s="10">
        <f>IF(W607&gt;$AC$34,1,0)</f>
        <v/>
      </c>
      <c r="Z607">
        <f>IF(Y607=C607,1,0)</f>
        <v/>
      </c>
    </row>
    <row r="608">
      <c r="A608">
        <f>'1 datos preparados'!A601</f>
        <v/>
      </c>
      <c r="B608" s="5">
        <f>'1 datos preparados'!U601</f>
        <v/>
      </c>
      <c r="C608">
        <f>'1 datos preparados'!B601</f>
        <v/>
      </c>
      <c r="D608" s="7">
        <f>'1 datos preparados'!C601</f>
        <v/>
      </c>
      <c r="E608" s="7">
        <f>'1 datos preparados'!D601</f>
        <v/>
      </c>
      <c r="F608" s="7">
        <f>'1 datos preparados'!E601</f>
        <v/>
      </c>
      <c r="G608" s="7">
        <f>'1 datos preparados'!F601</f>
        <v/>
      </c>
      <c r="H608" s="7">
        <f>'1 datos preparados'!G601</f>
        <v/>
      </c>
      <c r="I608" s="7">
        <f>'1 datos preparados'!H601</f>
        <v/>
      </c>
      <c r="J608" s="7">
        <f>'1 datos preparados'!I601</f>
        <v/>
      </c>
      <c r="K608" s="7">
        <f>'1 datos preparados'!J601</f>
        <v/>
      </c>
      <c r="L608" s="7">
        <f>'1 datos preparados'!K601</f>
        <v/>
      </c>
      <c r="M608" s="7">
        <f>'1 datos preparados'!L601</f>
        <v/>
      </c>
      <c r="N608" s="7">
        <f>'1 datos preparados'!M601</f>
        <v/>
      </c>
      <c r="O608" s="7">
        <f>'1 datos preparados'!N601</f>
        <v/>
      </c>
      <c r="P608" s="7">
        <f>'1 datos preparados'!O601</f>
        <v/>
      </c>
      <c r="Q608" s="7">
        <f>'1 datos preparados'!P601</f>
        <v/>
      </c>
      <c r="R608" s="7">
        <f>'1 datos preparados'!Q601</f>
        <v/>
      </c>
      <c r="S608" s="7">
        <f>'1 datos preparados'!R601</f>
        <v/>
      </c>
      <c r="T608" s="7">
        <f>'1 datos preparados'!S601</f>
        <v/>
      </c>
      <c r="U608" s="7">
        <f>'1 datos preparados'!T601</f>
        <v/>
      </c>
      <c r="V608" s="8">
        <f>$AC$12+D608*$AC$13+E608*$AC$14+F608*$AC$15+G608*$AC$16+H608*$AC$17+I608*$AC$18+J608*$AC$19+K608*$AC$20+L608*$AC$21+M608*$AC$22+N608*$AC$23+O608*$AC$24+P608*$AC$25+Q608*$AC$26+R608*$AC$27+S608*$AC$28+T608*$AC$29+U608*$AC$30</f>
        <v/>
      </c>
      <c r="W608" s="8">
        <f>1/(1+EXP(-V608))</f>
        <v/>
      </c>
      <c r="X608" s="9">
        <f>-IF(C608=1,LN(W608),LN(1-W608))</f>
        <v/>
      </c>
      <c r="Y608" s="10">
        <f>IF(W608&gt;$AC$34,1,0)</f>
        <v/>
      </c>
      <c r="Z608">
        <f>IF(Y608=C608,1,0)</f>
        <v/>
      </c>
    </row>
    <row r="609">
      <c r="A609">
        <f>'1 datos preparados'!A602</f>
        <v/>
      </c>
      <c r="B609" s="5">
        <f>'1 datos preparados'!U602</f>
        <v/>
      </c>
      <c r="C609">
        <f>'1 datos preparados'!B602</f>
        <v/>
      </c>
      <c r="D609" s="7">
        <f>'1 datos preparados'!C602</f>
        <v/>
      </c>
      <c r="E609" s="7">
        <f>'1 datos preparados'!D602</f>
        <v/>
      </c>
      <c r="F609" s="7">
        <f>'1 datos preparados'!E602</f>
        <v/>
      </c>
      <c r="G609" s="7">
        <f>'1 datos preparados'!F602</f>
        <v/>
      </c>
      <c r="H609" s="7">
        <f>'1 datos preparados'!G602</f>
        <v/>
      </c>
      <c r="I609" s="7">
        <f>'1 datos preparados'!H602</f>
        <v/>
      </c>
      <c r="J609" s="7">
        <f>'1 datos preparados'!I602</f>
        <v/>
      </c>
      <c r="K609" s="7">
        <f>'1 datos preparados'!J602</f>
        <v/>
      </c>
      <c r="L609" s="7">
        <f>'1 datos preparados'!K602</f>
        <v/>
      </c>
      <c r="M609" s="7">
        <f>'1 datos preparados'!L602</f>
        <v/>
      </c>
      <c r="N609" s="7">
        <f>'1 datos preparados'!M602</f>
        <v/>
      </c>
      <c r="O609" s="7">
        <f>'1 datos preparados'!N602</f>
        <v/>
      </c>
      <c r="P609" s="7">
        <f>'1 datos preparados'!O602</f>
        <v/>
      </c>
      <c r="Q609" s="7">
        <f>'1 datos preparados'!P602</f>
        <v/>
      </c>
      <c r="R609" s="7">
        <f>'1 datos preparados'!Q602</f>
        <v/>
      </c>
      <c r="S609" s="7">
        <f>'1 datos preparados'!R602</f>
        <v/>
      </c>
      <c r="T609" s="7">
        <f>'1 datos preparados'!S602</f>
        <v/>
      </c>
      <c r="U609" s="7">
        <f>'1 datos preparados'!T602</f>
        <v/>
      </c>
      <c r="V609" s="8">
        <f>$AC$12+D609*$AC$13+E609*$AC$14+F609*$AC$15+G609*$AC$16+H609*$AC$17+I609*$AC$18+J609*$AC$19+K609*$AC$20+L609*$AC$21+M609*$AC$22+N609*$AC$23+O609*$AC$24+P609*$AC$25+Q609*$AC$26+R609*$AC$27+S609*$AC$28+T609*$AC$29+U609*$AC$30</f>
        <v/>
      </c>
      <c r="W609" s="8">
        <f>1/(1+EXP(-V609))</f>
        <v/>
      </c>
      <c r="X609" s="9">
        <f>-IF(C609=1,LN(W609),LN(1-W609))</f>
        <v/>
      </c>
      <c r="Y609" s="10">
        <f>IF(W609&gt;$AC$34,1,0)</f>
        <v/>
      </c>
      <c r="Z609">
        <f>IF(Y609=C609,1,0)</f>
        <v/>
      </c>
    </row>
    <row r="610">
      <c r="A610">
        <f>'1 datos preparados'!A603</f>
        <v/>
      </c>
      <c r="B610" s="5">
        <f>'1 datos preparados'!U603</f>
        <v/>
      </c>
      <c r="C610">
        <f>'1 datos preparados'!B603</f>
        <v/>
      </c>
      <c r="D610" s="7">
        <f>'1 datos preparados'!C603</f>
        <v/>
      </c>
      <c r="E610" s="7">
        <f>'1 datos preparados'!D603</f>
        <v/>
      </c>
      <c r="F610" s="7">
        <f>'1 datos preparados'!E603</f>
        <v/>
      </c>
      <c r="G610" s="7">
        <f>'1 datos preparados'!F603</f>
        <v/>
      </c>
      <c r="H610" s="7">
        <f>'1 datos preparados'!G603</f>
        <v/>
      </c>
      <c r="I610" s="7">
        <f>'1 datos preparados'!H603</f>
        <v/>
      </c>
      <c r="J610" s="7">
        <f>'1 datos preparados'!I603</f>
        <v/>
      </c>
      <c r="K610" s="7">
        <f>'1 datos preparados'!J603</f>
        <v/>
      </c>
      <c r="L610" s="7">
        <f>'1 datos preparados'!K603</f>
        <v/>
      </c>
      <c r="M610" s="7">
        <f>'1 datos preparados'!L603</f>
        <v/>
      </c>
      <c r="N610" s="7">
        <f>'1 datos preparados'!M603</f>
        <v/>
      </c>
      <c r="O610" s="7">
        <f>'1 datos preparados'!N603</f>
        <v/>
      </c>
      <c r="P610" s="7">
        <f>'1 datos preparados'!O603</f>
        <v/>
      </c>
      <c r="Q610" s="7">
        <f>'1 datos preparados'!P603</f>
        <v/>
      </c>
      <c r="R610" s="7">
        <f>'1 datos preparados'!Q603</f>
        <v/>
      </c>
      <c r="S610" s="7">
        <f>'1 datos preparados'!R603</f>
        <v/>
      </c>
      <c r="T610" s="7">
        <f>'1 datos preparados'!S603</f>
        <v/>
      </c>
      <c r="U610" s="7">
        <f>'1 datos preparados'!T603</f>
        <v/>
      </c>
      <c r="V610" s="8">
        <f>$AC$12+D610*$AC$13+E610*$AC$14+F610*$AC$15+G610*$AC$16+H610*$AC$17+I610*$AC$18+J610*$AC$19+K610*$AC$20+L610*$AC$21+M610*$AC$22+N610*$AC$23+O610*$AC$24+P610*$AC$25+Q610*$AC$26+R610*$AC$27+S610*$AC$28+T610*$AC$29+U610*$AC$30</f>
        <v/>
      </c>
      <c r="W610" s="8">
        <f>1/(1+EXP(-V610))</f>
        <v/>
      </c>
      <c r="X610" s="9">
        <f>-IF(C610=1,LN(W610),LN(1-W610))</f>
        <v/>
      </c>
      <c r="Y610" s="10">
        <f>IF(W610&gt;$AC$34,1,0)</f>
        <v/>
      </c>
      <c r="Z610">
        <f>IF(Y610=C610,1,0)</f>
        <v/>
      </c>
    </row>
    <row r="611">
      <c r="A611">
        <f>'1 datos preparados'!A604</f>
        <v/>
      </c>
      <c r="B611" s="5">
        <f>'1 datos preparados'!U604</f>
        <v/>
      </c>
      <c r="C611">
        <f>'1 datos preparados'!B604</f>
        <v/>
      </c>
      <c r="D611" s="7">
        <f>'1 datos preparados'!C604</f>
        <v/>
      </c>
      <c r="E611" s="7">
        <f>'1 datos preparados'!D604</f>
        <v/>
      </c>
      <c r="F611" s="7">
        <f>'1 datos preparados'!E604</f>
        <v/>
      </c>
      <c r="G611" s="7">
        <f>'1 datos preparados'!F604</f>
        <v/>
      </c>
      <c r="H611" s="7">
        <f>'1 datos preparados'!G604</f>
        <v/>
      </c>
      <c r="I611" s="7">
        <f>'1 datos preparados'!H604</f>
        <v/>
      </c>
      <c r="J611" s="7">
        <f>'1 datos preparados'!I604</f>
        <v/>
      </c>
      <c r="K611" s="7">
        <f>'1 datos preparados'!J604</f>
        <v/>
      </c>
      <c r="L611" s="7">
        <f>'1 datos preparados'!K604</f>
        <v/>
      </c>
      <c r="M611" s="7">
        <f>'1 datos preparados'!L604</f>
        <v/>
      </c>
      <c r="N611" s="7">
        <f>'1 datos preparados'!M604</f>
        <v/>
      </c>
      <c r="O611" s="7">
        <f>'1 datos preparados'!N604</f>
        <v/>
      </c>
      <c r="P611" s="7">
        <f>'1 datos preparados'!O604</f>
        <v/>
      </c>
      <c r="Q611" s="7">
        <f>'1 datos preparados'!P604</f>
        <v/>
      </c>
      <c r="R611" s="7">
        <f>'1 datos preparados'!Q604</f>
        <v/>
      </c>
      <c r="S611" s="7">
        <f>'1 datos preparados'!R604</f>
        <v/>
      </c>
      <c r="T611" s="7">
        <f>'1 datos preparados'!S604</f>
        <v/>
      </c>
      <c r="U611" s="7">
        <f>'1 datos preparados'!T604</f>
        <v/>
      </c>
      <c r="V611" s="8">
        <f>$AC$12+D611*$AC$13+E611*$AC$14+F611*$AC$15+G611*$AC$16+H611*$AC$17+I611*$AC$18+J611*$AC$19+K611*$AC$20+L611*$AC$21+M611*$AC$22+N611*$AC$23+O611*$AC$24+P611*$AC$25+Q611*$AC$26+R611*$AC$27+S611*$AC$28+T611*$AC$29+U611*$AC$30</f>
        <v/>
      </c>
      <c r="W611" s="8">
        <f>1/(1+EXP(-V611))</f>
        <v/>
      </c>
      <c r="X611" s="9">
        <f>-IF(C611=1,LN(W611),LN(1-W611))</f>
        <v/>
      </c>
      <c r="Y611" s="10">
        <f>IF(W611&gt;$AC$34,1,0)</f>
        <v/>
      </c>
      <c r="Z611">
        <f>IF(Y611=C611,1,0)</f>
        <v/>
      </c>
    </row>
    <row r="612">
      <c r="A612">
        <f>'1 datos preparados'!A605</f>
        <v/>
      </c>
      <c r="B612" s="5">
        <f>'1 datos preparados'!U605</f>
        <v/>
      </c>
      <c r="C612">
        <f>'1 datos preparados'!B605</f>
        <v/>
      </c>
      <c r="D612" s="7">
        <f>'1 datos preparados'!C605</f>
        <v/>
      </c>
      <c r="E612" s="7">
        <f>'1 datos preparados'!D605</f>
        <v/>
      </c>
      <c r="F612" s="7">
        <f>'1 datos preparados'!E605</f>
        <v/>
      </c>
      <c r="G612" s="7">
        <f>'1 datos preparados'!F605</f>
        <v/>
      </c>
      <c r="H612" s="7">
        <f>'1 datos preparados'!G605</f>
        <v/>
      </c>
      <c r="I612" s="7">
        <f>'1 datos preparados'!H605</f>
        <v/>
      </c>
      <c r="J612" s="7">
        <f>'1 datos preparados'!I605</f>
        <v/>
      </c>
      <c r="K612" s="7">
        <f>'1 datos preparados'!J605</f>
        <v/>
      </c>
      <c r="L612" s="7">
        <f>'1 datos preparados'!K605</f>
        <v/>
      </c>
      <c r="M612" s="7">
        <f>'1 datos preparados'!L605</f>
        <v/>
      </c>
      <c r="N612" s="7">
        <f>'1 datos preparados'!M605</f>
        <v/>
      </c>
      <c r="O612" s="7">
        <f>'1 datos preparados'!N605</f>
        <v/>
      </c>
      <c r="P612" s="7">
        <f>'1 datos preparados'!O605</f>
        <v/>
      </c>
      <c r="Q612" s="7">
        <f>'1 datos preparados'!P605</f>
        <v/>
      </c>
      <c r="R612" s="7">
        <f>'1 datos preparados'!Q605</f>
        <v/>
      </c>
      <c r="S612" s="7">
        <f>'1 datos preparados'!R605</f>
        <v/>
      </c>
      <c r="T612" s="7">
        <f>'1 datos preparados'!S605</f>
        <v/>
      </c>
      <c r="U612" s="7">
        <f>'1 datos preparados'!T605</f>
        <v/>
      </c>
      <c r="V612" s="8">
        <f>$AC$12+D612*$AC$13+E612*$AC$14+F612*$AC$15+G612*$AC$16+H612*$AC$17+I612*$AC$18+J612*$AC$19+K612*$AC$20+L612*$AC$21+M612*$AC$22+N612*$AC$23+O612*$AC$24+P612*$AC$25+Q612*$AC$26+R612*$AC$27+S612*$AC$28+T612*$AC$29+U612*$AC$30</f>
        <v/>
      </c>
      <c r="W612" s="8">
        <f>1/(1+EXP(-V612))</f>
        <v/>
      </c>
      <c r="X612" s="9">
        <f>-IF(C612=1,LN(W612),LN(1-W612))</f>
        <v/>
      </c>
      <c r="Y612" s="10">
        <f>IF(W612&gt;$AC$34,1,0)</f>
        <v/>
      </c>
      <c r="Z612">
        <f>IF(Y612=C612,1,0)</f>
        <v/>
      </c>
    </row>
    <row r="613">
      <c r="A613">
        <f>'1 datos preparados'!A606</f>
        <v/>
      </c>
      <c r="B613" s="5">
        <f>'1 datos preparados'!U606</f>
        <v/>
      </c>
      <c r="C613">
        <f>'1 datos preparados'!B606</f>
        <v/>
      </c>
      <c r="D613" s="7">
        <f>'1 datos preparados'!C606</f>
        <v/>
      </c>
      <c r="E613" s="7">
        <f>'1 datos preparados'!D606</f>
        <v/>
      </c>
      <c r="F613" s="7">
        <f>'1 datos preparados'!E606</f>
        <v/>
      </c>
      <c r="G613" s="7">
        <f>'1 datos preparados'!F606</f>
        <v/>
      </c>
      <c r="H613" s="7">
        <f>'1 datos preparados'!G606</f>
        <v/>
      </c>
      <c r="I613" s="7">
        <f>'1 datos preparados'!H606</f>
        <v/>
      </c>
      <c r="J613" s="7">
        <f>'1 datos preparados'!I606</f>
        <v/>
      </c>
      <c r="K613" s="7">
        <f>'1 datos preparados'!J606</f>
        <v/>
      </c>
      <c r="L613" s="7">
        <f>'1 datos preparados'!K606</f>
        <v/>
      </c>
      <c r="M613" s="7">
        <f>'1 datos preparados'!L606</f>
        <v/>
      </c>
      <c r="N613" s="7">
        <f>'1 datos preparados'!M606</f>
        <v/>
      </c>
      <c r="O613" s="7">
        <f>'1 datos preparados'!N606</f>
        <v/>
      </c>
      <c r="P613" s="7">
        <f>'1 datos preparados'!O606</f>
        <v/>
      </c>
      <c r="Q613" s="7">
        <f>'1 datos preparados'!P606</f>
        <v/>
      </c>
      <c r="R613" s="7">
        <f>'1 datos preparados'!Q606</f>
        <v/>
      </c>
      <c r="S613" s="7">
        <f>'1 datos preparados'!R606</f>
        <v/>
      </c>
      <c r="T613" s="7">
        <f>'1 datos preparados'!S606</f>
        <v/>
      </c>
      <c r="U613" s="7">
        <f>'1 datos preparados'!T606</f>
        <v/>
      </c>
      <c r="V613" s="8">
        <f>$AC$12+D613*$AC$13+E613*$AC$14+F613*$AC$15+G613*$AC$16+H613*$AC$17+I613*$AC$18+J613*$AC$19+K613*$AC$20+L613*$AC$21+M613*$AC$22+N613*$AC$23+O613*$AC$24+P613*$AC$25+Q613*$AC$26+R613*$AC$27+S613*$AC$28+T613*$AC$29+U613*$AC$30</f>
        <v/>
      </c>
      <c r="W613" s="8">
        <f>1/(1+EXP(-V613))</f>
        <v/>
      </c>
      <c r="X613" s="9">
        <f>-IF(C613=1,LN(W613),LN(1-W613))</f>
        <v/>
      </c>
      <c r="Y613" s="10">
        <f>IF(W613&gt;$AC$34,1,0)</f>
        <v/>
      </c>
      <c r="Z613">
        <f>IF(Y613=C613,1,0)</f>
        <v/>
      </c>
    </row>
    <row r="614">
      <c r="A614">
        <f>'1 datos preparados'!A607</f>
        <v/>
      </c>
      <c r="B614" s="5">
        <f>'1 datos preparados'!U607</f>
        <v/>
      </c>
      <c r="C614">
        <f>'1 datos preparados'!B607</f>
        <v/>
      </c>
      <c r="D614" s="7">
        <f>'1 datos preparados'!C607</f>
        <v/>
      </c>
      <c r="E614" s="7">
        <f>'1 datos preparados'!D607</f>
        <v/>
      </c>
      <c r="F614" s="7">
        <f>'1 datos preparados'!E607</f>
        <v/>
      </c>
      <c r="G614" s="7">
        <f>'1 datos preparados'!F607</f>
        <v/>
      </c>
      <c r="H614" s="7">
        <f>'1 datos preparados'!G607</f>
        <v/>
      </c>
      <c r="I614" s="7">
        <f>'1 datos preparados'!H607</f>
        <v/>
      </c>
      <c r="J614" s="7">
        <f>'1 datos preparados'!I607</f>
        <v/>
      </c>
      <c r="K614" s="7">
        <f>'1 datos preparados'!J607</f>
        <v/>
      </c>
      <c r="L614" s="7">
        <f>'1 datos preparados'!K607</f>
        <v/>
      </c>
      <c r="M614" s="7">
        <f>'1 datos preparados'!L607</f>
        <v/>
      </c>
      <c r="N614" s="7">
        <f>'1 datos preparados'!M607</f>
        <v/>
      </c>
      <c r="O614" s="7">
        <f>'1 datos preparados'!N607</f>
        <v/>
      </c>
      <c r="P614" s="7">
        <f>'1 datos preparados'!O607</f>
        <v/>
      </c>
      <c r="Q614" s="7">
        <f>'1 datos preparados'!P607</f>
        <v/>
      </c>
      <c r="R614" s="7">
        <f>'1 datos preparados'!Q607</f>
        <v/>
      </c>
      <c r="S614" s="7">
        <f>'1 datos preparados'!R607</f>
        <v/>
      </c>
      <c r="T614" s="7">
        <f>'1 datos preparados'!S607</f>
        <v/>
      </c>
      <c r="U614" s="7">
        <f>'1 datos preparados'!T607</f>
        <v/>
      </c>
      <c r="V614" s="8">
        <f>$AC$12+D614*$AC$13+E614*$AC$14+F614*$AC$15+G614*$AC$16+H614*$AC$17+I614*$AC$18+J614*$AC$19+K614*$AC$20+L614*$AC$21+M614*$AC$22+N614*$AC$23+O614*$AC$24+P614*$AC$25+Q614*$AC$26+R614*$AC$27+S614*$AC$28+T614*$AC$29+U614*$AC$30</f>
        <v/>
      </c>
      <c r="W614" s="8">
        <f>1/(1+EXP(-V614))</f>
        <v/>
      </c>
      <c r="X614" s="9">
        <f>-IF(C614=1,LN(W614),LN(1-W614))</f>
        <v/>
      </c>
      <c r="Y614" s="10">
        <f>IF(W614&gt;$AC$34,1,0)</f>
        <v/>
      </c>
      <c r="Z614">
        <f>IF(Y614=C614,1,0)</f>
        <v/>
      </c>
    </row>
    <row r="615">
      <c r="A615">
        <f>'1 datos preparados'!A608</f>
        <v/>
      </c>
      <c r="B615" s="5">
        <f>'1 datos preparados'!U608</f>
        <v/>
      </c>
      <c r="C615">
        <f>'1 datos preparados'!B608</f>
        <v/>
      </c>
      <c r="D615" s="7">
        <f>'1 datos preparados'!C608</f>
        <v/>
      </c>
      <c r="E615" s="7">
        <f>'1 datos preparados'!D608</f>
        <v/>
      </c>
      <c r="F615" s="7">
        <f>'1 datos preparados'!E608</f>
        <v/>
      </c>
      <c r="G615" s="7">
        <f>'1 datos preparados'!F608</f>
        <v/>
      </c>
      <c r="H615" s="7">
        <f>'1 datos preparados'!G608</f>
        <v/>
      </c>
      <c r="I615" s="7">
        <f>'1 datos preparados'!H608</f>
        <v/>
      </c>
      <c r="J615" s="7">
        <f>'1 datos preparados'!I608</f>
        <v/>
      </c>
      <c r="K615" s="7">
        <f>'1 datos preparados'!J608</f>
        <v/>
      </c>
      <c r="L615" s="7">
        <f>'1 datos preparados'!K608</f>
        <v/>
      </c>
      <c r="M615" s="7">
        <f>'1 datos preparados'!L608</f>
        <v/>
      </c>
      <c r="N615" s="7">
        <f>'1 datos preparados'!M608</f>
        <v/>
      </c>
      <c r="O615" s="7">
        <f>'1 datos preparados'!N608</f>
        <v/>
      </c>
      <c r="P615" s="7">
        <f>'1 datos preparados'!O608</f>
        <v/>
      </c>
      <c r="Q615" s="7">
        <f>'1 datos preparados'!P608</f>
        <v/>
      </c>
      <c r="R615" s="7">
        <f>'1 datos preparados'!Q608</f>
        <v/>
      </c>
      <c r="S615" s="7">
        <f>'1 datos preparados'!R608</f>
        <v/>
      </c>
      <c r="T615" s="7">
        <f>'1 datos preparados'!S608</f>
        <v/>
      </c>
      <c r="U615" s="7">
        <f>'1 datos preparados'!T608</f>
        <v/>
      </c>
      <c r="V615" s="8">
        <f>$AC$12+D615*$AC$13+E615*$AC$14+F615*$AC$15+G615*$AC$16+H615*$AC$17+I615*$AC$18+J615*$AC$19+K615*$AC$20+L615*$AC$21+M615*$AC$22+N615*$AC$23+O615*$AC$24+P615*$AC$25+Q615*$AC$26+R615*$AC$27+S615*$AC$28+T615*$AC$29+U615*$AC$30</f>
        <v/>
      </c>
      <c r="W615" s="8">
        <f>1/(1+EXP(-V615))</f>
        <v/>
      </c>
      <c r="X615" s="9">
        <f>-IF(C615=1,LN(W615),LN(1-W615))</f>
        <v/>
      </c>
      <c r="Y615" s="10">
        <f>IF(W615&gt;$AC$34,1,0)</f>
        <v/>
      </c>
      <c r="Z615">
        <f>IF(Y615=C615,1,0)</f>
        <v/>
      </c>
    </row>
    <row r="616">
      <c r="A616">
        <f>'1 datos preparados'!A609</f>
        <v/>
      </c>
      <c r="B616" s="5">
        <f>'1 datos preparados'!U609</f>
        <v/>
      </c>
      <c r="C616">
        <f>'1 datos preparados'!B609</f>
        <v/>
      </c>
      <c r="D616" s="7">
        <f>'1 datos preparados'!C609</f>
        <v/>
      </c>
      <c r="E616" s="7">
        <f>'1 datos preparados'!D609</f>
        <v/>
      </c>
      <c r="F616" s="7">
        <f>'1 datos preparados'!E609</f>
        <v/>
      </c>
      <c r="G616" s="7">
        <f>'1 datos preparados'!F609</f>
        <v/>
      </c>
      <c r="H616" s="7">
        <f>'1 datos preparados'!G609</f>
        <v/>
      </c>
      <c r="I616" s="7">
        <f>'1 datos preparados'!H609</f>
        <v/>
      </c>
      <c r="J616" s="7">
        <f>'1 datos preparados'!I609</f>
        <v/>
      </c>
      <c r="K616" s="7">
        <f>'1 datos preparados'!J609</f>
        <v/>
      </c>
      <c r="L616" s="7">
        <f>'1 datos preparados'!K609</f>
        <v/>
      </c>
      <c r="M616" s="7">
        <f>'1 datos preparados'!L609</f>
        <v/>
      </c>
      <c r="N616" s="7">
        <f>'1 datos preparados'!M609</f>
        <v/>
      </c>
      <c r="O616" s="7">
        <f>'1 datos preparados'!N609</f>
        <v/>
      </c>
      <c r="P616" s="7">
        <f>'1 datos preparados'!O609</f>
        <v/>
      </c>
      <c r="Q616" s="7">
        <f>'1 datos preparados'!P609</f>
        <v/>
      </c>
      <c r="R616" s="7">
        <f>'1 datos preparados'!Q609</f>
        <v/>
      </c>
      <c r="S616" s="7">
        <f>'1 datos preparados'!R609</f>
        <v/>
      </c>
      <c r="T616" s="7">
        <f>'1 datos preparados'!S609</f>
        <v/>
      </c>
      <c r="U616" s="7">
        <f>'1 datos preparados'!T609</f>
        <v/>
      </c>
      <c r="V616" s="8">
        <f>$AC$12+D616*$AC$13+E616*$AC$14+F616*$AC$15+G616*$AC$16+H616*$AC$17+I616*$AC$18+J616*$AC$19+K616*$AC$20+L616*$AC$21+M616*$AC$22+N616*$AC$23+O616*$AC$24+P616*$AC$25+Q616*$AC$26+R616*$AC$27+S616*$AC$28+T616*$AC$29+U616*$AC$30</f>
        <v/>
      </c>
      <c r="W616" s="8">
        <f>1/(1+EXP(-V616))</f>
        <v/>
      </c>
      <c r="X616" s="9">
        <f>-IF(C616=1,LN(W616),LN(1-W616))</f>
        <v/>
      </c>
      <c r="Y616" s="10">
        <f>IF(W616&gt;$AC$34,1,0)</f>
        <v/>
      </c>
      <c r="Z616">
        <f>IF(Y616=C616,1,0)</f>
        <v/>
      </c>
    </row>
    <row r="617">
      <c r="A617">
        <f>'1 datos preparados'!A610</f>
        <v/>
      </c>
      <c r="B617" s="5">
        <f>'1 datos preparados'!U610</f>
        <v/>
      </c>
      <c r="C617">
        <f>'1 datos preparados'!B610</f>
        <v/>
      </c>
      <c r="D617" s="7">
        <f>'1 datos preparados'!C610</f>
        <v/>
      </c>
      <c r="E617" s="7">
        <f>'1 datos preparados'!D610</f>
        <v/>
      </c>
      <c r="F617" s="7">
        <f>'1 datos preparados'!E610</f>
        <v/>
      </c>
      <c r="G617" s="7">
        <f>'1 datos preparados'!F610</f>
        <v/>
      </c>
      <c r="H617" s="7">
        <f>'1 datos preparados'!G610</f>
        <v/>
      </c>
      <c r="I617" s="7">
        <f>'1 datos preparados'!H610</f>
        <v/>
      </c>
      <c r="J617" s="7">
        <f>'1 datos preparados'!I610</f>
        <v/>
      </c>
      <c r="K617" s="7">
        <f>'1 datos preparados'!J610</f>
        <v/>
      </c>
      <c r="L617" s="7">
        <f>'1 datos preparados'!K610</f>
        <v/>
      </c>
      <c r="M617" s="7">
        <f>'1 datos preparados'!L610</f>
        <v/>
      </c>
      <c r="N617" s="7">
        <f>'1 datos preparados'!M610</f>
        <v/>
      </c>
      <c r="O617" s="7">
        <f>'1 datos preparados'!N610</f>
        <v/>
      </c>
      <c r="P617" s="7">
        <f>'1 datos preparados'!O610</f>
        <v/>
      </c>
      <c r="Q617" s="7">
        <f>'1 datos preparados'!P610</f>
        <v/>
      </c>
      <c r="R617" s="7">
        <f>'1 datos preparados'!Q610</f>
        <v/>
      </c>
      <c r="S617" s="7">
        <f>'1 datos preparados'!R610</f>
        <v/>
      </c>
      <c r="T617" s="7">
        <f>'1 datos preparados'!S610</f>
        <v/>
      </c>
      <c r="U617" s="7">
        <f>'1 datos preparados'!T610</f>
        <v/>
      </c>
      <c r="V617" s="8">
        <f>$AC$12+D617*$AC$13+E617*$AC$14+F617*$AC$15+G617*$AC$16+H617*$AC$17+I617*$AC$18+J617*$AC$19+K617*$AC$20+L617*$AC$21+M617*$AC$22+N617*$AC$23+O617*$AC$24+P617*$AC$25+Q617*$AC$26+R617*$AC$27+S617*$AC$28+T617*$AC$29+U617*$AC$30</f>
        <v/>
      </c>
      <c r="W617" s="8">
        <f>1/(1+EXP(-V617))</f>
        <v/>
      </c>
      <c r="X617" s="9">
        <f>-IF(C617=1,LN(W617),LN(1-W617))</f>
        <v/>
      </c>
      <c r="Y617" s="10">
        <f>IF(W617&gt;$AC$34,1,0)</f>
        <v/>
      </c>
      <c r="Z617">
        <f>IF(Y617=C617,1,0)</f>
        <v/>
      </c>
    </row>
    <row r="618">
      <c r="A618">
        <f>'1 datos preparados'!A611</f>
        <v/>
      </c>
      <c r="B618" s="5">
        <f>'1 datos preparados'!U611</f>
        <v/>
      </c>
      <c r="C618">
        <f>'1 datos preparados'!B611</f>
        <v/>
      </c>
      <c r="D618" s="7">
        <f>'1 datos preparados'!C611</f>
        <v/>
      </c>
      <c r="E618" s="7">
        <f>'1 datos preparados'!D611</f>
        <v/>
      </c>
      <c r="F618" s="7">
        <f>'1 datos preparados'!E611</f>
        <v/>
      </c>
      <c r="G618" s="7">
        <f>'1 datos preparados'!F611</f>
        <v/>
      </c>
      <c r="H618" s="7">
        <f>'1 datos preparados'!G611</f>
        <v/>
      </c>
      <c r="I618" s="7">
        <f>'1 datos preparados'!H611</f>
        <v/>
      </c>
      <c r="J618" s="7">
        <f>'1 datos preparados'!I611</f>
        <v/>
      </c>
      <c r="K618" s="7">
        <f>'1 datos preparados'!J611</f>
        <v/>
      </c>
      <c r="L618" s="7">
        <f>'1 datos preparados'!K611</f>
        <v/>
      </c>
      <c r="M618" s="7">
        <f>'1 datos preparados'!L611</f>
        <v/>
      </c>
      <c r="N618" s="7">
        <f>'1 datos preparados'!M611</f>
        <v/>
      </c>
      <c r="O618" s="7">
        <f>'1 datos preparados'!N611</f>
        <v/>
      </c>
      <c r="P618" s="7">
        <f>'1 datos preparados'!O611</f>
        <v/>
      </c>
      <c r="Q618" s="7">
        <f>'1 datos preparados'!P611</f>
        <v/>
      </c>
      <c r="R618" s="7">
        <f>'1 datos preparados'!Q611</f>
        <v/>
      </c>
      <c r="S618" s="7">
        <f>'1 datos preparados'!R611</f>
        <v/>
      </c>
      <c r="T618" s="7">
        <f>'1 datos preparados'!S611</f>
        <v/>
      </c>
      <c r="U618" s="7">
        <f>'1 datos preparados'!T611</f>
        <v/>
      </c>
      <c r="V618" s="8">
        <f>$AC$12+D618*$AC$13+E618*$AC$14+F618*$AC$15+G618*$AC$16+H618*$AC$17+I618*$AC$18+J618*$AC$19+K618*$AC$20+L618*$AC$21+M618*$AC$22+N618*$AC$23+O618*$AC$24+P618*$AC$25+Q618*$AC$26+R618*$AC$27+S618*$AC$28+T618*$AC$29+U618*$AC$30</f>
        <v/>
      </c>
      <c r="W618" s="8">
        <f>1/(1+EXP(-V618))</f>
        <v/>
      </c>
      <c r="X618" s="9">
        <f>-IF(C618=1,LN(W618),LN(1-W618))</f>
        <v/>
      </c>
      <c r="Y618" s="10">
        <f>IF(W618&gt;$AC$34,1,0)</f>
        <v/>
      </c>
      <c r="Z618">
        <f>IF(Y618=C618,1,0)</f>
        <v/>
      </c>
    </row>
    <row r="619">
      <c r="A619">
        <f>'1 datos preparados'!A612</f>
        <v/>
      </c>
      <c r="B619" s="5">
        <f>'1 datos preparados'!U612</f>
        <v/>
      </c>
      <c r="C619">
        <f>'1 datos preparados'!B612</f>
        <v/>
      </c>
      <c r="D619" s="7">
        <f>'1 datos preparados'!C612</f>
        <v/>
      </c>
      <c r="E619" s="7">
        <f>'1 datos preparados'!D612</f>
        <v/>
      </c>
      <c r="F619" s="7">
        <f>'1 datos preparados'!E612</f>
        <v/>
      </c>
      <c r="G619" s="7">
        <f>'1 datos preparados'!F612</f>
        <v/>
      </c>
      <c r="H619" s="7">
        <f>'1 datos preparados'!G612</f>
        <v/>
      </c>
      <c r="I619" s="7">
        <f>'1 datos preparados'!H612</f>
        <v/>
      </c>
      <c r="J619" s="7">
        <f>'1 datos preparados'!I612</f>
        <v/>
      </c>
      <c r="K619" s="7">
        <f>'1 datos preparados'!J612</f>
        <v/>
      </c>
      <c r="L619" s="7">
        <f>'1 datos preparados'!K612</f>
        <v/>
      </c>
      <c r="M619" s="7">
        <f>'1 datos preparados'!L612</f>
        <v/>
      </c>
      <c r="N619" s="7">
        <f>'1 datos preparados'!M612</f>
        <v/>
      </c>
      <c r="O619" s="7">
        <f>'1 datos preparados'!N612</f>
        <v/>
      </c>
      <c r="P619" s="7">
        <f>'1 datos preparados'!O612</f>
        <v/>
      </c>
      <c r="Q619" s="7">
        <f>'1 datos preparados'!P612</f>
        <v/>
      </c>
      <c r="R619" s="7">
        <f>'1 datos preparados'!Q612</f>
        <v/>
      </c>
      <c r="S619" s="7">
        <f>'1 datos preparados'!R612</f>
        <v/>
      </c>
      <c r="T619" s="7">
        <f>'1 datos preparados'!S612</f>
        <v/>
      </c>
      <c r="U619" s="7">
        <f>'1 datos preparados'!T612</f>
        <v/>
      </c>
      <c r="V619" s="8">
        <f>$AC$12+D619*$AC$13+E619*$AC$14+F619*$AC$15+G619*$AC$16+H619*$AC$17+I619*$AC$18+J619*$AC$19+K619*$AC$20+L619*$AC$21+M619*$AC$22+N619*$AC$23+O619*$AC$24+P619*$AC$25+Q619*$AC$26+R619*$AC$27+S619*$AC$28+T619*$AC$29+U619*$AC$30</f>
        <v/>
      </c>
      <c r="W619" s="8">
        <f>1/(1+EXP(-V619))</f>
        <v/>
      </c>
      <c r="X619" s="9">
        <f>-IF(C619=1,LN(W619),LN(1-W619))</f>
        <v/>
      </c>
      <c r="Y619" s="10">
        <f>IF(W619&gt;$AC$34,1,0)</f>
        <v/>
      </c>
      <c r="Z619">
        <f>IF(Y619=C619,1,0)</f>
        <v/>
      </c>
    </row>
    <row r="620">
      <c r="A620">
        <f>'1 datos preparados'!A613</f>
        <v/>
      </c>
      <c r="B620" s="5">
        <f>'1 datos preparados'!U613</f>
        <v/>
      </c>
      <c r="C620">
        <f>'1 datos preparados'!B613</f>
        <v/>
      </c>
      <c r="D620" s="7">
        <f>'1 datos preparados'!C613</f>
        <v/>
      </c>
      <c r="E620" s="7">
        <f>'1 datos preparados'!D613</f>
        <v/>
      </c>
      <c r="F620" s="7">
        <f>'1 datos preparados'!E613</f>
        <v/>
      </c>
      <c r="G620" s="7">
        <f>'1 datos preparados'!F613</f>
        <v/>
      </c>
      <c r="H620" s="7">
        <f>'1 datos preparados'!G613</f>
        <v/>
      </c>
      <c r="I620" s="7">
        <f>'1 datos preparados'!H613</f>
        <v/>
      </c>
      <c r="J620" s="7">
        <f>'1 datos preparados'!I613</f>
        <v/>
      </c>
      <c r="K620" s="7">
        <f>'1 datos preparados'!J613</f>
        <v/>
      </c>
      <c r="L620" s="7">
        <f>'1 datos preparados'!K613</f>
        <v/>
      </c>
      <c r="M620" s="7">
        <f>'1 datos preparados'!L613</f>
        <v/>
      </c>
      <c r="N620" s="7">
        <f>'1 datos preparados'!M613</f>
        <v/>
      </c>
      <c r="O620" s="7">
        <f>'1 datos preparados'!N613</f>
        <v/>
      </c>
      <c r="P620" s="7">
        <f>'1 datos preparados'!O613</f>
        <v/>
      </c>
      <c r="Q620" s="7">
        <f>'1 datos preparados'!P613</f>
        <v/>
      </c>
      <c r="R620" s="7">
        <f>'1 datos preparados'!Q613</f>
        <v/>
      </c>
      <c r="S620" s="7">
        <f>'1 datos preparados'!R613</f>
        <v/>
      </c>
      <c r="T620" s="7">
        <f>'1 datos preparados'!S613</f>
        <v/>
      </c>
      <c r="U620" s="7">
        <f>'1 datos preparados'!T613</f>
        <v/>
      </c>
      <c r="V620" s="8">
        <f>$AC$12+D620*$AC$13+E620*$AC$14+F620*$AC$15+G620*$AC$16+H620*$AC$17+I620*$AC$18+J620*$AC$19+K620*$AC$20+L620*$AC$21+M620*$AC$22+N620*$AC$23+O620*$AC$24+P620*$AC$25+Q620*$AC$26+R620*$AC$27+S620*$AC$28+T620*$AC$29+U620*$AC$30</f>
        <v/>
      </c>
      <c r="W620" s="8">
        <f>1/(1+EXP(-V620))</f>
        <v/>
      </c>
      <c r="X620" s="9">
        <f>-IF(C620=1,LN(W620),LN(1-W620))</f>
        <v/>
      </c>
      <c r="Y620" s="10">
        <f>IF(W620&gt;$AC$34,1,0)</f>
        <v/>
      </c>
      <c r="Z620">
        <f>IF(Y620=C620,1,0)</f>
        <v/>
      </c>
    </row>
    <row r="621">
      <c r="A621">
        <f>'1 datos preparados'!A614</f>
        <v/>
      </c>
      <c r="B621" s="5">
        <f>'1 datos preparados'!U614</f>
        <v/>
      </c>
      <c r="C621">
        <f>'1 datos preparados'!B614</f>
        <v/>
      </c>
      <c r="D621" s="7">
        <f>'1 datos preparados'!C614</f>
        <v/>
      </c>
      <c r="E621" s="7">
        <f>'1 datos preparados'!D614</f>
        <v/>
      </c>
      <c r="F621" s="7">
        <f>'1 datos preparados'!E614</f>
        <v/>
      </c>
      <c r="G621" s="7">
        <f>'1 datos preparados'!F614</f>
        <v/>
      </c>
      <c r="H621" s="7">
        <f>'1 datos preparados'!G614</f>
        <v/>
      </c>
      <c r="I621" s="7">
        <f>'1 datos preparados'!H614</f>
        <v/>
      </c>
      <c r="J621" s="7">
        <f>'1 datos preparados'!I614</f>
        <v/>
      </c>
      <c r="K621" s="7">
        <f>'1 datos preparados'!J614</f>
        <v/>
      </c>
      <c r="L621" s="7">
        <f>'1 datos preparados'!K614</f>
        <v/>
      </c>
      <c r="M621" s="7">
        <f>'1 datos preparados'!L614</f>
        <v/>
      </c>
      <c r="N621" s="7">
        <f>'1 datos preparados'!M614</f>
        <v/>
      </c>
      <c r="O621" s="7">
        <f>'1 datos preparados'!N614</f>
        <v/>
      </c>
      <c r="P621" s="7">
        <f>'1 datos preparados'!O614</f>
        <v/>
      </c>
      <c r="Q621" s="7">
        <f>'1 datos preparados'!P614</f>
        <v/>
      </c>
      <c r="R621" s="7">
        <f>'1 datos preparados'!Q614</f>
        <v/>
      </c>
      <c r="S621" s="7">
        <f>'1 datos preparados'!R614</f>
        <v/>
      </c>
      <c r="T621" s="7">
        <f>'1 datos preparados'!S614</f>
        <v/>
      </c>
      <c r="U621" s="7">
        <f>'1 datos preparados'!T614</f>
        <v/>
      </c>
      <c r="V621" s="8">
        <f>$AC$12+D621*$AC$13+E621*$AC$14+F621*$AC$15+G621*$AC$16+H621*$AC$17+I621*$AC$18+J621*$AC$19+K621*$AC$20+L621*$AC$21+M621*$AC$22+N621*$AC$23+O621*$AC$24+P621*$AC$25+Q621*$AC$26+R621*$AC$27+S621*$AC$28+T621*$AC$29+U621*$AC$30</f>
        <v/>
      </c>
      <c r="W621" s="8">
        <f>1/(1+EXP(-V621))</f>
        <v/>
      </c>
      <c r="X621" s="9">
        <f>-IF(C621=1,LN(W621),LN(1-W621))</f>
        <v/>
      </c>
      <c r="Y621" s="10">
        <f>IF(W621&gt;$AC$34,1,0)</f>
        <v/>
      </c>
      <c r="Z621">
        <f>IF(Y621=C621,1,0)</f>
        <v/>
      </c>
    </row>
    <row r="622">
      <c r="A622">
        <f>'1 datos preparados'!A615</f>
        <v/>
      </c>
      <c r="B622" s="5">
        <f>'1 datos preparados'!U615</f>
        <v/>
      </c>
      <c r="C622">
        <f>'1 datos preparados'!B615</f>
        <v/>
      </c>
      <c r="D622" s="7">
        <f>'1 datos preparados'!C615</f>
        <v/>
      </c>
      <c r="E622" s="7">
        <f>'1 datos preparados'!D615</f>
        <v/>
      </c>
      <c r="F622" s="7">
        <f>'1 datos preparados'!E615</f>
        <v/>
      </c>
      <c r="G622" s="7">
        <f>'1 datos preparados'!F615</f>
        <v/>
      </c>
      <c r="H622" s="7">
        <f>'1 datos preparados'!G615</f>
        <v/>
      </c>
      <c r="I622" s="7">
        <f>'1 datos preparados'!H615</f>
        <v/>
      </c>
      <c r="J622" s="7">
        <f>'1 datos preparados'!I615</f>
        <v/>
      </c>
      <c r="K622" s="7">
        <f>'1 datos preparados'!J615</f>
        <v/>
      </c>
      <c r="L622" s="7">
        <f>'1 datos preparados'!K615</f>
        <v/>
      </c>
      <c r="M622" s="7">
        <f>'1 datos preparados'!L615</f>
        <v/>
      </c>
      <c r="N622" s="7">
        <f>'1 datos preparados'!M615</f>
        <v/>
      </c>
      <c r="O622" s="7">
        <f>'1 datos preparados'!N615</f>
        <v/>
      </c>
      <c r="P622" s="7">
        <f>'1 datos preparados'!O615</f>
        <v/>
      </c>
      <c r="Q622" s="7">
        <f>'1 datos preparados'!P615</f>
        <v/>
      </c>
      <c r="R622" s="7">
        <f>'1 datos preparados'!Q615</f>
        <v/>
      </c>
      <c r="S622" s="7">
        <f>'1 datos preparados'!R615</f>
        <v/>
      </c>
      <c r="T622" s="7">
        <f>'1 datos preparados'!S615</f>
        <v/>
      </c>
      <c r="U622" s="7">
        <f>'1 datos preparados'!T615</f>
        <v/>
      </c>
      <c r="V622" s="8">
        <f>$AC$12+D622*$AC$13+E622*$AC$14+F622*$AC$15+G622*$AC$16+H622*$AC$17+I622*$AC$18+J622*$AC$19+K622*$AC$20+L622*$AC$21+M622*$AC$22+N622*$AC$23+O622*$AC$24+P622*$AC$25+Q622*$AC$26+R622*$AC$27+S622*$AC$28+T622*$AC$29+U622*$AC$30</f>
        <v/>
      </c>
      <c r="W622" s="8">
        <f>1/(1+EXP(-V622))</f>
        <v/>
      </c>
      <c r="X622" s="9">
        <f>-IF(C622=1,LN(W622),LN(1-W622))</f>
        <v/>
      </c>
      <c r="Y622" s="10">
        <f>IF(W622&gt;$AC$34,1,0)</f>
        <v/>
      </c>
      <c r="Z622">
        <f>IF(Y622=C622,1,0)</f>
        <v/>
      </c>
    </row>
    <row r="623">
      <c r="A623">
        <f>'1 datos preparados'!A616</f>
        <v/>
      </c>
      <c r="B623" s="5">
        <f>'1 datos preparados'!U616</f>
        <v/>
      </c>
      <c r="C623">
        <f>'1 datos preparados'!B616</f>
        <v/>
      </c>
      <c r="D623" s="7">
        <f>'1 datos preparados'!C616</f>
        <v/>
      </c>
      <c r="E623" s="7">
        <f>'1 datos preparados'!D616</f>
        <v/>
      </c>
      <c r="F623" s="7">
        <f>'1 datos preparados'!E616</f>
        <v/>
      </c>
      <c r="G623" s="7">
        <f>'1 datos preparados'!F616</f>
        <v/>
      </c>
      <c r="H623" s="7">
        <f>'1 datos preparados'!G616</f>
        <v/>
      </c>
      <c r="I623" s="7">
        <f>'1 datos preparados'!H616</f>
        <v/>
      </c>
      <c r="J623" s="7">
        <f>'1 datos preparados'!I616</f>
        <v/>
      </c>
      <c r="K623" s="7">
        <f>'1 datos preparados'!J616</f>
        <v/>
      </c>
      <c r="L623" s="7">
        <f>'1 datos preparados'!K616</f>
        <v/>
      </c>
      <c r="M623" s="7">
        <f>'1 datos preparados'!L616</f>
        <v/>
      </c>
      <c r="N623" s="7">
        <f>'1 datos preparados'!M616</f>
        <v/>
      </c>
      <c r="O623" s="7">
        <f>'1 datos preparados'!N616</f>
        <v/>
      </c>
      <c r="P623" s="7">
        <f>'1 datos preparados'!O616</f>
        <v/>
      </c>
      <c r="Q623" s="7">
        <f>'1 datos preparados'!P616</f>
        <v/>
      </c>
      <c r="R623" s="7">
        <f>'1 datos preparados'!Q616</f>
        <v/>
      </c>
      <c r="S623" s="7">
        <f>'1 datos preparados'!R616</f>
        <v/>
      </c>
      <c r="T623" s="7">
        <f>'1 datos preparados'!S616</f>
        <v/>
      </c>
      <c r="U623" s="7">
        <f>'1 datos preparados'!T616</f>
        <v/>
      </c>
      <c r="V623" s="8">
        <f>$AC$12+D623*$AC$13+E623*$AC$14+F623*$AC$15+G623*$AC$16+H623*$AC$17+I623*$AC$18+J623*$AC$19+K623*$AC$20+L623*$AC$21+M623*$AC$22+N623*$AC$23+O623*$AC$24+P623*$AC$25+Q623*$AC$26+R623*$AC$27+S623*$AC$28+T623*$AC$29+U623*$AC$30</f>
        <v/>
      </c>
      <c r="W623" s="8">
        <f>1/(1+EXP(-V623))</f>
        <v/>
      </c>
      <c r="X623" s="9">
        <f>-IF(C623=1,LN(W623),LN(1-W623))</f>
        <v/>
      </c>
      <c r="Y623" s="10">
        <f>IF(W623&gt;$AC$34,1,0)</f>
        <v/>
      </c>
      <c r="Z623">
        <f>IF(Y623=C623,1,0)</f>
        <v/>
      </c>
    </row>
    <row r="624">
      <c r="A624">
        <f>'1 datos preparados'!A617</f>
        <v/>
      </c>
      <c r="B624" s="5">
        <f>'1 datos preparados'!U617</f>
        <v/>
      </c>
      <c r="C624">
        <f>'1 datos preparados'!B617</f>
        <v/>
      </c>
      <c r="D624" s="7">
        <f>'1 datos preparados'!C617</f>
        <v/>
      </c>
      <c r="E624" s="7">
        <f>'1 datos preparados'!D617</f>
        <v/>
      </c>
      <c r="F624" s="7">
        <f>'1 datos preparados'!E617</f>
        <v/>
      </c>
      <c r="G624" s="7">
        <f>'1 datos preparados'!F617</f>
        <v/>
      </c>
      <c r="H624" s="7">
        <f>'1 datos preparados'!G617</f>
        <v/>
      </c>
      <c r="I624" s="7">
        <f>'1 datos preparados'!H617</f>
        <v/>
      </c>
      <c r="J624" s="7">
        <f>'1 datos preparados'!I617</f>
        <v/>
      </c>
      <c r="K624" s="7">
        <f>'1 datos preparados'!J617</f>
        <v/>
      </c>
      <c r="L624" s="7">
        <f>'1 datos preparados'!K617</f>
        <v/>
      </c>
      <c r="M624" s="7">
        <f>'1 datos preparados'!L617</f>
        <v/>
      </c>
      <c r="N624" s="7">
        <f>'1 datos preparados'!M617</f>
        <v/>
      </c>
      <c r="O624" s="7">
        <f>'1 datos preparados'!N617</f>
        <v/>
      </c>
      <c r="P624" s="7">
        <f>'1 datos preparados'!O617</f>
        <v/>
      </c>
      <c r="Q624" s="7">
        <f>'1 datos preparados'!P617</f>
        <v/>
      </c>
      <c r="R624" s="7">
        <f>'1 datos preparados'!Q617</f>
        <v/>
      </c>
      <c r="S624" s="7">
        <f>'1 datos preparados'!R617</f>
        <v/>
      </c>
      <c r="T624" s="7">
        <f>'1 datos preparados'!S617</f>
        <v/>
      </c>
      <c r="U624" s="7">
        <f>'1 datos preparados'!T617</f>
        <v/>
      </c>
      <c r="V624" s="8">
        <f>$AC$12+D624*$AC$13+E624*$AC$14+F624*$AC$15+G624*$AC$16+H624*$AC$17+I624*$AC$18+J624*$AC$19+K624*$AC$20+L624*$AC$21+M624*$AC$22+N624*$AC$23+O624*$AC$24+P624*$AC$25+Q624*$AC$26+R624*$AC$27+S624*$AC$28+T624*$AC$29+U624*$AC$30</f>
        <v/>
      </c>
      <c r="W624" s="8">
        <f>1/(1+EXP(-V624))</f>
        <v/>
      </c>
      <c r="X624" s="9">
        <f>-IF(C624=1,LN(W624),LN(1-W624))</f>
        <v/>
      </c>
      <c r="Y624" s="10">
        <f>IF(W624&gt;$AC$34,1,0)</f>
        <v/>
      </c>
      <c r="Z624">
        <f>IF(Y624=C624,1,0)</f>
        <v/>
      </c>
    </row>
    <row r="625">
      <c r="A625">
        <f>'1 datos preparados'!A618</f>
        <v/>
      </c>
      <c r="B625" s="5">
        <f>'1 datos preparados'!U618</f>
        <v/>
      </c>
      <c r="C625">
        <f>'1 datos preparados'!B618</f>
        <v/>
      </c>
      <c r="D625" s="7">
        <f>'1 datos preparados'!C618</f>
        <v/>
      </c>
      <c r="E625" s="7">
        <f>'1 datos preparados'!D618</f>
        <v/>
      </c>
      <c r="F625" s="7">
        <f>'1 datos preparados'!E618</f>
        <v/>
      </c>
      <c r="G625" s="7">
        <f>'1 datos preparados'!F618</f>
        <v/>
      </c>
      <c r="H625" s="7">
        <f>'1 datos preparados'!G618</f>
        <v/>
      </c>
      <c r="I625" s="7">
        <f>'1 datos preparados'!H618</f>
        <v/>
      </c>
      <c r="J625" s="7">
        <f>'1 datos preparados'!I618</f>
        <v/>
      </c>
      <c r="K625" s="7">
        <f>'1 datos preparados'!J618</f>
        <v/>
      </c>
      <c r="L625" s="7">
        <f>'1 datos preparados'!K618</f>
        <v/>
      </c>
      <c r="M625" s="7">
        <f>'1 datos preparados'!L618</f>
        <v/>
      </c>
      <c r="N625" s="7">
        <f>'1 datos preparados'!M618</f>
        <v/>
      </c>
      <c r="O625" s="7">
        <f>'1 datos preparados'!N618</f>
        <v/>
      </c>
      <c r="P625" s="7">
        <f>'1 datos preparados'!O618</f>
        <v/>
      </c>
      <c r="Q625" s="7">
        <f>'1 datos preparados'!P618</f>
        <v/>
      </c>
      <c r="R625" s="7">
        <f>'1 datos preparados'!Q618</f>
        <v/>
      </c>
      <c r="S625" s="7">
        <f>'1 datos preparados'!R618</f>
        <v/>
      </c>
      <c r="T625" s="7">
        <f>'1 datos preparados'!S618</f>
        <v/>
      </c>
      <c r="U625" s="7">
        <f>'1 datos preparados'!T618</f>
        <v/>
      </c>
      <c r="V625" s="8">
        <f>$AC$12+D625*$AC$13+E625*$AC$14+F625*$AC$15+G625*$AC$16+H625*$AC$17+I625*$AC$18+J625*$AC$19+K625*$AC$20+L625*$AC$21+M625*$AC$22+N625*$AC$23+O625*$AC$24+P625*$AC$25+Q625*$AC$26+R625*$AC$27+S625*$AC$28+T625*$AC$29+U625*$AC$30</f>
        <v/>
      </c>
      <c r="W625" s="8">
        <f>1/(1+EXP(-V625))</f>
        <v/>
      </c>
      <c r="X625" s="9">
        <f>-IF(C625=1,LN(W625),LN(1-W625))</f>
        <v/>
      </c>
      <c r="Y625" s="10">
        <f>IF(W625&gt;$AC$34,1,0)</f>
        <v/>
      </c>
      <c r="Z625">
        <f>IF(Y625=C625,1,0)</f>
        <v/>
      </c>
    </row>
    <row r="626">
      <c r="A626">
        <f>'1 datos preparados'!A619</f>
        <v/>
      </c>
      <c r="B626" s="5">
        <f>'1 datos preparados'!U619</f>
        <v/>
      </c>
      <c r="C626">
        <f>'1 datos preparados'!B619</f>
        <v/>
      </c>
      <c r="D626" s="7">
        <f>'1 datos preparados'!C619</f>
        <v/>
      </c>
      <c r="E626" s="7">
        <f>'1 datos preparados'!D619</f>
        <v/>
      </c>
      <c r="F626" s="7">
        <f>'1 datos preparados'!E619</f>
        <v/>
      </c>
      <c r="G626" s="7">
        <f>'1 datos preparados'!F619</f>
        <v/>
      </c>
      <c r="H626" s="7">
        <f>'1 datos preparados'!G619</f>
        <v/>
      </c>
      <c r="I626" s="7">
        <f>'1 datos preparados'!H619</f>
        <v/>
      </c>
      <c r="J626" s="7">
        <f>'1 datos preparados'!I619</f>
        <v/>
      </c>
      <c r="K626" s="7">
        <f>'1 datos preparados'!J619</f>
        <v/>
      </c>
      <c r="L626" s="7">
        <f>'1 datos preparados'!K619</f>
        <v/>
      </c>
      <c r="M626" s="7">
        <f>'1 datos preparados'!L619</f>
        <v/>
      </c>
      <c r="N626" s="7">
        <f>'1 datos preparados'!M619</f>
        <v/>
      </c>
      <c r="O626" s="7">
        <f>'1 datos preparados'!N619</f>
        <v/>
      </c>
      <c r="P626" s="7">
        <f>'1 datos preparados'!O619</f>
        <v/>
      </c>
      <c r="Q626" s="7">
        <f>'1 datos preparados'!P619</f>
        <v/>
      </c>
      <c r="R626" s="7">
        <f>'1 datos preparados'!Q619</f>
        <v/>
      </c>
      <c r="S626" s="7">
        <f>'1 datos preparados'!R619</f>
        <v/>
      </c>
      <c r="T626" s="7">
        <f>'1 datos preparados'!S619</f>
        <v/>
      </c>
      <c r="U626" s="7">
        <f>'1 datos preparados'!T619</f>
        <v/>
      </c>
      <c r="V626" s="8">
        <f>$AC$12+D626*$AC$13+E626*$AC$14+F626*$AC$15+G626*$AC$16+H626*$AC$17+I626*$AC$18+J626*$AC$19+K626*$AC$20+L626*$AC$21+M626*$AC$22+N626*$AC$23+O626*$AC$24+P626*$AC$25+Q626*$AC$26+R626*$AC$27+S626*$AC$28+T626*$AC$29+U626*$AC$30</f>
        <v/>
      </c>
      <c r="W626" s="8">
        <f>1/(1+EXP(-V626))</f>
        <v/>
      </c>
      <c r="X626" s="9">
        <f>-IF(C626=1,LN(W626),LN(1-W626))</f>
        <v/>
      </c>
      <c r="Y626" s="10">
        <f>IF(W626&gt;$AC$34,1,0)</f>
        <v/>
      </c>
      <c r="Z626">
        <f>IF(Y626=C626,1,0)</f>
        <v/>
      </c>
    </row>
    <row r="627">
      <c r="A627">
        <f>'1 datos preparados'!A620</f>
        <v/>
      </c>
      <c r="B627" s="5">
        <f>'1 datos preparados'!U620</f>
        <v/>
      </c>
      <c r="C627">
        <f>'1 datos preparados'!B620</f>
        <v/>
      </c>
      <c r="D627" s="7">
        <f>'1 datos preparados'!C620</f>
        <v/>
      </c>
      <c r="E627" s="7">
        <f>'1 datos preparados'!D620</f>
        <v/>
      </c>
      <c r="F627" s="7">
        <f>'1 datos preparados'!E620</f>
        <v/>
      </c>
      <c r="G627" s="7">
        <f>'1 datos preparados'!F620</f>
        <v/>
      </c>
      <c r="H627" s="7">
        <f>'1 datos preparados'!G620</f>
        <v/>
      </c>
      <c r="I627" s="7">
        <f>'1 datos preparados'!H620</f>
        <v/>
      </c>
      <c r="J627" s="7">
        <f>'1 datos preparados'!I620</f>
        <v/>
      </c>
      <c r="K627" s="7">
        <f>'1 datos preparados'!J620</f>
        <v/>
      </c>
      <c r="L627" s="7">
        <f>'1 datos preparados'!K620</f>
        <v/>
      </c>
      <c r="M627" s="7">
        <f>'1 datos preparados'!L620</f>
        <v/>
      </c>
      <c r="N627" s="7">
        <f>'1 datos preparados'!M620</f>
        <v/>
      </c>
      <c r="O627" s="7">
        <f>'1 datos preparados'!N620</f>
        <v/>
      </c>
      <c r="P627" s="7">
        <f>'1 datos preparados'!O620</f>
        <v/>
      </c>
      <c r="Q627" s="7">
        <f>'1 datos preparados'!P620</f>
        <v/>
      </c>
      <c r="R627" s="7">
        <f>'1 datos preparados'!Q620</f>
        <v/>
      </c>
      <c r="S627" s="7">
        <f>'1 datos preparados'!R620</f>
        <v/>
      </c>
      <c r="T627" s="7">
        <f>'1 datos preparados'!S620</f>
        <v/>
      </c>
      <c r="U627" s="7">
        <f>'1 datos preparados'!T620</f>
        <v/>
      </c>
      <c r="V627" s="8">
        <f>$AC$12+D627*$AC$13+E627*$AC$14+F627*$AC$15+G627*$AC$16+H627*$AC$17+I627*$AC$18+J627*$AC$19+K627*$AC$20+L627*$AC$21+M627*$AC$22+N627*$AC$23+O627*$AC$24+P627*$AC$25+Q627*$AC$26+R627*$AC$27+S627*$AC$28+T627*$AC$29+U627*$AC$30</f>
        <v/>
      </c>
      <c r="W627" s="8">
        <f>1/(1+EXP(-V627))</f>
        <v/>
      </c>
      <c r="X627" s="9">
        <f>-IF(C627=1,LN(W627),LN(1-W627))</f>
        <v/>
      </c>
      <c r="Y627" s="10">
        <f>IF(W627&gt;$AC$34,1,0)</f>
        <v/>
      </c>
      <c r="Z627">
        <f>IF(Y627=C627,1,0)</f>
        <v/>
      </c>
    </row>
    <row r="628">
      <c r="A628">
        <f>'1 datos preparados'!A621</f>
        <v/>
      </c>
      <c r="B628" s="5">
        <f>'1 datos preparados'!U621</f>
        <v/>
      </c>
      <c r="C628">
        <f>'1 datos preparados'!B621</f>
        <v/>
      </c>
      <c r="D628" s="7">
        <f>'1 datos preparados'!C621</f>
        <v/>
      </c>
      <c r="E628" s="7">
        <f>'1 datos preparados'!D621</f>
        <v/>
      </c>
      <c r="F628" s="7">
        <f>'1 datos preparados'!E621</f>
        <v/>
      </c>
      <c r="G628" s="7">
        <f>'1 datos preparados'!F621</f>
        <v/>
      </c>
      <c r="H628" s="7">
        <f>'1 datos preparados'!G621</f>
        <v/>
      </c>
      <c r="I628" s="7">
        <f>'1 datos preparados'!H621</f>
        <v/>
      </c>
      <c r="J628" s="7">
        <f>'1 datos preparados'!I621</f>
        <v/>
      </c>
      <c r="K628" s="7">
        <f>'1 datos preparados'!J621</f>
        <v/>
      </c>
      <c r="L628" s="7">
        <f>'1 datos preparados'!K621</f>
        <v/>
      </c>
      <c r="M628" s="7">
        <f>'1 datos preparados'!L621</f>
        <v/>
      </c>
      <c r="N628" s="7">
        <f>'1 datos preparados'!M621</f>
        <v/>
      </c>
      <c r="O628" s="7">
        <f>'1 datos preparados'!N621</f>
        <v/>
      </c>
      <c r="P628" s="7">
        <f>'1 datos preparados'!O621</f>
        <v/>
      </c>
      <c r="Q628" s="7">
        <f>'1 datos preparados'!P621</f>
        <v/>
      </c>
      <c r="R628" s="7">
        <f>'1 datos preparados'!Q621</f>
        <v/>
      </c>
      <c r="S628" s="7">
        <f>'1 datos preparados'!R621</f>
        <v/>
      </c>
      <c r="T628" s="7">
        <f>'1 datos preparados'!S621</f>
        <v/>
      </c>
      <c r="U628" s="7">
        <f>'1 datos preparados'!T621</f>
        <v/>
      </c>
      <c r="V628" s="8">
        <f>$AC$12+D628*$AC$13+E628*$AC$14+F628*$AC$15+G628*$AC$16+H628*$AC$17+I628*$AC$18+J628*$AC$19+K628*$AC$20+L628*$AC$21+M628*$AC$22+N628*$AC$23+O628*$AC$24+P628*$AC$25+Q628*$AC$26+R628*$AC$27+S628*$AC$28+T628*$AC$29+U628*$AC$30</f>
        <v/>
      </c>
      <c r="W628" s="8">
        <f>1/(1+EXP(-V628))</f>
        <v/>
      </c>
      <c r="X628" s="9">
        <f>-IF(C628=1,LN(W628),LN(1-W628))</f>
        <v/>
      </c>
      <c r="Y628" s="10">
        <f>IF(W628&gt;$AC$34,1,0)</f>
        <v/>
      </c>
      <c r="Z628">
        <f>IF(Y628=C628,1,0)</f>
        <v/>
      </c>
    </row>
    <row r="629">
      <c r="A629">
        <f>'1 datos preparados'!A622</f>
        <v/>
      </c>
      <c r="B629" s="5">
        <f>'1 datos preparados'!U622</f>
        <v/>
      </c>
      <c r="C629">
        <f>'1 datos preparados'!B622</f>
        <v/>
      </c>
      <c r="D629" s="7">
        <f>'1 datos preparados'!C622</f>
        <v/>
      </c>
      <c r="E629" s="7">
        <f>'1 datos preparados'!D622</f>
        <v/>
      </c>
      <c r="F629" s="7">
        <f>'1 datos preparados'!E622</f>
        <v/>
      </c>
      <c r="G629" s="7">
        <f>'1 datos preparados'!F622</f>
        <v/>
      </c>
      <c r="H629" s="7">
        <f>'1 datos preparados'!G622</f>
        <v/>
      </c>
      <c r="I629" s="7">
        <f>'1 datos preparados'!H622</f>
        <v/>
      </c>
      <c r="J629" s="7">
        <f>'1 datos preparados'!I622</f>
        <v/>
      </c>
      <c r="K629" s="7">
        <f>'1 datos preparados'!J622</f>
        <v/>
      </c>
      <c r="L629" s="7">
        <f>'1 datos preparados'!K622</f>
        <v/>
      </c>
      <c r="M629" s="7">
        <f>'1 datos preparados'!L622</f>
        <v/>
      </c>
      <c r="N629" s="7">
        <f>'1 datos preparados'!M622</f>
        <v/>
      </c>
      <c r="O629" s="7">
        <f>'1 datos preparados'!N622</f>
        <v/>
      </c>
      <c r="P629" s="7">
        <f>'1 datos preparados'!O622</f>
        <v/>
      </c>
      <c r="Q629" s="7">
        <f>'1 datos preparados'!P622</f>
        <v/>
      </c>
      <c r="R629" s="7">
        <f>'1 datos preparados'!Q622</f>
        <v/>
      </c>
      <c r="S629" s="7">
        <f>'1 datos preparados'!R622</f>
        <v/>
      </c>
      <c r="T629" s="7">
        <f>'1 datos preparados'!S622</f>
        <v/>
      </c>
      <c r="U629" s="7">
        <f>'1 datos preparados'!T622</f>
        <v/>
      </c>
      <c r="V629" s="8">
        <f>$AC$12+D629*$AC$13+E629*$AC$14+F629*$AC$15+G629*$AC$16+H629*$AC$17+I629*$AC$18+J629*$AC$19+K629*$AC$20+L629*$AC$21+M629*$AC$22+N629*$AC$23+O629*$AC$24+P629*$AC$25+Q629*$AC$26+R629*$AC$27+S629*$AC$28+T629*$AC$29+U629*$AC$30</f>
        <v/>
      </c>
      <c r="W629" s="8">
        <f>1/(1+EXP(-V629))</f>
        <v/>
      </c>
      <c r="X629" s="9">
        <f>-IF(C629=1,LN(W629),LN(1-W629))</f>
        <v/>
      </c>
      <c r="Y629" s="10">
        <f>IF(W629&gt;$AC$34,1,0)</f>
        <v/>
      </c>
      <c r="Z629">
        <f>IF(Y629=C629,1,0)</f>
        <v/>
      </c>
    </row>
    <row r="630">
      <c r="A630">
        <f>'1 datos preparados'!A623</f>
        <v/>
      </c>
      <c r="B630" s="5">
        <f>'1 datos preparados'!U623</f>
        <v/>
      </c>
      <c r="C630">
        <f>'1 datos preparados'!B623</f>
        <v/>
      </c>
      <c r="D630" s="7">
        <f>'1 datos preparados'!C623</f>
        <v/>
      </c>
      <c r="E630" s="7">
        <f>'1 datos preparados'!D623</f>
        <v/>
      </c>
      <c r="F630" s="7">
        <f>'1 datos preparados'!E623</f>
        <v/>
      </c>
      <c r="G630" s="7">
        <f>'1 datos preparados'!F623</f>
        <v/>
      </c>
      <c r="H630" s="7">
        <f>'1 datos preparados'!G623</f>
        <v/>
      </c>
      <c r="I630" s="7">
        <f>'1 datos preparados'!H623</f>
        <v/>
      </c>
      <c r="J630" s="7">
        <f>'1 datos preparados'!I623</f>
        <v/>
      </c>
      <c r="K630" s="7">
        <f>'1 datos preparados'!J623</f>
        <v/>
      </c>
      <c r="L630" s="7">
        <f>'1 datos preparados'!K623</f>
        <v/>
      </c>
      <c r="M630" s="7">
        <f>'1 datos preparados'!L623</f>
        <v/>
      </c>
      <c r="N630" s="7">
        <f>'1 datos preparados'!M623</f>
        <v/>
      </c>
      <c r="O630" s="7">
        <f>'1 datos preparados'!N623</f>
        <v/>
      </c>
      <c r="P630" s="7">
        <f>'1 datos preparados'!O623</f>
        <v/>
      </c>
      <c r="Q630" s="7">
        <f>'1 datos preparados'!P623</f>
        <v/>
      </c>
      <c r="R630" s="7">
        <f>'1 datos preparados'!Q623</f>
        <v/>
      </c>
      <c r="S630" s="7">
        <f>'1 datos preparados'!R623</f>
        <v/>
      </c>
      <c r="T630" s="7">
        <f>'1 datos preparados'!S623</f>
        <v/>
      </c>
      <c r="U630" s="7">
        <f>'1 datos preparados'!T623</f>
        <v/>
      </c>
      <c r="V630" s="8">
        <f>$AC$12+D630*$AC$13+E630*$AC$14+F630*$AC$15+G630*$AC$16+H630*$AC$17+I630*$AC$18+J630*$AC$19+K630*$AC$20+L630*$AC$21+M630*$AC$22+N630*$AC$23+O630*$AC$24+P630*$AC$25+Q630*$AC$26+R630*$AC$27+S630*$AC$28+T630*$AC$29+U630*$AC$30</f>
        <v/>
      </c>
      <c r="W630" s="8">
        <f>1/(1+EXP(-V630))</f>
        <v/>
      </c>
      <c r="X630" s="9">
        <f>-IF(C630=1,LN(W630),LN(1-W630))</f>
        <v/>
      </c>
      <c r="Y630" s="10">
        <f>IF(W630&gt;$AC$34,1,0)</f>
        <v/>
      </c>
      <c r="Z630">
        <f>IF(Y630=C630,1,0)</f>
        <v/>
      </c>
    </row>
    <row r="631">
      <c r="A631">
        <f>'1 datos preparados'!A624</f>
        <v/>
      </c>
      <c r="B631" s="5">
        <f>'1 datos preparados'!U624</f>
        <v/>
      </c>
      <c r="C631">
        <f>'1 datos preparados'!B624</f>
        <v/>
      </c>
      <c r="D631" s="7">
        <f>'1 datos preparados'!C624</f>
        <v/>
      </c>
      <c r="E631" s="7">
        <f>'1 datos preparados'!D624</f>
        <v/>
      </c>
      <c r="F631" s="7">
        <f>'1 datos preparados'!E624</f>
        <v/>
      </c>
      <c r="G631" s="7">
        <f>'1 datos preparados'!F624</f>
        <v/>
      </c>
      <c r="H631" s="7">
        <f>'1 datos preparados'!G624</f>
        <v/>
      </c>
      <c r="I631" s="7">
        <f>'1 datos preparados'!H624</f>
        <v/>
      </c>
      <c r="J631" s="7">
        <f>'1 datos preparados'!I624</f>
        <v/>
      </c>
      <c r="K631" s="7">
        <f>'1 datos preparados'!J624</f>
        <v/>
      </c>
      <c r="L631" s="7">
        <f>'1 datos preparados'!K624</f>
        <v/>
      </c>
      <c r="M631" s="7">
        <f>'1 datos preparados'!L624</f>
        <v/>
      </c>
      <c r="N631" s="7">
        <f>'1 datos preparados'!M624</f>
        <v/>
      </c>
      <c r="O631" s="7">
        <f>'1 datos preparados'!N624</f>
        <v/>
      </c>
      <c r="P631" s="7">
        <f>'1 datos preparados'!O624</f>
        <v/>
      </c>
      <c r="Q631" s="7">
        <f>'1 datos preparados'!P624</f>
        <v/>
      </c>
      <c r="R631" s="7">
        <f>'1 datos preparados'!Q624</f>
        <v/>
      </c>
      <c r="S631" s="7">
        <f>'1 datos preparados'!R624</f>
        <v/>
      </c>
      <c r="T631" s="7">
        <f>'1 datos preparados'!S624</f>
        <v/>
      </c>
      <c r="U631" s="7">
        <f>'1 datos preparados'!T624</f>
        <v/>
      </c>
      <c r="V631" s="8">
        <f>$AC$12+D631*$AC$13+E631*$AC$14+F631*$AC$15+G631*$AC$16+H631*$AC$17+I631*$AC$18+J631*$AC$19+K631*$AC$20+L631*$AC$21+M631*$AC$22+N631*$AC$23+O631*$AC$24+P631*$AC$25+Q631*$AC$26+R631*$AC$27+S631*$AC$28+T631*$AC$29+U631*$AC$30</f>
        <v/>
      </c>
      <c r="W631" s="8">
        <f>1/(1+EXP(-V631))</f>
        <v/>
      </c>
      <c r="X631" s="9">
        <f>-IF(C631=1,LN(W631),LN(1-W631))</f>
        <v/>
      </c>
      <c r="Y631" s="10">
        <f>IF(W631&gt;$AC$34,1,0)</f>
        <v/>
      </c>
      <c r="Z631">
        <f>IF(Y631=C631,1,0)</f>
        <v/>
      </c>
    </row>
    <row r="632">
      <c r="A632">
        <f>'1 datos preparados'!A625</f>
        <v/>
      </c>
      <c r="B632" s="5">
        <f>'1 datos preparados'!U625</f>
        <v/>
      </c>
      <c r="C632">
        <f>'1 datos preparados'!B625</f>
        <v/>
      </c>
      <c r="D632" s="7">
        <f>'1 datos preparados'!C625</f>
        <v/>
      </c>
      <c r="E632" s="7">
        <f>'1 datos preparados'!D625</f>
        <v/>
      </c>
      <c r="F632" s="7">
        <f>'1 datos preparados'!E625</f>
        <v/>
      </c>
      <c r="G632" s="7">
        <f>'1 datos preparados'!F625</f>
        <v/>
      </c>
      <c r="H632" s="7">
        <f>'1 datos preparados'!G625</f>
        <v/>
      </c>
      <c r="I632" s="7">
        <f>'1 datos preparados'!H625</f>
        <v/>
      </c>
      <c r="J632" s="7">
        <f>'1 datos preparados'!I625</f>
        <v/>
      </c>
      <c r="K632" s="7">
        <f>'1 datos preparados'!J625</f>
        <v/>
      </c>
      <c r="L632" s="7">
        <f>'1 datos preparados'!K625</f>
        <v/>
      </c>
      <c r="M632" s="7">
        <f>'1 datos preparados'!L625</f>
        <v/>
      </c>
      <c r="N632" s="7">
        <f>'1 datos preparados'!M625</f>
        <v/>
      </c>
      <c r="O632" s="7">
        <f>'1 datos preparados'!N625</f>
        <v/>
      </c>
      <c r="P632" s="7">
        <f>'1 datos preparados'!O625</f>
        <v/>
      </c>
      <c r="Q632" s="7">
        <f>'1 datos preparados'!P625</f>
        <v/>
      </c>
      <c r="R632" s="7">
        <f>'1 datos preparados'!Q625</f>
        <v/>
      </c>
      <c r="S632" s="7">
        <f>'1 datos preparados'!R625</f>
        <v/>
      </c>
      <c r="T632" s="7">
        <f>'1 datos preparados'!S625</f>
        <v/>
      </c>
      <c r="U632" s="7">
        <f>'1 datos preparados'!T625</f>
        <v/>
      </c>
      <c r="V632" s="8">
        <f>$AC$12+D632*$AC$13+E632*$AC$14+F632*$AC$15+G632*$AC$16+H632*$AC$17+I632*$AC$18+J632*$AC$19+K632*$AC$20+L632*$AC$21+M632*$AC$22+N632*$AC$23+O632*$AC$24+P632*$AC$25+Q632*$AC$26+R632*$AC$27+S632*$AC$28+T632*$AC$29+U632*$AC$30</f>
        <v/>
      </c>
      <c r="W632" s="8">
        <f>1/(1+EXP(-V632))</f>
        <v/>
      </c>
      <c r="X632" s="9">
        <f>-IF(C632=1,LN(W632),LN(1-W632))</f>
        <v/>
      </c>
      <c r="Y632" s="10">
        <f>IF(W632&gt;$AC$34,1,0)</f>
        <v/>
      </c>
      <c r="Z632">
        <f>IF(Y632=C632,1,0)</f>
        <v/>
      </c>
    </row>
    <row r="633">
      <c r="A633">
        <f>'1 datos preparados'!A626</f>
        <v/>
      </c>
      <c r="B633" s="5">
        <f>'1 datos preparados'!U626</f>
        <v/>
      </c>
      <c r="C633">
        <f>'1 datos preparados'!B626</f>
        <v/>
      </c>
      <c r="D633" s="7">
        <f>'1 datos preparados'!C626</f>
        <v/>
      </c>
      <c r="E633" s="7">
        <f>'1 datos preparados'!D626</f>
        <v/>
      </c>
      <c r="F633" s="7">
        <f>'1 datos preparados'!E626</f>
        <v/>
      </c>
      <c r="G633" s="7">
        <f>'1 datos preparados'!F626</f>
        <v/>
      </c>
      <c r="H633" s="7">
        <f>'1 datos preparados'!G626</f>
        <v/>
      </c>
      <c r="I633" s="7">
        <f>'1 datos preparados'!H626</f>
        <v/>
      </c>
      <c r="J633" s="7">
        <f>'1 datos preparados'!I626</f>
        <v/>
      </c>
      <c r="K633" s="7">
        <f>'1 datos preparados'!J626</f>
        <v/>
      </c>
      <c r="L633" s="7">
        <f>'1 datos preparados'!K626</f>
        <v/>
      </c>
      <c r="M633" s="7">
        <f>'1 datos preparados'!L626</f>
        <v/>
      </c>
      <c r="N633" s="7">
        <f>'1 datos preparados'!M626</f>
        <v/>
      </c>
      <c r="O633" s="7">
        <f>'1 datos preparados'!N626</f>
        <v/>
      </c>
      <c r="P633" s="7">
        <f>'1 datos preparados'!O626</f>
        <v/>
      </c>
      <c r="Q633" s="7">
        <f>'1 datos preparados'!P626</f>
        <v/>
      </c>
      <c r="R633" s="7">
        <f>'1 datos preparados'!Q626</f>
        <v/>
      </c>
      <c r="S633" s="7">
        <f>'1 datos preparados'!R626</f>
        <v/>
      </c>
      <c r="T633" s="7">
        <f>'1 datos preparados'!S626</f>
        <v/>
      </c>
      <c r="U633" s="7">
        <f>'1 datos preparados'!T626</f>
        <v/>
      </c>
      <c r="V633" s="8">
        <f>$AC$12+D633*$AC$13+E633*$AC$14+F633*$AC$15+G633*$AC$16+H633*$AC$17+I633*$AC$18+J633*$AC$19+K633*$AC$20+L633*$AC$21+M633*$AC$22+N633*$AC$23+O633*$AC$24+P633*$AC$25+Q633*$AC$26+R633*$AC$27+S633*$AC$28+T633*$AC$29+U633*$AC$30</f>
        <v/>
      </c>
      <c r="W633" s="8">
        <f>1/(1+EXP(-V633))</f>
        <v/>
      </c>
      <c r="X633" s="9">
        <f>-IF(C633=1,LN(W633),LN(1-W633))</f>
        <v/>
      </c>
      <c r="Y633" s="10">
        <f>IF(W633&gt;$AC$34,1,0)</f>
        <v/>
      </c>
      <c r="Z633">
        <f>IF(Y633=C633,1,0)</f>
        <v/>
      </c>
    </row>
    <row r="634">
      <c r="A634">
        <f>'1 datos preparados'!A627</f>
        <v/>
      </c>
      <c r="B634" s="5">
        <f>'1 datos preparados'!U627</f>
        <v/>
      </c>
      <c r="C634">
        <f>'1 datos preparados'!B627</f>
        <v/>
      </c>
      <c r="D634" s="7">
        <f>'1 datos preparados'!C627</f>
        <v/>
      </c>
      <c r="E634" s="7">
        <f>'1 datos preparados'!D627</f>
        <v/>
      </c>
      <c r="F634" s="7">
        <f>'1 datos preparados'!E627</f>
        <v/>
      </c>
      <c r="G634" s="7">
        <f>'1 datos preparados'!F627</f>
        <v/>
      </c>
      <c r="H634" s="7">
        <f>'1 datos preparados'!G627</f>
        <v/>
      </c>
      <c r="I634" s="7">
        <f>'1 datos preparados'!H627</f>
        <v/>
      </c>
      <c r="J634" s="7">
        <f>'1 datos preparados'!I627</f>
        <v/>
      </c>
      <c r="K634" s="7">
        <f>'1 datos preparados'!J627</f>
        <v/>
      </c>
      <c r="L634" s="7">
        <f>'1 datos preparados'!K627</f>
        <v/>
      </c>
      <c r="M634" s="7">
        <f>'1 datos preparados'!L627</f>
        <v/>
      </c>
      <c r="N634" s="7">
        <f>'1 datos preparados'!M627</f>
        <v/>
      </c>
      <c r="O634" s="7">
        <f>'1 datos preparados'!N627</f>
        <v/>
      </c>
      <c r="P634" s="7">
        <f>'1 datos preparados'!O627</f>
        <v/>
      </c>
      <c r="Q634" s="7">
        <f>'1 datos preparados'!P627</f>
        <v/>
      </c>
      <c r="R634" s="7">
        <f>'1 datos preparados'!Q627</f>
        <v/>
      </c>
      <c r="S634" s="7">
        <f>'1 datos preparados'!R627</f>
        <v/>
      </c>
      <c r="T634" s="7">
        <f>'1 datos preparados'!S627</f>
        <v/>
      </c>
      <c r="U634" s="7">
        <f>'1 datos preparados'!T627</f>
        <v/>
      </c>
      <c r="V634" s="8">
        <f>$AC$12+D634*$AC$13+E634*$AC$14+F634*$AC$15+G634*$AC$16+H634*$AC$17+I634*$AC$18+J634*$AC$19+K634*$AC$20+L634*$AC$21+M634*$AC$22+N634*$AC$23+O634*$AC$24+P634*$AC$25+Q634*$AC$26+R634*$AC$27+S634*$AC$28+T634*$AC$29+U634*$AC$30</f>
        <v/>
      </c>
      <c r="W634" s="8">
        <f>1/(1+EXP(-V634))</f>
        <v/>
      </c>
      <c r="X634" s="9">
        <f>-IF(C634=1,LN(W634),LN(1-W634))</f>
        <v/>
      </c>
      <c r="Y634" s="10">
        <f>IF(W634&gt;$AC$34,1,0)</f>
        <v/>
      </c>
      <c r="Z634">
        <f>IF(Y634=C634,1,0)</f>
        <v/>
      </c>
    </row>
    <row r="635">
      <c r="A635">
        <f>'1 datos preparados'!A628</f>
        <v/>
      </c>
      <c r="B635" s="5">
        <f>'1 datos preparados'!U628</f>
        <v/>
      </c>
      <c r="C635">
        <f>'1 datos preparados'!B628</f>
        <v/>
      </c>
      <c r="D635" s="7">
        <f>'1 datos preparados'!C628</f>
        <v/>
      </c>
      <c r="E635" s="7">
        <f>'1 datos preparados'!D628</f>
        <v/>
      </c>
      <c r="F635" s="7">
        <f>'1 datos preparados'!E628</f>
        <v/>
      </c>
      <c r="G635" s="7">
        <f>'1 datos preparados'!F628</f>
        <v/>
      </c>
      <c r="H635" s="7">
        <f>'1 datos preparados'!G628</f>
        <v/>
      </c>
      <c r="I635" s="7">
        <f>'1 datos preparados'!H628</f>
        <v/>
      </c>
      <c r="J635" s="7">
        <f>'1 datos preparados'!I628</f>
        <v/>
      </c>
      <c r="K635" s="7">
        <f>'1 datos preparados'!J628</f>
        <v/>
      </c>
      <c r="L635" s="7">
        <f>'1 datos preparados'!K628</f>
        <v/>
      </c>
      <c r="M635" s="7">
        <f>'1 datos preparados'!L628</f>
        <v/>
      </c>
      <c r="N635" s="7">
        <f>'1 datos preparados'!M628</f>
        <v/>
      </c>
      <c r="O635" s="7">
        <f>'1 datos preparados'!N628</f>
        <v/>
      </c>
      <c r="P635" s="7">
        <f>'1 datos preparados'!O628</f>
        <v/>
      </c>
      <c r="Q635" s="7">
        <f>'1 datos preparados'!P628</f>
        <v/>
      </c>
      <c r="R635" s="7">
        <f>'1 datos preparados'!Q628</f>
        <v/>
      </c>
      <c r="S635" s="7">
        <f>'1 datos preparados'!R628</f>
        <v/>
      </c>
      <c r="T635" s="7">
        <f>'1 datos preparados'!S628</f>
        <v/>
      </c>
      <c r="U635" s="7">
        <f>'1 datos preparados'!T628</f>
        <v/>
      </c>
      <c r="V635" s="8">
        <f>$AC$12+D635*$AC$13+E635*$AC$14+F635*$AC$15+G635*$AC$16+H635*$AC$17+I635*$AC$18+J635*$AC$19+K635*$AC$20+L635*$AC$21+M635*$AC$22+N635*$AC$23+O635*$AC$24+P635*$AC$25+Q635*$AC$26+R635*$AC$27+S635*$AC$28+T635*$AC$29+U635*$AC$30</f>
        <v/>
      </c>
      <c r="W635" s="8">
        <f>1/(1+EXP(-V635))</f>
        <v/>
      </c>
      <c r="X635" s="9">
        <f>-IF(C635=1,LN(W635),LN(1-W635))</f>
        <v/>
      </c>
      <c r="Y635" s="10">
        <f>IF(W635&gt;$AC$34,1,0)</f>
        <v/>
      </c>
      <c r="Z635">
        <f>IF(Y635=C635,1,0)</f>
        <v/>
      </c>
    </row>
    <row r="636">
      <c r="A636">
        <f>'1 datos preparados'!A629</f>
        <v/>
      </c>
      <c r="B636" s="5">
        <f>'1 datos preparados'!U629</f>
        <v/>
      </c>
      <c r="C636">
        <f>'1 datos preparados'!B629</f>
        <v/>
      </c>
      <c r="D636" s="7">
        <f>'1 datos preparados'!C629</f>
        <v/>
      </c>
      <c r="E636" s="7">
        <f>'1 datos preparados'!D629</f>
        <v/>
      </c>
      <c r="F636" s="7">
        <f>'1 datos preparados'!E629</f>
        <v/>
      </c>
      <c r="G636" s="7">
        <f>'1 datos preparados'!F629</f>
        <v/>
      </c>
      <c r="H636" s="7">
        <f>'1 datos preparados'!G629</f>
        <v/>
      </c>
      <c r="I636" s="7">
        <f>'1 datos preparados'!H629</f>
        <v/>
      </c>
      <c r="J636" s="7">
        <f>'1 datos preparados'!I629</f>
        <v/>
      </c>
      <c r="K636" s="7">
        <f>'1 datos preparados'!J629</f>
        <v/>
      </c>
      <c r="L636" s="7">
        <f>'1 datos preparados'!K629</f>
        <v/>
      </c>
      <c r="M636" s="7">
        <f>'1 datos preparados'!L629</f>
        <v/>
      </c>
      <c r="N636" s="7">
        <f>'1 datos preparados'!M629</f>
        <v/>
      </c>
      <c r="O636" s="7">
        <f>'1 datos preparados'!N629</f>
        <v/>
      </c>
      <c r="P636" s="7">
        <f>'1 datos preparados'!O629</f>
        <v/>
      </c>
      <c r="Q636" s="7">
        <f>'1 datos preparados'!P629</f>
        <v/>
      </c>
      <c r="R636" s="7">
        <f>'1 datos preparados'!Q629</f>
        <v/>
      </c>
      <c r="S636" s="7">
        <f>'1 datos preparados'!R629</f>
        <v/>
      </c>
      <c r="T636" s="7">
        <f>'1 datos preparados'!S629</f>
        <v/>
      </c>
      <c r="U636" s="7">
        <f>'1 datos preparados'!T629</f>
        <v/>
      </c>
      <c r="V636" s="8">
        <f>$AC$12+D636*$AC$13+E636*$AC$14+F636*$AC$15+G636*$AC$16+H636*$AC$17+I636*$AC$18+J636*$AC$19+K636*$AC$20+L636*$AC$21+M636*$AC$22+N636*$AC$23+O636*$AC$24+P636*$AC$25+Q636*$AC$26+R636*$AC$27+S636*$AC$28+T636*$AC$29+U636*$AC$30</f>
        <v/>
      </c>
      <c r="W636" s="8">
        <f>1/(1+EXP(-V636))</f>
        <v/>
      </c>
      <c r="X636" s="9">
        <f>-IF(C636=1,LN(W636),LN(1-W636))</f>
        <v/>
      </c>
      <c r="Y636" s="10">
        <f>IF(W636&gt;$AC$34,1,0)</f>
        <v/>
      </c>
      <c r="Z636">
        <f>IF(Y636=C636,1,0)</f>
        <v/>
      </c>
    </row>
    <row r="637">
      <c r="A637">
        <f>'1 datos preparados'!A630</f>
        <v/>
      </c>
      <c r="B637" s="5">
        <f>'1 datos preparados'!U630</f>
        <v/>
      </c>
      <c r="C637">
        <f>'1 datos preparados'!B630</f>
        <v/>
      </c>
      <c r="D637" s="7">
        <f>'1 datos preparados'!C630</f>
        <v/>
      </c>
      <c r="E637" s="7">
        <f>'1 datos preparados'!D630</f>
        <v/>
      </c>
      <c r="F637" s="7">
        <f>'1 datos preparados'!E630</f>
        <v/>
      </c>
      <c r="G637" s="7">
        <f>'1 datos preparados'!F630</f>
        <v/>
      </c>
      <c r="H637" s="7">
        <f>'1 datos preparados'!G630</f>
        <v/>
      </c>
      <c r="I637" s="7">
        <f>'1 datos preparados'!H630</f>
        <v/>
      </c>
      <c r="J637" s="7">
        <f>'1 datos preparados'!I630</f>
        <v/>
      </c>
      <c r="K637" s="7">
        <f>'1 datos preparados'!J630</f>
        <v/>
      </c>
      <c r="L637" s="7">
        <f>'1 datos preparados'!K630</f>
        <v/>
      </c>
      <c r="M637" s="7">
        <f>'1 datos preparados'!L630</f>
        <v/>
      </c>
      <c r="N637" s="7">
        <f>'1 datos preparados'!M630</f>
        <v/>
      </c>
      <c r="O637" s="7">
        <f>'1 datos preparados'!N630</f>
        <v/>
      </c>
      <c r="P637" s="7">
        <f>'1 datos preparados'!O630</f>
        <v/>
      </c>
      <c r="Q637" s="7">
        <f>'1 datos preparados'!P630</f>
        <v/>
      </c>
      <c r="R637" s="7">
        <f>'1 datos preparados'!Q630</f>
        <v/>
      </c>
      <c r="S637" s="7">
        <f>'1 datos preparados'!R630</f>
        <v/>
      </c>
      <c r="T637" s="7">
        <f>'1 datos preparados'!S630</f>
        <v/>
      </c>
      <c r="U637" s="7">
        <f>'1 datos preparados'!T630</f>
        <v/>
      </c>
      <c r="V637" s="8">
        <f>$AC$12+D637*$AC$13+E637*$AC$14+F637*$AC$15+G637*$AC$16+H637*$AC$17+I637*$AC$18+J637*$AC$19+K637*$AC$20+L637*$AC$21+M637*$AC$22+N637*$AC$23+O637*$AC$24+P637*$AC$25+Q637*$AC$26+R637*$AC$27+S637*$AC$28+T637*$AC$29+U637*$AC$30</f>
        <v/>
      </c>
      <c r="W637" s="8">
        <f>1/(1+EXP(-V637))</f>
        <v/>
      </c>
      <c r="X637" s="9">
        <f>-IF(C637=1,LN(W637),LN(1-W637))</f>
        <v/>
      </c>
      <c r="Y637" s="10">
        <f>IF(W637&gt;$AC$34,1,0)</f>
        <v/>
      </c>
      <c r="Z637">
        <f>IF(Y637=C637,1,0)</f>
        <v/>
      </c>
    </row>
    <row r="638">
      <c r="A638">
        <f>'1 datos preparados'!A631</f>
        <v/>
      </c>
      <c r="B638" s="5">
        <f>'1 datos preparados'!U631</f>
        <v/>
      </c>
      <c r="C638">
        <f>'1 datos preparados'!B631</f>
        <v/>
      </c>
      <c r="D638" s="7">
        <f>'1 datos preparados'!C631</f>
        <v/>
      </c>
      <c r="E638" s="7">
        <f>'1 datos preparados'!D631</f>
        <v/>
      </c>
      <c r="F638" s="7">
        <f>'1 datos preparados'!E631</f>
        <v/>
      </c>
      <c r="G638" s="7">
        <f>'1 datos preparados'!F631</f>
        <v/>
      </c>
      <c r="H638" s="7">
        <f>'1 datos preparados'!G631</f>
        <v/>
      </c>
      <c r="I638" s="7">
        <f>'1 datos preparados'!H631</f>
        <v/>
      </c>
      <c r="J638" s="7">
        <f>'1 datos preparados'!I631</f>
        <v/>
      </c>
      <c r="K638" s="7">
        <f>'1 datos preparados'!J631</f>
        <v/>
      </c>
      <c r="L638" s="7">
        <f>'1 datos preparados'!K631</f>
        <v/>
      </c>
      <c r="M638" s="7">
        <f>'1 datos preparados'!L631</f>
        <v/>
      </c>
      <c r="N638" s="7">
        <f>'1 datos preparados'!M631</f>
        <v/>
      </c>
      <c r="O638" s="7">
        <f>'1 datos preparados'!N631</f>
        <v/>
      </c>
      <c r="P638" s="7">
        <f>'1 datos preparados'!O631</f>
        <v/>
      </c>
      <c r="Q638" s="7">
        <f>'1 datos preparados'!P631</f>
        <v/>
      </c>
      <c r="R638" s="7">
        <f>'1 datos preparados'!Q631</f>
        <v/>
      </c>
      <c r="S638" s="7">
        <f>'1 datos preparados'!R631</f>
        <v/>
      </c>
      <c r="T638" s="7">
        <f>'1 datos preparados'!S631</f>
        <v/>
      </c>
      <c r="U638" s="7">
        <f>'1 datos preparados'!T631</f>
        <v/>
      </c>
      <c r="V638" s="8">
        <f>$AC$12+D638*$AC$13+E638*$AC$14+F638*$AC$15+G638*$AC$16+H638*$AC$17+I638*$AC$18+J638*$AC$19+K638*$AC$20+L638*$AC$21+M638*$AC$22+N638*$AC$23+O638*$AC$24+P638*$AC$25+Q638*$AC$26+R638*$AC$27+S638*$AC$28+T638*$AC$29+U638*$AC$30</f>
        <v/>
      </c>
      <c r="W638" s="8">
        <f>1/(1+EXP(-V638))</f>
        <v/>
      </c>
      <c r="X638" s="9">
        <f>-IF(C638=1,LN(W638),LN(1-W638))</f>
        <v/>
      </c>
      <c r="Y638" s="10">
        <f>IF(W638&gt;$AC$34,1,0)</f>
        <v/>
      </c>
      <c r="Z638">
        <f>IF(Y638=C638,1,0)</f>
        <v/>
      </c>
    </row>
    <row r="639">
      <c r="A639">
        <f>'1 datos preparados'!A632</f>
        <v/>
      </c>
      <c r="B639" s="5">
        <f>'1 datos preparados'!U632</f>
        <v/>
      </c>
      <c r="C639">
        <f>'1 datos preparados'!B632</f>
        <v/>
      </c>
      <c r="D639" s="7">
        <f>'1 datos preparados'!C632</f>
        <v/>
      </c>
      <c r="E639" s="7">
        <f>'1 datos preparados'!D632</f>
        <v/>
      </c>
      <c r="F639" s="7">
        <f>'1 datos preparados'!E632</f>
        <v/>
      </c>
      <c r="G639" s="7">
        <f>'1 datos preparados'!F632</f>
        <v/>
      </c>
      <c r="H639" s="7">
        <f>'1 datos preparados'!G632</f>
        <v/>
      </c>
      <c r="I639" s="7">
        <f>'1 datos preparados'!H632</f>
        <v/>
      </c>
      <c r="J639" s="7">
        <f>'1 datos preparados'!I632</f>
        <v/>
      </c>
      <c r="K639" s="7">
        <f>'1 datos preparados'!J632</f>
        <v/>
      </c>
      <c r="L639" s="7">
        <f>'1 datos preparados'!K632</f>
        <v/>
      </c>
      <c r="M639" s="7">
        <f>'1 datos preparados'!L632</f>
        <v/>
      </c>
      <c r="N639" s="7">
        <f>'1 datos preparados'!M632</f>
        <v/>
      </c>
      <c r="O639" s="7">
        <f>'1 datos preparados'!N632</f>
        <v/>
      </c>
      <c r="P639" s="7">
        <f>'1 datos preparados'!O632</f>
        <v/>
      </c>
      <c r="Q639" s="7">
        <f>'1 datos preparados'!P632</f>
        <v/>
      </c>
      <c r="R639" s="7">
        <f>'1 datos preparados'!Q632</f>
        <v/>
      </c>
      <c r="S639" s="7">
        <f>'1 datos preparados'!R632</f>
        <v/>
      </c>
      <c r="T639" s="7">
        <f>'1 datos preparados'!S632</f>
        <v/>
      </c>
      <c r="U639" s="7">
        <f>'1 datos preparados'!T632</f>
        <v/>
      </c>
      <c r="V639" s="8">
        <f>$AC$12+D639*$AC$13+E639*$AC$14+F639*$AC$15+G639*$AC$16+H639*$AC$17+I639*$AC$18+J639*$AC$19+K639*$AC$20+L639*$AC$21+M639*$AC$22+N639*$AC$23+O639*$AC$24+P639*$AC$25+Q639*$AC$26+R639*$AC$27+S639*$AC$28+T639*$AC$29+U639*$AC$30</f>
        <v/>
      </c>
      <c r="W639" s="8">
        <f>1/(1+EXP(-V639))</f>
        <v/>
      </c>
      <c r="X639" s="9">
        <f>-IF(C639=1,LN(W639),LN(1-W639))</f>
        <v/>
      </c>
      <c r="Y639" s="10">
        <f>IF(W639&gt;$AC$34,1,0)</f>
        <v/>
      </c>
      <c r="Z639">
        <f>IF(Y639=C639,1,0)</f>
        <v/>
      </c>
    </row>
    <row r="640">
      <c r="A640">
        <f>'1 datos preparados'!A633</f>
        <v/>
      </c>
      <c r="B640" s="5">
        <f>'1 datos preparados'!U633</f>
        <v/>
      </c>
      <c r="C640">
        <f>'1 datos preparados'!B633</f>
        <v/>
      </c>
      <c r="D640" s="7">
        <f>'1 datos preparados'!C633</f>
        <v/>
      </c>
      <c r="E640" s="7">
        <f>'1 datos preparados'!D633</f>
        <v/>
      </c>
      <c r="F640" s="7">
        <f>'1 datos preparados'!E633</f>
        <v/>
      </c>
      <c r="G640" s="7">
        <f>'1 datos preparados'!F633</f>
        <v/>
      </c>
      <c r="H640" s="7">
        <f>'1 datos preparados'!G633</f>
        <v/>
      </c>
      <c r="I640" s="7">
        <f>'1 datos preparados'!H633</f>
        <v/>
      </c>
      <c r="J640" s="7">
        <f>'1 datos preparados'!I633</f>
        <v/>
      </c>
      <c r="K640" s="7">
        <f>'1 datos preparados'!J633</f>
        <v/>
      </c>
      <c r="L640" s="7">
        <f>'1 datos preparados'!K633</f>
        <v/>
      </c>
      <c r="M640" s="7">
        <f>'1 datos preparados'!L633</f>
        <v/>
      </c>
      <c r="N640" s="7">
        <f>'1 datos preparados'!M633</f>
        <v/>
      </c>
      <c r="O640" s="7">
        <f>'1 datos preparados'!N633</f>
        <v/>
      </c>
      <c r="P640" s="7">
        <f>'1 datos preparados'!O633</f>
        <v/>
      </c>
      <c r="Q640" s="7">
        <f>'1 datos preparados'!P633</f>
        <v/>
      </c>
      <c r="R640" s="7">
        <f>'1 datos preparados'!Q633</f>
        <v/>
      </c>
      <c r="S640" s="7">
        <f>'1 datos preparados'!R633</f>
        <v/>
      </c>
      <c r="T640" s="7">
        <f>'1 datos preparados'!S633</f>
        <v/>
      </c>
      <c r="U640" s="7">
        <f>'1 datos preparados'!T633</f>
        <v/>
      </c>
      <c r="V640" s="8">
        <f>$AC$12+D640*$AC$13+E640*$AC$14+F640*$AC$15+G640*$AC$16+H640*$AC$17+I640*$AC$18+J640*$AC$19+K640*$AC$20+L640*$AC$21+M640*$AC$22+N640*$AC$23+O640*$AC$24+P640*$AC$25+Q640*$AC$26+R640*$AC$27+S640*$AC$28+T640*$AC$29+U640*$AC$30</f>
        <v/>
      </c>
      <c r="W640" s="8">
        <f>1/(1+EXP(-V640))</f>
        <v/>
      </c>
      <c r="X640" s="9">
        <f>-IF(C640=1,LN(W640),LN(1-W640))</f>
        <v/>
      </c>
      <c r="Y640" s="10">
        <f>IF(W640&gt;$AC$34,1,0)</f>
        <v/>
      </c>
      <c r="Z640">
        <f>IF(Y640=C640,1,0)</f>
        <v/>
      </c>
    </row>
    <row r="641">
      <c r="A641">
        <f>'1 datos preparados'!A634</f>
        <v/>
      </c>
      <c r="B641" s="5">
        <f>'1 datos preparados'!U634</f>
        <v/>
      </c>
      <c r="C641">
        <f>'1 datos preparados'!B634</f>
        <v/>
      </c>
      <c r="D641" s="7">
        <f>'1 datos preparados'!C634</f>
        <v/>
      </c>
      <c r="E641" s="7">
        <f>'1 datos preparados'!D634</f>
        <v/>
      </c>
      <c r="F641" s="7">
        <f>'1 datos preparados'!E634</f>
        <v/>
      </c>
      <c r="G641" s="7">
        <f>'1 datos preparados'!F634</f>
        <v/>
      </c>
      <c r="H641" s="7">
        <f>'1 datos preparados'!G634</f>
        <v/>
      </c>
      <c r="I641" s="7">
        <f>'1 datos preparados'!H634</f>
        <v/>
      </c>
      <c r="J641" s="7">
        <f>'1 datos preparados'!I634</f>
        <v/>
      </c>
      <c r="K641" s="7">
        <f>'1 datos preparados'!J634</f>
        <v/>
      </c>
      <c r="L641" s="7">
        <f>'1 datos preparados'!K634</f>
        <v/>
      </c>
      <c r="M641" s="7">
        <f>'1 datos preparados'!L634</f>
        <v/>
      </c>
      <c r="N641" s="7">
        <f>'1 datos preparados'!M634</f>
        <v/>
      </c>
      <c r="O641" s="7">
        <f>'1 datos preparados'!N634</f>
        <v/>
      </c>
      <c r="P641" s="7">
        <f>'1 datos preparados'!O634</f>
        <v/>
      </c>
      <c r="Q641" s="7">
        <f>'1 datos preparados'!P634</f>
        <v/>
      </c>
      <c r="R641" s="7">
        <f>'1 datos preparados'!Q634</f>
        <v/>
      </c>
      <c r="S641" s="7">
        <f>'1 datos preparados'!R634</f>
        <v/>
      </c>
      <c r="T641" s="7">
        <f>'1 datos preparados'!S634</f>
        <v/>
      </c>
      <c r="U641" s="7">
        <f>'1 datos preparados'!T634</f>
        <v/>
      </c>
      <c r="V641" s="8">
        <f>$AC$12+D641*$AC$13+E641*$AC$14+F641*$AC$15+G641*$AC$16+H641*$AC$17+I641*$AC$18+J641*$AC$19+K641*$AC$20+L641*$AC$21+M641*$AC$22+N641*$AC$23+O641*$AC$24+P641*$AC$25+Q641*$AC$26+R641*$AC$27+S641*$AC$28+T641*$AC$29+U641*$AC$30</f>
        <v/>
      </c>
      <c r="W641" s="8">
        <f>1/(1+EXP(-V641))</f>
        <v/>
      </c>
      <c r="X641" s="9">
        <f>-IF(C641=1,LN(W641),LN(1-W641))</f>
        <v/>
      </c>
      <c r="Y641" s="10">
        <f>IF(W641&gt;$AC$34,1,0)</f>
        <v/>
      </c>
      <c r="Z641">
        <f>IF(Y641=C641,1,0)</f>
        <v/>
      </c>
    </row>
    <row r="642">
      <c r="A642">
        <f>'1 datos preparados'!A635</f>
        <v/>
      </c>
      <c r="B642" s="5">
        <f>'1 datos preparados'!U635</f>
        <v/>
      </c>
      <c r="C642">
        <f>'1 datos preparados'!B635</f>
        <v/>
      </c>
      <c r="D642" s="7">
        <f>'1 datos preparados'!C635</f>
        <v/>
      </c>
      <c r="E642" s="7">
        <f>'1 datos preparados'!D635</f>
        <v/>
      </c>
      <c r="F642" s="7">
        <f>'1 datos preparados'!E635</f>
        <v/>
      </c>
      <c r="G642" s="7">
        <f>'1 datos preparados'!F635</f>
        <v/>
      </c>
      <c r="H642" s="7">
        <f>'1 datos preparados'!G635</f>
        <v/>
      </c>
      <c r="I642" s="7">
        <f>'1 datos preparados'!H635</f>
        <v/>
      </c>
      <c r="J642" s="7">
        <f>'1 datos preparados'!I635</f>
        <v/>
      </c>
      <c r="K642" s="7">
        <f>'1 datos preparados'!J635</f>
        <v/>
      </c>
      <c r="L642" s="7">
        <f>'1 datos preparados'!K635</f>
        <v/>
      </c>
      <c r="M642" s="7">
        <f>'1 datos preparados'!L635</f>
        <v/>
      </c>
      <c r="N642" s="7">
        <f>'1 datos preparados'!M635</f>
        <v/>
      </c>
      <c r="O642" s="7">
        <f>'1 datos preparados'!N635</f>
        <v/>
      </c>
      <c r="P642" s="7">
        <f>'1 datos preparados'!O635</f>
        <v/>
      </c>
      <c r="Q642" s="7">
        <f>'1 datos preparados'!P635</f>
        <v/>
      </c>
      <c r="R642" s="7">
        <f>'1 datos preparados'!Q635</f>
        <v/>
      </c>
      <c r="S642" s="7">
        <f>'1 datos preparados'!R635</f>
        <v/>
      </c>
      <c r="T642" s="7">
        <f>'1 datos preparados'!S635</f>
        <v/>
      </c>
      <c r="U642" s="7">
        <f>'1 datos preparados'!T635</f>
        <v/>
      </c>
      <c r="V642" s="8">
        <f>$AC$12+D642*$AC$13+E642*$AC$14+F642*$AC$15+G642*$AC$16+H642*$AC$17+I642*$AC$18+J642*$AC$19+K642*$AC$20+L642*$AC$21+M642*$AC$22+N642*$AC$23+O642*$AC$24+P642*$AC$25+Q642*$AC$26+R642*$AC$27+S642*$AC$28+T642*$AC$29+U642*$AC$30</f>
        <v/>
      </c>
      <c r="W642" s="8">
        <f>1/(1+EXP(-V642))</f>
        <v/>
      </c>
      <c r="X642" s="9">
        <f>-IF(C642=1,LN(W642),LN(1-W642))</f>
        <v/>
      </c>
      <c r="Y642" s="10">
        <f>IF(W642&gt;$AC$34,1,0)</f>
        <v/>
      </c>
      <c r="Z642">
        <f>IF(Y642=C642,1,0)</f>
        <v/>
      </c>
    </row>
    <row r="643">
      <c r="A643">
        <f>'1 datos preparados'!A636</f>
        <v/>
      </c>
      <c r="B643" s="5">
        <f>'1 datos preparados'!U636</f>
        <v/>
      </c>
      <c r="C643">
        <f>'1 datos preparados'!B636</f>
        <v/>
      </c>
      <c r="D643" s="7">
        <f>'1 datos preparados'!C636</f>
        <v/>
      </c>
      <c r="E643" s="7">
        <f>'1 datos preparados'!D636</f>
        <v/>
      </c>
      <c r="F643" s="7">
        <f>'1 datos preparados'!E636</f>
        <v/>
      </c>
      <c r="G643" s="7">
        <f>'1 datos preparados'!F636</f>
        <v/>
      </c>
      <c r="H643" s="7">
        <f>'1 datos preparados'!G636</f>
        <v/>
      </c>
      <c r="I643" s="7">
        <f>'1 datos preparados'!H636</f>
        <v/>
      </c>
      <c r="J643" s="7">
        <f>'1 datos preparados'!I636</f>
        <v/>
      </c>
      <c r="K643" s="7">
        <f>'1 datos preparados'!J636</f>
        <v/>
      </c>
      <c r="L643" s="7">
        <f>'1 datos preparados'!K636</f>
        <v/>
      </c>
      <c r="M643" s="7">
        <f>'1 datos preparados'!L636</f>
        <v/>
      </c>
      <c r="N643" s="7">
        <f>'1 datos preparados'!M636</f>
        <v/>
      </c>
      <c r="O643" s="7">
        <f>'1 datos preparados'!N636</f>
        <v/>
      </c>
      <c r="P643" s="7">
        <f>'1 datos preparados'!O636</f>
        <v/>
      </c>
      <c r="Q643" s="7">
        <f>'1 datos preparados'!P636</f>
        <v/>
      </c>
      <c r="R643" s="7">
        <f>'1 datos preparados'!Q636</f>
        <v/>
      </c>
      <c r="S643" s="7">
        <f>'1 datos preparados'!R636</f>
        <v/>
      </c>
      <c r="T643" s="7">
        <f>'1 datos preparados'!S636</f>
        <v/>
      </c>
      <c r="U643" s="7">
        <f>'1 datos preparados'!T636</f>
        <v/>
      </c>
      <c r="V643" s="8">
        <f>$AC$12+D643*$AC$13+E643*$AC$14+F643*$AC$15+G643*$AC$16+H643*$AC$17+I643*$AC$18+J643*$AC$19+K643*$AC$20+L643*$AC$21+M643*$AC$22+N643*$AC$23+O643*$AC$24+P643*$AC$25+Q643*$AC$26+R643*$AC$27+S643*$AC$28+T643*$AC$29+U643*$AC$30</f>
        <v/>
      </c>
      <c r="W643" s="8">
        <f>1/(1+EXP(-V643))</f>
        <v/>
      </c>
      <c r="X643" s="9">
        <f>-IF(C643=1,LN(W643),LN(1-W643))</f>
        <v/>
      </c>
      <c r="Y643" s="10">
        <f>IF(W643&gt;$AC$34,1,0)</f>
        <v/>
      </c>
      <c r="Z643">
        <f>IF(Y643=C643,1,0)</f>
        <v/>
      </c>
    </row>
    <row r="644">
      <c r="A644">
        <f>'1 datos preparados'!A637</f>
        <v/>
      </c>
      <c r="B644" s="5">
        <f>'1 datos preparados'!U637</f>
        <v/>
      </c>
      <c r="C644">
        <f>'1 datos preparados'!B637</f>
        <v/>
      </c>
      <c r="D644" s="7">
        <f>'1 datos preparados'!C637</f>
        <v/>
      </c>
      <c r="E644" s="7">
        <f>'1 datos preparados'!D637</f>
        <v/>
      </c>
      <c r="F644" s="7">
        <f>'1 datos preparados'!E637</f>
        <v/>
      </c>
      <c r="G644" s="7">
        <f>'1 datos preparados'!F637</f>
        <v/>
      </c>
      <c r="H644" s="7">
        <f>'1 datos preparados'!G637</f>
        <v/>
      </c>
      <c r="I644" s="7">
        <f>'1 datos preparados'!H637</f>
        <v/>
      </c>
      <c r="J644" s="7">
        <f>'1 datos preparados'!I637</f>
        <v/>
      </c>
      <c r="K644" s="7">
        <f>'1 datos preparados'!J637</f>
        <v/>
      </c>
      <c r="L644" s="7">
        <f>'1 datos preparados'!K637</f>
        <v/>
      </c>
      <c r="M644" s="7">
        <f>'1 datos preparados'!L637</f>
        <v/>
      </c>
      <c r="N644" s="7">
        <f>'1 datos preparados'!M637</f>
        <v/>
      </c>
      <c r="O644" s="7">
        <f>'1 datos preparados'!N637</f>
        <v/>
      </c>
      <c r="P644" s="7">
        <f>'1 datos preparados'!O637</f>
        <v/>
      </c>
      <c r="Q644" s="7">
        <f>'1 datos preparados'!P637</f>
        <v/>
      </c>
      <c r="R644" s="7">
        <f>'1 datos preparados'!Q637</f>
        <v/>
      </c>
      <c r="S644" s="7">
        <f>'1 datos preparados'!R637</f>
        <v/>
      </c>
      <c r="T644" s="7">
        <f>'1 datos preparados'!S637</f>
        <v/>
      </c>
      <c r="U644" s="7">
        <f>'1 datos preparados'!T637</f>
        <v/>
      </c>
      <c r="V644" s="8">
        <f>$AC$12+D644*$AC$13+E644*$AC$14+F644*$AC$15+G644*$AC$16+H644*$AC$17+I644*$AC$18+J644*$AC$19+K644*$AC$20+L644*$AC$21+M644*$AC$22+N644*$AC$23+O644*$AC$24+P644*$AC$25+Q644*$AC$26+R644*$AC$27+S644*$AC$28+T644*$AC$29+U644*$AC$30</f>
        <v/>
      </c>
      <c r="W644" s="8">
        <f>1/(1+EXP(-V644))</f>
        <v/>
      </c>
      <c r="X644" s="9">
        <f>-IF(C644=1,LN(W644),LN(1-W644))</f>
        <v/>
      </c>
      <c r="Y644" s="10">
        <f>IF(W644&gt;$AC$34,1,0)</f>
        <v/>
      </c>
      <c r="Z644">
        <f>IF(Y644=C644,1,0)</f>
        <v/>
      </c>
    </row>
    <row r="645">
      <c r="A645">
        <f>'1 datos preparados'!A638</f>
        <v/>
      </c>
      <c r="B645" s="5">
        <f>'1 datos preparados'!U638</f>
        <v/>
      </c>
      <c r="C645">
        <f>'1 datos preparados'!B638</f>
        <v/>
      </c>
      <c r="D645" s="7">
        <f>'1 datos preparados'!C638</f>
        <v/>
      </c>
      <c r="E645" s="7">
        <f>'1 datos preparados'!D638</f>
        <v/>
      </c>
      <c r="F645" s="7">
        <f>'1 datos preparados'!E638</f>
        <v/>
      </c>
      <c r="G645" s="7">
        <f>'1 datos preparados'!F638</f>
        <v/>
      </c>
      <c r="H645" s="7">
        <f>'1 datos preparados'!G638</f>
        <v/>
      </c>
      <c r="I645" s="7">
        <f>'1 datos preparados'!H638</f>
        <v/>
      </c>
      <c r="J645" s="7">
        <f>'1 datos preparados'!I638</f>
        <v/>
      </c>
      <c r="K645" s="7">
        <f>'1 datos preparados'!J638</f>
        <v/>
      </c>
      <c r="L645" s="7">
        <f>'1 datos preparados'!K638</f>
        <v/>
      </c>
      <c r="M645" s="7">
        <f>'1 datos preparados'!L638</f>
        <v/>
      </c>
      <c r="N645" s="7">
        <f>'1 datos preparados'!M638</f>
        <v/>
      </c>
      <c r="O645" s="7">
        <f>'1 datos preparados'!N638</f>
        <v/>
      </c>
      <c r="P645" s="7">
        <f>'1 datos preparados'!O638</f>
        <v/>
      </c>
      <c r="Q645" s="7">
        <f>'1 datos preparados'!P638</f>
        <v/>
      </c>
      <c r="R645" s="7">
        <f>'1 datos preparados'!Q638</f>
        <v/>
      </c>
      <c r="S645" s="7">
        <f>'1 datos preparados'!R638</f>
        <v/>
      </c>
      <c r="T645" s="7">
        <f>'1 datos preparados'!S638</f>
        <v/>
      </c>
      <c r="U645" s="7">
        <f>'1 datos preparados'!T638</f>
        <v/>
      </c>
      <c r="V645" s="8">
        <f>$AC$12+D645*$AC$13+E645*$AC$14+F645*$AC$15+G645*$AC$16+H645*$AC$17+I645*$AC$18+J645*$AC$19+K645*$AC$20+L645*$AC$21+M645*$AC$22+N645*$AC$23+O645*$AC$24+P645*$AC$25+Q645*$AC$26+R645*$AC$27+S645*$AC$28+T645*$AC$29+U645*$AC$30</f>
        <v/>
      </c>
      <c r="W645" s="8">
        <f>1/(1+EXP(-V645))</f>
        <v/>
      </c>
      <c r="X645" s="9">
        <f>-IF(C645=1,LN(W645),LN(1-W645))</f>
        <v/>
      </c>
      <c r="Y645" s="10">
        <f>IF(W645&gt;$AC$34,1,0)</f>
        <v/>
      </c>
      <c r="Z645">
        <f>IF(Y645=C645,1,0)</f>
        <v/>
      </c>
    </row>
    <row r="646">
      <c r="A646">
        <f>'1 datos preparados'!A639</f>
        <v/>
      </c>
      <c r="B646" s="5">
        <f>'1 datos preparados'!U639</f>
        <v/>
      </c>
      <c r="C646">
        <f>'1 datos preparados'!B639</f>
        <v/>
      </c>
      <c r="D646" s="7">
        <f>'1 datos preparados'!C639</f>
        <v/>
      </c>
      <c r="E646" s="7">
        <f>'1 datos preparados'!D639</f>
        <v/>
      </c>
      <c r="F646" s="7">
        <f>'1 datos preparados'!E639</f>
        <v/>
      </c>
      <c r="G646" s="7">
        <f>'1 datos preparados'!F639</f>
        <v/>
      </c>
      <c r="H646" s="7">
        <f>'1 datos preparados'!G639</f>
        <v/>
      </c>
      <c r="I646" s="7">
        <f>'1 datos preparados'!H639</f>
        <v/>
      </c>
      <c r="J646" s="7">
        <f>'1 datos preparados'!I639</f>
        <v/>
      </c>
      <c r="K646" s="7">
        <f>'1 datos preparados'!J639</f>
        <v/>
      </c>
      <c r="L646" s="7">
        <f>'1 datos preparados'!K639</f>
        <v/>
      </c>
      <c r="M646" s="7">
        <f>'1 datos preparados'!L639</f>
        <v/>
      </c>
      <c r="N646" s="7">
        <f>'1 datos preparados'!M639</f>
        <v/>
      </c>
      <c r="O646" s="7">
        <f>'1 datos preparados'!N639</f>
        <v/>
      </c>
      <c r="P646" s="7">
        <f>'1 datos preparados'!O639</f>
        <v/>
      </c>
      <c r="Q646" s="7">
        <f>'1 datos preparados'!P639</f>
        <v/>
      </c>
      <c r="R646" s="7">
        <f>'1 datos preparados'!Q639</f>
        <v/>
      </c>
      <c r="S646" s="7">
        <f>'1 datos preparados'!R639</f>
        <v/>
      </c>
      <c r="T646" s="7">
        <f>'1 datos preparados'!S639</f>
        <v/>
      </c>
      <c r="U646" s="7">
        <f>'1 datos preparados'!T639</f>
        <v/>
      </c>
      <c r="V646" s="8">
        <f>$AC$12+D646*$AC$13+E646*$AC$14+F646*$AC$15+G646*$AC$16+H646*$AC$17+I646*$AC$18+J646*$AC$19+K646*$AC$20+L646*$AC$21+M646*$AC$22+N646*$AC$23+O646*$AC$24+P646*$AC$25+Q646*$AC$26+R646*$AC$27+S646*$AC$28+T646*$AC$29+U646*$AC$30</f>
        <v/>
      </c>
      <c r="W646" s="8">
        <f>1/(1+EXP(-V646))</f>
        <v/>
      </c>
      <c r="X646" s="9">
        <f>-IF(C646=1,LN(W646),LN(1-W646))</f>
        <v/>
      </c>
      <c r="Y646" s="10">
        <f>IF(W646&gt;$AC$34,1,0)</f>
        <v/>
      </c>
      <c r="Z646">
        <f>IF(Y646=C646,1,0)</f>
        <v/>
      </c>
    </row>
    <row r="647">
      <c r="A647">
        <f>'1 datos preparados'!A640</f>
        <v/>
      </c>
      <c r="B647" s="5">
        <f>'1 datos preparados'!U640</f>
        <v/>
      </c>
      <c r="C647">
        <f>'1 datos preparados'!B640</f>
        <v/>
      </c>
      <c r="D647" s="7">
        <f>'1 datos preparados'!C640</f>
        <v/>
      </c>
      <c r="E647" s="7">
        <f>'1 datos preparados'!D640</f>
        <v/>
      </c>
      <c r="F647" s="7">
        <f>'1 datos preparados'!E640</f>
        <v/>
      </c>
      <c r="G647" s="7">
        <f>'1 datos preparados'!F640</f>
        <v/>
      </c>
      <c r="H647" s="7">
        <f>'1 datos preparados'!G640</f>
        <v/>
      </c>
      <c r="I647" s="7">
        <f>'1 datos preparados'!H640</f>
        <v/>
      </c>
      <c r="J647" s="7">
        <f>'1 datos preparados'!I640</f>
        <v/>
      </c>
      <c r="K647" s="7">
        <f>'1 datos preparados'!J640</f>
        <v/>
      </c>
      <c r="L647" s="7">
        <f>'1 datos preparados'!K640</f>
        <v/>
      </c>
      <c r="M647" s="7">
        <f>'1 datos preparados'!L640</f>
        <v/>
      </c>
      <c r="N647" s="7">
        <f>'1 datos preparados'!M640</f>
        <v/>
      </c>
      <c r="O647" s="7">
        <f>'1 datos preparados'!N640</f>
        <v/>
      </c>
      <c r="P647" s="7">
        <f>'1 datos preparados'!O640</f>
        <v/>
      </c>
      <c r="Q647" s="7">
        <f>'1 datos preparados'!P640</f>
        <v/>
      </c>
      <c r="R647" s="7">
        <f>'1 datos preparados'!Q640</f>
        <v/>
      </c>
      <c r="S647" s="7">
        <f>'1 datos preparados'!R640</f>
        <v/>
      </c>
      <c r="T647" s="7">
        <f>'1 datos preparados'!S640</f>
        <v/>
      </c>
      <c r="U647" s="7">
        <f>'1 datos preparados'!T640</f>
        <v/>
      </c>
      <c r="V647" s="8">
        <f>$AC$12+D647*$AC$13+E647*$AC$14+F647*$AC$15+G647*$AC$16+H647*$AC$17+I647*$AC$18+J647*$AC$19+K647*$AC$20+L647*$AC$21+M647*$AC$22+N647*$AC$23+O647*$AC$24+P647*$AC$25+Q647*$AC$26+R647*$AC$27+S647*$AC$28+T647*$AC$29+U647*$AC$30</f>
        <v/>
      </c>
      <c r="W647" s="8">
        <f>1/(1+EXP(-V647))</f>
        <v/>
      </c>
      <c r="X647" s="9">
        <f>-IF(C647=1,LN(W647),LN(1-W647))</f>
        <v/>
      </c>
      <c r="Y647" s="10">
        <f>IF(W647&gt;$AC$34,1,0)</f>
        <v/>
      </c>
      <c r="Z647">
        <f>IF(Y647=C647,1,0)</f>
        <v/>
      </c>
    </row>
    <row r="648">
      <c r="A648">
        <f>'1 datos preparados'!A641</f>
        <v/>
      </c>
      <c r="B648" s="5">
        <f>'1 datos preparados'!U641</f>
        <v/>
      </c>
      <c r="C648">
        <f>'1 datos preparados'!B641</f>
        <v/>
      </c>
      <c r="D648" s="7">
        <f>'1 datos preparados'!C641</f>
        <v/>
      </c>
      <c r="E648" s="7">
        <f>'1 datos preparados'!D641</f>
        <v/>
      </c>
      <c r="F648" s="7">
        <f>'1 datos preparados'!E641</f>
        <v/>
      </c>
      <c r="G648" s="7">
        <f>'1 datos preparados'!F641</f>
        <v/>
      </c>
      <c r="H648" s="7">
        <f>'1 datos preparados'!G641</f>
        <v/>
      </c>
      <c r="I648" s="7">
        <f>'1 datos preparados'!H641</f>
        <v/>
      </c>
      <c r="J648" s="7">
        <f>'1 datos preparados'!I641</f>
        <v/>
      </c>
      <c r="K648" s="7">
        <f>'1 datos preparados'!J641</f>
        <v/>
      </c>
      <c r="L648" s="7">
        <f>'1 datos preparados'!K641</f>
        <v/>
      </c>
      <c r="M648" s="7">
        <f>'1 datos preparados'!L641</f>
        <v/>
      </c>
      <c r="N648" s="7">
        <f>'1 datos preparados'!M641</f>
        <v/>
      </c>
      <c r="O648" s="7">
        <f>'1 datos preparados'!N641</f>
        <v/>
      </c>
      <c r="P648" s="7">
        <f>'1 datos preparados'!O641</f>
        <v/>
      </c>
      <c r="Q648" s="7">
        <f>'1 datos preparados'!P641</f>
        <v/>
      </c>
      <c r="R648" s="7">
        <f>'1 datos preparados'!Q641</f>
        <v/>
      </c>
      <c r="S648" s="7">
        <f>'1 datos preparados'!R641</f>
        <v/>
      </c>
      <c r="T648" s="7">
        <f>'1 datos preparados'!S641</f>
        <v/>
      </c>
      <c r="U648" s="7">
        <f>'1 datos preparados'!T641</f>
        <v/>
      </c>
      <c r="V648" s="8">
        <f>$AC$12+D648*$AC$13+E648*$AC$14+F648*$AC$15+G648*$AC$16+H648*$AC$17+I648*$AC$18+J648*$AC$19+K648*$AC$20+L648*$AC$21+M648*$AC$22+N648*$AC$23+O648*$AC$24+P648*$AC$25+Q648*$AC$26+R648*$AC$27+S648*$AC$28+T648*$AC$29+U648*$AC$30</f>
        <v/>
      </c>
      <c r="W648" s="8">
        <f>1/(1+EXP(-V648))</f>
        <v/>
      </c>
      <c r="X648" s="9">
        <f>-IF(C648=1,LN(W648),LN(1-W648))</f>
        <v/>
      </c>
      <c r="Y648" s="10">
        <f>IF(W648&gt;$AC$34,1,0)</f>
        <v/>
      </c>
      <c r="Z648">
        <f>IF(Y648=C648,1,0)</f>
        <v/>
      </c>
    </row>
    <row r="649">
      <c r="A649">
        <f>'1 datos preparados'!A642</f>
        <v/>
      </c>
      <c r="B649" s="5">
        <f>'1 datos preparados'!U642</f>
        <v/>
      </c>
      <c r="C649">
        <f>'1 datos preparados'!B642</f>
        <v/>
      </c>
      <c r="D649" s="7">
        <f>'1 datos preparados'!C642</f>
        <v/>
      </c>
      <c r="E649" s="7">
        <f>'1 datos preparados'!D642</f>
        <v/>
      </c>
      <c r="F649" s="7">
        <f>'1 datos preparados'!E642</f>
        <v/>
      </c>
      <c r="G649" s="7">
        <f>'1 datos preparados'!F642</f>
        <v/>
      </c>
      <c r="H649" s="7">
        <f>'1 datos preparados'!G642</f>
        <v/>
      </c>
      <c r="I649" s="7">
        <f>'1 datos preparados'!H642</f>
        <v/>
      </c>
      <c r="J649" s="7">
        <f>'1 datos preparados'!I642</f>
        <v/>
      </c>
      <c r="K649" s="7">
        <f>'1 datos preparados'!J642</f>
        <v/>
      </c>
      <c r="L649" s="7">
        <f>'1 datos preparados'!K642</f>
        <v/>
      </c>
      <c r="M649" s="7">
        <f>'1 datos preparados'!L642</f>
        <v/>
      </c>
      <c r="N649" s="7">
        <f>'1 datos preparados'!M642</f>
        <v/>
      </c>
      <c r="O649" s="7">
        <f>'1 datos preparados'!N642</f>
        <v/>
      </c>
      <c r="P649" s="7">
        <f>'1 datos preparados'!O642</f>
        <v/>
      </c>
      <c r="Q649" s="7">
        <f>'1 datos preparados'!P642</f>
        <v/>
      </c>
      <c r="R649" s="7">
        <f>'1 datos preparados'!Q642</f>
        <v/>
      </c>
      <c r="S649" s="7">
        <f>'1 datos preparados'!R642</f>
        <v/>
      </c>
      <c r="T649" s="7">
        <f>'1 datos preparados'!S642</f>
        <v/>
      </c>
      <c r="U649" s="7">
        <f>'1 datos preparados'!T642</f>
        <v/>
      </c>
      <c r="V649" s="8">
        <f>$AC$12+D649*$AC$13+E649*$AC$14+F649*$AC$15+G649*$AC$16+H649*$AC$17+I649*$AC$18+J649*$AC$19+K649*$AC$20+L649*$AC$21+M649*$AC$22+N649*$AC$23+O649*$AC$24+P649*$AC$25+Q649*$AC$26+R649*$AC$27+S649*$AC$28+T649*$AC$29+U649*$AC$30</f>
        <v/>
      </c>
      <c r="W649" s="8">
        <f>1/(1+EXP(-V649))</f>
        <v/>
      </c>
      <c r="X649" s="9">
        <f>-IF(C649=1,LN(W649),LN(1-W649))</f>
        <v/>
      </c>
      <c r="Y649" s="10">
        <f>IF(W649&gt;$AC$34,1,0)</f>
        <v/>
      </c>
      <c r="Z649">
        <f>IF(Y649=C649,1,0)</f>
        <v/>
      </c>
    </row>
    <row r="650">
      <c r="A650">
        <f>'1 datos preparados'!A643</f>
        <v/>
      </c>
      <c r="B650" s="5">
        <f>'1 datos preparados'!U643</f>
        <v/>
      </c>
      <c r="C650">
        <f>'1 datos preparados'!B643</f>
        <v/>
      </c>
      <c r="D650" s="7">
        <f>'1 datos preparados'!C643</f>
        <v/>
      </c>
      <c r="E650" s="7">
        <f>'1 datos preparados'!D643</f>
        <v/>
      </c>
      <c r="F650" s="7">
        <f>'1 datos preparados'!E643</f>
        <v/>
      </c>
      <c r="G650" s="7">
        <f>'1 datos preparados'!F643</f>
        <v/>
      </c>
      <c r="H650" s="7">
        <f>'1 datos preparados'!G643</f>
        <v/>
      </c>
      <c r="I650" s="7">
        <f>'1 datos preparados'!H643</f>
        <v/>
      </c>
      <c r="J650" s="7">
        <f>'1 datos preparados'!I643</f>
        <v/>
      </c>
      <c r="K650" s="7">
        <f>'1 datos preparados'!J643</f>
        <v/>
      </c>
      <c r="L650" s="7">
        <f>'1 datos preparados'!K643</f>
        <v/>
      </c>
      <c r="M650" s="7">
        <f>'1 datos preparados'!L643</f>
        <v/>
      </c>
      <c r="N650" s="7">
        <f>'1 datos preparados'!M643</f>
        <v/>
      </c>
      <c r="O650" s="7">
        <f>'1 datos preparados'!N643</f>
        <v/>
      </c>
      <c r="P650" s="7">
        <f>'1 datos preparados'!O643</f>
        <v/>
      </c>
      <c r="Q650" s="7">
        <f>'1 datos preparados'!P643</f>
        <v/>
      </c>
      <c r="R650" s="7">
        <f>'1 datos preparados'!Q643</f>
        <v/>
      </c>
      <c r="S650" s="7">
        <f>'1 datos preparados'!R643</f>
        <v/>
      </c>
      <c r="T650" s="7">
        <f>'1 datos preparados'!S643</f>
        <v/>
      </c>
      <c r="U650" s="7">
        <f>'1 datos preparados'!T643</f>
        <v/>
      </c>
      <c r="V650" s="8">
        <f>$AC$12+D650*$AC$13+E650*$AC$14+F650*$AC$15+G650*$AC$16+H650*$AC$17+I650*$AC$18+J650*$AC$19+K650*$AC$20+L650*$AC$21+M650*$AC$22+N650*$AC$23+O650*$AC$24+P650*$AC$25+Q650*$AC$26+R650*$AC$27+S650*$AC$28+T650*$AC$29+U650*$AC$30</f>
        <v/>
      </c>
      <c r="W650" s="8">
        <f>1/(1+EXP(-V650))</f>
        <v/>
      </c>
      <c r="X650" s="9">
        <f>-IF(C650=1,LN(W650),LN(1-W650))</f>
        <v/>
      </c>
      <c r="Y650" s="10">
        <f>IF(W650&gt;$AC$34,1,0)</f>
        <v/>
      </c>
      <c r="Z650">
        <f>IF(Y650=C650,1,0)</f>
        <v/>
      </c>
    </row>
    <row r="651">
      <c r="A651">
        <f>'1 datos preparados'!A644</f>
        <v/>
      </c>
      <c r="B651" s="5">
        <f>'1 datos preparados'!U644</f>
        <v/>
      </c>
      <c r="C651">
        <f>'1 datos preparados'!B644</f>
        <v/>
      </c>
      <c r="D651" s="7">
        <f>'1 datos preparados'!C644</f>
        <v/>
      </c>
      <c r="E651" s="7">
        <f>'1 datos preparados'!D644</f>
        <v/>
      </c>
      <c r="F651" s="7">
        <f>'1 datos preparados'!E644</f>
        <v/>
      </c>
      <c r="G651" s="7">
        <f>'1 datos preparados'!F644</f>
        <v/>
      </c>
      <c r="H651" s="7">
        <f>'1 datos preparados'!G644</f>
        <v/>
      </c>
      <c r="I651" s="7">
        <f>'1 datos preparados'!H644</f>
        <v/>
      </c>
      <c r="J651" s="7">
        <f>'1 datos preparados'!I644</f>
        <v/>
      </c>
      <c r="K651" s="7">
        <f>'1 datos preparados'!J644</f>
        <v/>
      </c>
      <c r="L651" s="7">
        <f>'1 datos preparados'!K644</f>
        <v/>
      </c>
      <c r="M651" s="7">
        <f>'1 datos preparados'!L644</f>
        <v/>
      </c>
      <c r="N651" s="7">
        <f>'1 datos preparados'!M644</f>
        <v/>
      </c>
      <c r="O651" s="7">
        <f>'1 datos preparados'!N644</f>
        <v/>
      </c>
      <c r="P651" s="7">
        <f>'1 datos preparados'!O644</f>
        <v/>
      </c>
      <c r="Q651" s="7">
        <f>'1 datos preparados'!P644</f>
        <v/>
      </c>
      <c r="R651" s="7">
        <f>'1 datos preparados'!Q644</f>
        <v/>
      </c>
      <c r="S651" s="7">
        <f>'1 datos preparados'!R644</f>
        <v/>
      </c>
      <c r="T651" s="7">
        <f>'1 datos preparados'!S644</f>
        <v/>
      </c>
      <c r="U651" s="7">
        <f>'1 datos preparados'!T644</f>
        <v/>
      </c>
      <c r="V651" s="8">
        <f>$AC$12+D651*$AC$13+E651*$AC$14+F651*$AC$15+G651*$AC$16+H651*$AC$17+I651*$AC$18+J651*$AC$19+K651*$AC$20+L651*$AC$21+M651*$AC$22+N651*$AC$23+O651*$AC$24+P651*$AC$25+Q651*$AC$26+R651*$AC$27+S651*$AC$28+T651*$AC$29+U651*$AC$30</f>
        <v/>
      </c>
      <c r="W651" s="8">
        <f>1/(1+EXP(-V651))</f>
        <v/>
      </c>
      <c r="X651" s="9">
        <f>-IF(C651=1,LN(W651),LN(1-W651))</f>
        <v/>
      </c>
      <c r="Y651" s="10">
        <f>IF(W651&gt;$AC$34,1,0)</f>
        <v/>
      </c>
      <c r="Z651">
        <f>IF(Y651=C651,1,0)</f>
        <v/>
      </c>
    </row>
    <row r="652">
      <c r="A652">
        <f>'1 datos preparados'!A645</f>
        <v/>
      </c>
      <c r="B652" s="5">
        <f>'1 datos preparados'!U645</f>
        <v/>
      </c>
      <c r="C652">
        <f>'1 datos preparados'!B645</f>
        <v/>
      </c>
      <c r="D652" s="7">
        <f>'1 datos preparados'!C645</f>
        <v/>
      </c>
      <c r="E652" s="7">
        <f>'1 datos preparados'!D645</f>
        <v/>
      </c>
      <c r="F652" s="7">
        <f>'1 datos preparados'!E645</f>
        <v/>
      </c>
      <c r="G652" s="7">
        <f>'1 datos preparados'!F645</f>
        <v/>
      </c>
      <c r="H652" s="7">
        <f>'1 datos preparados'!G645</f>
        <v/>
      </c>
      <c r="I652" s="7">
        <f>'1 datos preparados'!H645</f>
        <v/>
      </c>
      <c r="J652" s="7">
        <f>'1 datos preparados'!I645</f>
        <v/>
      </c>
      <c r="K652" s="7">
        <f>'1 datos preparados'!J645</f>
        <v/>
      </c>
      <c r="L652" s="7">
        <f>'1 datos preparados'!K645</f>
        <v/>
      </c>
      <c r="M652" s="7">
        <f>'1 datos preparados'!L645</f>
        <v/>
      </c>
      <c r="N652" s="7">
        <f>'1 datos preparados'!M645</f>
        <v/>
      </c>
      <c r="O652" s="7">
        <f>'1 datos preparados'!N645</f>
        <v/>
      </c>
      <c r="P652" s="7">
        <f>'1 datos preparados'!O645</f>
        <v/>
      </c>
      <c r="Q652" s="7">
        <f>'1 datos preparados'!P645</f>
        <v/>
      </c>
      <c r="R652" s="7">
        <f>'1 datos preparados'!Q645</f>
        <v/>
      </c>
      <c r="S652" s="7">
        <f>'1 datos preparados'!R645</f>
        <v/>
      </c>
      <c r="T652" s="7">
        <f>'1 datos preparados'!S645</f>
        <v/>
      </c>
      <c r="U652" s="7">
        <f>'1 datos preparados'!T645</f>
        <v/>
      </c>
      <c r="V652" s="8">
        <f>$AC$12+D652*$AC$13+E652*$AC$14+F652*$AC$15+G652*$AC$16+H652*$AC$17+I652*$AC$18+J652*$AC$19+K652*$AC$20+L652*$AC$21+M652*$AC$22+N652*$AC$23+O652*$AC$24+P652*$AC$25+Q652*$AC$26+R652*$AC$27+S652*$AC$28+T652*$AC$29+U652*$AC$30</f>
        <v/>
      </c>
      <c r="W652" s="8">
        <f>1/(1+EXP(-V652))</f>
        <v/>
      </c>
      <c r="X652" s="9">
        <f>-IF(C652=1,LN(W652),LN(1-W652))</f>
        <v/>
      </c>
      <c r="Y652" s="10">
        <f>IF(W652&gt;$AC$34,1,0)</f>
        <v/>
      </c>
      <c r="Z652">
        <f>IF(Y652=C652,1,0)</f>
        <v/>
      </c>
    </row>
    <row r="653">
      <c r="A653">
        <f>'1 datos preparados'!A646</f>
        <v/>
      </c>
      <c r="B653" s="5">
        <f>'1 datos preparados'!U646</f>
        <v/>
      </c>
      <c r="C653">
        <f>'1 datos preparados'!B646</f>
        <v/>
      </c>
      <c r="D653" s="7">
        <f>'1 datos preparados'!C646</f>
        <v/>
      </c>
      <c r="E653" s="7">
        <f>'1 datos preparados'!D646</f>
        <v/>
      </c>
      <c r="F653" s="7">
        <f>'1 datos preparados'!E646</f>
        <v/>
      </c>
      <c r="G653" s="7">
        <f>'1 datos preparados'!F646</f>
        <v/>
      </c>
      <c r="H653" s="7">
        <f>'1 datos preparados'!G646</f>
        <v/>
      </c>
      <c r="I653" s="7">
        <f>'1 datos preparados'!H646</f>
        <v/>
      </c>
      <c r="J653" s="7">
        <f>'1 datos preparados'!I646</f>
        <v/>
      </c>
      <c r="K653" s="7">
        <f>'1 datos preparados'!J646</f>
        <v/>
      </c>
      <c r="L653" s="7">
        <f>'1 datos preparados'!K646</f>
        <v/>
      </c>
      <c r="M653" s="7">
        <f>'1 datos preparados'!L646</f>
        <v/>
      </c>
      <c r="N653" s="7">
        <f>'1 datos preparados'!M646</f>
        <v/>
      </c>
      <c r="O653" s="7">
        <f>'1 datos preparados'!N646</f>
        <v/>
      </c>
      <c r="P653" s="7">
        <f>'1 datos preparados'!O646</f>
        <v/>
      </c>
      <c r="Q653" s="7">
        <f>'1 datos preparados'!P646</f>
        <v/>
      </c>
      <c r="R653" s="7">
        <f>'1 datos preparados'!Q646</f>
        <v/>
      </c>
      <c r="S653" s="7">
        <f>'1 datos preparados'!R646</f>
        <v/>
      </c>
      <c r="T653" s="7">
        <f>'1 datos preparados'!S646</f>
        <v/>
      </c>
      <c r="U653" s="7">
        <f>'1 datos preparados'!T646</f>
        <v/>
      </c>
      <c r="V653" s="8">
        <f>$AC$12+D653*$AC$13+E653*$AC$14+F653*$AC$15+G653*$AC$16+H653*$AC$17+I653*$AC$18+J653*$AC$19+K653*$AC$20+L653*$AC$21+M653*$AC$22+N653*$AC$23+O653*$AC$24+P653*$AC$25+Q653*$AC$26+R653*$AC$27+S653*$AC$28+T653*$AC$29+U653*$AC$30</f>
        <v/>
      </c>
      <c r="W653" s="8">
        <f>1/(1+EXP(-V653))</f>
        <v/>
      </c>
      <c r="X653" s="9">
        <f>-IF(C653=1,LN(W653),LN(1-W653))</f>
        <v/>
      </c>
      <c r="Y653" s="10">
        <f>IF(W653&gt;$AC$34,1,0)</f>
        <v/>
      </c>
      <c r="Z653">
        <f>IF(Y653=C653,1,0)</f>
        <v/>
      </c>
    </row>
    <row r="654">
      <c r="A654">
        <f>'1 datos preparados'!A647</f>
        <v/>
      </c>
      <c r="B654" s="5">
        <f>'1 datos preparados'!U647</f>
        <v/>
      </c>
      <c r="C654">
        <f>'1 datos preparados'!B647</f>
        <v/>
      </c>
      <c r="D654" s="7">
        <f>'1 datos preparados'!C647</f>
        <v/>
      </c>
      <c r="E654" s="7">
        <f>'1 datos preparados'!D647</f>
        <v/>
      </c>
      <c r="F654" s="7">
        <f>'1 datos preparados'!E647</f>
        <v/>
      </c>
      <c r="G654" s="7">
        <f>'1 datos preparados'!F647</f>
        <v/>
      </c>
      <c r="H654" s="7">
        <f>'1 datos preparados'!G647</f>
        <v/>
      </c>
      <c r="I654" s="7">
        <f>'1 datos preparados'!H647</f>
        <v/>
      </c>
      <c r="J654" s="7">
        <f>'1 datos preparados'!I647</f>
        <v/>
      </c>
      <c r="K654" s="7">
        <f>'1 datos preparados'!J647</f>
        <v/>
      </c>
      <c r="L654" s="7">
        <f>'1 datos preparados'!K647</f>
        <v/>
      </c>
      <c r="M654" s="7">
        <f>'1 datos preparados'!L647</f>
        <v/>
      </c>
      <c r="N654" s="7">
        <f>'1 datos preparados'!M647</f>
        <v/>
      </c>
      <c r="O654" s="7">
        <f>'1 datos preparados'!N647</f>
        <v/>
      </c>
      <c r="P654" s="7">
        <f>'1 datos preparados'!O647</f>
        <v/>
      </c>
      <c r="Q654" s="7">
        <f>'1 datos preparados'!P647</f>
        <v/>
      </c>
      <c r="R654" s="7">
        <f>'1 datos preparados'!Q647</f>
        <v/>
      </c>
      <c r="S654" s="7">
        <f>'1 datos preparados'!R647</f>
        <v/>
      </c>
      <c r="T654" s="7">
        <f>'1 datos preparados'!S647</f>
        <v/>
      </c>
      <c r="U654" s="7">
        <f>'1 datos preparados'!T647</f>
        <v/>
      </c>
      <c r="V654" s="8">
        <f>$AC$12+D654*$AC$13+E654*$AC$14+F654*$AC$15+G654*$AC$16+H654*$AC$17+I654*$AC$18+J654*$AC$19+K654*$AC$20+L654*$AC$21+M654*$AC$22+N654*$AC$23+O654*$AC$24+P654*$AC$25+Q654*$AC$26+R654*$AC$27+S654*$AC$28+T654*$AC$29+U654*$AC$30</f>
        <v/>
      </c>
      <c r="W654" s="8">
        <f>1/(1+EXP(-V654))</f>
        <v/>
      </c>
      <c r="X654" s="9">
        <f>-IF(C654=1,LN(W654),LN(1-W654))</f>
        <v/>
      </c>
      <c r="Y654" s="10">
        <f>IF(W654&gt;$AC$34,1,0)</f>
        <v/>
      </c>
      <c r="Z654">
        <f>IF(Y654=C654,1,0)</f>
        <v/>
      </c>
    </row>
    <row r="655">
      <c r="A655">
        <f>'1 datos preparados'!A648</f>
        <v/>
      </c>
      <c r="B655" s="5">
        <f>'1 datos preparados'!U648</f>
        <v/>
      </c>
      <c r="C655">
        <f>'1 datos preparados'!B648</f>
        <v/>
      </c>
      <c r="D655" s="7">
        <f>'1 datos preparados'!C648</f>
        <v/>
      </c>
      <c r="E655" s="7">
        <f>'1 datos preparados'!D648</f>
        <v/>
      </c>
      <c r="F655" s="7">
        <f>'1 datos preparados'!E648</f>
        <v/>
      </c>
      <c r="G655" s="7">
        <f>'1 datos preparados'!F648</f>
        <v/>
      </c>
      <c r="H655" s="7">
        <f>'1 datos preparados'!G648</f>
        <v/>
      </c>
      <c r="I655" s="7">
        <f>'1 datos preparados'!H648</f>
        <v/>
      </c>
      <c r="J655" s="7">
        <f>'1 datos preparados'!I648</f>
        <v/>
      </c>
      <c r="K655" s="7">
        <f>'1 datos preparados'!J648</f>
        <v/>
      </c>
      <c r="L655" s="7">
        <f>'1 datos preparados'!K648</f>
        <v/>
      </c>
      <c r="M655" s="7">
        <f>'1 datos preparados'!L648</f>
        <v/>
      </c>
      <c r="N655" s="7">
        <f>'1 datos preparados'!M648</f>
        <v/>
      </c>
      <c r="O655" s="7">
        <f>'1 datos preparados'!N648</f>
        <v/>
      </c>
      <c r="P655" s="7">
        <f>'1 datos preparados'!O648</f>
        <v/>
      </c>
      <c r="Q655" s="7">
        <f>'1 datos preparados'!P648</f>
        <v/>
      </c>
      <c r="R655" s="7">
        <f>'1 datos preparados'!Q648</f>
        <v/>
      </c>
      <c r="S655" s="7">
        <f>'1 datos preparados'!R648</f>
        <v/>
      </c>
      <c r="T655" s="7">
        <f>'1 datos preparados'!S648</f>
        <v/>
      </c>
      <c r="U655" s="7">
        <f>'1 datos preparados'!T648</f>
        <v/>
      </c>
      <c r="V655" s="8">
        <f>$AC$12+D655*$AC$13+E655*$AC$14+F655*$AC$15+G655*$AC$16+H655*$AC$17+I655*$AC$18+J655*$AC$19+K655*$AC$20+L655*$AC$21+M655*$AC$22+N655*$AC$23+O655*$AC$24+P655*$AC$25+Q655*$AC$26+R655*$AC$27+S655*$AC$28+T655*$AC$29+U655*$AC$30</f>
        <v/>
      </c>
      <c r="W655" s="8">
        <f>1/(1+EXP(-V655))</f>
        <v/>
      </c>
      <c r="X655" s="9">
        <f>-IF(C655=1,LN(W655),LN(1-W655))</f>
        <v/>
      </c>
      <c r="Y655" s="10">
        <f>IF(W655&gt;$AC$34,1,0)</f>
        <v/>
      </c>
      <c r="Z655">
        <f>IF(Y655=C655,1,0)</f>
        <v/>
      </c>
    </row>
    <row r="656">
      <c r="A656">
        <f>'1 datos preparados'!A649</f>
        <v/>
      </c>
      <c r="B656" s="5">
        <f>'1 datos preparados'!U649</f>
        <v/>
      </c>
      <c r="C656">
        <f>'1 datos preparados'!B649</f>
        <v/>
      </c>
      <c r="D656" s="7">
        <f>'1 datos preparados'!C649</f>
        <v/>
      </c>
      <c r="E656" s="7">
        <f>'1 datos preparados'!D649</f>
        <v/>
      </c>
      <c r="F656" s="7">
        <f>'1 datos preparados'!E649</f>
        <v/>
      </c>
      <c r="G656" s="7">
        <f>'1 datos preparados'!F649</f>
        <v/>
      </c>
      <c r="H656" s="7">
        <f>'1 datos preparados'!G649</f>
        <v/>
      </c>
      <c r="I656" s="7">
        <f>'1 datos preparados'!H649</f>
        <v/>
      </c>
      <c r="J656" s="7">
        <f>'1 datos preparados'!I649</f>
        <v/>
      </c>
      <c r="K656" s="7">
        <f>'1 datos preparados'!J649</f>
        <v/>
      </c>
      <c r="L656" s="7">
        <f>'1 datos preparados'!K649</f>
        <v/>
      </c>
      <c r="M656" s="7">
        <f>'1 datos preparados'!L649</f>
        <v/>
      </c>
      <c r="N656" s="7">
        <f>'1 datos preparados'!M649</f>
        <v/>
      </c>
      <c r="O656" s="7">
        <f>'1 datos preparados'!N649</f>
        <v/>
      </c>
      <c r="P656" s="7">
        <f>'1 datos preparados'!O649</f>
        <v/>
      </c>
      <c r="Q656" s="7">
        <f>'1 datos preparados'!P649</f>
        <v/>
      </c>
      <c r="R656" s="7">
        <f>'1 datos preparados'!Q649</f>
        <v/>
      </c>
      <c r="S656" s="7">
        <f>'1 datos preparados'!R649</f>
        <v/>
      </c>
      <c r="T656" s="7">
        <f>'1 datos preparados'!S649</f>
        <v/>
      </c>
      <c r="U656" s="7">
        <f>'1 datos preparados'!T649</f>
        <v/>
      </c>
      <c r="V656" s="8">
        <f>$AC$12+D656*$AC$13+E656*$AC$14+F656*$AC$15+G656*$AC$16+H656*$AC$17+I656*$AC$18+J656*$AC$19+K656*$AC$20+L656*$AC$21+M656*$AC$22+N656*$AC$23+O656*$AC$24+P656*$AC$25+Q656*$AC$26+R656*$AC$27+S656*$AC$28+T656*$AC$29+U656*$AC$30</f>
        <v/>
      </c>
      <c r="W656" s="8">
        <f>1/(1+EXP(-V656))</f>
        <v/>
      </c>
      <c r="X656" s="9">
        <f>-IF(C656=1,LN(W656),LN(1-W656))</f>
        <v/>
      </c>
      <c r="Y656" s="10">
        <f>IF(W656&gt;$AC$34,1,0)</f>
        <v/>
      </c>
      <c r="Z656">
        <f>IF(Y656=C656,1,0)</f>
        <v/>
      </c>
    </row>
    <row r="657">
      <c r="A657">
        <f>'1 datos preparados'!A650</f>
        <v/>
      </c>
      <c r="B657" s="5">
        <f>'1 datos preparados'!U650</f>
        <v/>
      </c>
      <c r="C657">
        <f>'1 datos preparados'!B650</f>
        <v/>
      </c>
      <c r="D657" s="7">
        <f>'1 datos preparados'!C650</f>
        <v/>
      </c>
      <c r="E657" s="7">
        <f>'1 datos preparados'!D650</f>
        <v/>
      </c>
      <c r="F657" s="7">
        <f>'1 datos preparados'!E650</f>
        <v/>
      </c>
      <c r="G657" s="7">
        <f>'1 datos preparados'!F650</f>
        <v/>
      </c>
      <c r="H657" s="7">
        <f>'1 datos preparados'!G650</f>
        <v/>
      </c>
      <c r="I657" s="7">
        <f>'1 datos preparados'!H650</f>
        <v/>
      </c>
      <c r="J657" s="7">
        <f>'1 datos preparados'!I650</f>
        <v/>
      </c>
      <c r="K657" s="7">
        <f>'1 datos preparados'!J650</f>
        <v/>
      </c>
      <c r="L657" s="7">
        <f>'1 datos preparados'!K650</f>
        <v/>
      </c>
      <c r="M657" s="7">
        <f>'1 datos preparados'!L650</f>
        <v/>
      </c>
      <c r="N657" s="7">
        <f>'1 datos preparados'!M650</f>
        <v/>
      </c>
      <c r="O657" s="7">
        <f>'1 datos preparados'!N650</f>
        <v/>
      </c>
      <c r="P657" s="7">
        <f>'1 datos preparados'!O650</f>
        <v/>
      </c>
      <c r="Q657" s="7">
        <f>'1 datos preparados'!P650</f>
        <v/>
      </c>
      <c r="R657" s="7">
        <f>'1 datos preparados'!Q650</f>
        <v/>
      </c>
      <c r="S657" s="7">
        <f>'1 datos preparados'!R650</f>
        <v/>
      </c>
      <c r="T657" s="7">
        <f>'1 datos preparados'!S650</f>
        <v/>
      </c>
      <c r="U657" s="7">
        <f>'1 datos preparados'!T650</f>
        <v/>
      </c>
      <c r="V657" s="8">
        <f>$AC$12+D657*$AC$13+E657*$AC$14+F657*$AC$15+G657*$AC$16+H657*$AC$17+I657*$AC$18+J657*$AC$19+K657*$AC$20+L657*$AC$21+M657*$AC$22+N657*$AC$23+O657*$AC$24+P657*$AC$25+Q657*$AC$26+R657*$AC$27+S657*$AC$28+T657*$AC$29+U657*$AC$30</f>
        <v/>
      </c>
      <c r="W657" s="8">
        <f>1/(1+EXP(-V657))</f>
        <v/>
      </c>
      <c r="X657" s="9">
        <f>-IF(C657=1,LN(W657),LN(1-W657))</f>
        <v/>
      </c>
      <c r="Y657" s="10">
        <f>IF(W657&gt;$AC$34,1,0)</f>
        <v/>
      </c>
      <c r="Z657">
        <f>IF(Y657=C657,1,0)</f>
        <v/>
      </c>
    </row>
    <row r="658">
      <c r="A658">
        <f>'1 datos preparados'!A651</f>
        <v/>
      </c>
      <c r="B658" s="5">
        <f>'1 datos preparados'!U651</f>
        <v/>
      </c>
      <c r="C658">
        <f>'1 datos preparados'!B651</f>
        <v/>
      </c>
      <c r="D658" s="7">
        <f>'1 datos preparados'!C651</f>
        <v/>
      </c>
      <c r="E658" s="7">
        <f>'1 datos preparados'!D651</f>
        <v/>
      </c>
      <c r="F658" s="7">
        <f>'1 datos preparados'!E651</f>
        <v/>
      </c>
      <c r="G658" s="7">
        <f>'1 datos preparados'!F651</f>
        <v/>
      </c>
      <c r="H658" s="7">
        <f>'1 datos preparados'!G651</f>
        <v/>
      </c>
      <c r="I658" s="7">
        <f>'1 datos preparados'!H651</f>
        <v/>
      </c>
      <c r="J658" s="7">
        <f>'1 datos preparados'!I651</f>
        <v/>
      </c>
      <c r="K658" s="7">
        <f>'1 datos preparados'!J651</f>
        <v/>
      </c>
      <c r="L658" s="7">
        <f>'1 datos preparados'!K651</f>
        <v/>
      </c>
      <c r="M658" s="7">
        <f>'1 datos preparados'!L651</f>
        <v/>
      </c>
      <c r="N658" s="7">
        <f>'1 datos preparados'!M651</f>
        <v/>
      </c>
      <c r="O658" s="7">
        <f>'1 datos preparados'!N651</f>
        <v/>
      </c>
      <c r="P658" s="7">
        <f>'1 datos preparados'!O651</f>
        <v/>
      </c>
      <c r="Q658" s="7">
        <f>'1 datos preparados'!P651</f>
        <v/>
      </c>
      <c r="R658" s="7">
        <f>'1 datos preparados'!Q651</f>
        <v/>
      </c>
      <c r="S658" s="7">
        <f>'1 datos preparados'!R651</f>
        <v/>
      </c>
      <c r="T658" s="7">
        <f>'1 datos preparados'!S651</f>
        <v/>
      </c>
      <c r="U658" s="7">
        <f>'1 datos preparados'!T651</f>
        <v/>
      </c>
      <c r="V658" s="8">
        <f>$AC$12+D658*$AC$13+E658*$AC$14+F658*$AC$15+G658*$AC$16+H658*$AC$17+I658*$AC$18+J658*$AC$19+K658*$AC$20+L658*$AC$21+M658*$AC$22+N658*$AC$23+O658*$AC$24+P658*$AC$25+Q658*$AC$26+R658*$AC$27+S658*$AC$28+T658*$AC$29+U658*$AC$30</f>
        <v/>
      </c>
      <c r="W658" s="8">
        <f>1/(1+EXP(-V658))</f>
        <v/>
      </c>
      <c r="X658" s="9">
        <f>-IF(C658=1,LN(W658),LN(1-W658))</f>
        <v/>
      </c>
      <c r="Y658" s="10">
        <f>IF(W658&gt;$AC$34,1,0)</f>
        <v/>
      </c>
      <c r="Z658">
        <f>IF(Y658=C658,1,0)</f>
        <v/>
      </c>
    </row>
    <row r="659">
      <c r="A659">
        <f>'1 datos preparados'!A652</f>
        <v/>
      </c>
      <c r="B659" s="5">
        <f>'1 datos preparados'!U652</f>
        <v/>
      </c>
      <c r="C659">
        <f>'1 datos preparados'!B652</f>
        <v/>
      </c>
      <c r="D659" s="7">
        <f>'1 datos preparados'!C652</f>
        <v/>
      </c>
      <c r="E659" s="7">
        <f>'1 datos preparados'!D652</f>
        <v/>
      </c>
      <c r="F659" s="7">
        <f>'1 datos preparados'!E652</f>
        <v/>
      </c>
      <c r="G659" s="7">
        <f>'1 datos preparados'!F652</f>
        <v/>
      </c>
      <c r="H659" s="7">
        <f>'1 datos preparados'!G652</f>
        <v/>
      </c>
      <c r="I659" s="7">
        <f>'1 datos preparados'!H652</f>
        <v/>
      </c>
      <c r="J659" s="7">
        <f>'1 datos preparados'!I652</f>
        <v/>
      </c>
      <c r="K659" s="7">
        <f>'1 datos preparados'!J652</f>
        <v/>
      </c>
      <c r="L659" s="7">
        <f>'1 datos preparados'!K652</f>
        <v/>
      </c>
      <c r="M659" s="7">
        <f>'1 datos preparados'!L652</f>
        <v/>
      </c>
      <c r="N659" s="7">
        <f>'1 datos preparados'!M652</f>
        <v/>
      </c>
      <c r="O659" s="7">
        <f>'1 datos preparados'!N652</f>
        <v/>
      </c>
      <c r="P659" s="7">
        <f>'1 datos preparados'!O652</f>
        <v/>
      </c>
      <c r="Q659" s="7">
        <f>'1 datos preparados'!P652</f>
        <v/>
      </c>
      <c r="R659" s="7">
        <f>'1 datos preparados'!Q652</f>
        <v/>
      </c>
      <c r="S659" s="7">
        <f>'1 datos preparados'!R652</f>
        <v/>
      </c>
      <c r="T659" s="7">
        <f>'1 datos preparados'!S652</f>
        <v/>
      </c>
      <c r="U659" s="7">
        <f>'1 datos preparados'!T652</f>
        <v/>
      </c>
      <c r="V659" s="8">
        <f>$AC$12+D659*$AC$13+E659*$AC$14+F659*$AC$15+G659*$AC$16+H659*$AC$17+I659*$AC$18+J659*$AC$19+K659*$AC$20+L659*$AC$21+M659*$AC$22+N659*$AC$23+O659*$AC$24+P659*$AC$25+Q659*$AC$26+R659*$AC$27+S659*$AC$28+T659*$AC$29+U659*$AC$30</f>
        <v/>
      </c>
      <c r="W659" s="8">
        <f>1/(1+EXP(-V659))</f>
        <v/>
      </c>
      <c r="X659" s="9">
        <f>-IF(C659=1,LN(W659),LN(1-W659))</f>
        <v/>
      </c>
      <c r="Y659" s="10">
        <f>IF(W659&gt;$AC$34,1,0)</f>
        <v/>
      </c>
      <c r="Z659">
        <f>IF(Y659=C659,1,0)</f>
        <v/>
      </c>
    </row>
    <row r="660">
      <c r="A660">
        <f>'1 datos preparados'!A653</f>
        <v/>
      </c>
      <c r="B660" s="5">
        <f>'1 datos preparados'!U653</f>
        <v/>
      </c>
      <c r="C660">
        <f>'1 datos preparados'!B653</f>
        <v/>
      </c>
      <c r="D660" s="7">
        <f>'1 datos preparados'!C653</f>
        <v/>
      </c>
      <c r="E660" s="7">
        <f>'1 datos preparados'!D653</f>
        <v/>
      </c>
      <c r="F660" s="7">
        <f>'1 datos preparados'!E653</f>
        <v/>
      </c>
      <c r="G660" s="7">
        <f>'1 datos preparados'!F653</f>
        <v/>
      </c>
      <c r="H660" s="7">
        <f>'1 datos preparados'!G653</f>
        <v/>
      </c>
      <c r="I660" s="7">
        <f>'1 datos preparados'!H653</f>
        <v/>
      </c>
      <c r="J660" s="7">
        <f>'1 datos preparados'!I653</f>
        <v/>
      </c>
      <c r="K660" s="7">
        <f>'1 datos preparados'!J653</f>
        <v/>
      </c>
      <c r="L660" s="7">
        <f>'1 datos preparados'!K653</f>
        <v/>
      </c>
      <c r="M660" s="7">
        <f>'1 datos preparados'!L653</f>
        <v/>
      </c>
      <c r="N660" s="7">
        <f>'1 datos preparados'!M653</f>
        <v/>
      </c>
      <c r="O660" s="7">
        <f>'1 datos preparados'!N653</f>
        <v/>
      </c>
      <c r="P660" s="7">
        <f>'1 datos preparados'!O653</f>
        <v/>
      </c>
      <c r="Q660" s="7">
        <f>'1 datos preparados'!P653</f>
        <v/>
      </c>
      <c r="R660" s="7">
        <f>'1 datos preparados'!Q653</f>
        <v/>
      </c>
      <c r="S660" s="7">
        <f>'1 datos preparados'!R653</f>
        <v/>
      </c>
      <c r="T660" s="7">
        <f>'1 datos preparados'!S653</f>
        <v/>
      </c>
      <c r="U660" s="7">
        <f>'1 datos preparados'!T653</f>
        <v/>
      </c>
      <c r="V660" s="8">
        <f>$AC$12+D660*$AC$13+E660*$AC$14+F660*$AC$15+G660*$AC$16+H660*$AC$17+I660*$AC$18+J660*$AC$19+K660*$AC$20+L660*$AC$21+M660*$AC$22+N660*$AC$23+O660*$AC$24+P660*$AC$25+Q660*$AC$26+R660*$AC$27+S660*$AC$28+T660*$AC$29+U660*$AC$30</f>
        <v/>
      </c>
      <c r="W660" s="8">
        <f>1/(1+EXP(-V660))</f>
        <v/>
      </c>
      <c r="X660" s="9">
        <f>-IF(C660=1,LN(W660),LN(1-W660))</f>
        <v/>
      </c>
      <c r="Y660" s="10">
        <f>IF(W660&gt;$AC$34,1,0)</f>
        <v/>
      </c>
      <c r="Z660">
        <f>IF(Y660=C660,1,0)</f>
        <v/>
      </c>
    </row>
    <row r="661">
      <c r="A661">
        <f>'1 datos preparados'!A654</f>
        <v/>
      </c>
      <c r="B661" s="5">
        <f>'1 datos preparados'!U654</f>
        <v/>
      </c>
      <c r="C661">
        <f>'1 datos preparados'!B654</f>
        <v/>
      </c>
      <c r="D661" s="7">
        <f>'1 datos preparados'!C654</f>
        <v/>
      </c>
      <c r="E661" s="7">
        <f>'1 datos preparados'!D654</f>
        <v/>
      </c>
      <c r="F661" s="7">
        <f>'1 datos preparados'!E654</f>
        <v/>
      </c>
      <c r="G661" s="7">
        <f>'1 datos preparados'!F654</f>
        <v/>
      </c>
      <c r="H661" s="7">
        <f>'1 datos preparados'!G654</f>
        <v/>
      </c>
      <c r="I661" s="7">
        <f>'1 datos preparados'!H654</f>
        <v/>
      </c>
      <c r="J661" s="7">
        <f>'1 datos preparados'!I654</f>
        <v/>
      </c>
      <c r="K661" s="7">
        <f>'1 datos preparados'!J654</f>
        <v/>
      </c>
      <c r="L661" s="7">
        <f>'1 datos preparados'!K654</f>
        <v/>
      </c>
      <c r="M661" s="7">
        <f>'1 datos preparados'!L654</f>
        <v/>
      </c>
      <c r="N661" s="7">
        <f>'1 datos preparados'!M654</f>
        <v/>
      </c>
      <c r="O661" s="7">
        <f>'1 datos preparados'!N654</f>
        <v/>
      </c>
      <c r="P661" s="7">
        <f>'1 datos preparados'!O654</f>
        <v/>
      </c>
      <c r="Q661" s="7">
        <f>'1 datos preparados'!P654</f>
        <v/>
      </c>
      <c r="R661" s="7">
        <f>'1 datos preparados'!Q654</f>
        <v/>
      </c>
      <c r="S661" s="7">
        <f>'1 datos preparados'!R654</f>
        <v/>
      </c>
      <c r="T661" s="7">
        <f>'1 datos preparados'!S654</f>
        <v/>
      </c>
      <c r="U661" s="7">
        <f>'1 datos preparados'!T654</f>
        <v/>
      </c>
      <c r="V661" s="8">
        <f>$AC$12+D661*$AC$13+E661*$AC$14+F661*$AC$15+G661*$AC$16+H661*$AC$17+I661*$AC$18+J661*$AC$19+K661*$AC$20+L661*$AC$21+M661*$AC$22+N661*$AC$23+O661*$AC$24+P661*$AC$25+Q661*$AC$26+R661*$AC$27+S661*$AC$28+T661*$AC$29+U661*$AC$30</f>
        <v/>
      </c>
      <c r="W661" s="8">
        <f>1/(1+EXP(-V661))</f>
        <v/>
      </c>
      <c r="X661" s="9">
        <f>-IF(C661=1,LN(W661),LN(1-W661))</f>
        <v/>
      </c>
      <c r="Y661" s="10">
        <f>IF(W661&gt;$AC$34,1,0)</f>
        <v/>
      </c>
      <c r="Z661">
        <f>IF(Y661=C661,1,0)</f>
        <v/>
      </c>
    </row>
    <row r="662">
      <c r="A662">
        <f>'1 datos preparados'!A655</f>
        <v/>
      </c>
      <c r="B662" s="5">
        <f>'1 datos preparados'!U655</f>
        <v/>
      </c>
      <c r="C662">
        <f>'1 datos preparados'!B655</f>
        <v/>
      </c>
      <c r="D662" s="7">
        <f>'1 datos preparados'!C655</f>
        <v/>
      </c>
      <c r="E662" s="7">
        <f>'1 datos preparados'!D655</f>
        <v/>
      </c>
      <c r="F662" s="7">
        <f>'1 datos preparados'!E655</f>
        <v/>
      </c>
      <c r="G662" s="7">
        <f>'1 datos preparados'!F655</f>
        <v/>
      </c>
      <c r="H662" s="7">
        <f>'1 datos preparados'!G655</f>
        <v/>
      </c>
      <c r="I662" s="7">
        <f>'1 datos preparados'!H655</f>
        <v/>
      </c>
      <c r="J662" s="7">
        <f>'1 datos preparados'!I655</f>
        <v/>
      </c>
      <c r="K662" s="7">
        <f>'1 datos preparados'!J655</f>
        <v/>
      </c>
      <c r="L662" s="7">
        <f>'1 datos preparados'!K655</f>
        <v/>
      </c>
      <c r="M662" s="7">
        <f>'1 datos preparados'!L655</f>
        <v/>
      </c>
      <c r="N662" s="7">
        <f>'1 datos preparados'!M655</f>
        <v/>
      </c>
      <c r="O662" s="7">
        <f>'1 datos preparados'!N655</f>
        <v/>
      </c>
      <c r="P662" s="7">
        <f>'1 datos preparados'!O655</f>
        <v/>
      </c>
      <c r="Q662" s="7">
        <f>'1 datos preparados'!P655</f>
        <v/>
      </c>
      <c r="R662" s="7">
        <f>'1 datos preparados'!Q655</f>
        <v/>
      </c>
      <c r="S662" s="7">
        <f>'1 datos preparados'!R655</f>
        <v/>
      </c>
      <c r="T662" s="7">
        <f>'1 datos preparados'!S655</f>
        <v/>
      </c>
      <c r="U662" s="7">
        <f>'1 datos preparados'!T655</f>
        <v/>
      </c>
      <c r="V662" s="8">
        <f>$AC$12+D662*$AC$13+E662*$AC$14+F662*$AC$15+G662*$AC$16+H662*$AC$17+I662*$AC$18+J662*$AC$19+K662*$AC$20+L662*$AC$21+M662*$AC$22+N662*$AC$23+O662*$AC$24+P662*$AC$25+Q662*$AC$26+R662*$AC$27+S662*$AC$28+T662*$AC$29+U662*$AC$30</f>
        <v/>
      </c>
      <c r="W662" s="8">
        <f>1/(1+EXP(-V662))</f>
        <v/>
      </c>
      <c r="X662" s="9">
        <f>-IF(C662=1,LN(W662),LN(1-W662))</f>
        <v/>
      </c>
      <c r="Y662" s="10">
        <f>IF(W662&gt;$AC$34,1,0)</f>
        <v/>
      </c>
      <c r="Z662">
        <f>IF(Y662=C662,1,0)</f>
        <v/>
      </c>
    </row>
    <row r="663">
      <c r="A663">
        <f>'1 datos preparados'!A656</f>
        <v/>
      </c>
      <c r="B663" s="5">
        <f>'1 datos preparados'!U656</f>
        <v/>
      </c>
      <c r="C663">
        <f>'1 datos preparados'!B656</f>
        <v/>
      </c>
      <c r="D663" s="7">
        <f>'1 datos preparados'!C656</f>
        <v/>
      </c>
      <c r="E663" s="7">
        <f>'1 datos preparados'!D656</f>
        <v/>
      </c>
      <c r="F663" s="7">
        <f>'1 datos preparados'!E656</f>
        <v/>
      </c>
      <c r="G663" s="7">
        <f>'1 datos preparados'!F656</f>
        <v/>
      </c>
      <c r="H663" s="7">
        <f>'1 datos preparados'!G656</f>
        <v/>
      </c>
      <c r="I663" s="7">
        <f>'1 datos preparados'!H656</f>
        <v/>
      </c>
      <c r="J663" s="7">
        <f>'1 datos preparados'!I656</f>
        <v/>
      </c>
      <c r="K663" s="7">
        <f>'1 datos preparados'!J656</f>
        <v/>
      </c>
      <c r="L663" s="7">
        <f>'1 datos preparados'!K656</f>
        <v/>
      </c>
      <c r="M663" s="7">
        <f>'1 datos preparados'!L656</f>
        <v/>
      </c>
      <c r="N663" s="7">
        <f>'1 datos preparados'!M656</f>
        <v/>
      </c>
      <c r="O663" s="7">
        <f>'1 datos preparados'!N656</f>
        <v/>
      </c>
      <c r="P663" s="7">
        <f>'1 datos preparados'!O656</f>
        <v/>
      </c>
      <c r="Q663" s="7">
        <f>'1 datos preparados'!P656</f>
        <v/>
      </c>
      <c r="R663" s="7">
        <f>'1 datos preparados'!Q656</f>
        <v/>
      </c>
      <c r="S663" s="7">
        <f>'1 datos preparados'!R656</f>
        <v/>
      </c>
      <c r="T663" s="7">
        <f>'1 datos preparados'!S656</f>
        <v/>
      </c>
      <c r="U663" s="7">
        <f>'1 datos preparados'!T656</f>
        <v/>
      </c>
      <c r="V663" s="8">
        <f>$AC$12+D663*$AC$13+E663*$AC$14+F663*$AC$15+G663*$AC$16+H663*$AC$17+I663*$AC$18+J663*$AC$19+K663*$AC$20+L663*$AC$21+M663*$AC$22+N663*$AC$23+O663*$AC$24+P663*$AC$25+Q663*$AC$26+R663*$AC$27+S663*$AC$28+T663*$AC$29+U663*$AC$30</f>
        <v/>
      </c>
      <c r="W663" s="8">
        <f>1/(1+EXP(-V663))</f>
        <v/>
      </c>
      <c r="X663" s="9">
        <f>-IF(C663=1,LN(W663),LN(1-W663))</f>
        <v/>
      </c>
      <c r="Y663" s="10">
        <f>IF(W663&gt;$AC$34,1,0)</f>
        <v/>
      </c>
      <c r="Z663">
        <f>IF(Y663=C663,1,0)</f>
        <v/>
      </c>
    </row>
    <row r="664">
      <c r="A664">
        <f>'1 datos preparados'!A657</f>
        <v/>
      </c>
      <c r="B664" s="5">
        <f>'1 datos preparados'!U657</f>
        <v/>
      </c>
      <c r="C664">
        <f>'1 datos preparados'!B657</f>
        <v/>
      </c>
      <c r="D664" s="7">
        <f>'1 datos preparados'!C657</f>
        <v/>
      </c>
      <c r="E664" s="7">
        <f>'1 datos preparados'!D657</f>
        <v/>
      </c>
      <c r="F664" s="7">
        <f>'1 datos preparados'!E657</f>
        <v/>
      </c>
      <c r="G664" s="7">
        <f>'1 datos preparados'!F657</f>
        <v/>
      </c>
      <c r="H664" s="7">
        <f>'1 datos preparados'!G657</f>
        <v/>
      </c>
      <c r="I664" s="7">
        <f>'1 datos preparados'!H657</f>
        <v/>
      </c>
      <c r="J664" s="7">
        <f>'1 datos preparados'!I657</f>
        <v/>
      </c>
      <c r="K664" s="7">
        <f>'1 datos preparados'!J657</f>
        <v/>
      </c>
      <c r="L664" s="7">
        <f>'1 datos preparados'!K657</f>
        <v/>
      </c>
      <c r="M664" s="7">
        <f>'1 datos preparados'!L657</f>
        <v/>
      </c>
      <c r="N664" s="7">
        <f>'1 datos preparados'!M657</f>
        <v/>
      </c>
      <c r="O664" s="7">
        <f>'1 datos preparados'!N657</f>
        <v/>
      </c>
      <c r="P664" s="7">
        <f>'1 datos preparados'!O657</f>
        <v/>
      </c>
      <c r="Q664" s="7">
        <f>'1 datos preparados'!P657</f>
        <v/>
      </c>
      <c r="R664" s="7">
        <f>'1 datos preparados'!Q657</f>
        <v/>
      </c>
      <c r="S664" s="7">
        <f>'1 datos preparados'!R657</f>
        <v/>
      </c>
      <c r="T664" s="7">
        <f>'1 datos preparados'!S657</f>
        <v/>
      </c>
      <c r="U664" s="7">
        <f>'1 datos preparados'!T657</f>
        <v/>
      </c>
      <c r="V664" s="8">
        <f>$AC$12+D664*$AC$13+E664*$AC$14+F664*$AC$15+G664*$AC$16+H664*$AC$17+I664*$AC$18+J664*$AC$19+K664*$AC$20+L664*$AC$21+M664*$AC$22+N664*$AC$23+O664*$AC$24+P664*$AC$25+Q664*$AC$26+R664*$AC$27+S664*$AC$28+T664*$AC$29+U664*$AC$30</f>
        <v/>
      </c>
      <c r="W664" s="8">
        <f>1/(1+EXP(-V664))</f>
        <v/>
      </c>
      <c r="X664" s="9">
        <f>-IF(C664=1,LN(W664),LN(1-W664))</f>
        <v/>
      </c>
      <c r="Y664" s="10">
        <f>IF(W664&gt;$AC$34,1,0)</f>
        <v/>
      </c>
      <c r="Z664">
        <f>IF(Y664=C664,1,0)</f>
        <v/>
      </c>
    </row>
    <row r="665">
      <c r="A665">
        <f>'1 datos preparados'!A658</f>
        <v/>
      </c>
      <c r="B665" s="5">
        <f>'1 datos preparados'!U658</f>
        <v/>
      </c>
      <c r="C665">
        <f>'1 datos preparados'!B658</f>
        <v/>
      </c>
      <c r="D665" s="7">
        <f>'1 datos preparados'!C658</f>
        <v/>
      </c>
      <c r="E665" s="7">
        <f>'1 datos preparados'!D658</f>
        <v/>
      </c>
      <c r="F665" s="7">
        <f>'1 datos preparados'!E658</f>
        <v/>
      </c>
      <c r="G665" s="7">
        <f>'1 datos preparados'!F658</f>
        <v/>
      </c>
      <c r="H665" s="7">
        <f>'1 datos preparados'!G658</f>
        <v/>
      </c>
      <c r="I665" s="7">
        <f>'1 datos preparados'!H658</f>
        <v/>
      </c>
      <c r="J665" s="7">
        <f>'1 datos preparados'!I658</f>
        <v/>
      </c>
      <c r="K665" s="7">
        <f>'1 datos preparados'!J658</f>
        <v/>
      </c>
      <c r="L665" s="7">
        <f>'1 datos preparados'!K658</f>
        <v/>
      </c>
      <c r="M665" s="7">
        <f>'1 datos preparados'!L658</f>
        <v/>
      </c>
      <c r="N665" s="7">
        <f>'1 datos preparados'!M658</f>
        <v/>
      </c>
      <c r="O665" s="7">
        <f>'1 datos preparados'!N658</f>
        <v/>
      </c>
      <c r="P665" s="7">
        <f>'1 datos preparados'!O658</f>
        <v/>
      </c>
      <c r="Q665" s="7">
        <f>'1 datos preparados'!P658</f>
        <v/>
      </c>
      <c r="R665" s="7">
        <f>'1 datos preparados'!Q658</f>
        <v/>
      </c>
      <c r="S665" s="7">
        <f>'1 datos preparados'!R658</f>
        <v/>
      </c>
      <c r="T665" s="7">
        <f>'1 datos preparados'!S658</f>
        <v/>
      </c>
      <c r="U665" s="7">
        <f>'1 datos preparados'!T658</f>
        <v/>
      </c>
      <c r="V665" s="8">
        <f>$AC$12+D665*$AC$13+E665*$AC$14+F665*$AC$15+G665*$AC$16+H665*$AC$17+I665*$AC$18+J665*$AC$19+K665*$AC$20+L665*$AC$21+M665*$AC$22+N665*$AC$23+O665*$AC$24+P665*$AC$25+Q665*$AC$26+R665*$AC$27+S665*$AC$28+T665*$AC$29+U665*$AC$30</f>
        <v/>
      </c>
      <c r="W665" s="8">
        <f>1/(1+EXP(-V665))</f>
        <v/>
      </c>
      <c r="X665" s="9">
        <f>-IF(C665=1,LN(W665),LN(1-W665))</f>
        <v/>
      </c>
      <c r="Y665" s="10">
        <f>IF(W665&gt;$AC$34,1,0)</f>
        <v/>
      </c>
      <c r="Z665">
        <f>IF(Y665=C665,1,0)</f>
        <v/>
      </c>
    </row>
    <row r="666">
      <c r="A666">
        <f>'1 datos preparados'!A659</f>
        <v/>
      </c>
      <c r="B666" s="5">
        <f>'1 datos preparados'!U659</f>
        <v/>
      </c>
      <c r="C666">
        <f>'1 datos preparados'!B659</f>
        <v/>
      </c>
      <c r="D666" s="7">
        <f>'1 datos preparados'!C659</f>
        <v/>
      </c>
      <c r="E666" s="7">
        <f>'1 datos preparados'!D659</f>
        <v/>
      </c>
      <c r="F666" s="7">
        <f>'1 datos preparados'!E659</f>
        <v/>
      </c>
      <c r="G666" s="7">
        <f>'1 datos preparados'!F659</f>
        <v/>
      </c>
      <c r="H666" s="7">
        <f>'1 datos preparados'!G659</f>
        <v/>
      </c>
      <c r="I666" s="7">
        <f>'1 datos preparados'!H659</f>
        <v/>
      </c>
      <c r="J666" s="7">
        <f>'1 datos preparados'!I659</f>
        <v/>
      </c>
      <c r="K666" s="7">
        <f>'1 datos preparados'!J659</f>
        <v/>
      </c>
      <c r="L666" s="7">
        <f>'1 datos preparados'!K659</f>
        <v/>
      </c>
      <c r="M666" s="7">
        <f>'1 datos preparados'!L659</f>
        <v/>
      </c>
      <c r="N666" s="7">
        <f>'1 datos preparados'!M659</f>
        <v/>
      </c>
      <c r="O666" s="7">
        <f>'1 datos preparados'!N659</f>
        <v/>
      </c>
      <c r="P666" s="7">
        <f>'1 datos preparados'!O659</f>
        <v/>
      </c>
      <c r="Q666" s="7">
        <f>'1 datos preparados'!P659</f>
        <v/>
      </c>
      <c r="R666" s="7">
        <f>'1 datos preparados'!Q659</f>
        <v/>
      </c>
      <c r="S666" s="7">
        <f>'1 datos preparados'!R659</f>
        <v/>
      </c>
      <c r="T666" s="7">
        <f>'1 datos preparados'!S659</f>
        <v/>
      </c>
      <c r="U666" s="7">
        <f>'1 datos preparados'!T659</f>
        <v/>
      </c>
      <c r="V666" s="8">
        <f>$AC$12+D666*$AC$13+E666*$AC$14+F666*$AC$15+G666*$AC$16+H666*$AC$17+I666*$AC$18+J666*$AC$19+K666*$AC$20+L666*$AC$21+M666*$AC$22+N666*$AC$23+O666*$AC$24+P666*$AC$25+Q666*$AC$26+R666*$AC$27+S666*$AC$28+T666*$AC$29+U666*$AC$30</f>
        <v/>
      </c>
      <c r="W666" s="8">
        <f>1/(1+EXP(-V666))</f>
        <v/>
      </c>
      <c r="X666" s="9">
        <f>-IF(C666=1,LN(W666),LN(1-W666))</f>
        <v/>
      </c>
      <c r="Y666" s="10">
        <f>IF(W666&gt;$AC$34,1,0)</f>
        <v/>
      </c>
      <c r="Z666">
        <f>IF(Y666=C666,1,0)</f>
        <v/>
      </c>
    </row>
    <row r="667">
      <c r="A667">
        <f>'1 datos preparados'!A660</f>
        <v/>
      </c>
      <c r="B667" s="5">
        <f>'1 datos preparados'!U660</f>
        <v/>
      </c>
      <c r="C667">
        <f>'1 datos preparados'!B660</f>
        <v/>
      </c>
      <c r="D667" s="7">
        <f>'1 datos preparados'!C660</f>
        <v/>
      </c>
      <c r="E667" s="7">
        <f>'1 datos preparados'!D660</f>
        <v/>
      </c>
      <c r="F667" s="7">
        <f>'1 datos preparados'!E660</f>
        <v/>
      </c>
      <c r="G667" s="7">
        <f>'1 datos preparados'!F660</f>
        <v/>
      </c>
      <c r="H667" s="7">
        <f>'1 datos preparados'!G660</f>
        <v/>
      </c>
      <c r="I667" s="7">
        <f>'1 datos preparados'!H660</f>
        <v/>
      </c>
      <c r="J667" s="7">
        <f>'1 datos preparados'!I660</f>
        <v/>
      </c>
      <c r="K667" s="7">
        <f>'1 datos preparados'!J660</f>
        <v/>
      </c>
      <c r="L667" s="7">
        <f>'1 datos preparados'!K660</f>
        <v/>
      </c>
      <c r="M667" s="7">
        <f>'1 datos preparados'!L660</f>
        <v/>
      </c>
      <c r="N667" s="7">
        <f>'1 datos preparados'!M660</f>
        <v/>
      </c>
      <c r="O667" s="7">
        <f>'1 datos preparados'!N660</f>
        <v/>
      </c>
      <c r="P667" s="7">
        <f>'1 datos preparados'!O660</f>
        <v/>
      </c>
      <c r="Q667" s="7">
        <f>'1 datos preparados'!P660</f>
        <v/>
      </c>
      <c r="R667" s="7">
        <f>'1 datos preparados'!Q660</f>
        <v/>
      </c>
      <c r="S667" s="7">
        <f>'1 datos preparados'!R660</f>
        <v/>
      </c>
      <c r="T667" s="7">
        <f>'1 datos preparados'!S660</f>
        <v/>
      </c>
      <c r="U667" s="7">
        <f>'1 datos preparados'!T660</f>
        <v/>
      </c>
      <c r="V667" s="8">
        <f>$AC$12+D667*$AC$13+E667*$AC$14+F667*$AC$15+G667*$AC$16+H667*$AC$17+I667*$AC$18+J667*$AC$19+K667*$AC$20+L667*$AC$21+M667*$AC$22+N667*$AC$23+O667*$AC$24+P667*$AC$25+Q667*$AC$26+R667*$AC$27+S667*$AC$28+T667*$AC$29+U667*$AC$30</f>
        <v/>
      </c>
      <c r="W667" s="8">
        <f>1/(1+EXP(-V667))</f>
        <v/>
      </c>
      <c r="X667" s="9">
        <f>-IF(C667=1,LN(W667),LN(1-W667))</f>
        <v/>
      </c>
      <c r="Y667" s="10">
        <f>IF(W667&gt;$AC$34,1,0)</f>
        <v/>
      </c>
      <c r="Z667">
        <f>IF(Y667=C667,1,0)</f>
        <v/>
      </c>
    </row>
    <row r="668">
      <c r="A668">
        <f>'1 datos preparados'!A661</f>
        <v/>
      </c>
      <c r="B668" s="5">
        <f>'1 datos preparados'!U661</f>
        <v/>
      </c>
      <c r="C668">
        <f>'1 datos preparados'!B661</f>
        <v/>
      </c>
      <c r="D668" s="7">
        <f>'1 datos preparados'!C661</f>
        <v/>
      </c>
      <c r="E668" s="7">
        <f>'1 datos preparados'!D661</f>
        <v/>
      </c>
      <c r="F668" s="7">
        <f>'1 datos preparados'!E661</f>
        <v/>
      </c>
      <c r="G668" s="7">
        <f>'1 datos preparados'!F661</f>
        <v/>
      </c>
      <c r="H668" s="7">
        <f>'1 datos preparados'!G661</f>
        <v/>
      </c>
      <c r="I668" s="7">
        <f>'1 datos preparados'!H661</f>
        <v/>
      </c>
      <c r="J668" s="7">
        <f>'1 datos preparados'!I661</f>
        <v/>
      </c>
      <c r="K668" s="7">
        <f>'1 datos preparados'!J661</f>
        <v/>
      </c>
      <c r="L668" s="7">
        <f>'1 datos preparados'!K661</f>
        <v/>
      </c>
      <c r="M668" s="7">
        <f>'1 datos preparados'!L661</f>
        <v/>
      </c>
      <c r="N668" s="7">
        <f>'1 datos preparados'!M661</f>
        <v/>
      </c>
      <c r="O668" s="7">
        <f>'1 datos preparados'!N661</f>
        <v/>
      </c>
      <c r="P668" s="7">
        <f>'1 datos preparados'!O661</f>
        <v/>
      </c>
      <c r="Q668" s="7">
        <f>'1 datos preparados'!P661</f>
        <v/>
      </c>
      <c r="R668" s="7">
        <f>'1 datos preparados'!Q661</f>
        <v/>
      </c>
      <c r="S668" s="7">
        <f>'1 datos preparados'!R661</f>
        <v/>
      </c>
      <c r="T668" s="7">
        <f>'1 datos preparados'!S661</f>
        <v/>
      </c>
      <c r="U668" s="7">
        <f>'1 datos preparados'!T661</f>
        <v/>
      </c>
      <c r="V668" s="8">
        <f>$AC$12+D668*$AC$13+E668*$AC$14+F668*$AC$15+G668*$AC$16+H668*$AC$17+I668*$AC$18+J668*$AC$19+K668*$AC$20+L668*$AC$21+M668*$AC$22+N668*$AC$23+O668*$AC$24+P668*$AC$25+Q668*$AC$26+R668*$AC$27+S668*$AC$28+T668*$AC$29+U668*$AC$30</f>
        <v/>
      </c>
      <c r="W668" s="8">
        <f>1/(1+EXP(-V668))</f>
        <v/>
      </c>
      <c r="X668" s="9">
        <f>-IF(C668=1,LN(W668),LN(1-W668))</f>
        <v/>
      </c>
      <c r="Y668" s="10">
        <f>IF(W668&gt;$AC$34,1,0)</f>
        <v/>
      </c>
      <c r="Z668">
        <f>IF(Y668=C668,1,0)</f>
        <v/>
      </c>
    </row>
    <row r="669">
      <c r="A669">
        <f>'1 datos preparados'!A662</f>
        <v/>
      </c>
      <c r="B669" s="5">
        <f>'1 datos preparados'!U662</f>
        <v/>
      </c>
      <c r="C669">
        <f>'1 datos preparados'!B662</f>
        <v/>
      </c>
      <c r="D669" s="7">
        <f>'1 datos preparados'!C662</f>
        <v/>
      </c>
      <c r="E669" s="7">
        <f>'1 datos preparados'!D662</f>
        <v/>
      </c>
      <c r="F669" s="7">
        <f>'1 datos preparados'!E662</f>
        <v/>
      </c>
      <c r="G669" s="7">
        <f>'1 datos preparados'!F662</f>
        <v/>
      </c>
      <c r="H669" s="7">
        <f>'1 datos preparados'!G662</f>
        <v/>
      </c>
      <c r="I669" s="7">
        <f>'1 datos preparados'!H662</f>
        <v/>
      </c>
      <c r="J669" s="7">
        <f>'1 datos preparados'!I662</f>
        <v/>
      </c>
      <c r="K669" s="7">
        <f>'1 datos preparados'!J662</f>
        <v/>
      </c>
      <c r="L669" s="7">
        <f>'1 datos preparados'!K662</f>
        <v/>
      </c>
      <c r="M669" s="7">
        <f>'1 datos preparados'!L662</f>
        <v/>
      </c>
      <c r="N669" s="7">
        <f>'1 datos preparados'!M662</f>
        <v/>
      </c>
      <c r="O669" s="7">
        <f>'1 datos preparados'!N662</f>
        <v/>
      </c>
      <c r="P669" s="7">
        <f>'1 datos preparados'!O662</f>
        <v/>
      </c>
      <c r="Q669" s="7">
        <f>'1 datos preparados'!P662</f>
        <v/>
      </c>
      <c r="R669" s="7">
        <f>'1 datos preparados'!Q662</f>
        <v/>
      </c>
      <c r="S669" s="7">
        <f>'1 datos preparados'!R662</f>
        <v/>
      </c>
      <c r="T669" s="7">
        <f>'1 datos preparados'!S662</f>
        <v/>
      </c>
      <c r="U669" s="7">
        <f>'1 datos preparados'!T662</f>
        <v/>
      </c>
      <c r="V669" s="8">
        <f>$AC$12+D669*$AC$13+E669*$AC$14+F669*$AC$15+G669*$AC$16+H669*$AC$17+I669*$AC$18+J669*$AC$19+K669*$AC$20+L669*$AC$21+M669*$AC$22+N669*$AC$23+O669*$AC$24+P669*$AC$25+Q669*$AC$26+R669*$AC$27+S669*$AC$28+T669*$AC$29+U669*$AC$30</f>
        <v/>
      </c>
      <c r="W669" s="8">
        <f>1/(1+EXP(-V669))</f>
        <v/>
      </c>
      <c r="X669" s="9">
        <f>-IF(C669=1,LN(W669),LN(1-W669))</f>
        <v/>
      </c>
      <c r="Y669" s="10">
        <f>IF(W669&gt;$AC$34,1,0)</f>
        <v/>
      </c>
      <c r="Z669">
        <f>IF(Y669=C669,1,0)</f>
        <v/>
      </c>
    </row>
    <row r="670">
      <c r="A670">
        <f>'1 datos preparados'!A663</f>
        <v/>
      </c>
      <c r="B670" s="5">
        <f>'1 datos preparados'!U663</f>
        <v/>
      </c>
      <c r="C670">
        <f>'1 datos preparados'!B663</f>
        <v/>
      </c>
      <c r="D670" s="7">
        <f>'1 datos preparados'!C663</f>
        <v/>
      </c>
      <c r="E670" s="7">
        <f>'1 datos preparados'!D663</f>
        <v/>
      </c>
      <c r="F670" s="7">
        <f>'1 datos preparados'!E663</f>
        <v/>
      </c>
      <c r="G670" s="7">
        <f>'1 datos preparados'!F663</f>
        <v/>
      </c>
      <c r="H670" s="7">
        <f>'1 datos preparados'!G663</f>
        <v/>
      </c>
      <c r="I670" s="7">
        <f>'1 datos preparados'!H663</f>
        <v/>
      </c>
      <c r="J670" s="7">
        <f>'1 datos preparados'!I663</f>
        <v/>
      </c>
      <c r="K670" s="7">
        <f>'1 datos preparados'!J663</f>
        <v/>
      </c>
      <c r="L670" s="7">
        <f>'1 datos preparados'!K663</f>
        <v/>
      </c>
      <c r="M670" s="7">
        <f>'1 datos preparados'!L663</f>
        <v/>
      </c>
      <c r="N670" s="7">
        <f>'1 datos preparados'!M663</f>
        <v/>
      </c>
      <c r="O670" s="7">
        <f>'1 datos preparados'!N663</f>
        <v/>
      </c>
      <c r="P670" s="7">
        <f>'1 datos preparados'!O663</f>
        <v/>
      </c>
      <c r="Q670" s="7">
        <f>'1 datos preparados'!P663</f>
        <v/>
      </c>
      <c r="R670" s="7">
        <f>'1 datos preparados'!Q663</f>
        <v/>
      </c>
      <c r="S670" s="7">
        <f>'1 datos preparados'!R663</f>
        <v/>
      </c>
      <c r="T670" s="7">
        <f>'1 datos preparados'!S663</f>
        <v/>
      </c>
      <c r="U670" s="7">
        <f>'1 datos preparados'!T663</f>
        <v/>
      </c>
      <c r="V670" s="8">
        <f>$AC$12+D670*$AC$13+E670*$AC$14+F670*$AC$15+G670*$AC$16+H670*$AC$17+I670*$AC$18+J670*$AC$19+K670*$AC$20+L670*$AC$21+M670*$AC$22+N670*$AC$23+O670*$AC$24+P670*$AC$25+Q670*$AC$26+R670*$AC$27+S670*$AC$28+T670*$AC$29+U670*$AC$30</f>
        <v/>
      </c>
      <c r="W670" s="8">
        <f>1/(1+EXP(-V670))</f>
        <v/>
      </c>
      <c r="X670" s="9">
        <f>-IF(C670=1,LN(W670),LN(1-W670))</f>
        <v/>
      </c>
      <c r="Y670" s="10">
        <f>IF(W670&gt;$AC$34,1,0)</f>
        <v/>
      </c>
      <c r="Z670">
        <f>IF(Y670=C670,1,0)</f>
        <v/>
      </c>
    </row>
    <row r="671">
      <c r="A671">
        <f>'1 datos preparados'!A664</f>
        <v/>
      </c>
      <c r="B671" s="5">
        <f>'1 datos preparados'!U664</f>
        <v/>
      </c>
      <c r="C671">
        <f>'1 datos preparados'!B664</f>
        <v/>
      </c>
      <c r="D671" s="7">
        <f>'1 datos preparados'!C664</f>
        <v/>
      </c>
      <c r="E671" s="7">
        <f>'1 datos preparados'!D664</f>
        <v/>
      </c>
      <c r="F671" s="7">
        <f>'1 datos preparados'!E664</f>
        <v/>
      </c>
      <c r="G671" s="7">
        <f>'1 datos preparados'!F664</f>
        <v/>
      </c>
      <c r="H671" s="7">
        <f>'1 datos preparados'!G664</f>
        <v/>
      </c>
      <c r="I671" s="7">
        <f>'1 datos preparados'!H664</f>
        <v/>
      </c>
      <c r="J671" s="7">
        <f>'1 datos preparados'!I664</f>
        <v/>
      </c>
      <c r="K671" s="7">
        <f>'1 datos preparados'!J664</f>
        <v/>
      </c>
      <c r="L671" s="7">
        <f>'1 datos preparados'!K664</f>
        <v/>
      </c>
      <c r="M671" s="7">
        <f>'1 datos preparados'!L664</f>
        <v/>
      </c>
      <c r="N671" s="7">
        <f>'1 datos preparados'!M664</f>
        <v/>
      </c>
      <c r="O671" s="7">
        <f>'1 datos preparados'!N664</f>
        <v/>
      </c>
      <c r="P671" s="7">
        <f>'1 datos preparados'!O664</f>
        <v/>
      </c>
      <c r="Q671" s="7">
        <f>'1 datos preparados'!P664</f>
        <v/>
      </c>
      <c r="R671" s="7">
        <f>'1 datos preparados'!Q664</f>
        <v/>
      </c>
      <c r="S671" s="7">
        <f>'1 datos preparados'!R664</f>
        <v/>
      </c>
      <c r="T671" s="7">
        <f>'1 datos preparados'!S664</f>
        <v/>
      </c>
      <c r="U671" s="7">
        <f>'1 datos preparados'!T664</f>
        <v/>
      </c>
      <c r="V671" s="8">
        <f>$AC$12+D671*$AC$13+E671*$AC$14+F671*$AC$15+G671*$AC$16+H671*$AC$17+I671*$AC$18+J671*$AC$19+K671*$AC$20+L671*$AC$21+M671*$AC$22+N671*$AC$23+O671*$AC$24+P671*$AC$25+Q671*$AC$26+R671*$AC$27+S671*$AC$28+T671*$AC$29+U671*$AC$30</f>
        <v/>
      </c>
      <c r="W671" s="8">
        <f>1/(1+EXP(-V671))</f>
        <v/>
      </c>
      <c r="X671" s="9">
        <f>-IF(C671=1,LN(W671),LN(1-W671))</f>
        <v/>
      </c>
      <c r="Y671" s="10">
        <f>IF(W671&gt;$AC$34,1,0)</f>
        <v/>
      </c>
      <c r="Z671">
        <f>IF(Y671=C671,1,0)</f>
        <v/>
      </c>
    </row>
    <row r="672">
      <c r="A672">
        <f>'1 datos preparados'!A665</f>
        <v/>
      </c>
      <c r="B672" s="5">
        <f>'1 datos preparados'!U665</f>
        <v/>
      </c>
      <c r="C672">
        <f>'1 datos preparados'!B665</f>
        <v/>
      </c>
      <c r="D672" s="7">
        <f>'1 datos preparados'!C665</f>
        <v/>
      </c>
      <c r="E672" s="7">
        <f>'1 datos preparados'!D665</f>
        <v/>
      </c>
      <c r="F672" s="7">
        <f>'1 datos preparados'!E665</f>
        <v/>
      </c>
      <c r="G672" s="7">
        <f>'1 datos preparados'!F665</f>
        <v/>
      </c>
      <c r="H672" s="7">
        <f>'1 datos preparados'!G665</f>
        <v/>
      </c>
      <c r="I672" s="7">
        <f>'1 datos preparados'!H665</f>
        <v/>
      </c>
      <c r="J672" s="7">
        <f>'1 datos preparados'!I665</f>
        <v/>
      </c>
      <c r="K672" s="7">
        <f>'1 datos preparados'!J665</f>
        <v/>
      </c>
      <c r="L672" s="7">
        <f>'1 datos preparados'!K665</f>
        <v/>
      </c>
      <c r="M672" s="7">
        <f>'1 datos preparados'!L665</f>
        <v/>
      </c>
      <c r="N672" s="7">
        <f>'1 datos preparados'!M665</f>
        <v/>
      </c>
      <c r="O672" s="7">
        <f>'1 datos preparados'!N665</f>
        <v/>
      </c>
      <c r="P672" s="7">
        <f>'1 datos preparados'!O665</f>
        <v/>
      </c>
      <c r="Q672" s="7">
        <f>'1 datos preparados'!P665</f>
        <v/>
      </c>
      <c r="R672" s="7">
        <f>'1 datos preparados'!Q665</f>
        <v/>
      </c>
      <c r="S672" s="7">
        <f>'1 datos preparados'!R665</f>
        <v/>
      </c>
      <c r="T672" s="7">
        <f>'1 datos preparados'!S665</f>
        <v/>
      </c>
      <c r="U672" s="7">
        <f>'1 datos preparados'!T665</f>
        <v/>
      </c>
      <c r="V672" s="8">
        <f>$AC$12+D672*$AC$13+E672*$AC$14+F672*$AC$15+G672*$AC$16+H672*$AC$17+I672*$AC$18+J672*$AC$19+K672*$AC$20+L672*$AC$21+M672*$AC$22+N672*$AC$23+O672*$AC$24+P672*$AC$25+Q672*$AC$26+R672*$AC$27+S672*$AC$28+T672*$AC$29+U672*$AC$30</f>
        <v/>
      </c>
      <c r="W672" s="8">
        <f>1/(1+EXP(-V672))</f>
        <v/>
      </c>
      <c r="X672" s="9">
        <f>-IF(C672=1,LN(W672),LN(1-W672))</f>
        <v/>
      </c>
      <c r="Y672" s="10">
        <f>IF(W672&gt;$AC$34,1,0)</f>
        <v/>
      </c>
      <c r="Z672">
        <f>IF(Y672=C672,1,0)</f>
        <v/>
      </c>
    </row>
    <row r="673">
      <c r="A673">
        <f>'1 datos preparados'!A666</f>
        <v/>
      </c>
      <c r="B673" s="5">
        <f>'1 datos preparados'!U666</f>
        <v/>
      </c>
      <c r="C673">
        <f>'1 datos preparados'!B666</f>
        <v/>
      </c>
      <c r="D673" s="7">
        <f>'1 datos preparados'!C666</f>
        <v/>
      </c>
      <c r="E673" s="7">
        <f>'1 datos preparados'!D666</f>
        <v/>
      </c>
      <c r="F673" s="7">
        <f>'1 datos preparados'!E666</f>
        <v/>
      </c>
      <c r="G673" s="7">
        <f>'1 datos preparados'!F666</f>
        <v/>
      </c>
      <c r="H673" s="7">
        <f>'1 datos preparados'!G666</f>
        <v/>
      </c>
      <c r="I673" s="7">
        <f>'1 datos preparados'!H666</f>
        <v/>
      </c>
      <c r="J673" s="7">
        <f>'1 datos preparados'!I666</f>
        <v/>
      </c>
      <c r="K673" s="7">
        <f>'1 datos preparados'!J666</f>
        <v/>
      </c>
      <c r="L673" s="7">
        <f>'1 datos preparados'!K666</f>
        <v/>
      </c>
      <c r="M673" s="7">
        <f>'1 datos preparados'!L666</f>
        <v/>
      </c>
      <c r="N673" s="7">
        <f>'1 datos preparados'!M666</f>
        <v/>
      </c>
      <c r="O673" s="7">
        <f>'1 datos preparados'!N666</f>
        <v/>
      </c>
      <c r="P673" s="7">
        <f>'1 datos preparados'!O666</f>
        <v/>
      </c>
      <c r="Q673" s="7">
        <f>'1 datos preparados'!P666</f>
        <v/>
      </c>
      <c r="R673" s="7">
        <f>'1 datos preparados'!Q666</f>
        <v/>
      </c>
      <c r="S673" s="7">
        <f>'1 datos preparados'!R666</f>
        <v/>
      </c>
      <c r="T673" s="7">
        <f>'1 datos preparados'!S666</f>
        <v/>
      </c>
      <c r="U673" s="7">
        <f>'1 datos preparados'!T666</f>
        <v/>
      </c>
      <c r="V673" s="8">
        <f>$AC$12+D673*$AC$13+E673*$AC$14+F673*$AC$15+G673*$AC$16+H673*$AC$17+I673*$AC$18+J673*$AC$19+K673*$AC$20+L673*$AC$21+M673*$AC$22+N673*$AC$23+O673*$AC$24+P673*$AC$25+Q673*$AC$26+R673*$AC$27+S673*$AC$28+T673*$AC$29+U673*$AC$30</f>
        <v/>
      </c>
      <c r="W673" s="8">
        <f>1/(1+EXP(-V673))</f>
        <v/>
      </c>
      <c r="X673" s="9">
        <f>-IF(C673=1,LN(W673),LN(1-W673))</f>
        <v/>
      </c>
      <c r="Y673" s="10">
        <f>IF(W673&gt;$AC$34,1,0)</f>
        <v/>
      </c>
      <c r="Z673">
        <f>IF(Y673=C673,1,0)</f>
        <v/>
      </c>
    </row>
    <row r="674">
      <c r="A674">
        <f>'1 datos preparados'!A667</f>
        <v/>
      </c>
      <c r="B674" s="5">
        <f>'1 datos preparados'!U667</f>
        <v/>
      </c>
      <c r="C674">
        <f>'1 datos preparados'!B667</f>
        <v/>
      </c>
      <c r="D674" s="7">
        <f>'1 datos preparados'!C667</f>
        <v/>
      </c>
      <c r="E674" s="7">
        <f>'1 datos preparados'!D667</f>
        <v/>
      </c>
      <c r="F674" s="7">
        <f>'1 datos preparados'!E667</f>
        <v/>
      </c>
      <c r="G674" s="7">
        <f>'1 datos preparados'!F667</f>
        <v/>
      </c>
      <c r="H674" s="7">
        <f>'1 datos preparados'!G667</f>
        <v/>
      </c>
      <c r="I674" s="7">
        <f>'1 datos preparados'!H667</f>
        <v/>
      </c>
      <c r="J674" s="7">
        <f>'1 datos preparados'!I667</f>
        <v/>
      </c>
      <c r="K674" s="7">
        <f>'1 datos preparados'!J667</f>
        <v/>
      </c>
      <c r="L674" s="7">
        <f>'1 datos preparados'!K667</f>
        <v/>
      </c>
      <c r="M674" s="7">
        <f>'1 datos preparados'!L667</f>
        <v/>
      </c>
      <c r="N674" s="7">
        <f>'1 datos preparados'!M667</f>
        <v/>
      </c>
      <c r="O674" s="7">
        <f>'1 datos preparados'!N667</f>
        <v/>
      </c>
      <c r="P674" s="7">
        <f>'1 datos preparados'!O667</f>
        <v/>
      </c>
      <c r="Q674" s="7">
        <f>'1 datos preparados'!P667</f>
        <v/>
      </c>
      <c r="R674" s="7">
        <f>'1 datos preparados'!Q667</f>
        <v/>
      </c>
      <c r="S674" s="7">
        <f>'1 datos preparados'!R667</f>
        <v/>
      </c>
      <c r="T674" s="7">
        <f>'1 datos preparados'!S667</f>
        <v/>
      </c>
      <c r="U674" s="7">
        <f>'1 datos preparados'!T667</f>
        <v/>
      </c>
      <c r="V674" s="8">
        <f>$AC$12+D674*$AC$13+E674*$AC$14+F674*$AC$15+G674*$AC$16+H674*$AC$17+I674*$AC$18+J674*$AC$19+K674*$AC$20+L674*$AC$21+M674*$AC$22+N674*$AC$23+O674*$AC$24+P674*$AC$25+Q674*$AC$26+R674*$AC$27+S674*$AC$28+T674*$AC$29+U674*$AC$30</f>
        <v/>
      </c>
      <c r="W674" s="8">
        <f>1/(1+EXP(-V674))</f>
        <v/>
      </c>
      <c r="X674" s="9">
        <f>-IF(C674=1,LN(W674),LN(1-W674))</f>
        <v/>
      </c>
      <c r="Y674" s="10">
        <f>IF(W674&gt;$AC$34,1,0)</f>
        <v/>
      </c>
      <c r="Z674">
        <f>IF(Y674=C674,1,0)</f>
        <v/>
      </c>
    </row>
    <row r="675">
      <c r="A675">
        <f>'1 datos preparados'!A668</f>
        <v/>
      </c>
      <c r="B675" s="5">
        <f>'1 datos preparados'!U668</f>
        <v/>
      </c>
      <c r="C675">
        <f>'1 datos preparados'!B668</f>
        <v/>
      </c>
      <c r="D675" s="7">
        <f>'1 datos preparados'!C668</f>
        <v/>
      </c>
      <c r="E675" s="7">
        <f>'1 datos preparados'!D668</f>
        <v/>
      </c>
      <c r="F675" s="7">
        <f>'1 datos preparados'!E668</f>
        <v/>
      </c>
      <c r="G675" s="7">
        <f>'1 datos preparados'!F668</f>
        <v/>
      </c>
      <c r="H675" s="7">
        <f>'1 datos preparados'!G668</f>
        <v/>
      </c>
      <c r="I675" s="7">
        <f>'1 datos preparados'!H668</f>
        <v/>
      </c>
      <c r="J675" s="7">
        <f>'1 datos preparados'!I668</f>
        <v/>
      </c>
      <c r="K675" s="7">
        <f>'1 datos preparados'!J668</f>
        <v/>
      </c>
      <c r="L675" s="7">
        <f>'1 datos preparados'!K668</f>
        <v/>
      </c>
      <c r="M675" s="7">
        <f>'1 datos preparados'!L668</f>
        <v/>
      </c>
      <c r="N675" s="7">
        <f>'1 datos preparados'!M668</f>
        <v/>
      </c>
      <c r="O675" s="7">
        <f>'1 datos preparados'!N668</f>
        <v/>
      </c>
      <c r="P675" s="7">
        <f>'1 datos preparados'!O668</f>
        <v/>
      </c>
      <c r="Q675" s="7">
        <f>'1 datos preparados'!P668</f>
        <v/>
      </c>
      <c r="R675" s="7">
        <f>'1 datos preparados'!Q668</f>
        <v/>
      </c>
      <c r="S675" s="7">
        <f>'1 datos preparados'!R668</f>
        <v/>
      </c>
      <c r="T675" s="7">
        <f>'1 datos preparados'!S668</f>
        <v/>
      </c>
      <c r="U675" s="7">
        <f>'1 datos preparados'!T668</f>
        <v/>
      </c>
      <c r="V675" s="8">
        <f>$AC$12+D675*$AC$13+E675*$AC$14+F675*$AC$15+G675*$AC$16+H675*$AC$17+I675*$AC$18+J675*$AC$19+K675*$AC$20+L675*$AC$21+M675*$AC$22+N675*$AC$23+O675*$AC$24+P675*$AC$25+Q675*$AC$26+R675*$AC$27+S675*$AC$28+T675*$AC$29+U675*$AC$30</f>
        <v/>
      </c>
      <c r="W675" s="8">
        <f>1/(1+EXP(-V675))</f>
        <v/>
      </c>
      <c r="X675" s="9">
        <f>-IF(C675=1,LN(W675),LN(1-W675))</f>
        <v/>
      </c>
      <c r="Y675" s="10">
        <f>IF(W675&gt;$AC$34,1,0)</f>
        <v/>
      </c>
      <c r="Z675">
        <f>IF(Y675=C675,1,0)</f>
        <v/>
      </c>
    </row>
    <row r="676">
      <c r="A676">
        <f>'1 datos preparados'!A669</f>
        <v/>
      </c>
      <c r="B676" s="5">
        <f>'1 datos preparados'!U669</f>
        <v/>
      </c>
      <c r="C676">
        <f>'1 datos preparados'!B669</f>
        <v/>
      </c>
      <c r="D676" s="7">
        <f>'1 datos preparados'!C669</f>
        <v/>
      </c>
      <c r="E676" s="7">
        <f>'1 datos preparados'!D669</f>
        <v/>
      </c>
      <c r="F676" s="7">
        <f>'1 datos preparados'!E669</f>
        <v/>
      </c>
      <c r="G676" s="7">
        <f>'1 datos preparados'!F669</f>
        <v/>
      </c>
      <c r="H676" s="7">
        <f>'1 datos preparados'!G669</f>
        <v/>
      </c>
      <c r="I676" s="7">
        <f>'1 datos preparados'!H669</f>
        <v/>
      </c>
      <c r="J676" s="7">
        <f>'1 datos preparados'!I669</f>
        <v/>
      </c>
      <c r="K676" s="7">
        <f>'1 datos preparados'!J669</f>
        <v/>
      </c>
      <c r="L676" s="7">
        <f>'1 datos preparados'!K669</f>
        <v/>
      </c>
      <c r="M676" s="7">
        <f>'1 datos preparados'!L669</f>
        <v/>
      </c>
      <c r="N676" s="7">
        <f>'1 datos preparados'!M669</f>
        <v/>
      </c>
      <c r="O676" s="7">
        <f>'1 datos preparados'!N669</f>
        <v/>
      </c>
      <c r="P676" s="7">
        <f>'1 datos preparados'!O669</f>
        <v/>
      </c>
      <c r="Q676" s="7">
        <f>'1 datos preparados'!P669</f>
        <v/>
      </c>
      <c r="R676" s="7">
        <f>'1 datos preparados'!Q669</f>
        <v/>
      </c>
      <c r="S676" s="7">
        <f>'1 datos preparados'!R669</f>
        <v/>
      </c>
      <c r="T676" s="7">
        <f>'1 datos preparados'!S669</f>
        <v/>
      </c>
      <c r="U676" s="7">
        <f>'1 datos preparados'!T669</f>
        <v/>
      </c>
      <c r="V676" s="8">
        <f>$AC$12+D676*$AC$13+E676*$AC$14+F676*$AC$15+G676*$AC$16+H676*$AC$17+I676*$AC$18+J676*$AC$19+K676*$AC$20+L676*$AC$21+M676*$AC$22+N676*$AC$23+O676*$AC$24+P676*$AC$25+Q676*$AC$26+R676*$AC$27+S676*$AC$28+T676*$AC$29+U676*$AC$30</f>
        <v/>
      </c>
      <c r="W676" s="8">
        <f>1/(1+EXP(-V676))</f>
        <v/>
      </c>
      <c r="X676" s="9">
        <f>-IF(C676=1,LN(W676),LN(1-W676))</f>
        <v/>
      </c>
      <c r="Y676" s="10">
        <f>IF(W676&gt;$AC$34,1,0)</f>
        <v/>
      </c>
      <c r="Z676">
        <f>IF(Y676=C676,1,0)</f>
        <v/>
      </c>
    </row>
    <row r="677">
      <c r="A677">
        <f>'1 datos preparados'!A670</f>
        <v/>
      </c>
      <c r="B677" s="5">
        <f>'1 datos preparados'!U670</f>
        <v/>
      </c>
      <c r="C677">
        <f>'1 datos preparados'!B670</f>
        <v/>
      </c>
      <c r="D677" s="7">
        <f>'1 datos preparados'!C670</f>
        <v/>
      </c>
      <c r="E677" s="7">
        <f>'1 datos preparados'!D670</f>
        <v/>
      </c>
      <c r="F677" s="7">
        <f>'1 datos preparados'!E670</f>
        <v/>
      </c>
      <c r="G677" s="7">
        <f>'1 datos preparados'!F670</f>
        <v/>
      </c>
      <c r="H677" s="7">
        <f>'1 datos preparados'!G670</f>
        <v/>
      </c>
      <c r="I677" s="7">
        <f>'1 datos preparados'!H670</f>
        <v/>
      </c>
      <c r="J677" s="7">
        <f>'1 datos preparados'!I670</f>
        <v/>
      </c>
      <c r="K677" s="7">
        <f>'1 datos preparados'!J670</f>
        <v/>
      </c>
      <c r="L677" s="7">
        <f>'1 datos preparados'!K670</f>
        <v/>
      </c>
      <c r="M677" s="7">
        <f>'1 datos preparados'!L670</f>
        <v/>
      </c>
      <c r="N677" s="7">
        <f>'1 datos preparados'!M670</f>
        <v/>
      </c>
      <c r="O677" s="7">
        <f>'1 datos preparados'!N670</f>
        <v/>
      </c>
      <c r="P677" s="7">
        <f>'1 datos preparados'!O670</f>
        <v/>
      </c>
      <c r="Q677" s="7">
        <f>'1 datos preparados'!P670</f>
        <v/>
      </c>
      <c r="R677" s="7">
        <f>'1 datos preparados'!Q670</f>
        <v/>
      </c>
      <c r="S677" s="7">
        <f>'1 datos preparados'!R670</f>
        <v/>
      </c>
      <c r="T677" s="7">
        <f>'1 datos preparados'!S670</f>
        <v/>
      </c>
      <c r="U677" s="7">
        <f>'1 datos preparados'!T670</f>
        <v/>
      </c>
      <c r="V677" s="8">
        <f>$AC$12+D677*$AC$13+E677*$AC$14+F677*$AC$15+G677*$AC$16+H677*$AC$17+I677*$AC$18+J677*$AC$19+K677*$AC$20+L677*$AC$21+M677*$AC$22+N677*$AC$23+O677*$AC$24+P677*$AC$25+Q677*$AC$26+R677*$AC$27+S677*$AC$28+T677*$AC$29+U677*$AC$30</f>
        <v/>
      </c>
      <c r="W677" s="8">
        <f>1/(1+EXP(-V677))</f>
        <v/>
      </c>
      <c r="X677" s="9">
        <f>-IF(C677=1,LN(W677),LN(1-W677))</f>
        <v/>
      </c>
      <c r="Y677" s="10">
        <f>IF(W677&gt;$AC$34,1,0)</f>
        <v/>
      </c>
      <c r="Z677">
        <f>IF(Y677=C677,1,0)</f>
        <v/>
      </c>
    </row>
    <row r="678">
      <c r="A678">
        <f>'1 datos preparados'!A671</f>
        <v/>
      </c>
      <c r="B678" s="5">
        <f>'1 datos preparados'!U671</f>
        <v/>
      </c>
      <c r="C678">
        <f>'1 datos preparados'!B671</f>
        <v/>
      </c>
      <c r="D678" s="7">
        <f>'1 datos preparados'!C671</f>
        <v/>
      </c>
      <c r="E678" s="7">
        <f>'1 datos preparados'!D671</f>
        <v/>
      </c>
      <c r="F678" s="7">
        <f>'1 datos preparados'!E671</f>
        <v/>
      </c>
      <c r="G678" s="7">
        <f>'1 datos preparados'!F671</f>
        <v/>
      </c>
      <c r="H678" s="7">
        <f>'1 datos preparados'!G671</f>
        <v/>
      </c>
      <c r="I678" s="7">
        <f>'1 datos preparados'!H671</f>
        <v/>
      </c>
      <c r="J678" s="7">
        <f>'1 datos preparados'!I671</f>
        <v/>
      </c>
      <c r="K678" s="7">
        <f>'1 datos preparados'!J671</f>
        <v/>
      </c>
      <c r="L678" s="7">
        <f>'1 datos preparados'!K671</f>
        <v/>
      </c>
      <c r="M678" s="7">
        <f>'1 datos preparados'!L671</f>
        <v/>
      </c>
      <c r="N678" s="7">
        <f>'1 datos preparados'!M671</f>
        <v/>
      </c>
      <c r="O678" s="7">
        <f>'1 datos preparados'!N671</f>
        <v/>
      </c>
      <c r="P678" s="7">
        <f>'1 datos preparados'!O671</f>
        <v/>
      </c>
      <c r="Q678" s="7">
        <f>'1 datos preparados'!P671</f>
        <v/>
      </c>
      <c r="R678" s="7">
        <f>'1 datos preparados'!Q671</f>
        <v/>
      </c>
      <c r="S678" s="7">
        <f>'1 datos preparados'!R671</f>
        <v/>
      </c>
      <c r="T678" s="7">
        <f>'1 datos preparados'!S671</f>
        <v/>
      </c>
      <c r="U678" s="7">
        <f>'1 datos preparados'!T671</f>
        <v/>
      </c>
      <c r="V678" s="8">
        <f>$AC$12+D678*$AC$13+E678*$AC$14+F678*$AC$15+G678*$AC$16+H678*$AC$17+I678*$AC$18+J678*$AC$19+K678*$AC$20+L678*$AC$21+M678*$AC$22+N678*$AC$23+O678*$AC$24+P678*$AC$25+Q678*$AC$26+R678*$AC$27+S678*$AC$28+T678*$AC$29+U678*$AC$30</f>
        <v/>
      </c>
      <c r="W678" s="8">
        <f>1/(1+EXP(-V678))</f>
        <v/>
      </c>
      <c r="X678" s="9">
        <f>-IF(C678=1,LN(W678),LN(1-W678))</f>
        <v/>
      </c>
      <c r="Y678" s="10">
        <f>IF(W678&gt;$AC$34,1,0)</f>
        <v/>
      </c>
      <c r="Z678">
        <f>IF(Y678=C678,1,0)</f>
        <v/>
      </c>
    </row>
    <row r="679">
      <c r="A679">
        <f>'1 datos preparados'!A672</f>
        <v/>
      </c>
      <c r="B679" s="5">
        <f>'1 datos preparados'!U672</f>
        <v/>
      </c>
      <c r="C679">
        <f>'1 datos preparados'!B672</f>
        <v/>
      </c>
      <c r="D679" s="7">
        <f>'1 datos preparados'!C672</f>
        <v/>
      </c>
      <c r="E679" s="7">
        <f>'1 datos preparados'!D672</f>
        <v/>
      </c>
      <c r="F679" s="7">
        <f>'1 datos preparados'!E672</f>
        <v/>
      </c>
      <c r="G679" s="7">
        <f>'1 datos preparados'!F672</f>
        <v/>
      </c>
      <c r="H679" s="7">
        <f>'1 datos preparados'!G672</f>
        <v/>
      </c>
      <c r="I679" s="7">
        <f>'1 datos preparados'!H672</f>
        <v/>
      </c>
      <c r="J679" s="7">
        <f>'1 datos preparados'!I672</f>
        <v/>
      </c>
      <c r="K679" s="7">
        <f>'1 datos preparados'!J672</f>
        <v/>
      </c>
      <c r="L679" s="7">
        <f>'1 datos preparados'!K672</f>
        <v/>
      </c>
      <c r="M679" s="7">
        <f>'1 datos preparados'!L672</f>
        <v/>
      </c>
      <c r="N679" s="7">
        <f>'1 datos preparados'!M672</f>
        <v/>
      </c>
      <c r="O679" s="7">
        <f>'1 datos preparados'!N672</f>
        <v/>
      </c>
      <c r="P679" s="7">
        <f>'1 datos preparados'!O672</f>
        <v/>
      </c>
      <c r="Q679" s="7">
        <f>'1 datos preparados'!P672</f>
        <v/>
      </c>
      <c r="R679" s="7">
        <f>'1 datos preparados'!Q672</f>
        <v/>
      </c>
      <c r="S679" s="7">
        <f>'1 datos preparados'!R672</f>
        <v/>
      </c>
      <c r="T679" s="7">
        <f>'1 datos preparados'!S672</f>
        <v/>
      </c>
      <c r="U679" s="7">
        <f>'1 datos preparados'!T672</f>
        <v/>
      </c>
      <c r="V679" s="8">
        <f>$AC$12+D679*$AC$13+E679*$AC$14+F679*$AC$15+G679*$AC$16+H679*$AC$17+I679*$AC$18+J679*$AC$19+K679*$AC$20+L679*$AC$21+M679*$AC$22+N679*$AC$23+O679*$AC$24+P679*$AC$25+Q679*$AC$26+R679*$AC$27+S679*$AC$28+T679*$AC$29+U679*$AC$30</f>
        <v/>
      </c>
      <c r="W679" s="8">
        <f>1/(1+EXP(-V679))</f>
        <v/>
      </c>
      <c r="X679" s="9">
        <f>-IF(C679=1,LN(W679),LN(1-W679))</f>
        <v/>
      </c>
      <c r="Y679" s="10">
        <f>IF(W679&gt;$AC$34,1,0)</f>
        <v/>
      </c>
      <c r="Z679">
        <f>IF(Y679=C679,1,0)</f>
        <v/>
      </c>
    </row>
    <row r="680">
      <c r="A680">
        <f>'1 datos preparados'!A673</f>
        <v/>
      </c>
      <c r="B680" s="5">
        <f>'1 datos preparados'!U673</f>
        <v/>
      </c>
      <c r="C680">
        <f>'1 datos preparados'!B673</f>
        <v/>
      </c>
      <c r="D680" s="7">
        <f>'1 datos preparados'!C673</f>
        <v/>
      </c>
      <c r="E680" s="7">
        <f>'1 datos preparados'!D673</f>
        <v/>
      </c>
      <c r="F680" s="7">
        <f>'1 datos preparados'!E673</f>
        <v/>
      </c>
      <c r="G680" s="7">
        <f>'1 datos preparados'!F673</f>
        <v/>
      </c>
      <c r="H680" s="7">
        <f>'1 datos preparados'!G673</f>
        <v/>
      </c>
      <c r="I680" s="7">
        <f>'1 datos preparados'!H673</f>
        <v/>
      </c>
      <c r="J680" s="7">
        <f>'1 datos preparados'!I673</f>
        <v/>
      </c>
      <c r="K680" s="7">
        <f>'1 datos preparados'!J673</f>
        <v/>
      </c>
      <c r="L680" s="7">
        <f>'1 datos preparados'!K673</f>
        <v/>
      </c>
      <c r="M680" s="7">
        <f>'1 datos preparados'!L673</f>
        <v/>
      </c>
      <c r="N680" s="7">
        <f>'1 datos preparados'!M673</f>
        <v/>
      </c>
      <c r="O680" s="7">
        <f>'1 datos preparados'!N673</f>
        <v/>
      </c>
      <c r="P680" s="7">
        <f>'1 datos preparados'!O673</f>
        <v/>
      </c>
      <c r="Q680" s="7">
        <f>'1 datos preparados'!P673</f>
        <v/>
      </c>
      <c r="R680" s="7">
        <f>'1 datos preparados'!Q673</f>
        <v/>
      </c>
      <c r="S680" s="7">
        <f>'1 datos preparados'!R673</f>
        <v/>
      </c>
      <c r="T680" s="7">
        <f>'1 datos preparados'!S673</f>
        <v/>
      </c>
      <c r="U680" s="7">
        <f>'1 datos preparados'!T673</f>
        <v/>
      </c>
      <c r="V680" s="8">
        <f>$AC$12+D680*$AC$13+E680*$AC$14+F680*$AC$15+G680*$AC$16+H680*$AC$17+I680*$AC$18+J680*$AC$19+K680*$AC$20+L680*$AC$21+M680*$AC$22+N680*$AC$23+O680*$AC$24+P680*$AC$25+Q680*$AC$26+R680*$AC$27+S680*$AC$28+T680*$AC$29+U680*$AC$30</f>
        <v/>
      </c>
      <c r="W680" s="8">
        <f>1/(1+EXP(-V680))</f>
        <v/>
      </c>
      <c r="X680" s="9">
        <f>-IF(C680=1,LN(W680),LN(1-W680))</f>
        <v/>
      </c>
      <c r="Y680" s="10">
        <f>IF(W680&gt;$AC$34,1,0)</f>
        <v/>
      </c>
      <c r="Z680">
        <f>IF(Y680=C680,1,0)</f>
        <v/>
      </c>
    </row>
    <row r="681">
      <c r="A681">
        <f>'1 datos preparados'!A674</f>
        <v/>
      </c>
      <c r="B681" s="5">
        <f>'1 datos preparados'!U674</f>
        <v/>
      </c>
      <c r="C681">
        <f>'1 datos preparados'!B674</f>
        <v/>
      </c>
      <c r="D681" s="7">
        <f>'1 datos preparados'!C674</f>
        <v/>
      </c>
      <c r="E681" s="7">
        <f>'1 datos preparados'!D674</f>
        <v/>
      </c>
      <c r="F681" s="7">
        <f>'1 datos preparados'!E674</f>
        <v/>
      </c>
      <c r="G681" s="7">
        <f>'1 datos preparados'!F674</f>
        <v/>
      </c>
      <c r="H681" s="7">
        <f>'1 datos preparados'!G674</f>
        <v/>
      </c>
      <c r="I681" s="7">
        <f>'1 datos preparados'!H674</f>
        <v/>
      </c>
      <c r="J681" s="7">
        <f>'1 datos preparados'!I674</f>
        <v/>
      </c>
      <c r="K681" s="7">
        <f>'1 datos preparados'!J674</f>
        <v/>
      </c>
      <c r="L681" s="7">
        <f>'1 datos preparados'!K674</f>
        <v/>
      </c>
      <c r="M681" s="7">
        <f>'1 datos preparados'!L674</f>
        <v/>
      </c>
      <c r="N681" s="7">
        <f>'1 datos preparados'!M674</f>
        <v/>
      </c>
      <c r="O681" s="7">
        <f>'1 datos preparados'!N674</f>
        <v/>
      </c>
      <c r="P681" s="7">
        <f>'1 datos preparados'!O674</f>
        <v/>
      </c>
      <c r="Q681" s="7">
        <f>'1 datos preparados'!P674</f>
        <v/>
      </c>
      <c r="R681" s="7">
        <f>'1 datos preparados'!Q674</f>
        <v/>
      </c>
      <c r="S681" s="7">
        <f>'1 datos preparados'!R674</f>
        <v/>
      </c>
      <c r="T681" s="7">
        <f>'1 datos preparados'!S674</f>
        <v/>
      </c>
      <c r="U681" s="7">
        <f>'1 datos preparados'!T674</f>
        <v/>
      </c>
      <c r="V681" s="8">
        <f>$AC$12+D681*$AC$13+E681*$AC$14+F681*$AC$15+G681*$AC$16+H681*$AC$17+I681*$AC$18+J681*$AC$19+K681*$AC$20+L681*$AC$21+M681*$AC$22+N681*$AC$23+O681*$AC$24+P681*$AC$25+Q681*$AC$26+R681*$AC$27+S681*$AC$28+T681*$AC$29+U681*$AC$30</f>
        <v/>
      </c>
      <c r="W681" s="8">
        <f>1/(1+EXP(-V681))</f>
        <v/>
      </c>
      <c r="X681" s="9">
        <f>-IF(C681=1,LN(W681),LN(1-W681))</f>
        <v/>
      </c>
      <c r="Y681" s="10">
        <f>IF(W681&gt;$AC$34,1,0)</f>
        <v/>
      </c>
      <c r="Z681">
        <f>IF(Y681=C681,1,0)</f>
        <v/>
      </c>
    </row>
    <row r="682">
      <c r="A682">
        <f>'1 datos preparados'!A675</f>
        <v/>
      </c>
      <c r="B682" s="5">
        <f>'1 datos preparados'!U675</f>
        <v/>
      </c>
      <c r="C682">
        <f>'1 datos preparados'!B675</f>
        <v/>
      </c>
      <c r="D682" s="7">
        <f>'1 datos preparados'!C675</f>
        <v/>
      </c>
      <c r="E682" s="7">
        <f>'1 datos preparados'!D675</f>
        <v/>
      </c>
      <c r="F682" s="7">
        <f>'1 datos preparados'!E675</f>
        <v/>
      </c>
      <c r="G682" s="7">
        <f>'1 datos preparados'!F675</f>
        <v/>
      </c>
      <c r="H682" s="7">
        <f>'1 datos preparados'!G675</f>
        <v/>
      </c>
      <c r="I682" s="7">
        <f>'1 datos preparados'!H675</f>
        <v/>
      </c>
      <c r="J682" s="7">
        <f>'1 datos preparados'!I675</f>
        <v/>
      </c>
      <c r="K682" s="7">
        <f>'1 datos preparados'!J675</f>
        <v/>
      </c>
      <c r="L682" s="7">
        <f>'1 datos preparados'!K675</f>
        <v/>
      </c>
      <c r="M682" s="7">
        <f>'1 datos preparados'!L675</f>
        <v/>
      </c>
      <c r="N682" s="7">
        <f>'1 datos preparados'!M675</f>
        <v/>
      </c>
      <c r="O682" s="7">
        <f>'1 datos preparados'!N675</f>
        <v/>
      </c>
      <c r="P682" s="7">
        <f>'1 datos preparados'!O675</f>
        <v/>
      </c>
      <c r="Q682" s="7">
        <f>'1 datos preparados'!P675</f>
        <v/>
      </c>
      <c r="R682" s="7">
        <f>'1 datos preparados'!Q675</f>
        <v/>
      </c>
      <c r="S682" s="7">
        <f>'1 datos preparados'!R675</f>
        <v/>
      </c>
      <c r="T682" s="7">
        <f>'1 datos preparados'!S675</f>
        <v/>
      </c>
      <c r="U682" s="7">
        <f>'1 datos preparados'!T675</f>
        <v/>
      </c>
      <c r="V682" s="8">
        <f>$AC$12+D682*$AC$13+E682*$AC$14+F682*$AC$15+G682*$AC$16+H682*$AC$17+I682*$AC$18+J682*$AC$19+K682*$AC$20+L682*$AC$21+M682*$AC$22+N682*$AC$23+O682*$AC$24+P682*$AC$25+Q682*$AC$26+R682*$AC$27+S682*$AC$28+T682*$AC$29+U682*$AC$30</f>
        <v/>
      </c>
      <c r="W682" s="8">
        <f>1/(1+EXP(-V682))</f>
        <v/>
      </c>
      <c r="X682" s="9">
        <f>-IF(C682=1,LN(W682),LN(1-W682))</f>
        <v/>
      </c>
      <c r="Y682" s="10">
        <f>IF(W682&gt;$AC$34,1,0)</f>
        <v/>
      </c>
      <c r="Z682">
        <f>IF(Y682=C682,1,0)</f>
        <v/>
      </c>
    </row>
    <row r="683">
      <c r="A683">
        <f>'1 datos preparados'!A676</f>
        <v/>
      </c>
      <c r="B683" s="5">
        <f>'1 datos preparados'!U676</f>
        <v/>
      </c>
      <c r="C683">
        <f>'1 datos preparados'!B676</f>
        <v/>
      </c>
      <c r="D683" s="7">
        <f>'1 datos preparados'!C676</f>
        <v/>
      </c>
      <c r="E683" s="7">
        <f>'1 datos preparados'!D676</f>
        <v/>
      </c>
      <c r="F683" s="7">
        <f>'1 datos preparados'!E676</f>
        <v/>
      </c>
      <c r="G683" s="7">
        <f>'1 datos preparados'!F676</f>
        <v/>
      </c>
      <c r="H683" s="7">
        <f>'1 datos preparados'!G676</f>
        <v/>
      </c>
      <c r="I683" s="7">
        <f>'1 datos preparados'!H676</f>
        <v/>
      </c>
      <c r="J683" s="7">
        <f>'1 datos preparados'!I676</f>
        <v/>
      </c>
      <c r="K683" s="7">
        <f>'1 datos preparados'!J676</f>
        <v/>
      </c>
      <c r="L683" s="7">
        <f>'1 datos preparados'!K676</f>
        <v/>
      </c>
      <c r="M683" s="7">
        <f>'1 datos preparados'!L676</f>
        <v/>
      </c>
      <c r="N683" s="7">
        <f>'1 datos preparados'!M676</f>
        <v/>
      </c>
      <c r="O683" s="7">
        <f>'1 datos preparados'!N676</f>
        <v/>
      </c>
      <c r="P683" s="7">
        <f>'1 datos preparados'!O676</f>
        <v/>
      </c>
      <c r="Q683" s="7">
        <f>'1 datos preparados'!P676</f>
        <v/>
      </c>
      <c r="R683" s="7">
        <f>'1 datos preparados'!Q676</f>
        <v/>
      </c>
      <c r="S683" s="7">
        <f>'1 datos preparados'!R676</f>
        <v/>
      </c>
      <c r="T683" s="7">
        <f>'1 datos preparados'!S676</f>
        <v/>
      </c>
      <c r="U683" s="7">
        <f>'1 datos preparados'!T676</f>
        <v/>
      </c>
      <c r="V683" s="8">
        <f>$AC$12+D683*$AC$13+E683*$AC$14+F683*$AC$15+G683*$AC$16+H683*$AC$17+I683*$AC$18+J683*$AC$19+K683*$AC$20+L683*$AC$21+M683*$AC$22+N683*$AC$23+O683*$AC$24+P683*$AC$25+Q683*$AC$26+R683*$AC$27+S683*$AC$28+T683*$AC$29+U683*$AC$30</f>
        <v/>
      </c>
      <c r="W683" s="8">
        <f>1/(1+EXP(-V683))</f>
        <v/>
      </c>
      <c r="X683" s="9">
        <f>-IF(C683=1,LN(W683),LN(1-W683))</f>
        <v/>
      </c>
      <c r="Y683" s="10">
        <f>IF(W683&gt;$AC$34,1,0)</f>
        <v/>
      </c>
      <c r="Z683">
        <f>IF(Y683=C683,1,0)</f>
        <v/>
      </c>
    </row>
    <row r="684">
      <c r="A684">
        <f>'1 datos preparados'!A677</f>
        <v/>
      </c>
      <c r="B684" s="5">
        <f>'1 datos preparados'!U677</f>
        <v/>
      </c>
      <c r="C684">
        <f>'1 datos preparados'!B677</f>
        <v/>
      </c>
      <c r="D684" s="7">
        <f>'1 datos preparados'!C677</f>
        <v/>
      </c>
      <c r="E684" s="7">
        <f>'1 datos preparados'!D677</f>
        <v/>
      </c>
      <c r="F684" s="7">
        <f>'1 datos preparados'!E677</f>
        <v/>
      </c>
      <c r="G684" s="7">
        <f>'1 datos preparados'!F677</f>
        <v/>
      </c>
      <c r="H684" s="7">
        <f>'1 datos preparados'!G677</f>
        <v/>
      </c>
      <c r="I684" s="7">
        <f>'1 datos preparados'!H677</f>
        <v/>
      </c>
      <c r="J684" s="7">
        <f>'1 datos preparados'!I677</f>
        <v/>
      </c>
      <c r="K684" s="7">
        <f>'1 datos preparados'!J677</f>
        <v/>
      </c>
      <c r="L684" s="7">
        <f>'1 datos preparados'!K677</f>
        <v/>
      </c>
      <c r="M684" s="7">
        <f>'1 datos preparados'!L677</f>
        <v/>
      </c>
      <c r="N684" s="7">
        <f>'1 datos preparados'!M677</f>
        <v/>
      </c>
      <c r="O684" s="7">
        <f>'1 datos preparados'!N677</f>
        <v/>
      </c>
      <c r="P684" s="7">
        <f>'1 datos preparados'!O677</f>
        <v/>
      </c>
      <c r="Q684" s="7">
        <f>'1 datos preparados'!P677</f>
        <v/>
      </c>
      <c r="R684" s="7">
        <f>'1 datos preparados'!Q677</f>
        <v/>
      </c>
      <c r="S684" s="7">
        <f>'1 datos preparados'!R677</f>
        <v/>
      </c>
      <c r="T684" s="7">
        <f>'1 datos preparados'!S677</f>
        <v/>
      </c>
      <c r="U684" s="7">
        <f>'1 datos preparados'!T677</f>
        <v/>
      </c>
      <c r="V684" s="8">
        <f>$AC$12+D684*$AC$13+E684*$AC$14+F684*$AC$15+G684*$AC$16+H684*$AC$17+I684*$AC$18+J684*$AC$19+K684*$AC$20+L684*$AC$21+M684*$AC$22+N684*$AC$23+O684*$AC$24+P684*$AC$25+Q684*$AC$26+R684*$AC$27+S684*$AC$28+T684*$AC$29+U684*$AC$30</f>
        <v/>
      </c>
      <c r="W684" s="8">
        <f>1/(1+EXP(-V684))</f>
        <v/>
      </c>
      <c r="X684" s="9">
        <f>-IF(C684=1,LN(W684),LN(1-W684))</f>
        <v/>
      </c>
      <c r="Y684" s="10">
        <f>IF(W684&gt;$AC$34,1,0)</f>
        <v/>
      </c>
      <c r="Z684">
        <f>IF(Y684=C684,1,0)</f>
        <v/>
      </c>
    </row>
    <row r="685">
      <c r="A685">
        <f>'1 datos preparados'!A678</f>
        <v/>
      </c>
      <c r="B685" s="5">
        <f>'1 datos preparados'!U678</f>
        <v/>
      </c>
      <c r="C685">
        <f>'1 datos preparados'!B678</f>
        <v/>
      </c>
      <c r="D685" s="7">
        <f>'1 datos preparados'!C678</f>
        <v/>
      </c>
      <c r="E685" s="7">
        <f>'1 datos preparados'!D678</f>
        <v/>
      </c>
      <c r="F685" s="7">
        <f>'1 datos preparados'!E678</f>
        <v/>
      </c>
      <c r="G685" s="7">
        <f>'1 datos preparados'!F678</f>
        <v/>
      </c>
      <c r="H685" s="7">
        <f>'1 datos preparados'!G678</f>
        <v/>
      </c>
      <c r="I685" s="7">
        <f>'1 datos preparados'!H678</f>
        <v/>
      </c>
      <c r="J685" s="7">
        <f>'1 datos preparados'!I678</f>
        <v/>
      </c>
      <c r="K685" s="7">
        <f>'1 datos preparados'!J678</f>
        <v/>
      </c>
      <c r="L685" s="7">
        <f>'1 datos preparados'!K678</f>
        <v/>
      </c>
      <c r="M685" s="7">
        <f>'1 datos preparados'!L678</f>
        <v/>
      </c>
      <c r="N685" s="7">
        <f>'1 datos preparados'!M678</f>
        <v/>
      </c>
      <c r="O685" s="7">
        <f>'1 datos preparados'!N678</f>
        <v/>
      </c>
      <c r="P685" s="7">
        <f>'1 datos preparados'!O678</f>
        <v/>
      </c>
      <c r="Q685" s="7">
        <f>'1 datos preparados'!P678</f>
        <v/>
      </c>
      <c r="R685" s="7">
        <f>'1 datos preparados'!Q678</f>
        <v/>
      </c>
      <c r="S685" s="7">
        <f>'1 datos preparados'!R678</f>
        <v/>
      </c>
      <c r="T685" s="7">
        <f>'1 datos preparados'!S678</f>
        <v/>
      </c>
      <c r="U685" s="7">
        <f>'1 datos preparados'!T678</f>
        <v/>
      </c>
      <c r="V685" s="8">
        <f>$AC$12+D685*$AC$13+E685*$AC$14+F685*$AC$15+G685*$AC$16+H685*$AC$17+I685*$AC$18+J685*$AC$19+K685*$AC$20+L685*$AC$21+M685*$AC$22+N685*$AC$23+O685*$AC$24+P685*$AC$25+Q685*$AC$26+R685*$AC$27+S685*$AC$28+T685*$AC$29+U685*$AC$30</f>
        <v/>
      </c>
      <c r="W685" s="8">
        <f>1/(1+EXP(-V685))</f>
        <v/>
      </c>
      <c r="X685" s="9">
        <f>-IF(C685=1,LN(W685),LN(1-W685))</f>
        <v/>
      </c>
      <c r="Y685" s="10">
        <f>IF(W685&gt;$AC$34,1,0)</f>
        <v/>
      </c>
      <c r="Z685">
        <f>IF(Y685=C685,1,0)</f>
        <v/>
      </c>
    </row>
    <row r="686">
      <c r="A686">
        <f>'1 datos preparados'!A679</f>
        <v/>
      </c>
      <c r="B686" s="5">
        <f>'1 datos preparados'!U679</f>
        <v/>
      </c>
      <c r="C686">
        <f>'1 datos preparados'!B679</f>
        <v/>
      </c>
      <c r="D686" s="7">
        <f>'1 datos preparados'!C679</f>
        <v/>
      </c>
      <c r="E686" s="7">
        <f>'1 datos preparados'!D679</f>
        <v/>
      </c>
      <c r="F686" s="7">
        <f>'1 datos preparados'!E679</f>
        <v/>
      </c>
      <c r="G686" s="7">
        <f>'1 datos preparados'!F679</f>
        <v/>
      </c>
      <c r="H686" s="7">
        <f>'1 datos preparados'!G679</f>
        <v/>
      </c>
      <c r="I686" s="7">
        <f>'1 datos preparados'!H679</f>
        <v/>
      </c>
      <c r="J686" s="7">
        <f>'1 datos preparados'!I679</f>
        <v/>
      </c>
      <c r="K686" s="7">
        <f>'1 datos preparados'!J679</f>
        <v/>
      </c>
      <c r="L686" s="7">
        <f>'1 datos preparados'!K679</f>
        <v/>
      </c>
      <c r="M686" s="7">
        <f>'1 datos preparados'!L679</f>
        <v/>
      </c>
      <c r="N686" s="7">
        <f>'1 datos preparados'!M679</f>
        <v/>
      </c>
      <c r="O686" s="7">
        <f>'1 datos preparados'!N679</f>
        <v/>
      </c>
      <c r="P686" s="7">
        <f>'1 datos preparados'!O679</f>
        <v/>
      </c>
      <c r="Q686" s="7">
        <f>'1 datos preparados'!P679</f>
        <v/>
      </c>
      <c r="R686" s="7">
        <f>'1 datos preparados'!Q679</f>
        <v/>
      </c>
      <c r="S686" s="7">
        <f>'1 datos preparados'!R679</f>
        <v/>
      </c>
      <c r="T686" s="7">
        <f>'1 datos preparados'!S679</f>
        <v/>
      </c>
      <c r="U686" s="7">
        <f>'1 datos preparados'!T679</f>
        <v/>
      </c>
      <c r="V686" s="8">
        <f>$AC$12+D686*$AC$13+E686*$AC$14+F686*$AC$15+G686*$AC$16+H686*$AC$17+I686*$AC$18+J686*$AC$19+K686*$AC$20+L686*$AC$21+M686*$AC$22+N686*$AC$23+O686*$AC$24+P686*$AC$25+Q686*$AC$26+R686*$AC$27+S686*$AC$28+T686*$AC$29+U686*$AC$30</f>
        <v/>
      </c>
      <c r="W686" s="8">
        <f>1/(1+EXP(-V686))</f>
        <v/>
      </c>
      <c r="X686" s="9">
        <f>-IF(C686=1,LN(W686),LN(1-W686))</f>
        <v/>
      </c>
      <c r="Y686" s="10">
        <f>IF(W686&gt;$AC$34,1,0)</f>
        <v/>
      </c>
      <c r="Z686">
        <f>IF(Y686=C686,1,0)</f>
        <v/>
      </c>
    </row>
    <row r="687">
      <c r="A687">
        <f>'1 datos preparados'!A680</f>
        <v/>
      </c>
      <c r="B687" s="5">
        <f>'1 datos preparados'!U680</f>
        <v/>
      </c>
      <c r="C687">
        <f>'1 datos preparados'!B680</f>
        <v/>
      </c>
      <c r="D687" s="7">
        <f>'1 datos preparados'!C680</f>
        <v/>
      </c>
      <c r="E687" s="7">
        <f>'1 datos preparados'!D680</f>
        <v/>
      </c>
      <c r="F687" s="7">
        <f>'1 datos preparados'!E680</f>
        <v/>
      </c>
      <c r="G687" s="7">
        <f>'1 datos preparados'!F680</f>
        <v/>
      </c>
      <c r="H687" s="7">
        <f>'1 datos preparados'!G680</f>
        <v/>
      </c>
      <c r="I687" s="7">
        <f>'1 datos preparados'!H680</f>
        <v/>
      </c>
      <c r="J687" s="7">
        <f>'1 datos preparados'!I680</f>
        <v/>
      </c>
      <c r="K687" s="7">
        <f>'1 datos preparados'!J680</f>
        <v/>
      </c>
      <c r="L687" s="7">
        <f>'1 datos preparados'!K680</f>
        <v/>
      </c>
      <c r="M687" s="7">
        <f>'1 datos preparados'!L680</f>
        <v/>
      </c>
      <c r="N687" s="7">
        <f>'1 datos preparados'!M680</f>
        <v/>
      </c>
      <c r="O687" s="7">
        <f>'1 datos preparados'!N680</f>
        <v/>
      </c>
      <c r="P687" s="7">
        <f>'1 datos preparados'!O680</f>
        <v/>
      </c>
      <c r="Q687" s="7">
        <f>'1 datos preparados'!P680</f>
        <v/>
      </c>
      <c r="R687" s="7">
        <f>'1 datos preparados'!Q680</f>
        <v/>
      </c>
      <c r="S687" s="7">
        <f>'1 datos preparados'!R680</f>
        <v/>
      </c>
      <c r="T687" s="7">
        <f>'1 datos preparados'!S680</f>
        <v/>
      </c>
      <c r="U687" s="7">
        <f>'1 datos preparados'!T680</f>
        <v/>
      </c>
      <c r="V687" s="8">
        <f>$AC$12+D687*$AC$13+E687*$AC$14+F687*$AC$15+G687*$AC$16+H687*$AC$17+I687*$AC$18+J687*$AC$19+K687*$AC$20+L687*$AC$21+M687*$AC$22+N687*$AC$23+O687*$AC$24+P687*$AC$25+Q687*$AC$26+R687*$AC$27+S687*$AC$28+T687*$AC$29+U687*$AC$30</f>
        <v/>
      </c>
      <c r="W687" s="8">
        <f>1/(1+EXP(-V687))</f>
        <v/>
      </c>
      <c r="X687" s="9">
        <f>-IF(C687=1,LN(W687),LN(1-W687))</f>
        <v/>
      </c>
      <c r="Y687" s="10">
        <f>IF(W687&gt;$AC$34,1,0)</f>
        <v/>
      </c>
      <c r="Z687">
        <f>IF(Y687=C687,1,0)</f>
        <v/>
      </c>
    </row>
    <row r="688">
      <c r="A688">
        <f>'1 datos preparados'!A681</f>
        <v/>
      </c>
      <c r="B688" s="5">
        <f>'1 datos preparados'!U681</f>
        <v/>
      </c>
      <c r="C688">
        <f>'1 datos preparados'!B681</f>
        <v/>
      </c>
      <c r="D688" s="7">
        <f>'1 datos preparados'!C681</f>
        <v/>
      </c>
      <c r="E688" s="7">
        <f>'1 datos preparados'!D681</f>
        <v/>
      </c>
      <c r="F688" s="7">
        <f>'1 datos preparados'!E681</f>
        <v/>
      </c>
      <c r="G688" s="7">
        <f>'1 datos preparados'!F681</f>
        <v/>
      </c>
      <c r="H688" s="7">
        <f>'1 datos preparados'!G681</f>
        <v/>
      </c>
      <c r="I688" s="7">
        <f>'1 datos preparados'!H681</f>
        <v/>
      </c>
      <c r="J688" s="7">
        <f>'1 datos preparados'!I681</f>
        <v/>
      </c>
      <c r="K688" s="7">
        <f>'1 datos preparados'!J681</f>
        <v/>
      </c>
      <c r="L688" s="7">
        <f>'1 datos preparados'!K681</f>
        <v/>
      </c>
      <c r="M688" s="7">
        <f>'1 datos preparados'!L681</f>
        <v/>
      </c>
      <c r="N688" s="7">
        <f>'1 datos preparados'!M681</f>
        <v/>
      </c>
      <c r="O688" s="7">
        <f>'1 datos preparados'!N681</f>
        <v/>
      </c>
      <c r="P688" s="7">
        <f>'1 datos preparados'!O681</f>
        <v/>
      </c>
      <c r="Q688" s="7">
        <f>'1 datos preparados'!P681</f>
        <v/>
      </c>
      <c r="R688" s="7">
        <f>'1 datos preparados'!Q681</f>
        <v/>
      </c>
      <c r="S688" s="7">
        <f>'1 datos preparados'!R681</f>
        <v/>
      </c>
      <c r="T688" s="7">
        <f>'1 datos preparados'!S681</f>
        <v/>
      </c>
      <c r="U688" s="7">
        <f>'1 datos preparados'!T681</f>
        <v/>
      </c>
      <c r="V688" s="8">
        <f>$AC$12+D688*$AC$13+E688*$AC$14+F688*$AC$15+G688*$AC$16+H688*$AC$17+I688*$AC$18+J688*$AC$19+K688*$AC$20+L688*$AC$21+M688*$AC$22+N688*$AC$23+O688*$AC$24+P688*$AC$25+Q688*$AC$26+R688*$AC$27+S688*$AC$28+T688*$AC$29+U688*$AC$30</f>
        <v/>
      </c>
      <c r="W688" s="8">
        <f>1/(1+EXP(-V688))</f>
        <v/>
      </c>
      <c r="X688" s="9">
        <f>-IF(C688=1,LN(W688),LN(1-W688))</f>
        <v/>
      </c>
      <c r="Y688" s="10">
        <f>IF(W688&gt;$AC$34,1,0)</f>
        <v/>
      </c>
      <c r="Z688">
        <f>IF(Y688=C688,1,0)</f>
        <v/>
      </c>
    </row>
    <row r="689">
      <c r="A689">
        <f>'1 datos preparados'!A682</f>
        <v/>
      </c>
      <c r="B689" s="5">
        <f>'1 datos preparados'!U682</f>
        <v/>
      </c>
      <c r="C689">
        <f>'1 datos preparados'!B682</f>
        <v/>
      </c>
      <c r="D689" s="7">
        <f>'1 datos preparados'!C682</f>
        <v/>
      </c>
      <c r="E689" s="7">
        <f>'1 datos preparados'!D682</f>
        <v/>
      </c>
      <c r="F689" s="7">
        <f>'1 datos preparados'!E682</f>
        <v/>
      </c>
      <c r="G689" s="7">
        <f>'1 datos preparados'!F682</f>
        <v/>
      </c>
      <c r="H689" s="7">
        <f>'1 datos preparados'!G682</f>
        <v/>
      </c>
      <c r="I689" s="7">
        <f>'1 datos preparados'!H682</f>
        <v/>
      </c>
      <c r="J689" s="7">
        <f>'1 datos preparados'!I682</f>
        <v/>
      </c>
      <c r="K689" s="7">
        <f>'1 datos preparados'!J682</f>
        <v/>
      </c>
      <c r="L689" s="7">
        <f>'1 datos preparados'!K682</f>
        <v/>
      </c>
      <c r="M689" s="7">
        <f>'1 datos preparados'!L682</f>
        <v/>
      </c>
      <c r="N689" s="7">
        <f>'1 datos preparados'!M682</f>
        <v/>
      </c>
      <c r="O689" s="7">
        <f>'1 datos preparados'!N682</f>
        <v/>
      </c>
      <c r="P689" s="7">
        <f>'1 datos preparados'!O682</f>
        <v/>
      </c>
      <c r="Q689" s="7">
        <f>'1 datos preparados'!P682</f>
        <v/>
      </c>
      <c r="R689" s="7">
        <f>'1 datos preparados'!Q682</f>
        <v/>
      </c>
      <c r="S689" s="7">
        <f>'1 datos preparados'!R682</f>
        <v/>
      </c>
      <c r="T689" s="7">
        <f>'1 datos preparados'!S682</f>
        <v/>
      </c>
      <c r="U689" s="7">
        <f>'1 datos preparados'!T682</f>
        <v/>
      </c>
      <c r="V689" s="8">
        <f>$AC$12+D689*$AC$13+E689*$AC$14+F689*$AC$15+G689*$AC$16+H689*$AC$17+I689*$AC$18+J689*$AC$19+K689*$AC$20+L689*$AC$21+M689*$AC$22+N689*$AC$23+O689*$AC$24+P689*$AC$25+Q689*$AC$26+R689*$AC$27+S689*$AC$28+T689*$AC$29+U689*$AC$30</f>
        <v/>
      </c>
      <c r="W689" s="8">
        <f>1/(1+EXP(-V689))</f>
        <v/>
      </c>
      <c r="X689" s="9">
        <f>-IF(C689=1,LN(W689),LN(1-W689))</f>
        <v/>
      </c>
      <c r="Y689" s="10">
        <f>IF(W689&gt;$AC$34,1,0)</f>
        <v/>
      </c>
      <c r="Z689">
        <f>IF(Y689=C689,1,0)</f>
        <v/>
      </c>
    </row>
    <row r="690">
      <c r="A690">
        <f>'1 datos preparados'!A683</f>
        <v/>
      </c>
      <c r="B690" s="5">
        <f>'1 datos preparados'!U683</f>
        <v/>
      </c>
      <c r="C690">
        <f>'1 datos preparados'!B683</f>
        <v/>
      </c>
      <c r="D690" s="7">
        <f>'1 datos preparados'!C683</f>
        <v/>
      </c>
      <c r="E690" s="7">
        <f>'1 datos preparados'!D683</f>
        <v/>
      </c>
      <c r="F690" s="7">
        <f>'1 datos preparados'!E683</f>
        <v/>
      </c>
      <c r="G690" s="7">
        <f>'1 datos preparados'!F683</f>
        <v/>
      </c>
      <c r="H690" s="7">
        <f>'1 datos preparados'!G683</f>
        <v/>
      </c>
      <c r="I690" s="7">
        <f>'1 datos preparados'!H683</f>
        <v/>
      </c>
      <c r="J690" s="7">
        <f>'1 datos preparados'!I683</f>
        <v/>
      </c>
      <c r="K690" s="7">
        <f>'1 datos preparados'!J683</f>
        <v/>
      </c>
      <c r="L690" s="7">
        <f>'1 datos preparados'!K683</f>
        <v/>
      </c>
      <c r="M690" s="7">
        <f>'1 datos preparados'!L683</f>
        <v/>
      </c>
      <c r="N690" s="7">
        <f>'1 datos preparados'!M683</f>
        <v/>
      </c>
      <c r="O690" s="7">
        <f>'1 datos preparados'!N683</f>
        <v/>
      </c>
      <c r="P690" s="7">
        <f>'1 datos preparados'!O683</f>
        <v/>
      </c>
      <c r="Q690" s="7">
        <f>'1 datos preparados'!P683</f>
        <v/>
      </c>
      <c r="R690" s="7">
        <f>'1 datos preparados'!Q683</f>
        <v/>
      </c>
      <c r="S690" s="7">
        <f>'1 datos preparados'!R683</f>
        <v/>
      </c>
      <c r="T690" s="7">
        <f>'1 datos preparados'!S683</f>
        <v/>
      </c>
      <c r="U690" s="7">
        <f>'1 datos preparados'!T683</f>
        <v/>
      </c>
      <c r="V690" s="8">
        <f>$AC$12+D690*$AC$13+E690*$AC$14+F690*$AC$15+G690*$AC$16+H690*$AC$17+I690*$AC$18+J690*$AC$19+K690*$AC$20+L690*$AC$21+M690*$AC$22+N690*$AC$23+O690*$AC$24+P690*$AC$25+Q690*$AC$26+R690*$AC$27+S690*$AC$28+T690*$AC$29+U690*$AC$30</f>
        <v/>
      </c>
      <c r="W690" s="8">
        <f>1/(1+EXP(-V690))</f>
        <v/>
      </c>
      <c r="X690" s="9">
        <f>-IF(C690=1,LN(W690),LN(1-W690))</f>
        <v/>
      </c>
      <c r="Y690" s="10">
        <f>IF(W690&gt;$AC$34,1,0)</f>
        <v/>
      </c>
      <c r="Z690">
        <f>IF(Y690=C690,1,0)</f>
        <v/>
      </c>
    </row>
    <row r="691">
      <c r="A691">
        <f>'1 datos preparados'!A684</f>
        <v/>
      </c>
      <c r="B691" s="5">
        <f>'1 datos preparados'!U684</f>
        <v/>
      </c>
      <c r="C691">
        <f>'1 datos preparados'!B684</f>
        <v/>
      </c>
      <c r="D691" s="7">
        <f>'1 datos preparados'!C684</f>
        <v/>
      </c>
      <c r="E691" s="7">
        <f>'1 datos preparados'!D684</f>
        <v/>
      </c>
      <c r="F691" s="7">
        <f>'1 datos preparados'!E684</f>
        <v/>
      </c>
      <c r="G691" s="7">
        <f>'1 datos preparados'!F684</f>
        <v/>
      </c>
      <c r="H691" s="7">
        <f>'1 datos preparados'!G684</f>
        <v/>
      </c>
      <c r="I691" s="7">
        <f>'1 datos preparados'!H684</f>
        <v/>
      </c>
      <c r="J691" s="7">
        <f>'1 datos preparados'!I684</f>
        <v/>
      </c>
      <c r="K691" s="7">
        <f>'1 datos preparados'!J684</f>
        <v/>
      </c>
      <c r="L691" s="7">
        <f>'1 datos preparados'!K684</f>
        <v/>
      </c>
      <c r="M691" s="7">
        <f>'1 datos preparados'!L684</f>
        <v/>
      </c>
      <c r="N691" s="7">
        <f>'1 datos preparados'!M684</f>
        <v/>
      </c>
      <c r="O691" s="7">
        <f>'1 datos preparados'!N684</f>
        <v/>
      </c>
      <c r="P691" s="7">
        <f>'1 datos preparados'!O684</f>
        <v/>
      </c>
      <c r="Q691" s="7">
        <f>'1 datos preparados'!P684</f>
        <v/>
      </c>
      <c r="R691" s="7">
        <f>'1 datos preparados'!Q684</f>
        <v/>
      </c>
      <c r="S691" s="7">
        <f>'1 datos preparados'!R684</f>
        <v/>
      </c>
      <c r="T691" s="7">
        <f>'1 datos preparados'!S684</f>
        <v/>
      </c>
      <c r="U691" s="7">
        <f>'1 datos preparados'!T684</f>
        <v/>
      </c>
      <c r="V691" s="8">
        <f>$AC$12+D691*$AC$13+E691*$AC$14+F691*$AC$15+G691*$AC$16+H691*$AC$17+I691*$AC$18+J691*$AC$19+K691*$AC$20+L691*$AC$21+M691*$AC$22+N691*$AC$23+O691*$AC$24+P691*$AC$25+Q691*$AC$26+R691*$AC$27+S691*$AC$28+T691*$AC$29+U691*$AC$30</f>
        <v/>
      </c>
      <c r="W691" s="8">
        <f>1/(1+EXP(-V691))</f>
        <v/>
      </c>
      <c r="X691" s="9">
        <f>-IF(C691=1,LN(W691),LN(1-W691))</f>
        <v/>
      </c>
      <c r="Y691" s="10">
        <f>IF(W691&gt;$AC$34,1,0)</f>
        <v/>
      </c>
      <c r="Z691">
        <f>IF(Y691=C691,1,0)</f>
        <v/>
      </c>
    </row>
    <row r="692">
      <c r="A692">
        <f>'1 datos preparados'!A685</f>
        <v/>
      </c>
      <c r="B692" s="5">
        <f>'1 datos preparados'!U685</f>
        <v/>
      </c>
      <c r="C692">
        <f>'1 datos preparados'!B685</f>
        <v/>
      </c>
      <c r="D692" s="7">
        <f>'1 datos preparados'!C685</f>
        <v/>
      </c>
      <c r="E692" s="7">
        <f>'1 datos preparados'!D685</f>
        <v/>
      </c>
      <c r="F692" s="7">
        <f>'1 datos preparados'!E685</f>
        <v/>
      </c>
      <c r="G692" s="7">
        <f>'1 datos preparados'!F685</f>
        <v/>
      </c>
      <c r="H692" s="7">
        <f>'1 datos preparados'!G685</f>
        <v/>
      </c>
      <c r="I692" s="7">
        <f>'1 datos preparados'!H685</f>
        <v/>
      </c>
      <c r="J692" s="7">
        <f>'1 datos preparados'!I685</f>
        <v/>
      </c>
      <c r="K692" s="7">
        <f>'1 datos preparados'!J685</f>
        <v/>
      </c>
      <c r="L692" s="7">
        <f>'1 datos preparados'!K685</f>
        <v/>
      </c>
      <c r="M692" s="7">
        <f>'1 datos preparados'!L685</f>
        <v/>
      </c>
      <c r="N692" s="7">
        <f>'1 datos preparados'!M685</f>
        <v/>
      </c>
      <c r="O692" s="7">
        <f>'1 datos preparados'!N685</f>
        <v/>
      </c>
      <c r="P692" s="7">
        <f>'1 datos preparados'!O685</f>
        <v/>
      </c>
      <c r="Q692" s="7">
        <f>'1 datos preparados'!P685</f>
        <v/>
      </c>
      <c r="R692" s="7">
        <f>'1 datos preparados'!Q685</f>
        <v/>
      </c>
      <c r="S692" s="7">
        <f>'1 datos preparados'!R685</f>
        <v/>
      </c>
      <c r="T692" s="7">
        <f>'1 datos preparados'!S685</f>
        <v/>
      </c>
      <c r="U692" s="7">
        <f>'1 datos preparados'!T685</f>
        <v/>
      </c>
      <c r="V692" s="8">
        <f>$AC$12+D692*$AC$13+E692*$AC$14+F692*$AC$15+G692*$AC$16+H692*$AC$17+I692*$AC$18+J692*$AC$19+K692*$AC$20+L692*$AC$21+M692*$AC$22+N692*$AC$23+O692*$AC$24+P692*$AC$25+Q692*$AC$26+R692*$AC$27+S692*$AC$28+T692*$AC$29+U692*$AC$30</f>
        <v/>
      </c>
      <c r="W692" s="8">
        <f>1/(1+EXP(-V692))</f>
        <v/>
      </c>
      <c r="X692" s="9">
        <f>-IF(C692=1,LN(W692),LN(1-W692))</f>
        <v/>
      </c>
      <c r="Y692" s="10">
        <f>IF(W692&gt;$AC$34,1,0)</f>
        <v/>
      </c>
      <c r="Z692">
        <f>IF(Y692=C692,1,0)</f>
        <v/>
      </c>
    </row>
    <row r="693">
      <c r="A693">
        <f>'1 datos preparados'!A686</f>
        <v/>
      </c>
      <c r="B693" s="5">
        <f>'1 datos preparados'!U686</f>
        <v/>
      </c>
      <c r="C693">
        <f>'1 datos preparados'!B686</f>
        <v/>
      </c>
      <c r="D693" s="7">
        <f>'1 datos preparados'!C686</f>
        <v/>
      </c>
      <c r="E693" s="7">
        <f>'1 datos preparados'!D686</f>
        <v/>
      </c>
      <c r="F693" s="7">
        <f>'1 datos preparados'!E686</f>
        <v/>
      </c>
      <c r="G693" s="7">
        <f>'1 datos preparados'!F686</f>
        <v/>
      </c>
      <c r="H693" s="7">
        <f>'1 datos preparados'!G686</f>
        <v/>
      </c>
      <c r="I693" s="7">
        <f>'1 datos preparados'!H686</f>
        <v/>
      </c>
      <c r="J693" s="7">
        <f>'1 datos preparados'!I686</f>
        <v/>
      </c>
      <c r="K693" s="7">
        <f>'1 datos preparados'!J686</f>
        <v/>
      </c>
      <c r="L693" s="7">
        <f>'1 datos preparados'!K686</f>
        <v/>
      </c>
      <c r="M693" s="7">
        <f>'1 datos preparados'!L686</f>
        <v/>
      </c>
      <c r="N693" s="7">
        <f>'1 datos preparados'!M686</f>
        <v/>
      </c>
      <c r="O693" s="7">
        <f>'1 datos preparados'!N686</f>
        <v/>
      </c>
      <c r="P693" s="7">
        <f>'1 datos preparados'!O686</f>
        <v/>
      </c>
      <c r="Q693" s="7">
        <f>'1 datos preparados'!P686</f>
        <v/>
      </c>
      <c r="R693" s="7">
        <f>'1 datos preparados'!Q686</f>
        <v/>
      </c>
      <c r="S693" s="7">
        <f>'1 datos preparados'!R686</f>
        <v/>
      </c>
      <c r="T693" s="7">
        <f>'1 datos preparados'!S686</f>
        <v/>
      </c>
      <c r="U693" s="7">
        <f>'1 datos preparados'!T686</f>
        <v/>
      </c>
      <c r="V693" s="8">
        <f>$AC$12+D693*$AC$13+E693*$AC$14+F693*$AC$15+G693*$AC$16+H693*$AC$17+I693*$AC$18+J693*$AC$19+K693*$AC$20+L693*$AC$21+M693*$AC$22+N693*$AC$23+O693*$AC$24+P693*$AC$25+Q693*$AC$26+R693*$AC$27+S693*$AC$28+T693*$AC$29+U693*$AC$30</f>
        <v/>
      </c>
      <c r="W693" s="8">
        <f>1/(1+EXP(-V693))</f>
        <v/>
      </c>
      <c r="X693" s="9">
        <f>-IF(C693=1,LN(W693),LN(1-W693))</f>
        <v/>
      </c>
      <c r="Y693" s="10">
        <f>IF(W693&gt;$AC$34,1,0)</f>
        <v/>
      </c>
      <c r="Z693">
        <f>IF(Y693=C693,1,0)</f>
        <v/>
      </c>
    </row>
    <row r="694">
      <c r="A694">
        <f>'1 datos preparados'!A687</f>
        <v/>
      </c>
      <c r="B694" s="5">
        <f>'1 datos preparados'!U687</f>
        <v/>
      </c>
      <c r="C694">
        <f>'1 datos preparados'!B687</f>
        <v/>
      </c>
      <c r="D694" s="7">
        <f>'1 datos preparados'!C687</f>
        <v/>
      </c>
      <c r="E694" s="7">
        <f>'1 datos preparados'!D687</f>
        <v/>
      </c>
      <c r="F694" s="7">
        <f>'1 datos preparados'!E687</f>
        <v/>
      </c>
      <c r="G694" s="7">
        <f>'1 datos preparados'!F687</f>
        <v/>
      </c>
      <c r="H694" s="7">
        <f>'1 datos preparados'!G687</f>
        <v/>
      </c>
      <c r="I694" s="7">
        <f>'1 datos preparados'!H687</f>
        <v/>
      </c>
      <c r="J694" s="7">
        <f>'1 datos preparados'!I687</f>
        <v/>
      </c>
      <c r="K694" s="7">
        <f>'1 datos preparados'!J687</f>
        <v/>
      </c>
      <c r="L694" s="7">
        <f>'1 datos preparados'!K687</f>
        <v/>
      </c>
      <c r="M694" s="7">
        <f>'1 datos preparados'!L687</f>
        <v/>
      </c>
      <c r="N694" s="7">
        <f>'1 datos preparados'!M687</f>
        <v/>
      </c>
      <c r="O694" s="7">
        <f>'1 datos preparados'!N687</f>
        <v/>
      </c>
      <c r="P694" s="7">
        <f>'1 datos preparados'!O687</f>
        <v/>
      </c>
      <c r="Q694" s="7">
        <f>'1 datos preparados'!P687</f>
        <v/>
      </c>
      <c r="R694" s="7">
        <f>'1 datos preparados'!Q687</f>
        <v/>
      </c>
      <c r="S694" s="7">
        <f>'1 datos preparados'!R687</f>
        <v/>
      </c>
      <c r="T694" s="7">
        <f>'1 datos preparados'!S687</f>
        <v/>
      </c>
      <c r="U694" s="7">
        <f>'1 datos preparados'!T687</f>
        <v/>
      </c>
      <c r="V694" s="8">
        <f>$AC$12+D694*$AC$13+E694*$AC$14+F694*$AC$15+G694*$AC$16+H694*$AC$17+I694*$AC$18+J694*$AC$19+K694*$AC$20+L694*$AC$21+M694*$AC$22+N694*$AC$23+O694*$AC$24+P694*$AC$25+Q694*$AC$26+R694*$AC$27+S694*$AC$28+T694*$AC$29+U694*$AC$30</f>
        <v/>
      </c>
      <c r="W694" s="8">
        <f>1/(1+EXP(-V694))</f>
        <v/>
      </c>
      <c r="X694" s="9">
        <f>-IF(C694=1,LN(W694),LN(1-W694))</f>
        <v/>
      </c>
      <c r="Y694" s="10">
        <f>IF(W694&gt;$AC$34,1,0)</f>
        <v/>
      </c>
      <c r="Z694">
        <f>IF(Y694=C694,1,0)</f>
        <v/>
      </c>
    </row>
    <row r="695">
      <c r="A695">
        <f>'1 datos preparados'!A688</f>
        <v/>
      </c>
      <c r="B695" s="5">
        <f>'1 datos preparados'!U688</f>
        <v/>
      </c>
      <c r="C695">
        <f>'1 datos preparados'!B688</f>
        <v/>
      </c>
      <c r="D695" s="7">
        <f>'1 datos preparados'!C688</f>
        <v/>
      </c>
      <c r="E695" s="7">
        <f>'1 datos preparados'!D688</f>
        <v/>
      </c>
      <c r="F695" s="7">
        <f>'1 datos preparados'!E688</f>
        <v/>
      </c>
      <c r="G695" s="7">
        <f>'1 datos preparados'!F688</f>
        <v/>
      </c>
      <c r="H695" s="7">
        <f>'1 datos preparados'!G688</f>
        <v/>
      </c>
      <c r="I695" s="7">
        <f>'1 datos preparados'!H688</f>
        <v/>
      </c>
      <c r="J695" s="7">
        <f>'1 datos preparados'!I688</f>
        <v/>
      </c>
      <c r="K695" s="7">
        <f>'1 datos preparados'!J688</f>
        <v/>
      </c>
      <c r="L695" s="7">
        <f>'1 datos preparados'!K688</f>
        <v/>
      </c>
      <c r="M695" s="7">
        <f>'1 datos preparados'!L688</f>
        <v/>
      </c>
      <c r="N695" s="7">
        <f>'1 datos preparados'!M688</f>
        <v/>
      </c>
      <c r="O695" s="7">
        <f>'1 datos preparados'!N688</f>
        <v/>
      </c>
      <c r="P695" s="7">
        <f>'1 datos preparados'!O688</f>
        <v/>
      </c>
      <c r="Q695" s="7">
        <f>'1 datos preparados'!P688</f>
        <v/>
      </c>
      <c r="R695" s="7">
        <f>'1 datos preparados'!Q688</f>
        <v/>
      </c>
      <c r="S695" s="7">
        <f>'1 datos preparados'!R688</f>
        <v/>
      </c>
      <c r="T695" s="7">
        <f>'1 datos preparados'!S688</f>
        <v/>
      </c>
      <c r="U695" s="7">
        <f>'1 datos preparados'!T688</f>
        <v/>
      </c>
      <c r="V695" s="8">
        <f>$AC$12+D695*$AC$13+E695*$AC$14+F695*$AC$15+G695*$AC$16+H695*$AC$17+I695*$AC$18+J695*$AC$19+K695*$AC$20+L695*$AC$21+M695*$AC$22+N695*$AC$23+O695*$AC$24+P695*$AC$25+Q695*$AC$26+R695*$AC$27+S695*$AC$28+T695*$AC$29+U695*$AC$30</f>
        <v/>
      </c>
      <c r="W695" s="8">
        <f>1/(1+EXP(-V695))</f>
        <v/>
      </c>
      <c r="X695" s="9">
        <f>-IF(C695=1,LN(W695),LN(1-W695))</f>
        <v/>
      </c>
      <c r="Y695" s="10">
        <f>IF(W695&gt;$AC$34,1,0)</f>
        <v/>
      </c>
      <c r="Z695">
        <f>IF(Y695=C695,1,0)</f>
        <v/>
      </c>
    </row>
    <row r="696">
      <c r="A696">
        <f>'1 datos preparados'!A689</f>
        <v/>
      </c>
      <c r="B696" s="5">
        <f>'1 datos preparados'!U689</f>
        <v/>
      </c>
      <c r="C696">
        <f>'1 datos preparados'!B689</f>
        <v/>
      </c>
      <c r="D696" s="7">
        <f>'1 datos preparados'!C689</f>
        <v/>
      </c>
      <c r="E696" s="7">
        <f>'1 datos preparados'!D689</f>
        <v/>
      </c>
      <c r="F696" s="7">
        <f>'1 datos preparados'!E689</f>
        <v/>
      </c>
      <c r="G696" s="7">
        <f>'1 datos preparados'!F689</f>
        <v/>
      </c>
      <c r="H696" s="7">
        <f>'1 datos preparados'!G689</f>
        <v/>
      </c>
      <c r="I696" s="7">
        <f>'1 datos preparados'!H689</f>
        <v/>
      </c>
      <c r="J696" s="7">
        <f>'1 datos preparados'!I689</f>
        <v/>
      </c>
      <c r="K696" s="7">
        <f>'1 datos preparados'!J689</f>
        <v/>
      </c>
      <c r="L696" s="7">
        <f>'1 datos preparados'!K689</f>
        <v/>
      </c>
      <c r="M696" s="7">
        <f>'1 datos preparados'!L689</f>
        <v/>
      </c>
      <c r="N696" s="7">
        <f>'1 datos preparados'!M689</f>
        <v/>
      </c>
      <c r="O696" s="7">
        <f>'1 datos preparados'!N689</f>
        <v/>
      </c>
      <c r="P696" s="7">
        <f>'1 datos preparados'!O689</f>
        <v/>
      </c>
      <c r="Q696" s="7">
        <f>'1 datos preparados'!P689</f>
        <v/>
      </c>
      <c r="R696" s="7">
        <f>'1 datos preparados'!Q689</f>
        <v/>
      </c>
      <c r="S696" s="7">
        <f>'1 datos preparados'!R689</f>
        <v/>
      </c>
      <c r="T696" s="7">
        <f>'1 datos preparados'!S689</f>
        <v/>
      </c>
      <c r="U696" s="7">
        <f>'1 datos preparados'!T689</f>
        <v/>
      </c>
      <c r="V696" s="8">
        <f>$AC$12+D696*$AC$13+E696*$AC$14+F696*$AC$15+G696*$AC$16+H696*$AC$17+I696*$AC$18+J696*$AC$19+K696*$AC$20+L696*$AC$21+M696*$AC$22+N696*$AC$23+O696*$AC$24+P696*$AC$25+Q696*$AC$26+R696*$AC$27+S696*$AC$28+T696*$AC$29+U696*$AC$30</f>
        <v/>
      </c>
      <c r="W696" s="8">
        <f>1/(1+EXP(-V696))</f>
        <v/>
      </c>
      <c r="X696" s="9">
        <f>-IF(C696=1,LN(W696),LN(1-W696))</f>
        <v/>
      </c>
      <c r="Y696" s="10">
        <f>IF(W696&gt;$AC$34,1,0)</f>
        <v/>
      </c>
      <c r="Z696">
        <f>IF(Y696=C696,1,0)</f>
        <v/>
      </c>
    </row>
    <row r="697">
      <c r="A697">
        <f>'1 datos preparados'!A690</f>
        <v/>
      </c>
      <c r="B697" s="5">
        <f>'1 datos preparados'!U690</f>
        <v/>
      </c>
      <c r="C697">
        <f>'1 datos preparados'!B690</f>
        <v/>
      </c>
      <c r="D697" s="7">
        <f>'1 datos preparados'!C690</f>
        <v/>
      </c>
      <c r="E697" s="7">
        <f>'1 datos preparados'!D690</f>
        <v/>
      </c>
      <c r="F697" s="7">
        <f>'1 datos preparados'!E690</f>
        <v/>
      </c>
      <c r="G697" s="7">
        <f>'1 datos preparados'!F690</f>
        <v/>
      </c>
      <c r="H697" s="7">
        <f>'1 datos preparados'!G690</f>
        <v/>
      </c>
      <c r="I697" s="7">
        <f>'1 datos preparados'!H690</f>
        <v/>
      </c>
      <c r="J697" s="7">
        <f>'1 datos preparados'!I690</f>
        <v/>
      </c>
      <c r="K697" s="7">
        <f>'1 datos preparados'!J690</f>
        <v/>
      </c>
      <c r="L697" s="7">
        <f>'1 datos preparados'!K690</f>
        <v/>
      </c>
      <c r="M697" s="7">
        <f>'1 datos preparados'!L690</f>
        <v/>
      </c>
      <c r="N697" s="7">
        <f>'1 datos preparados'!M690</f>
        <v/>
      </c>
      <c r="O697" s="7">
        <f>'1 datos preparados'!N690</f>
        <v/>
      </c>
      <c r="P697" s="7">
        <f>'1 datos preparados'!O690</f>
        <v/>
      </c>
      <c r="Q697" s="7">
        <f>'1 datos preparados'!P690</f>
        <v/>
      </c>
      <c r="R697" s="7">
        <f>'1 datos preparados'!Q690</f>
        <v/>
      </c>
      <c r="S697" s="7">
        <f>'1 datos preparados'!R690</f>
        <v/>
      </c>
      <c r="T697" s="7">
        <f>'1 datos preparados'!S690</f>
        <v/>
      </c>
      <c r="U697" s="7">
        <f>'1 datos preparados'!T690</f>
        <v/>
      </c>
      <c r="V697" s="8">
        <f>$AC$12+D697*$AC$13+E697*$AC$14+F697*$AC$15+G697*$AC$16+H697*$AC$17+I697*$AC$18+J697*$AC$19+K697*$AC$20+L697*$AC$21+M697*$AC$22+N697*$AC$23+O697*$AC$24+P697*$AC$25+Q697*$AC$26+R697*$AC$27+S697*$AC$28+T697*$AC$29+U697*$AC$30</f>
        <v/>
      </c>
      <c r="W697" s="8">
        <f>1/(1+EXP(-V697))</f>
        <v/>
      </c>
      <c r="X697" s="9">
        <f>-IF(C697=1,LN(W697),LN(1-W697))</f>
        <v/>
      </c>
      <c r="Y697" s="10">
        <f>IF(W697&gt;$AC$34,1,0)</f>
        <v/>
      </c>
      <c r="Z697">
        <f>IF(Y697=C697,1,0)</f>
        <v/>
      </c>
    </row>
    <row r="698">
      <c r="A698">
        <f>'1 datos preparados'!A691</f>
        <v/>
      </c>
      <c r="B698" s="5">
        <f>'1 datos preparados'!U691</f>
        <v/>
      </c>
      <c r="C698">
        <f>'1 datos preparados'!B691</f>
        <v/>
      </c>
      <c r="D698" s="7">
        <f>'1 datos preparados'!C691</f>
        <v/>
      </c>
      <c r="E698" s="7">
        <f>'1 datos preparados'!D691</f>
        <v/>
      </c>
      <c r="F698" s="7">
        <f>'1 datos preparados'!E691</f>
        <v/>
      </c>
      <c r="G698" s="7">
        <f>'1 datos preparados'!F691</f>
        <v/>
      </c>
      <c r="H698" s="7">
        <f>'1 datos preparados'!G691</f>
        <v/>
      </c>
      <c r="I698" s="7">
        <f>'1 datos preparados'!H691</f>
        <v/>
      </c>
      <c r="J698" s="7">
        <f>'1 datos preparados'!I691</f>
        <v/>
      </c>
      <c r="K698" s="7">
        <f>'1 datos preparados'!J691</f>
        <v/>
      </c>
      <c r="L698" s="7">
        <f>'1 datos preparados'!K691</f>
        <v/>
      </c>
      <c r="M698" s="7">
        <f>'1 datos preparados'!L691</f>
        <v/>
      </c>
      <c r="N698" s="7">
        <f>'1 datos preparados'!M691</f>
        <v/>
      </c>
      <c r="O698" s="7">
        <f>'1 datos preparados'!N691</f>
        <v/>
      </c>
      <c r="P698" s="7">
        <f>'1 datos preparados'!O691</f>
        <v/>
      </c>
      <c r="Q698" s="7">
        <f>'1 datos preparados'!P691</f>
        <v/>
      </c>
      <c r="R698" s="7">
        <f>'1 datos preparados'!Q691</f>
        <v/>
      </c>
      <c r="S698" s="7">
        <f>'1 datos preparados'!R691</f>
        <v/>
      </c>
      <c r="T698" s="7">
        <f>'1 datos preparados'!S691</f>
        <v/>
      </c>
      <c r="U698" s="7">
        <f>'1 datos preparados'!T691</f>
        <v/>
      </c>
      <c r="V698" s="8">
        <f>$AC$12+D698*$AC$13+E698*$AC$14+F698*$AC$15+G698*$AC$16+H698*$AC$17+I698*$AC$18+J698*$AC$19+K698*$AC$20+L698*$AC$21+M698*$AC$22+N698*$AC$23+O698*$AC$24+P698*$AC$25+Q698*$AC$26+R698*$AC$27+S698*$AC$28+T698*$AC$29+U698*$AC$30</f>
        <v/>
      </c>
      <c r="W698" s="8">
        <f>1/(1+EXP(-V698))</f>
        <v/>
      </c>
      <c r="X698" s="9">
        <f>-IF(C698=1,LN(W698),LN(1-W698))</f>
        <v/>
      </c>
      <c r="Y698" s="10">
        <f>IF(W698&gt;$AC$34,1,0)</f>
        <v/>
      </c>
      <c r="Z698">
        <f>IF(Y698=C698,1,0)</f>
        <v/>
      </c>
    </row>
    <row r="699">
      <c r="A699">
        <f>'1 datos preparados'!A692</f>
        <v/>
      </c>
      <c r="B699" s="5">
        <f>'1 datos preparados'!U692</f>
        <v/>
      </c>
      <c r="C699">
        <f>'1 datos preparados'!B692</f>
        <v/>
      </c>
      <c r="D699" s="7">
        <f>'1 datos preparados'!C692</f>
        <v/>
      </c>
      <c r="E699" s="7">
        <f>'1 datos preparados'!D692</f>
        <v/>
      </c>
      <c r="F699" s="7">
        <f>'1 datos preparados'!E692</f>
        <v/>
      </c>
      <c r="G699" s="7">
        <f>'1 datos preparados'!F692</f>
        <v/>
      </c>
      <c r="H699" s="7">
        <f>'1 datos preparados'!G692</f>
        <v/>
      </c>
      <c r="I699" s="7">
        <f>'1 datos preparados'!H692</f>
        <v/>
      </c>
      <c r="J699" s="7">
        <f>'1 datos preparados'!I692</f>
        <v/>
      </c>
      <c r="K699" s="7">
        <f>'1 datos preparados'!J692</f>
        <v/>
      </c>
      <c r="L699" s="7">
        <f>'1 datos preparados'!K692</f>
        <v/>
      </c>
      <c r="M699" s="7">
        <f>'1 datos preparados'!L692</f>
        <v/>
      </c>
      <c r="N699" s="7">
        <f>'1 datos preparados'!M692</f>
        <v/>
      </c>
      <c r="O699" s="7">
        <f>'1 datos preparados'!N692</f>
        <v/>
      </c>
      <c r="P699" s="7">
        <f>'1 datos preparados'!O692</f>
        <v/>
      </c>
      <c r="Q699" s="7">
        <f>'1 datos preparados'!P692</f>
        <v/>
      </c>
      <c r="R699" s="7">
        <f>'1 datos preparados'!Q692</f>
        <v/>
      </c>
      <c r="S699" s="7">
        <f>'1 datos preparados'!R692</f>
        <v/>
      </c>
      <c r="T699" s="7">
        <f>'1 datos preparados'!S692</f>
        <v/>
      </c>
      <c r="U699" s="7">
        <f>'1 datos preparados'!T692</f>
        <v/>
      </c>
      <c r="V699" s="8">
        <f>$AC$12+D699*$AC$13+E699*$AC$14+F699*$AC$15+G699*$AC$16+H699*$AC$17+I699*$AC$18+J699*$AC$19+K699*$AC$20+L699*$AC$21+M699*$AC$22+N699*$AC$23+O699*$AC$24+P699*$AC$25+Q699*$AC$26+R699*$AC$27+S699*$AC$28+T699*$AC$29+U699*$AC$30</f>
        <v/>
      </c>
      <c r="W699" s="8">
        <f>1/(1+EXP(-V699))</f>
        <v/>
      </c>
      <c r="X699" s="9">
        <f>-IF(C699=1,LN(W699),LN(1-W699))</f>
        <v/>
      </c>
      <c r="Y699" s="10">
        <f>IF(W699&gt;$AC$34,1,0)</f>
        <v/>
      </c>
      <c r="Z699">
        <f>IF(Y699=C699,1,0)</f>
        <v/>
      </c>
    </row>
    <row r="700">
      <c r="A700">
        <f>'1 datos preparados'!A693</f>
        <v/>
      </c>
      <c r="B700" s="5">
        <f>'1 datos preparados'!U693</f>
        <v/>
      </c>
      <c r="C700">
        <f>'1 datos preparados'!B693</f>
        <v/>
      </c>
      <c r="D700" s="7">
        <f>'1 datos preparados'!C693</f>
        <v/>
      </c>
      <c r="E700" s="7">
        <f>'1 datos preparados'!D693</f>
        <v/>
      </c>
      <c r="F700" s="7">
        <f>'1 datos preparados'!E693</f>
        <v/>
      </c>
      <c r="G700" s="7">
        <f>'1 datos preparados'!F693</f>
        <v/>
      </c>
      <c r="H700" s="7">
        <f>'1 datos preparados'!G693</f>
        <v/>
      </c>
      <c r="I700" s="7">
        <f>'1 datos preparados'!H693</f>
        <v/>
      </c>
      <c r="J700" s="7">
        <f>'1 datos preparados'!I693</f>
        <v/>
      </c>
      <c r="K700" s="7">
        <f>'1 datos preparados'!J693</f>
        <v/>
      </c>
      <c r="L700" s="7">
        <f>'1 datos preparados'!K693</f>
        <v/>
      </c>
      <c r="M700" s="7">
        <f>'1 datos preparados'!L693</f>
        <v/>
      </c>
      <c r="N700" s="7">
        <f>'1 datos preparados'!M693</f>
        <v/>
      </c>
      <c r="O700" s="7">
        <f>'1 datos preparados'!N693</f>
        <v/>
      </c>
      <c r="P700" s="7">
        <f>'1 datos preparados'!O693</f>
        <v/>
      </c>
      <c r="Q700" s="7">
        <f>'1 datos preparados'!P693</f>
        <v/>
      </c>
      <c r="R700" s="7">
        <f>'1 datos preparados'!Q693</f>
        <v/>
      </c>
      <c r="S700" s="7">
        <f>'1 datos preparados'!R693</f>
        <v/>
      </c>
      <c r="T700" s="7">
        <f>'1 datos preparados'!S693</f>
        <v/>
      </c>
      <c r="U700" s="7">
        <f>'1 datos preparados'!T693</f>
        <v/>
      </c>
      <c r="V700" s="8">
        <f>$AC$12+D700*$AC$13+E700*$AC$14+F700*$AC$15+G700*$AC$16+H700*$AC$17+I700*$AC$18+J700*$AC$19+K700*$AC$20+L700*$AC$21+M700*$AC$22+N700*$AC$23+O700*$AC$24+P700*$AC$25+Q700*$AC$26+R700*$AC$27+S700*$AC$28+T700*$AC$29+U700*$AC$30</f>
        <v/>
      </c>
      <c r="W700" s="8">
        <f>1/(1+EXP(-V700))</f>
        <v/>
      </c>
      <c r="X700" s="9">
        <f>-IF(C700=1,LN(W700),LN(1-W700))</f>
        <v/>
      </c>
      <c r="Y700" s="10">
        <f>IF(W700&gt;$AC$34,1,0)</f>
        <v/>
      </c>
      <c r="Z700">
        <f>IF(Y700=C700,1,0)</f>
        <v/>
      </c>
    </row>
    <row r="701">
      <c r="A701">
        <f>'1 datos preparados'!A694</f>
        <v/>
      </c>
      <c r="B701" s="5">
        <f>'1 datos preparados'!U694</f>
        <v/>
      </c>
      <c r="C701">
        <f>'1 datos preparados'!B694</f>
        <v/>
      </c>
      <c r="D701" s="7">
        <f>'1 datos preparados'!C694</f>
        <v/>
      </c>
      <c r="E701" s="7">
        <f>'1 datos preparados'!D694</f>
        <v/>
      </c>
      <c r="F701" s="7">
        <f>'1 datos preparados'!E694</f>
        <v/>
      </c>
      <c r="G701" s="7">
        <f>'1 datos preparados'!F694</f>
        <v/>
      </c>
      <c r="H701" s="7">
        <f>'1 datos preparados'!G694</f>
        <v/>
      </c>
      <c r="I701" s="7">
        <f>'1 datos preparados'!H694</f>
        <v/>
      </c>
      <c r="J701" s="7">
        <f>'1 datos preparados'!I694</f>
        <v/>
      </c>
      <c r="K701" s="7">
        <f>'1 datos preparados'!J694</f>
        <v/>
      </c>
      <c r="L701" s="7">
        <f>'1 datos preparados'!K694</f>
        <v/>
      </c>
      <c r="M701" s="7">
        <f>'1 datos preparados'!L694</f>
        <v/>
      </c>
      <c r="N701" s="7">
        <f>'1 datos preparados'!M694</f>
        <v/>
      </c>
      <c r="O701" s="7">
        <f>'1 datos preparados'!N694</f>
        <v/>
      </c>
      <c r="P701" s="7">
        <f>'1 datos preparados'!O694</f>
        <v/>
      </c>
      <c r="Q701" s="7">
        <f>'1 datos preparados'!P694</f>
        <v/>
      </c>
      <c r="R701" s="7">
        <f>'1 datos preparados'!Q694</f>
        <v/>
      </c>
      <c r="S701" s="7">
        <f>'1 datos preparados'!R694</f>
        <v/>
      </c>
      <c r="T701" s="7">
        <f>'1 datos preparados'!S694</f>
        <v/>
      </c>
      <c r="U701" s="7">
        <f>'1 datos preparados'!T694</f>
        <v/>
      </c>
      <c r="V701" s="8">
        <f>$AC$12+D701*$AC$13+E701*$AC$14+F701*$AC$15+G701*$AC$16+H701*$AC$17+I701*$AC$18+J701*$AC$19+K701*$AC$20+L701*$AC$21+M701*$AC$22+N701*$AC$23+O701*$AC$24+P701*$AC$25+Q701*$AC$26+R701*$AC$27+S701*$AC$28+T701*$AC$29+U701*$AC$30</f>
        <v/>
      </c>
      <c r="W701" s="8">
        <f>1/(1+EXP(-V701))</f>
        <v/>
      </c>
      <c r="X701" s="9">
        <f>-IF(C701=1,LN(W701),LN(1-W701))</f>
        <v/>
      </c>
      <c r="Y701" s="10">
        <f>IF(W701&gt;$AC$34,1,0)</f>
        <v/>
      </c>
      <c r="Z701">
        <f>IF(Y701=C701,1,0)</f>
        <v/>
      </c>
    </row>
    <row r="702">
      <c r="A702">
        <f>'1 datos preparados'!A695</f>
        <v/>
      </c>
      <c r="B702" s="5">
        <f>'1 datos preparados'!U695</f>
        <v/>
      </c>
      <c r="C702">
        <f>'1 datos preparados'!B695</f>
        <v/>
      </c>
      <c r="D702" s="7">
        <f>'1 datos preparados'!C695</f>
        <v/>
      </c>
      <c r="E702" s="7">
        <f>'1 datos preparados'!D695</f>
        <v/>
      </c>
      <c r="F702" s="7">
        <f>'1 datos preparados'!E695</f>
        <v/>
      </c>
      <c r="G702" s="7">
        <f>'1 datos preparados'!F695</f>
        <v/>
      </c>
      <c r="H702" s="7">
        <f>'1 datos preparados'!G695</f>
        <v/>
      </c>
      <c r="I702" s="7">
        <f>'1 datos preparados'!H695</f>
        <v/>
      </c>
      <c r="J702" s="7">
        <f>'1 datos preparados'!I695</f>
        <v/>
      </c>
      <c r="K702" s="7">
        <f>'1 datos preparados'!J695</f>
        <v/>
      </c>
      <c r="L702" s="7">
        <f>'1 datos preparados'!K695</f>
        <v/>
      </c>
      <c r="M702" s="7">
        <f>'1 datos preparados'!L695</f>
        <v/>
      </c>
      <c r="N702" s="7">
        <f>'1 datos preparados'!M695</f>
        <v/>
      </c>
      <c r="O702" s="7">
        <f>'1 datos preparados'!N695</f>
        <v/>
      </c>
      <c r="P702" s="7">
        <f>'1 datos preparados'!O695</f>
        <v/>
      </c>
      <c r="Q702" s="7">
        <f>'1 datos preparados'!P695</f>
        <v/>
      </c>
      <c r="R702" s="7">
        <f>'1 datos preparados'!Q695</f>
        <v/>
      </c>
      <c r="S702" s="7">
        <f>'1 datos preparados'!R695</f>
        <v/>
      </c>
      <c r="T702" s="7">
        <f>'1 datos preparados'!S695</f>
        <v/>
      </c>
      <c r="U702" s="7">
        <f>'1 datos preparados'!T695</f>
        <v/>
      </c>
      <c r="V702" s="8">
        <f>$AC$12+D702*$AC$13+E702*$AC$14+F702*$AC$15+G702*$AC$16+H702*$AC$17+I702*$AC$18+J702*$AC$19+K702*$AC$20+L702*$AC$21+M702*$AC$22+N702*$AC$23+O702*$AC$24+P702*$AC$25+Q702*$AC$26+R702*$AC$27+S702*$AC$28+T702*$AC$29+U702*$AC$30</f>
        <v/>
      </c>
      <c r="W702" s="8">
        <f>1/(1+EXP(-V702))</f>
        <v/>
      </c>
      <c r="X702" s="9">
        <f>-IF(C702=1,LN(W702),LN(1-W702))</f>
        <v/>
      </c>
      <c r="Y702" s="10">
        <f>IF(W702&gt;$AC$34,1,0)</f>
        <v/>
      </c>
      <c r="Z702">
        <f>IF(Y702=C702,1,0)</f>
        <v/>
      </c>
    </row>
    <row r="703">
      <c r="A703">
        <f>'1 datos preparados'!A696</f>
        <v/>
      </c>
      <c r="B703" s="5">
        <f>'1 datos preparados'!U696</f>
        <v/>
      </c>
      <c r="C703">
        <f>'1 datos preparados'!B696</f>
        <v/>
      </c>
      <c r="D703" s="7">
        <f>'1 datos preparados'!C696</f>
        <v/>
      </c>
      <c r="E703" s="7">
        <f>'1 datos preparados'!D696</f>
        <v/>
      </c>
      <c r="F703" s="7">
        <f>'1 datos preparados'!E696</f>
        <v/>
      </c>
      <c r="G703" s="7">
        <f>'1 datos preparados'!F696</f>
        <v/>
      </c>
      <c r="H703" s="7">
        <f>'1 datos preparados'!G696</f>
        <v/>
      </c>
      <c r="I703" s="7">
        <f>'1 datos preparados'!H696</f>
        <v/>
      </c>
      <c r="J703" s="7">
        <f>'1 datos preparados'!I696</f>
        <v/>
      </c>
      <c r="K703" s="7">
        <f>'1 datos preparados'!J696</f>
        <v/>
      </c>
      <c r="L703" s="7">
        <f>'1 datos preparados'!K696</f>
        <v/>
      </c>
      <c r="M703" s="7">
        <f>'1 datos preparados'!L696</f>
        <v/>
      </c>
      <c r="N703" s="7">
        <f>'1 datos preparados'!M696</f>
        <v/>
      </c>
      <c r="O703" s="7">
        <f>'1 datos preparados'!N696</f>
        <v/>
      </c>
      <c r="P703" s="7">
        <f>'1 datos preparados'!O696</f>
        <v/>
      </c>
      <c r="Q703" s="7">
        <f>'1 datos preparados'!P696</f>
        <v/>
      </c>
      <c r="R703" s="7">
        <f>'1 datos preparados'!Q696</f>
        <v/>
      </c>
      <c r="S703" s="7">
        <f>'1 datos preparados'!R696</f>
        <v/>
      </c>
      <c r="T703" s="7">
        <f>'1 datos preparados'!S696</f>
        <v/>
      </c>
      <c r="U703" s="7">
        <f>'1 datos preparados'!T696</f>
        <v/>
      </c>
      <c r="V703" s="8">
        <f>$AC$12+D703*$AC$13+E703*$AC$14+F703*$AC$15+G703*$AC$16+H703*$AC$17+I703*$AC$18+J703*$AC$19+K703*$AC$20+L703*$AC$21+M703*$AC$22+N703*$AC$23+O703*$AC$24+P703*$AC$25+Q703*$AC$26+R703*$AC$27+S703*$AC$28+T703*$AC$29+U703*$AC$30</f>
        <v/>
      </c>
      <c r="W703" s="8">
        <f>1/(1+EXP(-V703))</f>
        <v/>
      </c>
      <c r="X703" s="9">
        <f>-IF(C703=1,LN(W703),LN(1-W703))</f>
        <v/>
      </c>
      <c r="Y703" s="10">
        <f>IF(W703&gt;$AC$34,1,0)</f>
        <v/>
      </c>
      <c r="Z703">
        <f>IF(Y703=C703,1,0)</f>
        <v/>
      </c>
    </row>
    <row r="704">
      <c r="A704">
        <f>'1 datos preparados'!A697</f>
        <v/>
      </c>
      <c r="B704" s="5">
        <f>'1 datos preparados'!U697</f>
        <v/>
      </c>
      <c r="C704">
        <f>'1 datos preparados'!B697</f>
        <v/>
      </c>
      <c r="D704" s="7">
        <f>'1 datos preparados'!C697</f>
        <v/>
      </c>
      <c r="E704" s="7">
        <f>'1 datos preparados'!D697</f>
        <v/>
      </c>
      <c r="F704" s="7">
        <f>'1 datos preparados'!E697</f>
        <v/>
      </c>
      <c r="G704" s="7">
        <f>'1 datos preparados'!F697</f>
        <v/>
      </c>
      <c r="H704" s="7">
        <f>'1 datos preparados'!G697</f>
        <v/>
      </c>
      <c r="I704" s="7">
        <f>'1 datos preparados'!H697</f>
        <v/>
      </c>
      <c r="J704" s="7">
        <f>'1 datos preparados'!I697</f>
        <v/>
      </c>
      <c r="K704" s="7">
        <f>'1 datos preparados'!J697</f>
        <v/>
      </c>
      <c r="L704" s="7">
        <f>'1 datos preparados'!K697</f>
        <v/>
      </c>
      <c r="M704" s="7">
        <f>'1 datos preparados'!L697</f>
        <v/>
      </c>
      <c r="N704" s="7">
        <f>'1 datos preparados'!M697</f>
        <v/>
      </c>
      <c r="O704" s="7">
        <f>'1 datos preparados'!N697</f>
        <v/>
      </c>
      <c r="P704" s="7">
        <f>'1 datos preparados'!O697</f>
        <v/>
      </c>
      <c r="Q704" s="7">
        <f>'1 datos preparados'!P697</f>
        <v/>
      </c>
      <c r="R704" s="7">
        <f>'1 datos preparados'!Q697</f>
        <v/>
      </c>
      <c r="S704" s="7">
        <f>'1 datos preparados'!R697</f>
        <v/>
      </c>
      <c r="T704" s="7">
        <f>'1 datos preparados'!S697</f>
        <v/>
      </c>
      <c r="U704" s="7">
        <f>'1 datos preparados'!T697</f>
        <v/>
      </c>
      <c r="V704" s="8">
        <f>$AC$12+D704*$AC$13+E704*$AC$14+F704*$AC$15+G704*$AC$16+H704*$AC$17+I704*$AC$18+J704*$AC$19+K704*$AC$20+L704*$AC$21+M704*$AC$22+N704*$AC$23+O704*$AC$24+P704*$AC$25+Q704*$AC$26+R704*$AC$27+S704*$AC$28+T704*$AC$29+U704*$AC$30</f>
        <v/>
      </c>
      <c r="W704" s="8">
        <f>1/(1+EXP(-V704))</f>
        <v/>
      </c>
      <c r="X704" s="9">
        <f>-IF(C704=1,LN(W704),LN(1-W704))</f>
        <v/>
      </c>
      <c r="Y704" s="10">
        <f>IF(W704&gt;$AC$34,1,0)</f>
        <v/>
      </c>
      <c r="Z704">
        <f>IF(Y704=C704,1,0)</f>
        <v/>
      </c>
    </row>
    <row r="705">
      <c r="A705">
        <f>'1 datos preparados'!A698</f>
        <v/>
      </c>
      <c r="B705" s="5">
        <f>'1 datos preparados'!U698</f>
        <v/>
      </c>
      <c r="C705">
        <f>'1 datos preparados'!B698</f>
        <v/>
      </c>
      <c r="D705" s="7">
        <f>'1 datos preparados'!C698</f>
        <v/>
      </c>
      <c r="E705" s="7">
        <f>'1 datos preparados'!D698</f>
        <v/>
      </c>
      <c r="F705" s="7">
        <f>'1 datos preparados'!E698</f>
        <v/>
      </c>
      <c r="G705" s="7">
        <f>'1 datos preparados'!F698</f>
        <v/>
      </c>
      <c r="H705" s="7">
        <f>'1 datos preparados'!G698</f>
        <v/>
      </c>
      <c r="I705" s="7">
        <f>'1 datos preparados'!H698</f>
        <v/>
      </c>
      <c r="J705" s="7">
        <f>'1 datos preparados'!I698</f>
        <v/>
      </c>
      <c r="K705" s="7">
        <f>'1 datos preparados'!J698</f>
        <v/>
      </c>
      <c r="L705" s="7">
        <f>'1 datos preparados'!K698</f>
        <v/>
      </c>
      <c r="M705" s="7">
        <f>'1 datos preparados'!L698</f>
        <v/>
      </c>
      <c r="N705" s="7">
        <f>'1 datos preparados'!M698</f>
        <v/>
      </c>
      <c r="O705" s="7">
        <f>'1 datos preparados'!N698</f>
        <v/>
      </c>
      <c r="P705" s="7">
        <f>'1 datos preparados'!O698</f>
        <v/>
      </c>
      <c r="Q705" s="7">
        <f>'1 datos preparados'!P698</f>
        <v/>
      </c>
      <c r="R705" s="7">
        <f>'1 datos preparados'!Q698</f>
        <v/>
      </c>
      <c r="S705" s="7">
        <f>'1 datos preparados'!R698</f>
        <v/>
      </c>
      <c r="T705" s="7">
        <f>'1 datos preparados'!S698</f>
        <v/>
      </c>
      <c r="U705" s="7">
        <f>'1 datos preparados'!T698</f>
        <v/>
      </c>
      <c r="V705" s="8">
        <f>$AC$12+D705*$AC$13+E705*$AC$14+F705*$AC$15+G705*$AC$16+H705*$AC$17+I705*$AC$18+J705*$AC$19+K705*$AC$20+L705*$AC$21+M705*$AC$22+N705*$AC$23+O705*$AC$24+P705*$AC$25+Q705*$AC$26+R705*$AC$27+S705*$AC$28+T705*$AC$29+U705*$AC$30</f>
        <v/>
      </c>
      <c r="W705" s="8">
        <f>1/(1+EXP(-V705))</f>
        <v/>
      </c>
      <c r="X705" s="9">
        <f>-IF(C705=1,LN(W705),LN(1-W705))</f>
        <v/>
      </c>
      <c r="Y705" s="10">
        <f>IF(W705&gt;$AC$34,1,0)</f>
        <v/>
      </c>
      <c r="Z705">
        <f>IF(Y705=C705,1,0)</f>
        <v/>
      </c>
    </row>
    <row r="706">
      <c r="A706">
        <f>'1 datos preparados'!A699</f>
        <v/>
      </c>
      <c r="B706" s="5">
        <f>'1 datos preparados'!U699</f>
        <v/>
      </c>
      <c r="C706">
        <f>'1 datos preparados'!B699</f>
        <v/>
      </c>
      <c r="D706" s="7">
        <f>'1 datos preparados'!C699</f>
        <v/>
      </c>
      <c r="E706" s="7">
        <f>'1 datos preparados'!D699</f>
        <v/>
      </c>
      <c r="F706" s="7">
        <f>'1 datos preparados'!E699</f>
        <v/>
      </c>
      <c r="G706" s="7">
        <f>'1 datos preparados'!F699</f>
        <v/>
      </c>
      <c r="H706" s="7">
        <f>'1 datos preparados'!G699</f>
        <v/>
      </c>
      <c r="I706" s="7">
        <f>'1 datos preparados'!H699</f>
        <v/>
      </c>
      <c r="J706" s="7">
        <f>'1 datos preparados'!I699</f>
        <v/>
      </c>
      <c r="K706" s="7">
        <f>'1 datos preparados'!J699</f>
        <v/>
      </c>
      <c r="L706" s="7">
        <f>'1 datos preparados'!K699</f>
        <v/>
      </c>
      <c r="M706" s="7">
        <f>'1 datos preparados'!L699</f>
        <v/>
      </c>
      <c r="N706" s="7">
        <f>'1 datos preparados'!M699</f>
        <v/>
      </c>
      <c r="O706" s="7">
        <f>'1 datos preparados'!N699</f>
        <v/>
      </c>
      <c r="P706" s="7">
        <f>'1 datos preparados'!O699</f>
        <v/>
      </c>
      <c r="Q706" s="7">
        <f>'1 datos preparados'!P699</f>
        <v/>
      </c>
      <c r="R706" s="7">
        <f>'1 datos preparados'!Q699</f>
        <v/>
      </c>
      <c r="S706" s="7">
        <f>'1 datos preparados'!R699</f>
        <v/>
      </c>
      <c r="T706" s="7">
        <f>'1 datos preparados'!S699</f>
        <v/>
      </c>
      <c r="U706" s="7">
        <f>'1 datos preparados'!T699</f>
        <v/>
      </c>
      <c r="V706" s="8">
        <f>$AC$12+D706*$AC$13+E706*$AC$14+F706*$AC$15+G706*$AC$16+H706*$AC$17+I706*$AC$18+J706*$AC$19+K706*$AC$20+L706*$AC$21+M706*$AC$22+N706*$AC$23+O706*$AC$24+P706*$AC$25+Q706*$AC$26+R706*$AC$27+S706*$AC$28+T706*$AC$29+U706*$AC$30</f>
        <v/>
      </c>
      <c r="W706" s="8">
        <f>1/(1+EXP(-V706))</f>
        <v/>
      </c>
      <c r="X706" s="9">
        <f>-IF(C706=1,LN(W706),LN(1-W706))</f>
        <v/>
      </c>
      <c r="Y706" s="10">
        <f>IF(W706&gt;$AC$34,1,0)</f>
        <v/>
      </c>
      <c r="Z706">
        <f>IF(Y706=C706,1,0)</f>
        <v/>
      </c>
    </row>
    <row r="707">
      <c r="A707">
        <f>'1 datos preparados'!A700</f>
        <v/>
      </c>
      <c r="B707" s="5">
        <f>'1 datos preparados'!U700</f>
        <v/>
      </c>
      <c r="C707">
        <f>'1 datos preparados'!B700</f>
        <v/>
      </c>
      <c r="D707" s="7">
        <f>'1 datos preparados'!C700</f>
        <v/>
      </c>
      <c r="E707" s="7">
        <f>'1 datos preparados'!D700</f>
        <v/>
      </c>
      <c r="F707" s="7">
        <f>'1 datos preparados'!E700</f>
        <v/>
      </c>
      <c r="G707" s="7">
        <f>'1 datos preparados'!F700</f>
        <v/>
      </c>
      <c r="H707" s="7">
        <f>'1 datos preparados'!G700</f>
        <v/>
      </c>
      <c r="I707" s="7">
        <f>'1 datos preparados'!H700</f>
        <v/>
      </c>
      <c r="J707" s="7">
        <f>'1 datos preparados'!I700</f>
        <v/>
      </c>
      <c r="K707" s="7">
        <f>'1 datos preparados'!J700</f>
        <v/>
      </c>
      <c r="L707" s="7">
        <f>'1 datos preparados'!K700</f>
        <v/>
      </c>
      <c r="M707" s="7">
        <f>'1 datos preparados'!L700</f>
        <v/>
      </c>
      <c r="N707" s="7">
        <f>'1 datos preparados'!M700</f>
        <v/>
      </c>
      <c r="O707" s="7">
        <f>'1 datos preparados'!N700</f>
        <v/>
      </c>
      <c r="P707" s="7">
        <f>'1 datos preparados'!O700</f>
        <v/>
      </c>
      <c r="Q707" s="7">
        <f>'1 datos preparados'!P700</f>
        <v/>
      </c>
      <c r="R707" s="7">
        <f>'1 datos preparados'!Q700</f>
        <v/>
      </c>
      <c r="S707" s="7">
        <f>'1 datos preparados'!R700</f>
        <v/>
      </c>
      <c r="T707" s="7">
        <f>'1 datos preparados'!S700</f>
        <v/>
      </c>
      <c r="U707" s="7">
        <f>'1 datos preparados'!T700</f>
        <v/>
      </c>
      <c r="V707" s="8">
        <f>$AC$12+D707*$AC$13+E707*$AC$14+F707*$AC$15+G707*$AC$16+H707*$AC$17+I707*$AC$18+J707*$AC$19+K707*$AC$20+L707*$AC$21+M707*$AC$22+N707*$AC$23+O707*$AC$24+P707*$AC$25+Q707*$AC$26+R707*$AC$27+S707*$AC$28+T707*$AC$29+U707*$AC$30</f>
        <v/>
      </c>
      <c r="W707" s="8">
        <f>1/(1+EXP(-V707))</f>
        <v/>
      </c>
      <c r="X707" s="9">
        <f>-IF(C707=1,LN(W707),LN(1-W707))</f>
        <v/>
      </c>
      <c r="Y707" s="10">
        <f>IF(W707&gt;$AC$34,1,0)</f>
        <v/>
      </c>
      <c r="Z707">
        <f>IF(Y707=C707,1,0)</f>
        <v/>
      </c>
    </row>
    <row r="708">
      <c r="A708">
        <f>'1 datos preparados'!A701</f>
        <v/>
      </c>
      <c r="B708" s="5">
        <f>'1 datos preparados'!U701</f>
        <v/>
      </c>
      <c r="C708">
        <f>'1 datos preparados'!B701</f>
        <v/>
      </c>
      <c r="D708" s="7">
        <f>'1 datos preparados'!C701</f>
        <v/>
      </c>
      <c r="E708" s="7">
        <f>'1 datos preparados'!D701</f>
        <v/>
      </c>
      <c r="F708" s="7">
        <f>'1 datos preparados'!E701</f>
        <v/>
      </c>
      <c r="G708" s="7">
        <f>'1 datos preparados'!F701</f>
        <v/>
      </c>
      <c r="H708" s="7">
        <f>'1 datos preparados'!G701</f>
        <v/>
      </c>
      <c r="I708" s="7">
        <f>'1 datos preparados'!H701</f>
        <v/>
      </c>
      <c r="J708" s="7">
        <f>'1 datos preparados'!I701</f>
        <v/>
      </c>
      <c r="K708" s="7">
        <f>'1 datos preparados'!J701</f>
        <v/>
      </c>
      <c r="L708" s="7">
        <f>'1 datos preparados'!K701</f>
        <v/>
      </c>
      <c r="M708" s="7">
        <f>'1 datos preparados'!L701</f>
        <v/>
      </c>
      <c r="N708" s="7">
        <f>'1 datos preparados'!M701</f>
        <v/>
      </c>
      <c r="O708" s="7">
        <f>'1 datos preparados'!N701</f>
        <v/>
      </c>
      <c r="P708" s="7">
        <f>'1 datos preparados'!O701</f>
        <v/>
      </c>
      <c r="Q708" s="7">
        <f>'1 datos preparados'!P701</f>
        <v/>
      </c>
      <c r="R708" s="7">
        <f>'1 datos preparados'!Q701</f>
        <v/>
      </c>
      <c r="S708" s="7">
        <f>'1 datos preparados'!R701</f>
        <v/>
      </c>
      <c r="T708" s="7">
        <f>'1 datos preparados'!S701</f>
        <v/>
      </c>
      <c r="U708" s="7">
        <f>'1 datos preparados'!T701</f>
        <v/>
      </c>
      <c r="V708" s="8">
        <f>$AC$12+D708*$AC$13+E708*$AC$14+F708*$AC$15+G708*$AC$16+H708*$AC$17+I708*$AC$18+J708*$AC$19+K708*$AC$20+L708*$AC$21+M708*$AC$22+N708*$AC$23+O708*$AC$24+P708*$AC$25+Q708*$AC$26+R708*$AC$27+S708*$AC$28+T708*$AC$29+U708*$AC$30</f>
        <v/>
      </c>
      <c r="W708" s="8">
        <f>1/(1+EXP(-V708))</f>
        <v/>
      </c>
      <c r="X708" s="9">
        <f>-IF(C708=1,LN(W708),LN(1-W708))</f>
        <v/>
      </c>
      <c r="Y708" s="10">
        <f>IF(W708&gt;$AC$34,1,0)</f>
        <v/>
      </c>
      <c r="Z708">
        <f>IF(Y708=C708,1,0)</f>
        <v/>
      </c>
    </row>
    <row r="709">
      <c r="A709">
        <f>'1 datos preparados'!A702</f>
        <v/>
      </c>
      <c r="B709" s="5">
        <f>'1 datos preparados'!U702</f>
        <v/>
      </c>
      <c r="C709">
        <f>'1 datos preparados'!B702</f>
        <v/>
      </c>
      <c r="D709" s="7">
        <f>'1 datos preparados'!C702</f>
        <v/>
      </c>
      <c r="E709" s="7">
        <f>'1 datos preparados'!D702</f>
        <v/>
      </c>
      <c r="F709" s="7">
        <f>'1 datos preparados'!E702</f>
        <v/>
      </c>
      <c r="G709" s="7">
        <f>'1 datos preparados'!F702</f>
        <v/>
      </c>
      <c r="H709" s="7">
        <f>'1 datos preparados'!G702</f>
        <v/>
      </c>
      <c r="I709" s="7">
        <f>'1 datos preparados'!H702</f>
        <v/>
      </c>
      <c r="J709" s="7">
        <f>'1 datos preparados'!I702</f>
        <v/>
      </c>
      <c r="K709" s="7">
        <f>'1 datos preparados'!J702</f>
        <v/>
      </c>
      <c r="L709" s="7">
        <f>'1 datos preparados'!K702</f>
        <v/>
      </c>
      <c r="M709" s="7">
        <f>'1 datos preparados'!L702</f>
        <v/>
      </c>
      <c r="N709" s="7">
        <f>'1 datos preparados'!M702</f>
        <v/>
      </c>
      <c r="O709" s="7">
        <f>'1 datos preparados'!N702</f>
        <v/>
      </c>
      <c r="P709" s="7">
        <f>'1 datos preparados'!O702</f>
        <v/>
      </c>
      <c r="Q709" s="7">
        <f>'1 datos preparados'!P702</f>
        <v/>
      </c>
      <c r="R709" s="7">
        <f>'1 datos preparados'!Q702</f>
        <v/>
      </c>
      <c r="S709" s="7">
        <f>'1 datos preparados'!R702</f>
        <v/>
      </c>
      <c r="T709" s="7">
        <f>'1 datos preparados'!S702</f>
        <v/>
      </c>
      <c r="U709" s="7">
        <f>'1 datos preparados'!T702</f>
        <v/>
      </c>
      <c r="V709" s="8">
        <f>$AC$12+D709*$AC$13+E709*$AC$14+F709*$AC$15+G709*$AC$16+H709*$AC$17+I709*$AC$18+J709*$AC$19+K709*$AC$20+L709*$AC$21+M709*$AC$22+N709*$AC$23+O709*$AC$24+P709*$AC$25+Q709*$AC$26+R709*$AC$27+S709*$AC$28+T709*$AC$29+U709*$AC$30</f>
        <v/>
      </c>
      <c r="W709" s="8">
        <f>1/(1+EXP(-V709))</f>
        <v/>
      </c>
      <c r="X709" s="9">
        <f>-IF(C709=1,LN(W709),LN(1-W709))</f>
        <v/>
      </c>
      <c r="Y709" s="10">
        <f>IF(W709&gt;$AC$34,1,0)</f>
        <v/>
      </c>
      <c r="Z709">
        <f>IF(Y709=C709,1,0)</f>
        <v/>
      </c>
    </row>
    <row r="710">
      <c r="A710">
        <f>'1 datos preparados'!A703</f>
        <v/>
      </c>
      <c r="B710" s="5">
        <f>'1 datos preparados'!U703</f>
        <v/>
      </c>
      <c r="C710">
        <f>'1 datos preparados'!B703</f>
        <v/>
      </c>
      <c r="D710" s="7">
        <f>'1 datos preparados'!C703</f>
        <v/>
      </c>
      <c r="E710" s="7">
        <f>'1 datos preparados'!D703</f>
        <v/>
      </c>
      <c r="F710" s="7">
        <f>'1 datos preparados'!E703</f>
        <v/>
      </c>
      <c r="G710" s="7">
        <f>'1 datos preparados'!F703</f>
        <v/>
      </c>
      <c r="H710" s="7">
        <f>'1 datos preparados'!G703</f>
        <v/>
      </c>
      <c r="I710" s="7">
        <f>'1 datos preparados'!H703</f>
        <v/>
      </c>
      <c r="J710" s="7">
        <f>'1 datos preparados'!I703</f>
        <v/>
      </c>
      <c r="K710" s="7">
        <f>'1 datos preparados'!J703</f>
        <v/>
      </c>
      <c r="L710" s="7">
        <f>'1 datos preparados'!K703</f>
        <v/>
      </c>
      <c r="M710" s="7">
        <f>'1 datos preparados'!L703</f>
        <v/>
      </c>
      <c r="N710" s="7">
        <f>'1 datos preparados'!M703</f>
        <v/>
      </c>
      <c r="O710" s="7">
        <f>'1 datos preparados'!N703</f>
        <v/>
      </c>
      <c r="P710" s="7">
        <f>'1 datos preparados'!O703</f>
        <v/>
      </c>
      <c r="Q710" s="7">
        <f>'1 datos preparados'!P703</f>
        <v/>
      </c>
      <c r="R710" s="7">
        <f>'1 datos preparados'!Q703</f>
        <v/>
      </c>
      <c r="S710" s="7">
        <f>'1 datos preparados'!R703</f>
        <v/>
      </c>
      <c r="T710" s="7">
        <f>'1 datos preparados'!S703</f>
        <v/>
      </c>
      <c r="U710" s="7">
        <f>'1 datos preparados'!T703</f>
        <v/>
      </c>
      <c r="V710" s="8">
        <f>$AC$12+D710*$AC$13+E710*$AC$14+F710*$AC$15+G710*$AC$16+H710*$AC$17+I710*$AC$18+J710*$AC$19+K710*$AC$20+L710*$AC$21+M710*$AC$22+N710*$AC$23+O710*$AC$24+P710*$AC$25+Q710*$AC$26+R710*$AC$27+S710*$AC$28+T710*$AC$29+U710*$AC$30</f>
        <v/>
      </c>
      <c r="W710" s="8">
        <f>1/(1+EXP(-V710))</f>
        <v/>
      </c>
      <c r="X710" s="9">
        <f>-IF(C710=1,LN(W710),LN(1-W710))</f>
        <v/>
      </c>
      <c r="Y710" s="10">
        <f>IF(W710&gt;$AC$34,1,0)</f>
        <v/>
      </c>
      <c r="Z710">
        <f>IF(Y710=C710,1,0)</f>
        <v/>
      </c>
    </row>
    <row r="711">
      <c r="A711">
        <f>'1 datos preparados'!A704</f>
        <v/>
      </c>
      <c r="B711" s="5">
        <f>'1 datos preparados'!U704</f>
        <v/>
      </c>
      <c r="C711">
        <f>'1 datos preparados'!B704</f>
        <v/>
      </c>
      <c r="D711" s="7">
        <f>'1 datos preparados'!C704</f>
        <v/>
      </c>
      <c r="E711" s="7">
        <f>'1 datos preparados'!D704</f>
        <v/>
      </c>
      <c r="F711" s="7">
        <f>'1 datos preparados'!E704</f>
        <v/>
      </c>
      <c r="G711" s="7">
        <f>'1 datos preparados'!F704</f>
        <v/>
      </c>
      <c r="H711" s="7">
        <f>'1 datos preparados'!G704</f>
        <v/>
      </c>
      <c r="I711" s="7">
        <f>'1 datos preparados'!H704</f>
        <v/>
      </c>
      <c r="J711" s="7">
        <f>'1 datos preparados'!I704</f>
        <v/>
      </c>
      <c r="K711" s="7">
        <f>'1 datos preparados'!J704</f>
        <v/>
      </c>
      <c r="L711" s="7">
        <f>'1 datos preparados'!K704</f>
        <v/>
      </c>
      <c r="M711" s="7">
        <f>'1 datos preparados'!L704</f>
        <v/>
      </c>
      <c r="N711" s="7">
        <f>'1 datos preparados'!M704</f>
        <v/>
      </c>
      <c r="O711" s="7">
        <f>'1 datos preparados'!N704</f>
        <v/>
      </c>
      <c r="P711" s="7">
        <f>'1 datos preparados'!O704</f>
        <v/>
      </c>
      <c r="Q711" s="7">
        <f>'1 datos preparados'!P704</f>
        <v/>
      </c>
      <c r="R711" s="7">
        <f>'1 datos preparados'!Q704</f>
        <v/>
      </c>
      <c r="S711" s="7">
        <f>'1 datos preparados'!R704</f>
        <v/>
      </c>
      <c r="T711" s="7">
        <f>'1 datos preparados'!S704</f>
        <v/>
      </c>
      <c r="U711" s="7">
        <f>'1 datos preparados'!T704</f>
        <v/>
      </c>
      <c r="V711" s="8">
        <f>$AC$12+D711*$AC$13+E711*$AC$14+F711*$AC$15+G711*$AC$16+H711*$AC$17+I711*$AC$18+J711*$AC$19+K711*$AC$20+L711*$AC$21+M711*$AC$22+N711*$AC$23+O711*$AC$24+P711*$AC$25+Q711*$AC$26+R711*$AC$27+S711*$AC$28+T711*$AC$29+U711*$AC$30</f>
        <v/>
      </c>
      <c r="W711" s="8">
        <f>1/(1+EXP(-V711))</f>
        <v/>
      </c>
      <c r="X711" s="9">
        <f>-IF(C711=1,LN(W711),LN(1-W711))</f>
        <v/>
      </c>
      <c r="Y711" s="10">
        <f>IF(W711&gt;$AC$34,1,0)</f>
        <v/>
      </c>
      <c r="Z711">
        <f>IF(Y711=C711,1,0)</f>
        <v/>
      </c>
    </row>
    <row r="712">
      <c r="A712">
        <f>'1 datos preparados'!A705</f>
        <v/>
      </c>
      <c r="B712" s="5">
        <f>'1 datos preparados'!U705</f>
        <v/>
      </c>
      <c r="C712">
        <f>'1 datos preparados'!B705</f>
        <v/>
      </c>
      <c r="D712" s="7">
        <f>'1 datos preparados'!C705</f>
        <v/>
      </c>
      <c r="E712" s="7">
        <f>'1 datos preparados'!D705</f>
        <v/>
      </c>
      <c r="F712" s="7">
        <f>'1 datos preparados'!E705</f>
        <v/>
      </c>
      <c r="G712" s="7">
        <f>'1 datos preparados'!F705</f>
        <v/>
      </c>
      <c r="H712" s="7">
        <f>'1 datos preparados'!G705</f>
        <v/>
      </c>
      <c r="I712" s="7">
        <f>'1 datos preparados'!H705</f>
        <v/>
      </c>
      <c r="J712" s="7">
        <f>'1 datos preparados'!I705</f>
        <v/>
      </c>
      <c r="K712" s="7">
        <f>'1 datos preparados'!J705</f>
        <v/>
      </c>
      <c r="L712" s="7">
        <f>'1 datos preparados'!K705</f>
        <v/>
      </c>
      <c r="M712" s="7">
        <f>'1 datos preparados'!L705</f>
        <v/>
      </c>
      <c r="N712" s="7">
        <f>'1 datos preparados'!M705</f>
        <v/>
      </c>
      <c r="O712" s="7">
        <f>'1 datos preparados'!N705</f>
        <v/>
      </c>
      <c r="P712" s="7">
        <f>'1 datos preparados'!O705</f>
        <v/>
      </c>
      <c r="Q712" s="7">
        <f>'1 datos preparados'!P705</f>
        <v/>
      </c>
      <c r="R712" s="7">
        <f>'1 datos preparados'!Q705</f>
        <v/>
      </c>
      <c r="S712" s="7">
        <f>'1 datos preparados'!R705</f>
        <v/>
      </c>
      <c r="T712" s="7">
        <f>'1 datos preparados'!S705</f>
        <v/>
      </c>
      <c r="U712" s="7">
        <f>'1 datos preparados'!T705</f>
        <v/>
      </c>
      <c r="V712" s="8">
        <f>$AC$12+D712*$AC$13+E712*$AC$14+F712*$AC$15+G712*$AC$16+H712*$AC$17+I712*$AC$18+J712*$AC$19+K712*$AC$20+L712*$AC$21+M712*$AC$22+N712*$AC$23+O712*$AC$24+P712*$AC$25+Q712*$AC$26+R712*$AC$27+S712*$AC$28+T712*$AC$29+U712*$AC$30</f>
        <v/>
      </c>
      <c r="W712" s="8">
        <f>1/(1+EXP(-V712))</f>
        <v/>
      </c>
      <c r="X712" s="9">
        <f>-IF(C712=1,LN(W712),LN(1-W712))</f>
        <v/>
      </c>
      <c r="Y712" s="10">
        <f>IF(W712&gt;$AC$34,1,0)</f>
        <v/>
      </c>
      <c r="Z712">
        <f>IF(Y712=C712,1,0)</f>
        <v/>
      </c>
    </row>
    <row r="713">
      <c r="A713">
        <f>'1 datos preparados'!A706</f>
        <v/>
      </c>
      <c r="B713" s="5">
        <f>'1 datos preparados'!U706</f>
        <v/>
      </c>
      <c r="C713">
        <f>'1 datos preparados'!B706</f>
        <v/>
      </c>
      <c r="D713" s="7">
        <f>'1 datos preparados'!C706</f>
        <v/>
      </c>
      <c r="E713" s="7">
        <f>'1 datos preparados'!D706</f>
        <v/>
      </c>
      <c r="F713" s="7">
        <f>'1 datos preparados'!E706</f>
        <v/>
      </c>
      <c r="G713" s="7">
        <f>'1 datos preparados'!F706</f>
        <v/>
      </c>
      <c r="H713" s="7">
        <f>'1 datos preparados'!G706</f>
        <v/>
      </c>
      <c r="I713" s="7">
        <f>'1 datos preparados'!H706</f>
        <v/>
      </c>
      <c r="J713" s="7">
        <f>'1 datos preparados'!I706</f>
        <v/>
      </c>
      <c r="K713" s="7">
        <f>'1 datos preparados'!J706</f>
        <v/>
      </c>
      <c r="L713" s="7">
        <f>'1 datos preparados'!K706</f>
        <v/>
      </c>
      <c r="M713" s="7">
        <f>'1 datos preparados'!L706</f>
        <v/>
      </c>
      <c r="N713" s="7">
        <f>'1 datos preparados'!M706</f>
        <v/>
      </c>
      <c r="O713" s="7">
        <f>'1 datos preparados'!N706</f>
        <v/>
      </c>
      <c r="P713" s="7">
        <f>'1 datos preparados'!O706</f>
        <v/>
      </c>
      <c r="Q713" s="7">
        <f>'1 datos preparados'!P706</f>
        <v/>
      </c>
      <c r="R713" s="7">
        <f>'1 datos preparados'!Q706</f>
        <v/>
      </c>
      <c r="S713" s="7">
        <f>'1 datos preparados'!R706</f>
        <v/>
      </c>
      <c r="T713" s="7">
        <f>'1 datos preparados'!S706</f>
        <v/>
      </c>
      <c r="U713" s="7">
        <f>'1 datos preparados'!T706</f>
        <v/>
      </c>
      <c r="V713" s="8">
        <f>$AC$12+D713*$AC$13+E713*$AC$14+F713*$AC$15+G713*$AC$16+H713*$AC$17+I713*$AC$18+J713*$AC$19+K713*$AC$20+L713*$AC$21+M713*$AC$22+N713*$AC$23+O713*$AC$24+P713*$AC$25+Q713*$AC$26+R713*$AC$27+S713*$AC$28+T713*$AC$29+U713*$AC$30</f>
        <v/>
      </c>
      <c r="W713" s="8">
        <f>1/(1+EXP(-V713))</f>
        <v/>
      </c>
      <c r="X713" s="9">
        <f>-IF(C713=1,LN(W713),LN(1-W713))</f>
        <v/>
      </c>
      <c r="Y713" s="10">
        <f>IF(W713&gt;$AC$34,1,0)</f>
        <v/>
      </c>
      <c r="Z713">
        <f>IF(Y713=C713,1,0)</f>
        <v/>
      </c>
    </row>
    <row r="714">
      <c r="A714">
        <f>'1 datos preparados'!A707</f>
        <v/>
      </c>
      <c r="B714" s="5">
        <f>'1 datos preparados'!U707</f>
        <v/>
      </c>
      <c r="C714">
        <f>'1 datos preparados'!B707</f>
        <v/>
      </c>
      <c r="D714" s="7">
        <f>'1 datos preparados'!C707</f>
        <v/>
      </c>
      <c r="E714" s="7">
        <f>'1 datos preparados'!D707</f>
        <v/>
      </c>
      <c r="F714" s="7">
        <f>'1 datos preparados'!E707</f>
        <v/>
      </c>
      <c r="G714" s="7">
        <f>'1 datos preparados'!F707</f>
        <v/>
      </c>
      <c r="H714" s="7">
        <f>'1 datos preparados'!G707</f>
        <v/>
      </c>
      <c r="I714" s="7">
        <f>'1 datos preparados'!H707</f>
        <v/>
      </c>
      <c r="J714" s="7">
        <f>'1 datos preparados'!I707</f>
        <v/>
      </c>
      <c r="K714" s="7">
        <f>'1 datos preparados'!J707</f>
        <v/>
      </c>
      <c r="L714" s="7">
        <f>'1 datos preparados'!K707</f>
        <v/>
      </c>
      <c r="M714" s="7">
        <f>'1 datos preparados'!L707</f>
        <v/>
      </c>
      <c r="N714" s="7">
        <f>'1 datos preparados'!M707</f>
        <v/>
      </c>
      <c r="O714" s="7">
        <f>'1 datos preparados'!N707</f>
        <v/>
      </c>
      <c r="P714" s="7">
        <f>'1 datos preparados'!O707</f>
        <v/>
      </c>
      <c r="Q714" s="7">
        <f>'1 datos preparados'!P707</f>
        <v/>
      </c>
      <c r="R714" s="7">
        <f>'1 datos preparados'!Q707</f>
        <v/>
      </c>
      <c r="S714" s="7">
        <f>'1 datos preparados'!R707</f>
        <v/>
      </c>
      <c r="T714" s="7">
        <f>'1 datos preparados'!S707</f>
        <v/>
      </c>
      <c r="U714" s="7">
        <f>'1 datos preparados'!T707</f>
        <v/>
      </c>
      <c r="V714" s="8">
        <f>$AC$12+D714*$AC$13+E714*$AC$14+F714*$AC$15+G714*$AC$16+H714*$AC$17+I714*$AC$18+J714*$AC$19+K714*$AC$20+L714*$AC$21+M714*$AC$22+N714*$AC$23+O714*$AC$24+P714*$AC$25+Q714*$AC$26+R714*$AC$27+S714*$AC$28+T714*$AC$29+U714*$AC$30</f>
        <v/>
      </c>
      <c r="W714" s="8">
        <f>1/(1+EXP(-V714))</f>
        <v/>
      </c>
      <c r="X714" s="9">
        <f>-IF(C714=1,LN(W714),LN(1-W714))</f>
        <v/>
      </c>
      <c r="Y714" s="10">
        <f>IF(W714&gt;$AC$34,1,0)</f>
        <v/>
      </c>
      <c r="Z714">
        <f>IF(Y714=C714,1,0)</f>
        <v/>
      </c>
    </row>
    <row r="715">
      <c r="A715">
        <f>'1 datos preparados'!A708</f>
        <v/>
      </c>
      <c r="B715" s="5">
        <f>'1 datos preparados'!U708</f>
        <v/>
      </c>
      <c r="C715">
        <f>'1 datos preparados'!B708</f>
        <v/>
      </c>
      <c r="D715" s="7">
        <f>'1 datos preparados'!C708</f>
        <v/>
      </c>
      <c r="E715" s="7">
        <f>'1 datos preparados'!D708</f>
        <v/>
      </c>
      <c r="F715" s="7">
        <f>'1 datos preparados'!E708</f>
        <v/>
      </c>
      <c r="G715" s="7">
        <f>'1 datos preparados'!F708</f>
        <v/>
      </c>
      <c r="H715" s="7">
        <f>'1 datos preparados'!G708</f>
        <v/>
      </c>
      <c r="I715" s="7">
        <f>'1 datos preparados'!H708</f>
        <v/>
      </c>
      <c r="J715" s="7">
        <f>'1 datos preparados'!I708</f>
        <v/>
      </c>
      <c r="K715" s="7">
        <f>'1 datos preparados'!J708</f>
        <v/>
      </c>
      <c r="L715" s="7">
        <f>'1 datos preparados'!K708</f>
        <v/>
      </c>
      <c r="M715" s="7">
        <f>'1 datos preparados'!L708</f>
        <v/>
      </c>
      <c r="N715" s="7">
        <f>'1 datos preparados'!M708</f>
        <v/>
      </c>
      <c r="O715" s="7">
        <f>'1 datos preparados'!N708</f>
        <v/>
      </c>
      <c r="P715" s="7">
        <f>'1 datos preparados'!O708</f>
        <v/>
      </c>
      <c r="Q715" s="7">
        <f>'1 datos preparados'!P708</f>
        <v/>
      </c>
      <c r="R715" s="7">
        <f>'1 datos preparados'!Q708</f>
        <v/>
      </c>
      <c r="S715" s="7">
        <f>'1 datos preparados'!R708</f>
        <v/>
      </c>
      <c r="T715" s="7">
        <f>'1 datos preparados'!S708</f>
        <v/>
      </c>
      <c r="U715" s="7">
        <f>'1 datos preparados'!T708</f>
        <v/>
      </c>
      <c r="V715" s="8">
        <f>$AC$12+D715*$AC$13+E715*$AC$14+F715*$AC$15+G715*$AC$16+H715*$AC$17+I715*$AC$18+J715*$AC$19+K715*$AC$20+L715*$AC$21+M715*$AC$22+N715*$AC$23+O715*$AC$24+P715*$AC$25+Q715*$AC$26+R715*$AC$27+S715*$AC$28+T715*$AC$29+U715*$AC$30</f>
        <v/>
      </c>
      <c r="W715" s="8">
        <f>1/(1+EXP(-V715))</f>
        <v/>
      </c>
      <c r="X715" s="9">
        <f>-IF(C715=1,LN(W715),LN(1-W715))</f>
        <v/>
      </c>
      <c r="Y715" s="10">
        <f>IF(W715&gt;$AC$34,1,0)</f>
        <v/>
      </c>
      <c r="Z715">
        <f>IF(Y715=C715,1,0)</f>
        <v/>
      </c>
    </row>
    <row r="716">
      <c r="A716">
        <f>'1 datos preparados'!A709</f>
        <v/>
      </c>
      <c r="B716" s="5">
        <f>'1 datos preparados'!U709</f>
        <v/>
      </c>
      <c r="C716">
        <f>'1 datos preparados'!B709</f>
        <v/>
      </c>
      <c r="D716" s="7">
        <f>'1 datos preparados'!C709</f>
        <v/>
      </c>
      <c r="E716" s="7">
        <f>'1 datos preparados'!D709</f>
        <v/>
      </c>
      <c r="F716" s="7">
        <f>'1 datos preparados'!E709</f>
        <v/>
      </c>
      <c r="G716" s="7">
        <f>'1 datos preparados'!F709</f>
        <v/>
      </c>
      <c r="H716" s="7">
        <f>'1 datos preparados'!G709</f>
        <v/>
      </c>
      <c r="I716" s="7">
        <f>'1 datos preparados'!H709</f>
        <v/>
      </c>
      <c r="J716" s="7">
        <f>'1 datos preparados'!I709</f>
        <v/>
      </c>
      <c r="K716" s="7">
        <f>'1 datos preparados'!J709</f>
        <v/>
      </c>
      <c r="L716" s="7">
        <f>'1 datos preparados'!K709</f>
        <v/>
      </c>
      <c r="M716" s="7">
        <f>'1 datos preparados'!L709</f>
        <v/>
      </c>
      <c r="N716" s="7">
        <f>'1 datos preparados'!M709</f>
        <v/>
      </c>
      <c r="O716" s="7">
        <f>'1 datos preparados'!N709</f>
        <v/>
      </c>
      <c r="P716" s="7">
        <f>'1 datos preparados'!O709</f>
        <v/>
      </c>
      <c r="Q716" s="7">
        <f>'1 datos preparados'!P709</f>
        <v/>
      </c>
      <c r="R716" s="7">
        <f>'1 datos preparados'!Q709</f>
        <v/>
      </c>
      <c r="S716" s="7">
        <f>'1 datos preparados'!R709</f>
        <v/>
      </c>
      <c r="T716" s="7">
        <f>'1 datos preparados'!S709</f>
        <v/>
      </c>
      <c r="U716" s="7">
        <f>'1 datos preparados'!T709</f>
        <v/>
      </c>
      <c r="V716" s="8">
        <f>$AC$12+D716*$AC$13+E716*$AC$14+F716*$AC$15+G716*$AC$16+H716*$AC$17+I716*$AC$18+J716*$AC$19+K716*$AC$20+L716*$AC$21+M716*$AC$22+N716*$AC$23+O716*$AC$24+P716*$AC$25+Q716*$AC$26+R716*$AC$27+S716*$AC$28+T716*$AC$29+U716*$AC$30</f>
        <v/>
      </c>
      <c r="W716" s="8">
        <f>1/(1+EXP(-V716))</f>
        <v/>
      </c>
      <c r="X716" s="9">
        <f>-IF(C716=1,LN(W716),LN(1-W716))</f>
        <v/>
      </c>
      <c r="Y716" s="10">
        <f>IF(W716&gt;$AC$34,1,0)</f>
        <v/>
      </c>
      <c r="Z716">
        <f>IF(Y716=C716,1,0)</f>
        <v/>
      </c>
    </row>
    <row r="717">
      <c r="A717">
        <f>'1 datos preparados'!A710</f>
        <v/>
      </c>
      <c r="B717" s="5">
        <f>'1 datos preparados'!U710</f>
        <v/>
      </c>
      <c r="C717">
        <f>'1 datos preparados'!B710</f>
        <v/>
      </c>
      <c r="D717" s="7">
        <f>'1 datos preparados'!C710</f>
        <v/>
      </c>
      <c r="E717" s="7">
        <f>'1 datos preparados'!D710</f>
        <v/>
      </c>
      <c r="F717" s="7">
        <f>'1 datos preparados'!E710</f>
        <v/>
      </c>
      <c r="G717" s="7">
        <f>'1 datos preparados'!F710</f>
        <v/>
      </c>
      <c r="H717" s="7">
        <f>'1 datos preparados'!G710</f>
        <v/>
      </c>
      <c r="I717" s="7">
        <f>'1 datos preparados'!H710</f>
        <v/>
      </c>
      <c r="J717" s="7">
        <f>'1 datos preparados'!I710</f>
        <v/>
      </c>
      <c r="K717" s="7">
        <f>'1 datos preparados'!J710</f>
        <v/>
      </c>
      <c r="L717" s="7">
        <f>'1 datos preparados'!K710</f>
        <v/>
      </c>
      <c r="M717" s="7">
        <f>'1 datos preparados'!L710</f>
        <v/>
      </c>
      <c r="N717" s="7">
        <f>'1 datos preparados'!M710</f>
        <v/>
      </c>
      <c r="O717" s="7">
        <f>'1 datos preparados'!N710</f>
        <v/>
      </c>
      <c r="P717" s="7">
        <f>'1 datos preparados'!O710</f>
        <v/>
      </c>
      <c r="Q717" s="7">
        <f>'1 datos preparados'!P710</f>
        <v/>
      </c>
      <c r="R717" s="7">
        <f>'1 datos preparados'!Q710</f>
        <v/>
      </c>
      <c r="S717" s="7">
        <f>'1 datos preparados'!R710</f>
        <v/>
      </c>
      <c r="T717" s="7">
        <f>'1 datos preparados'!S710</f>
        <v/>
      </c>
      <c r="U717" s="7">
        <f>'1 datos preparados'!T710</f>
        <v/>
      </c>
      <c r="V717" s="8">
        <f>$AC$12+D717*$AC$13+E717*$AC$14+F717*$AC$15+G717*$AC$16+H717*$AC$17+I717*$AC$18+J717*$AC$19+K717*$AC$20+L717*$AC$21+M717*$AC$22+N717*$AC$23+O717*$AC$24+P717*$AC$25+Q717*$AC$26+R717*$AC$27+S717*$AC$28+T717*$AC$29+U717*$AC$30</f>
        <v/>
      </c>
      <c r="W717" s="8">
        <f>1/(1+EXP(-V717))</f>
        <v/>
      </c>
      <c r="X717" s="9">
        <f>-IF(C717=1,LN(W717),LN(1-W717))</f>
        <v/>
      </c>
      <c r="Y717" s="10">
        <f>IF(W717&gt;$AC$34,1,0)</f>
        <v/>
      </c>
      <c r="Z717">
        <f>IF(Y717=C717,1,0)</f>
        <v/>
      </c>
    </row>
    <row r="718">
      <c r="A718">
        <f>'1 datos preparados'!A711</f>
        <v/>
      </c>
      <c r="B718" s="5">
        <f>'1 datos preparados'!U711</f>
        <v/>
      </c>
      <c r="C718">
        <f>'1 datos preparados'!B711</f>
        <v/>
      </c>
      <c r="D718" s="7">
        <f>'1 datos preparados'!C711</f>
        <v/>
      </c>
      <c r="E718" s="7">
        <f>'1 datos preparados'!D711</f>
        <v/>
      </c>
      <c r="F718" s="7">
        <f>'1 datos preparados'!E711</f>
        <v/>
      </c>
      <c r="G718" s="7">
        <f>'1 datos preparados'!F711</f>
        <v/>
      </c>
      <c r="H718" s="7">
        <f>'1 datos preparados'!G711</f>
        <v/>
      </c>
      <c r="I718" s="7">
        <f>'1 datos preparados'!H711</f>
        <v/>
      </c>
      <c r="J718" s="7">
        <f>'1 datos preparados'!I711</f>
        <v/>
      </c>
      <c r="K718" s="7">
        <f>'1 datos preparados'!J711</f>
        <v/>
      </c>
      <c r="L718" s="7">
        <f>'1 datos preparados'!K711</f>
        <v/>
      </c>
      <c r="M718" s="7">
        <f>'1 datos preparados'!L711</f>
        <v/>
      </c>
      <c r="N718" s="7">
        <f>'1 datos preparados'!M711</f>
        <v/>
      </c>
      <c r="O718" s="7">
        <f>'1 datos preparados'!N711</f>
        <v/>
      </c>
      <c r="P718" s="7">
        <f>'1 datos preparados'!O711</f>
        <v/>
      </c>
      <c r="Q718" s="7">
        <f>'1 datos preparados'!P711</f>
        <v/>
      </c>
      <c r="R718" s="7">
        <f>'1 datos preparados'!Q711</f>
        <v/>
      </c>
      <c r="S718" s="7">
        <f>'1 datos preparados'!R711</f>
        <v/>
      </c>
      <c r="T718" s="7">
        <f>'1 datos preparados'!S711</f>
        <v/>
      </c>
      <c r="U718" s="7">
        <f>'1 datos preparados'!T711</f>
        <v/>
      </c>
      <c r="V718" s="8">
        <f>$AC$12+D718*$AC$13+E718*$AC$14+F718*$AC$15+G718*$AC$16+H718*$AC$17+I718*$AC$18+J718*$AC$19+K718*$AC$20+L718*$AC$21+M718*$AC$22+N718*$AC$23+O718*$AC$24+P718*$AC$25+Q718*$AC$26+R718*$AC$27+S718*$AC$28+T718*$AC$29+U718*$AC$30</f>
        <v/>
      </c>
      <c r="W718" s="8">
        <f>1/(1+EXP(-V718))</f>
        <v/>
      </c>
      <c r="X718" s="9">
        <f>-IF(C718=1,LN(W718),LN(1-W718))</f>
        <v/>
      </c>
      <c r="Y718" s="10">
        <f>IF(W718&gt;$AC$34,1,0)</f>
        <v/>
      </c>
      <c r="Z718">
        <f>IF(Y718=C718,1,0)</f>
        <v/>
      </c>
    </row>
    <row r="719">
      <c r="A719">
        <f>'1 datos preparados'!A712</f>
        <v/>
      </c>
      <c r="B719" s="5">
        <f>'1 datos preparados'!U712</f>
        <v/>
      </c>
      <c r="C719">
        <f>'1 datos preparados'!B712</f>
        <v/>
      </c>
      <c r="D719" s="7">
        <f>'1 datos preparados'!C712</f>
        <v/>
      </c>
      <c r="E719" s="7">
        <f>'1 datos preparados'!D712</f>
        <v/>
      </c>
      <c r="F719" s="7">
        <f>'1 datos preparados'!E712</f>
        <v/>
      </c>
      <c r="G719" s="7">
        <f>'1 datos preparados'!F712</f>
        <v/>
      </c>
      <c r="H719" s="7">
        <f>'1 datos preparados'!G712</f>
        <v/>
      </c>
      <c r="I719" s="7">
        <f>'1 datos preparados'!H712</f>
        <v/>
      </c>
      <c r="J719" s="7">
        <f>'1 datos preparados'!I712</f>
        <v/>
      </c>
      <c r="K719" s="7">
        <f>'1 datos preparados'!J712</f>
        <v/>
      </c>
      <c r="L719" s="7">
        <f>'1 datos preparados'!K712</f>
        <v/>
      </c>
      <c r="M719" s="7">
        <f>'1 datos preparados'!L712</f>
        <v/>
      </c>
      <c r="N719" s="7">
        <f>'1 datos preparados'!M712</f>
        <v/>
      </c>
      <c r="O719" s="7">
        <f>'1 datos preparados'!N712</f>
        <v/>
      </c>
      <c r="P719" s="7">
        <f>'1 datos preparados'!O712</f>
        <v/>
      </c>
      <c r="Q719" s="7">
        <f>'1 datos preparados'!P712</f>
        <v/>
      </c>
      <c r="R719" s="7">
        <f>'1 datos preparados'!Q712</f>
        <v/>
      </c>
      <c r="S719" s="7">
        <f>'1 datos preparados'!R712</f>
        <v/>
      </c>
      <c r="T719" s="7">
        <f>'1 datos preparados'!S712</f>
        <v/>
      </c>
      <c r="U719" s="7">
        <f>'1 datos preparados'!T712</f>
        <v/>
      </c>
      <c r="V719" s="8">
        <f>$AC$12+D719*$AC$13+E719*$AC$14+F719*$AC$15+G719*$AC$16+H719*$AC$17+I719*$AC$18+J719*$AC$19+K719*$AC$20+L719*$AC$21+M719*$AC$22+N719*$AC$23+O719*$AC$24+P719*$AC$25+Q719*$AC$26+R719*$AC$27+S719*$AC$28+T719*$AC$29+U719*$AC$30</f>
        <v/>
      </c>
      <c r="W719" s="8">
        <f>1/(1+EXP(-V719))</f>
        <v/>
      </c>
      <c r="X719" s="9">
        <f>-IF(C719=1,LN(W719),LN(1-W719))</f>
        <v/>
      </c>
      <c r="Y719" s="10">
        <f>IF(W719&gt;$AC$34,1,0)</f>
        <v/>
      </c>
      <c r="Z719">
        <f>IF(Y719=C719,1,0)</f>
        <v/>
      </c>
    </row>
    <row r="720">
      <c r="A720">
        <f>'1 datos preparados'!A713</f>
        <v/>
      </c>
      <c r="B720" s="5">
        <f>'1 datos preparados'!U713</f>
        <v/>
      </c>
      <c r="C720">
        <f>'1 datos preparados'!B713</f>
        <v/>
      </c>
      <c r="D720" s="7">
        <f>'1 datos preparados'!C713</f>
        <v/>
      </c>
      <c r="E720" s="7">
        <f>'1 datos preparados'!D713</f>
        <v/>
      </c>
      <c r="F720" s="7">
        <f>'1 datos preparados'!E713</f>
        <v/>
      </c>
      <c r="G720" s="7">
        <f>'1 datos preparados'!F713</f>
        <v/>
      </c>
      <c r="H720" s="7">
        <f>'1 datos preparados'!G713</f>
        <v/>
      </c>
      <c r="I720" s="7">
        <f>'1 datos preparados'!H713</f>
        <v/>
      </c>
      <c r="J720" s="7">
        <f>'1 datos preparados'!I713</f>
        <v/>
      </c>
      <c r="K720" s="7">
        <f>'1 datos preparados'!J713</f>
        <v/>
      </c>
      <c r="L720" s="7">
        <f>'1 datos preparados'!K713</f>
        <v/>
      </c>
      <c r="M720" s="7">
        <f>'1 datos preparados'!L713</f>
        <v/>
      </c>
      <c r="N720" s="7">
        <f>'1 datos preparados'!M713</f>
        <v/>
      </c>
      <c r="O720" s="7">
        <f>'1 datos preparados'!N713</f>
        <v/>
      </c>
      <c r="P720" s="7">
        <f>'1 datos preparados'!O713</f>
        <v/>
      </c>
      <c r="Q720" s="7">
        <f>'1 datos preparados'!P713</f>
        <v/>
      </c>
      <c r="R720" s="7">
        <f>'1 datos preparados'!Q713</f>
        <v/>
      </c>
      <c r="S720" s="7">
        <f>'1 datos preparados'!R713</f>
        <v/>
      </c>
      <c r="T720" s="7">
        <f>'1 datos preparados'!S713</f>
        <v/>
      </c>
      <c r="U720" s="7">
        <f>'1 datos preparados'!T713</f>
        <v/>
      </c>
      <c r="V720" s="8">
        <f>$AC$12+D720*$AC$13+E720*$AC$14+F720*$AC$15+G720*$AC$16+H720*$AC$17+I720*$AC$18+J720*$AC$19+K720*$AC$20+L720*$AC$21+M720*$AC$22+N720*$AC$23+O720*$AC$24+P720*$AC$25+Q720*$AC$26+R720*$AC$27+S720*$AC$28+T720*$AC$29+U720*$AC$30</f>
        <v/>
      </c>
      <c r="W720" s="8">
        <f>1/(1+EXP(-V720))</f>
        <v/>
      </c>
      <c r="X720" s="9">
        <f>-IF(C720=1,LN(W720),LN(1-W720))</f>
        <v/>
      </c>
      <c r="Y720" s="10">
        <f>IF(W720&gt;$AC$34,1,0)</f>
        <v/>
      </c>
      <c r="Z720">
        <f>IF(Y720=C720,1,0)</f>
        <v/>
      </c>
    </row>
    <row r="721">
      <c r="A721">
        <f>'1 datos preparados'!A714</f>
        <v/>
      </c>
      <c r="B721" s="5">
        <f>'1 datos preparados'!U714</f>
        <v/>
      </c>
      <c r="C721">
        <f>'1 datos preparados'!B714</f>
        <v/>
      </c>
      <c r="D721" s="7">
        <f>'1 datos preparados'!C714</f>
        <v/>
      </c>
      <c r="E721" s="7">
        <f>'1 datos preparados'!D714</f>
        <v/>
      </c>
      <c r="F721" s="7">
        <f>'1 datos preparados'!E714</f>
        <v/>
      </c>
      <c r="G721" s="7">
        <f>'1 datos preparados'!F714</f>
        <v/>
      </c>
      <c r="H721" s="7">
        <f>'1 datos preparados'!G714</f>
        <v/>
      </c>
      <c r="I721" s="7">
        <f>'1 datos preparados'!H714</f>
        <v/>
      </c>
      <c r="J721" s="7">
        <f>'1 datos preparados'!I714</f>
        <v/>
      </c>
      <c r="K721" s="7">
        <f>'1 datos preparados'!J714</f>
        <v/>
      </c>
      <c r="L721" s="7">
        <f>'1 datos preparados'!K714</f>
        <v/>
      </c>
      <c r="M721" s="7">
        <f>'1 datos preparados'!L714</f>
        <v/>
      </c>
      <c r="N721" s="7">
        <f>'1 datos preparados'!M714</f>
        <v/>
      </c>
      <c r="O721" s="7">
        <f>'1 datos preparados'!N714</f>
        <v/>
      </c>
      <c r="P721" s="7">
        <f>'1 datos preparados'!O714</f>
        <v/>
      </c>
      <c r="Q721" s="7">
        <f>'1 datos preparados'!P714</f>
        <v/>
      </c>
      <c r="R721" s="7">
        <f>'1 datos preparados'!Q714</f>
        <v/>
      </c>
      <c r="S721" s="7">
        <f>'1 datos preparados'!R714</f>
        <v/>
      </c>
      <c r="T721" s="7">
        <f>'1 datos preparados'!S714</f>
        <v/>
      </c>
      <c r="U721" s="7">
        <f>'1 datos preparados'!T714</f>
        <v/>
      </c>
      <c r="V721" s="8">
        <f>$AC$12+D721*$AC$13+E721*$AC$14+F721*$AC$15+G721*$AC$16+H721*$AC$17+I721*$AC$18+J721*$AC$19+K721*$AC$20+L721*$AC$21+M721*$AC$22+N721*$AC$23+O721*$AC$24+P721*$AC$25+Q721*$AC$26+R721*$AC$27+S721*$AC$28+T721*$AC$29+U721*$AC$30</f>
        <v/>
      </c>
      <c r="W721" s="8">
        <f>1/(1+EXP(-V721))</f>
        <v/>
      </c>
      <c r="X721" s="9">
        <f>-IF(C721=1,LN(W721),LN(1-W721))</f>
        <v/>
      </c>
      <c r="Y721" s="10">
        <f>IF(W721&gt;$AC$34,1,0)</f>
        <v/>
      </c>
      <c r="Z721">
        <f>IF(Y721=C721,1,0)</f>
        <v/>
      </c>
    </row>
    <row r="722">
      <c r="A722">
        <f>'1 datos preparados'!A715</f>
        <v/>
      </c>
      <c r="B722" s="5">
        <f>'1 datos preparados'!U715</f>
        <v/>
      </c>
      <c r="C722">
        <f>'1 datos preparados'!B715</f>
        <v/>
      </c>
      <c r="D722" s="7">
        <f>'1 datos preparados'!C715</f>
        <v/>
      </c>
      <c r="E722" s="7">
        <f>'1 datos preparados'!D715</f>
        <v/>
      </c>
      <c r="F722" s="7">
        <f>'1 datos preparados'!E715</f>
        <v/>
      </c>
      <c r="G722" s="7">
        <f>'1 datos preparados'!F715</f>
        <v/>
      </c>
      <c r="H722" s="7">
        <f>'1 datos preparados'!G715</f>
        <v/>
      </c>
      <c r="I722" s="7">
        <f>'1 datos preparados'!H715</f>
        <v/>
      </c>
      <c r="J722" s="7">
        <f>'1 datos preparados'!I715</f>
        <v/>
      </c>
      <c r="K722" s="7">
        <f>'1 datos preparados'!J715</f>
        <v/>
      </c>
      <c r="L722" s="7">
        <f>'1 datos preparados'!K715</f>
        <v/>
      </c>
      <c r="M722" s="7">
        <f>'1 datos preparados'!L715</f>
        <v/>
      </c>
      <c r="N722" s="7">
        <f>'1 datos preparados'!M715</f>
        <v/>
      </c>
      <c r="O722" s="7">
        <f>'1 datos preparados'!N715</f>
        <v/>
      </c>
      <c r="P722" s="7">
        <f>'1 datos preparados'!O715</f>
        <v/>
      </c>
      <c r="Q722" s="7">
        <f>'1 datos preparados'!P715</f>
        <v/>
      </c>
      <c r="R722" s="7">
        <f>'1 datos preparados'!Q715</f>
        <v/>
      </c>
      <c r="S722" s="7">
        <f>'1 datos preparados'!R715</f>
        <v/>
      </c>
      <c r="T722" s="7">
        <f>'1 datos preparados'!S715</f>
        <v/>
      </c>
      <c r="U722" s="7">
        <f>'1 datos preparados'!T715</f>
        <v/>
      </c>
      <c r="V722" s="8">
        <f>$AC$12+D722*$AC$13+E722*$AC$14+F722*$AC$15+G722*$AC$16+H722*$AC$17+I722*$AC$18+J722*$AC$19+K722*$AC$20+L722*$AC$21+M722*$AC$22+N722*$AC$23+O722*$AC$24+P722*$AC$25+Q722*$AC$26+R722*$AC$27+S722*$AC$28+T722*$AC$29+U722*$AC$30</f>
        <v/>
      </c>
      <c r="W722" s="8">
        <f>1/(1+EXP(-V722))</f>
        <v/>
      </c>
      <c r="X722" s="9">
        <f>-IF(C722=1,LN(W722),LN(1-W722))</f>
        <v/>
      </c>
      <c r="Y722" s="10">
        <f>IF(W722&gt;$AC$34,1,0)</f>
        <v/>
      </c>
      <c r="Z722">
        <f>IF(Y722=C722,1,0)</f>
        <v/>
      </c>
    </row>
    <row r="723">
      <c r="A723">
        <f>'1 datos preparados'!A716</f>
        <v/>
      </c>
      <c r="B723" s="5">
        <f>'1 datos preparados'!U716</f>
        <v/>
      </c>
      <c r="C723">
        <f>'1 datos preparados'!B716</f>
        <v/>
      </c>
      <c r="D723" s="7">
        <f>'1 datos preparados'!C716</f>
        <v/>
      </c>
      <c r="E723" s="7">
        <f>'1 datos preparados'!D716</f>
        <v/>
      </c>
      <c r="F723" s="7">
        <f>'1 datos preparados'!E716</f>
        <v/>
      </c>
      <c r="G723" s="7">
        <f>'1 datos preparados'!F716</f>
        <v/>
      </c>
      <c r="H723" s="7">
        <f>'1 datos preparados'!G716</f>
        <v/>
      </c>
      <c r="I723" s="7">
        <f>'1 datos preparados'!H716</f>
        <v/>
      </c>
      <c r="J723" s="7">
        <f>'1 datos preparados'!I716</f>
        <v/>
      </c>
      <c r="K723" s="7">
        <f>'1 datos preparados'!J716</f>
        <v/>
      </c>
      <c r="L723" s="7">
        <f>'1 datos preparados'!K716</f>
        <v/>
      </c>
      <c r="M723" s="7">
        <f>'1 datos preparados'!L716</f>
        <v/>
      </c>
      <c r="N723" s="7">
        <f>'1 datos preparados'!M716</f>
        <v/>
      </c>
      <c r="O723" s="7">
        <f>'1 datos preparados'!N716</f>
        <v/>
      </c>
      <c r="P723" s="7">
        <f>'1 datos preparados'!O716</f>
        <v/>
      </c>
      <c r="Q723" s="7">
        <f>'1 datos preparados'!P716</f>
        <v/>
      </c>
      <c r="R723" s="7">
        <f>'1 datos preparados'!Q716</f>
        <v/>
      </c>
      <c r="S723" s="7">
        <f>'1 datos preparados'!R716</f>
        <v/>
      </c>
      <c r="T723" s="7">
        <f>'1 datos preparados'!S716</f>
        <v/>
      </c>
      <c r="U723" s="7">
        <f>'1 datos preparados'!T716</f>
        <v/>
      </c>
      <c r="V723" s="8">
        <f>$AC$12+D723*$AC$13+E723*$AC$14+F723*$AC$15+G723*$AC$16+H723*$AC$17+I723*$AC$18+J723*$AC$19+K723*$AC$20+L723*$AC$21+M723*$AC$22+N723*$AC$23+O723*$AC$24+P723*$AC$25+Q723*$AC$26+R723*$AC$27+S723*$AC$28+T723*$AC$29+U723*$AC$30</f>
        <v/>
      </c>
      <c r="W723" s="8">
        <f>1/(1+EXP(-V723))</f>
        <v/>
      </c>
      <c r="X723" s="9">
        <f>-IF(C723=1,LN(W723),LN(1-W723))</f>
        <v/>
      </c>
      <c r="Y723" s="10">
        <f>IF(W723&gt;$AC$34,1,0)</f>
        <v/>
      </c>
      <c r="Z723">
        <f>IF(Y723=C723,1,0)</f>
        <v/>
      </c>
    </row>
    <row r="724">
      <c r="A724">
        <f>'1 datos preparados'!A717</f>
        <v/>
      </c>
      <c r="B724" s="5">
        <f>'1 datos preparados'!U717</f>
        <v/>
      </c>
      <c r="C724">
        <f>'1 datos preparados'!B717</f>
        <v/>
      </c>
      <c r="D724" s="7">
        <f>'1 datos preparados'!C717</f>
        <v/>
      </c>
      <c r="E724" s="7">
        <f>'1 datos preparados'!D717</f>
        <v/>
      </c>
      <c r="F724" s="7">
        <f>'1 datos preparados'!E717</f>
        <v/>
      </c>
      <c r="G724" s="7">
        <f>'1 datos preparados'!F717</f>
        <v/>
      </c>
      <c r="H724" s="7">
        <f>'1 datos preparados'!G717</f>
        <v/>
      </c>
      <c r="I724" s="7">
        <f>'1 datos preparados'!H717</f>
        <v/>
      </c>
      <c r="J724" s="7">
        <f>'1 datos preparados'!I717</f>
        <v/>
      </c>
      <c r="K724" s="7">
        <f>'1 datos preparados'!J717</f>
        <v/>
      </c>
      <c r="L724" s="7">
        <f>'1 datos preparados'!K717</f>
        <v/>
      </c>
      <c r="M724" s="7">
        <f>'1 datos preparados'!L717</f>
        <v/>
      </c>
      <c r="N724" s="7">
        <f>'1 datos preparados'!M717</f>
        <v/>
      </c>
      <c r="O724" s="7">
        <f>'1 datos preparados'!N717</f>
        <v/>
      </c>
      <c r="P724" s="7">
        <f>'1 datos preparados'!O717</f>
        <v/>
      </c>
      <c r="Q724" s="7">
        <f>'1 datos preparados'!P717</f>
        <v/>
      </c>
      <c r="R724" s="7">
        <f>'1 datos preparados'!Q717</f>
        <v/>
      </c>
      <c r="S724" s="7">
        <f>'1 datos preparados'!R717</f>
        <v/>
      </c>
      <c r="T724" s="7">
        <f>'1 datos preparados'!S717</f>
        <v/>
      </c>
      <c r="U724" s="7">
        <f>'1 datos preparados'!T717</f>
        <v/>
      </c>
      <c r="V724" s="8">
        <f>$AC$12+D724*$AC$13+E724*$AC$14+F724*$AC$15+G724*$AC$16+H724*$AC$17+I724*$AC$18+J724*$AC$19+K724*$AC$20+L724*$AC$21+M724*$AC$22+N724*$AC$23+O724*$AC$24+P724*$AC$25+Q724*$AC$26+R724*$AC$27+S724*$AC$28+T724*$AC$29+U724*$AC$30</f>
        <v/>
      </c>
      <c r="W724" s="8">
        <f>1/(1+EXP(-V724))</f>
        <v/>
      </c>
      <c r="X724" s="9">
        <f>-IF(C724=1,LN(W724),LN(1-W724))</f>
        <v/>
      </c>
      <c r="Y724" s="10">
        <f>IF(W724&gt;$AC$34,1,0)</f>
        <v/>
      </c>
      <c r="Z724">
        <f>IF(Y724=C724,1,0)</f>
        <v/>
      </c>
    </row>
    <row r="725">
      <c r="A725">
        <f>'1 datos preparados'!A718</f>
        <v/>
      </c>
      <c r="B725" s="5">
        <f>'1 datos preparados'!U718</f>
        <v/>
      </c>
      <c r="C725">
        <f>'1 datos preparados'!B718</f>
        <v/>
      </c>
      <c r="D725" s="7">
        <f>'1 datos preparados'!C718</f>
        <v/>
      </c>
      <c r="E725" s="7">
        <f>'1 datos preparados'!D718</f>
        <v/>
      </c>
      <c r="F725" s="7">
        <f>'1 datos preparados'!E718</f>
        <v/>
      </c>
      <c r="G725" s="7">
        <f>'1 datos preparados'!F718</f>
        <v/>
      </c>
      <c r="H725" s="7">
        <f>'1 datos preparados'!G718</f>
        <v/>
      </c>
      <c r="I725" s="7">
        <f>'1 datos preparados'!H718</f>
        <v/>
      </c>
      <c r="J725" s="7">
        <f>'1 datos preparados'!I718</f>
        <v/>
      </c>
      <c r="K725" s="7">
        <f>'1 datos preparados'!J718</f>
        <v/>
      </c>
      <c r="L725" s="7">
        <f>'1 datos preparados'!K718</f>
        <v/>
      </c>
      <c r="M725" s="7">
        <f>'1 datos preparados'!L718</f>
        <v/>
      </c>
      <c r="N725" s="7">
        <f>'1 datos preparados'!M718</f>
        <v/>
      </c>
      <c r="O725" s="7">
        <f>'1 datos preparados'!N718</f>
        <v/>
      </c>
      <c r="P725" s="7">
        <f>'1 datos preparados'!O718</f>
        <v/>
      </c>
      <c r="Q725" s="7">
        <f>'1 datos preparados'!P718</f>
        <v/>
      </c>
      <c r="R725" s="7">
        <f>'1 datos preparados'!Q718</f>
        <v/>
      </c>
      <c r="S725" s="7">
        <f>'1 datos preparados'!R718</f>
        <v/>
      </c>
      <c r="T725" s="7">
        <f>'1 datos preparados'!S718</f>
        <v/>
      </c>
      <c r="U725" s="7">
        <f>'1 datos preparados'!T718</f>
        <v/>
      </c>
      <c r="V725" s="8">
        <f>$AC$12+D725*$AC$13+E725*$AC$14+F725*$AC$15+G725*$AC$16+H725*$AC$17+I725*$AC$18+J725*$AC$19+K725*$AC$20+L725*$AC$21+M725*$AC$22+N725*$AC$23+O725*$AC$24+P725*$AC$25+Q725*$AC$26+R725*$AC$27+S725*$AC$28+T725*$AC$29+U725*$AC$30</f>
        <v/>
      </c>
      <c r="W725" s="8">
        <f>1/(1+EXP(-V725))</f>
        <v/>
      </c>
      <c r="X725" s="9">
        <f>-IF(C725=1,LN(W725),LN(1-W725))</f>
        <v/>
      </c>
      <c r="Y725" s="10">
        <f>IF(W725&gt;$AC$34,1,0)</f>
        <v/>
      </c>
      <c r="Z725">
        <f>IF(Y725=C725,1,0)</f>
        <v/>
      </c>
    </row>
    <row r="726">
      <c r="A726">
        <f>'1 datos preparados'!A719</f>
        <v/>
      </c>
      <c r="B726" s="5">
        <f>'1 datos preparados'!U719</f>
        <v/>
      </c>
      <c r="C726">
        <f>'1 datos preparados'!B719</f>
        <v/>
      </c>
      <c r="D726" s="7">
        <f>'1 datos preparados'!C719</f>
        <v/>
      </c>
      <c r="E726" s="7">
        <f>'1 datos preparados'!D719</f>
        <v/>
      </c>
      <c r="F726" s="7">
        <f>'1 datos preparados'!E719</f>
        <v/>
      </c>
      <c r="G726" s="7">
        <f>'1 datos preparados'!F719</f>
        <v/>
      </c>
      <c r="H726" s="7">
        <f>'1 datos preparados'!G719</f>
        <v/>
      </c>
      <c r="I726" s="7">
        <f>'1 datos preparados'!H719</f>
        <v/>
      </c>
      <c r="J726" s="7">
        <f>'1 datos preparados'!I719</f>
        <v/>
      </c>
      <c r="K726" s="7">
        <f>'1 datos preparados'!J719</f>
        <v/>
      </c>
      <c r="L726" s="7">
        <f>'1 datos preparados'!K719</f>
        <v/>
      </c>
      <c r="M726" s="7">
        <f>'1 datos preparados'!L719</f>
        <v/>
      </c>
      <c r="N726" s="7">
        <f>'1 datos preparados'!M719</f>
        <v/>
      </c>
      <c r="O726" s="7">
        <f>'1 datos preparados'!N719</f>
        <v/>
      </c>
      <c r="P726" s="7">
        <f>'1 datos preparados'!O719</f>
        <v/>
      </c>
      <c r="Q726" s="7">
        <f>'1 datos preparados'!P719</f>
        <v/>
      </c>
      <c r="R726" s="7">
        <f>'1 datos preparados'!Q719</f>
        <v/>
      </c>
      <c r="S726" s="7">
        <f>'1 datos preparados'!R719</f>
        <v/>
      </c>
      <c r="T726" s="7">
        <f>'1 datos preparados'!S719</f>
        <v/>
      </c>
      <c r="U726" s="7">
        <f>'1 datos preparados'!T719</f>
        <v/>
      </c>
      <c r="V726" s="8">
        <f>$AC$12+D726*$AC$13+E726*$AC$14+F726*$AC$15+G726*$AC$16+H726*$AC$17+I726*$AC$18+J726*$AC$19+K726*$AC$20+L726*$AC$21+M726*$AC$22+N726*$AC$23+O726*$AC$24+P726*$AC$25+Q726*$AC$26+R726*$AC$27+S726*$AC$28+T726*$AC$29+U726*$AC$30</f>
        <v/>
      </c>
      <c r="W726" s="8">
        <f>1/(1+EXP(-V726))</f>
        <v/>
      </c>
      <c r="X726" s="9">
        <f>-IF(C726=1,LN(W726),LN(1-W726))</f>
        <v/>
      </c>
      <c r="Y726" s="10">
        <f>IF(W726&gt;$AC$34,1,0)</f>
        <v/>
      </c>
      <c r="Z726">
        <f>IF(Y726=C726,1,0)</f>
        <v/>
      </c>
    </row>
    <row r="727">
      <c r="A727">
        <f>'1 datos preparados'!A720</f>
        <v/>
      </c>
      <c r="B727" s="5">
        <f>'1 datos preparados'!U720</f>
        <v/>
      </c>
      <c r="C727">
        <f>'1 datos preparados'!B720</f>
        <v/>
      </c>
      <c r="D727" s="7">
        <f>'1 datos preparados'!C720</f>
        <v/>
      </c>
      <c r="E727" s="7">
        <f>'1 datos preparados'!D720</f>
        <v/>
      </c>
      <c r="F727" s="7">
        <f>'1 datos preparados'!E720</f>
        <v/>
      </c>
      <c r="G727" s="7">
        <f>'1 datos preparados'!F720</f>
        <v/>
      </c>
      <c r="H727" s="7">
        <f>'1 datos preparados'!G720</f>
        <v/>
      </c>
      <c r="I727" s="7">
        <f>'1 datos preparados'!H720</f>
        <v/>
      </c>
      <c r="J727" s="7">
        <f>'1 datos preparados'!I720</f>
        <v/>
      </c>
      <c r="K727" s="7">
        <f>'1 datos preparados'!J720</f>
        <v/>
      </c>
      <c r="L727" s="7">
        <f>'1 datos preparados'!K720</f>
        <v/>
      </c>
      <c r="M727" s="7">
        <f>'1 datos preparados'!L720</f>
        <v/>
      </c>
      <c r="N727" s="7">
        <f>'1 datos preparados'!M720</f>
        <v/>
      </c>
      <c r="O727" s="7">
        <f>'1 datos preparados'!N720</f>
        <v/>
      </c>
      <c r="P727" s="7">
        <f>'1 datos preparados'!O720</f>
        <v/>
      </c>
      <c r="Q727" s="7">
        <f>'1 datos preparados'!P720</f>
        <v/>
      </c>
      <c r="R727" s="7">
        <f>'1 datos preparados'!Q720</f>
        <v/>
      </c>
      <c r="S727" s="7">
        <f>'1 datos preparados'!R720</f>
        <v/>
      </c>
      <c r="T727" s="7">
        <f>'1 datos preparados'!S720</f>
        <v/>
      </c>
      <c r="U727" s="7">
        <f>'1 datos preparados'!T720</f>
        <v/>
      </c>
      <c r="V727" s="8">
        <f>$AC$12+D727*$AC$13+E727*$AC$14+F727*$AC$15+G727*$AC$16+H727*$AC$17+I727*$AC$18+J727*$AC$19+K727*$AC$20+L727*$AC$21+M727*$AC$22+N727*$AC$23+O727*$AC$24+P727*$AC$25+Q727*$AC$26+R727*$AC$27+S727*$AC$28+T727*$AC$29+U727*$AC$30</f>
        <v/>
      </c>
      <c r="W727" s="8">
        <f>1/(1+EXP(-V727))</f>
        <v/>
      </c>
      <c r="X727" s="9">
        <f>-IF(C727=1,LN(W727),LN(1-W727))</f>
        <v/>
      </c>
      <c r="Y727" s="10">
        <f>IF(W727&gt;$AC$34,1,0)</f>
        <v/>
      </c>
      <c r="Z727">
        <f>IF(Y727=C727,1,0)</f>
        <v/>
      </c>
    </row>
    <row r="728">
      <c r="A728">
        <f>'1 datos preparados'!A721</f>
        <v/>
      </c>
      <c r="B728" s="5">
        <f>'1 datos preparados'!U721</f>
        <v/>
      </c>
      <c r="C728">
        <f>'1 datos preparados'!B721</f>
        <v/>
      </c>
      <c r="D728" s="7">
        <f>'1 datos preparados'!C721</f>
        <v/>
      </c>
      <c r="E728" s="7">
        <f>'1 datos preparados'!D721</f>
        <v/>
      </c>
      <c r="F728" s="7">
        <f>'1 datos preparados'!E721</f>
        <v/>
      </c>
      <c r="G728" s="7">
        <f>'1 datos preparados'!F721</f>
        <v/>
      </c>
      <c r="H728" s="7">
        <f>'1 datos preparados'!G721</f>
        <v/>
      </c>
      <c r="I728" s="7">
        <f>'1 datos preparados'!H721</f>
        <v/>
      </c>
      <c r="J728" s="7">
        <f>'1 datos preparados'!I721</f>
        <v/>
      </c>
      <c r="K728" s="7">
        <f>'1 datos preparados'!J721</f>
        <v/>
      </c>
      <c r="L728" s="7">
        <f>'1 datos preparados'!K721</f>
        <v/>
      </c>
      <c r="M728" s="7">
        <f>'1 datos preparados'!L721</f>
        <v/>
      </c>
      <c r="N728" s="7">
        <f>'1 datos preparados'!M721</f>
        <v/>
      </c>
      <c r="O728" s="7">
        <f>'1 datos preparados'!N721</f>
        <v/>
      </c>
      <c r="P728" s="7">
        <f>'1 datos preparados'!O721</f>
        <v/>
      </c>
      <c r="Q728" s="7">
        <f>'1 datos preparados'!P721</f>
        <v/>
      </c>
      <c r="R728" s="7">
        <f>'1 datos preparados'!Q721</f>
        <v/>
      </c>
      <c r="S728" s="7">
        <f>'1 datos preparados'!R721</f>
        <v/>
      </c>
      <c r="T728" s="7">
        <f>'1 datos preparados'!S721</f>
        <v/>
      </c>
      <c r="U728" s="7">
        <f>'1 datos preparados'!T721</f>
        <v/>
      </c>
      <c r="V728" s="8">
        <f>$AC$12+D728*$AC$13+E728*$AC$14+F728*$AC$15+G728*$AC$16+H728*$AC$17+I728*$AC$18+J728*$AC$19+K728*$AC$20+L728*$AC$21+M728*$AC$22+N728*$AC$23+O728*$AC$24+P728*$AC$25+Q728*$AC$26+R728*$AC$27+S728*$AC$28+T728*$AC$29+U728*$AC$30</f>
        <v/>
      </c>
      <c r="W728" s="8">
        <f>1/(1+EXP(-V728))</f>
        <v/>
      </c>
      <c r="X728" s="9">
        <f>-IF(C728=1,LN(W728),LN(1-W728))</f>
        <v/>
      </c>
      <c r="Y728" s="10">
        <f>IF(W728&gt;$AC$34,1,0)</f>
        <v/>
      </c>
      <c r="Z728">
        <f>IF(Y728=C728,1,0)</f>
        <v/>
      </c>
    </row>
    <row r="729">
      <c r="A729">
        <f>'1 datos preparados'!A722</f>
        <v/>
      </c>
      <c r="B729" s="5">
        <f>'1 datos preparados'!U722</f>
        <v/>
      </c>
      <c r="C729">
        <f>'1 datos preparados'!B722</f>
        <v/>
      </c>
      <c r="D729" s="7">
        <f>'1 datos preparados'!C722</f>
        <v/>
      </c>
      <c r="E729" s="7">
        <f>'1 datos preparados'!D722</f>
        <v/>
      </c>
      <c r="F729" s="7">
        <f>'1 datos preparados'!E722</f>
        <v/>
      </c>
      <c r="G729" s="7">
        <f>'1 datos preparados'!F722</f>
        <v/>
      </c>
      <c r="H729" s="7">
        <f>'1 datos preparados'!G722</f>
        <v/>
      </c>
      <c r="I729" s="7">
        <f>'1 datos preparados'!H722</f>
        <v/>
      </c>
      <c r="J729" s="7">
        <f>'1 datos preparados'!I722</f>
        <v/>
      </c>
      <c r="K729" s="7">
        <f>'1 datos preparados'!J722</f>
        <v/>
      </c>
      <c r="L729" s="7">
        <f>'1 datos preparados'!K722</f>
        <v/>
      </c>
      <c r="M729" s="7">
        <f>'1 datos preparados'!L722</f>
        <v/>
      </c>
      <c r="N729" s="7">
        <f>'1 datos preparados'!M722</f>
        <v/>
      </c>
      <c r="O729" s="7">
        <f>'1 datos preparados'!N722</f>
        <v/>
      </c>
      <c r="P729" s="7">
        <f>'1 datos preparados'!O722</f>
        <v/>
      </c>
      <c r="Q729" s="7">
        <f>'1 datos preparados'!P722</f>
        <v/>
      </c>
      <c r="R729" s="7">
        <f>'1 datos preparados'!Q722</f>
        <v/>
      </c>
      <c r="S729" s="7">
        <f>'1 datos preparados'!R722</f>
        <v/>
      </c>
      <c r="T729" s="7">
        <f>'1 datos preparados'!S722</f>
        <v/>
      </c>
      <c r="U729" s="7">
        <f>'1 datos preparados'!T722</f>
        <v/>
      </c>
      <c r="V729" s="8">
        <f>$AC$12+D729*$AC$13+E729*$AC$14+F729*$AC$15+G729*$AC$16+H729*$AC$17+I729*$AC$18+J729*$AC$19+K729*$AC$20+L729*$AC$21+M729*$AC$22+N729*$AC$23+O729*$AC$24+P729*$AC$25+Q729*$AC$26+R729*$AC$27+S729*$AC$28+T729*$AC$29+U729*$AC$30</f>
        <v/>
      </c>
      <c r="W729" s="8">
        <f>1/(1+EXP(-V729))</f>
        <v/>
      </c>
      <c r="X729" s="9">
        <f>-IF(C729=1,LN(W729),LN(1-W729))</f>
        <v/>
      </c>
      <c r="Y729" s="10">
        <f>IF(W729&gt;$AC$34,1,0)</f>
        <v/>
      </c>
      <c r="Z729">
        <f>IF(Y729=C729,1,0)</f>
        <v/>
      </c>
    </row>
    <row r="730">
      <c r="A730">
        <f>'1 datos preparados'!A723</f>
        <v/>
      </c>
      <c r="B730" s="5">
        <f>'1 datos preparados'!U723</f>
        <v/>
      </c>
      <c r="C730">
        <f>'1 datos preparados'!B723</f>
        <v/>
      </c>
      <c r="D730" s="7">
        <f>'1 datos preparados'!C723</f>
        <v/>
      </c>
      <c r="E730" s="7">
        <f>'1 datos preparados'!D723</f>
        <v/>
      </c>
      <c r="F730" s="7">
        <f>'1 datos preparados'!E723</f>
        <v/>
      </c>
      <c r="G730" s="7">
        <f>'1 datos preparados'!F723</f>
        <v/>
      </c>
      <c r="H730" s="7">
        <f>'1 datos preparados'!G723</f>
        <v/>
      </c>
      <c r="I730" s="7">
        <f>'1 datos preparados'!H723</f>
        <v/>
      </c>
      <c r="J730" s="7">
        <f>'1 datos preparados'!I723</f>
        <v/>
      </c>
      <c r="K730" s="7">
        <f>'1 datos preparados'!J723</f>
        <v/>
      </c>
      <c r="L730" s="7">
        <f>'1 datos preparados'!K723</f>
        <v/>
      </c>
      <c r="M730" s="7">
        <f>'1 datos preparados'!L723</f>
        <v/>
      </c>
      <c r="N730" s="7">
        <f>'1 datos preparados'!M723</f>
        <v/>
      </c>
      <c r="O730" s="7">
        <f>'1 datos preparados'!N723</f>
        <v/>
      </c>
      <c r="P730" s="7">
        <f>'1 datos preparados'!O723</f>
        <v/>
      </c>
      <c r="Q730" s="7">
        <f>'1 datos preparados'!P723</f>
        <v/>
      </c>
      <c r="R730" s="7">
        <f>'1 datos preparados'!Q723</f>
        <v/>
      </c>
      <c r="S730" s="7">
        <f>'1 datos preparados'!R723</f>
        <v/>
      </c>
      <c r="T730" s="7">
        <f>'1 datos preparados'!S723</f>
        <v/>
      </c>
      <c r="U730" s="7">
        <f>'1 datos preparados'!T723</f>
        <v/>
      </c>
      <c r="V730" s="8">
        <f>$AC$12+D730*$AC$13+E730*$AC$14+F730*$AC$15+G730*$AC$16+H730*$AC$17+I730*$AC$18+J730*$AC$19+K730*$AC$20+L730*$AC$21+M730*$AC$22+N730*$AC$23+O730*$AC$24+P730*$AC$25+Q730*$AC$26+R730*$AC$27+S730*$AC$28+T730*$AC$29+U730*$AC$30</f>
        <v/>
      </c>
      <c r="W730" s="8">
        <f>1/(1+EXP(-V730))</f>
        <v/>
      </c>
      <c r="X730" s="9">
        <f>-IF(C730=1,LN(W730),LN(1-W730))</f>
        <v/>
      </c>
      <c r="Y730" s="10">
        <f>IF(W730&gt;$AC$34,1,0)</f>
        <v/>
      </c>
      <c r="Z730">
        <f>IF(Y730=C730,1,0)</f>
        <v/>
      </c>
    </row>
    <row r="731">
      <c r="A731">
        <f>'1 datos preparados'!A724</f>
        <v/>
      </c>
      <c r="B731" s="5">
        <f>'1 datos preparados'!U724</f>
        <v/>
      </c>
      <c r="C731">
        <f>'1 datos preparados'!B724</f>
        <v/>
      </c>
      <c r="D731" s="7">
        <f>'1 datos preparados'!C724</f>
        <v/>
      </c>
      <c r="E731" s="7">
        <f>'1 datos preparados'!D724</f>
        <v/>
      </c>
      <c r="F731" s="7">
        <f>'1 datos preparados'!E724</f>
        <v/>
      </c>
      <c r="G731" s="7">
        <f>'1 datos preparados'!F724</f>
        <v/>
      </c>
      <c r="H731" s="7">
        <f>'1 datos preparados'!G724</f>
        <v/>
      </c>
      <c r="I731" s="7">
        <f>'1 datos preparados'!H724</f>
        <v/>
      </c>
      <c r="J731" s="7">
        <f>'1 datos preparados'!I724</f>
        <v/>
      </c>
      <c r="K731" s="7">
        <f>'1 datos preparados'!J724</f>
        <v/>
      </c>
      <c r="L731" s="7">
        <f>'1 datos preparados'!K724</f>
        <v/>
      </c>
      <c r="M731" s="7">
        <f>'1 datos preparados'!L724</f>
        <v/>
      </c>
      <c r="N731" s="7">
        <f>'1 datos preparados'!M724</f>
        <v/>
      </c>
      <c r="O731" s="7">
        <f>'1 datos preparados'!N724</f>
        <v/>
      </c>
      <c r="P731" s="7">
        <f>'1 datos preparados'!O724</f>
        <v/>
      </c>
      <c r="Q731" s="7">
        <f>'1 datos preparados'!P724</f>
        <v/>
      </c>
      <c r="R731" s="7">
        <f>'1 datos preparados'!Q724</f>
        <v/>
      </c>
      <c r="S731" s="7">
        <f>'1 datos preparados'!R724</f>
        <v/>
      </c>
      <c r="T731" s="7">
        <f>'1 datos preparados'!S724</f>
        <v/>
      </c>
      <c r="U731" s="7">
        <f>'1 datos preparados'!T724</f>
        <v/>
      </c>
      <c r="V731" s="8">
        <f>$AC$12+D731*$AC$13+E731*$AC$14+F731*$AC$15+G731*$AC$16+H731*$AC$17+I731*$AC$18+J731*$AC$19+K731*$AC$20+L731*$AC$21+M731*$AC$22+N731*$AC$23+O731*$AC$24+P731*$AC$25+Q731*$AC$26+R731*$AC$27+S731*$AC$28+T731*$AC$29+U731*$AC$30</f>
        <v/>
      </c>
      <c r="W731" s="8">
        <f>1/(1+EXP(-V731))</f>
        <v/>
      </c>
      <c r="X731" s="9">
        <f>-IF(C731=1,LN(W731),LN(1-W731))</f>
        <v/>
      </c>
      <c r="Y731" s="10">
        <f>IF(W731&gt;$AC$34,1,0)</f>
        <v/>
      </c>
      <c r="Z731">
        <f>IF(Y731=C731,1,0)</f>
        <v/>
      </c>
    </row>
    <row r="732">
      <c r="A732">
        <f>'1 datos preparados'!A725</f>
        <v/>
      </c>
      <c r="B732" s="5">
        <f>'1 datos preparados'!U725</f>
        <v/>
      </c>
      <c r="C732">
        <f>'1 datos preparados'!B725</f>
        <v/>
      </c>
      <c r="D732" s="7">
        <f>'1 datos preparados'!C725</f>
        <v/>
      </c>
      <c r="E732" s="7">
        <f>'1 datos preparados'!D725</f>
        <v/>
      </c>
      <c r="F732" s="7">
        <f>'1 datos preparados'!E725</f>
        <v/>
      </c>
      <c r="G732" s="7">
        <f>'1 datos preparados'!F725</f>
        <v/>
      </c>
      <c r="H732" s="7">
        <f>'1 datos preparados'!G725</f>
        <v/>
      </c>
      <c r="I732" s="7">
        <f>'1 datos preparados'!H725</f>
        <v/>
      </c>
      <c r="J732" s="7">
        <f>'1 datos preparados'!I725</f>
        <v/>
      </c>
      <c r="K732" s="7">
        <f>'1 datos preparados'!J725</f>
        <v/>
      </c>
      <c r="L732" s="7">
        <f>'1 datos preparados'!K725</f>
        <v/>
      </c>
      <c r="M732" s="7">
        <f>'1 datos preparados'!L725</f>
        <v/>
      </c>
      <c r="N732" s="7">
        <f>'1 datos preparados'!M725</f>
        <v/>
      </c>
      <c r="O732" s="7">
        <f>'1 datos preparados'!N725</f>
        <v/>
      </c>
      <c r="P732" s="7">
        <f>'1 datos preparados'!O725</f>
        <v/>
      </c>
      <c r="Q732" s="7">
        <f>'1 datos preparados'!P725</f>
        <v/>
      </c>
      <c r="R732" s="7">
        <f>'1 datos preparados'!Q725</f>
        <v/>
      </c>
      <c r="S732" s="7">
        <f>'1 datos preparados'!R725</f>
        <v/>
      </c>
      <c r="T732" s="7">
        <f>'1 datos preparados'!S725</f>
        <v/>
      </c>
      <c r="U732" s="7">
        <f>'1 datos preparados'!T725</f>
        <v/>
      </c>
      <c r="V732" s="8">
        <f>$AC$12+D732*$AC$13+E732*$AC$14+F732*$AC$15+G732*$AC$16+H732*$AC$17+I732*$AC$18+J732*$AC$19+K732*$AC$20+L732*$AC$21+M732*$AC$22+N732*$AC$23+O732*$AC$24+P732*$AC$25+Q732*$AC$26+R732*$AC$27+S732*$AC$28+T732*$AC$29+U732*$AC$30</f>
        <v/>
      </c>
      <c r="W732" s="8">
        <f>1/(1+EXP(-V732))</f>
        <v/>
      </c>
      <c r="X732" s="9">
        <f>-IF(C732=1,LN(W732),LN(1-W732))</f>
        <v/>
      </c>
      <c r="Y732" s="10">
        <f>IF(W732&gt;$AC$34,1,0)</f>
        <v/>
      </c>
      <c r="Z732">
        <f>IF(Y732=C732,1,0)</f>
        <v/>
      </c>
    </row>
    <row r="733">
      <c r="A733">
        <f>'1 datos preparados'!A726</f>
        <v/>
      </c>
      <c r="B733" s="5">
        <f>'1 datos preparados'!U726</f>
        <v/>
      </c>
      <c r="C733">
        <f>'1 datos preparados'!B726</f>
        <v/>
      </c>
      <c r="D733" s="7">
        <f>'1 datos preparados'!C726</f>
        <v/>
      </c>
      <c r="E733" s="7">
        <f>'1 datos preparados'!D726</f>
        <v/>
      </c>
      <c r="F733" s="7">
        <f>'1 datos preparados'!E726</f>
        <v/>
      </c>
      <c r="G733" s="7">
        <f>'1 datos preparados'!F726</f>
        <v/>
      </c>
      <c r="H733" s="7">
        <f>'1 datos preparados'!G726</f>
        <v/>
      </c>
      <c r="I733" s="7">
        <f>'1 datos preparados'!H726</f>
        <v/>
      </c>
      <c r="J733" s="7">
        <f>'1 datos preparados'!I726</f>
        <v/>
      </c>
      <c r="K733" s="7">
        <f>'1 datos preparados'!J726</f>
        <v/>
      </c>
      <c r="L733" s="7">
        <f>'1 datos preparados'!K726</f>
        <v/>
      </c>
      <c r="M733" s="7">
        <f>'1 datos preparados'!L726</f>
        <v/>
      </c>
      <c r="N733" s="7">
        <f>'1 datos preparados'!M726</f>
        <v/>
      </c>
      <c r="O733" s="7">
        <f>'1 datos preparados'!N726</f>
        <v/>
      </c>
      <c r="P733" s="7">
        <f>'1 datos preparados'!O726</f>
        <v/>
      </c>
      <c r="Q733" s="7">
        <f>'1 datos preparados'!P726</f>
        <v/>
      </c>
      <c r="R733" s="7">
        <f>'1 datos preparados'!Q726</f>
        <v/>
      </c>
      <c r="S733" s="7">
        <f>'1 datos preparados'!R726</f>
        <v/>
      </c>
      <c r="T733" s="7">
        <f>'1 datos preparados'!S726</f>
        <v/>
      </c>
      <c r="U733" s="7">
        <f>'1 datos preparados'!T726</f>
        <v/>
      </c>
      <c r="V733" s="8">
        <f>$AC$12+D733*$AC$13+E733*$AC$14+F733*$AC$15+G733*$AC$16+H733*$AC$17+I733*$AC$18+J733*$AC$19+K733*$AC$20+L733*$AC$21+M733*$AC$22+N733*$AC$23+O733*$AC$24+P733*$AC$25+Q733*$AC$26+R733*$AC$27+S733*$AC$28+T733*$AC$29+U733*$AC$30</f>
        <v/>
      </c>
      <c r="W733" s="8">
        <f>1/(1+EXP(-V733))</f>
        <v/>
      </c>
      <c r="X733" s="9">
        <f>-IF(C733=1,LN(W733),LN(1-W733))</f>
        <v/>
      </c>
      <c r="Y733" s="10">
        <f>IF(W733&gt;$AC$34,1,0)</f>
        <v/>
      </c>
      <c r="Z733">
        <f>IF(Y733=C733,1,0)</f>
        <v/>
      </c>
    </row>
    <row r="734">
      <c r="A734">
        <f>'1 datos preparados'!A727</f>
        <v/>
      </c>
      <c r="B734" s="5">
        <f>'1 datos preparados'!U727</f>
        <v/>
      </c>
      <c r="C734">
        <f>'1 datos preparados'!B727</f>
        <v/>
      </c>
      <c r="D734" s="7">
        <f>'1 datos preparados'!C727</f>
        <v/>
      </c>
      <c r="E734" s="7">
        <f>'1 datos preparados'!D727</f>
        <v/>
      </c>
      <c r="F734" s="7">
        <f>'1 datos preparados'!E727</f>
        <v/>
      </c>
      <c r="G734" s="7">
        <f>'1 datos preparados'!F727</f>
        <v/>
      </c>
      <c r="H734" s="7">
        <f>'1 datos preparados'!G727</f>
        <v/>
      </c>
      <c r="I734" s="7">
        <f>'1 datos preparados'!H727</f>
        <v/>
      </c>
      <c r="J734" s="7">
        <f>'1 datos preparados'!I727</f>
        <v/>
      </c>
      <c r="K734" s="7">
        <f>'1 datos preparados'!J727</f>
        <v/>
      </c>
      <c r="L734" s="7">
        <f>'1 datos preparados'!K727</f>
        <v/>
      </c>
      <c r="M734" s="7">
        <f>'1 datos preparados'!L727</f>
        <v/>
      </c>
      <c r="N734" s="7">
        <f>'1 datos preparados'!M727</f>
        <v/>
      </c>
      <c r="O734" s="7">
        <f>'1 datos preparados'!N727</f>
        <v/>
      </c>
      <c r="P734" s="7">
        <f>'1 datos preparados'!O727</f>
        <v/>
      </c>
      <c r="Q734" s="7">
        <f>'1 datos preparados'!P727</f>
        <v/>
      </c>
      <c r="R734" s="7">
        <f>'1 datos preparados'!Q727</f>
        <v/>
      </c>
      <c r="S734" s="7">
        <f>'1 datos preparados'!R727</f>
        <v/>
      </c>
      <c r="T734" s="7">
        <f>'1 datos preparados'!S727</f>
        <v/>
      </c>
      <c r="U734" s="7">
        <f>'1 datos preparados'!T727</f>
        <v/>
      </c>
      <c r="V734" s="8">
        <f>$AC$12+D734*$AC$13+E734*$AC$14+F734*$AC$15+G734*$AC$16+H734*$AC$17+I734*$AC$18+J734*$AC$19+K734*$AC$20+L734*$AC$21+M734*$AC$22+N734*$AC$23+O734*$AC$24+P734*$AC$25+Q734*$AC$26+R734*$AC$27+S734*$AC$28+T734*$AC$29+U734*$AC$30</f>
        <v/>
      </c>
      <c r="W734" s="8">
        <f>1/(1+EXP(-V734))</f>
        <v/>
      </c>
      <c r="X734" s="9">
        <f>-IF(C734=1,LN(W734),LN(1-W734))</f>
        <v/>
      </c>
      <c r="Y734" s="10">
        <f>IF(W734&gt;$AC$34,1,0)</f>
        <v/>
      </c>
      <c r="Z734">
        <f>IF(Y734=C734,1,0)</f>
        <v/>
      </c>
    </row>
    <row r="735">
      <c r="A735">
        <f>'1 datos preparados'!A728</f>
        <v/>
      </c>
      <c r="B735" s="5">
        <f>'1 datos preparados'!U728</f>
        <v/>
      </c>
      <c r="C735">
        <f>'1 datos preparados'!B728</f>
        <v/>
      </c>
      <c r="D735" s="7">
        <f>'1 datos preparados'!C728</f>
        <v/>
      </c>
      <c r="E735" s="7">
        <f>'1 datos preparados'!D728</f>
        <v/>
      </c>
      <c r="F735" s="7">
        <f>'1 datos preparados'!E728</f>
        <v/>
      </c>
      <c r="G735" s="7">
        <f>'1 datos preparados'!F728</f>
        <v/>
      </c>
      <c r="H735" s="7">
        <f>'1 datos preparados'!G728</f>
        <v/>
      </c>
      <c r="I735" s="7">
        <f>'1 datos preparados'!H728</f>
        <v/>
      </c>
      <c r="J735" s="7">
        <f>'1 datos preparados'!I728</f>
        <v/>
      </c>
      <c r="K735" s="7">
        <f>'1 datos preparados'!J728</f>
        <v/>
      </c>
      <c r="L735" s="7">
        <f>'1 datos preparados'!K728</f>
        <v/>
      </c>
      <c r="M735" s="7">
        <f>'1 datos preparados'!L728</f>
        <v/>
      </c>
      <c r="N735" s="7">
        <f>'1 datos preparados'!M728</f>
        <v/>
      </c>
      <c r="O735" s="7">
        <f>'1 datos preparados'!N728</f>
        <v/>
      </c>
      <c r="P735" s="7">
        <f>'1 datos preparados'!O728</f>
        <v/>
      </c>
      <c r="Q735" s="7">
        <f>'1 datos preparados'!P728</f>
        <v/>
      </c>
      <c r="R735" s="7">
        <f>'1 datos preparados'!Q728</f>
        <v/>
      </c>
      <c r="S735" s="7">
        <f>'1 datos preparados'!R728</f>
        <v/>
      </c>
      <c r="T735" s="7">
        <f>'1 datos preparados'!S728</f>
        <v/>
      </c>
      <c r="U735" s="7">
        <f>'1 datos preparados'!T728</f>
        <v/>
      </c>
      <c r="V735" s="8">
        <f>$AC$12+D735*$AC$13+E735*$AC$14+F735*$AC$15+G735*$AC$16+H735*$AC$17+I735*$AC$18+J735*$AC$19+K735*$AC$20+L735*$AC$21+M735*$AC$22+N735*$AC$23+O735*$AC$24+P735*$AC$25+Q735*$AC$26+R735*$AC$27+S735*$AC$28+T735*$AC$29+U735*$AC$30</f>
        <v/>
      </c>
      <c r="W735" s="8">
        <f>1/(1+EXP(-V735))</f>
        <v/>
      </c>
      <c r="X735" s="9">
        <f>-IF(C735=1,LN(W735),LN(1-W735))</f>
        <v/>
      </c>
      <c r="Y735" s="10">
        <f>IF(W735&gt;$AC$34,1,0)</f>
        <v/>
      </c>
      <c r="Z735">
        <f>IF(Y735=C735,1,0)</f>
        <v/>
      </c>
    </row>
    <row r="736">
      <c r="A736">
        <f>'1 datos preparados'!A729</f>
        <v/>
      </c>
      <c r="B736" s="5">
        <f>'1 datos preparados'!U729</f>
        <v/>
      </c>
      <c r="C736">
        <f>'1 datos preparados'!B729</f>
        <v/>
      </c>
      <c r="D736" s="7">
        <f>'1 datos preparados'!C729</f>
        <v/>
      </c>
      <c r="E736" s="7">
        <f>'1 datos preparados'!D729</f>
        <v/>
      </c>
      <c r="F736" s="7">
        <f>'1 datos preparados'!E729</f>
        <v/>
      </c>
      <c r="G736" s="7">
        <f>'1 datos preparados'!F729</f>
        <v/>
      </c>
      <c r="H736" s="7">
        <f>'1 datos preparados'!G729</f>
        <v/>
      </c>
      <c r="I736" s="7">
        <f>'1 datos preparados'!H729</f>
        <v/>
      </c>
      <c r="J736" s="7">
        <f>'1 datos preparados'!I729</f>
        <v/>
      </c>
      <c r="K736" s="7">
        <f>'1 datos preparados'!J729</f>
        <v/>
      </c>
      <c r="L736" s="7">
        <f>'1 datos preparados'!K729</f>
        <v/>
      </c>
      <c r="M736" s="7">
        <f>'1 datos preparados'!L729</f>
        <v/>
      </c>
      <c r="N736" s="7">
        <f>'1 datos preparados'!M729</f>
        <v/>
      </c>
      <c r="O736" s="7">
        <f>'1 datos preparados'!N729</f>
        <v/>
      </c>
      <c r="P736" s="7">
        <f>'1 datos preparados'!O729</f>
        <v/>
      </c>
      <c r="Q736" s="7">
        <f>'1 datos preparados'!P729</f>
        <v/>
      </c>
      <c r="R736" s="7">
        <f>'1 datos preparados'!Q729</f>
        <v/>
      </c>
      <c r="S736" s="7">
        <f>'1 datos preparados'!R729</f>
        <v/>
      </c>
      <c r="T736" s="7">
        <f>'1 datos preparados'!S729</f>
        <v/>
      </c>
      <c r="U736" s="7">
        <f>'1 datos preparados'!T729</f>
        <v/>
      </c>
      <c r="V736" s="8">
        <f>$AC$12+D736*$AC$13+E736*$AC$14+F736*$AC$15+G736*$AC$16+H736*$AC$17+I736*$AC$18+J736*$AC$19+K736*$AC$20+L736*$AC$21+M736*$AC$22+N736*$AC$23+O736*$AC$24+P736*$AC$25+Q736*$AC$26+R736*$AC$27+S736*$AC$28+T736*$AC$29+U736*$AC$30</f>
        <v/>
      </c>
      <c r="W736" s="8">
        <f>1/(1+EXP(-V736))</f>
        <v/>
      </c>
      <c r="X736" s="9">
        <f>-IF(C736=1,LN(W736),LN(1-W736))</f>
        <v/>
      </c>
      <c r="Y736" s="10">
        <f>IF(W736&gt;$AC$34,1,0)</f>
        <v/>
      </c>
      <c r="Z736">
        <f>IF(Y736=C736,1,0)</f>
        <v/>
      </c>
    </row>
    <row r="737">
      <c r="A737">
        <f>'1 datos preparados'!A730</f>
        <v/>
      </c>
      <c r="B737" s="5">
        <f>'1 datos preparados'!U730</f>
        <v/>
      </c>
      <c r="C737">
        <f>'1 datos preparados'!B730</f>
        <v/>
      </c>
      <c r="D737" s="7">
        <f>'1 datos preparados'!C730</f>
        <v/>
      </c>
      <c r="E737" s="7">
        <f>'1 datos preparados'!D730</f>
        <v/>
      </c>
      <c r="F737" s="7">
        <f>'1 datos preparados'!E730</f>
        <v/>
      </c>
      <c r="G737" s="7">
        <f>'1 datos preparados'!F730</f>
        <v/>
      </c>
      <c r="H737" s="7">
        <f>'1 datos preparados'!G730</f>
        <v/>
      </c>
      <c r="I737" s="7">
        <f>'1 datos preparados'!H730</f>
        <v/>
      </c>
      <c r="J737" s="7">
        <f>'1 datos preparados'!I730</f>
        <v/>
      </c>
      <c r="K737" s="7">
        <f>'1 datos preparados'!J730</f>
        <v/>
      </c>
      <c r="L737" s="7">
        <f>'1 datos preparados'!K730</f>
        <v/>
      </c>
      <c r="M737" s="7">
        <f>'1 datos preparados'!L730</f>
        <v/>
      </c>
      <c r="N737" s="7">
        <f>'1 datos preparados'!M730</f>
        <v/>
      </c>
      <c r="O737" s="7">
        <f>'1 datos preparados'!N730</f>
        <v/>
      </c>
      <c r="P737" s="7">
        <f>'1 datos preparados'!O730</f>
        <v/>
      </c>
      <c r="Q737" s="7">
        <f>'1 datos preparados'!P730</f>
        <v/>
      </c>
      <c r="R737" s="7">
        <f>'1 datos preparados'!Q730</f>
        <v/>
      </c>
      <c r="S737" s="7">
        <f>'1 datos preparados'!R730</f>
        <v/>
      </c>
      <c r="T737" s="7">
        <f>'1 datos preparados'!S730</f>
        <v/>
      </c>
      <c r="U737" s="7">
        <f>'1 datos preparados'!T730</f>
        <v/>
      </c>
      <c r="V737" s="8">
        <f>$AC$12+D737*$AC$13+E737*$AC$14+F737*$AC$15+G737*$AC$16+H737*$AC$17+I737*$AC$18+J737*$AC$19+K737*$AC$20+L737*$AC$21+M737*$AC$22+N737*$AC$23+O737*$AC$24+P737*$AC$25+Q737*$AC$26+R737*$AC$27+S737*$AC$28+T737*$AC$29+U737*$AC$30</f>
        <v/>
      </c>
      <c r="W737" s="8">
        <f>1/(1+EXP(-V737))</f>
        <v/>
      </c>
      <c r="X737" s="9">
        <f>-IF(C737=1,LN(W737),LN(1-W737))</f>
        <v/>
      </c>
      <c r="Y737" s="10">
        <f>IF(W737&gt;$AC$34,1,0)</f>
        <v/>
      </c>
      <c r="Z737">
        <f>IF(Y737=C737,1,0)</f>
        <v/>
      </c>
    </row>
    <row r="738">
      <c r="A738">
        <f>'1 datos preparados'!A731</f>
        <v/>
      </c>
      <c r="B738" s="5">
        <f>'1 datos preparados'!U731</f>
        <v/>
      </c>
      <c r="C738">
        <f>'1 datos preparados'!B731</f>
        <v/>
      </c>
      <c r="D738" s="7">
        <f>'1 datos preparados'!C731</f>
        <v/>
      </c>
      <c r="E738" s="7">
        <f>'1 datos preparados'!D731</f>
        <v/>
      </c>
      <c r="F738" s="7">
        <f>'1 datos preparados'!E731</f>
        <v/>
      </c>
      <c r="G738" s="7">
        <f>'1 datos preparados'!F731</f>
        <v/>
      </c>
      <c r="H738" s="7">
        <f>'1 datos preparados'!G731</f>
        <v/>
      </c>
      <c r="I738" s="7">
        <f>'1 datos preparados'!H731</f>
        <v/>
      </c>
      <c r="J738" s="7">
        <f>'1 datos preparados'!I731</f>
        <v/>
      </c>
      <c r="K738" s="7">
        <f>'1 datos preparados'!J731</f>
        <v/>
      </c>
      <c r="L738" s="7">
        <f>'1 datos preparados'!K731</f>
        <v/>
      </c>
      <c r="M738" s="7">
        <f>'1 datos preparados'!L731</f>
        <v/>
      </c>
      <c r="N738" s="7">
        <f>'1 datos preparados'!M731</f>
        <v/>
      </c>
      <c r="O738" s="7">
        <f>'1 datos preparados'!N731</f>
        <v/>
      </c>
      <c r="P738" s="7">
        <f>'1 datos preparados'!O731</f>
        <v/>
      </c>
      <c r="Q738" s="7">
        <f>'1 datos preparados'!P731</f>
        <v/>
      </c>
      <c r="R738" s="7">
        <f>'1 datos preparados'!Q731</f>
        <v/>
      </c>
      <c r="S738" s="7">
        <f>'1 datos preparados'!R731</f>
        <v/>
      </c>
      <c r="T738" s="7">
        <f>'1 datos preparados'!S731</f>
        <v/>
      </c>
      <c r="U738" s="7">
        <f>'1 datos preparados'!T731</f>
        <v/>
      </c>
      <c r="V738" s="8">
        <f>$AC$12+D738*$AC$13+E738*$AC$14+F738*$AC$15+G738*$AC$16+H738*$AC$17+I738*$AC$18+J738*$AC$19+K738*$AC$20+L738*$AC$21+M738*$AC$22+N738*$AC$23+O738*$AC$24+P738*$AC$25+Q738*$AC$26+R738*$AC$27+S738*$AC$28+T738*$AC$29+U738*$AC$30</f>
        <v/>
      </c>
      <c r="W738" s="8">
        <f>1/(1+EXP(-V738))</f>
        <v/>
      </c>
      <c r="X738" s="9">
        <f>-IF(C738=1,LN(W738),LN(1-W738))</f>
        <v/>
      </c>
      <c r="Y738" s="10">
        <f>IF(W738&gt;$AC$34,1,0)</f>
        <v/>
      </c>
      <c r="Z738">
        <f>IF(Y738=C738,1,0)</f>
        <v/>
      </c>
    </row>
    <row r="739">
      <c r="A739">
        <f>'1 datos preparados'!A732</f>
        <v/>
      </c>
      <c r="B739" s="5">
        <f>'1 datos preparados'!U732</f>
        <v/>
      </c>
      <c r="C739">
        <f>'1 datos preparados'!B732</f>
        <v/>
      </c>
      <c r="D739" s="7">
        <f>'1 datos preparados'!C732</f>
        <v/>
      </c>
      <c r="E739" s="7">
        <f>'1 datos preparados'!D732</f>
        <v/>
      </c>
      <c r="F739" s="7">
        <f>'1 datos preparados'!E732</f>
        <v/>
      </c>
      <c r="G739" s="7">
        <f>'1 datos preparados'!F732</f>
        <v/>
      </c>
      <c r="H739" s="7">
        <f>'1 datos preparados'!G732</f>
        <v/>
      </c>
      <c r="I739" s="7">
        <f>'1 datos preparados'!H732</f>
        <v/>
      </c>
      <c r="J739" s="7">
        <f>'1 datos preparados'!I732</f>
        <v/>
      </c>
      <c r="K739" s="7">
        <f>'1 datos preparados'!J732</f>
        <v/>
      </c>
      <c r="L739" s="7">
        <f>'1 datos preparados'!K732</f>
        <v/>
      </c>
      <c r="M739" s="7">
        <f>'1 datos preparados'!L732</f>
        <v/>
      </c>
      <c r="N739" s="7">
        <f>'1 datos preparados'!M732</f>
        <v/>
      </c>
      <c r="O739" s="7">
        <f>'1 datos preparados'!N732</f>
        <v/>
      </c>
      <c r="P739" s="7">
        <f>'1 datos preparados'!O732</f>
        <v/>
      </c>
      <c r="Q739" s="7">
        <f>'1 datos preparados'!P732</f>
        <v/>
      </c>
      <c r="R739" s="7">
        <f>'1 datos preparados'!Q732</f>
        <v/>
      </c>
      <c r="S739" s="7">
        <f>'1 datos preparados'!R732</f>
        <v/>
      </c>
      <c r="T739" s="7">
        <f>'1 datos preparados'!S732</f>
        <v/>
      </c>
      <c r="U739" s="7">
        <f>'1 datos preparados'!T732</f>
        <v/>
      </c>
      <c r="V739" s="8">
        <f>$AC$12+D739*$AC$13+E739*$AC$14+F739*$AC$15+G739*$AC$16+H739*$AC$17+I739*$AC$18+J739*$AC$19+K739*$AC$20+L739*$AC$21+M739*$AC$22+N739*$AC$23+O739*$AC$24+P739*$AC$25+Q739*$AC$26+R739*$AC$27+S739*$AC$28+T739*$AC$29+U739*$AC$30</f>
        <v/>
      </c>
      <c r="W739" s="8">
        <f>1/(1+EXP(-V739))</f>
        <v/>
      </c>
      <c r="X739" s="9">
        <f>-IF(C739=1,LN(W739),LN(1-W739))</f>
        <v/>
      </c>
      <c r="Y739" s="10">
        <f>IF(W739&gt;$AC$34,1,0)</f>
        <v/>
      </c>
      <c r="Z739">
        <f>IF(Y739=C739,1,0)</f>
        <v/>
      </c>
    </row>
    <row r="740">
      <c r="A740">
        <f>'1 datos preparados'!A733</f>
        <v/>
      </c>
      <c r="B740" s="5">
        <f>'1 datos preparados'!U733</f>
        <v/>
      </c>
      <c r="C740">
        <f>'1 datos preparados'!B733</f>
        <v/>
      </c>
      <c r="D740" s="7">
        <f>'1 datos preparados'!C733</f>
        <v/>
      </c>
      <c r="E740" s="7">
        <f>'1 datos preparados'!D733</f>
        <v/>
      </c>
      <c r="F740" s="7">
        <f>'1 datos preparados'!E733</f>
        <v/>
      </c>
      <c r="G740" s="7">
        <f>'1 datos preparados'!F733</f>
        <v/>
      </c>
      <c r="H740" s="7">
        <f>'1 datos preparados'!G733</f>
        <v/>
      </c>
      <c r="I740" s="7">
        <f>'1 datos preparados'!H733</f>
        <v/>
      </c>
      <c r="J740" s="7">
        <f>'1 datos preparados'!I733</f>
        <v/>
      </c>
      <c r="K740" s="7">
        <f>'1 datos preparados'!J733</f>
        <v/>
      </c>
      <c r="L740" s="7">
        <f>'1 datos preparados'!K733</f>
        <v/>
      </c>
      <c r="M740" s="7">
        <f>'1 datos preparados'!L733</f>
        <v/>
      </c>
      <c r="N740" s="7">
        <f>'1 datos preparados'!M733</f>
        <v/>
      </c>
      <c r="O740" s="7">
        <f>'1 datos preparados'!N733</f>
        <v/>
      </c>
      <c r="P740" s="7">
        <f>'1 datos preparados'!O733</f>
        <v/>
      </c>
      <c r="Q740" s="7">
        <f>'1 datos preparados'!P733</f>
        <v/>
      </c>
      <c r="R740" s="7">
        <f>'1 datos preparados'!Q733</f>
        <v/>
      </c>
      <c r="S740" s="7">
        <f>'1 datos preparados'!R733</f>
        <v/>
      </c>
      <c r="T740" s="7">
        <f>'1 datos preparados'!S733</f>
        <v/>
      </c>
      <c r="U740" s="7">
        <f>'1 datos preparados'!T733</f>
        <v/>
      </c>
      <c r="V740" s="8">
        <f>$AC$12+D740*$AC$13+E740*$AC$14+F740*$AC$15+G740*$AC$16+H740*$AC$17+I740*$AC$18+J740*$AC$19+K740*$AC$20+L740*$AC$21+M740*$AC$22+N740*$AC$23+O740*$AC$24+P740*$AC$25+Q740*$AC$26+R740*$AC$27+S740*$AC$28+T740*$AC$29+U740*$AC$30</f>
        <v/>
      </c>
      <c r="W740" s="8">
        <f>1/(1+EXP(-V740))</f>
        <v/>
      </c>
      <c r="X740" s="9">
        <f>-IF(C740=1,LN(W740),LN(1-W740))</f>
        <v/>
      </c>
      <c r="Y740" s="10">
        <f>IF(W740&gt;$AC$34,1,0)</f>
        <v/>
      </c>
      <c r="Z740">
        <f>IF(Y740=C740,1,0)</f>
        <v/>
      </c>
    </row>
    <row r="741">
      <c r="A741">
        <f>'1 datos preparados'!A734</f>
        <v/>
      </c>
      <c r="B741" s="5">
        <f>'1 datos preparados'!U734</f>
        <v/>
      </c>
      <c r="C741">
        <f>'1 datos preparados'!B734</f>
        <v/>
      </c>
      <c r="D741" s="7">
        <f>'1 datos preparados'!C734</f>
        <v/>
      </c>
      <c r="E741" s="7">
        <f>'1 datos preparados'!D734</f>
        <v/>
      </c>
      <c r="F741" s="7">
        <f>'1 datos preparados'!E734</f>
        <v/>
      </c>
      <c r="G741" s="7">
        <f>'1 datos preparados'!F734</f>
        <v/>
      </c>
      <c r="H741" s="7">
        <f>'1 datos preparados'!G734</f>
        <v/>
      </c>
      <c r="I741" s="7">
        <f>'1 datos preparados'!H734</f>
        <v/>
      </c>
      <c r="J741" s="7">
        <f>'1 datos preparados'!I734</f>
        <v/>
      </c>
      <c r="K741" s="7">
        <f>'1 datos preparados'!J734</f>
        <v/>
      </c>
      <c r="L741" s="7">
        <f>'1 datos preparados'!K734</f>
        <v/>
      </c>
      <c r="M741" s="7">
        <f>'1 datos preparados'!L734</f>
        <v/>
      </c>
      <c r="N741" s="7">
        <f>'1 datos preparados'!M734</f>
        <v/>
      </c>
      <c r="O741" s="7">
        <f>'1 datos preparados'!N734</f>
        <v/>
      </c>
      <c r="P741" s="7">
        <f>'1 datos preparados'!O734</f>
        <v/>
      </c>
      <c r="Q741" s="7">
        <f>'1 datos preparados'!P734</f>
        <v/>
      </c>
      <c r="R741" s="7">
        <f>'1 datos preparados'!Q734</f>
        <v/>
      </c>
      <c r="S741" s="7">
        <f>'1 datos preparados'!R734</f>
        <v/>
      </c>
      <c r="T741" s="7">
        <f>'1 datos preparados'!S734</f>
        <v/>
      </c>
      <c r="U741" s="7">
        <f>'1 datos preparados'!T734</f>
        <v/>
      </c>
      <c r="V741" s="8">
        <f>$AC$12+D741*$AC$13+E741*$AC$14+F741*$AC$15+G741*$AC$16+H741*$AC$17+I741*$AC$18+J741*$AC$19+K741*$AC$20+L741*$AC$21+M741*$AC$22+N741*$AC$23+O741*$AC$24+P741*$AC$25+Q741*$AC$26+R741*$AC$27+S741*$AC$28+T741*$AC$29+U741*$AC$30</f>
        <v/>
      </c>
      <c r="W741" s="8">
        <f>1/(1+EXP(-V741))</f>
        <v/>
      </c>
      <c r="X741" s="9">
        <f>-IF(C741=1,LN(W741),LN(1-W741))</f>
        <v/>
      </c>
      <c r="Y741" s="10">
        <f>IF(W741&gt;$AC$34,1,0)</f>
        <v/>
      </c>
      <c r="Z741">
        <f>IF(Y741=C741,1,0)</f>
        <v/>
      </c>
    </row>
    <row r="742">
      <c r="A742">
        <f>'1 datos preparados'!A735</f>
        <v/>
      </c>
      <c r="B742" s="5">
        <f>'1 datos preparados'!U735</f>
        <v/>
      </c>
      <c r="C742">
        <f>'1 datos preparados'!B735</f>
        <v/>
      </c>
      <c r="D742" s="7">
        <f>'1 datos preparados'!C735</f>
        <v/>
      </c>
      <c r="E742" s="7">
        <f>'1 datos preparados'!D735</f>
        <v/>
      </c>
      <c r="F742" s="7">
        <f>'1 datos preparados'!E735</f>
        <v/>
      </c>
      <c r="G742" s="7">
        <f>'1 datos preparados'!F735</f>
        <v/>
      </c>
      <c r="H742" s="7">
        <f>'1 datos preparados'!G735</f>
        <v/>
      </c>
      <c r="I742" s="7">
        <f>'1 datos preparados'!H735</f>
        <v/>
      </c>
      <c r="J742" s="7">
        <f>'1 datos preparados'!I735</f>
        <v/>
      </c>
      <c r="K742" s="7">
        <f>'1 datos preparados'!J735</f>
        <v/>
      </c>
      <c r="L742" s="7">
        <f>'1 datos preparados'!K735</f>
        <v/>
      </c>
      <c r="M742" s="7">
        <f>'1 datos preparados'!L735</f>
        <v/>
      </c>
      <c r="N742" s="7">
        <f>'1 datos preparados'!M735</f>
        <v/>
      </c>
      <c r="O742" s="7">
        <f>'1 datos preparados'!N735</f>
        <v/>
      </c>
      <c r="P742" s="7">
        <f>'1 datos preparados'!O735</f>
        <v/>
      </c>
      <c r="Q742" s="7">
        <f>'1 datos preparados'!P735</f>
        <v/>
      </c>
      <c r="R742" s="7">
        <f>'1 datos preparados'!Q735</f>
        <v/>
      </c>
      <c r="S742" s="7">
        <f>'1 datos preparados'!R735</f>
        <v/>
      </c>
      <c r="T742" s="7">
        <f>'1 datos preparados'!S735</f>
        <v/>
      </c>
      <c r="U742" s="7">
        <f>'1 datos preparados'!T735</f>
        <v/>
      </c>
      <c r="V742" s="8">
        <f>$AC$12+D742*$AC$13+E742*$AC$14+F742*$AC$15+G742*$AC$16+H742*$AC$17+I742*$AC$18+J742*$AC$19+K742*$AC$20+L742*$AC$21+M742*$AC$22+N742*$AC$23+O742*$AC$24+P742*$AC$25+Q742*$AC$26+R742*$AC$27+S742*$AC$28+T742*$AC$29+U742*$AC$30</f>
        <v/>
      </c>
      <c r="W742" s="8">
        <f>1/(1+EXP(-V742))</f>
        <v/>
      </c>
      <c r="X742" s="9">
        <f>-IF(C742=1,LN(W742),LN(1-W742))</f>
        <v/>
      </c>
      <c r="Y742" s="10">
        <f>IF(W742&gt;$AC$34,1,0)</f>
        <v/>
      </c>
      <c r="Z742">
        <f>IF(Y742=C742,1,0)</f>
        <v/>
      </c>
    </row>
    <row r="743">
      <c r="A743">
        <f>'1 datos preparados'!A736</f>
        <v/>
      </c>
      <c r="B743" s="5">
        <f>'1 datos preparados'!U736</f>
        <v/>
      </c>
      <c r="C743">
        <f>'1 datos preparados'!B736</f>
        <v/>
      </c>
      <c r="D743" s="7">
        <f>'1 datos preparados'!C736</f>
        <v/>
      </c>
      <c r="E743" s="7">
        <f>'1 datos preparados'!D736</f>
        <v/>
      </c>
      <c r="F743" s="7">
        <f>'1 datos preparados'!E736</f>
        <v/>
      </c>
      <c r="G743" s="7">
        <f>'1 datos preparados'!F736</f>
        <v/>
      </c>
      <c r="H743" s="7">
        <f>'1 datos preparados'!G736</f>
        <v/>
      </c>
      <c r="I743" s="7">
        <f>'1 datos preparados'!H736</f>
        <v/>
      </c>
      <c r="J743" s="7">
        <f>'1 datos preparados'!I736</f>
        <v/>
      </c>
      <c r="K743" s="7">
        <f>'1 datos preparados'!J736</f>
        <v/>
      </c>
      <c r="L743" s="7">
        <f>'1 datos preparados'!K736</f>
        <v/>
      </c>
      <c r="M743" s="7">
        <f>'1 datos preparados'!L736</f>
        <v/>
      </c>
      <c r="N743" s="7">
        <f>'1 datos preparados'!M736</f>
        <v/>
      </c>
      <c r="O743" s="7">
        <f>'1 datos preparados'!N736</f>
        <v/>
      </c>
      <c r="P743" s="7">
        <f>'1 datos preparados'!O736</f>
        <v/>
      </c>
      <c r="Q743" s="7">
        <f>'1 datos preparados'!P736</f>
        <v/>
      </c>
      <c r="R743" s="7">
        <f>'1 datos preparados'!Q736</f>
        <v/>
      </c>
      <c r="S743" s="7">
        <f>'1 datos preparados'!R736</f>
        <v/>
      </c>
      <c r="T743" s="7">
        <f>'1 datos preparados'!S736</f>
        <v/>
      </c>
      <c r="U743" s="7">
        <f>'1 datos preparados'!T736</f>
        <v/>
      </c>
      <c r="V743" s="8">
        <f>$AC$12+D743*$AC$13+E743*$AC$14+F743*$AC$15+G743*$AC$16+H743*$AC$17+I743*$AC$18+J743*$AC$19+K743*$AC$20+L743*$AC$21+M743*$AC$22+N743*$AC$23+O743*$AC$24+P743*$AC$25+Q743*$AC$26+R743*$AC$27+S743*$AC$28+T743*$AC$29+U743*$AC$30</f>
        <v/>
      </c>
      <c r="W743" s="8">
        <f>1/(1+EXP(-V743))</f>
        <v/>
      </c>
      <c r="X743" s="9">
        <f>-IF(C743=1,LN(W743),LN(1-W743))</f>
        <v/>
      </c>
      <c r="Y743" s="10">
        <f>IF(W743&gt;$AC$34,1,0)</f>
        <v/>
      </c>
      <c r="Z743">
        <f>IF(Y743=C743,1,0)</f>
        <v/>
      </c>
    </row>
    <row r="744">
      <c r="A744">
        <f>'1 datos preparados'!A737</f>
        <v/>
      </c>
      <c r="B744" s="5">
        <f>'1 datos preparados'!U737</f>
        <v/>
      </c>
      <c r="C744">
        <f>'1 datos preparados'!B737</f>
        <v/>
      </c>
      <c r="D744" s="7">
        <f>'1 datos preparados'!C737</f>
        <v/>
      </c>
      <c r="E744" s="7">
        <f>'1 datos preparados'!D737</f>
        <v/>
      </c>
      <c r="F744" s="7">
        <f>'1 datos preparados'!E737</f>
        <v/>
      </c>
      <c r="G744" s="7">
        <f>'1 datos preparados'!F737</f>
        <v/>
      </c>
      <c r="H744" s="7">
        <f>'1 datos preparados'!G737</f>
        <v/>
      </c>
      <c r="I744" s="7">
        <f>'1 datos preparados'!H737</f>
        <v/>
      </c>
      <c r="J744" s="7">
        <f>'1 datos preparados'!I737</f>
        <v/>
      </c>
      <c r="K744" s="7">
        <f>'1 datos preparados'!J737</f>
        <v/>
      </c>
      <c r="L744" s="7">
        <f>'1 datos preparados'!K737</f>
        <v/>
      </c>
      <c r="M744" s="7">
        <f>'1 datos preparados'!L737</f>
        <v/>
      </c>
      <c r="N744" s="7">
        <f>'1 datos preparados'!M737</f>
        <v/>
      </c>
      <c r="O744" s="7">
        <f>'1 datos preparados'!N737</f>
        <v/>
      </c>
      <c r="P744" s="7">
        <f>'1 datos preparados'!O737</f>
        <v/>
      </c>
      <c r="Q744" s="7">
        <f>'1 datos preparados'!P737</f>
        <v/>
      </c>
      <c r="R744" s="7">
        <f>'1 datos preparados'!Q737</f>
        <v/>
      </c>
      <c r="S744" s="7">
        <f>'1 datos preparados'!R737</f>
        <v/>
      </c>
      <c r="T744" s="7">
        <f>'1 datos preparados'!S737</f>
        <v/>
      </c>
      <c r="U744" s="7">
        <f>'1 datos preparados'!T737</f>
        <v/>
      </c>
      <c r="V744" s="8">
        <f>$AC$12+D744*$AC$13+E744*$AC$14+F744*$AC$15+G744*$AC$16+H744*$AC$17+I744*$AC$18+J744*$AC$19+K744*$AC$20+L744*$AC$21+M744*$AC$22+N744*$AC$23+O744*$AC$24+P744*$AC$25+Q744*$AC$26+R744*$AC$27+S744*$AC$28+T744*$AC$29+U744*$AC$30</f>
        <v/>
      </c>
      <c r="W744" s="8">
        <f>1/(1+EXP(-V744))</f>
        <v/>
      </c>
      <c r="X744" s="9">
        <f>-IF(C744=1,LN(W744),LN(1-W744))</f>
        <v/>
      </c>
      <c r="Y744" s="10">
        <f>IF(W744&gt;$AC$34,1,0)</f>
        <v/>
      </c>
      <c r="Z744">
        <f>IF(Y744=C744,1,0)</f>
        <v/>
      </c>
    </row>
    <row r="745">
      <c r="A745">
        <f>'1 datos preparados'!A738</f>
        <v/>
      </c>
      <c r="B745" s="5">
        <f>'1 datos preparados'!U738</f>
        <v/>
      </c>
      <c r="C745">
        <f>'1 datos preparados'!B738</f>
        <v/>
      </c>
      <c r="D745" s="7">
        <f>'1 datos preparados'!C738</f>
        <v/>
      </c>
      <c r="E745" s="7">
        <f>'1 datos preparados'!D738</f>
        <v/>
      </c>
      <c r="F745" s="7">
        <f>'1 datos preparados'!E738</f>
        <v/>
      </c>
      <c r="G745" s="7">
        <f>'1 datos preparados'!F738</f>
        <v/>
      </c>
      <c r="H745" s="7">
        <f>'1 datos preparados'!G738</f>
        <v/>
      </c>
      <c r="I745" s="7">
        <f>'1 datos preparados'!H738</f>
        <v/>
      </c>
      <c r="J745" s="7">
        <f>'1 datos preparados'!I738</f>
        <v/>
      </c>
      <c r="K745" s="7">
        <f>'1 datos preparados'!J738</f>
        <v/>
      </c>
      <c r="L745" s="7">
        <f>'1 datos preparados'!K738</f>
        <v/>
      </c>
      <c r="M745" s="7">
        <f>'1 datos preparados'!L738</f>
        <v/>
      </c>
      <c r="N745" s="7">
        <f>'1 datos preparados'!M738</f>
        <v/>
      </c>
      <c r="O745" s="7">
        <f>'1 datos preparados'!N738</f>
        <v/>
      </c>
      <c r="P745" s="7">
        <f>'1 datos preparados'!O738</f>
        <v/>
      </c>
      <c r="Q745" s="7">
        <f>'1 datos preparados'!P738</f>
        <v/>
      </c>
      <c r="R745" s="7">
        <f>'1 datos preparados'!Q738</f>
        <v/>
      </c>
      <c r="S745" s="7">
        <f>'1 datos preparados'!R738</f>
        <v/>
      </c>
      <c r="T745" s="7">
        <f>'1 datos preparados'!S738</f>
        <v/>
      </c>
      <c r="U745" s="7">
        <f>'1 datos preparados'!T738</f>
        <v/>
      </c>
      <c r="V745" s="8">
        <f>$AC$12+D745*$AC$13+E745*$AC$14+F745*$AC$15+G745*$AC$16+H745*$AC$17+I745*$AC$18+J745*$AC$19+K745*$AC$20+L745*$AC$21+M745*$AC$22+N745*$AC$23+O745*$AC$24+P745*$AC$25+Q745*$AC$26+R745*$AC$27+S745*$AC$28+T745*$AC$29+U745*$AC$30</f>
        <v/>
      </c>
      <c r="W745" s="8">
        <f>1/(1+EXP(-V745))</f>
        <v/>
      </c>
      <c r="X745" s="9">
        <f>-IF(C745=1,LN(W745),LN(1-W745))</f>
        <v/>
      </c>
      <c r="Y745" s="10">
        <f>IF(W745&gt;$AC$34,1,0)</f>
        <v/>
      </c>
      <c r="Z745">
        <f>IF(Y745=C745,1,0)</f>
        <v/>
      </c>
    </row>
    <row r="746">
      <c r="A746">
        <f>'1 datos preparados'!A739</f>
        <v/>
      </c>
      <c r="B746" s="5">
        <f>'1 datos preparados'!U739</f>
        <v/>
      </c>
      <c r="C746">
        <f>'1 datos preparados'!B739</f>
        <v/>
      </c>
      <c r="D746" s="7">
        <f>'1 datos preparados'!C739</f>
        <v/>
      </c>
      <c r="E746" s="7">
        <f>'1 datos preparados'!D739</f>
        <v/>
      </c>
      <c r="F746" s="7">
        <f>'1 datos preparados'!E739</f>
        <v/>
      </c>
      <c r="G746" s="7">
        <f>'1 datos preparados'!F739</f>
        <v/>
      </c>
      <c r="H746" s="7">
        <f>'1 datos preparados'!G739</f>
        <v/>
      </c>
      <c r="I746" s="7">
        <f>'1 datos preparados'!H739</f>
        <v/>
      </c>
      <c r="J746" s="7">
        <f>'1 datos preparados'!I739</f>
        <v/>
      </c>
      <c r="K746" s="7">
        <f>'1 datos preparados'!J739</f>
        <v/>
      </c>
      <c r="L746" s="7">
        <f>'1 datos preparados'!K739</f>
        <v/>
      </c>
      <c r="M746" s="7">
        <f>'1 datos preparados'!L739</f>
        <v/>
      </c>
      <c r="N746" s="7">
        <f>'1 datos preparados'!M739</f>
        <v/>
      </c>
      <c r="O746" s="7">
        <f>'1 datos preparados'!N739</f>
        <v/>
      </c>
      <c r="P746" s="7">
        <f>'1 datos preparados'!O739</f>
        <v/>
      </c>
      <c r="Q746" s="7">
        <f>'1 datos preparados'!P739</f>
        <v/>
      </c>
      <c r="R746" s="7">
        <f>'1 datos preparados'!Q739</f>
        <v/>
      </c>
      <c r="S746" s="7">
        <f>'1 datos preparados'!R739</f>
        <v/>
      </c>
      <c r="T746" s="7">
        <f>'1 datos preparados'!S739</f>
        <v/>
      </c>
      <c r="U746" s="7">
        <f>'1 datos preparados'!T739</f>
        <v/>
      </c>
      <c r="V746" s="8">
        <f>$AC$12+D746*$AC$13+E746*$AC$14+F746*$AC$15+G746*$AC$16+H746*$AC$17+I746*$AC$18+J746*$AC$19+K746*$AC$20+L746*$AC$21+M746*$AC$22+N746*$AC$23+O746*$AC$24+P746*$AC$25+Q746*$AC$26+R746*$AC$27+S746*$AC$28+T746*$AC$29+U746*$AC$30</f>
        <v/>
      </c>
      <c r="W746" s="8">
        <f>1/(1+EXP(-V746))</f>
        <v/>
      </c>
      <c r="X746" s="9">
        <f>-IF(C746=1,LN(W746),LN(1-W746))</f>
        <v/>
      </c>
      <c r="Y746" s="10">
        <f>IF(W746&gt;$AC$34,1,0)</f>
        <v/>
      </c>
      <c r="Z746">
        <f>IF(Y746=C746,1,0)</f>
        <v/>
      </c>
    </row>
    <row r="747">
      <c r="A747">
        <f>'1 datos preparados'!A740</f>
        <v/>
      </c>
      <c r="B747" s="5">
        <f>'1 datos preparados'!U740</f>
        <v/>
      </c>
      <c r="C747">
        <f>'1 datos preparados'!B740</f>
        <v/>
      </c>
      <c r="D747" s="7">
        <f>'1 datos preparados'!C740</f>
        <v/>
      </c>
      <c r="E747" s="7">
        <f>'1 datos preparados'!D740</f>
        <v/>
      </c>
      <c r="F747" s="7">
        <f>'1 datos preparados'!E740</f>
        <v/>
      </c>
      <c r="G747" s="7">
        <f>'1 datos preparados'!F740</f>
        <v/>
      </c>
      <c r="H747" s="7">
        <f>'1 datos preparados'!G740</f>
        <v/>
      </c>
      <c r="I747" s="7">
        <f>'1 datos preparados'!H740</f>
        <v/>
      </c>
      <c r="J747" s="7">
        <f>'1 datos preparados'!I740</f>
        <v/>
      </c>
      <c r="K747" s="7">
        <f>'1 datos preparados'!J740</f>
        <v/>
      </c>
      <c r="L747" s="7">
        <f>'1 datos preparados'!K740</f>
        <v/>
      </c>
      <c r="M747" s="7">
        <f>'1 datos preparados'!L740</f>
        <v/>
      </c>
      <c r="N747" s="7">
        <f>'1 datos preparados'!M740</f>
        <v/>
      </c>
      <c r="O747" s="7">
        <f>'1 datos preparados'!N740</f>
        <v/>
      </c>
      <c r="P747" s="7">
        <f>'1 datos preparados'!O740</f>
        <v/>
      </c>
      <c r="Q747" s="7">
        <f>'1 datos preparados'!P740</f>
        <v/>
      </c>
      <c r="R747" s="7">
        <f>'1 datos preparados'!Q740</f>
        <v/>
      </c>
      <c r="S747" s="7">
        <f>'1 datos preparados'!R740</f>
        <v/>
      </c>
      <c r="T747" s="7">
        <f>'1 datos preparados'!S740</f>
        <v/>
      </c>
      <c r="U747" s="7">
        <f>'1 datos preparados'!T740</f>
        <v/>
      </c>
      <c r="V747" s="8">
        <f>$AC$12+D747*$AC$13+E747*$AC$14+F747*$AC$15+G747*$AC$16+H747*$AC$17+I747*$AC$18+J747*$AC$19+K747*$AC$20+L747*$AC$21+M747*$AC$22+N747*$AC$23+O747*$AC$24+P747*$AC$25+Q747*$AC$26+R747*$AC$27+S747*$AC$28+T747*$AC$29+U747*$AC$30</f>
        <v/>
      </c>
      <c r="W747" s="8">
        <f>1/(1+EXP(-V747))</f>
        <v/>
      </c>
      <c r="X747" s="9">
        <f>-IF(C747=1,LN(W747),LN(1-W747))</f>
        <v/>
      </c>
      <c r="Y747" s="10">
        <f>IF(W747&gt;$AC$34,1,0)</f>
        <v/>
      </c>
      <c r="Z747">
        <f>IF(Y747=C747,1,0)</f>
        <v/>
      </c>
    </row>
    <row r="748">
      <c r="A748">
        <f>'1 datos preparados'!A741</f>
        <v/>
      </c>
      <c r="B748" s="5">
        <f>'1 datos preparados'!U741</f>
        <v/>
      </c>
      <c r="C748">
        <f>'1 datos preparados'!B741</f>
        <v/>
      </c>
      <c r="D748" s="7">
        <f>'1 datos preparados'!C741</f>
        <v/>
      </c>
      <c r="E748" s="7">
        <f>'1 datos preparados'!D741</f>
        <v/>
      </c>
      <c r="F748" s="7">
        <f>'1 datos preparados'!E741</f>
        <v/>
      </c>
      <c r="G748" s="7">
        <f>'1 datos preparados'!F741</f>
        <v/>
      </c>
      <c r="H748" s="7">
        <f>'1 datos preparados'!G741</f>
        <v/>
      </c>
      <c r="I748" s="7">
        <f>'1 datos preparados'!H741</f>
        <v/>
      </c>
      <c r="J748" s="7">
        <f>'1 datos preparados'!I741</f>
        <v/>
      </c>
      <c r="K748" s="7">
        <f>'1 datos preparados'!J741</f>
        <v/>
      </c>
      <c r="L748" s="7">
        <f>'1 datos preparados'!K741</f>
        <v/>
      </c>
      <c r="M748" s="7">
        <f>'1 datos preparados'!L741</f>
        <v/>
      </c>
      <c r="N748" s="7">
        <f>'1 datos preparados'!M741</f>
        <v/>
      </c>
      <c r="O748" s="7">
        <f>'1 datos preparados'!N741</f>
        <v/>
      </c>
      <c r="P748" s="7">
        <f>'1 datos preparados'!O741</f>
        <v/>
      </c>
      <c r="Q748" s="7">
        <f>'1 datos preparados'!P741</f>
        <v/>
      </c>
      <c r="R748" s="7">
        <f>'1 datos preparados'!Q741</f>
        <v/>
      </c>
      <c r="S748" s="7">
        <f>'1 datos preparados'!R741</f>
        <v/>
      </c>
      <c r="T748" s="7">
        <f>'1 datos preparados'!S741</f>
        <v/>
      </c>
      <c r="U748" s="7">
        <f>'1 datos preparados'!T741</f>
        <v/>
      </c>
      <c r="V748" s="8">
        <f>$AC$12+D748*$AC$13+E748*$AC$14+F748*$AC$15+G748*$AC$16+H748*$AC$17+I748*$AC$18+J748*$AC$19+K748*$AC$20+L748*$AC$21+M748*$AC$22+N748*$AC$23+O748*$AC$24+P748*$AC$25+Q748*$AC$26+R748*$AC$27+S748*$AC$28+T748*$AC$29+U748*$AC$30</f>
        <v/>
      </c>
      <c r="W748" s="8">
        <f>1/(1+EXP(-V748))</f>
        <v/>
      </c>
      <c r="X748" s="9">
        <f>-IF(C748=1,LN(W748),LN(1-W748))</f>
        <v/>
      </c>
      <c r="Y748" s="10">
        <f>IF(W748&gt;$AC$34,1,0)</f>
        <v/>
      </c>
      <c r="Z748">
        <f>IF(Y748=C748,1,0)</f>
        <v/>
      </c>
    </row>
    <row r="749">
      <c r="A749">
        <f>'1 datos preparados'!A742</f>
        <v/>
      </c>
      <c r="B749" s="5">
        <f>'1 datos preparados'!U742</f>
        <v/>
      </c>
      <c r="C749">
        <f>'1 datos preparados'!B742</f>
        <v/>
      </c>
      <c r="D749" s="7">
        <f>'1 datos preparados'!C742</f>
        <v/>
      </c>
      <c r="E749" s="7">
        <f>'1 datos preparados'!D742</f>
        <v/>
      </c>
      <c r="F749" s="7">
        <f>'1 datos preparados'!E742</f>
        <v/>
      </c>
      <c r="G749" s="7">
        <f>'1 datos preparados'!F742</f>
        <v/>
      </c>
      <c r="H749" s="7">
        <f>'1 datos preparados'!G742</f>
        <v/>
      </c>
      <c r="I749" s="7">
        <f>'1 datos preparados'!H742</f>
        <v/>
      </c>
      <c r="J749" s="7">
        <f>'1 datos preparados'!I742</f>
        <v/>
      </c>
      <c r="K749" s="7">
        <f>'1 datos preparados'!J742</f>
        <v/>
      </c>
      <c r="L749" s="7">
        <f>'1 datos preparados'!K742</f>
        <v/>
      </c>
      <c r="M749" s="7">
        <f>'1 datos preparados'!L742</f>
        <v/>
      </c>
      <c r="N749" s="7">
        <f>'1 datos preparados'!M742</f>
        <v/>
      </c>
      <c r="O749" s="7">
        <f>'1 datos preparados'!N742</f>
        <v/>
      </c>
      <c r="P749" s="7">
        <f>'1 datos preparados'!O742</f>
        <v/>
      </c>
      <c r="Q749" s="7">
        <f>'1 datos preparados'!P742</f>
        <v/>
      </c>
      <c r="R749" s="7">
        <f>'1 datos preparados'!Q742</f>
        <v/>
      </c>
      <c r="S749" s="7">
        <f>'1 datos preparados'!R742</f>
        <v/>
      </c>
      <c r="T749" s="7">
        <f>'1 datos preparados'!S742</f>
        <v/>
      </c>
      <c r="U749" s="7">
        <f>'1 datos preparados'!T742</f>
        <v/>
      </c>
      <c r="V749" s="8">
        <f>$AC$12+D749*$AC$13+E749*$AC$14+F749*$AC$15+G749*$AC$16+H749*$AC$17+I749*$AC$18+J749*$AC$19+K749*$AC$20+L749*$AC$21+M749*$AC$22+N749*$AC$23+O749*$AC$24+P749*$AC$25+Q749*$AC$26+R749*$AC$27+S749*$AC$28+T749*$AC$29+U749*$AC$30</f>
        <v/>
      </c>
      <c r="W749" s="8">
        <f>1/(1+EXP(-V749))</f>
        <v/>
      </c>
      <c r="X749" s="9">
        <f>-IF(C749=1,LN(W749),LN(1-W749))</f>
        <v/>
      </c>
      <c r="Y749" s="10">
        <f>IF(W749&gt;$AC$34,1,0)</f>
        <v/>
      </c>
      <c r="Z749">
        <f>IF(Y749=C749,1,0)</f>
        <v/>
      </c>
    </row>
    <row r="750">
      <c r="A750">
        <f>'1 datos preparados'!A743</f>
        <v/>
      </c>
      <c r="B750" s="5">
        <f>'1 datos preparados'!U743</f>
        <v/>
      </c>
      <c r="C750">
        <f>'1 datos preparados'!B743</f>
        <v/>
      </c>
      <c r="D750" s="7">
        <f>'1 datos preparados'!C743</f>
        <v/>
      </c>
      <c r="E750" s="7">
        <f>'1 datos preparados'!D743</f>
        <v/>
      </c>
      <c r="F750" s="7">
        <f>'1 datos preparados'!E743</f>
        <v/>
      </c>
      <c r="G750" s="7">
        <f>'1 datos preparados'!F743</f>
        <v/>
      </c>
      <c r="H750" s="7">
        <f>'1 datos preparados'!G743</f>
        <v/>
      </c>
      <c r="I750" s="7">
        <f>'1 datos preparados'!H743</f>
        <v/>
      </c>
      <c r="J750" s="7">
        <f>'1 datos preparados'!I743</f>
        <v/>
      </c>
      <c r="K750" s="7">
        <f>'1 datos preparados'!J743</f>
        <v/>
      </c>
      <c r="L750" s="7">
        <f>'1 datos preparados'!K743</f>
        <v/>
      </c>
      <c r="M750" s="7">
        <f>'1 datos preparados'!L743</f>
        <v/>
      </c>
      <c r="N750" s="7">
        <f>'1 datos preparados'!M743</f>
        <v/>
      </c>
      <c r="O750" s="7">
        <f>'1 datos preparados'!N743</f>
        <v/>
      </c>
      <c r="P750" s="7">
        <f>'1 datos preparados'!O743</f>
        <v/>
      </c>
      <c r="Q750" s="7">
        <f>'1 datos preparados'!P743</f>
        <v/>
      </c>
      <c r="R750" s="7">
        <f>'1 datos preparados'!Q743</f>
        <v/>
      </c>
      <c r="S750" s="7">
        <f>'1 datos preparados'!R743</f>
        <v/>
      </c>
      <c r="T750" s="7">
        <f>'1 datos preparados'!S743</f>
        <v/>
      </c>
      <c r="U750" s="7">
        <f>'1 datos preparados'!T743</f>
        <v/>
      </c>
      <c r="V750" s="8">
        <f>$AC$12+D750*$AC$13+E750*$AC$14+F750*$AC$15+G750*$AC$16+H750*$AC$17+I750*$AC$18+J750*$AC$19+K750*$AC$20+L750*$AC$21+M750*$AC$22+N750*$AC$23+O750*$AC$24+P750*$AC$25+Q750*$AC$26+R750*$AC$27+S750*$AC$28+T750*$AC$29+U750*$AC$30</f>
        <v/>
      </c>
      <c r="W750" s="8">
        <f>1/(1+EXP(-V750))</f>
        <v/>
      </c>
      <c r="X750" s="9">
        <f>-IF(C750=1,LN(W750),LN(1-W750))</f>
        <v/>
      </c>
      <c r="Y750" s="10">
        <f>IF(W750&gt;$AC$34,1,0)</f>
        <v/>
      </c>
      <c r="Z750">
        <f>IF(Y750=C750,1,0)</f>
        <v/>
      </c>
    </row>
    <row r="751">
      <c r="A751">
        <f>'1 datos preparados'!A744</f>
        <v/>
      </c>
      <c r="B751" s="5">
        <f>'1 datos preparados'!U744</f>
        <v/>
      </c>
      <c r="C751">
        <f>'1 datos preparados'!B744</f>
        <v/>
      </c>
      <c r="D751" s="7">
        <f>'1 datos preparados'!C744</f>
        <v/>
      </c>
      <c r="E751" s="7">
        <f>'1 datos preparados'!D744</f>
        <v/>
      </c>
      <c r="F751" s="7">
        <f>'1 datos preparados'!E744</f>
        <v/>
      </c>
      <c r="G751" s="7">
        <f>'1 datos preparados'!F744</f>
        <v/>
      </c>
      <c r="H751" s="7">
        <f>'1 datos preparados'!G744</f>
        <v/>
      </c>
      <c r="I751" s="7">
        <f>'1 datos preparados'!H744</f>
        <v/>
      </c>
      <c r="J751" s="7">
        <f>'1 datos preparados'!I744</f>
        <v/>
      </c>
      <c r="K751" s="7">
        <f>'1 datos preparados'!J744</f>
        <v/>
      </c>
      <c r="L751" s="7">
        <f>'1 datos preparados'!K744</f>
        <v/>
      </c>
      <c r="M751" s="7">
        <f>'1 datos preparados'!L744</f>
        <v/>
      </c>
      <c r="N751" s="7">
        <f>'1 datos preparados'!M744</f>
        <v/>
      </c>
      <c r="O751" s="7">
        <f>'1 datos preparados'!N744</f>
        <v/>
      </c>
      <c r="P751" s="7">
        <f>'1 datos preparados'!O744</f>
        <v/>
      </c>
      <c r="Q751" s="7">
        <f>'1 datos preparados'!P744</f>
        <v/>
      </c>
      <c r="R751" s="7">
        <f>'1 datos preparados'!Q744</f>
        <v/>
      </c>
      <c r="S751" s="7">
        <f>'1 datos preparados'!R744</f>
        <v/>
      </c>
      <c r="T751" s="7">
        <f>'1 datos preparados'!S744</f>
        <v/>
      </c>
      <c r="U751" s="7">
        <f>'1 datos preparados'!T744</f>
        <v/>
      </c>
      <c r="V751" s="8">
        <f>$AC$12+D751*$AC$13+E751*$AC$14+F751*$AC$15+G751*$AC$16+H751*$AC$17+I751*$AC$18+J751*$AC$19+K751*$AC$20+L751*$AC$21+M751*$AC$22+N751*$AC$23+O751*$AC$24+P751*$AC$25+Q751*$AC$26+R751*$AC$27+S751*$AC$28+T751*$AC$29+U751*$AC$30</f>
        <v/>
      </c>
      <c r="W751" s="8">
        <f>1/(1+EXP(-V751))</f>
        <v/>
      </c>
      <c r="X751" s="9">
        <f>-IF(C751=1,LN(W751),LN(1-W751))</f>
        <v/>
      </c>
      <c r="Y751" s="10">
        <f>IF(W751&gt;$AC$34,1,0)</f>
        <v/>
      </c>
      <c r="Z751">
        <f>IF(Y751=C751,1,0)</f>
        <v/>
      </c>
    </row>
    <row r="752">
      <c r="A752">
        <f>'1 datos preparados'!A745</f>
        <v/>
      </c>
      <c r="B752" s="5">
        <f>'1 datos preparados'!U745</f>
        <v/>
      </c>
      <c r="C752">
        <f>'1 datos preparados'!B745</f>
        <v/>
      </c>
      <c r="D752" s="7">
        <f>'1 datos preparados'!C745</f>
        <v/>
      </c>
      <c r="E752" s="7">
        <f>'1 datos preparados'!D745</f>
        <v/>
      </c>
      <c r="F752" s="7">
        <f>'1 datos preparados'!E745</f>
        <v/>
      </c>
      <c r="G752" s="7">
        <f>'1 datos preparados'!F745</f>
        <v/>
      </c>
      <c r="H752" s="7">
        <f>'1 datos preparados'!G745</f>
        <v/>
      </c>
      <c r="I752" s="7">
        <f>'1 datos preparados'!H745</f>
        <v/>
      </c>
      <c r="J752" s="7">
        <f>'1 datos preparados'!I745</f>
        <v/>
      </c>
      <c r="K752" s="7">
        <f>'1 datos preparados'!J745</f>
        <v/>
      </c>
      <c r="L752" s="7">
        <f>'1 datos preparados'!K745</f>
        <v/>
      </c>
      <c r="M752" s="7">
        <f>'1 datos preparados'!L745</f>
        <v/>
      </c>
      <c r="N752" s="7">
        <f>'1 datos preparados'!M745</f>
        <v/>
      </c>
      <c r="O752" s="7">
        <f>'1 datos preparados'!N745</f>
        <v/>
      </c>
      <c r="P752" s="7">
        <f>'1 datos preparados'!O745</f>
        <v/>
      </c>
      <c r="Q752" s="7">
        <f>'1 datos preparados'!P745</f>
        <v/>
      </c>
      <c r="R752" s="7">
        <f>'1 datos preparados'!Q745</f>
        <v/>
      </c>
      <c r="S752" s="7">
        <f>'1 datos preparados'!R745</f>
        <v/>
      </c>
      <c r="T752" s="7">
        <f>'1 datos preparados'!S745</f>
        <v/>
      </c>
      <c r="U752" s="7">
        <f>'1 datos preparados'!T745</f>
        <v/>
      </c>
      <c r="V752" s="8">
        <f>$AC$12+D752*$AC$13+E752*$AC$14+F752*$AC$15+G752*$AC$16+H752*$AC$17+I752*$AC$18+J752*$AC$19+K752*$AC$20+L752*$AC$21+M752*$AC$22+N752*$AC$23+O752*$AC$24+P752*$AC$25+Q752*$AC$26+R752*$AC$27+S752*$AC$28+T752*$AC$29+U752*$AC$30</f>
        <v/>
      </c>
      <c r="W752" s="8">
        <f>1/(1+EXP(-V752))</f>
        <v/>
      </c>
      <c r="X752" s="9">
        <f>-IF(C752=1,LN(W752),LN(1-W752))</f>
        <v/>
      </c>
      <c r="Y752" s="10">
        <f>IF(W752&gt;$AC$34,1,0)</f>
        <v/>
      </c>
      <c r="Z752">
        <f>IF(Y752=C752,1,0)</f>
        <v/>
      </c>
    </row>
    <row r="753">
      <c r="A753">
        <f>'1 datos preparados'!A746</f>
        <v/>
      </c>
      <c r="B753" s="5">
        <f>'1 datos preparados'!U746</f>
        <v/>
      </c>
      <c r="C753">
        <f>'1 datos preparados'!B746</f>
        <v/>
      </c>
      <c r="D753" s="7">
        <f>'1 datos preparados'!C746</f>
        <v/>
      </c>
      <c r="E753" s="7">
        <f>'1 datos preparados'!D746</f>
        <v/>
      </c>
      <c r="F753" s="7">
        <f>'1 datos preparados'!E746</f>
        <v/>
      </c>
      <c r="G753" s="7">
        <f>'1 datos preparados'!F746</f>
        <v/>
      </c>
      <c r="H753" s="7">
        <f>'1 datos preparados'!G746</f>
        <v/>
      </c>
      <c r="I753" s="7">
        <f>'1 datos preparados'!H746</f>
        <v/>
      </c>
      <c r="J753" s="7">
        <f>'1 datos preparados'!I746</f>
        <v/>
      </c>
      <c r="K753" s="7">
        <f>'1 datos preparados'!J746</f>
        <v/>
      </c>
      <c r="L753" s="7">
        <f>'1 datos preparados'!K746</f>
        <v/>
      </c>
      <c r="M753" s="7">
        <f>'1 datos preparados'!L746</f>
        <v/>
      </c>
      <c r="N753" s="7">
        <f>'1 datos preparados'!M746</f>
        <v/>
      </c>
      <c r="O753" s="7">
        <f>'1 datos preparados'!N746</f>
        <v/>
      </c>
      <c r="P753" s="7">
        <f>'1 datos preparados'!O746</f>
        <v/>
      </c>
      <c r="Q753" s="7">
        <f>'1 datos preparados'!P746</f>
        <v/>
      </c>
      <c r="R753" s="7">
        <f>'1 datos preparados'!Q746</f>
        <v/>
      </c>
      <c r="S753" s="7">
        <f>'1 datos preparados'!R746</f>
        <v/>
      </c>
      <c r="T753" s="7">
        <f>'1 datos preparados'!S746</f>
        <v/>
      </c>
      <c r="U753" s="7">
        <f>'1 datos preparados'!T746</f>
        <v/>
      </c>
      <c r="V753" s="8">
        <f>$AC$12+D753*$AC$13+E753*$AC$14+F753*$AC$15+G753*$AC$16+H753*$AC$17+I753*$AC$18+J753*$AC$19+K753*$AC$20+L753*$AC$21+M753*$AC$22+N753*$AC$23+O753*$AC$24+P753*$AC$25+Q753*$AC$26+R753*$AC$27+S753*$AC$28+T753*$AC$29+U753*$AC$30</f>
        <v/>
      </c>
      <c r="W753" s="8">
        <f>1/(1+EXP(-V753))</f>
        <v/>
      </c>
      <c r="X753" s="9">
        <f>-IF(C753=1,LN(W753),LN(1-W753))</f>
        <v/>
      </c>
      <c r="Y753" s="10">
        <f>IF(W753&gt;$AC$34,1,0)</f>
        <v/>
      </c>
      <c r="Z753">
        <f>IF(Y753=C753,1,0)</f>
        <v/>
      </c>
    </row>
    <row r="754">
      <c r="A754">
        <f>'1 datos preparados'!A747</f>
        <v/>
      </c>
      <c r="B754" s="5">
        <f>'1 datos preparados'!U747</f>
        <v/>
      </c>
      <c r="C754">
        <f>'1 datos preparados'!B747</f>
        <v/>
      </c>
      <c r="D754" s="7">
        <f>'1 datos preparados'!C747</f>
        <v/>
      </c>
      <c r="E754" s="7">
        <f>'1 datos preparados'!D747</f>
        <v/>
      </c>
      <c r="F754" s="7">
        <f>'1 datos preparados'!E747</f>
        <v/>
      </c>
      <c r="G754" s="7">
        <f>'1 datos preparados'!F747</f>
        <v/>
      </c>
      <c r="H754" s="7">
        <f>'1 datos preparados'!G747</f>
        <v/>
      </c>
      <c r="I754" s="7">
        <f>'1 datos preparados'!H747</f>
        <v/>
      </c>
      <c r="J754" s="7">
        <f>'1 datos preparados'!I747</f>
        <v/>
      </c>
      <c r="K754" s="7">
        <f>'1 datos preparados'!J747</f>
        <v/>
      </c>
      <c r="L754" s="7">
        <f>'1 datos preparados'!K747</f>
        <v/>
      </c>
      <c r="M754" s="7">
        <f>'1 datos preparados'!L747</f>
        <v/>
      </c>
      <c r="N754" s="7">
        <f>'1 datos preparados'!M747</f>
        <v/>
      </c>
      <c r="O754" s="7">
        <f>'1 datos preparados'!N747</f>
        <v/>
      </c>
      <c r="P754" s="7">
        <f>'1 datos preparados'!O747</f>
        <v/>
      </c>
      <c r="Q754" s="7">
        <f>'1 datos preparados'!P747</f>
        <v/>
      </c>
      <c r="R754" s="7">
        <f>'1 datos preparados'!Q747</f>
        <v/>
      </c>
      <c r="S754" s="7">
        <f>'1 datos preparados'!R747</f>
        <v/>
      </c>
      <c r="T754" s="7">
        <f>'1 datos preparados'!S747</f>
        <v/>
      </c>
      <c r="U754" s="7">
        <f>'1 datos preparados'!T747</f>
        <v/>
      </c>
      <c r="V754" s="8">
        <f>$AC$12+D754*$AC$13+E754*$AC$14+F754*$AC$15+G754*$AC$16+H754*$AC$17+I754*$AC$18+J754*$AC$19+K754*$AC$20+L754*$AC$21+M754*$AC$22+N754*$AC$23+O754*$AC$24+P754*$AC$25+Q754*$AC$26+R754*$AC$27+S754*$AC$28+T754*$AC$29+U754*$AC$30</f>
        <v/>
      </c>
      <c r="W754" s="8">
        <f>1/(1+EXP(-V754))</f>
        <v/>
      </c>
      <c r="X754" s="9">
        <f>-IF(C754=1,LN(W754),LN(1-W754))</f>
        <v/>
      </c>
      <c r="Y754" s="10">
        <f>IF(W754&gt;$AC$34,1,0)</f>
        <v/>
      </c>
      <c r="Z754">
        <f>IF(Y754=C754,1,0)</f>
        <v/>
      </c>
    </row>
    <row r="755">
      <c r="A755">
        <f>'1 datos preparados'!A748</f>
        <v/>
      </c>
      <c r="B755" s="5">
        <f>'1 datos preparados'!U748</f>
        <v/>
      </c>
      <c r="C755">
        <f>'1 datos preparados'!B748</f>
        <v/>
      </c>
      <c r="D755" s="7">
        <f>'1 datos preparados'!C748</f>
        <v/>
      </c>
      <c r="E755" s="7">
        <f>'1 datos preparados'!D748</f>
        <v/>
      </c>
      <c r="F755" s="7">
        <f>'1 datos preparados'!E748</f>
        <v/>
      </c>
      <c r="G755" s="7">
        <f>'1 datos preparados'!F748</f>
        <v/>
      </c>
      <c r="H755" s="7">
        <f>'1 datos preparados'!G748</f>
        <v/>
      </c>
      <c r="I755" s="7">
        <f>'1 datos preparados'!H748</f>
        <v/>
      </c>
      <c r="J755" s="7">
        <f>'1 datos preparados'!I748</f>
        <v/>
      </c>
      <c r="K755" s="7">
        <f>'1 datos preparados'!J748</f>
        <v/>
      </c>
      <c r="L755" s="7">
        <f>'1 datos preparados'!K748</f>
        <v/>
      </c>
      <c r="M755" s="7">
        <f>'1 datos preparados'!L748</f>
        <v/>
      </c>
      <c r="N755" s="7">
        <f>'1 datos preparados'!M748</f>
        <v/>
      </c>
      <c r="O755" s="7">
        <f>'1 datos preparados'!N748</f>
        <v/>
      </c>
      <c r="P755" s="7">
        <f>'1 datos preparados'!O748</f>
        <v/>
      </c>
      <c r="Q755" s="7">
        <f>'1 datos preparados'!P748</f>
        <v/>
      </c>
      <c r="R755" s="7">
        <f>'1 datos preparados'!Q748</f>
        <v/>
      </c>
      <c r="S755" s="7">
        <f>'1 datos preparados'!R748</f>
        <v/>
      </c>
      <c r="T755" s="7">
        <f>'1 datos preparados'!S748</f>
        <v/>
      </c>
      <c r="U755" s="7">
        <f>'1 datos preparados'!T748</f>
        <v/>
      </c>
      <c r="V755" s="8">
        <f>$AC$12+D755*$AC$13+E755*$AC$14+F755*$AC$15+G755*$AC$16+H755*$AC$17+I755*$AC$18+J755*$AC$19+K755*$AC$20+L755*$AC$21+M755*$AC$22+N755*$AC$23+O755*$AC$24+P755*$AC$25+Q755*$AC$26+R755*$AC$27+S755*$AC$28+T755*$AC$29+U755*$AC$30</f>
        <v/>
      </c>
      <c r="W755" s="8">
        <f>1/(1+EXP(-V755))</f>
        <v/>
      </c>
      <c r="X755" s="9">
        <f>-IF(C755=1,LN(W755),LN(1-W755))</f>
        <v/>
      </c>
      <c r="Y755" s="10">
        <f>IF(W755&gt;$AC$34,1,0)</f>
        <v/>
      </c>
      <c r="Z755">
        <f>IF(Y755=C755,1,0)</f>
        <v/>
      </c>
    </row>
    <row r="756">
      <c r="A756">
        <f>'1 datos preparados'!A749</f>
        <v/>
      </c>
      <c r="B756" s="5">
        <f>'1 datos preparados'!U749</f>
        <v/>
      </c>
      <c r="C756">
        <f>'1 datos preparados'!B749</f>
        <v/>
      </c>
      <c r="D756" s="7">
        <f>'1 datos preparados'!C749</f>
        <v/>
      </c>
      <c r="E756" s="7">
        <f>'1 datos preparados'!D749</f>
        <v/>
      </c>
      <c r="F756" s="7">
        <f>'1 datos preparados'!E749</f>
        <v/>
      </c>
      <c r="G756" s="7">
        <f>'1 datos preparados'!F749</f>
        <v/>
      </c>
      <c r="H756" s="7">
        <f>'1 datos preparados'!G749</f>
        <v/>
      </c>
      <c r="I756" s="7">
        <f>'1 datos preparados'!H749</f>
        <v/>
      </c>
      <c r="J756" s="7">
        <f>'1 datos preparados'!I749</f>
        <v/>
      </c>
      <c r="K756" s="7">
        <f>'1 datos preparados'!J749</f>
        <v/>
      </c>
      <c r="L756" s="7">
        <f>'1 datos preparados'!K749</f>
        <v/>
      </c>
      <c r="M756" s="7">
        <f>'1 datos preparados'!L749</f>
        <v/>
      </c>
      <c r="N756" s="7">
        <f>'1 datos preparados'!M749</f>
        <v/>
      </c>
      <c r="O756" s="7">
        <f>'1 datos preparados'!N749</f>
        <v/>
      </c>
      <c r="P756" s="7">
        <f>'1 datos preparados'!O749</f>
        <v/>
      </c>
      <c r="Q756" s="7">
        <f>'1 datos preparados'!P749</f>
        <v/>
      </c>
      <c r="R756" s="7">
        <f>'1 datos preparados'!Q749</f>
        <v/>
      </c>
      <c r="S756" s="7">
        <f>'1 datos preparados'!R749</f>
        <v/>
      </c>
      <c r="T756" s="7">
        <f>'1 datos preparados'!S749</f>
        <v/>
      </c>
      <c r="U756" s="7">
        <f>'1 datos preparados'!T749</f>
        <v/>
      </c>
      <c r="V756" s="8">
        <f>$AC$12+D756*$AC$13+E756*$AC$14+F756*$AC$15+G756*$AC$16+H756*$AC$17+I756*$AC$18+J756*$AC$19+K756*$AC$20+L756*$AC$21+M756*$AC$22+N756*$AC$23+O756*$AC$24+P756*$AC$25+Q756*$AC$26+R756*$AC$27+S756*$AC$28+T756*$AC$29+U756*$AC$30</f>
        <v/>
      </c>
      <c r="W756" s="8">
        <f>1/(1+EXP(-V756))</f>
        <v/>
      </c>
      <c r="X756" s="9">
        <f>-IF(C756=1,LN(W756),LN(1-W756))</f>
        <v/>
      </c>
      <c r="Y756" s="10">
        <f>IF(W756&gt;$AC$34,1,0)</f>
        <v/>
      </c>
      <c r="Z756">
        <f>IF(Y756=C756,1,0)</f>
        <v/>
      </c>
    </row>
    <row r="757">
      <c r="A757">
        <f>'1 datos preparados'!A750</f>
        <v/>
      </c>
      <c r="B757" s="5">
        <f>'1 datos preparados'!U750</f>
        <v/>
      </c>
      <c r="C757">
        <f>'1 datos preparados'!B750</f>
        <v/>
      </c>
      <c r="D757" s="7">
        <f>'1 datos preparados'!C750</f>
        <v/>
      </c>
      <c r="E757" s="7">
        <f>'1 datos preparados'!D750</f>
        <v/>
      </c>
      <c r="F757" s="7">
        <f>'1 datos preparados'!E750</f>
        <v/>
      </c>
      <c r="G757" s="7">
        <f>'1 datos preparados'!F750</f>
        <v/>
      </c>
      <c r="H757" s="7">
        <f>'1 datos preparados'!G750</f>
        <v/>
      </c>
      <c r="I757" s="7">
        <f>'1 datos preparados'!H750</f>
        <v/>
      </c>
      <c r="J757" s="7">
        <f>'1 datos preparados'!I750</f>
        <v/>
      </c>
      <c r="K757" s="7">
        <f>'1 datos preparados'!J750</f>
        <v/>
      </c>
      <c r="L757" s="7">
        <f>'1 datos preparados'!K750</f>
        <v/>
      </c>
      <c r="M757" s="7">
        <f>'1 datos preparados'!L750</f>
        <v/>
      </c>
      <c r="N757" s="7">
        <f>'1 datos preparados'!M750</f>
        <v/>
      </c>
      <c r="O757" s="7">
        <f>'1 datos preparados'!N750</f>
        <v/>
      </c>
      <c r="P757" s="7">
        <f>'1 datos preparados'!O750</f>
        <v/>
      </c>
      <c r="Q757" s="7">
        <f>'1 datos preparados'!P750</f>
        <v/>
      </c>
      <c r="R757" s="7">
        <f>'1 datos preparados'!Q750</f>
        <v/>
      </c>
      <c r="S757" s="7">
        <f>'1 datos preparados'!R750</f>
        <v/>
      </c>
      <c r="T757" s="7">
        <f>'1 datos preparados'!S750</f>
        <v/>
      </c>
      <c r="U757" s="7">
        <f>'1 datos preparados'!T750</f>
        <v/>
      </c>
      <c r="V757" s="8">
        <f>$AC$12+D757*$AC$13+E757*$AC$14+F757*$AC$15+G757*$AC$16+H757*$AC$17+I757*$AC$18+J757*$AC$19+K757*$AC$20+L757*$AC$21+M757*$AC$22+N757*$AC$23+O757*$AC$24+P757*$AC$25+Q757*$AC$26+R757*$AC$27+S757*$AC$28+T757*$AC$29+U757*$AC$30</f>
        <v/>
      </c>
      <c r="W757" s="8">
        <f>1/(1+EXP(-V757))</f>
        <v/>
      </c>
      <c r="X757" s="9">
        <f>-IF(C757=1,LN(W757),LN(1-W757))</f>
        <v/>
      </c>
      <c r="Y757" s="10">
        <f>IF(W757&gt;$AC$34,1,0)</f>
        <v/>
      </c>
      <c r="Z757">
        <f>IF(Y757=C757,1,0)</f>
        <v/>
      </c>
    </row>
    <row r="758">
      <c r="A758">
        <f>'1 datos preparados'!A751</f>
        <v/>
      </c>
      <c r="B758" s="5">
        <f>'1 datos preparados'!U751</f>
        <v/>
      </c>
      <c r="C758">
        <f>'1 datos preparados'!B751</f>
        <v/>
      </c>
      <c r="D758" s="7">
        <f>'1 datos preparados'!C751</f>
        <v/>
      </c>
      <c r="E758" s="7">
        <f>'1 datos preparados'!D751</f>
        <v/>
      </c>
      <c r="F758" s="7">
        <f>'1 datos preparados'!E751</f>
        <v/>
      </c>
      <c r="G758" s="7">
        <f>'1 datos preparados'!F751</f>
        <v/>
      </c>
      <c r="H758" s="7">
        <f>'1 datos preparados'!G751</f>
        <v/>
      </c>
      <c r="I758" s="7">
        <f>'1 datos preparados'!H751</f>
        <v/>
      </c>
      <c r="J758" s="7">
        <f>'1 datos preparados'!I751</f>
        <v/>
      </c>
      <c r="K758" s="7">
        <f>'1 datos preparados'!J751</f>
        <v/>
      </c>
      <c r="L758" s="7">
        <f>'1 datos preparados'!K751</f>
        <v/>
      </c>
      <c r="M758" s="7">
        <f>'1 datos preparados'!L751</f>
        <v/>
      </c>
      <c r="N758" s="7">
        <f>'1 datos preparados'!M751</f>
        <v/>
      </c>
      <c r="O758" s="7">
        <f>'1 datos preparados'!N751</f>
        <v/>
      </c>
      <c r="P758" s="7">
        <f>'1 datos preparados'!O751</f>
        <v/>
      </c>
      <c r="Q758" s="7">
        <f>'1 datos preparados'!P751</f>
        <v/>
      </c>
      <c r="R758" s="7">
        <f>'1 datos preparados'!Q751</f>
        <v/>
      </c>
      <c r="S758" s="7">
        <f>'1 datos preparados'!R751</f>
        <v/>
      </c>
      <c r="T758" s="7">
        <f>'1 datos preparados'!S751</f>
        <v/>
      </c>
      <c r="U758" s="7">
        <f>'1 datos preparados'!T751</f>
        <v/>
      </c>
      <c r="V758" s="8">
        <f>$AC$12+D758*$AC$13+E758*$AC$14+F758*$AC$15+G758*$AC$16+H758*$AC$17+I758*$AC$18+J758*$AC$19+K758*$AC$20+L758*$AC$21+M758*$AC$22+N758*$AC$23+O758*$AC$24+P758*$AC$25+Q758*$AC$26+R758*$AC$27+S758*$AC$28+T758*$AC$29+U758*$AC$30</f>
        <v/>
      </c>
      <c r="W758" s="8">
        <f>1/(1+EXP(-V758))</f>
        <v/>
      </c>
      <c r="X758" s="9">
        <f>-IF(C758=1,LN(W758),LN(1-W758))</f>
        <v/>
      </c>
      <c r="Y758" s="10">
        <f>IF(W758&gt;$AC$34,1,0)</f>
        <v/>
      </c>
      <c r="Z758">
        <f>IF(Y758=C758,1,0)</f>
        <v/>
      </c>
    </row>
    <row r="759">
      <c r="A759">
        <f>'1 datos preparados'!A752</f>
        <v/>
      </c>
      <c r="B759" s="5">
        <f>'1 datos preparados'!U752</f>
        <v/>
      </c>
      <c r="C759">
        <f>'1 datos preparados'!B752</f>
        <v/>
      </c>
      <c r="D759" s="7">
        <f>'1 datos preparados'!C752</f>
        <v/>
      </c>
      <c r="E759" s="7">
        <f>'1 datos preparados'!D752</f>
        <v/>
      </c>
      <c r="F759" s="7">
        <f>'1 datos preparados'!E752</f>
        <v/>
      </c>
      <c r="G759" s="7">
        <f>'1 datos preparados'!F752</f>
        <v/>
      </c>
      <c r="H759" s="7">
        <f>'1 datos preparados'!G752</f>
        <v/>
      </c>
      <c r="I759" s="7">
        <f>'1 datos preparados'!H752</f>
        <v/>
      </c>
      <c r="J759" s="7">
        <f>'1 datos preparados'!I752</f>
        <v/>
      </c>
      <c r="K759" s="7">
        <f>'1 datos preparados'!J752</f>
        <v/>
      </c>
      <c r="L759" s="7">
        <f>'1 datos preparados'!K752</f>
        <v/>
      </c>
      <c r="M759" s="7">
        <f>'1 datos preparados'!L752</f>
        <v/>
      </c>
      <c r="N759" s="7">
        <f>'1 datos preparados'!M752</f>
        <v/>
      </c>
      <c r="O759" s="7">
        <f>'1 datos preparados'!N752</f>
        <v/>
      </c>
      <c r="P759" s="7">
        <f>'1 datos preparados'!O752</f>
        <v/>
      </c>
      <c r="Q759" s="7">
        <f>'1 datos preparados'!P752</f>
        <v/>
      </c>
      <c r="R759" s="7">
        <f>'1 datos preparados'!Q752</f>
        <v/>
      </c>
      <c r="S759" s="7">
        <f>'1 datos preparados'!R752</f>
        <v/>
      </c>
      <c r="T759" s="7">
        <f>'1 datos preparados'!S752</f>
        <v/>
      </c>
      <c r="U759" s="7">
        <f>'1 datos preparados'!T752</f>
        <v/>
      </c>
      <c r="V759" s="8">
        <f>$AC$12+D759*$AC$13+E759*$AC$14+F759*$AC$15+G759*$AC$16+H759*$AC$17+I759*$AC$18+J759*$AC$19+K759*$AC$20+L759*$AC$21+M759*$AC$22+N759*$AC$23+O759*$AC$24+P759*$AC$25+Q759*$AC$26+R759*$AC$27+S759*$AC$28+T759*$AC$29+U759*$AC$30</f>
        <v/>
      </c>
      <c r="W759" s="8">
        <f>1/(1+EXP(-V759))</f>
        <v/>
      </c>
      <c r="X759" s="9">
        <f>-IF(C759=1,LN(W759),LN(1-W759))</f>
        <v/>
      </c>
      <c r="Y759" s="10">
        <f>IF(W759&gt;$AC$34,1,0)</f>
        <v/>
      </c>
      <c r="Z759">
        <f>IF(Y759=C759,1,0)</f>
        <v/>
      </c>
    </row>
    <row r="760">
      <c r="A760">
        <f>'1 datos preparados'!A753</f>
        <v/>
      </c>
      <c r="B760" s="5">
        <f>'1 datos preparados'!U753</f>
        <v/>
      </c>
      <c r="C760">
        <f>'1 datos preparados'!B753</f>
        <v/>
      </c>
      <c r="D760" s="7">
        <f>'1 datos preparados'!C753</f>
        <v/>
      </c>
      <c r="E760" s="7">
        <f>'1 datos preparados'!D753</f>
        <v/>
      </c>
      <c r="F760" s="7">
        <f>'1 datos preparados'!E753</f>
        <v/>
      </c>
      <c r="G760" s="7">
        <f>'1 datos preparados'!F753</f>
        <v/>
      </c>
      <c r="H760" s="7">
        <f>'1 datos preparados'!G753</f>
        <v/>
      </c>
      <c r="I760" s="7">
        <f>'1 datos preparados'!H753</f>
        <v/>
      </c>
      <c r="J760" s="7">
        <f>'1 datos preparados'!I753</f>
        <v/>
      </c>
      <c r="K760" s="7">
        <f>'1 datos preparados'!J753</f>
        <v/>
      </c>
      <c r="L760" s="7">
        <f>'1 datos preparados'!K753</f>
        <v/>
      </c>
      <c r="M760" s="7">
        <f>'1 datos preparados'!L753</f>
        <v/>
      </c>
      <c r="N760" s="7">
        <f>'1 datos preparados'!M753</f>
        <v/>
      </c>
      <c r="O760" s="7">
        <f>'1 datos preparados'!N753</f>
        <v/>
      </c>
      <c r="P760" s="7">
        <f>'1 datos preparados'!O753</f>
        <v/>
      </c>
      <c r="Q760" s="7">
        <f>'1 datos preparados'!P753</f>
        <v/>
      </c>
      <c r="R760" s="7">
        <f>'1 datos preparados'!Q753</f>
        <v/>
      </c>
      <c r="S760" s="7">
        <f>'1 datos preparados'!R753</f>
        <v/>
      </c>
      <c r="T760" s="7">
        <f>'1 datos preparados'!S753</f>
        <v/>
      </c>
      <c r="U760" s="7">
        <f>'1 datos preparados'!T753</f>
        <v/>
      </c>
      <c r="V760" s="8">
        <f>$AC$12+D760*$AC$13+E760*$AC$14+F760*$AC$15+G760*$AC$16+H760*$AC$17+I760*$AC$18+J760*$AC$19+K760*$AC$20+L760*$AC$21+M760*$AC$22+N760*$AC$23+O760*$AC$24+P760*$AC$25+Q760*$AC$26+R760*$AC$27+S760*$AC$28+T760*$AC$29+U760*$AC$30</f>
        <v/>
      </c>
      <c r="W760" s="8">
        <f>1/(1+EXP(-V760))</f>
        <v/>
      </c>
      <c r="X760" s="9">
        <f>-IF(C760=1,LN(W760),LN(1-W760))</f>
        <v/>
      </c>
      <c r="Y760" s="10">
        <f>IF(W760&gt;$AC$34,1,0)</f>
        <v/>
      </c>
      <c r="Z760">
        <f>IF(Y760=C760,1,0)</f>
        <v/>
      </c>
    </row>
    <row r="761">
      <c r="A761">
        <f>'1 datos preparados'!A754</f>
        <v/>
      </c>
      <c r="B761" s="5">
        <f>'1 datos preparados'!U754</f>
        <v/>
      </c>
      <c r="C761">
        <f>'1 datos preparados'!B754</f>
        <v/>
      </c>
      <c r="D761" s="7">
        <f>'1 datos preparados'!C754</f>
        <v/>
      </c>
      <c r="E761" s="7">
        <f>'1 datos preparados'!D754</f>
        <v/>
      </c>
      <c r="F761" s="7">
        <f>'1 datos preparados'!E754</f>
        <v/>
      </c>
      <c r="G761" s="7">
        <f>'1 datos preparados'!F754</f>
        <v/>
      </c>
      <c r="H761" s="7">
        <f>'1 datos preparados'!G754</f>
        <v/>
      </c>
      <c r="I761" s="7">
        <f>'1 datos preparados'!H754</f>
        <v/>
      </c>
      <c r="J761" s="7">
        <f>'1 datos preparados'!I754</f>
        <v/>
      </c>
      <c r="K761" s="7">
        <f>'1 datos preparados'!J754</f>
        <v/>
      </c>
      <c r="L761" s="7">
        <f>'1 datos preparados'!K754</f>
        <v/>
      </c>
      <c r="M761" s="7">
        <f>'1 datos preparados'!L754</f>
        <v/>
      </c>
      <c r="N761" s="7">
        <f>'1 datos preparados'!M754</f>
        <v/>
      </c>
      <c r="O761" s="7">
        <f>'1 datos preparados'!N754</f>
        <v/>
      </c>
      <c r="P761" s="7">
        <f>'1 datos preparados'!O754</f>
        <v/>
      </c>
      <c r="Q761" s="7">
        <f>'1 datos preparados'!P754</f>
        <v/>
      </c>
      <c r="R761" s="7">
        <f>'1 datos preparados'!Q754</f>
        <v/>
      </c>
      <c r="S761" s="7">
        <f>'1 datos preparados'!R754</f>
        <v/>
      </c>
      <c r="T761" s="7">
        <f>'1 datos preparados'!S754</f>
        <v/>
      </c>
      <c r="U761" s="7">
        <f>'1 datos preparados'!T754</f>
        <v/>
      </c>
      <c r="V761" s="8">
        <f>$AC$12+D761*$AC$13+E761*$AC$14+F761*$AC$15+G761*$AC$16+H761*$AC$17+I761*$AC$18+J761*$AC$19+K761*$AC$20+L761*$AC$21+M761*$AC$22+N761*$AC$23+O761*$AC$24+P761*$AC$25+Q761*$AC$26+R761*$AC$27+S761*$AC$28+T761*$AC$29+U761*$AC$30</f>
        <v/>
      </c>
      <c r="W761" s="8">
        <f>1/(1+EXP(-V761))</f>
        <v/>
      </c>
      <c r="X761" s="9">
        <f>-IF(C761=1,LN(W761),LN(1-W761))</f>
        <v/>
      </c>
      <c r="Y761" s="10">
        <f>IF(W761&gt;$AC$34,1,0)</f>
        <v/>
      </c>
      <c r="Z761">
        <f>IF(Y761=C761,1,0)</f>
        <v/>
      </c>
    </row>
    <row r="762">
      <c r="A762">
        <f>'1 datos preparados'!A755</f>
        <v/>
      </c>
      <c r="B762" s="5">
        <f>'1 datos preparados'!U755</f>
        <v/>
      </c>
      <c r="C762">
        <f>'1 datos preparados'!B755</f>
        <v/>
      </c>
      <c r="D762" s="7">
        <f>'1 datos preparados'!C755</f>
        <v/>
      </c>
      <c r="E762" s="7">
        <f>'1 datos preparados'!D755</f>
        <v/>
      </c>
      <c r="F762" s="7">
        <f>'1 datos preparados'!E755</f>
        <v/>
      </c>
      <c r="G762" s="7">
        <f>'1 datos preparados'!F755</f>
        <v/>
      </c>
      <c r="H762" s="7">
        <f>'1 datos preparados'!G755</f>
        <v/>
      </c>
      <c r="I762" s="7">
        <f>'1 datos preparados'!H755</f>
        <v/>
      </c>
      <c r="J762" s="7">
        <f>'1 datos preparados'!I755</f>
        <v/>
      </c>
      <c r="K762" s="7">
        <f>'1 datos preparados'!J755</f>
        <v/>
      </c>
      <c r="L762" s="7">
        <f>'1 datos preparados'!K755</f>
        <v/>
      </c>
      <c r="M762" s="7">
        <f>'1 datos preparados'!L755</f>
        <v/>
      </c>
      <c r="N762" s="7">
        <f>'1 datos preparados'!M755</f>
        <v/>
      </c>
      <c r="O762" s="7">
        <f>'1 datos preparados'!N755</f>
        <v/>
      </c>
      <c r="P762" s="7">
        <f>'1 datos preparados'!O755</f>
        <v/>
      </c>
      <c r="Q762" s="7">
        <f>'1 datos preparados'!P755</f>
        <v/>
      </c>
      <c r="R762" s="7">
        <f>'1 datos preparados'!Q755</f>
        <v/>
      </c>
      <c r="S762" s="7">
        <f>'1 datos preparados'!R755</f>
        <v/>
      </c>
      <c r="T762" s="7">
        <f>'1 datos preparados'!S755</f>
        <v/>
      </c>
      <c r="U762" s="7">
        <f>'1 datos preparados'!T755</f>
        <v/>
      </c>
      <c r="V762" s="8">
        <f>$AC$12+D762*$AC$13+E762*$AC$14+F762*$AC$15+G762*$AC$16+H762*$AC$17+I762*$AC$18+J762*$AC$19+K762*$AC$20+L762*$AC$21+M762*$AC$22+N762*$AC$23+O762*$AC$24+P762*$AC$25+Q762*$AC$26+R762*$AC$27+S762*$AC$28+T762*$AC$29+U762*$AC$30</f>
        <v/>
      </c>
      <c r="W762" s="8">
        <f>1/(1+EXP(-V762))</f>
        <v/>
      </c>
      <c r="X762" s="9">
        <f>-IF(C762=1,LN(W762),LN(1-W762))</f>
        <v/>
      </c>
      <c r="Y762" s="10">
        <f>IF(W762&gt;$AC$34,1,0)</f>
        <v/>
      </c>
      <c r="Z762">
        <f>IF(Y762=C762,1,0)</f>
        <v/>
      </c>
    </row>
    <row r="763">
      <c r="A763">
        <f>'1 datos preparados'!A756</f>
        <v/>
      </c>
      <c r="B763" s="5">
        <f>'1 datos preparados'!U756</f>
        <v/>
      </c>
      <c r="C763">
        <f>'1 datos preparados'!B756</f>
        <v/>
      </c>
      <c r="D763" s="7">
        <f>'1 datos preparados'!C756</f>
        <v/>
      </c>
      <c r="E763" s="7">
        <f>'1 datos preparados'!D756</f>
        <v/>
      </c>
      <c r="F763" s="7">
        <f>'1 datos preparados'!E756</f>
        <v/>
      </c>
      <c r="G763" s="7">
        <f>'1 datos preparados'!F756</f>
        <v/>
      </c>
      <c r="H763" s="7">
        <f>'1 datos preparados'!G756</f>
        <v/>
      </c>
      <c r="I763" s="7">
        <f>'1 datos preparados'!H756</f>
        <v/>
      </c>
      <c r="J763" s="7">
        <f>'1 datos preparados'!I756</f>
        <v/>
      </c>
      <c r="K763" s="7">
        <f>'1 datos preparados'!J756</f>
        <v/>
      </c>
      <c r="L763" s="7">
        <f>'1 datos preparados'!K756</f>
        <v/>
      </c>
      <c r="M763" s="7">
        <f>'1 datos preparados'!L756</f>
        <v/>
      </c>
      <c r="N763" s="7">
        <f>'1 datos preparados'!M756</f>
        <v/>
      </c>
      <c r="O763" s="7">
        <f>'1 datos preparados'!N756</f>
        <v/>
      </c>
      <c r="P763" s="7">
        <f>'1 datos preparados'!O756</f>
        <v/>
      </c>
      <c r="Q763" s="7">
        <f>'1 datos preparados'!P756</f>
        <v/>
      </c>
      <c r="R763" s="7">
        <f>'1 datos preparados'!Q756</f>
        <v/>
      </c>
      <c r="S763" s="7">
        <f>'1 datos preparados'!R756</f>
        <v/>
      </c>
      <c r="T763" s="7">
        <f>'1 datos preparados'!S756</f>
        <v/>
      </c>
      <c r="U763" s="7">
        <f>'1 datos preparados'!T756</f>
        <v/>
      </c>
      <c r="V763" s="8">
        <f>$AC$12+D763*$AC$13+E763*$AC$14+F763*$AC$15+G763*$AC$16+H763*$AC$17+I763*$AC$18+J763*$AC$19+K763*$AC$20+L763*$AC$21+M763*$AC$22+N763*$AC$23+O763*$AC$24+P763*$AC$25+Q763*$AC$26+R763*$AC$27+S763*$AC$28+T763*$AC$29+U763*$AC$30</f>
        <v/>
      </c>
      <c r="W763" s="8">
        <f>1/(1+EXP(-V763))</f>
        <v/>
      </c>
      <c r="X763" s="9">
        <f>-IF(C763=1,LN(W763),LN(1-W763))</f>
        <v/>
      </c>
      <c r="Y763" s="10">
        <f>IF(W763&gt;$AC$34,1,0)</f>
        <v/>
      </c>
      <c r="Z763">
        <f>IF(Y763=C763,1,0)</f>
        <v/>
      </c>
    </row>
    <row r="764">
      <c r="A764">
        <f>'1 datos preparados'!A757</f>
        <v/>
      </c>
      <c r="B764" s="5">
        <f>'1 datos preparados'!U757</f>
        <v/>
      </c>
      <c r="C764">
        <f>'1 datos preparados'!B757</f>
        <v/>
      </c>
      <c r="D764" s="7">
        <f>'1 datos preparados'!C757</f>
        <v/>
      </c>
      <c r="E764" s="7">
        <f>'1 datos preparados'!D757</f>
        <v/>
      </c>
      <c r="F764" s="7">
        <f>'1 datos preparados'!E757</f>
        <v/>
      </c>
      <c r="G764" s="7">
        <f>'1 datos preparados'!F757</f>
        <v/>
      </c>
      <c r="H764" s="7">
        <f>'1 datos preparados'!G757</f>
        <v/>
      </c>
      <c r="I764" s="7">
        <f>'1 datos preparados'!H757</f>
        <v/>
      </c>
      <c r="J764" s="7">
        <f>'1 datos preparados'!I757</f>
        <v/>
      </c>
      <c r="K764" s="7">
        <f>'1 datos preparados'!J757</f>
        <v/>
      </c>
      <c r="L764" s="7">
        <f>'1 datos preparados'!K757</f>
        <v/>
      </c>
      <c r="M764" s="7">
        <f>'1 datos preparados'!L757</f>
        <v/>
      </c>
      <c r="N764" s="7">
        <f>'1 datos preparados'!M757</f>
        <v/>
      </c>
      <c r="O764" s="7">
        <f>'1 datos preparados'!N757</f>
        <v/>
      </c>
      <c r="P764" s="7">
        <f>'1 datos preparados'!O757</f>
        <v/>
      </c>
      <c r="Q764" s="7">
        <f>'1 datos preparados'!P757</f>
        <v/>
      </c>
      <c r="R764" s="7">
        <f>'1 datos preparados'!Q757</f>
        <v/>
      </c>
      <c r="S764" s="7">
        <f>'1 datos preparados'!R757</f>
        <v/>
      </c>
      <c r="T764" s="7">
        <f>'1 datos preparados'!S757</f>
        <v/>
      </c>
      <c r="U764" s="7">
        <f>'1 datos preparados'!T757</f>
        <v/>
      </c>
      <c r="V764" s="8">
        <f>$AC$12+D764*$AC$13+E764*$AC$14+F764*$AC$15+G764*$AC$16+H764*$AC$17+I764*$AC$18+J764*$AC$19+K764*$AC$20+L764*$AC$21+M764*$AC$22+N764*$AC$23+O764*$AC$24+P764*$AC$25+Q764*$AC$26+R764*$AC$27+S764*$AC$28+T764*$AC$29+U764*$AC$30</f>
        <v/>
      </c>
      <c r="W764" s="8">
        <f>1/(1+EXP(-V764))</f>
        <v/>
      </c>
      <c r="X764" s="9">
        <f>-IF(C764=1,LN(W764),LN(1-W764))</f>
        <v/>
      </c>
      <c r="Y764" s="10">
        <f>IF(W764&gt;$AC$34,1,0)</f>
        <v/>
      </c>
      <c r="Z764">
        <f>IF(Y764=C764,1,0)</f>
        <v/>
      </c>
    </row>
    <row r="765">
      <c r="A765">
        <f>'1 datos preparados'!A758</f>
        <v/>
      </c>
      <c r="B765" s="5">
        <f>'1 datos preparados'!U758</f>
        <v/>
      </c>
      <c r="C765">
        <f>'1 datos preparados'!B758</f>
        <v/>
      </c>
      <c r="D765" s="7">
        <f>'1 datos preparados'!C758</f>
        <v/>
      </c>
      <c r="E765" s="7">
        <f>'1 datos preparados'!D758</f>
        <v/>
      </c>
      <c r="F765" s="7">
        <f>'1 datos preparados'!E758</f>
        <v/>
      </c>
      <c r="G765" s="7">
        <f>'1 datos preparados'!F758</f>
        <v/>
      </c>
      <c r="H765" s="7">
        <f>'1 datos preparados'!G758</f>
        <v/>
      </c>
      <c r="I765" s="7">
        <f>'1 datos preparados'!H758</f>
        <v/>
      </c>
      <c r="J765" s="7">
        <f>'1 datos preparados'!I758</f>
        <v/>
      </c>
      <c r="K765" s="7">
        <f>'1 datos preparados'!J758</f>
        <v/>
      </c>
      <c r="L765" s="7">
        <f>'1 datos preparados'!K758</f>
        <v/>
      </c>
      <c r="M765" s="7">
        <f>'1 datos preparados'!L758</f>
        <v/>
      </c>
      <c r="N765" s="7">
        <f>'1 datos preparados'!M758</f>
        <v/>
      </c>
      <c r="O765" s="7">
        <f>'1 datos preparados'!N758</f>
        <v/>
      </c>
      <c r="P765" s="7">
        <f>'1 datos preparados'!O758</f>
        <v/>
      </c>
      <c r="Q765" s="7">
        <f>'1 datos preparados'!P758</f>
        <v/>
      </c>
      <c r="R765" s="7">
        <f>'1 datos preparados'!Q758</f>
        <v/>
      </c>
      <c r="S765" s="7">
        <f>'1 datos preparados'!R758</f>
        <v/>
      </c>
      <c r="T765" s="7">
        <f>'1 datos preparados'!S758</f>
        <v/>
      </c>
      <c r="U765" s="7">
        <f>'1 datos preparados'!T758</f>
        <v/>
      </c>
      <c r="V765" s="8">
        <f>$AC$12+D765*$AC$13+E765*$AC$14+F765*$AC$15+G765*$AC$16+H765*$AC$17+I765*$AC$18+J765*$AC$19+K765*$AC$20+L765*$AC$21+M765*$AC$22+N765*$AC$23+O765*$AC$24+P765*$AC$25+Q765*$AC$26+R765*$AC$27+S765*$AC$28+T765*$AC$29+U765*$AC$30</f>
        <v/>
      </c>
      <c r="W765" s="8">
        <f>1/(1+EXP(-V765))</f>
        <v/>
      </c>
      <c r="X765" s="9">
        <f>-IF(C765=1,LN(W765),LN(1-W765))</f>
        <v/>
      </c>
      <c r="Y765" s="10">
        <f>IF(W765&gt;$AC$34,1,0)</f>
        <v/>
      </c>
      <c r="Z765">
        <f>IF(Y765=C765,1,0)</f>
        <v/>
      </c>
    </row>
    <row r="766">
      <c r="A766">
        <f>'1 datos preparados'!A759</f>
        <v/>
      </c>
      <c r="B766" s="5">
        <f>'1 datos preparados'!U759</f>
        <v/>
      </c>
      <c r="C766">
        <f>'1 datos preparados'!B759</f>
        <v/>
      </c>
      <c r="D766" s="7">
        <f>'1 datos preparados'!C759</f>
        <v/>
      </c>
      <c r="E766" s="7">
        <f>'1 datos preparados'!D759</f>
        <v/>
      </c>
      <c r="F766" s="7">
        <f>'1 datos preparados'!E759</f>
        <v/>
      </c>
      <c r="G766" s="7">
        <f>'1 datos preparados'!F759</f>
        <v/>
      </c>
      <c r="H766" s="7">
        <f>'1 datos preparados'!G759</f>
        <v/>
      </c>
      <c r="I766" s="7">
        <f>'1 datos preparados'!H759</f>
        <v/>
      </c>
      <c r="J766" s="7">
        <f>'1 datos preparados'!I759</f>
        <v/>
      </c>
      <c r="K766" s="7">
        <f>'1 datos preparados'!J759</f>
        <v/>
      </c>
      <c r="L766" s="7">
        <f>'1 datos preparados'!K759</f>
        <v/>
      </c>
      <c r="M766" s="7">
        <f>'1 datos preparados'!L759</f>
        <v/>
      </c>
      <c r="N766" s="7">
        <f>'1 datos preparados'!M759</f>
        <v/>
      </c>
      <c r="O766" s="7">
        <f>'1 datos preparados'!N759</f>
        <v/>
      </c>
      <c r="P766" s="7">
        <f>'1 datos preparados'!O759</f>
        <v/>
      </c>
      <c r="Q766" s="7">
        <f>'1 datos preparados'!P759</f>
        <v/>
      </c>
      <c r="R766" s="7">
        <f>'1 datos preparados'!Q759</f>
        <v/>
      </c>
      <c r="S766" s="7">
        <f>'1 datos preparados'!R759</f>
        <v/>
      </c>
      <c r="T766" s="7">
        <f>'1 datos preparados'!S759</f>
        <v/>
      </c>
      <c r="U766" s="7">
        <f>'1 datos preparados'!T759</f>
        <v/>
      </c>
      <c r="V766" s="8">
        <f>$AC$12+D766*$AC$13+E766*$AC$14+F766*$AC$15+G766*$AC$16+H766*$AC$17+I766*$AC$18+J766*$AC$19+K766*$AC$20+L766*$AC$21+M766*$AC$22+N766*$AC$23+O766*$AC$24+P766*$AC$25+Q766*$AC$26+R766*$AC$27+S766*$AC$28+T766*$AC$29+U766*$AC$30</f>
        <v/>
      </c>
      <c r="W766" s="8">
        <f>1/(1+EXP(-V766))</f>
        <v/>
      </c>
      <c r="X766" s="9">
        <f>-IF(C766=1,LN(W766),LN(1-W766))</f>
        <v/>
      </c>
      <c r="Y766" s="10">
        <f>IF(W766&gt;$AC$34,1,0)</f>
        <v/>
      </c>
      <c r="Z766">
        <f>IF(Y766=C766,1,0)</f>
        <v/>
      </c>
    </row>
    <row r="767">
      <c r="A767">
        <f>'1 datos preparados'!A760</f>
        <v/>
      </c>
      <c r="B767" s="5">
        <f>'1 datos preparados'!U760</f>
        <v/>
      </c>
      <c r="C767">
        <f>'1 datos preparados'!B760</f>
        <v/>
      </c>
      <c r="D767" s="7">
        <f>'1 datos preparados'!C760</f>
        <v/>
      </c>
      <c r="E767" s="7">
        <f>'1 datos preparados'!D760</f>
        <v/>
      </c>
      <c r="F767" s="7">
        <f>'1 datos preparados'!E760</f>
        <v/>
      </c>
      <c r="G767" s="7">
        <f>'1 datos preparados'!F760</f>
        <v/>
      </c>
      <c r="H767" s="7">
        <f>'1 datos preparados'!G760</f>
        <v/>
      </c>
      <c r="I767" s="7">
        <f>'1 datos preparados'!H760</f>
        <v/>
      </c>
      <c r="J767" s="7">
        <f>'1 datos preparados'!I760</f>
        <v/>
      </c>
      <c r="K767" s="7">
        <f>'1 datos preparados'!J760</f>
        <v/>
      </c>
      <c r="L767" s="7">
        <f>'1 datos preparados'!K760</f>
        <v/>
      </c>
      <c r="M767" s="7">
        <f>'1 datos preparados'!L760</f>
        <v/>
      </c>
      <c r="N767" s="7">
        <f>'1 datos preparados'!M760</f>
        <v/>
      </c>
      <c r="O767" s="7">
        <f>'1 datos preparados'!N760</f>
        <v/>
      </c>
      <c r="P767" s="7">
        <f>'1 datos preparados'!O760</f>
        <v/>
      </c>
      <c r="Q767" s="7">
        <f>'1 datos preparados'!P760</f>
        <v/>
      </c>
      <c r="R767" s="7">
        <f>'1 datos preparados'!Q760</f>
        <v/>
      </c>
      <c r="S767" s="7">
        <f>'1 datos preparados'!R760</f>
        <v/>
      </c>
      <c r="T767" s="7">
        <f>'1 datos preparados'!S760</f>
        <v/>
      </c>
      <c r="U767" s="7">
        <f>'1 datos preparados'!T760</f>
        <v/>
      </c>
      <c r="V767" s="8">
        <f>$AC$12+D767*$AC$13+E767*$AC$14+F767*$AC$15+G767*$AC$16+H767*$AC$17+I767*$AC$18+J767*$AC$19+K767*$AC$20+L767*$AC$21+M767*$AC$22+N767*$AC$23+O767*$AC$24+P767*$AC$25+Q767*$AC$26+R767*$AC$27+S767*$AC$28+T767*$AC$29+U767*$AC$30</f>
        <v/>
      </c>
      <c r="W767" s="8">
        <f>1/(1+EXP(-V767))</f>
        <v/>
      </c>
      <c r="X767" s="9">
        <f>-IF(C767=1,LN(W767),LN(1-W767))</f>
        <v/>
      </c>
      <c r="Y767" s="10">
        <f>IF(W767&gt;$AC$34,1,0)</f>
        <v/>
      </c>
      <c r="Z767">
        <f>IF(Y767=C767,1,0)</f>
        <v/>
      </c>
    </row>
    <row r="768">
      <c r="A768">
        <f>'1 datos preparados'!A761</f>
        <v/>
      </c>
      <c r="B768" s="5">
        <f>'1 datos preparados'!U761</f>
        <v/>
      </c>
      <c r="C768">
        <f>'1 datos preparados'!B761</f>
        <v/>
      </c>
      <c r="D768" s="7">
        <f>'1 datos preparados'!C761</f>
        <v/>
      </c>
      <c r="E768" s="7">
        <f>'1 datos preparados'!D761</f>
        <v/>
      </c>
      <c r="F768" s="7">
        <f>'1 datos preparados'!E761</f>
        <v/>
      </c>
      <c r="G768" s="7">
        <f>'1 datos preparados'!F761</f>
        <v/>
      </c>
      <c r="H768" s="7">
        <f>'1 datos preparados'!G761</f>
        <v/>
      </c>
      <c r="I768" s="7">
        <f>'1 datos preparados'!H761</f>
        <v/>
      </c>
      <c r="J768" s="7">
        <f>'1 datos preparados'!I761</f>
        <v/>
      </c>
      <c r="K768" s="7">
        <f>'1 datos preparados'!J761</f>
        <v/>
      </c>
      <c r="L768" s="7">
        <f>'1 datos preparados'!K761</f>
        <v/>
      </c>
      <c r="M768" s="7">
        <f>'1 datos preparados'!L761</f>
        <v/>
      </c>
      <c r="N768" s="7">
        <f>'1 datos preparados'!M761</f>
        <v/>
      </c>
      <c r="O768" s="7">
        <f>'1 datos preparados'!N761</f>
        <v/>
      </c>
      <c r="P768" s="7">
        <f>'1 datos preparados'!O761</f>
        <v/>
      </c>
      <c r="Q768" s="7">
        <f>'1 datos preparados'!P761</f>
        <v/>
      </c>
      <c r="R768" s="7">
        <f>'1 datos preparados'!Q761</f>
        <v/>
      </c>
      <c r="S768" s="7">
        <f>'1 datos preparados'!R761</f>
        <v/>
      </c>
      <c r="T768" s="7">
        <f>'1 datos preparados'!S761</f>
        <v/>
      </c>
      <c r="U768" s="7">
        <f>'1 datos preparados'!T761</f>
        <v/>
      </c>
      <c r="V768" s="8">
        <f>$AC$12+D768*$AC$13+E768*$AC$14+F768*$AC$15+G768*$AC$16+H768*$AC$17+I768*$AC$18+J768*$AC$19+K768*$AC$20+L768*$AC$21+M768*$AC$22+N768*$AC$23+O768*$AC$24+P768*$AC$25+Q768*$AC$26+R768*$AC$27+S768*$AC$28+T768*$AC$29+U768*$AC$30</f>
        <v/>
      </c>
      <c r="W768" s="8">
        <f>1/(1+EXP(-V768))</f>
        <v/>
      </c>
      <c r="X768" s="9">
        <f>-IF(C768=1,LN(W768),LN(1-W768))</f>
        <v/>
      </c>
      <c r="Y768" s="10">
        <f>IF(W768&gt;$AC$34,1,0)</f>
        <v/>
      </c>
      <c r="Z768">
        <f>IF(Y768=C768,1,0)</f>
        <v/>
      </c>
    </row>
    <row r="769">
      <c r="A769">
        <f>'1 datos preparados'!A762</f>
        <v/>
      </c>
      <c r="B769" s="5">
        <f>'1 datos preparados'!U762</f>
        <v/>
      </c>
      <c r="C769">
        <f>'1 datos preparados'!B762</f>
        <v/>
      </c>
      <c r="D769" s="7">
        <f>'1 datos preparados'!C762</f>
        <v/>
      </c>
      <c r="E769" s="7">
        <f>'1 datos preparados'!D762</f>
        <v/>
      </c>
      <c r="F769" s="7">
        <f>'1 datos preparados'!E762</f>
        <v/>
      </c>
      <c r="G769" s="7">
        <f>'1 datos preparados'!F762</f>
        <v/>
      </c>
      <c r="H769" s="7">
        <f>'1 datos preparados'!G762</f>
        <v/>
      </c>
      <c r="I769" s="7">
        <f>'1 datos preparados'!H762</f>
        <v/>
      </c>
      <c r="J769" s="7">
        <f>'1 datos preparados'!I762</f>
        <v/>
      </c>
      <c r="K769" s="7">
        <f>'1 datos preparados'!J762</f>
        <v/>
      </c>
      <c r="L769" s="7">
        <f>'1 datos preparados'!K762</f>
        <v/>
      </c>
      <c r="M769" s="7">
        <f>'1 datos preparados'!L762</f>
        <v/>
      </c>
      <c r="N769" s="7">
        <f>'1 datos preparados'!M762</f>
        <v/>
      </c>
      <c r="O769" s="7">
        <f>'1 datos preparados'!N762</f>
        <v/>
      </c>
      <c r="P769" s="7">
        <f>'1 datos preparados'!O762</f>
        <v/>
      </c>
      <c r="Q769" s="7">
        <f>'1 datos preparados'!P762</f>
        <v/>
      </c>
      <c r="R769" s="7">
        <f>'1 datos preparados'!Q762</f>
        <v/>
      </c>
      <c r="S769" s="7">
        <f>'1 datos preparados'!R762</f>
        <v/>
      </c>
      <c r="T769" s="7">
        <f>'1 datos preparados'!S762</f>
        <v/>
      </c>
      <c r="U769" s="7">
        <f>'1 datos preparados'!T762</f>
        <v/>
      </c>
      <c r="V769" s="8">
        <f>$AC$12+D769*$AC$13+E769*$AC$14+F769*$AC$15+G769*$AC$16+H769*$AC$17+I769*$AC$18+J769*$AC$19+K769*$AC$20+L769*$AC$21+M769*$AC$22+N769*$AC$23+O769*$AC$24+P769*$AC$25+Q769*$AC$26+R769*$AC$27+S769*$AC$28+T769*$AC$29+U769*$AC$30</f>
        <v/>
      </c>
      <c r="W769" s="8">
        <f>1/(1+EXP(-V769))</f>
        <v/>
      </c>
      <c r="X769" s="9">
        <f>-IF(C769=1,LN(W769),LN(1-W769))</f>
        <v/>
      </c>
      <c r="Y769" s="10">
        <f>IF(W769&gt;$AC$34,1,0)</f>
        <v/>
      </c>
      <c r="Z769">
        <f>IF(Y769=C769,1,0)</f>
        <v/>
      </c>
    </row>
    <row r="770">
      <c r="A770">
        <f>'1 datos preparados'!A763</f>
        <v/>
      </c>
      <c r="B770" s="5">
        <f>'1 datos preparados'!U763</f>
        <v/>
      </c>
      <c r="C770">
        <f>'1 datos preparados'!B763</f>
        <v/>
      </c>
      <c r="D770" s="7">
        <f>'1 datos preparados'!C763</f>
        <v/>
      </c>
      <c r="E770" s="7">
        <f>'1 datos preparados'!D763</f>
        <v/>
      </c>
      <c r="F770" s="7">
        <f>'1 datos preparados'!E763</f>
        <v/>
      </c>
      <c r="G770" s="7">
        <f>'1 datos preparados'!F763</f>
        <v/>
      </c>
      <c r="H770" s="7">
        <f>'1 datos preparados'!G763</f>
        <v/>
      </c>
      <c r="I770" s="7">
        <f>'1 datos preparados'!H763</f>
        <v/>
      </c>
      <c r="J770" s="7">
        <f>'1 datos preparados'!I763</f>
        <v/>
      </c>
      <c r="K770" s="7">
        <f>'1 datos preparados'!J763</f>
        <v/>
      </c>
      <c r="L770" s="7">
        <f>'1 datos preparados'!K763</f>
        <v/>
      </c>
      <c r="M770" s="7">
        <f>'1 datos preparados'!L763</f>
        <v/>
      </c>
      <c r="N770" s="7">
        <f>'1 datos preparados'!M763</f>
        <v/>
      </c>
      <c r="O770" s="7">
        <f>'1 datos preparados'!N763</f>
        <v/>
      </c>
      <c r="P770" s="7">
        <f>'1 datos preparados'!O763</f>
        <v/>
      </c>
      <c r="Q770" s="7">
        <f>'1 datos preparados'!P763</f>
        <v/>
      </c>
      <c r="R770" s="7">
        <f>'1 datos preparados'!Q763</f>
        <v/>
      </c>
      <c r="S770" s="7">
        <f>'1 datos preparados'!R763</f>
        <v/>
      </c>
      <c r="T770" s="7">
        <f>'1 datos preparados'!S763</f>
        <v/>
      </c>
      <c r="U770" s="7">
        <f>'1 datos preparados'!T763</f>
        <v/>
      </c>
      <c r="V770" s="8">
        <f>$AC$12+D770*$AC$13+E770*$AC$14+F770*$AC$15+G770*$AC$16+H770*$AC$17+I770*$AC$18+J770*$AC$19+K770*$AC$20+L770*$AC$21+M770*$AC$22+N770*$AC$23+O770*$AC$24+P770*$AC$25+Q770*$AC$26+R770*$AC$27+S770*$AC$28+T770*$AC$29+U770*$AC$30</f>
        <v/>
      </c>
      <c r="W770" s="8">
        <f>1/(1+EXP(-V770))</f>
        <v/>
      </c>
      <c r="X770" s="9">
        <f>-IF(C770=1,LN(W770),LN(1-W770))</f>
        <v/>
      </c>
      <c r="Y770" s="10">
        <f>IF(W770&gt;$AC$34,1,0)</f>
        <v/>
      </c>
      <c r="Z770">
        <f>IF(Y770=C770,1,0)</f>
        <v/>
      </c>
    </row>
    <row r="771">
      <c r="A771">
        <f>'1 datos preparados'!A764</f>
        <v/>
      </c>
      <c r="B771" s="5">
        <f>'1 datos preparados'!U764</f>
        <v/>
      </c>
      <c r="C771">
        <f>'1 datos preparados'!B764</f>
        <v/>
      </c>
      <c r="D771" s="7">
        <f>'1 datos preparados'!C764</f>
        <v/>
      </c>
      <c r="E771" s="7">
        <f>'1 datos preparados'!D764</f>
        <v/>
      </c>
      <c r="F771" s="7">
        <f>'1 datos preparados'!E764</f>
        <v/>
      </c>
      <c r="G771" s="7">
        <f>'1 datos preparados'!F764</f>
        <v/>
      </c>
      <c r="H771" s="7">
        <f>'1 datos preparados'!G764</f>
        <v/>
      </c>
      <c r="I771" s="7">
        <f>'1 datos preparados'!H764</f>
        <v/>
      </c>
      <c r="J771" s="7">
        <f>'1 datos preparados'!I764</f>
        <v/>
      </c>
      <c r="K771" s="7">
        <f>'1 datos preparados'!J764</f>
        <v/>
      </c>
      <c r="L771" s="7">
        <f>'1 datos preparados'!K764</f>
        <v/>
      </c>
      <c r="M771" s="7">
        <f>'1 datos preparados'!L764</f>
        <v/>
      </c>
      <c r="N771" s="7">
        <f>'1 datos preparados'!M764</f>
        <v/>
      </c>
      <c r="O771" s="7">
        <f>'1 datos preparados'!N764</f>
        <v/>
      </c>
      <c r="P771" s="7">
        <f>'1 datos preparados'!O764</f>
        <v/>
      </c>
      <c r="Q771" s="7">
        <f>'1 datos preparados'!P764</f>
        <v/>
      </c>
      <c r="R771" s="7">
        <f>'1 datos preparados'!Q764</f>
        <v/>
      </c>
      <c r="S771" s="7">
        <f>'1 datos preparados'!R764</f>
        <v/>
      </c>
      <c r="T771" s="7">
        <f>'1 datos preparados'!S764</f>
        <v/>
      </c>
      <c r="U771" s="7">
        <f>'1 datos preparados'!T764</f>
        <v/>
      </c>
      <c r="V771" s="8">
        <f>$AC$12+D771*$AC$13+E771*$AC$14+F771*$AC$15+G771*$AC$16+H771*$AC$17+I771*$AC$18+J771*$AC$19+K771*$AC$20+L771*$AC$21+M771*$AC$22+N771*$AC$23+O771*$AC$24+P771*$AC$25+Q771*$AC$26+R771*$AC$27+S771*$AC$28+T771*$AC$29+U771*$AC$30</f>
        <v/>
      </c>
      <c r="W771" s="8">
        <f>1/(1+EXP(-V771))</f>
        <v/>
      </c>
      <c r="X771" s="9">
        <f>-IF(C771=1,LN(W771),LN(1-W771))</f>
        <v/>
      </c>
      <c r="Y771" s="10">
        <f>IF(W771&gt;$AC$34,1,0)</f>
        <v/>
      </c>
      <c r="Z771">
        <f>IF(Y771=C771,1,0)</f>
        <v/>
      </c>
    </row>
    <row r="772">
      <c r="A772">
        <f>'1 datos preparados'!A765</f>
        <v/>
      </c>
      <c r="B772" s="5">
        <f>'1 datos preparados'!U765</f>
        <v/>
      </c>
      <c r="C772">
        <f>'1 datos preparados'!B765</f>
        <v/>
      </c>
      <c r="D772" s="7">
        <f>'1 datos preparados'!C765</f>
        <v/>
      </c>
      <c r="E772" s="7">
        <f>'1 datos preparados'!D765</f>
        <v/>
      </c>
      <c r="F772" s="7">
        <f>'1 datos preparados'!E765</f>
        <v/>
      </c>
      <c r="G772" s="7">
        <f>'1 datos preparados'!F765</f>
        <v/>
      </c>
      <c r="H772" s="7">
        <f>'1 datos preparados'!G765</f>
        <v/>
      </c>
      <c r="I772" s="7">
        <f>'1 datos preparados'!H765</f>
        <v/>
      </c>
      <c r="J772" s="7">
        <f>'1 datos preparados'!I765</f>
        <v/>
      </c>
      <c r="K772" s="7">
        <f>'1 datos preparados'!J765</f>
        <v/>
      </c>
      <c r="L772" s="7">
        <f>'1 datos preparados'!K765</f>
        <v/>
      </c>
      <c r="M772" s="7">
        <f>'1 datos preparados'!L765</f>
        <v/>
      </c>
      <c r="N772" s="7">
        <f>'1 datos preparados'!M765</f>
        <v/>
      </c>
      <c r="O772" s="7">
        <f>'1 datos preparados'!N765</f>
        <v/>
      </c>
      <c r="P772" s="7">
        <f>'1 datos preparados'!O765</f>
        <v/>
      </c>
      <c r="Q772" s="7">
        <f>'1 datos preparados'!P765</f>
        <v/>
      </c>
      <c r="R772" s="7">
        <f>'1 datos preparados'!Q765</f>
        <v/>
      </c>
      <c r="S772" s="7">
        <f>'1 datos preparados'!R765</f>
        <v/>
      </c>
      <c r="T772" s="7">
        <f>'1 datos preparados'!S765</f>
        <v/>
      </c>
      <c r="U772" s="7">
        <f>'1 datos preparados'!T765</f>
        <v/>
      </c>
      <c r="V772" s="8">
        <f>$AC$12+D772*$AC$13+E772*$AC$14+F772*$AC$15+G772*$AC$16+H772*$AC$17+I772*$AC$18+J772*$AC$19+K772*$AC$20+L772*$AC$21+M772*$AC$22+N772*$AC$23+O772*$AC$24+P772*$AC$25+Q772*$AC$26+R772*$AC$27+S772*$AC$28+T772*$AC$29+U772*$AC$30</f>
        <v/>
      </c>
      <c r="W772" s="8">
        <f>1/(1+EXP(-V772))</f>
        <v/>
      </c>
      <c r="X772" s="9">
        <f>-IF(C772=1,LN(W772),LN(1-W772))</f>
        <v/>
      </c>
      <c r="Y772" s="10">
        <f>IF(W772&gt;$AC$34,1,0)</f>
        <v/>
      </c>
      <c r="Z772">
        <f>IF(Y772=C772,1,0)</f>
        <v/>
      </c>
    </row>
    <row r="773">
      <c r="A773">
        <f>'1 datos preparados'!A766</f>
        <v/>
      </c>
      <c r="B773" s="5">
        <f>'1 datos preparados'!U766</f>
        <v/>
      </c>
      <c r="C773">
        <f>'1 datos preparados'!B766</f>
        <v/>
      </c>
      <c r="D773" s="7">
        <f>'1 datos preparados'!C766</f>
        <v/>
      </c>
      <c r="E773" s="7">
        <f>'1 datos preparados'!D766</f>
        <v/>
      </c>
      <c r="F773" s="7">
        <f>'1 datos preparados'!E766</f>
        <v/>
      </c>
      <c r="G773" s="7">
        <f>'1 datos preparados'!F766</f>
        <v/>
      </c>
      <c r="H773" s="7">
        <f>'1 datos preparados'!G766</f>
        <v/>
      </c>
      <c r="I773" s="7">
        <f>'1 datos preparados'!H766</f>
        <v/>
      </c>
      <c r="J773" s="7">
        <f>'1 datos preparados'!I766</f>
        <v/>
      </c>
      <c r="K773" s="7">
        <f>'1 datos preparados'!J766</f>
        <v/>
      </c>
      <c r="L773" s="7">
        <f>'1 datos preparados'!K766</f>
        <v/>
      </c>
      <c r="M773" s="7">
        <f>'1 datos preparados'!L766</f>
        <v/>
      </c>
      <c r="N773" s="7">
        <f>'1 datos preparados'!M766</f>
        <v/>
      </c>
      <c r="O773" s="7">
        <f>'1 datos preparados'!N766</f>
        <v/>
      </c>
      <c r="P773" s="7">
        <f>'1 datos preparados'!O766</f>
        <v/>
      </c>
      <c r="Q773" s="7">
        <f>'1 datos preparados'!P766</f>
        <v/>
      </c>
      <c r="R773" s="7">
        <f>'1 datos preparados'!Q766</f>
        <v/>
      </c>
      <c r="S773" s="7">
        <f>'1 datos preparados'!R766</f>
        <v/>
      </c>
      <c r="T773" s="7">
        <f>'1 datos preparados'!S766</f>
        <v/>
      </c>
      <c r="U773" s="7">
        <f>'1 datos preparados'!T766</f>
        <v/>
      </c>
      <c r="V773" s="8">
        <f>$AC$12+D773*$AC$13+E773*$AC$14+F773*$AC$15+G773*$AC$16+H773*$AC$17+I773*$AC$18+J773*$AC$19+K773*$AC$20+L773*$AC$21+M773*$AC$22+N773*$AC$23+O773*$AC$24+P773*$AC$25+Q773*$AC$26+R773*$AC$27+S773*$AC$28+T773*$AC$29+U773*$AC$30</f>
        <v/>
      </c>
      <c r="W773" s="8">
        <f>1/(1+EXP(-V773))</f>
        <v/>
      </c>
      <c r="X773" s="9">
        <f>-IF(C773=1,LN(W773),LN(1-W773))</f>
        <v/>
      </c>
      <c r="Y773" s="10">
        <f>IF(W773&gt;$AC$34,1,0)</f>
        <v/>
      </c>
      <c r="Z773">
        <f>IF(Y773=C773,1,0)</f>
        <v/>
      </c>
    </row>
    <row r="774">
      <c r="A774">
        <f>'1 datos preparados'!A767</f>
        <v/>
      </c>
      <c r="B774" s="5">
        <f>'1 datos preparados'!U767</f>
        <v/>
      </c>
      <c r="C774">
        <f>'1 datos preparados'!B767</f>
        <v/>
      </c>
      <c r="D774" s="7">
        <f>'1 datos preparados'!C767</f>
        <v/>
      </c>
      <c r="E774" s="7">
        <f>'1 datos preparados'!D767</f>
        <v/>
      </c>
      <c r="F774" s="7">
        <f>'1 datos preparados'!E767</f>
        <v/>
      </c>
      <c r="G774" s="7">
        <f>'1 datos preparados'!F767</f>
        <v/>
      </c>
      <c r="H774" s="7">
        <f>'1 datos preparados'!G767</f>
        <v/>
      </c>
      <c r="I774" s="7">
        <f>'1 datos preparados'!H767</f>
        <v/>
      </c>
      <c r="J774" s="7">
        <f>'1 datos preparados'!I767</f>
        <v/>
      </c>
      <c r="K774" s="7">
        <f>'1 datos preparados'!J767</f>
        <v/>
      </c>
      <c r="L774" s="7">
        <f>'1 datos preparados'!K767</f>
        <v/>
      </c>
      <c r="M774" s="7">
        <f>'1 datos preparados'!L767</f>
        <v/>
      </c>
      <c r="N774" s="7">
        <f>'1 datos preparados'!M767</f>
        <v/>
      </c>
      <c r="O774" s="7">
        <f>'1 datos preparados'!N767</f>
        <v/>
      </c>
      <c r="P774" s="7">
        <f>'1 datos preparados'!O767</f>
        <v/>
      </c>
      <c r="Q774" s="7">
        <f>'1 datos preparados'!P767</f>
        <v/>
      </c>
      <c r="R774" s="7">
        <f>'1 datos preparados'!Q767</f>
        <v/>
      </c>
      <c r="S774" s="7">
        <f>'1 datos preparados'!R767</f>
        <v/>
      </c>
      <c r="T774" s="7">
        <f>'1 datos preparados'!S767</f>
        <v/>
      </c>
      <c r="U774" s="7">
        <f>'1 datos preparados'!T767</f>
        <v/>
      </c>
      <c r="V774" s="8">
        <f>$AC$12+D774*$AC$13+E774*$AC$14+F774*$AC$15+G774*$AC$16+H774*$AC$17+I774*$AC$18+J774*$AC$19+K774*$AC$20+L774*$AC$21+M774*$AC$22+N774*$AC$23+O774*$AC$24+P774*$AC$25+Q774*$AC$26+R774*$AC$27+S774*$AC$28+T774*$AC$29+U774*$AC$30</f>
        <v/>
      </c>
      <c r="W774" s="8">
        <f>1/(1+EXP(-V774))</f>
        <v/>
      </c>
      <c r="X774" s="9">
        <f>-IF(C774=1,LN(W774),LN(1-W774))</f>
        <v/>
      </c>
      <c r="Y774" s="10">
        <f>IF(W774&gt;$AC$34,1,0)</f>
        <v/>
      </c>
      <c r="Z774">
        <f>IF(Y774=C774,1,0)</f>
        <v/>
      </c>
    </row>
    <row r="775">
      <c r="A775">
        <f>'1 datos preparados'!A768</f>
        <v/>
      </c>
      <c r="B775" s="5">
        <f>'1 datos preparados'!U768</f>
        <v/>
      </c>
      <c r="C775">
        <f>'1 datos preparados'!B768</f>
        <v/>
      </c>
      <c r="D775" s="7">
        <f>'1 datos preparados'!C768</f>
        <v/>
      </c>
      <c r="E775" s="7">
        <f>'1 datos preparados'!D768</f>
        <v/>
      </c>
      <c r="F775" s="7">
        <f>'1 datos preparados'!E768</f>
        <v/>
      </c>
      <c r="G775" s="7">
        <f>'1 datos preparados'!F768</f>
        <v/>
      </c>
      <c r="H775" s="7">
        <f>'1 datos preparados'!G768</f>
        <v/>
      </c>
      <c r="I775" s="7">
        <f>'1 datos preparados'!H768</f>
        <v/>
      </c>
      <c r="J775" s="7">
        <f>'1 datos preparados'!I768</f>
        <v/>
      </c>
      <c r="K775" s="7">
        <f>'1 datos preparados'!J768</f>
        <v/>
      </c>
      <c r="L775" s="7">
        <f>'1 datos preparados'!K768</f>
        <v/>
      </c>
      <c r="M775" s="7">
        <f>'1 datos preparados'!L768</f>
        <v/>
      </c>
      <c r="N775" s="7">
        <f>'1 datos preparados'!M768</f>
        <v/>
      </c>
      <c r="O775" s="7">
        <f>'1 datos preparados'!N768</f>
        <v/>
      </c>
      <c r="P775" s="7">
        <f>'1 datos preparados'!O768</f>
        <v/>
      </c>
      <c r="Q775" s="7">
        <f>'1 datos preparados'!P768</f>
        <v/>
      </c>
      <c r="R775" s="7">
        <f>'1 datos preparados'!Q768</f>
        <v/>
      </c>
      <c r="S775" s="7">
        <f>'1 datos preparados'!R768</f>
        <v/>
      </c>
      <c r="T775" s="7">
        <f>'1 datos preparados'!S768</f>
        <v/>
      </c>
      <c r="U775" s="7">
        <f>'1 datos preparados'!T768</f>
        <v/>
      </c>
      <c r="V775" s="8">
        <f>$AC$12+D775*$AC$13+E775*$AC$14+F775*$AC$15+G775*$AC$16+H775*$AC$17+I775*$AC$18+J775*$AC$19+K775*$AC$20+L775*$AC$21+M775*$AC$22+N775*$AC$23+O775*$AC$24+P775*$AC$25+Q775*$AC$26+R775*$AC$27+S775*$AC$28+T775*$AC$29+U775*$AC$30</f>
        <v/>
      </c>
      <c r="W775" s="8">
        <f>1/(1+EXP(-V775))</f>
        <v/>
      </c>
      <c r="X775" s="9">
        <f>-IF(C775=1,LN(W775),LN(1-W775))</f>
        <v/>
      </c>
      <c r="Y775" s="10">
        <f>IF(W775&gt;$AC$34,1,0)</f>
        <v/>
      </c>
      <c r="Z775">
        <f>IF(Y775=C775,1,0)</f>
        <v/>
      </c>
    </row>
    <row r="776">
      <c r="A776">
        <f>'1 datos preparados'!A769</f>
        <v/>
      </c>
      <c r="B776" s="5">
        <f>'1 datos preparados'!U769</f>
        <v/>
      </c>
      <c r="C776">
        <f>'1 datos preparados'!B769</f>
        <v/>
      </c>
      <c r="D776" s="7">
        <f>'1 datos preparados'!C769</f>
        <v/>
      </c>
      <c r="E776" s="7">
        <f>'1 datos preparados'!D769</f>
        <v/>
      </c>
      <c r="F776" s="7">
        <f>'1 datos preparados'!E769</f>
        <v/>
      </c>
      <c r="G776" s="7">
        <f>'1 datos preparados'!F769</f>
        <v/>
      </c>
      <c r="H776" s="7">
        <f>'1 datos preparados'!G769</f>
        <v/>
      </c>
      <c r="I776" s="7">
        <f>'1 datos preparados'!H769</f>
        <v/>
      </c>
      <c r="J776" s="7">
        <f>'1 datos preparados'!I769</f>
        <v/>
      </c>
      <c r="K776" s="7">
        <f>'1 datos preparados'!J769</f>
        <v/>
      </c>
      <c r="L776" s="7">
        <f>'1 datos preparados'!K769</f>
        <v/>
      </c>
      <c r="M776" s="7">
        <f>'1 datos preparados'!L769</f>
        <v/>
      </c>
      <c r="N776" s="7">
        <f>'1 datos preparados'!M769</f>
        <v/>
      </c>
      <c r="O776" s="7">
        <f>'1 datos preparados'!N769</f>
        <v/>
      </c>
      <c r="P776" s="7">
        <f>'1 datos preparados'!O769</f>
        <v/>
      </c>
      <c r="Q776" s="7">
        <f>'1 datos preparados'!P769</f>
        <v/>
      </c>
      <c r="R776" s="7">
        <f>'1 datos preparados'!Q769</f>
        <v/>
      </c>
      <c r="S776" s="7">
        <f>'1 datos preparados'!R769</f>
        <v/>
      </c>
      <c r="T776" s="7">
        <f>'1 datos preparados'!S769</f>
        <v/>
      </c>
      <c r="U776" s="7">
        <f>'1 datos preparados'!T769</f>
        <v/>
      </c>
      <c r="V776" s="8">
        <f>$AC$12+D776*$AC$13+E776*$AC$14+F776*$AC$15+G776*$AC$16+H776*$AC$17+I776*$AC$18+J776*$AC$19+K776*$AC$20+L776*$AC$21+M776*$AC$22+N776*$AC$23+O776*$AC$24+P776*$AC$25+Q776*$AC$26+R776*$AC$27+S776*$AC$28+T776*$AC$29+U776*$AC$30</f>
        <v/>
      </c>
      <c r="W776" s="8">
        <f>1/(1+EXP(-V776))</f>
        <v/>
      </c>
      <c r="X776" s="9">
        <f>-IF(C776=1,LN(W776),LN(1-W776))</f>
        <v/>
      </c>
      <c r="Y776" s="10">
        <f>IF(W776&gt;$AC$34,1,0)</f>
        <v/>
      </c>
      <c r="Z776">
        <f>IF(Y776=C776,1,0)</f>
        <v/>
      </c>
    </row>
    <row r="777">
      <c r="A777">
        <f>'1 datos preparados'!A770</f>
        <v/>
      </c>
      <c r="B777" s="5">
        <f>'1 datos preparados'!U770</f>
        <v/>
      </c>
      <c r="C777">
        <f>'1 datos preparados'!B770</f>
        <v/>
      </c>
      <c r="D777" s="7">
        <f>'1 datos preparados'!C770</f>
        <v/>
      </c>
      <c r="E777" s="7">
        <f>'1 datos preparados'!D770</f>
        <v/>
      </c>
      <c r="F777" s="7">
        <f>'1 datos preparados'!E770</f>
        <v/>
      </c>
      <c r="G777" s="7">
        <f>'1 datos preparados'!F770</f>
        <v/>
      </c>
      <c r="H777" s="7">
        <f>'1 datos preparados'!G770</f>
        <v/>
      </c>
      <c r="I777" s="7">
        <f>'1 datos preparados'!H770</f>
        <v/>
      </c>
      <c r="J777" s="7">
        <f>'1 datos preparados'!I770</f>
        <v/>
      </c>
      <c r="K777" s="7">
        <f>'1 datos preparados'!J770</f>
        <v/>
      </c>
      <c r="L777" s="7">
        <f>'1 datos preparados'!K770</f>
        <v/>
      </c>
      <c r="M777" s="7">
        <f>'1 datos preparados'!L770</f>
        <v/>
      </c>
      <c r="N777" s="7">
        <f>'1 datos preparados'!M770</f>
        <v/>
      </c>
      <c r="O777" s="7">
        <f>'1 datos preparados'!N770</f>
        <v/>
      </c>
      <c r="P777" s="7">
        <f>'1 datos preparados'!O770</f>
        <v/>
      </c>
      <c r="Q777" s="7">
        <f>'1 datos preparados'!P770</f>
        <v/>
      </c>
      <c r="R777" s="7">
        <f>'1 datos preparados'!Q770</f>
        <v/>
      </c>
      <c r="S777" s="7">
        <f>'1 datos preparados'!R770</f>
        <v/>
      </c>
      <c r="T777" s="7">
        <f>'1 datos preparados'!S770</f>
        <v/>
      </c>
      <c r="U777" s="7">
        <f>'1 datos preparados'!T770</f>
        <v/>
      </c>
      <c r="V777" s="8">
        <f>$AC$12+D777*$AC$13+E777*$AC$14+F777*$AC$15+G777*$AC$16+H777*$AC$17+I777*$AC$18+J777*$AC$19+K777*$AC$20+L777*$AC$21+M777*$AC$22+N777*$AC$23+O777*$AC$24+P777*$AC$25+Q777*$AC$26+R777*$AC$27+S777*$AC$28+T777*$AC$29+U777*$AC$30</f>
        <v/>
      </c>
      <c r="W777" s="8">
        <f>1/(1+EXP(-V777))</f>
        <v/>
      </c>
      <c r="X777" s="9">
        <f>-IF(C777=1,LN(W777),LN(1-W777))</f>
        <v/>
      </c>
      <c r="Y777" s="10">
        <f>IF(W777&gt;$AC$34,1,0)</f>
        <v/>
      </c>
      <c r="Z777">
        <f>IF(Y777=C777,1,0)</f>
        <v/>
      </c>
    </row>
    <row r="778">
      <c r="A778">
        <f>'1 datos preparados'!A771</f>
        <v/>
      </c>
      <c r="B778" s="5">
        <f>'1 datos preparados'!U771</f>
        <v/>
      </c>
      <c r="C778">
        <f>'1 datos preparados'!B771</f>
        <v/>
      </c>
      <c r="D778" s="7">
        <f>'1 datos preparados'!C771</f>
        <v/>
      </c>
      <c r="E778" s="7">
        <f>'1 datos preparados'!D771</f>
        <v/>
      </c>
      <c r="F778" s="7">
        <f>'1 datos preparados'!E771</f>
        <v/>
      </c>
      <c r="G778" s="7">
        <f>'1 datos preparados'!F771</f>
        <v/>
      </c>
      <c r="H778" s="7">
        <f>'1 datos preparados'!G771</f>
        <v/>
      </c>
      <c r="I778" s="7">
        <f>'1 datos preparados'!H771</f>
        <v/>
      </c>
      <c r="J778" s="7">
        <f>'1 datos preparados'!I771</f>
        <v/>
      </c>
      <c r="K778" s="7">
        <f>'1 datos preparados'!J771</f>
        <v/>
      </c>
      <c r="L778" s="7">
        <f>'1 datos preparados'!K771</f>
        <v/>
      </c>
      <c r="M778" s="7">
        <f>'1 datos preparados'!L771</f>
        <v/>
      </c>
      <c r="N778" s="7">
        <f>'1 datos preparados'!M771</f>
        <v/>
      </c>
      <c r="O778" s="7">
        <f>'1 datos preparados'!N771</f>
        <v/>
      </c>
      <c r="P778" s="7">
        <f>'1 datos preparados'!O771</f>
        <v/>
      </c>
      <c r="Q778" s="7">
        <f>'1 datos preparados'!P771</f>
        <v/>
      </c>
      <c r="R778" s="7">
        <f>'1 datos preparados'!Q771</f>
        <v/>
      </c>
      <c r="S778" s="7">
        <f>'1 datos preparados'!R771</f>
        <v/>
      </c>
      <c r="T778" s="7">
        <f>'1 datos preparados'!S771</f>
        <v/>
      </c>
      <c r="U778" s="7">
        <f>'1 datos preparados'!T771</f>
        <v/>
      </c>
      <c r="V778" s="8">
        <f>$AC$12+D778*$AC$13+E778*$AC$14+F778*$AC$15+G778*$AC$16+H778*$AC$17+I778*$AC$18+J778*$AC$19+K778*$AC$20+L778*$AC$21+M778*$AC$22+N778*$AC$23+O778*$AC$24+P778*$AC$25+Q778*$AC$26+R778*$AC$27+S778*$AC$28+T778*$AC$29+U778*$AC$30</f>
        <v/>
      </c>
      <c r="W778" s="8">
        <f>1/(1+EXP(-V778))</f>
        <v/>
      </c>
      <c r="X778" s="9">
        <f>-IF(C778=1,LN(W778),LN(1-W778))</f>
        <v/>
      </c>
      <c r="Y778" s="10">
        <f>IF(W778&gt;$AC$34,1,0)</f>
        <v/>
      </c>
      <c r="Z778">
        <f>IF(Y778=C778,1,0)</f>
        <v/>
      </c>
    </row>
    <row r="779">
      <c r="A779">
        <f>'1 datos preparados'!A772</f>
        <v/>
      </c>
      <c r="B779" s="5">
        <f>'1 datos preparados'!U772</f>
        <v/>
      </c>
      <c r="C779">
        <f>'1 datos preparados'!B772</f>
        <v/>
      </c>
      <c r="D779" s="7">
        <f>'1 datos preparados'!C772</f>
        <v/>
      </c>
      <c r="E779" s="7">
        <f>'1 datos preparados'!D772</f>
        <v/>
      </c>
      <c r="F779" s="7">
        <f>'1 datos preparados'!E772</f>
        <v/>
      </c>
      <c r="G779" s="7">
        <f>'1 datos preparados'!F772</f>
        <v/>
      </c>
      <c r="H779" s="7">
        <f>'1 datos preparados'!G772</f>
        <v/>
      </c>
      <c r="I779" s="7">
        <f>'1 datos preparados'!H772</f>
        <v/>
      </c>
      <c r="J779" s="7">
        <f>'1 datos preparados'!I772</f>
        <v/>
      </c>
      <c r="K779" s="7">
        <f>'1 datos preparados'!J772</f>
        <v/>
      </c>
      <c r="L779" s="7">
        <f>'1 datos preparados'!K772</f>
        <v/>
      </c>
      <c r="M779" s="7">
        <f>'1 datos preparados'!L772</f>
        <v/>
      </c>
      <c r="N779" s="7">
        <f>'1 datos preparados'!M772</f>
        <v/>
      </c>
      <c r="O779" s="7">
        <f>'1 datos preparados'!N772</f>
        <v/>
      </c>
      <c r="P779" s="7">
        <f>'1 datos preparados'!O772</f>
        <v/>
      </c>
      <c r="Q779" s="7">
        <f>'1 datos preparados'!P772</f>
        <v/>
      </c>
      <c r="R779" s="7">
        <f>'1 datos preparados'!Q772</f>
        <v/>
      </c>
      <c r="S779" s="7">
        <f>'1 datos preparados'!R772</f>
        <v/>
      </c>
      <c r="T779" s="7">
        <f>'1 datos preparados'!S772</f>
        <v/>
      </c>
      <c r="U779" s="7">
        <f>'1 datos preparados'!T772</f>
        <v/>
      </c>
      <c r="V779" s="8">
        <f>$AC$12+D779*$AC$13+E779*$AC$14+F779*$AC$15+G779*$AC$16+H779*$AC$17+I779*$AC$18+J779*$AC$19+K779*$AC$20+L779*$AC$21+M779*$AC$22+N779*$AC$23+O779*$AC$24+P779*$AC$25+Q779*$AC$26+R779*$AC$27+S779*$AC$28+T779*$AC$29+U779*$AC$30</f>
        <v/>
      </c>
      <c r="W779" s="8">
        <f>1/(1+EXP(-V779))</f>
        <v/>
      </c>
      <c r="X779" s="9">
        <f>-IF(C779=1,LN(W779),LN(1-W779))</f>
        <v/>
      </c>
      <c r="Y779" s="10">
        <f>IF(W779&gt;$AC$34,1,0)</f>
        <v/>
      </c>
      <c r="Z779">
        <f>IF(Y779=C779,1,0)</f>
        <v/>
      </c>
    </row>
    <row r="780">
      <c r="A780">
        <f>'1 datos preparados'!A773</f>
        <v/>
      </c>
      <c r="B780" s="5">
        <f>'1 datos preparados'!U773</f>
        <v/>
      </c>
      <c r="C780">
        <f>'1 datos preparados'!B773</f>
        <v/>
      </c>
      <c r="D780" s="7">
        <f>'1 datos preparados'!C773</f>
        <v/>
      </c>
      <c r="E780" s="7">
        <f>'1 datos preparados'!D773</f>
        <v/>
      </c>
      <c r="F780" s="7">
        <f>'1 datos preparados'!E773</f>
        <v/>
      </c>
      <c r="G780" s="7">
        <f>'1 datos preparados'!F773</f>
        <v/>
      </c>
      <c r="H780" s="7">
        <f>'1 datos preparados'!G773</f>
        <v/>
      </c>
      <c r="I780" s="7">
        <f>'1 datos preparados'!H773</f>
        <v/>
      </c>
      <c r="J780" s="7">
        <f>'1 datos preparados'!I773</f>
        <v/>
      </c>
      <c r="K780" s="7">
        <f>'1 datos preparados'!J773</f>
        <v/>
      </c>
      <c r="L780" s="7">
        <f>'1 datos preparados'!K773</f>
        <v/>
      </c>
      <c r="M780" s="7">
        <f>'1 datos preparados'!L773</f>
        <v/>
      </c>
      <c r="N780" s="7">
        <f>'1 datos preparados'!M773</f>
        <v/>
      </c>
      <c r="O780" s="7">
        <f>'1 datos preparados'!N773</f>
        <v/>
      </c>
      <c r="P780" s="7">
        <f>'1 datos preparados'!O773</f>
        <v/>
      </c>
      <c r="Q780" s="7">
        <f>'1 datos preparados'!P773</f>
        <v/>
      </c>
      <c r="R780" s="7">
        <f>'1 datos preparados'!Q773</f>
        <v/>
      </c>
      <c r="S780" s="7">
        <f>'1 datos preparados'!R773</f>
        <v/>
      </c>
      <c r="T780" s="7">
        <f>'1 datos preparados'!S773</f>
        <v/>
      </c>
      <c r="U780" s="7">
        <f>'1 datos preparados'!T773</f>
        <v/>
      </c>
      <c r="V780" s="8">
        <f>$AC$12+D780*$AC$13+E780*$AC$14+F780*$AC$15+G780*$AC$16+H780*$AC$17+I780*$AC$18+J780*$AC$19+K780*$AC$20+L780*$AC$21+M780*$AC$22+N780*$AC$23+O780*$AC$24+P780*$AC$25+Q780*$AC$26+R780*$AC$27+S780*$AC$28+T780*$AC$29+U780*$AC$30</f>
        <v/>
      </c>
      <c r="W780" s="8">
        <f>1/(1+EXP(-V780))</f>
        <v/>
      </c>
      <c r="X780" s="9">
        <f>-IF(C780=1,LN(W780),LN(1-W780))</f>
        <v/>
      </c>
      <c r="Y780" s="10">
        <f>IF(W780&gt;$AC$34,1,0)</f>
        <v/>
      </c>
      <c r="Z780">
        <f>IF(Y780=C780,1,0)</f>
        <v/>
      </c>
    </row>
    <row r="781">
      <c r="A781">
        <f>'1 datos preparados'!A774</f>
        <v/>
      </c>
      <c r="B781" s="5">
        <f>'1 datos preparados'!U774</f>
        <v/>
      </c>
      <c r="C781">
        <f>'1 datos preparados'!B774</f>
        <v/>
      </c>
      <c r="D781" s="7">
        <f>'1 datos preparados'!C774</f>
        <v/>
      </c>
      <c r="E781" s="7">
        <f>'1 datos preparados'!D774</f>
        <v/>
      </c>
      <c r="F781" s="7">
        <f>'1 datos preparados'!E774</f>
        <v/>
      </c>
      <c r="G781" s="7">
        <f>'1 datos preparados'!F774</f>
        <v/>
      </c>
      <c r="H781" s="7">
        <f>'1 datos preparados'!G774</f>
        <v/>
      </c>
      <c r="I781" s="7">
        <f>'1 datos preparados'!H774</f>
        <v/>
      </c>
      <c r="J781" s="7">
        <f>'1 datos preparados'!I774</f>
        <v/>
      </c>
      <c r="K781" s="7">
        <f>'1 datos preparados'!J774</f>
        <v/>
      </c>
      <c r="L781" s="7">
        <f>'1 datos preparados'!K774</f>
        <v/>
      </c>
      <c r="M781" s="7">
        <f>'1 datos preparados'!L774</f>
        <v/>
      </c>
      <c r="N781" s="7">
        <f>'1 datos preparados'!M774</f>
        <v/>
      </c>
      <c r="O781" s="7">
        <f>'1 datos preparados'!N774</f>
        <v/>
      </c>
      <c r="P781" s="7">
        <f>'1 datos preparados'!O774</f>
        <v/>
      </c>
      <c r="Q781" s="7">
        <f>'1 datos preparados'!P774</f>
        <v/>
      </c>
      <c r="R781" s="7">
        <f>'1 datos preparados'!Q774</f>
        <v/>
      </c>
      <c r="S781" s="7">
        <f>'1 datos preparados'!R774</f>
        <v/>
      </c>
      <c r="T781" s="7">
        <f>'1 datos preparados'!S774</f>
        <v/>
      </c>
      <c r="U781" s="7">
        <f>'1 datos preparados'!T774</f>
        <v/>
      </c>
      <c r="V781" s="8">
        <f>$AC$12+D781*$AC$13+E781*$AC$14+F781*$AC$15+G781*$AC$16+H781*$AC$17+I781*$AC$18+J781*$AC$19+K781*$AC$20+L781*$AC$21+M781*$AC$22+N781*$AC$23+O781*$AC$24+P781*$AC$25+Q781*$AC$26+R781*$AC$27+S781*$AC$28+T781*$AC$29+U781*$AC$30</f>
        <v/>
      </c>
      <c r="W781" s="8">
        <f>1/(1+EXP(-V781))</f>
        <v/>
      </c>
      <c r="X781" s="9">
        <f>-IF(C781=1,LN(W781),LN(1-W781))</f>
        <v/>
      </c>
      <c r="Y781" s="10">
        <f>IF(W781&gt;$AC$34,1,0)</f>
        <v/>
      </c>
      <c r="Z781">
        <f>IF(Y781=C781,1,0)</f>
        <v/>
      </c>
    </row>
    <row r="782">
      <c r="A782">
        <f>'1 datos preparados'!A775</f>
        <v/>
      </c>
      <c r="B782" s="5">
        <f>'1 datos preparados'!U775</f>
        <v/>
      </c>
      <c r="C782">
        <f>'1 datos preparados'!B775</f>
        <v/>
      </c>
      <c r="D782" s="7">
        <f>'1 datos preparados'!C775</f>
        <v/>
      </c>
      <c r="E782" s="7">
        <f>'1 datos preparados'!D775</f>
        <v/>
      </c>
      <c r="F782" s="7">
        <f>'1 datos preparados'!E775</f>
        <v/>
      </c>
      <c r="G782" s="7">
        <f>'1 datos preparados'!F775</f>
        <v/>
      </c>
      <c r="H782" s="7">
        <f>'1 datos preparados'!G775</f>
        <v/>
      </c>
      <c r="I782" s="7">
        <f>'1 datos preparados'!H775</f>
        <v/>
      </c>
      <c r="J782" s="7">
        <f>'1 datos preparados'!I775</f>
        <v/>
      </c>
      <c r="K782" s="7">
        <f>'1 datos preparados'!J775</f>
        <v/>
      </c>
      <c r="L782" s="7">
        <f>'1 datos preparados'!K775</f>
        <v/>
      </c>
      <c r="M782" s="7">
        <f>'1 datos preparados'!L775</f>
        <v/>
      </c>
      <c r="N782" s="7">
        <f>'1 datos preparados'!M775</f>
        <v/>
      </c>
      <c r="O782" s="7">
        <f>'1 datos preparados'!N775</f>
        <v/>
      </c>
      <c r="P782" s="7">
        <f>'1 datos preparados'!O775</f>
        <v/>
      </c>
      <c r="Q782" s="7">
        <f>'1 datos preparados'!P775</f>
        <v/>
      </c>
      <c r="R782" s="7">
        <f>'1 datos preparados'!Q775</f>
        <v/>
      </c>
      <c r="S782" s="7">
        <f>'1 datos preparados'!R775</f>
        <v/>
      </c>
      <c r="T782" s="7">
        <f>'1 datos preparados'!S775</f>
        <v/>
      </c>
      <c r="U782" s="7">
        <f>'1 datos preparados'!T775</f>
        <v/>
      </c>
      <c r="V782" s="8">
        <f>$AC$12+D782*$AC$13+E782*$AC$14+F782*$AC$15+G782*$AC$16+H782*$AC$17+I782*$AC$18+J782*$AC$19+K782*$AC$20+L782*$AC$21+M782*$AC$22+N782*$AC$23+O782*$AC$24+P782*$AC$25+Q782*$AC$26+R782*$AC$27+S782*$AC$28+T782*$AC$29+U782*$AC$30</f>
        <v/>
      </c>
      <c r="W782" s="8">
        <f>1/(1+EXP(-V782))</f>
        <v/>
      </c>
      <c r="X782" s="9">
        <f>-IF(C782=1,LN(W782),LN(1-W782))</f>
        <v/>
      </c>
      <c r="Y782" s="10">
        <f>IF(W782&gt;$AC$34,1,0)</f>
        <v/>
      </c>
      <c r="Z782">
        <f>IF(Y782=C782,1,0)</f>
        <v/>
      </c>
    </row>
    <row r="783">
      <c r="A783">
        <f>'1 datos preparados'!A776</f>
        <v/>
      </c>
      <c r="B783" s="5">
        <f>'1 datos preparados'!U776</f>
        <v/>
      </c>
      <c r="C783">
        <f>'1 datos preparados'!B776</f>
        <v/>
      </c>
      <c r="D783" s="7">
        <f>'1 datos preparados'!C776</f>
        <v/>
      </c>
      <c r="E783" s="7">
        <f>'1 datos preparados'!D776</f>
        <v/>
      </c>
      <c r="F783" s="7">
        <f>'1 datos preparados'!E776</f>
        <v/>
      </c>
      <c r="G783" s="7">
        <f>'1 datos preparados'!F776</f>
        <v/>
      </c>
      <c r="H783" s="7">
        <f>'1 datos preparados'!G776</f>
        <v/>
      </c>
      <c r="I783" s="7">
        <f>'1 datos preparados'!H776</f>
        <v/>
      </c>
      <c r="J783" s="7">
        <f>'1 datos preparados'!I776</f>
        <v/>
      </c>
      <c r="K783" s="7">
        <f>'1 datos preparados'!J776</f>
        <v/>
      </c>
      <c r="L783" s="7">
        <f>'1 datos preparados'!K776</f>
        <v/>
      </c>
      <c r="M783" s="7">
        <f>'1 datos preparados'!L776</f>
        <v/>
      </c>
      <c r="N783" s="7">
        <f>'1 datos preparados'!M776</f>
        <v/>
      </c>
      <c r="O783" s="7">
        <f>'1 datos preparados'!N776</f>
        <v/>
      </c>
      <c r="P783" s="7">
        <f>'1 datos preparados'!O776</f>
        <v/>
      </c>
      <c r="Q783" s="7">
        <f>'1 datos preparados'!P776</f>
        <v/>
      </c>
      <c r="R783" s="7">
        <f>'1 datos preparados'!Q776</f>
        <v/>
      </c>
      <c r="S783" s="7">
        <f>'1 datos preparados'!R776</f>
        <v/>
      </c>
      <c r="T783" s="7">
        <f>'1 datos preparados'!S776</f>
        <v/>
      </c>
      <c r="U783" s="7">
        <f>'1 datos preparados'!T776</f>
        <v/>
      </c>
      <c r="V783" s="8">
        <f>$AC$12+D783*$AC$13+E783*$AC$14+F783*$AC$15+G783*$AC$16+H783*$AC$17+I783*$AC$18+J783*$AC$19+K783*$AC$20+L783*$AC$21+M783*$AC$22+N783*$AC$23+O783*$AC$24+P783*$AC$25+Q783*$AC$26+R783*$AC$27+S783*$AC$28+T783*$AC$29+U783*$AC$30</f>
        <v/>
      </c>
      <c r="W783" s="8">
        <f>1/(1+EXP(-V783))</f>
        <v/>
      </c>
      <c r="X783" s="9">
        <f>-IF(C783=1,LN(W783),LN(1-W783))</f>
        <v/>
      </c>
      <c r="Y783" s="10">
        <f>IF(W783&gt;$AC$34,1,0)</f>
        <v/>
      </c>
      <c r="Z783">
        <f>IF(Y783=C783,1,0)</f>
        <v/>
      </c>
    </row>
    <row r="784">
      <c r="A784">
        <f>'1 datos preparados'!A777</f>
        <v/>
      </c>
      <c r="B784" s="5">
        <f>'1 datos preparados'!U777</f>
        <v/>
      </c>
      <c r="C784">
        <f>'1 datos preparados'!B777</f>
        <v/>
      </c>
      <c r="D784" s="7">
        <f>'1 datos preparados'!C777</f>
        <v/>
      </c>
      <c r="E784" s="7">
        <f>'1 datos preparados'!D777</f>
        <v/>
      </c>
      <c r="F784" s="7">
        <f>'1 datos preparados'!E777</f>
        <v/>
      </c>
      <c r="G784" s="7">
        <f>'1 datos preparados'!F777</f>
        <v/>
      </c>
      <c r="H784" s="7">
        <f>'1 datos preparados'!G777</f>
        <v/>
      </c>
      <c r="I784" s="7">
        <f>'1 datos preparados'!H777</f>
        <v/>
      </c>
      <c r="J784" s="7">
        <f>'1 datos preparados'!I777</f>
        <v/>
      </c>
      <c r="K784" s="7">
        <f>'1 datos preparados'!J777</f>
        <v/>
      </c>
      <c r="L784" s="7">
        <f>'1 datos preparados'!K777</f>
        <v/>
      </c>
      <c r="M784" s="7">
        <f>'1 datos preparados'!L777</f>
        <v/>
      </c>
      <c r="N784" s="7">
        <f>'1 datos preparados'!M777</f>
        <v/>
      </c>
      <c r="O784" s="7">
        <f>'1 datos preparados'!N777</f>
        <v/>
      </c>
      <c r="P784" s="7">
        <f>'1 datos preparados'!O777</f>
        <v/>
      </c>
      <c r="Q784" s="7">
        <f>'1 datos preparados'!P777</f>
        <v/>
      </c>
      <c r="R784" s="7">
        <f>'1 datos preparados'!Q777</f>
        <v/>
      </c>
      <c r="S784" s="7">
        <f>'1 datos preparados'!R777</f>
        <v/>
      </c>
      <c r="T784" s="7">
        <f>'1 datos preparados'!S777</f>
        <v/>
      </c>
      <c r="U784" s="7">
        <f>'1 datos preparados'!T777</f>
        <v/>
      </c>
      <c r="V784" s="8">
        <f>$AC$12+D784*$AC$13+E784*$AC$14+F784*$AC$15+G784*$AC$16+H784*$AC$17+I784*$AC$18+J784*$AC$19+K784*$AC$20+L784*$AC$21+M784*$AC$22+N784*$AC$23+O784*$AC$24+P784*$AC$25+Q784*$AC$26+R784*$AC$27+S784*$AC$28+T784*$AC$29+U784*$AC$30</f>
        <v/>
      </c>
      <c r="W784" s="8">
        <f>1/(1+EXP(-V784))</f>
        <v/>
      </c>
      <c r="X784" s="9">
        <f>-IF(C784=1,LN(W784),LN(1-W784))</f>
        <v/>
      </c>
      <c r="Y784" s="10">
        <f>IF(W784&gt;$AC$34,1,0)</f>
        <v/>
      </c>
      <c r="Z784">
        <f>IF(Y784=C784,1,0)</f>
        <v/>
      </c>
    </row>
    <row r="785">
      <c r="A785">
        <f>'1 datos preparados'!A778</f>
        <v/>
      </c>
      <c r="B785" s="5">
        <f>'1 datos preparados'!U778</f>
        <v/>
      </c>
      <c r="C785">
        <f>'1 datos preparados'!B778</f>
        <v/>
      </c>
      <c r="D785" s="7">
        <f>'1 datos preparados'!C778</f>
        <v/>
      </c>
      <c r="E785" s="7">
        <f>'1 datos preparados'!D778</f>
        <v/>
      </c>
      <c r="F785" s="7">
        <f>'1 datos preparados'!E778</f>
        <v/>
      </c>
      <c r="G785" s="7">
        <f>'1 datos preparados'!F778</f>
        <v/>
      </c>
      <c r="H785" s="7">
        <f>'1 datos preparados'!G778</f>
        <v/>
      </c>
      <c r="I785" s="7">
        <f>'1 datos preparados'!H778</f>
        <v/>
      </c>
      <c r="J785" s="7">
        <f>'1 datos preparados'!I778</f>
        <v/>
      </c>
      <c r="K785" s="7">
        <f>'1 datos preparados'!J778</f>
        <v/>
      </c>
      <c r="L785" s="7">
        <f>'1 datos preparados'!K778</f>
        <v/>
      </c>
      <c r="M785" s="7">
        <f>'1 datos preparados'!L778</f>
        <v/>
      </c>
      <c r="N785" s="7">
        <f>'1 datos preparados'!M778</f>
        <v/>
      </c>
      <c r="O785" s="7">
        <f>'1 datos preparados'!N778</f>
        <v/>
      </c>
      <c r="P785" s="7">
        <f>'1 datos preparados'!O778</f>
        <v/>
      </c>
      <c r="Q785" s="7">
        <f>'1 datos preparados'!P778</f>
        <v/>
      </c>
      <c r="R785" s="7">
        <f>'1 datos preparados'!Q778</f>
        <v/>
      </c>
      <c r="S785" s="7">
        <f>'1 datos preparados'!R778</f>
        <v/>
      </c>
      <c r="T785" s="7">
        <f>'1 datos preparados'!S778</f>
        <v/>
      </c>
      <c r="U785" s="7">
        <f>'1 datos preparados'!T778</f>
        <v/>
      </c>
      <c r="V785" s="8">
        <f>$AC$12+D785*$AC$13+E785*$AC$14+F785*$AC$15+G785*$AC$16+H785*$AC$17+I785*$AC$18+J785*$AC$19+K785*$AC$20+L785*$AC$21+M785*$AC$22+N785*$AC$23+O785*$AC$24+P785*$AC$25+Q785*$AC$26+R785*$AC$27+S785*$AC$28+T785*$AC$29+U785*$AC$30</f>
        <v/>
      </c>
      <c r="W785" s="8">
        <f>1/(1+EXP(-V785))</f>
        <v/>
      </c>
      <c r="X785" s="9">
        <f>-IF(C785=1,LN(W785),LN(1-W785))</f>
        <v/>
      </c>
      <c r="Y785" s="10">
        <f>IF(W785&gt;$AC$34,1,0)</f>
        <v/>
      </c>
      <c r="Z785">
        <f>IF(Y785=C785,1,0)</f>
        <v/>
      </c>
    </row>
    <row r="786">
      <c r="A786">
        <f>'1 datos preparados'!A779</f>
        <v/>
      </c>
      <c r="B786" s="5">
        <f>'1 datos preparados'!U779</f>
        <v/>
      </c>
      <c r="C786">
        <f>'1 datos preparados'!B779</f>
        <v/>
      </c>
      <c r="D786" s="7">
        <f>'1 datos preparados'!C779</f>
        <v/>
      </c>
      <c r="E786" s="7">
        <f>'1 datos preparados'!D779</f>
        <v/>
      </c>
      <c r="F786" s="7">
        <f>'1 datos preparados'!E779</f>
        <v/>
      </c>
      <c r="G786" s="7">
        <f>'1 datos preparados'!F779</f>
        <v/>
      </c>
      <c r="H786" s="7">
        <f>'1 datos preparados'!G779</f>
        <v/>
      </c>
      <c r="I786" s="7">
        <f>'1 datos preparados'!H779</f>
        <v/>
      </c>
      <c r="J786" s="7">
        <f>'1 datos preparados'!I779</f>
        <v/>
      </c>
      <c r="K786" s="7">
        <f>'1 datos preparados'!J779</f>
        <v/>
      </c>
      <c r="L786" s="7">
        <f>'1 datos preparados'!K779</f>
        <v/>
      </c>
      <c r="M786" s="7">
        <f>'1 datos preparados'!L779</f>
        <v/>
      </c>
      <c r="N786" s="7">
        <f>'1 datos preparados'!M779</f>
        <v/>
      </c>
      <c r="O786" s="7">
        <f>'1 datos preparados'!N779</f>
        <v/>
      </c>
      <c r="P786" s="7">
        <f>'1 datos preparados'!O779</f>
        <v/>
      </c>
      <c r="Q786" s="7">
        <f>'1 datos preparados'!P779</f>
        <v/>
      </c>
      <c r="R786" s="7">
        <f>'1 datos preparados'!Q779</f>
        <v/>
      </c>
      <c r="S786" s="7">
        <f>'1 datos preparados'!R779</f>
        <v/>
      </c>
      <c r="T786" s="7">
        <f>'1 datos preparados'!S779</f>
        <v/>
      </c>
      <c r="U786" s="7">
        <f>'1 datos preparados'!T779</f>
        <v/>
      </c>
      <c r="V786" s="8">
        <f>$AC$12+D786*$AC$13+E786*$AC$14+F786*$AC$15+G786*$AC$16+H786*$AC$17+I786*$AC$18+J786*$AC$19+K786*$AC$20+L786*$AC$21+M786*$AC$22+N786*$AC$23+O786*$AC$24+P786*$AC$25+Q786*$AC$26+R786*$AC$27+S786*$AC$28+T786*$AC$29+U786*$AC$30</f>
        <v/>
      </c>
      <c r="W786" s="8">
        <f>1/(1+EXP(-V786))</f>
        <v/>
      </c>
      <c r="X786" s="9">
        <f>-IF(C786=1,LN(W786),LN(1-W786))</f>
        <v/>
      </c>
      <c r="Y786" s="10">
        <f>IF(W786&gt;$AC$34,1,0)</f>
        <v/>
      </c>
      <c r="Z786">
        <f>IF(Y786=C786,1,0)</f>
        <v/>
      </c>
    </row>
    <row r="787">
      <c r="A787">
        <f>'1 datos preparados'!A780</f>
        <v/>
      </c>
      <c r="B787" s="5">
        <f>'1 datos preparados'!U780</f>
        <v/>
      </c>
      <c r="C787">
        <f>'1 datos preparados'!B780</f>
        <v/>
      </c>
      <c r="D787" s="7">
        <f>'1 datos preparados'!C780</f>
        <v/>
      </c>
      <c r="E787" s="7">
        <f>'1 datos preparados'!D780</f>
        <v/>
      </c>
      <c r="F787" s="7">
        <f>'1 datos preparados'!E780</f>
        <v/>
      </c>
      <c r="G787" s="7">
        <f>'1 datos preparados'!F780</f>
        <v/>
      </c>
      <c r="H787" s="7">
        <f>'1 datos preparados'!G780</f>
        <v/>
      </c>
      <c r="I787" s="7">
        <f>'1 datos preparados'!H780</f>
        <v/>
      </c>
      <c r="J787" s="7">
        <f>'1 datos preparados'!I780</f>
        <v/>
      </c>
      <c r="K787" s="7">
        <f>'1 datos preparados'!J780</f>
        <v/>
      </c>
      <c r="L787" s="7">
        <f>'1 datos preparados'!K780</f>
        <v/>
      </c>
      <c r="M787" s="7">
        <f>'1 datos preparados'!L780</f>
        <v/>
      </c>
      <c r="N787" s="7">
        <f>'1 datos preparados'!M780</f>
        <v/>
      </c>
      <c r="O787" s="7">
        <f>'1 datos preparados'!N780</f>
        <v/>
      </c>
      <c r="P787" s="7">
        <f>'1 datos preparados'!O780</f>
        <v/>
      </c>
      <c r="Q787" s="7">
        <f>'1 datos preparados'!P780</f>
        <v/>
      </c>
      <c r="R787" s="7">
        <f>'1 datos preparados'!Q780</f>
        <v/>
      </c>
      <c r="S787" s="7">
        <f>'1 datos preparados'!R780</f>
        <v/>
      </c>
      <c r="T787" s="7">
        <f>'1 datos preparados'!S780</f>
        <v/>
      </c>
      <c r="U787" s="7">
        <f>'1 datos preparados'!T780</f>
        <v/>
      </c>
      <c r="V787" s="8">
        <f>$AC$12+D787*$AC$13+E787*$AC$14+F787*$AC$15+G787*$AC$16+H787*$AC$17+I787*$AC$18+J787*$AC$19+K787*$AC$20+L787*$AC$21+M787*$AC$22+N787*$AC$23+O787*$AC$24+P787*$AC$25+Q787*$AC$26+R787*$AC$27+S787*$AC$28+T787*$AC$29+U787*$AC$30</f>
        <v/>
      </c>
      <c r="W787" s="8">
        <f>1/(1+EXP(-V787))</f>
        <v/>
      </c>
      <c r="X787" s="9">
        <f>-IF(C787=1,LN(W787),LN(1-W787))</f>
        <v/>
      </c>
      <c r="Y787" s="10">
        <f>IF(W787&gt;$AC$34,1,0)</f>
        <v/>
      </c>
      <c r="Z787">
        <f>IF(Y787=C787,1,0)</f>
        <v/>
      </c>
    </row>
    <row r="788">
      <c r="A788">
        <f>'1 datos preparados'!A781</f>
        <v/>
      </c>
      <c r="B788" s="5">
        <f>'1 datos preparados'!U781</f>
        <v/>
      </c>
      <c r="C788">
        <f>'1 datos preparados'!B781</f>
        <v/>
      </c>
      <c r="D788" s="7">
        <f>'1 datos preparados'!C781</f>
        <v/>
      </c>
      <c r="E788" s="7">
        <f>'1 datos preparados'!D781</f>
        <v/>
      </c>
      <c r="F788" s="7">
        <f>'1 datos preparados'!E781</f>
        <v/>
      </c>
      <c r="G788" s="7">
        <f>'1 datos preparados'!F781</f>
        <v/>
      </c>
      <c r="H788" s="7">
        <f>'1 datos preparados'!G781</f>
        <v/>
      </c>
      <c r="I788" s="7">
        <f>'1 datos preparados'!H781</f>
        <v/>
      </c>
      <c r="J788" s="7">
        <f>'1 datos preparados'!I781</f>
        <v/>
      </c>
      <c r="K788" s="7">
        <f>'1 datos preparados'!J781</f>
        <v/>
      </c>
      <c r="L788" s="7">
        <f>'1 datos preparados'!K781</f>
        <v/>
      </c>
      <c r="M788" s="7">
        <f>'1 datos preparados'!L781</f>
        <v/>
      </c>
      <c r="N788" s="7">
        <f>'1 datos preparados'!M781</f>
        <v/>
      </c>
      <c r="O788" s="7">
        <f>'1 datos preparados'!N781</f>
        <v/>
      </c>
      <c r="P788" s="7">
        <f>'1 datos preparados'!O781</f>
        <v/>
      </c>
      <c r="Q788" s="7">
        <f>'1 datos preparados'!P781</f>
        <v/>
      </c>
      <c r="R788" s="7">
        <f>'1 datos preparados'!Q781</f>
        <v/>
      </c>
      <c r="S788" s="7">
        <f>'1 datos preparados'!R781</f>
        <v/>
      </c>
      <c r="T788" s="7">
        <f>'1 datos preparados'!S781</f>
        <v/>
      </c>
      <c r="U788" s="7">
        <f>'1 datos preparados'!T781</f>
        <v/>
      </c>
      <c r="V788" s="8">
        <f>$AC$12+D788*$AC$13+E788*$AC$14+F788*$AC$15+G788*$AC$16+H788*$AC$17+I788*$AC$18+J788*$AC$19+K788*$AC$20+L788*$AC$21+M788*$AC$22+N788*$AC$23+O788*$AC$24+P788*$AC$25+Q788*$AC$26+R788*$AC$27+S788*$AC$28+T788*$AC$29+U788*$AC$30</f>
        <v/>
      </c>
      <c r="W788" s="8">
        <f>1/(1+EXP(-V788))</f>
        <v/>
      </c>
      <c r="X788" s="9">
        <f>-IF(C788=1,LN(W788),LN(1-W788))</f>
        <v/>
      </c>
      <c r="Y788" s="10">
        <f>IF(W788&gt;$AC$34,1,0)</f>
        <v/>
      </c>
      <c r="Z788">
        <f>IF(Y788=C788,1,0)</f>
        <v/>
      </c>
    </row>
    <row r="789">
      <c r="A789">
        <f>'1 datos preparados'!A782</f>
        <v/>
      </c>
      <c r="B789" s="5">
        <f>'1 datos preparados'!U782</f>
        <v/>
      </c>
      <c r="C789">
        <f>'1 datos preparados'!B782</f>
        <v/>
      </c>
      <c r="D789" s="7">
        <f>'1 datos preparados'!C782</f>
        <v/>
      </c>
      <c r="E789" s="7">
        <f>'1 datos preparados'!D782</f>
        <v/>
      </c>
      <c r="F789" s="7">
        <f>'1 datos preparados'!E782</f>
        <v/>
      </c>
      <c r="G789" s="7">
        <f>'1 datos preparados'!F782</f>
        <v/>
      </c>
      <c r="H789" s="7">
        <f>'1 datos preparados'!G782</f>
        <v/>
      </c>
      <c r="I789" s="7">
        <f>'1 datos preparados'!H782</f>
        <v/>
      </c>
      <c r="J789" s="7">
        <f>'1 datos preparados'!I782</f>
        <v/>
      </c>
      <c r="K789" s="7">
        <f>'1 datos preparados'!J782</f>
        <v/>
      </c>
      <c r="L789" s="7">
        <f>'1 datos preparados'!K782</f>
        <v/>
      </c>
      <c r="M789" s="7">
        <f>'1 datos preparados'!L782</f>
        <v/>
      </c>
      <c r="N789" s="7">
        <f>'1 datos preparados'!M782</f>
        <v/>
      </c>
      <c r="O789" s="7">
        <f>'1 datos preparados'!N782</f>
        <v/>
      </c>
      <c r="P789" s="7">
        <f>'1 datos preparados'!O782</f>
        <v/>
      </c>
      <c r="Q789" s="7">
        <f>'1 datos preparados'!P782</f>
        <v/>
      </c>
      <c r="R789" s="7">
        <f>'1 datos preparados'!Q782</f>
        <v/>
      </c>
      <c r="S789" s="7">
        <f>'1 datos preparados'!R782</f>
        <v/>
      </c>
      <c r="T789" s="7">
        <f>'1 datos preparados'!S782</f>
        <v/>
      </c>
      <c r="U789" s="7">
        <f>'1 datos preparados'!T782</f>
        <v/>
      </c>
      <c r="V789" s="8">
        <f>$AC$12+D789*$AC$13+E789*$AC$14+F789*$AC$15+G789*$AC$16+H789*$AC$17+I789*$AC$18+J789*$AC$19+K789*$AC$20+L789*$AC$21+M789*$AC$22+N789*$AC$23+O789*$AC$24+P789*$AC$25+Q789*$AC$26+R789*$AC$27+S789*$AC$28+T789*$AC$29+U789*$AC$30</f>
        <v/>
      </c>
      <c r="W789" s="8">
        <f>1/(1+EXP(-V789))</f>
        <v/>
      </c>
      <c r="X789" s="9">
        <f>-IF(C789=1,LN(W789),LN(1-W789))</f>
        <v/>
      </c>
      <c r="Y789" s="10">
        <f>IF(W789&gt;$AC$34,1,0)</f>
        <v/>
      </c>
      <c r="Z789">
        <f>IF(Y789=C789,1,0)</f>
        <v/>
      </c>
    </row>
    <row r="790">
      <c r="A790">
        <f>'1 datos preparados'!A783</f>
        <v/>
      </c>
      <c r="B790" s="5">
        <f>'1 datos preparados'!U783</f>
        <v/>
      </c>
      <c r="C790">
        <f>'1 datos preparados'!B783</f>
        <v/>
      </c>
      <c r="D790" s="7">
        <f>'1 datos preparados'!C783</f>
        <v/>
      </c>
      <c r="E790" s="7">
        <f>'1 datos preparados'!D783</f>
        <v/>
      </c>
      <c r="F790" s="7">
        <f>'1 datos preparados'!E783</f>
        <v/>
      </c>
      <c r="G790" s="7">
        <f>'1 datos preparados'!F783</f>
        <v/>
      </c>
      <c r="H790" s="7">
        <f>'1 datos preparados'!G783</f>
        <v/>
      </c>
      <c r="I790" s="7">
        <f>'1 datos preparados'!H783</f>
        <v/>
      </c>
      <c r="J790" s="7">
        <f>'1 datos preparados'!I783</f>
        <v/>
      </c>
      <c r="K790" s="7">
        <f>'1 datos preparados'!J783</f>
        <v/>
      </c>
      <c r="L790" s="7">
        <f>'1 datos preparados'!K783</f>
        <v/>
      </c>
      <c r="M790" s="7">
        <f>'1 datos preparados'!L783</f>
        <v/>
      </c>
      <c r="N790" s="7">
        <f>'1 datos preparados'!M783</f>
        <v/>
      </c>
      <c r="O790" s="7">
        <f>'1 datos preparados'!N783</f>
        <v/>
      </c>
      <c r="P790" s="7">
        <f>'1 datos preparados'!O783</f>
        <v/>
      </c>
      <c r="Q790" s="7">
        <f>'1 datos preparados'!P783</f>
        <v/>
      </c>
      <c r="R790" s="7">
        <f>'1 datos preparados'!Q783</f>
        <v/>
      </c>
      <c r="S790" s="7">
        <f>'1 datos preparados'!R783</f>
        <v/>
      </c>
      <c r="T790" s="7">
        <f>'1 datos preparados'!S783</f>
        <v/>
      </c>
      <c r="U790" s="7">
        <f>'1 datos preparados'!T783</f>
        <v/>
      </c>
      <c r="V790" s="8">
        <f>$AC$12+D790*$AC$13+E790*$AC$14+F790*$AC$15+G790*$AC$16+H790*$AC$17+I790*$AC$18+J790*$AC$19+K790*$AC$20+L790*$AC$21+M790*$AC$22+N790*$AC$23+O790*$AC$24+P790*$AC$25+Q790*$AC$26+R790*$AC$27+S790*$AC$28+T790*$AC$29+U790*$AC$30</f>
        <v/>
      </c>
      <c r="W790" s="8">
        <f>1/(1+EXP(-V790))</f>
        <v/>
      </c>
      <c r="X790" s="9">
        <f>-IF(C790=1,LN(W790),LN(1-W790))</f>
        <v/>
      </c>
      <c r="Y790" s="10">
        <f>IF(W790&gt;$AC$34,1,0)</f>
        <v/>
      </c>
      <c r="Z790">
        <f>IF(Y790=C790,1,0)</f>
        <v/>
      </c>
    </row>
    <row r="791">
      <c r="A791">
        <f>'1 datos preparados'!A784</f>
        <v/>
      </c>
      <c r="B791" s="5">
        <f>'1 datos preparados'!U784</f>
        <v/>
      </c>
      <c r="C791">
        <f>'1 datos preparados'!B784</f>
        <v/>
      </c>
      <c r="D791" s="7">
        <f>'1 datos preparados'!C784</f>
        <v/>
      </c>
      <c r="E791" s="7">
        <f>'1 datos preparados'!D784</f>
        <v/>
      </c>
      <c r="F791" s="7">
        <f>'1 datos preparados'!E784</f>
        <v/>
      </c>
      <c r="G791" s="7">
        <f>'1 datos preparados'!F784</f>
        <v/>
      </c>
      <c r="H791" s="7">
        <f>'1 datos preparados'!G784</f>
        <v/>
      </c>
      <c r="I791" s="7">
        <f>'1 datos preparados'!H784</f>
        <v/>
      </c>
      <c r="J791" s="7">
        <f>'1 datos preparados'!I784</f>
        <v/>
      </c>
      <c r="K791" s="7">
        <f>'1 datos preparados'!J784</f>
        <v/>
      </c>
      <c r="L791" s="7">
        <f>'1 datos preparados'!K784</f>
        <v/>
      </c>
      <c r="M791" s="7">
        <f>'1 datos preparados'!L784</f>
        <v/>
      </c>
      <c r="N791" s="7">
        <f>'1 datos preparados'!M784</f>
        <v/>
      </c>
      <c r="O791" s="7">
        <f>'1 datos preparados'!N784</f>
        <v/>
      </c>
      <c r="P791" s="7">
        <f>'1 datos preparados'!O784</f>
        <v/>
      </c>
      <c r="Q791" s="7">
        <f>'1 datos preparados'!P784</f>
        <v/>
      </c>
      <c r="R791" s="7">
        <f>'1 datos preparados'!Q784</f>
        <v/>
      </c>
      <c r="S791" s="7">
        <f>'1 datos preparados'!R784</f>
        <v/>
      </c>
      <c r="T791" s="7">
        <f>'1 datos preparados'!S784</f>
        <v/>
      </c>
      <c r="U791" s="7">
        <f>'1 datos preparados'!T784</f>
        <v/>
      </c>
      <c r="V791" s="8">
        <f>$AC$12+D791*$AC$13+E791*$AC$14+F791*$AC$15+G791*$AC$16+H791*$AC$17+I791*$AC$18+J791*$AC$19+K791*$AC$20+L791*$AC$21+M791*$AC$22+N791*$AC$23+O791*$AC$24+P791*$AC$25+Q791*$AC$26+R791*$AC$27+S791*$AC$28+T791*$AC$29+U791*$AC$30</f>
        <v/>
      </c>
      <c r="W791" s="8">
        <f>1/(1+EXP(-V791))</f>
        <v/>
      </c>
      <c r="X791" s="9">
        <f>-IF(C791=1,LN(W791),LN(1-W791))</f>
        <v/>
      </c>
      <c r="Y791" s="10">
        <f>IF(W791&gt;$AC$34,1,0)</f>
        <v/>
      </c>
      <c r="Z791">
        <f>IF(Y791=C791,1,0)</f>
        <v/>
      </c>
    </row>
    <row r="792">
      <c r="A792">
        <f>'1 datos preparados'!A785</f>
        <v/>
      </c>
      <c r="B792" s="5">
        <f>'1 datos preparados'!U785</f>
        <v/>
      </c>
      <c r="C792">
        <f>'1 datos preparados'!B785</f>
        <v/>
      </c>
      <c r="D792" s="7">
        <f>'1 datos preparados'!C785</f>
        <v/>
      </c>
      <c r="E792" s="7">
        <f>'1 datos preparados'!D785</f>
        <v/>
      </c>
      <c r="F792" s="7">
        <f>'1 datos preparados'!E785</f>
        <v/>
      </c>
      <c r="G792" s="7">
        <f>'1 datos preparados'!F785</f>
        <v/>
      </c>
      <c r="H792" s="7">
        <f>'1 datos preparados'!G785</f>
        <v/>
      </c>
      <c r="I792" s="7">
        <f>'1 datos preparados'!H785</f>
        <v/>
      </c>
      <c r="J792" s="7">
        <f>'1 datos preparados'!I785</f>
        <v/>
      </c>
      <c r="K792" s="7">
        <f>'1 datos preparados'!J785</f>
        <v/>
      </c>
      <c r="L792" s="7">
        <f>'1 datos preparados'!K785</f>
        <v/>
      </c>
      <c r="M792" s="7">
        <f>'1 datos preparados'!L785</f>
        <v/>
      </c>
      <c r="N792" s="7">
        <f>'1 datos preparados'!M785</f>
        <v/>
      </c>
      <c r="O792" s="7">
        <f>'1 datos preparados'!N785</f>
        <v/>
      </c>
      <c r="P792" s="7">
        <f>'1 datos preparados'!O785</f>
        <v/>
      </c>
      <c r="Q792" s="7">
        <f>'1 datos preparados'!P785</f>
        <v/>
      </c>
      <c r="R792" s="7">
        <f>'1 datos preparados'!Q785</f>
        <v/>
      </c>
      <c r="S792" s="7">
        <f>'1 datos preparados'!R785</f>
        <v/>
      </c>
      <c r="T792" s="7">
        <f>'1 datos preparados'!S785</f>
        <v/>
      </c>
      <c r="U792" s="7">
        <f>'1 datos preparados'!T785</f>
        <v/>
      </c>
      <c r="V792" s="8">
        <f>$AC$12+D792*$AC$13+E792*$AC$14+F792*$AC$15+G792*$AC$16+H792*$AC$17+I792*$AC$18+J792*$AC$19+K792*$AC$20+L792*$AC$21+M792*$AC$22+N792*$AC$23+O792*$AC$24+P792*$AC$25+Q792*$AC$26+R792*$AC$27+S792*$AC$28+T792*$AC$29+U792*$AC$30</f>
        <v/>
      </c>
      <c r="W792" s="8">
        <f>1/(1+EXP(-V792))</f>
        <v/>
      </c>
      <c r="X792" s="9">
        <f>-IF(C792=1,LN(W792),LN(1-W792))</f>
        <v/>
      </c>
      <c r="Y792" s="10">
        <f>IF(W792&gt;$AC$34,1,0)</f>
        <v/>
      </c>
      <c r="Z792">
        <f>IF(Y792=C792,1,0)</f>
        <v/>
      </c>
    </row>
    <row r="793">
      <c r="A793">
        <f>'1 datos preparados'!A786</f>
        <v/>
      </c>
      <c r="B793" s="5">
        <f>'1 datos preparados'!U786</f>
        <v/>
      </c>
      <c r="C793">
        <f>'1 datos preparados'!B786</f>
        <v/>
      </c>
      <c r="D793" s="7">
        <f>'1 datos preparados'!C786</f>
        <v/>
      </c>
      <c r="E793" s="7">
        <f>'1 datos preparados'!D786</f>
        <v/>
      </c>
      <c r="F793" s="7">
        <f>'1 datos preparados'!E786</f>
        <v/>
      </c>
      <c r="G793" s="7">
        <f>'1 datos preparados'!F786</f>
        <v/>
      </c>
      <c r="H793" s="7">
        <f>'1 datos preparados'!G786</f>
        <v/>
      </c>
      <c r="I793" s="7">
        <f>'1 datos preparados'!H786</f>
        <v/>
      </c>
      <c r="J793" s="7">
        <f>'1 datos preparados'!I786</f>
        <v/>
      </c>
      <c r="K793" s="7">
        <f>'1 datos preparados'!J786</f>
        <v/>
      </c>
      <c r="L793" s="7">
        <f>'1 datos preparados'!K786</f>
        <v/>
      </c>
      <c r="M793" s="7">
        <f>'1 datos preparados'!L786</f>
        <v/>
      </c>
      <c r="N793" s="7">
        <f>'1 datos preparados'!M786</f>
        <v/>
      </c>
      <c r="O793" s="7">
        <f>'1 datos preparados'!N786</f>
        <v/>
      </c>
      <c r="P793" s="7">
        <f>'1 datos preparados'!O786</f>
        <v/>
      </c>
      <c r="Q793" s="7">
        <f>'1 datos preparados'!P786</f>
        <v/>
      </c>
      <c r="R793" s="7">
        <f>'1 datos preparados'!Q786</f>
        <v/>
      </c>
      <c r="S793" s="7">
        <f>'1 datos preparados'!R786</f>
        <v/>
      </c>
      <c r="T793" s="7">
        <f>'1 datos preparados'!S786</f>
        <v/>
      </c>
      <c r="U793" s="7">
        <f>'1 datos preparados'!T786</f>
        <v/>
      </c>
      <c r="V793" s="8">
        <f>$AC$12+D793*$AC$13+E793*$AC$14+F793*$AC$15+G793*$AC$16+H793*$AC$17+I793*$AC$18+J793*$AC$19+K793*$AC$20+L793*$AC$21+M793*$AC$22+N793*$AC$23+O793*$AC$24+P793*$AC$25+Q793*$AC$26+R793*$AC$27+S793*$AC$28+T793*$AC$29+U793*$AC$30</f>
        <v/>
      </c>
      <c r="W793" s="8">
        <f>1/(1+EXP(-V793))</f>
        <v/>
      </c>
      <c r="X793" s="9">
        <f>-IF(C793=1,LN(W793),LN(1-W793))</f>
        <v/>
      </c>
      <c r="Y793" s="10">
        <f>IF(W793&gt;$AC$34,1,0)</f>
        <v/>
      </c>
      <c r="Z793">
        <f>IF(Y793=C793,1,0)</f>
        <v/>
      </c>
    </row>
    <row r="794">
      <c r="A794">
        <f>'1 datos preparados'!A787</f>
        <v/>
      </c>
      <c r="B794" s="5">
        <f>'1 datos preparados'!U787</f>
        <v/>
      </c>
      <c r="C794">
        <f>'1 datos preparados'!B787</f>
        <v/>
      </c>
      <c r="D794" s="7">
        <f>'1 datos preparados'!C787</f>
        <v/>
      </c>
      <c r="E794" s="7">
        <f>'1 datos preparados'!D787</f>
        <v/>
      </c>
      <c r="F794" s="7">
        <f>'1 datos preparados'!E787</f>
        <v/>
      </c>
      <c r="G794" s="7">
        <f>'1 datos preparados'!F787</f>
        <v/>
      </c>
      <c r="H794" s="7">
        <f>'1 datos preparados'!G787</f>
        <v/>
      </c>
      <c r="I794" s="7">
        <f>'1 datos preparados'!H787</f>
        <v/>
      </c>
      <c r="J794" s="7">
        <f>'1 datos preparados'!I787</f>
        <v/>
      </c>
      <c r="K794" s="7">
        <f>'1 datos preparados'!J787</f>
        <v/>
      </c>
      <c r="L794" s="7">
        <f>'1 datos preparados'!K787</f>
        <v/>
      </c>
      <c r="M794" s="7">
        <f>'1 datos preparados'!L787</f>
        <v/>
      </c>
      <c r="N794" s="7">
        <f>'1 datos preparados'!M787</f>
        <v/>
      </c>
      <c r="O794" s="7">
        <f>'1 datos preparados'!N787</f>
        <v/>
      </c>
      <c r="P794" s="7">
        <f>'1 datos preparados'!O787</f>
        <v/>
      </c>
      <c r="Q794" s="7">
        <f>'1 datos preparados'!P787</f>
        <v/>
      </c>
      <c r="R794" s="7">
        <f>'1 datos preparados'!Q787</f>
        <v/>
      </c>
      <c r="S794" s="7">
        <f>'1 datos preparados'!R787</f>
        <v/>
      </c>
      <c r="T794" s="7">
        <f>'1 datos preparados'!S787</f>
        <v/>
      </c>
      <c r="U794" s="7">
        <f>'1 datos preparados'!T787</f>
        <v/>
      </c>
      <c r="V794" s="8">
        <f>$AC$12+D794*$AC$13+E794*$AC$14+F794*$AC$15+G794*$AC$16+H794*$AC$17+I794*$AC$18+J794*$AC$19+K794*$AC$20+L794*$AC$21+M794*$AC$22+N794*$AC$23+O794*$AC$24+P794*$AC$25+Q794*$AC$26+R794*$AC$27+S794*$AC$28+T794*$AC$29+U794*$AC$30</f>
        <v/>
      </c>
      <c r="W794" s="8">
        <f>1/(1+EXP(-V794))</f>
        <v/>
      </c>
      <c r="X794" s="9">
        <f>-IF(C794=1,LN(W794),LN(1-W794))</f>
        <v/>
      </c>
      <c r="Y794" s="10">
        <f>IF(W794&gt;$AC$34,1,0)</f>
        <v/>
      </c>
      <c r="Z794">
        <f>IF(Y794=C794,1,0)</f>
        <v/>
      </c>
    </row>
    <row r="795">
      <c r="A795">
        <f>'1 datos preparados'!A788</f>
        <v/>
      </c>
      <c r="B795" s="5">
        <f>'1 datos preparados'!U788</f>
        <v/>
      </c>
      <c r="C795">
        <f>'1 datos preparados'!B788</f>
        <v/>
      </c>
      <c r="D795" s="7">
        <f>'1 datos preparados'!C788</f>
        <v/>
      </c>
      <c r="E795" s="7">
        <f>'1 datos preparados'!D788</f>
        <v/>
      </c>
      <c r="F795" s="7">
        <f>'1 datos preparados'!E788</f>
        <v/>
      </c>
      <c r="G795" s="7">
        <f>'1 datos preparados'!F788</f>
        <v/>
      </c>
      <c r="H795" s="7">
        <f>'1 datos preparados'!G788</f>
        <v/>
      </c>
      <c r="I795" s="7">
        <f>'1 datos preparados'!H788</f>
        <v/>
      </c>
      <c r="J795" s="7">
        <f>'1 datos preparados'!I788</f>
        <v/>
      </c>
      <c r="K795" s="7">
        <f>'1 datos preparados'!J788</f>
        <v/>
      </c>
      <c r="L795" s="7">
        <f>'1 datos preparados'!K788</f>
        <v/>
      </c>
      <c r="M795" s="7">
        <f>'1 datos preparados'!L788</f>
        <v/>
      </c>
      <c r="N795" s="7">
        <f>'1 datos preparados'!M788</f>
        <v/>
      </c>
      <c r="O795" s="7">
        <f>'1 datos preparados'!N788</f>
        <v/>
      </c>
      <c r="P795" s="7">
        <f>'1 datos preparados'!O788</f>
        <v/>
      </c>
      <c r="Q795" s="7">
        <f>'1 datos preparados'!P788</f>
        <v/>
      </c>
      <c r="R795" s="7">
        <f>'1 datos preparados'!Q788</f>
        <v/>
      </c>
      <c r="S795" s="7">
        <f>'1 datos preparados'!R788</f>
        <v/>
      </c>
      <c r="T795" s="7">
        <f>'1 datos preparados'!S788</f>
        <v/>
      </c>
      <c r="U795" s="7">
        <f>'1 datos preparados'!T788</f>
        <v/>
      </c>
      <c r="V795" s="8">
        <f>$AC$12+D795*$AC$13+E795*$AC$14+F795*$AC$15+G795*$AC$16+H795*$AC$17+I795*$AC$18+J795*$AC$19+K795*$AC$20+L795*$AC$21+M795*$AC$22+N795*$AC$23+O795*$AC$24+P795*$AC$25+Q795*$AC$26+R795*$AC$27+S795*$AC$28+T795*$AC$29+U795*$AC$30</f>
        <v/>
      </c>
      <c r="W795" s="8">
        <f>1/(1+EXP(-V795))</f>
        <v/>
      </c>
      <c r="X795" s="9">
        <f>-IF(C795=1,LN(W795),LN(1-W795))</f>
        <v/>
      </c>
      <c r="Y795" s="10">
        <f>IF(W795&gt;$AC$34,1,0)</f>
        <v/>
      </c>
      <c r="Z795">
        <f>IF(Y795=C795,1,0)</f>
        <v/>
      </c>
    </row>
    <row r="796">
      <c r="A796">
        <f>'1 datos preparados'!A789</f>
        <v/>
      </c>
      <c r="B796" s="5">
        <f>'1 datos preparados'!U789</f>
        <v/>
      </c>
      <c r="C796">
        <f>'1 datos preparados'!B789</f>
        <v/>
      </c>
      <c r="D796" s="7">
        <f>'1 datos preparados'!C789</f>
        <v/>
      </c>
      <c r="E796" s="7">
        <f>'1 datos preparados'!D789</f>
        <v/>
      </c>
      <c r="F796" s="7">
        <f>'1 datos preparados'!E789</f>
        <v/>
      </c>
      <c r="G796" s="7">
        <f>'1 datos preparados'!F789</f>
        <v/>
      </c>
      <c r="H796" s="7">
        <f>'1 datos preparados'!G789</f>
        <v/>
      </c>
      <c r="I796" s="7">
        <f>'1 datos preparados'!H789</f>
        <v/>
      </c>
      <c r="J796" s="7">
        <f>'1 datos preparados'!I789</f>
        <v/>
      </c>
      <c r="K796" s="7">
        <f>'1 datos preparados'!J789</f>
        <v/>
      </c>
      <c r="L796" s="7">
        <f>'1 datos preparados'!K789</f>
        <v/>
      </c>
      <c r="M796" s="7">
        <f>'1 datos preparados'!L789</f>
        <v/>
      </c>
      <c r="N796" s="7">
        <f>'1 datos preparados'!M789</f>
        <v/>
      </c>
      <c r="O796" s="7">
        <f>'1 datos preparados'!N789</f>
        <v/>
      </c>
      <c r="P796" s="7">
        <f>'1 datos preparados'!O789</f>
        <v/>
      </c>
      <c r="Q796" s="7">
        <f>'1 datos preparados'!P789</f>
        <v/>
      </c>
      <c r="R796" s="7">
        <f>'1 datos preparados'!Q789</f>
        <v/>
      </c>
      <c r="S796" s="7">
        <f>'1 datos preparados'!R789</f>
        <v/>
      </c>
      <c r="T796" s="7">
        <f>'1 datos preparados'!S789</f>
        <v/>
      </c>
      <c r="U796" s="7">
        <f>'1 datos preparados'!T789</f>
        <v/>
      </c>
      <c r="V796" s="8">
        <f>$AC$12+D796*$AC$13+E796*$AC$14+F796*$AC$15+G796*$AC$16+H796*$AC$17+I796*$AC$18+J796*$AC$19+K796*$AC$20+L796*$AC$21+M796*$AC$22+N796*$AC$23+O796*$AC$24+P796*$AC$25+Q796*$AC$26+R796*$AC$27+S796*$AC$28+T796*$AC$29+U796*$AC$30</f>
        <v/>
      </c>
      <c r="W796" s="8">
        <f>1/(1+EXP(-V796))</f>
        <v/>
      </c>
      <c r="X796" s="9">
        <f>-IF(C796=1,LN(W796),LN(1-W796))</f>
        <v/>
      </c>
      <c r="Y796" s="10">
        <f>IF(W796&gt;$AC$34,1,0)</f>
        <v/>
      </c>
      <c r="Z796">
        <f>IF(Y796=C796,1,0)</f>
        <v/>
      </c>
    </row>
    <row r="797">
      <c r="A797">
        <f>'1 datos preparados'!A790</f>
        <v/>
      </c>
      <c r="B797" s="5">
        <f>'1 datos preparados'!U790</f>
        <v/>
      </c>
      <c r="C797">
        <f>'1 datos preparados'!B790</f>
        <v/>
      </c>
      <c r="D797" s="7">
        <f>'1 datos preparados'!C790</f>
        <v/>
      </c>
      <c r="E797" s="7">
        <f>'1 datos preparados'!D790</f>
        <v/>
      </c>
      <c r="F797" s="7">
        <f>'1 datos preparados'!E790</f>
        <v/>
      </c>
      <c r="G797" s="7">
        <f>'1 datos preparados'!F790</f>
        <v/>
      </c>
      <c r="H797" s="7">
        <f>'1 datos preparados'!G790</f>
        <v/>
      </c>
      <c r="I797" s="7">
        <f>'1 datos preparados'!H790</f>
        <v/>
      </c>
      <c r="J797" s="7">
        <f>'1 datos preparados'!I790</f>
        <v/>
      </c>
      <c r="K797" s="7">
        <f>'1 datos preparados'!J790</f>
        <v/>
      </c>
      <c r="L797" s="7">
        <f>'1 datos preparados'!K790</f>
        <v/>
      </c>
      <c r="M797" s="7">
        <f>'1 datos preparados'!L790</f>
        <v/>
      </c>
      <c r="N797" s="7">
        <f>'1 datos preparados'!M790</f>
        <v/>
      </c>
      <c r="O797" s="7">
        <f>'1 datos preparados'!N790</f>
        <v/>
      </c>
      <c r="P797" s="7">
        <f>'1 datos preparados'!O790</f>
        <v/>
      </c>
      <c r="Q797" s="7">
        <f>'1 datos preparados'!P790</f>
        <v/>
      </c>
      <c r="R797" s="7">
        <f>'1 datos preparados'!Q790</f>
        <v/>
      </c>
      <c r="S797" s="7">
        <f>'1 datos preparados'!R790</f>
        <v/>
      </c>
      <c r="T797" s="7">
        <f>'1 datos preparados'!S790</f>
        <v/>
      </c>
      <c r="U797" s="7">
        <f>'1 datos preparados'!T790</f>
        <v/>
      </c>
      <c r="V797" s="8">
        <f>$AC$12+D797*$AC$13+E797*$AC$14+F797*$AC$15+G797*$AC$16+H797*$AC$17+I797*$AC$18+J797*$AC$19+K797*$AC$20+L797*$AC$21+M797*$AC$22+N797*$AC$23+O797*$AC$24+P797*$AC$25+Q797*$AC$26+R797*$AC$27+S797*$AC$28+T797*$AC$29+U797*$AC$30</f>
        <v/>
      </c>
      <c r="W797" s="8">
        <f>1/(1+EXP(-V797))</f>
        <v/>
      </c>
      <c r="X797" s="9">
        <f>-IF(C797=1,LN(W797),LN(1-W797))</f>
        <v/>
      </c>
      <c r="Y797" s="10">
        <f>IF(W797&gt;$AC$34,1,0)</f>
        <v/>
      </c>
      <c r="Z797">
        <f>IF(Y797=C797,1,0)</f>
        <v/>
      </c>
    </row>
    <row r="798">
      <c r="A798">
        <f>'1 datos preparados'!A791</f>
        <v/>
      </c>
      <c r="B798" s="5">
        <f>'1 datos preparados'!U791</f>
        <v/>
      </c>
      <c r="C798">
        <f>'1 datos preparados'!B791</f>
        <v/>
      </c>
      <c r="D798" s="7">
        <f>'1 datos preparados'!C791</f>
        <v/>
      </c>
      <c r="E798" s="7">
        <f>'1 datos preparados'!D791</f>
        <v/>
      </c>
      <c r="F798" s="7">
        <f>'1 datos preparados'!E791</f>
        <v/>
      </c>
      <c r="G798" s="7">
        <f>'1 datos preparados'!F791</f>
        <v/>
      </c>
      <c r="H798" s="7">
        <f>'1 datos preparados'!G791</f>
        <v/>
      </c>
      <c r="I798" s="7">
        <f>'1 datos preparados'!H791</f>
        <v/>
      </c>
      <c r="J798" s="7">
        <f>'1 datos preparados'!I791</f>
        <v/>
      </c>
      <c r="K798" s="7">
        <f>'1 datos preparados'!J791</f>
        <v/>
      </c>
      <c r="L798" s="7">
        <f>'1 datos preparados'!K791</f>
        <v/>
      </c>
      <c r="M798" s="7">
        <f>'1 datos preparados'!L791</f>
        <v/>
      </c>
      <c r="N798" s="7">
        <f>'1 datos preparados'!M791</f>
        <v/>
      </c>
      <c r="O798" s="7">
        <f>'1 datos preparados'!N791</f>
        <v/>
      </c>
      <c r="P798" s="7">
        <f>'1 datos preparados'!O791</f>
        <v/>
      </c>
      <c r="Q798" s="7">
        <f>'1 datos preparados'!P791</f>
        <v/>
      </c>
      <c r="R798" s="7">
        <f>'1 datos preparados'!Q791</f>
        <v/>
      </c>
      <c r="S798" s="7">
        <f>'1 datos preparados'!R791</f>
        <v/>
      </c>
      <c r="T798" s="7">
        <f>'1 datos preparados'!S791</f>
        <v/>
      </c>
      <c r="U798" s="7">
        <f>'1 datos preparados'!T791</f>
        <v/>
      </c>
      <c r="V798" s="8">
        <f>$AC$12+D798*$AC$13+E798*$AC$14+F798*$AC$15+G798*$AC$16+H798*$AC$17+I798*$AC$18+J798*$AC$19+K798*$AC$20+L798*$AC$21+M798*$AC$22+N798*$AC$23+O798*$AC$24+P798*$AC$25+Q798*$AC$26+R798*$AC$27+S798*$AC$28+T798*$AC$29+U798*$AC$30</f>
        <v/>
      </c>
      <c r="W798" s="8">
        <f>1/(1+EXP(-V798))</f>
        <v/>
      </c>
      <c r="X798" s="9">
        <f>-IF(C798=1,LN(W798),LN(1-W798))</f>
        <v/>
      </c>
      <c r="Y798" s="10">
        <f>IF(W798&gt;$AC$34,1,0)</f>
        <v/>
      </c>
      <c r="Z798">
        <f>IF(Y798=C798,1,0)</f>
        <v/>
      </c>
    </row>
    <row r="799">
      <c r="A799">
        <f>'1 datos preparados'!A792</f>
        <v/>
      </c>
      <c r="B799" s="5">
        <f>'1 datos preparados'!U792</f>
        <v/>
      </c>
      <c r="C799">
        <f>'1 datos preparados'!B792</f>
        <v/>
      </c>
      <c r="D799" s="7">
        <f>'1 datos preparados'!C792</f>
        <v/>
      </c>
      <c r="E799" s="7">
        <f>'1 datos preparados'!D792</f>
        <v/>
      </c>
      <c r="F799" s="7">
        <f>'1 datos preparados'!E792</f>
        <v/>
      </c>
      <c r="G799" s="7">
        <f>'1 datos preparados'!F792</f>
        <v/>
      </c>
      <c r="H799" s="7">
        <f>'1 datos preparados'!G792</f>
        <v/>
      </c>
      <c r="I799" s="7">
        <f>'1 datos preparados'!H792</f>
        <v/>
      </c>
      <c r="J799" s="7">
        <f>'1 datos preparados'!I792</f>
        <v/>
      </c>
      <c r="K799" s="7">
        <f>'1 datos preparados'!J792</f>
        <v/>
      </c>
      <c r="L799" s="7">
        <f>'1 datos preparados'!K792</f>
        <v/>
      </c>
      <c r="M799" s="7">
        <f>'1 datos preparados'!L792</f>
        <v/>
      </c>
      <c r="N799" s="7">
        <f>'1 datos preparados'!M792</f>
        <v/>
      </c>
      <c r="O799" s="7">
        <f>'1 datos preparados'!N792</f>
        <v/>
      </c>
      <c r="P799" s="7">
        <f>'1 datos preparados'!O792</f>
        <v/>
      </c>
      <c r="Q799" s="7">
        <f>'1 datos preparados'!P792</f>
        <v/>
      </c>
      <c r="R799" s="7">
        <f>'1 datos preparados'!Q792</f>
        <v/>
      </c>
      <c r="S799" s="7">
        <f>'1 datos preparados'!R792</f>
        <v/>
      </c>
      <c r="T799" s="7">
        <f>'1 datos preparados'!S792</f>
        <v/>
      </c>
      <c r="U799" s="7">
        <f>'1 datos preparados'!T792</f>
        <v/>
      </c>
      <c r="V799" s="8">
        <f>$AC$12+D799*$AC$13+E799*$AC$14+F799*$AC$15+G799*$AC$16+H799*$AC$17+I799*$AC$18+J799*$AC$19+K799*$AC$20+L799*$AC$21+M799*$AC$22+N799*$AC$23+O799*$AC$24+P799*$AC$25+Q799*$AC$26+R799*$AC$27+S799*$AC$28+T799*$AC$29+U799*$AC$30</f>
        <v/>
      </c>
      <c r="W799" s="8">
        <f>1/(1+EXP(-V799))</f>
        <v/>
      </c>
      <c r="X799" s="9">
        <f>-IF(C799=1,LN(W799),LN(1-W799))</f>
        <v/>
      </c>
      <c r="Y799" s="10">
        <f>IF(W799&gt;$AC$34,1,0)</f>
        <v/>
      </c>
      <c r="Z799">
        <f>IF(Y799=C799,1,0)</f>
        <v/>
      </c>
    </row>
    <row r="800">
      <c r="A800">
        <f>'1 datos preparados'!A793</f>
        <v/>
      </c>
      <c r="B800" s="5">
        <f>'1 datos preparados'!U793</f>
        <v/>
      </c>
      <c r="C800">
        <f>'1 datos preparados'!B793</f>
        <v/>
      </c>
      <c r="D800" s="7">
        <f>'1 datos preparados'!C793</f>
        <v/>
      </c>
      <c r="E800" s="7">
        <f>'1 datos preparados'!D793</f>
        <v/>
      </c>
      <c r="F800" s="7">
        <f>'1 datos preparados'!E793</f>
        <v/>
      </c>
      <c r="G800" s="7">
        <f>'1 datos preparados'!F793</f>
        <v/>
      </c>
      <c r="H800" s="7">
        <f>'1 datos preparados'!G793</f>
        <v/>
      </c>
      <c r="I800" s="7">
        <f>'1 datos preparados'!H793</f>
        <v/>
      </c>
      <c r="J800" s="7">
        <f>'1 datos preparados'!I793</f>
        <v/>
      </c>
      <c r="K800" s="7">
        <f>'1 datos preparados'!J793</f>
        <v/>
      </c>
      <c r="L800" s="7">
        <f>'1 datos preparados'!K793</f>
        <v/>
      </c>
      <c r="M800" s="7">
        <f>'1 datos preparados'!L793</f>
        <v/>
      </c>
      <c r="N800" s="7">
        <f>'1 datos preparados'!M793</f>
        <v/>
      </c>
      <c r="O800" s="7">
        <f>'1 datos preparados'!N793</f>
        <v/>
      </c>
      <c r="P800" s="7">
        <f>'1 datos preparados'!O793</f>
        <v/>
      </c>
      <c r="Q800" s="7">
        <f>'1 datos preparados'!P793</f>
        <v/>
      </c>
      <c r="R800" s="7">
        <f>'1 datos preparados'!Q793</f>
        <v/>
      </c>
      <c r="S800" s="7">
        <f>'1 datos preparados'!R793</f>
        <v/>
      </c>
      <c r="T800" s="7">
        <f>'1 datos preparados'!S793</f>
        <v/>
      </c>
      <c r="U800" s="7">
        <f>'1 datos preparados'!T793</f>
        <v/>
      </c>
      <c r="V800" s="8">
        <f>$AC$12+D800*$AC$13+E800*$AC$14+F800*$AC$15+G800*$AC$16+H800*$AC$17+I800*$AC$18+J800*$AC$19+K800*$AC$20+L800*$AC$21+M800*$AC$22+N800*$AC$23+O800*$AC$24+P800*$AC$25+Q800*$AC$26+R800*$AC$27+S800*$AC$28+T800*$AC$29+U800*$AC$30</f>
        <v/>
      </c>
      <c r="W800" s="8">
        <f>1/(1+EXP(-V800))</f>
        <v/>
      </c>
      <c r="X800" s="9">
        <f>-IF(C800=1,LN(W800),LN(1-W800))</f>
        <v/>
      </c>
      <c r="Y800" s="10">
        <f>IF(W800&gt;$AC$34,1,0)</f>
        <v/>
      </c>
      <c r="Z800">
        <f>IF(Y800=C800,1,0)</f>
        <v/>
      </c>
    </row>
    <row r="801">
      <c r="A801">
        <f>'1 datos preparados'!A794</f>
        <v/>
      </c>
      <c r="B801" s="5">
        <f>'1 datos preparados'!U794</f>
        <v/>
      </c>
      <c r="C801">
        <f>'1 datos preparados'!B794</f>
        <v/>
      </c>
      <c r="D801" s="7">
        <f>'1 datos preparados'!C794</f>
        <v/>
      </c>
      <c r="E801" s="7">
        <f>'1 datos preparados'!D794</f>
        <v/>
      </c>
      <c r="F801" s="7">
        <f>'1 datos preparados'!E794</f>
        <v/>
      </c>
      <c r="G801" s="7">
        <f>'1 datos preparados'!F794</f>
        <v/>
      </c>
      <c r="H801" s="7">
        <f>'1 datos preparados'!G794</f>
        <v/>
      </c>
      <c r="I801" s="7">
        <f>'1 datos preparados'!H794</f>
        <v/>
      </c>
      <c r="J801" s="7">
        <f>'1 datos preparados'!I794</f>
        <v/>
      </c>
      <c r="K801" s="7">
        <f>'1 datos preparados'!J794</f>
        <v/>
      </c>
      <c r="L801" s="7">
        <f>'1 datos preparados'!K794</f>
        <v/>
      </c>
      <c r="M801" s="7">
        <f>'1 datos preparados'!L794</f>
        <v/>
      </c>
      <c r="N801" s="7">
        <f>'1 datos preparados'!M794</f>
        <v/>
      </c>
      <c r="O801" s="7">
        <f>'1 datos preparados'!N794</f>
        <v/>
      </c>
      <c r="P801" s="7">
        <f>'1 datos preparados'!O794</f>
        <v/>
      </c>
      <c r="Q801" s="7">
        <f>'1 datos preparados'!P794</f>
        <v/>
      </c>
      <c r="R801" s="7">
        <f>'1 datos preparados'!Q794</f>
        <v/>
      </c>
      <c r="S801" s="7">
        <f>'1 datos preparados'!R794</f>
        <v/>
      </c>
      <c r="T801" s="7">
        <f>'1 datos preparados'!S794</f>
        <v/>
      </c>
      <c r="U801" s="7">
        <f>'1 datos preparados'!T794</f>
        <v/>
      </c>
      <c r="V801" s="8">
        <f>$AC$12+D801*$AC$13+E801*$AC$14+F801*$AC$15+G801*$AC$16+H801*$AC$17+I801*$AC$18+J801*$AC$19+K801*$AC$20+L801*$AC$21+M801*$AC$22+N801*$AC$23+O801*$AC$24+P801*$AC$25+Q801*$AC$26+R801*$AC$27+S801*$AC$28+T801*$AC$29+U801*$AC$30</f>
        <v/>
      </c>
      <c r="W801" s="8">
        <f>1/(1+EXP(-V801))</f>
        <v/>
      </c>
      <c r="X801" s="9">
        <f>-IF(C801=1,LN(W801),LN(1-W801))</f>
        <v/>
      </c>
      <c r="Y801" s="10">
        <f>IF(W801&gt;$AC$34,1,0)</f>
        <v/>
      </c>
      <c r="Z801">
        <f>IF(Y801=C801,1,0)</f>
        <v/>
      </c>
    </row>
    <row r="802">
      <c r="A802">
        <f>'1 datos preparados'!A795</f>
        <v/>
      </c>
      <c r="B802" s="5">
        <f>'1 datos preparados'!U795</f>
        <v/>
      </c>
      <c r="C802">
        <f>'1 datos preparados'!B795</f>
        <v/>
      </c>
      <c r="D802" s="7">
        <f>'1 datos preparados'!C795</f>
        <v/>
      </c>
      <c r="E802" s="7">
        <f>'1 datos preparados'!D795</f>
        <v/>
      </c>
      <c r="F802" s="7">
        <f>'1 datos preparados'!E795</f>
        <v/>
      </c>
      <c r="G802" s="7">
        <f>'1 datos preparados'!F795</f>
        <v/>
      </c>
      <c r="H802" s="7">
        <f>'1 datos preparados'!G795</f>
        <v/>
      </c>
      <c r="I802" s="7">
        <f>'1 datos preparados'!H795</f>
        <v/>
      </c>
      <c r="J802" s="7">
        <f>'1 datos preparados'!I795</f>
        <v/>
      </c>
      <c r="K802" s="7">
        <f>'1 datos preparados'!J795</f>
        <v/>
      </c>
      <c r="L802" s="7">
        <f>'1 datos preparados'!K795</f>
        <v/>
      </c>
      <c r="M802" s="7">
        <f>'1 datos preparados'!L795</f>
        <v/>
      </c>
      <c r="N802" s="7">
        <f>'1 datos preparados'!M795</f>
        <v/>
      </c>
      <c r="O802" s="7">
        <f>'1 datos preparados'!N795</f>
        <v/>
      </c>
      <c r="P802" s="7">
        <f>'1 datos preparados'!O795</f>
        <v/>
      </c>
      <c r="Q802" s="7">
        <f>'1 datos preparados'!P795</f>
        <v/>
      </c>
      <c r="R802" s="7">
        <f>'1 datos preparados'!Q795</f>
        <v/>
      </c>
      <c r="S802" s="7">
        <f>'1 datos preparados'!R795</f>
        <v/>
      </c>
      <c r="T802" s="7">
        <f>'1 datos preparados'!S795</f>
        <v/>
      </c>
      <c r="U802" s="7">
        <f>'1 datos preparados'!T795</f>
        <v/>
      </c>
      <c r="V802" s="8">
        <f>$AC$12+D802*$AC$13+E802*$AC$14+F802*$AC$15+G802*$AC$16+H802*$AC$17+I802*$AC$18+J802*$AC$19+K802*$AC$20+L802*$AC$21+M802*$AC$22+N802*$AC$23+O802*$AC$24+P802*$AC$25+Q802*$AC$26+R802*$AC$27+S802*$AC$28+T802*$AC$29+U802*$AC$30</f>
        <v/>
      </c>
      <c r="W802" s="8">
        <f>1/(1+EXP(-V802))</f>
        <v/>
      </c>
      <c r="X802" s="9">
        <f>-IF(C802=1,LN(W802),LN(1-W802))</f>
        <v/>
      </c>
      <c r="Y802" s="10">
        <f>IF(W802&gt;$AC$34,1,0)</f>
        <v/>
      </c>
      <c r="Z802">
        <f>IF(Y802=C802,1,0)</f>
        <v/>
      </c>
    </row>
    <row r="803">
      <c r="A803">
        <f>'1 datos preparados'!A796</f>
        <v/>
      </c>
      <c r="B803" s="5">
        <f>'1 datos preparados'!U796</f>
        <v/>
      </c>
      <c r="C803">
        <f>'1 datos preparados'!B796</f>
        <v/>
      </c>
      <c r="D803" s="7">
        <f>'1 datos preparados'!C796</f>
        <v/>
      </c>
      <c r="E803" s="7">
        <f>'1 datos preparados'!D796</f>
        <v/>
      </c>
      <c r="F803" s="7">
        <f>'1 datos preparados'!E796</f>
        <v/>
      </c>
      <c r="G803" s="7">
        <f>'1 datos preparados'!F796</f>
        <v/>
      </c>
      <c r="H803" s="7">
        <f>'1 datos preparados'!G796</f>
        <v/>
      </c>
      <c r="I803" s="7">
        <f>'1 datos preparados'!H796</f>
        <v/>
      </c>
      <c r="J803" s="7">
        <f>'1 datos preparados'!I796</f>
        <v/>
      </c>
      <c r="K803" s="7">
        <f>'1 datos preparados'!J796</f>
        <v/>
      </c>
      <c r="L803" s="7">
        <f>'1 datos preparados'!K796</f>
        <v/>
      </c>
      <c r="M803" s="7">
        <f>'1 datos preparados'!L796</f>
        <v/>
      </c>
      <c r="N803" s="7">
        <f>'1 datos preparados'!M796</f>
        <v/>
      </c>
      <c r="O803" s="7">
        <f>'1 datos preparados'!N796</f>
        <v/>
      </c>
      <c r="P803" s="7">
        <f>'1 datos preparados'!O796</f>
        <v/>
      </c>
      <c r="Q803" s="7">
        <f>'1 datos preparados'!P796</f>
        <v/>
      </c>
      <c r="R803" s="7">
        <f>'1 datos preparados'!Q796</f>
        <v/>
      </c>
      <c r="S803" s="7">
        <f>'1 datos preparados'!R796</f>
        <v/>
      </c>
      <c r="T803" s="7">
        <f>'1 datos preparados'!S796</f>
        <v/>
      </c>
      <c r="U803" s="7">
        <f>'1 datos preparados'!T796</f>
        <v/>
      </c>
      <c r="V803" s="8">
        <f>$AC$12+D803*$AC$13+E803*$AC$14+F803*$AC$15+G803*$AC$16+H803*$AC$17+I803*$AC$18+J803*$AC$19+K803*$AC$20+L803*$AC$21+M803*$AC$22+N803*$AC$23+O803*$AC$24+P803*$AC$25+Q803*$AC$26+R803*$AC$27+S803*$AC$28+T803*$AC$29+U803*$AC$30</f>
        <v/>
      </c>
      <c r="W803" s="8">
        <f>1/(1+EXP(-V803))</f>
        <v/>
      </c>
      <c r="X803" s="9">
        <f>-IF(C803=1,LN(W803),LN(1-W803))</f>
        <v/>
      </c>
      <c r="Y803" s="10">
        <f>IF(W803&gt;$AC$34,1,0)</f>
        <v/>
      </c>
      <c r="Z803">
        <f>IF(Y803=C803,1,0)</f>
        <v/>
      </c>
    </row>
    <row r="804">
      <c r="A804">
        <f>'1 datos preparados'!A797</f>
        <v/>
      </c>
      <c r="B804" s="5">
        <f>'1 datos preparados'!U797</f>
        <v/>
      </c>
      <c r="C804">
        <f>'1 datos preparados'!B797</f>
        <v/>
      </c>
      <c r="D804" s="7">
        <f>'1 datos preparados'!C797</f>
        <v/>
      </c>
      <c r="E804" s="7">
        <f>'1 datos preparados'!D797</f>
        <v/>
      </c>
      <c r="F804" s="7">
        <f>'1 datos preparados'!E797</f>
        <v/>
      </c>
      <c r="G804" s="7">
        <f>'1 datos preparados'!F797</f>
        <v/>
      </c>
      <c r="H804" s="7">
        <f>'1 datos preparados'!G797</f>
        <v/>
      </c>
      <c r="I804" s="7">
        <f>'1 datos preparados'!H797</f>
        <v/>
      </c>
      <c r="J804" s="7">
        <f>'1 datos preparados'!I797</f>
        <v/>
      </c>
      <c r="K804" s="7">
        <f>'1 datos preparados'!J797</f>
        <v/>
      </c>
      <c r="L804" s="7">
        <f>'1 datos preparados'!K797</f>
        <v/>
      </c>
      <c r="M804" s="7">
        <f>'1 datos preparados'!L797</f>
        <v/>
      </c>
      <c r="N804" s="7">
        <f>'1 datos preparados'!M797</f>
        <v/>
      </c>
      <c r="O804" s="7">
        <f>'1 datos preparados'!N797</f>
        <v/>
      </c>
      <c r="P804" s="7">
        <f>'1 datos preparados'!O797</f>
        <v/>
      </c>
      <c r="Q804" s="7">
        <f>'1 datos preparados'!P797</f>
        <v/>
      </c>
      <c r="R804" s="7">
        <f>'1 datos preparados'!Q797</f>
        <v/>
      </c>
      <c r="S804" s="7">
        <f>'1 datos preparados'!R797</f>
        <v/>
      </c>
      <c r="T804" s="7">
        <f>'1 datos preparados'!S797</f>
        <v/>
      </c>
      <c r="U804" s="7">
        <f>'1 datos preparados'!T797</f>
        <v/>
      </c>
      <c r="V804" s="8">
        <f>$AC$12+D804*$AC$13+E804*$AC$14+F804*$AC$15+G804*$AC$16+H804*$AC$17+I804*$AC$18+J804*$AC$19+K804*$AC$20+L804*$AC$21+M804*$AC$22+N804*$AC$23+O804*$AC$24+P804*$AC$25+Q804*$AC$26+R804*$AC$27+S804*$AC$28+T804*$AC$29+U804*$AC$30</f>
        <v/>
      </c>
      <c r="W804" s="8">
        <f>1/(1+EXP(-V804))</f>
        <v/>
      </c>
      <c r="X804" s="9">
        <f>-IF(C804=1,LN(W804),LN(1-W804))</f>
        <v/>
      </c>
      <c r="Y804" s="10">
        <f>IF(W804&gt;$AC$34,1,0)</f>
        <v/>
      </c>
      <c r="Z804">
        <f>IF(Y804=C804,1,0)</f>
        <v/>
      </c>
    </row>
    <row r="805">
      <c r="A805">
        <f>'1 datos preparados'!A798</f>
        <v/>
      </c>
      <c r="B805" s="5">
        <f>'1 datos preparados'!U798</f>
        <v/>
      </c>
      <c r="C805">
        <f>'1 datos preparados'!B798</f>
        <v/>
      </c>
      <c r="D805" s="7">
        <f>'1 datos preparados'!C798</f>
        <v/>
      </c>
      <c r="E805" s="7">
        <f>'1 datos preparados'!D798</f>
        <v/>
      </c>
      <c r="F805" s="7">
        <f>'1 datos preparados'!E798</f>
        <v/>
      </c>
      <c r="G805" s="7">
        <f>'1 datos preparados'!F798</f>
        <v/>
      </c>
      <c r="H805" s="7">
        <f>'1 datos preparados'!G798</f>
        <v/>
      </c>
      <c r="I805" s="7">
        <f>'1 datos preparados'!H798</f>
        <v/>
      </c>
      <c r="J805" s="7">
        <f>'1 datos preparados'!I798</f>
        <v/>
      </c>
      <c r="K805" s="7">
        <f>'1 datos preparados'!J798</f>
        <v/>
      </c>
      <c r="L805" s="7">
        <f>'1 datos preparados'!K798</f>
        <v/>
      </c>
      <c r="M805" s="7">
        <f>'1 datos preparados'!L798</f>
        <v/>
      </c>
      <c r="N805" s="7">
        <f>'1 datos preparados'!M798</f>
        <v/>
      </c>
      <c r="O805" s="7">
        <f>'1 datos preparados'!N798</f>
        <v/>
      </c>
      <c r="P805" s="7">
        <f>'1 datos preparados'!O798</f>
        <v/>
      </c>
      <c r="Q805" s="7">
        <f>'1 datos preparados'!P798</f>
        <v/>
      </c>
      <c r="R805" s="7">
        <f>'1 datos preparados'!Q798</f>
        <v/>
      </c>
      <c r="S805" s="7">
        <f>'1 datos preparados'!R798</f>
        <v/>
      </c>
      <c r="T805" s="7">
        <f>'1 datos preparados'!S798</f>
        <v/>
      </c>
      <c r="U805" s="7">
        <f>'1 datos preparados'!T798</f>
        <v/>
      </c>
      <c r="V805" s="8">
        <f>$AC$12+D805*$AC$13+E805*$AC$14+F805*$AC$15+G805*$AC$16+H805*$AC$17+I805*$AC$18+J805*$AC$19+K805*$AC$20+L805*$AC$21+M805*$AC$22+N805*$AC$23+O805*$AC$24+P805*$AC$25+Q805*$AC$26+R805*$AC$27+S805*$AC$28+T805*$AC$29+U805*$AC$30</f>
        <v/>
      </c>
      <c r="W805" s="8">
        <f>1/(1+EXP(-V805))</f>
        <v/>
      </c>
      <c r="X805" s="9">
        <f>-IF(C805=1,LN(W805),LN(1-W805))</f>
        <v/>
      </c>
      <c r="Y805" s="10">
        <f>IF(W805&gt;$AC$34,1,0)</f>
        <v/>
      </c>
      <c r="Z805">
        <f>IF(Y805=C805,1,0)</f>
        <v/>
      </c>
    </row>
    <row r="806">
      <c r="A806">
        <f>'1 datos preparados'!A799</f>
        <v/>
      </c>
      <c r="B806" s="5">
        <f>'1 datos preparados'!U799</f>
        <v/>
      </c>
      <c r="C806">
        <f>'1 datos preparados'!B799</f>
        <v/>
      </c>
      <c r="D806" s="7">
        <f>'1 datos preparados'!C799</f>
        <v/>
      </c>
      <c r="E806" s="7">
        <f>'1 datos preparados'!D799</f>
        <v/>
      </c>
      <c r="F806" s="7">
        <f>'1 datos preparados'!E799</f>
        <v/>
      </c>
      <c r="G806" s="7">
        <f>'1 datos preparados'!F799</f>
        <v/>
      </c>
      <c r="H806" s="7">
        <f>'1 datos preparados'!G799</f>
        <v/>
      </c>
      <c r="I806" s="7">
        <f>'1 datos preparados'!H799</f>
        <v/>
      </c>
      <c r="J806" s="7">
        <f>'1 datos preparados'!I799</f>
        <v/>
      </c>
      <c r="K806" s="7">
        <f>'1 datos preparados'!J799</f>
        <v/>
      </c>
      <c r="L806" s="7">
        <f>'1 datos preparados'!K799</f>
        <v/>
      </c>
      <c r="M806" s="7">
        <f>'1 datos preparados'!L799</f>
        <v/>
      </c>
      <c r="N806" s="7">
        <f>'1 datos preparados'!M799</f>
        <v/>
      </c>
      <c r="O806" s="7">
        <f>'1 datos preparados'!N799</f>
        <v/>
      </c>
      <c r="P806" s="7">
        <f>'1 datos preparados'!O799</f>
        <v/>
      </c>
      <c r="Q806" s="7">
        <f>'1 datos preparados'!P799</f>
        <v/>
      </c>
      <c r="R806" s="7">
        <f>'1 datos preparados'!Q799</f>
        <v/>
      </c>
      <c r="S806" s="7">
        <f>'1 datos preparados'!R799</f>
        <v/>
      </c>
      <c r="T806" s="7">
        <f>'1 datos preparados'!S799</f>
        <v/>
      </c>
      <c r="U806" s="7">
        <f>'1 datos preparados'!T799</f>
        <v/>
      </c>
      <c r="V806" s="8">
        <f>$AC$12+D806*$AC$13+E806*$AC$14+F806*$AC$15+G806*$AC$16+H806*$AC$17+I806*$AC$18+J806*$AC$19+K806*$AC$20+L806*$AC$21+M806*$AC$22+N806*$AC$23+O806*$AC$24+P806*$AC$25+Q806*$AC$26+R806*$AC$27+S806*$AC$28+T806*$AC$29+U806*$AC$30</f>
        <v/>
      </c>
      <c r="W806" s="8">
        <f>1/(1+EXP(-V806))</f>
        <v/>
      </c>
      <c r="X806" s="9">
        <f>-IF(C806=1,LN(W806),LN(1-W806))</f>
        <v/>
      </c>
      <c r="Y806" s="10">
        <f>IF(W806&gt;$AC$34,1,0)</f>
        <v/>
      </c>
      <c r="Z806">
        <f>IF(Y806=C806,1,0)</f>
        <v/>
      </c>
    </row>
    <row r="807">
      <c r="A807">
        <f>'1 datos preparados'!A800</f>
        <v/>
      </c>
      <c r="B807" s="5">
        <f>'1 datos preparados'!U800</f>
        <v/>
      </c>
      <c r="C807">
        <f>'1 datos preparados'!B800</f>
        <v/>
      </c>
      <c r="D807" s="7">
        <f>'1 datos preparados'!C800</f>
        <v/>
      </c>
      <c r="E807" s="7">
        <f>'1 datos preparados'!D800</f>
        <v/>
      </c>
      <c r="F807" s="7">
        <f>'1 datos preparados'!E800</f>
        <v/>
      </c>
      <c r="G807" s="7">
        <f>'1 datos preparados'!F800</f>
        <v/>
      </c>
      <c r="H807" s="7">
        <f>'1 datos preparados'!G800</f>
        <v/>
      </c>
      <c r="I807" s="7">
        <f>'1 datos preparados'!H800</f>
        <v/>
      </c>
      <c r="J807" s="7">
        <f>'1 datos preparados'!I800</f>
        <v/>
      </c>
      <c r="K807" s="7">
        <f>'1 datos preparados'!J800</f>
        <v/>
      </c>
      <c r="L807" s="7">
        <f>'1 datos preparados'!K800</f>
        <v/>
      </c>
      <c r="M807" s="7">
        <f>'1 datos preparados'!L800</f>
        <v/>
      </c>
      <c r="N807" s="7">
        <f>'1 datos preparados'!M800</f>
        <v/>
      </c>
      <c r="O807" s="7">
        <f>'1 datos preparados'!N800</f>
        <v/>
      </c>
      <c r="P807" s="7">
        <f>'1 datos preparados'!O800</f>
        <v/>
      </c>
      <c r="Q807" s="7">
        <f>'1 datos preparados'!P800</f>
        <v/>
      </c>
      <c r="R807" s="7">
        <f>'1 datos preparados'!Q800</f>
        <v/>
      </c>
      <c r="S807" s="7">
        <f>'1 datos preparados'!R800</f>
        <v/>
      </c>
      <c r="T807" s="7">
        <f>'1 datos preparados'!S800</f>
        <v/>
      </c>
      <c r="U807" s="7">
        <f>'1 datos preparados'!T800</f>
        <v/>
      </c>
      <c r="V807" s="8">
        <f>$AC$12+D807*$AC$13+E807*$AC$14+F807*$AC$15+G807*$AC$16+H807*$AC$17+I807*$AC$18+J807*$AC$19+K807*$AC$20+L807*$AC$21+M807*$AC$22+N807*$AC$23+O807*$AC$24+P807*$AC$25+Q807*$AC$26+R807*$AC$27+S807*$AC$28+T807*$AC$29+U807*$AC$30</f>
        <v/>
      </c>
      <c r="W807" s="8">
        <f>1/(1+EXP(-V807))</f>
        <v/>
      </c>
      <c r="X807" s="9">
        <f>-IF(C807=1,LN(W807),LN(1-W807))</f>
        <v/>
      </c>
      <c r="Y807" s="10">
        <f>IF(W807&gt;$AC$34,1,0)</f>
        <v/>
      </c>
      <c r="Z807">
        <f>IF(Y807=C807,1,0)</f>
        <v/>
      </c>
    </row>
    <row r="808">
      <c r="A808">
        <f>'1 datos preparados'!A801</f>
        <v/>
      </c>
      <c r="B808" s="5">
        <f>'1 datos preparados'!U801</f>
        <v/>
      </c>
      <c r="C808">
        <f>'1 datos preparados'!B801</f>
        <v/>
      </c>
      <c r="D808" s="7">
        <f>'1 datos preparados'!C801</f>
        <v/>
      </c>
      <c r="E808" s="7">
        <f>'1 datos preparados'!D801</f>
        <v/>
      </c>
      <c r="F808" s="7">
        <f>'1 datos preparados'!E801</f>
        <v/>
      </c>
      <c r="G808" s="7">
        <f>'1 datos preparados'!F801</f>
        <v/>
      </c>
      <c r="H808" s="7">
        <f>'1 datos preparados'!G801</f>
        <v/>
      </c>
      <c r="I808" s="7">
        <f>'1 datos preparados'!H801</f>
        <v/>
      </c>
      <c r="J808" s="7">
        <f>'1 datos preparados'!I801</f>
        <v/>
      </c>
      <c r="K808" s="7">
        <f>'1 datos preparados'!J801</f>
        <v/>
      </c>
      <c r="L808" s="7">
        <f>'1 datos preparados'!K801</f>
        <v/>
      </c>
      <c r="M808" s="7">
        <f>'1 datos preparados'!L801</f>
        <v/>
      </c>
      <c r="N808" s="7">
        <f>'1 datos preparados'!M801</f>
        <v/>
      </c>
      <c r="O808" s="7">
        <f>'1 datos preparados'!N801</f>
        <v/>
      </c>
      <c r="P808" s="7">
        <f>'1 datos preparados'!O801</f>
        <v/>
      </c>
      <c r="Q808" s="7">
        <f>'1 datos preparados'!P801</f>
        <v/>
      </c>
      <c r="R808" s="7">
        <f>'1 datos preparados'!Q801</f>
        <v/>
      </c>
      <c r="S808" s="7">
        <f>'1 datos preparados'!R801</f>
        <v/>
      </c>
      <c r="T808" s="7">
        <f>'1 datos preparados'!S801</f>
        <v/>
      </c>
      <c r="U808" s="7">
        <f>'1 datos preparados'!T801</f>
        <v/>
      </c>
      <c r="V808" s="8">
        <f>$AC$12+D808*$AC$13+E808*$AC$14+F808*$AC$15+G808*$AC$16+H808*$AC$17+I808*$AC$18+J808*$AC$19+K808*$AC$20+L808*$AC$21+M808*$AC$22+N808*$AC$23+O808*$AC$24+P808*$AC$25+Q808*$AC$26+R808*$AC$27+S808*$AC$28+T808*$AC$29+U808*$AC$30</f>
        <v/>
      </c>
      <c r="W808" s="8">
        <f>1/(1+EXP(-V808))</f>
        <v/>
      </c>
      <c r="X808" s="9">
        <f>-IF(C808=1,LN(W808),LN(1-W808))</f>
        <v/>
      </c>
      <c r="Y808" s="10">
        <f>IF(W808&gt;$AC$34,1,0)</f>
        <v/>
      </c>
      <c r="Z808">
        <f>IF(Y808=C808,1,0)</f>
        <v/>
      </c>
    </row>
    <row r="809">
      <c r="A809">
        <f>'1 datos preparados'!A802</f>
        <v/>
      </c>
      <c r="B809" s="5">
        <f>'1 datos preparados'!U802</f>
        <v/>
      </c>
      <c r="C809">
        <f>'1 datos preparados'!B802</f>
        <v/>
      </c>
      <c r="D809" s="7">
        <f>'1 datos preparados'!C802</f>
        <v/>
      </c>
      <c r="E809" s="7">
        <f>'1 datos preparados'!D802</f>
        <v/>
      </c>
      <c r="F809" s="7">
        <f>'1 datos preparados'!E802</f>
        <v/>
      </c>
      <c r="G809" s="7">
        <f>'1 datos preparados'!F802</f>
        <v/>
      </c>
      <c r="H809" s="7">
        <f>'1 datos preparados'!G802</f>
        <v/>
      </c>
      <c r="I809" s="7">
        <f>'1 datos preparados'!H802</f>
        <v/>
      </c>
      <c r="J809" s="7">
        <f>'1 datos preparados'!I802</f>
        <v/>
      </c>
      <c r="K809" s="7">
        <f>'1 datos preparados'!J802</f>
        <v/>
      </c>
      <c r="L809" s="7">
        <f>'1 datos preparados'!K802</f>
        <v/>
      </c>
      <c r="M809" s="7">
        <f>'1 datos preparados'!L802</f>
        <v/>
      </c>
      <c r="N809" s="7">
        <f>'1 datos preparados'!M802</f>
        <v/>
      </c>
      <c r="O809" s="7">
        <f>'1 datos preparados'!N802</f>
        <v/>
      </c>
      <c r="P809" s="7">
        <f>'1 datos preparados'!O802</f>
        <v/>
      </c>
      <c r="Q809" s="7">
        <f>'1 datos preparados'!P802</f>
        <v/>
      </c>
      <c r="R809" s="7">
        <f>'1 datos preparados'!Q802</f>
        <v/>
      </c>
      <c r="S809" s="7">
        <f>'1 datos preparados'!R802</f>
        <v/>
      </c>
      <c r="T809" s="7">
        <f>'1 datos preparados'!S802</f>
        <v/>
      </c>
      <c r="U809" s="7">
        <f>'1 datos preparados'!T802</f>
        <v/>
      </c>
      <c r="V809" s="8">
        <f>$AC$12+D809*$AC$13+E809*$AC$14+F809*$AC$15+G809*$AC$16+H809*$AC$17+I809*$AC$18+J809*$AC$19+K809*$AC$20+L809*$AC$21+M809*$AC$22+N809*$AC$23+O809*$AC$24+P809*$AC$25+Q809*$AC$26+R809*$AC$27+S809*$AC$28+T809*$AC$29+U809*$AC$30</f>
        <v/>
      </c>
      <c r="W809" s="8">
        <f>1/(1+EXP(-V809))</f>
        <v/>
      </c>
      <c r="X809" s="9">
        <f>-IF(C809=1,LN(W809),LN(1-W809))</f>
        <v/>
      </c>
      <c r="Y809" s="10">
        <f>IF(W809&gt;$AC$34,1,0)</f>
        <v/>
      </c>
      <c r="Z809">
        <f>IF(Y809=C809,1,0)</f>
        <v/>
      </c>
    </row>
    <row r="810">
      <c r="A810">
        <f>'1 datos preparados'!A803</f>
        <v/>
      </c>
      <c r="B810" s="5">
        <f>'1 datos preparados'!U803</f>
        <v/>
      </c>
      <c r="C810">
        <f>'1 datos preparados'!B803</f>
        <v/>
      </c>
      <c r="D810" s="7">
        <f>'1 datos preparados'!C803</f>
        <v/>
      </c>
      <c r="E810" s="7">
        <f>'1 datos preparados'!D803</f>
        <v/>
      </c>
      <c r="F810" s="7">
        <f>'1 datos preparados'!E803</f>
        <v/>
      </c>
      <c r="G810" s="7">
        <f>'1 datos preparados'!F803</f>
        <v/>
      </c>
      <c r="H810" s="7">
        <f>'1 datos preparados'!G803</f>
        <v/>
      </c>
      <c r="I810" s="7">
        <f>'1 datos preparados'!H803</f>
        <v/>
      </c>
      <c r="J810" s="7">
        <f>'1 datos preparados'!I803</f>
        <v/>
      </c>
      <c r="K810" s="7">
        <f>'1 datos preparados'!J803</f>
        <v/>
      </c>
      <c r="L810" s="7">
        <f>'1 datos preparados'!K803</f>
        <v/>
      </c>
      <c r="M810" s="7">
        <f>'1 datos preparados'!L803</f>
        <v/>
      </c>
      <c r="N810" s="7">
        <f>'1 datos preparados'!M803</f>
        <v/>
      </c>
      <c r="O810" s="7">
        <f>'1 datos preparados'!N803</f>
        <v/>
      </c>
      <c r="P810" s="7">
        <f>'1 datos preparados'!O803</f>
        <v/>
      </c>
      <c r="Q810" s="7">
        <f>'1 datos preparados'!P803</f>
        <v/>
      </c>
      <c r="R810" s="7">
        <f>'1 datos preparados'!Q803</f>
        <v/>
      </c>
      <c r="S810" s="7">
        <f>'1 datos preparados'!R803</f>
        <v/>
      </c>
      <c r="T810" s="7">
        <f>'1 datos preparados'!S803</f>
        <v/>
      </c>
      <c r="U810" s="7">
        <f>'1 datos preparados'!T803</f>
        <v/>
      </c>
      <c r="V810" s="8">
        <f>$AC$12+D810*$AC$13+E810*$AC$14+F810*$AC$15+G810*$AC$16+H810*$AC$17+I810*$AC$18+J810*$AC$19+K810*$AC$20+L810*$AC$21+M810*$AC$22+N810*$AC$23+O810*$AC$24+P810*$AC$25+Q810*$AC$26+R810*$AC$27+S810*$AC$28+T810*$AC$29+U810*$AC$30</f>
        <v/>
      </c>
      <c r="W810" s="8">
        <f>1/(1+EXP(-V810))</f>
        <v/>
      </c>
      <c r="X810" s="9">
        <f>-IF(C810=1,LN(W810),LN(1-W810))</f>
        <v/>
      </c>
      <c r="Y810" s="10">
        <f>IF(W810&gt;$AC$34,1,0)</f>
        <v/>
      </c>
      <c r="Z810">
        <f>IF(Y810=C810,1,0)</f>
        <v/>
      </c>
    </row>
    <row r="811">
      <c r="A811">
        <f>'1 datos preparados'!A804</f>
        <v/>
      </c>
      <c r="B811" s="5">
        <f>'1 datos preparados'!U804</f>
        <v/>
      </c>
      <c r="C811">
        <f>'1 datos preparados'!B804</f>
        <v/>
      </c>
      <c r="D811" s="7">
        <f>'1 datos preparados'!C804</f>
        <v/>
      </c>
      <c r="E811" s="7">
        <f>'1 datos preparados'!D804</f>
        <v/>
      </c>
      <c r="F811" s="7">
        <f>'1 datos preparados'!E804</f>
        <v/>
      </c>
      <c r="G811" s="7">
        <f>'1 datos preparados'!F804</f>
        <v/>
      </c>
      <c r="H811" s="7">
        <f>'1 datos preparados'!G804</f>
        <v/>
      </c>
      <c r="I811" s="7">
        <f>'1 datos preparados'!H804</f>
        <v/>
      </c>
      <c r="J811" s="7">
        <f>'1 datos preparados'!I804</f>
        <v/>
      </c>
      <c r="K811" s="7">
        <f>'1 datos preparados'!J804</f>
        <v/>
      </c>
      <c r="L811" s="7">
        <f>'1 datos preparados'!K804</f>
        <v/>
      </c>
      <c r="M811" s="7">
        <f>'1 datos preparados'!L804</f>
        <v/>
      </c>
      <c r="N811" s="7">
        <f>'1 datos preparados'!M804</f>
        <v/>
      </c>
      <c r="O811" s="7">
        <f>'1 datos preparados'!N804</f>
        <v/>
      </c>
      <c r="P811" s="7">
        <f>'1 datos preparados'!O804</f>
        <v/>
      </c>
      <c r="Q811" s="7">
        <f>'1 datos preparados'!P804</f>
        <v/>
      </c>
      <c r="R811" s="7">
        <f>'1 datos preparados'!Q804</f>
        <v/>
      </c>
      <c r="S811" s="7">
        <f>'1 datos preparados'!R804</f>
        <v/>
      </c>
      <c r="T811" s="7">
        <f>'1 datos preparados'!S804</f>
        <v/>
      </c>
      <c r="U811" s="7">
        <f>'1 datos preparados'!T804</f>
        <v/>
      </c>
      <c r="V811" s="8">
        <f>$AC$12+D811*$AC$13+E811*$AC$14+F811*$AC$15+G811*$AC$16+H811*$AC$17+I811*$AC$18+J811*$AC$19+K811*$AC$20+L811*$AC$21+M811*$AC$22+N811*$AC$23+O811*$AC$24+P811*$AC$25+Q811*$AC$26+R811*$AC$27+S811*$AC$28+T811*$AC$29+U811*$AC$30</f>
        <v/>
      </c>
      <c r="W811" s="8">
        <f>1/(1+EXP(-V811))</f>
        <v/>
      </c>
      <c r="X811" s="9">
        <f>-IF(C811=1,LN(W811),LN(1-W811))</f>
        <v/>
      </c>
      <c r="Y811" s="10">
        <f>IF(W811&gt;$AC$34,1,0)</f>
        <v/>
      </c>
      <c r="Z811">
        <f>IF(Y811=C811,1,0)</f>
        <v/>
      </c>
    </row>
    <row r="812">
      <c r="A812">
        <f>'1 datos preparados'!A805</f>
        <v/>
      </c>
      <c r="B812" s="5">
        <f>'1 datos preparados'!U805</f>
        <v/>
      </c>
      <c r="C812">
        <f>'1 datos preparados'!B805</f>
        <v/>
      </c>
      <c r="D812" s="7">
        <f>'1 datos preparados'!C805</f>
        <v/>
      </c>
      <c r="E812" s="7">
        <f>'1 datos preparados'!D805</f>
        <v/>
      </c>
      <c r="F812" s="7">
        <f>'1 datos preparados'!E805</f>
        <v/>
      </c>
      <c r="G812" s="7">
        <f>'1 datos preparados'!F805</f>
        <v/>
      </c>
      <c r="H812" s="7">
        <f>'1 datos preparados'!G805</f>
        <v/>
      </c>
      <c r="I812" s="7">
        <f>'1 datos preparados'!H805</f>
        <v/>
      </c>
      <c r="J812" s="7">
        <f>'1 datos preparados'!I805</f>
        <v/>
      </c>
      <c r="K812" s="7">
        <f>'1 datos preparados'!J805</f>
        <v/>
      </c>
      <c r="L812" s="7">
        <f>'1 datos preparados'!K805</f>
        <v/>
      </c>
      <c r="M812" s="7">
        <f>'1 datos preparados'!L805</f>
        <v/>
      </c>
      <c r="N812" s="7">
        <f>'1 datos preparados'!M805</f>
        <v/>
      </c>
      <c r="O812" s="7">
        <f>'1 datos preparados'!N805</f>
        <v/>
      </c>
      <c r="P812" s="7">
        <f>'1 datos preparados'!O805</f>
        <v/>
      </c>
      <c r="Q812" s="7">
        <f>'1 datos preparados'!P805</f>
        <v/>
      </c>
      <c r="R812" s="7">
        <f>'1 datos preparados'!Q805</f>
        <v/>
      </c>
      <c r="S812" s="7">
        <f>'1 datos preparados'!R805</f>
        <v/>
      </c>
      <c r="T812" s="7">
        <f>'1 datos preparados'!S805</f>
        <v/>
      </c>
      <c r="U812" s="7">
        <f>'1 datos preparados'!T805</f>
        <v/>
      </c>
      <c r="V812" s="8">
        <f>$AC$12+D812*$AC$13+E812*$AC$14+F812*$AC$15+G812*$AC$16+H812*$AC$17+I812*$AC$18+J812*$AC$19+K812*$AC$20+L812*$AC$21+M812*$AC$22+N812*$AC$23+O812*$AC$24+P812*$AC$25+Q812*$AC$26+R812*$AC$27+S812*$AC$28+T812*$AC$29+U812*$AC$30</f>
        <v/>
      </c>
      <c r="W812" s="8">
        <f>1/(1+EXP(-V812))</f>
        <v/>
      </c>
      <c r="X812" s="9">
        <f>-IF(C812=1,LN(W812),LN(1-W812))</f>
        <v/>
      </c>
      <c r="Y812" s="10">
        <f>IF(W812&gt;$AC$34,1,0)</f>
        <v/>
      </c>
      <c r="Z812">
        <f>IF(Y812=C812,1,0)</f>
        <v/>
      </c>
    </row>
    <row r="813">
      <c r="A813">
        <f>'1 datos preparados'!A806</f>
        <v/>
      </c>
      <c r="B813" s="5">
        <f>'1 datos preparados'!U806</f>
        <v/>
      </c>
      <c r="C813">
        <f>'1 datos preparados'!B806</f>
        <v/>
      </c>
      <c r="D813" s="7">
        <f>'1 datos preparados'!C806</f>
        <v/>
      </c>
      <c r="E813" s="7">
        <f>'1 datos preparados'!D806</f>
        <v/>
      </c>
      <c r="F813" s="7">
        <f>'1 datos preparados'!E806</f>
        <v/>
      </c>
      <c r="G813" s="7">
        <f>'1 datos preparados'!F806</f>
        <v/>
      </c>
      <c r="H813" s="7">
        <f>'1 datos preparados'!G806</f>
        <v/>
      </c>
      <c r="I813" s="7">
        <f>'1 datos preparados'!H806</f>
        <v/>
      </c>
      <c r="J813" s="7">
        <f>'1 datos preparados'!I806</f>
        <v/>
      </c>
      <c r="K813" s="7">
        <f>'1 datos preparados'!J806</f>
        <v/>
      </c>
      <c r="L813" s="7">
        <f>'1 datos preparados'!K806</f>
        <v/>
      </c>
      <c r="M813" s="7">
        <f>'1 datos preparados'!L806</f>
        <v/>
      </c>
      <c r="N813" s="7">
        <f>'1 datos preparados'!M806</f>
        <v/>
      </c>
      <c r="O813" s="7">
        <f>'1 datos preparados'!N806</f>
        <v/>
      </c>
      <c r="P813" s="7">
        <f>'1 datos preparados'!O806</f>
        <v/>
      </c>
      <c r="Q813" s="7">
        <f>'1 datos preparados'!P806</f>
        <v/>
      </c>
      <c r="R813" s="7">
        <f>'1 datos preparados'!Q806</f>
        <v/>
      </c>
      <c r="S813" s="7">
        <f>'1 datos preparados'!R806</f>
        <v/>
      </c>
      <c r="T813" s="7">
        <f>'1 datos preparados'!S806</f>
        <v/>
      </c>
      <c r="U813" s="7">
        <f>'1 datos preparados'!T806</f>
        <v/>
      </c>
      <c r="V813" s="8">
        <f>$AC$12+D813*$AC$13+E813*$AC$14+F813*$AC$15+G813*$AC$16+H813*$AC$17+I813*$AC$18+J813*$AC$19+K813*$AC$20+L813*$AC$21+M813*$AC$22+N813*$AC$23+O813*$AC$24+P813*$AC$25+Q813*$AC$26+R813*$AC$27+S813*$AC$28+T813*$AC$29+U813*$AC$30</f>
        <v/>
      </c>
      <c r="W813" s="8">
        <f>1/(1+EXP(-V813))</f>
        <v/>
      </c>
      <c r="X813" s="9">
        <f>-IF(C813=1,LN(W813),LN(1-W813))</f>
        <v/>
      </c>
      <c r="Y813" s="10">
        <f>IF(W813&gt;$AC$34,1,0)</f>
        <v/>
      </c>
      <c r="Z813">
        <f>IF(Y813=C813,1,0)</f>
        <v/>
      </c>
    </row>
    <row r="814">
      <c r="A814">
        <f>'1 datos preparados'!A807</f>
        <v/>
      </c>
      <c r="B814" s="5">
        <f>'1 datos preparados'!U807</f>
        <v/>
      </c>
      <c r="C814">
        <f>'1 datos preparados'!B807</f>
        <v/>
      </c>
      <c r="D814" s="7">
        <f>'1 datos preparados'!C807</f>
        <v/>
      </c>
      <c r="E814" s="7">
        <f>'1 datos preparados'!D807</f>
        <v/>
      </c>
      <c r="F814" s="7">
        <f>'1 datos preparados'!E807</f>
        <v/>
      </c>
      <c r="G814" s="7">
        <f>'1 datos preparados'!F807</f>
        <v/>
      </c>
      <c r="H814" s="7">
        <f>'1 datos preparados'!G807</f>
        <v/>
      </c>
      <c r="I814" s="7">
        <f>'1 datos preparados'!H807</f>
        <v/>
      </c>
      <c r="J814" s="7">
        <f>'1 datos preparados'!I807</f>
        <v/>
      </c>
      <c r="K814" s="7">
        <f>'1 datos preparados'!J807</f>
        <v/>
      </c>
      <c r="L814" s="7">
        <f>'1 datos preparados'!K807</f>
        <v/>
      </c>
      <c r="M814" s="7">
        <f>'1 datos preparados'!L807</f>
        <v/>
      </c>
      <c r="N814" s="7">
        <f>'1 datos preparados'!M807</f>
        <v/>
      </c>
      <c r="O814" s="7">
        <f>'1 datos preparados'!N807</f>
        <v/>
      </c>
      <c r="P814" s="7">
        <f>'1 datos preparados'!O807</f>
        <v/>
      </c>
      <c r="Q814" s="7">
        <f>'1 datos preparados'!P807</f>
        <v/>
      </c>
      <c r="R814" s="7">
        <f>'1 datos preparados'!Q807</f>
        <v/>
      </c>
      <c r="S814" s="7">
        <f>'1 datos preparados'!R807</f>
        <v/>
      </c>
      <c r="T814" s="7">
        <f>'1 datos preparados'!S807</f>
        <v/>
      </c>
      <c r="U814" s="7">
        <f>'1 datos preparados'!T807</f>
        <v/>
      </c>
      <c r="V814" s="8">
        <f>$AC$12+D814*$AC$13+E814*$AC$14+F814*$AC$15+G814*$AC$16+H814*$AC$17+I814*$AC$18+J814*$AC$19+K814*$AC$20+L814*$AC$21+M814*$AC$22+N814*$AC$23+O814*$AC$24+P814*$AC$25+Q814*$AC$26+R814*$AC$27+S814*$AC$28+T814*$AC$29+U814*$AC$30</f>
        <v/>
      </c>
      <c r="W814" s="8">
        <f>1/(1+EXP(-V814))</f>
        <v/>
      </c>
      <c r="X814" s="9">
        <f>-IF(C814=1,LN(W814),LN(1-W814))</f>
        <v/>
      </c>
      <c r="Y814" s="10">
        <f>IF(W814&gt;$AC$34,1,0)</f>
        <v/>
      </c>
      <c r="Z814">
        <f>IF(Y814=C814,1,0)</f>
        <v/>
      </c>
    </row>
    <row r="815">
      <c r="A815">
        <f>'1 datos preparados'!A808</f>
        <v/>
      </c>
      <c r="B815" s="5">
        <f>'1 datos preparados'!U808</f>
        <v/>
      </c>
      <c r="C815">
        <f>'1 datos preparados'!B808</f>
        <v/>
      </c>
      <c r="D815" s="7">
        <f>'1 datos preparados'!C808</f>
        <v/>
      </c>
      <c r="E815" s="7">
        <f>'1 datos preparados'!D808</f>
        <v/>
      </c>
      <c r="F815" s="7">
        <f>'1 datos preparados'!E808</f>
        <v/>
      </c>
      <c r="G815" s="7">
        <f>'1 datos preparados'!F808</f>
        <v/>
      </c>
      <c r="H815" s="7">
        <f>'1 datos preparados'!G808</f>
        <v/>
      </c>
      <c r="I815" s="7">
        <f>'1 datos preparados'!H808</f>
        <v/>
      </c>
      <c r="J815" s="7">
        <f>'1 datos preparados'!I808</f>
        <v/>
      </c>
      <c r="K815" s="7">
        <f>'1 datos preparados'!J808</f>
        <v/>
      </c>
      <c r="L815" s="7">
        <f>'1 datos preparados'!K808</f>
        <v/>
      </c>
      <c r="M815" s="7">
        <f>'1 datos preparados'!L808</f>
        <v/>
      </c>
      <c r="N815" s="7">
        <f>'1 datos preparados'!M808</f>
        <v/>
      </c>
      <c r="O815" s="7">
        <f>'1 datos preparados'!N808</f>
        <v/>
      </c>
      <c r="P815" s="7">
        <f>'1 datos preparados'!O808</f>
        <v/>
      </c>
      <c r="Q815" s="7">
        <f>'1 datos preparados'!P808</f>
        <v/>
      </c>
      <c r="R815" s="7">
        <f>'1 datos preparados'!Q808</f>
        <v/>
      </c>
      <c r="S815" s="7">
        <f>'1 datos preparados'!R808</f>
        <v/>
      </c>
      <c r="T815" s="7">
        <f>'1 datos preparados'!S808</f>
        <v/>
      </c>
      <c r="U815" s="7">
        <f>'1 datos preparados'!T808</f>
        <v/>
      </c>
      <c r="V815" s="8">
        <f>$AC$12+D815*$AC$13+E815*$AC$14+F815*$AC$15+G815*$AC$16+H815*$AC$17+I815*$AC$18+J815*$AC$19+K815*$AC$20+L815*$AC$21+M815*$AC$22+N815*$AC$23+O815*$AC$24+P815*$AC$25+Q815*$AC$26+R815*$AC$27+S815*$AC$28+T815*$AC$29+U815*$AC$30</f>
        <v/>
      </c>
      <c r="W815" s="8">
        <f>1/(1+EXP(-V815))</f>
        <v/>
      </c>
      <c r="X815" s="9">
        <f>-IF(C815=1,LN(W815),LN(1-W815))</f>
        <v/>
      </c>
      <c r="Y815" s="10">
        <f>IF(W815&gt;$AC$34,1,0)</f>
        <v/>
      </c>
      <c r="Z815">
        <f>IF(Y815=C815,1,0)</f>
        <v/>
      </c>
    </row>
    <row r="816">
      <c r="A816">
        <f>'1 datos preparados'!A809</f>
        <v/>
      </c>
      <c r="B816" s="5">
        <f>'1 datos preparados'!U809</f>
        <v/>
      </c>
      <c r="C816">
        <f>'1 datos preparados'!B809</f>
        <v/>
      </c>
      <c r="D816" s="7">
        <f>'1 datos preparados'!C809</f>
        <v/>
      </c>
      <c r="E816" s="7">
        <f>'1 datos preparados'!D809</f>
        <v/>
      </c>
      <c r="F816" s="7">
        <f>'1 datos preparados'!E809</f>
        <v/>
      </c>
      <c r="G816" s="7">
        <f>'1 datos preparados'!F809</f>
        <v/>
      </c>
      <c r="H816" s="7">
        <f>'1 datos preparados'!G809</f>
        <v/>
      </c>
      <c r="I816" s="7">
        <f>'1 datos preparados'!H809</f>
        <v/>
      </c>
      <c r="J816" s="7">
        <f>'1 datos preparados'!I809</f>
        <v/>
      </c>
      <c r="K816" s="7">
        <f>'1 datos preparados'!J809</f>
        <v/>
      </c>
      <c r="L816" s="7">
        <f>'1 datos preparados'!K809</f>
        <v/>
      </c>
      <c r="M816" s="7">
        <f>'1 datos preparados'!L809</f>
        <v/>
      </c>
      <c r="N816" s="7">
        <f>'1 datos preparados'!M809</f>
        <v/>
      </c>
      <c r="O816" s="7">
        <f>'1 datos preparados'!N809</f>
        <v/>
      </c>
      <c r="P816" s="7">
        <f>'1 datos preparados'!O809</f>
        <v/>
      </c>
      <c r="Q816" s="7">
        <f>'1 datos preparados'!P809</f>
        <v/>
      </c>
      <c r="R816" s="7">
        <f>'1 datos preparados'!Q809</f>
        <v/>
      </c>
      <c r="S816" s="7">
        <f>'1 datos preparados'!R809</f>
        <v/>
      </c>
      <c r="T816" s="7">
        <f>'1 datos preparados'!S809</f>
        <v/>
      </c>
      <c r="U816" s="7">
        <f>'1 datos preparados'!T809</f>
        <v/>
      </c>
      <c r="V816" s="8">
        <f>$AC$12+D816*$AC$13+E816*$AC$14+F816*$AC$15+G816*$AC$16+H816*$AC$17+I816*$AC$18+J816*$AC$19+K816*$AC$20+L816*$AC$21+M816*$AC$22+N816*$AC$23+O816*$AC$24+P816*$AC$25+Q816*$AC$26+R816*$AC$27+S816*$AC$28+T816*$AC$29+U816*$AC$30</f>
        <v/>
      </c>
      <c r="W816" s="8">
        <f>1/(1+EXP(-V816))</f>
        <v/>
      </c>
      <c r="X816" s="9">
        <f>-IF(C816=1,LN(W816),LN(1-W816))</f>
        <v/>
      </c>
      <c r="Y816" s="10">
        <f>IF(W816&gt;$AC$34,1,0)</f>
        <v/>
      </c>
      <c r="Z816">
        <f>IF(Y816=C816,1,0)</f>
        <v/>
      </c>
    </row>
    <row r="817">
      <c r="A817">
        <f>'1 datos preparados'!A810</f>
        <v/>
      </c>
      <c r="B817" s="5">
        <f>'1 datos preparados'!U810</f>
        <v/>
      </c>
      <c r="C817">
        <f>'1 datos preparados'!B810</f>
        <v/>
      </c>
      <c r="D817" s="7">
        <f>'1 datos preparados'!C810</f>
        <v/>
      </c>
      <c r="E817" s="7">
        <f>'1 datos preparados'!D810</f>
        <v/>
      </c>
      <c r="F817" s="7">
        <f>'1 datos preparados'!E810</f>
        <v/>
      </c>
      <c r="G817" s="7">
        <f>'1 datos preparados'!F810</f>
        <v/>
      </c>
      <c r="H817" s="7">
        <f>'1 datos preparados'!G810</f>
        <v/>
      </c>
      <c r="I817" s="7">
        <f>'1 datos preparados'!H810</f>
        <v/>
      </c>
      <c r="J817" s="7">
        <f>'1 datos preparados'!I810</f>
        <v/>
      </c>
      <c r="K817" s="7">
        <f>'1 datos preparados'!J810</f>
        <v/>
      </c>
      <c r="L817" s="7">
        <f>'1 datos preparados'!K810</f>
        <v/>
      </c>
      <c r="M817" s="7">
        <f>'1 datos preparados'!L810</f>
        <v/>
      </c>
      <c r="N817" s="7">
        <f>'1 datos preparados'!M810</f>
        <v/>
      </c>
      <c r="O817" s="7">
        <f>'1 datos preparados'!N810</f>
        <v/>
      </c>
      <c r="P817" s="7">
        <f>'1 datos preparados'!O810</f>
        <v/>
      </c>
      <c r="Q817" s="7">
        <f>'1 datos preparados'!P810</f>
        <v/>
      </c>
      <c r="R817" s="7">
        <f>'1 datos preparados'!Q810</f>
        <v/>
      </c>
      <c r="S817" s="7">
        <f>'1 datos preparados'!R810</f>
        <v/>
      </c>
      <c r="T817" s="7">
        <f>'1 datos preparados'!S810</f>
        <v/>
      </c>
      <c r="U817" s="7">
        <f>'1 datos preparados'!T810</f>
        <v/>
      </c>
      <c r="V817" s="8">
        <f>$AC$12+D817*$AC$13+E817*$AC$14+F817*$AC$15+G817*$AC$16+H817*$AC$17+I817*$AC$18+J817*$AC$19+K817*$AC$20+L817*$AC$21+M817*$AC$22+N817*$AC$23+O817*$AC$24+P817*$AC$25+Q817*$AC$26+R817*$AC$27+S817*$AC$28+T817*$AC$29+U817*$AC$30</f>
        <v/>
      </c>
      <c r="W817" s="8">
        <f>1/(1+EXP(-V817))</f>
        <v/>
      </c>
      <c r="X817" s="9">
        <f>-IF(C817=1,LN(W817),LN(1-W817))</f>
        <v/>
      </c>
      <c r="Y817" s="10">
        <f>IF(W817&gt;$AC$34,1,0)</f>
        <v/>
      </c>
      <c r="Z817">
        <f>IF(Y817=C817,1,0)</f>
        <v/>
      </c>
    </row>
    <row r="818">
      <c r="A818">
        <f>'1 datos preparados'!A811</f>
        <v/>
      </c>
      <c r="B818" s="5">
        <f>'1 datos preparados'!U811</f>
        <v/>
      </c>
      <c r="C818">
        <f>'1 datos preparados'!B811</f>
        <v/>
      </c>
      <c r="D818" s="7">
        <f>'1 datos preparados'!C811</f>
        <v/>
      </c>
      <c r="E818" s="7">
        <f>'1 datos preparados'!D811</f>
        <v/>
      </c>
      <c r="F818" s="7">
        <f>'1 datos preparados'!E811</f>
        <v/>
      </c>
      <c r="G818" s="7">
        <f>'1 datos preparados'!F811</f>
        <v/>
      </c>
      <c r="H818" s="7">
        <f>'1 datos preparados'!G811</f>
        <v/>
      </c>
      <c r="I818" s="7">
        <f>'1 datos preparados'!H811</f>
        <v/>
      </c>
      <c r="J818" s="7">
        <f>'1 datos preparados'!I811</f>
        <v/>
      </c>
      <c r="K818" s="7">
        <f>'1 datos preparados'!J811</f>
        <v/>
      </c>
      <c r="L818" s="7">
        <f>'1 datos preparados'!K811</f>
        <v/>
      </c>
      <c r="M818" s="7">
        <f>'1 datos preparados'!L811</f>
        <v/>
      </c>
      <c r="N818" s="7">
        <f>'1 datos preparados'!M811</f>
        <v/>
      </c>
      <c r="O818" s="7">
        <f>'1 datos preparados'!N811</f>
        <v/>
      </c>
      <c r="P818" s="7">
        <f>'1 datos preparados'!O811</f>
        <v/>
      </c>
      <c r="Q818" s="7">
        <f>'1 datos preparados'!P811</f>
        <v/>
      </c>
      <c r="R818" s="7">
        <f>'1 datos preparados'!Q811</f>
        <v/>
      </c>
      <c r="S818" s="7">
        <f>'1 datos preparados'!R811</f>
        <v/>
      </c>
      <c r="T818" s="7">
        <f>'1 datos preparados'!S811</f>
        <v/>
      </c>
      <c r="U818" s="7">
        <f>'1 datos preparados'!T811</f>
        <v/>
      </c>
      <c r="V818" s="8">
        <f>$AC$12+D818*$AC$13+E818*$AC$14+F818*$AC$15+G818*$AC$16+H818*$AC$17+I818*$AC$18+J818*$AC$19+K818*$AC$20+L818*$AC$21+M818*$AC$22+N818*$AC$23+O818*$AC$24+P818*$AC$25+Q818*$AC$26+R818*$AC$27+S818*$AC$28+T818*$AC$29+U818*$AC$30</f>
        <v/>
      </c>
      <c r="W818" s="8">
        <f>1/(1+EXP(-V818))</f>
        <v/>
      </c>
      <c r="X818" s="9">
        <f>-IF(C818=1,LN(W818),LN(1-W818))</f>
        <v/>
      </c>
      <c r="Y818" s="10">
        <f>IF(W818&gt;$AC$34,1,0)</f>
        <v/>
      </c>
      <c r="Z818">
        <f>IF(Y818=C818,1,0)</f>
        <v/>
      </c>
    </row>
    <row r="819">
      <c r="A819">
        <f>'1 datos preparados'!A812</f>
        <v/>
      </c>
      <c r="B819" s="5">
        <f>'1 datos preparados'!U812</f>
        <v/>
      </c>
      <c r="C819">
        <f>'1 datos preparados'!B812</f>
        <v/>
      </c>
      <c r="D819" s="7">
        <f>'1 datos preparados'!C812</f>
        <v/>
      </c>
      <c r="E819" s="7">
        <f>'1 datos preparados'!D812</f>
        <v/>
      </c>
      <c r="F819" s="7">
        <f>'1 datos preparados'!E812</f>
        <v/>
      </c>
      <c r="G819" s="7">
        <f>'1 datos preparados'!F812</f>
        <v/>
      </c>
      <c r="H819" s="7">
        <f>'1 datos preparados'!G812</f>
        <v/>
      </c>
      <c r="I819" s="7">
        <f>'1 datos preparados'!H812</f>
        <v/>
      </c>
      <c r="J819" s="7">
        <f>'1 datos preparados'!I812</f>
        <v/>
      </c>
      <c r="K819" s="7">
        <f>'1 datos preparados'!J812</f>
        <v/>
      </c>
      <c r="L819" s="7">
        <f>'1 datos preparados'!K812</f>
        <v/>
      </c>
      <c r="M819" s="7">
        <f>'1 datos preparados'!L812</f>
        <v/>
      </c>
      <c r="N819" s="7">
        <f>'1 datos preparados'!M812</f>
        <v/>
      </c>
      <c r="O819" s="7">
        <f>'1 datos preparados'!N812</f>
        <v/>
      </c>
      <c r="P819" s="7">
        <f>'1 datos preparados'!O812</f>
        <v/>
      </c>
      <c r="Q819" s="7">
        <f>'1 datos preparados'!P812</f>
        <v/>
      </c>
      <c r="R819" s="7">
        <f>'1 datos preparados'!Q812</f>
        <v/>
      </c>
      <c r="S819" s="7">
        <f>'1 datos preparados'!R812</f>
        <v/>
      </c>
      <c r="T819" s="7">
        <f>'1 datos preparados'!S812</f>
        <v/>
      </c>
      <c r="U819" s="7">
        <f>'1 datos preparados'!T812</f>
        <v/>
      </c>
      <c r="V819" s="8">
        <f>$AC$12+D819*$AC$13+E819*$AC$14+F819*$AC$15+G819*$AC$16+H819*$AC$17+I819*$AC$18+J819*$AC$19+K819*$AC$20+L819*$AC$21+M819*$AC$22+N819*$AC$23+O819*$AC$24+P819*$AC$25+Q819*$AC$26+R819*$AC$27+S819*$AC$28+T819*$AC$29+U819*$AC$30</f>
        <v/>
      </c>
      <c r="W819" s="8">
        <f>1/(1+EXP(-V819))</f>
        <v/>
      </c>
      <c r="X819" s="9">
        <f>-IF(C819=1,LN(W819),LN(1-W819))</f>
        <v/>
      </c>
      <c r="Y819" s="10">
        <f>IF(W819&gt;$AC$34,1,0)</f>
        <v/>
      </c>
      <c r="Z819">
        <f>IF(Y819=C819,1,0)</f>
        <v/>
      </c>
    </row>
    <row r="820">
      <c r="A820">
        <f>'1 datos preparados'!A813</f>
        <v/>
      </c>
      <c r="B820" s="5">
        <f>'1 datos preparados'!U813</f>
        <v/>
      </c>
      <c r="C820">
        <f>'1 datos preparados'!B813</f>
        <v/>
      </c>
      <c r="D820" s="7">
        <f>'1 datos preparados'!C813</f>
        <v/>
      </c>
      <c r="E820" s="7">
        <f>'1 datos preparados'!D813</f>
        <v/>
      </c>
      <c r="F820" s="7">
        <f>'1 datos preparados'!E813</f>
        <v/>
      </c>
      <c r="G820" s="7">
        <f>'1 datos preparados'!F813</f>
        <v/>
      </c>
      <c r="H820" s="7">
        <f>'1 datos preparados'!G813</f>
        <v/>
      </c>
      <c r="I820" s="7">
        <f>'1 datos preparados'!H813</f>
        <v/>
      </c>
      <c r="J820" s="7">
        <f>'1 datos preparados'!I813</f>
        <v/>
      </c>
      <c r="K820" s="7">
        <f>'1 datos preparados'!J813</f>
        <v/>
      </c>
      <c r="L820" s="7">
        <f>'1 datos preparados'!K813</f>
        <v/>
      </c>
      <c r="M820" s="7">
        <f>'1 datos preparados'!L813</f>
        <v/>
      </c>
      <c r="N820" s="7">
        <f>'1 datos preparados'!M813</f>
        <v/>
      </c>
      <c r="O820" s="7">
        <f>'1 datos preparados'!N813</f>
        <v/>
      </c>
      <c r="P820" s="7">
        <f>'1 datos preparados'!O813</f>
        <v/>
      </c>
      <c r="Q820" s="7">
        <f>'1 datos preparados'!P813</f>
        <v/>
      </c>
      <c r="R820" s="7">
        <f>'1 datos preparados'!Q813</f>
        <v/>
      </c>
      <c r="S820" s="7">
        <f>'1 datos preparados'!R813</f>
        <v/>
      </c>
      <c r="T820" s="7">
        <f>'1 datos preparados'!S813</f>
        <v/>
      </c>
      <c r="U820" s="7">
        <f>'1 datos preparados'!T813</f>
        <v/>
      </c>
      <c r="V820" s="8">
        <f>$AC$12+D820*$AC$13+E820*$AC$14+F820*$AC$15+G820*$AC$16+H820*$AC$17+I820*$AC$18+J820*$AC$19+K820*$AC$20+L820*$AC$21+M820*$AC$22+N820*$AC$23+O820*$AC$24+P820*$AC$25+Q820*$AC$26+R820*$AC$27+S820*$AC$28+T820*$AC$29+U820*$AC$30</f>
        <v/>
      </c>
      <c r="W820" s="8">
        <f>1/(1+EXP(-V820))</f>
        <v/>
      </c>
      <c r="X820" s="9">
        <f>-IF(C820=1,LN(W820),LN(1-W820))</f>
        <v/>
      </c>
      <c r="Y820" s="10">
        <f>IF(W820&gt;$AC$34,1,0)</f>
        <v/>
      </c>
      <c r="Z820">
        <f>IF(Y820=C820,1,0)</f>
        <v/>
      </c>
    </row>
    <row r="821">
      <c r="A821">
        <f>'1 datos preparados'!A814</f>
        <v/>
      </c>
      <c r="B821" s="5">
        <f>'1 datos preparados'!U814</f>
        <v/>
      </c>
      <c r="C821">
        <f>'1 datos preparados'!B814</f>
        <v/>
      </c>
      <c r="D821" s="7">
        <f>'1 datos preparados'!C814</f>
        <v/>
      </c>
      <c r="E821" s="7">
        <f>'1 datos preparados'!D814</f>
        <v/>
      </c>
      <c r="F821" s="7">
        <f>'1 datos preparados'!E814</f>
        <v/>
      </c>
      <c r="G821" s="7">
        <f>'1 datos preparados'!F814</f>
        <v/>
      </c>
      <c r="H821" s="7">
        <f>'1 datos preparados'!G814</f>
        <v/>
      </c>
      <c r="I821" s="7">
        <f>'1 datos preparados'!H814</f>
        <v/>
      </c>
      <c r="J821" s="7">
        <f>'1 datos preparados'!I814</f>
        <v/>
      </c>
      <c r="K821" s="7">
        <f>'1 datos preparados'!J814</f>
        <v/>
      </c>
      <c r="L821" s="7">
        <f>'1 datos preparados'!K814</f>
        <v/>
      </c>
      <c r="M821" s="7">
        <f>'1 datos preparados'!L814</f>
        <v/>
      </c>
      <c r="N821" s="7">
        <f>'1 datos preparados'!M814</f>
        <v/>
      </c>
      <c r="O821" s="7">
        <f>'1 datos preparados'!N814</f>
        <v/>
      </c>
      <c r="P821" s="7">
        <f>'1 datos preparados'!O814</f>
        <v/>
      </c>
      <c r="Q821" s="7">
        <f>'1 datos preparados'!P814</f>
        <v/>
      </c>
      <c r="R821" s="7">
        <f>'1 datos preparados'!Q814</f>
        <v/>
      </c>
      <c r="S821" s="7">
        <f>'1 datos preparados'!R814</f>
        <v/>
      </c>
      <c r="T821" s="7">
        <f>'1 datos preparados'!S814</f>
        <v/>
      </c>
      <c r="U821" s="7">
        <f>'1 datos preparados'!T814</f>
        <v/>
      </c>
      <c r="V821" s="8">
        <f>$AC$12+D821*$AC$13+E821*$AC$14+F821*$AC$15+G821*$AC$16+H821*$AC$17+I821*$AC$18+J821*$AC$19+K821*$AC$20+L821*$AC$21+M821*$AC$22+N821*$AC$23+O821*$AC$24+P821*$AC$25+Q821*$AC$26+R821*$AC$27+S821*$AC$28+T821*$AC$29+U821*$AC$30</f>
        <v/>
      </c>
      <c r="W821" s="8">
        <f>1/(1+EXP(-V821))</f>
        <v/>
      </c>
      <c r="X821" s="9">
        <f>-IF(C821=1,LN(W821),LN(1-W821))</f>
        <v/>
      </c>
      <c r="Y821" s="10">
        <f>IF(W821&gt;$AC$34,1,0)</f>
        <v/>
      </c>
      <c r="Z821">
        <f>IF(Y821=C821,1,0)</f>
        <v/>
      </c>
    </row>
    <row r="822">
      <c r="A822">
        <f>'1 datos preparados'!A815</f>
        <v/>
      </c>
      <c r="B822" s="5">
        <f>'1 datos preparados'!U815</f>
        <v/>
      </c>
      <c r="C822">
        <f>'1 datos preparados'!B815</f>
        <v/>
      </c>
      <c r="D822" s="7">
        <f>'1 datos preparados'!C815</f>
        <v/>
      </c>
      <c r="E822" s="7">
        <f>'1 datos preparados'!D815</f>
        <v/>
      </c>
      <c r="F822" s="7">
        <f>'1 datos preparados'!E815</f>
        <v/>
      </c>
      <c r="G822" s="7">
        <f>'1 datos preparados'!F815</f>
        <v/>
      </c>
      <c r="H822" s="7">
        <f>'1 datos preparados'!G815</f>
        <v/>
      </c>
      <c r="I822" s="7">
        <f>'1 datos preparados'!H815</f>
        <v/>
      </c>
      <c r="J822" s="7">
        <f>'1 datos preparados'!I815</f>
        <v/>
      </c>
      <c r="K822" s="7">
        <f>'1 datos preparados'!J815</f>
        <v/>
      </c>
      <c r="L822" s="7">
        <f>'1 datos preparados'!K815</f>
        <v/>
      </c>
      <c r="M822" s="7">
        <f>'1 datos preparados'!L815</f>
        <v/>
      </c>
      <c r="N822" s="7">
        <f>'1 datos preparados'!M815</f>
        <v/>
      </c>
      <c r="O822" s="7">
        <f>'1 datos preparados'!N815</f>
        <v/>
      </c>
      <c r="P822" s="7">
        <f>'1 datos preparados'!O815</f>
        <v/>
      </c>
      <c r="Q822" s="7">
        <f>'1 datos preparados'!P815</f>
        <v/>
      </c>
      <c r="R822" s="7">
        <f>'1 datos preparados'!Q815</f>
        <v/>
      </c>
      <c r="S822" s="7">
        <f>'1 datos preparados'!R815</f>
        <v/>
      </c>
      <c r="T822" s="7">
        <f>'1 datos preparados'!S815</f>
        <v/>
      </c>
      <c r="U822" s="7">
        <f>'1 datos preparados'!T815</f>
        <v/>
      </c>
      <c r="V822" s="8">
        <f>$AC$12+D822*$AC$13+E822*$AC$14+F822*$AC$15+G822*$AC$16+H822*$AC$17+I822*$AC$18+J822*$AC$19+K822*$AC$20+L822*$AC$21+M822*$AC$22+N822*$AC$23+O822*$AC$24+P822*$AC$25+Q822*$AC$26+R822*$AC$27+S822*$AC$28+T822*$AC$29+U822*$AC$30</f>
        <v/>
      </c>
      <c r="W822" s="8">
        <f>1/(1+EXP(-V822))</f>
        <v/>
      </c>
      <c r="X822" s="9">
        <f>-IF(C822=1,LN(W822),LN(1-W822))</f>
        <v/>
      </c>
      <c r="Y822" s="10">
        <f>IF(W822&gt;$AC$34,1,0)</f>
        <v/>
      </c>
      <c r="Z822">
        <f>IF(Y822=C822,1,0)</f>
        <v/>
      </c>
    </row>
    <row r="823">
      <c r="A823">
        <f>'1 datos preparados'!A816</f>
        <v/>
      </c>
      <c r="B823" s="5">
        <f>'1 datos preparados'!U816</f>
        <v/>
      </c>
      <c r="C823">
        <f>'1 datos preparados'!B816</f>
        <v/>
      </c>
      <c r="D823" s="7">
        <f>'1 datos preparados'!C816</f>
        <v/>
      </c>
      <c r="E823" s="7">
        <f>'1 datos preparados'!D816</f>
        <v/>
      </c>
      <c r="F823" s="7">
        <f>'1 datos preparados'!E816</f>
        <v/>
      </c>
      <c r="G823" s="7">
        <f>'1 datos preparados'!F816</f>
        <v/>
      </c>
      <c r="H823" s="7">
        <f>'1 datos preparados'!G816</f>
        <v/>
      </c>
      <c r="I823" s="7">
        <f>'1 datos preparados'!H816</f>
        <v/>
      </c>
      <c r="J823" s="7">
        <f>'1 datos preparados'!I816</f>
        <v/>
      </c>
      <c r="K823" s="7">
        <f>'1 datos preparados'!J816</f>
        <v/>
      </c>
      <c r="L823" s="7">
        <f>'1 datos preparados'!K816</f>
        <v/>
      </c>
      <c r="M823" s="7">
        <f>'1 datos preparados'!L816</f>
        <v/>
      </c>
      <c r="N823" s="7">
        <f>'1 datos preparados'!M816</f>
        <v/>
      </c>
      <c r="O823" s="7">
        <f>'1 datos preparados'!N816</f>
        <v/>
      </c>
      <c r="P823" s="7">
        <f>'1 datos preparados'!O816</f>
        <v/>
      </c>
      <c r="Q823" s="7">
        <f>'1 datos preparados'!P816</f>
        <v/>
      </c>
      <c r="R823" s="7">
        <f>'1 datos preparados'!Q816</f>
        <v/>
      </c>
      <c r="S823" s="7">
        <f>'1 datos preparados'!R816</f>
        <v/>
      </c>
      <c r="T823" s="7">
        <f>'1 datos preparados'!S816</f>
        <v/>
      </c>
      <c r="U823" s="7">
        <f>'1 datos preparados'!T816</f>
        <v/>
      </c>
      <c r="V823" s="8">
        <f>$AC$12+D823*$AC$13+E823*$AC$14+F823*$AC$15+G823*$AC$16+H823*$AC$17+I823*$AC$18+J823*$AC$19+K823*$AC$20+L823*$AC$21+M823*$AC$22+N823*$AC$23+O823*$AC$24+P823*$AC$25+Q823*$AC$26+R823*$AC$27+S823*$AC$28+T823*$AC$29+U823*$AC$30</f>
        <v/>
      </c>
      <c r="W823" s="8">
        <f>1/(1+EXP(-V823))</f>
        <v/>
      </c>
      <c r="X823" s="9">
        <f>-IF(C823=1,LN(W823),LN(1-W823))</f>
        <v/>
      </c>
      <c r="Y823" s="10">
        <f>IF(W823&gt;$AC$34,1,0)</f>
        <v/>
      </c>
      <c r="Z823">
        <f>IF(Y823=C823,1,0)</f>
        <v/>
      </c>
    </row>
    <row r="824">
      <c r="A824">
        <f>'1 datos preparados'!A817</f>
        <v/>
      </c>
      <c r="B824" s="5">
        <f>'1 datos preparados'!U817</f>
        <v/>
      </c>
      <c r="C824">
        <f>'1 datos preparados'!B817</f>
        <v/>
      </c>
      <c r="D824" s="7">
        <f>'1 datos preparados'!C817</f>
        <v/>
      </c>
      <c r="E824" s="7">
        <f>'1 datos preparados'!D817</f>
        <v/>
      </c>
      <c r="F824" s="7">
        <f>'1 datos preparados'!E817</f>
        <v/>
      </c>
      <c r="G824" s="7">
        <f>'1 datos preparados'!F817</f>
        <v/>
      </c>
      <c r="H824" s="7">
        <f>'1 datos preparados'!G817</f>
        <v/>
      </c>
      <c r="I824" s="7">
        <f>'1 datos preparados'!H817</f>
        <v/>
      </c>
      <c r="J824" s="7">
        <f>'1 datos preparados'!I817</f>
        <v/>
      </c>
      <c r="K824" s="7">
        <f>'1 datos preparados'!J817</f>
        <v/>
      </c>
      <c r="L824" s="7">
        <f>'1 datos preparados'!K817</f>
        <v/>
      </c>
      <c r="M824" s="7">
        <f>'1 datos preparados'!L817</f>
        <v/>
      </c>
      <c r="N824" s="7">
        <f>'1 datos preparados'!M817</f>
        <v/>
      </c>
      <c r="O824" s="7">
        <f>'1 datos preparados'!N817</f>
        <v/>
      </c>
      <c r="P824" s="7">
        <f>'1 datos preparados'!O817</f>
        <v/>
      </c>
      <c r="Q824" s="7">
        <f>'1 datos preparados'!P817</f>
        <v/>
      </c>
      <c r="R824" s="7">
        <f>'1 datos preparados'!Q817</f>
        <v/>
      </c>
      <c r="S824" s="7">
        <f>'1 datos preparados'!R817</f>
        <v/>
      </c>
      <c r="T824" s="7">
        <f>'1 datos preparados'!S817</f>
        <v/>
      </c>
      <c r="U824" s="7">
        <f>'1 datos preparados'!T817</f>
        <v/>
      </c>
      <c r="V824" s="8">
        <f>$AC$12+D824*$AC$13+E824*$AC$14+F824*$AC$15+G824*$AC$16+H824*$AC$17+I824*$AC$18+J824*$AC$19+K824*$AC$20+L824*$AC$21+M824*$AC$22+N824*$AC$23+O824*$AC$24+P824*$AC$25+Q824*$AC$26+R824*$AC$27+S824*$AC$28+T824*$AC$29+U824*$AC$30</f>
        <v/>
      </c>
      <c r="W824" s="8">
        <f>1/(1+EXP(-V824))</f>
        <v/>
      </c>
      <c r="X824" s="9">
        <f>-IF(C824=1,LN(W824),LN(1-W824))</f>
        <v/>
      </c>
      <c r="Y824" s="10">
        <f>IF(W824&gt;$AC$34,1,0)</f>
        <v/>
      </c>
      <c r="Z824">
        <f>IF(Y824=C824,1,0)</f>
        <v/>
      </c>
    </row>
    <row r="825">
      <c r="A825">
        <f>'1 datos preparados'!A818</f>
        <v/>
      </c>
      <c r="B825" s="5">
        <f>'1 datos preparados'!U818</f>
        <v/>
      </c>
      <c r="C825">
        <f>'1 datos preparados'!B818</f>
        <v/>
      </c>
      <c r="D825" s="7">
        <f>'1 datos preparados'!C818</f>
        <v/>
      </c>
      <c r="E825" s="7">
        <f>'1 datos preparados'!D818</f>
        <v/>
      </c>
      <c r="F825" s="7">
        <f>'1 datos preparados'!E818</f>
        <v/>
      </c>
      <c r="G825" s="7">
        <f>'1 datos preparados'!F818</f>
        <v/>
      </c>
      <c r="H825" s="7">
        <f>'1 datos preparados'!G818</f>
        <v/>
      </c>
      <c r="I825" s="7">
        <f>'1 datos preparados'!H818</f>
        <v/>
      </c>
      <c r="J825" s="7">
        <f>'1 datos preparados'!I818</f>
        <v/>
      </c>
      <c r="K825" s="7">
        <f>'1 datos preparados'!J818</f>
        <v/>
      </c>
      <c r="L825" s="7">
        <f>'1 datos preparados'!K818</f>
        <v/>
      </c>
      <c r="M825" s="7">
        <f>'1 datos preparados'!L818</f>
        <v/>
      </c>
      <c r="N825" s="7">
        <f>'1 datos preparados'!M818</f>
        <v/>
      </c>
      <c r="O825" s="7">
        <f>'1 datos preparados'!N818</f>
        <v/>
      </c>
      <c r="P825" s="7">
        <f>'1 datos preparados'!O818</f>
        <v/>
      </c>
      <c r="Q825" s="7">
        <f>'1 datos preparados'!P818</f>
        <v/>
      </c>
      <c r="R825" s="7">
        <f>'1 datos preparados'!Q818</f>
        <v/>
      </c>
      <c r="S825" s="7">
        <f>'1 datos preparados'!R818</f>
        <v/>
      </c>
      <c r="T825" s="7">
        <f>'1 datos preparados'!S818</f>
        <v/>
      </c>
      <c r="U825" s="7">
        <f>'1 datos preparados'!T818</f>
        <v/>
      </c>
      <c r="V825" s="8">
        <f>$AC$12+D825*$AC$13+E825*$AC$14+F825*$AC$15+G825*$AC$16+H825*$AC$17+I825*$AC$18+J825*$AC$19+K825*$AC$20+L825*$AC$21+M825*$AC$22+N825*$AC$23+O825*$AC$24+P825*$AC$25+Q825*$AC$26+R825*$AC$27+S825*$AC$28+T825*$AC$29+U825*$AC$30</f>
        <v/>
      </c>
      <c r="W825" s="8">
        <f>1/(1+EXP(-V825))</f>
        <v/>
      </c>
      <c r="X825" s="9">
        <f>-IF(C825=1,LN(W825),LN(1-W825))</f>
        <v/>
      </c>
      <c r="Y825" s="10">
        <f>IF(W825&gt;$AC$34,1,0)</f>
        <v/>
      </c>
      <c r="Z825">
        <f>IF(Y825=C825,1,0)</f>
        <v/>
      </c>
    </row>
    <row r="826">
      <c r="A826">
        <f>'1 datos preparados'!A819</f>
        <v/>
      </c>
      <c r="B826" s="5">
        <f>'1 datos preparados'!U819</f>
        <v/>
      </c>
      <c r="C826">
        <f>'1 datos preparados'!B819</f>
        <v/>
      </c>
      <c r="D826" s="7">
        <f>'1 datos preparados'!C819</f>
        <v/>
      </c>
      <c r="E826" s="7">
        <f>'1 datos preparados'!D819</f>
        <v/>
      </c>
      <c r="F826" s="7">
        <f>'1 datos preparados'!E819</f>
        <v/>
      </c>
      <c r="G826" s="7">
        <f>'1 datos preparados'!F819</f>
        <v/>
      </c>
      <c r="H826" s="7">
        <f>'1 datos preparados'!G819</f>
        <v/>
      </c>
      <c r="I826" s="7">
        <f>'1 datos preparados'!H819</f>
        <v/>
      </c>
      <c r="J826" s="7">
        <f>'1 datos preparados'!I819</f>
        <v/>
      </c>
      <c r="K826" s="7">
        <f>'1 datos preparados'!J819</f>
        <v/>
      </c>
      <c r="L826" s="7">
        <f>'1 datos preparados'!K819</f>
        <v/>
      </c>
      <c r="M826" s="7">
        <f>'1 datos preparados'!L819</f>
        <v/>
      </c>
      <c r="N826" s="7">
        <f>'1 datos preparados'!M819</f>
        <v/>
      </c>
      <c r="O826" s="7">
        <f>'1 datos preparados'!N819</f>
        <v/>
      </c>
      <c r="P826" s="7">
        <f>'1 datos preparados'!O819</f>
        <v/>
      </c>
      <c r="Q826" s="7">
        <f>'1 datos preparados'!P819</f>
        <v/>
      </c>
      <c r="R826" s="7">
        <f>'1 datos preparados'!Q819</f>
        <v/>
      </c>
      <c r="S826" s="7">
        <f>'1 datos preparados'!R819</f>
        <v/>
      </c>
      <c r="T826" s="7">
        <f>'1 datos preparados'!S819</f>
        <v/>
      </c>
      <c r="U826" s="7">
        <f>'1 datos preparados'!T819</f>
        <v/>
      </c>
      <c r="V826" s="8">
        <f>$AC$12+D826*$AC$13+E826*$AC$14+F826*$AC$15+G826*$AC$16+H826*$AC$17+I826*$AC$18+J826*$AC$19+K826*$AC$20+L826*$AC$21+M826*$AC$22+N826*$AC$23+O826*$AC$24+P826*$AC$25+Q826*$AC$26+R826*$AC$27+S826*$AC$28+T826*$AC$29+U826*$AC$30</f>
        <v/>
      </c>
      <c r="W826" s="8">
        <f>1/(1+EXP(-V826))</f>
        <v/>
      </c>
      <c r="X826" s="9">
        <f>-IF(C826=1,LN(W826),LN(1-W826))</f>
        <v/>
      </c>
      <c r="Y826" s="10">
        <f>IF(W826&gt;$AC$34,1,0)</f>
        <v/>
      </c>
      <c r="Z826">
        <f>IF(Y826=C826,1,0)</f>
        <v/>
      </c>
    </row>
    <row r="827">
      <c r="A827">
        <f>'1 datos preparados'!A820</f>
        <v/>
      </c>
      <c r="B827" s="5">
        <f>'1 datos preparados'!U820</f>
        <v/>
      </c>
      <c r="C827">
        <f>'1 datos preparados'!B820</f>
        <v/>
      </c>
      <c r="D827" s="7">
        <f>'1 datos preparados'!C820</f>
        <v/>
      </c>
      <c r="E827" s="7">
        <f>'1 datos preparados'!D820</f>
        <v/>
      </c>
      <c r="F827" s="7">
        <f>'1 datos preparados'!E820</f>
        <v/>
      </c>
      <c r="G827" s="7">
        <f>'1 datos preparados'!F820</f>
        <v/>
      </c>
      <c r="H827" s="7">
        <f>'1 datos preparados'!G820</f>
        <v/>
      </c>
      <c r="I827" s="7">
        <f>'1 datos preparados'!H820</f>
        <v/>
      </c>
      <c r="J827" s="7">
        <f>'1 datos preparados'!I820</f>
        <v/>
      </c>
      <c r="K827" s="7">
        <f>'1 datos preparados'!J820</f>
        <v/>
      </c>
      <c r="L827" s="7">
        <f>'1 datos preparados'!K820</f>
        <v/>
      </c>
      <c r="M827" s="7">
        <f>'1 datos preparados'!L820</f>
        <v/>
      </c>
      <c r="N827" s="7">
        <f>'1 datos preparados'!M820</f>
        <v/>
      </c>
      <c r="O827" s="7">
        <f>'1 datos preparados'!N820</f>
        <v/>
      </c>
      <c r="P827" s="7">
        <f>'1 datos preparados'!O820</f>
        <v/>
      </c>
      <c r="Q827" s="7">
        <f>'1 datos preparados'!P820</f>
        <v/>
      </c>
      <c r="R827" s="7">
        <f>'1 datos preparados'!Q820</f>
        <v/>
      </c>
      <c r="S827" s="7">
        <f>'1 datos preparados'!R820</f>
        <v/>
      </c>
      <c r="T827" s="7">
        <f>'1 datos preparados'!S820</f>
        <v/>
      </c>
      <c r="U827" s="7">
        <f>'1 datos preparados'!T820</f>
        <v/>
      </c>
      <c r="V827" s="8">
        <f>$AC$12+D827*$AC$13+E827*$AC$14+F827*$AC$15+G827*$AC$16+H827*$AC$17+I827*$AC$18+J827*$AC$19+K827*$AC$20+L827*$AC$21+M827*$AC$22+N827*$AC$23+O827*$AC$24+P827*$AC$25+Q827*$AC$26+R827*$AC$27+S827*$AC$28+T827*$AC$29+U827*$AC$30</f>
        <v/>
      </c>
      <c r="W827" s="8">
        <f>1/(1+EXP(-V827))</f>
        <v/>
      </c>
      <c r="X827" s="9">
        <f>-IF(C827=1,LN(W827),LN(1-W827))</f>
        <v/>
      </c>
      <c r="Y827" s="10">
        <f>IF(W827&gt;$AC$34,1,0)</f>
        <v/>
      </c>
      <c r="Z827">
        <f>IF(Y827=C827,1,0)</f>
        <v/>
      </c>
    </row>
    <row r="828">
      <c r="A828">
        <f>'1 datos preparados'!A821</f>
        <v/>
      </c>
      <c r="B828" s="5">
        <f>'1 datos preparados'!U821</f>
        <v/>
      </c>
      <c r="C828">
        <f>'1 datos preparados'!B821</f>
        <v/>
      </c>
      <c r="D828" s="7">
        <f>'1 datos preparados'!C821</f>
        <v/>
      </c>
      <c r="E828" s="7">
        <f>'1 datos preparados'!D821</f>
        <v/>
      </c>
      <c r="F828" s="7">
        <f>'1 datos preparados'!E821</f>
        <v/>
      </c>
      <c r="G828" s="7">
        <f>'1 datos preparados'!F821</f>
        <v/>
      </c>
      <c r="H828" s="7">
        <f>'1 datos preparados'!G821</f>
        <v/>
      </c>
      <c r="I828" s="7">
        <f>'1 datos preparados'!H821</f>
        <v/>
      </c>
      <c r="J828" s="7">
        <f>'1 datos preparados'!I821</f>
        <v/>
      </c>
      <c r="K828" s="7">
        <f>'1 datos preparados'!J821</f>
        <v/>
      </c>
      <c r="L828" s="7">
        <f>'1 datos preparados'!K821</f>
        <v/>
      </c>
      <c r="M828" s="7">
        <f>'1 datos preparados'!L821</f>
        <v/>
      </c>
      <c r="N828" s="7">
        <f>'1 datos preparados'!M821</f>
        <v/>
      </c>
      <c r="O828" s="7">
        <f>'1 datos preparados'!N821</f>
        <v/>
      </c>
      <c r="P828" s="7">
        <f>'1 datos preparados'!O821</f>
        <v/>
      </c>
      <c r="Q828" s="7">
        <f>'1 datos preparados'!P821</f>
        <v/>
      </c>
      <c r="R828" s="7">
        <f>'1 datos preparados'!Q821</f>
        <v/>
      </c>
      <c r="S828" s="7">
        <f>'1 datos preparados'!R821</f>
        <v/>
      </c>
      <c r="T828" s="7">
        <f>'1 datos preparados'!S821</f>
        <v/>
      </c>
      <c r="U828" s="7">
        <f>'1 datos preparados'!T821</f>
        <v/>
      </c>
      <c r="V828" s="8">
        <f>$AC$12+D828*$AC$13+E828*$AC$14+F828*$AC$15+G828*$AC$16+H828*$AC$17+I828*$AC$18+J828*$AC$19+K828*$AC$20+L828*$AC$21+M828*$AC$22+N828*$AC$23+O828*$AC$24+P828*$AC$25+Q828*$AC$26+R828*$AC$27+S828*$AC$28+T828*$AC$29+U828*$AC$30</f>
        <v/>
      </c>
      <c r="W828" s="8">
        <f>1/(1+EXP(-V828))</f>
        <v/>
      </c>
      <c r="X828" s="9">
        <f>-IF(C828=1,LN(W828),LN(1-W828))</f>
        <v/>
      </c>
      <c r="Y828" s="10">
        <f>IF(W828&gt;$AC$34,1,0)</f>
        <v/>
      </c>
      <c r="Z828">
        <f>IF(Y828=C828,1,0)</f>
        <v/>
      </c>
    </row>
    <row r="829">
      <c r="A829">
        <f>'1 datos preparados'!A822</f>
        <v/>
      </c>
      <c r="B829" s="5">
        <f>'1 datos preparados'!U822</f>
        <v/>
      </c>
      <c r="C829">
        <f>'1 datos preparados'!B822</f>
        <v/>
      </c>
      <c r="D829" s="7">
        <f>'1 datos preparados'!C822</f>
        <v/>
      </c>
      <c r="E829" s="7">
        <f>'1 datos preparados'!D822</f>
        <v/>
      </c>
      <c r="F829" s="7">
        <f>'1 datos preparados'!E822</f>
        <v/>
      </c>
      <c r="G829" s="7">
        <f>'1 datos preparados'!F822</f>
        <v/>
      </c>
      <c r="H829" s="7">
        <f>'1 datos preparados'!G822</f>
        <v/>
      </c>
      <c r="I829" s="7">
        <f>'1 datos preparados'!H822</f>
        <v/>
      </c>
      <c r="J829" s="7">
        <f>'1 datos preparados'!I822</f>
        <v/>
      </c>
      <c r="K829" s="7">
        <f>'1 datos preparados'!J822</f>
        <v/>
      </c>
      <c r="L829" s="7">
        <f>'1 datos preparados'!K822</f>
        <v/>
      </c>
      <c r="M829" s="7">
        <f>'1 datos preparados'!L822</f>
        <v/>
      </c>
      <c r="N829" s="7">
        <f>'1 datos preparados'!M822</f>
        <v/>
      </c>
      <c r="O829" s="7">
        <f>'1 datos preparados'!N822</f>
        <v/>
      </c>
      <c r="P829" s="7">
        <f>'1 datos preparados'!O822</f>
        <v/>
      </c>
      <c r="Q829" s="7">
        <f>'1 datos preparados'!P822</f>
        <v/>
      </c>
      <c r="R829" s="7">
        <f>'1 datos preparados'!Q822</f>
        <v/>
      </c>
      <c r="S829" s="7">
        <f>'1 datos preparados'!R822</f>
        <v/>
      </c>
      <c r="T829" s="7">
        <f>'1 datos preparados'!S822</f>
        <v/>
      </c>
      <c r="U829" s="7">
        <f>'1 datos preparados'!T822</f>
        <v/>
      </c>
      <c r="V829" s="8">
        <f>$AC$12+D829*$AC$13+E829*$AC$14+F829*$AC$15+G829*$AC$16+H829*$AC$17+I829*$AC$18+J829*$AC$19+K829*$AC$20+L829*$AC$21+M829*$AC$22+N829*$AC$23+O829*$AC$24+P829*$AC$25+Q829*$AC$26+R829*$AC$27+S829*$AC$28+T829*$AC$29+U829*$AC$30</f>
        <v/>
      </c>
      <c r="W829" s="8">
        <f>1/(1+EXP(-V829))</f>
        <v/>
      </c>
      <c r="X829" s="9">
        <f>-IF(C829=1,LN(W829),LN(1-W829))</f>
        <v/>
      </c>
      <c r="Y829" s="10">
        <f>IF(W829&gt;$AC$34,1,0)</f>
        <v/>
      </c>
      <c r="Z829">
        <f>IF(Y829=C829,1,0)</f>
        <v/>
      </c>
    </row>
    <row r="830">
      <c r="A830">
        <f>'1 datos preparados'!A823</f>
        <v/>
      </c>
      <c r="B830" s="5">
        <f>'1 datos preparados'!U823</f>
        <v/>
      </c>
      <c r="C830">
        <f>'1 datos preparados'!B823</f>
        <v/>
      </c>
      <c r="D830" s="7">
        <f>'1 datos preparados'!C823</f>
        <v/>
      </c>
      <c r="E830" s="7">
        <f>'1 datos preparados'!D823</f>
        <v/>
      </c>
      <c r="F830" s="7">
        <f>'1 datos preparados'!E823</f>
        <v/>
      </c>
      <c r="G830" s="7">
        <f>'1 datos preparados'!F823</f>
        <v/>
      </c>
      <c r="H830" s="7">
        <f>'1 datos preparados'!G823</f>
        <v/>
      </c>
      <c r="I830" s="7">
        <f>'1 datos preparados'!H823</f>
        <v/>
      </c>
      <c r="J830" s="7">
        <f>'1 datos preparados'!I823</f>
        <v/>
      </c>
      <c r="K830" s="7">
        <f>'1 datos preparados'!J823</f>
        <v/>
      </c>
      <c r="L830" s="7">
        <f>'1 datos preparados'!K823</f>
        <v/>
      </c>
      <c r="M830" s="7">
        <f>'1 datos preparados'!L823</f>
        <v/>
      </c>
      <c r="N830" s="7">
        <f>'1 datos preparados'!M823</f>
        <v/>
      </c>
      <c r="O830" s="7">
        <f>'1 datos preparados'!N823</f>
        <v/>
      </c>
      <c r="P830" s="7">
        <f>'1 datos preparados'!O823</f>
        <v/>
      </c>
      <c r="Q830" s="7">
        <f>'1 datos preparados'!P823</f>
        <v/>
      </c>
      <c r="R830" s="7">
        <f>'1 datos preparados'!Q823</f>
        <v/>
      </c>
      <c r="S830" s="7">
        <f>'1 datos preparados'!R823</f>
        <v/>
      </c>
      <c r="T830" s="7">
        <f>'1 datos preparados'!S823</f>
        <v/>
      </c>
      <c r="U830" s="7">
        <f>'1 datos preparados'!T823</f>
        <v/>
      </c>
      <c r="V830" s="8">
        <f>$AC$12+D830*$AC$13+E830*$AC$14+F830*$AC$15+G830*$AC$16+H830*$AC$17+I830*$AC$18+J830*$AC$19+K830*$AC$20+L830*$AC$21+M830*$AC$22+N830*$AC$23+O830*$AC$24+P830*$AC$25+Q830*$AC$26+R830*$AC$27+S830*$AC$28+T830*$AC$29+U830*$AC$30</f>
        <v/>
      </c>
      <c r="W830" s="8">
        <f>1/(1+EXP(-V830))</f>
        <v/>
      </c>
      <c r="X830" s="9">
        <f>-IF(C830=1,LN(W830),LN(1-W830))</f>
        <v/>
      </c>
      <c r="Y830" s="10">
        <f>IF(W830&gt;$AC$34,1,0)</f>
        <v/>
      </c>
      <c r="Z830">
        <f>IF(Y830=C830,1,0)</f>
        <v/>
      </c>
    </row>
    <row r="831">
      <c r="A831">
        <f>'1 datos preparados'!A824</f>
        <v/>
      </c>
      <c r="B831" s="5">
        <f>'1 datos preparados'!U824</f>
        <v/>
      </c>
      <c r="C831">
        <f>'1 datos preparados'!B824</f>
        <v/>
      </c>
      <c r="D831" s="7">
        <f>'1 datos preparados'!C824</f>
        <v/>
      </c>
      <c r="E831" s="7">
        <f>'1 datos preparados'!D824</f>
        <v/>
      </c>
      <c r="F831" s="7">
        <f>'1 datos preparados'!E824</f>
        <v/>
      </c>
      <c r="G831" s="7">
        <f>'1 datos preparados'!F824</f>
        <v/>
      </c>
      <c r="H831" s="7">
        <f>'1 datos preparados'!G824</f>
        <v/>
      </c>
      <c r="I831" s="7">
        <f>'1 datos preparados'!H824</f>
        <v/>
      </c>
      <c r="J831" s="7">
        <f>'1 datos preparados'!I824</f>
        <v/>
      </c>
      <c r="K831" s="7">
        <f>'1 datos preparados'!J824</f>
        <v/>
      </c>
      <c r="L831" s="7">
        <f>'1 datos preparados'!K824</f>
        <v/>
      </c>
      <c r="M831" s="7">
        <f>'1 datos preparados'!L824</f>
        <v/>
      </c>
      <c r="N831" s="7">
        <f>'1 datos preparados'!M824</f>
        <v/>
      </c>
      <c r="O831" s="7">
        <f>'1 datos preparados'!N824</f>
        <v/>
      </c>
      <c r="P831" s="7">
        <f>'1 datos preparados'!O824</f>
        <v/>
      </c>
      <c r="Q831" s="7">
        <f>'1 datos preparados'!P824</f>
        <v/>
      </c>
      <c r="R831" s="7">
        <f>'1 datos preparados'!Q824</f>
        <v/>
      </c>
      <c r="S831" s="7">
        <f>'1 datos preparados'!R824</f>
        <v/>
      </c>
      <c r="T831" s="7">
        <f>'1 datos preparados'!S824</f>
        <v/>
      </c>
      <c r="U831" s="7">
        <f>'1 datos preparados'!T824</f>
        <v/>
      </c>
      <c r="V831" s="8">
        <f>$AC$12+D831*$AC$13+E831*$AC$14+F831*$AC$15+G831*$AC$16+H831*$AC$17+I831*$AC$18+J831*$AC$19+K831*$AC$20+L831*$AC$21+M831*$AC$22+N831*$AC$23+O831*$AC$24+P831*$AC$25+Q831*$AC$26+R831*$AC$27+S831*$AC$28+T831*$AC$29+U831*$AC$30</f>
        <v/>
      </c>
      <c r="W831" s="8">
        <f>1/(1+EXP(-V831))</f>
        <v/>
      </c>
      <c r="X831" s="9">
        <f>-IF(C831=1,LN(W831),LN(1-W831))</f>
        <v/>
      </c>
      <c r="Y831" s="10">
        <f>IF(W831&gt;$AC$34,1,0)</f>
        <v/>
      </c>
      <c r="Z831">
        <f>IF(Y831=C831,1,0)</f>
        <v/>
      </c>
    </row>
    <row r="832">
      <c r="A832">
        <f>'1 datos preparados'!A825</f>
        <v/>
      </c>
      <c r="B832" s="5">
        <f>'1 datos preparados'!U825</f>
        <v/>
      </c>
      <c r="C832">
        <f>'1 datos preparados'!B825</f>
        <v/>
      </c>
      <c r="D832" s="7">
        <f>'1 datos preparados'!C825</f>
        <v/>
      </c>
      <c r="E832" s="7">
        <f>'1 datos preparados'!D825</f>
        <v/>
      </c>
      <c r="F832" s="7">
        <f>'1 datos preparados'!E825</f>
        <v/>
      </c>
      <c r="G832" s="7">
        <f>'1 datos preparados'!F825</f>
        <v/>
      </c>
      <c r="H832" s="7">
        <f>'1 datos preparados'!G825</f>
        <v/>
      </c>
      <c r="I832" s="7">
        <f>'1 datos preparados'!H825</f>
        <v/>
      </c>
      <c r="J832" s="7">
        <f>'1 datos preparados'!I825</f>
        <v/>
      </c>
      <c r="K832" s="7">
        <f>'1 datos preparados'!J825</f>
        <v/>
      </c>
      <c r="L832" s="7">
        <f>'1 datos preparados'!K825</f>
        <v/>
      </c>
      <c r="M832" s="7">
        <f>'1 datos preparados'!L825</f>
        <v/>
      </c>
      <c r="N832" s="7">
        <f>'1 datos preparados'!M825</f>
        <v/>
      </c>
      <c r="O832" s="7">
        <f>'1 datos preparados'!N825</f>
        <v/>
      </c>
      <c r="P832" s="7">
        <f>'1 datos preparados'!O825</f>
        <v/>
      </c>
      <c r="Q832" s="7">
        <f>'1 datos preparados'!P825</f>
        <v/>
      </c>
      <c r="R832" s="7">
        <f>'1 datos preparados'!Q825</f>
        <v/>
      </c>
      <c r="S832" s="7">
        <f>'1 datos preparados'!R825</f>
        <v/>
      </c>
      <c r="T832" s="7">
        <f>'1 datos preparados'!S825</f>
        <v/>
      </c>
      <c r="U832" s="7">
        <f>'1 datos preparados'!T825</f>
        <v/>
      </c>
      <c r="V832" s="8">
        <f>$AC$12+D832*$AC$13+E832*$AC$14+F832*$AC$15+G832*$AC$16+H832*$AC$17+I832*$AC$18+J832*$AC$19+K832*$AC$20+L832*$AC$21+M832*$AC$22+N832*$AC$23+O832*$AC$24+P832*$AC$25+Q832*$AC$26+R832*$AC$27+S832*$AC$28+T832*$AC$29+U832*$AC$30</f>
        <v/>
      </c>
      <c r="W832" s="8">
        <f>1/(1+EXP(-V832))</f>
        <v/>
      </c>
      <c r="X832" s="9">
        <f>-IF(C832=1,LN(W832),LN(1-W832))</f>
        <v/>
      </c>
      <c r="Y832" s="10">
        <f>IF(W832&gt;$AC$34,1,0)</f>
        <v/>
      </c>
      <c r="Z832">
        <f>IF(Y832=C832,1,0)</f>
        <v/>
      </c>
    </row>
    <row r="833">
      <c r="A833">
        <f>'1 datos preparados'!A826</f>
        <v/>
      </c>
      <c r="B833" s="5">
        <f>'1 datos preparados'!U826</f>
        <v/>
      </c>
      <c r="C833">
        <f>'1 datos preparados'!B826</f>
        <v/>
      </c>
      <c r="D833" s="7">
        <f>'1 datos preparados'!C826</f>
        <v/>
      </c>
      <c r="E833" s="7">
        <f>'1 datos preparados'!D826</f>
        <v/>
      </c>
      <c r="F833" s="7">
        <f>'1 datos preparados'!E826</f>
        <v/>
      </c>
      <c r="G833" s="7">
        <f>'1 datos preparados'!F826</f>
        <v/>
      </c>
      <c r="H833" s="7">
        <f>'1 datos preparados'!G826</f>
        <v/>
      </c>
      <c r="I833" s="7">
        <f>'1 datos preparados'!H826</f>
        <v/>
      </c>
      <c r="J833" s="7">
        <f>'1 datos preparados'!I826</f>
        <v/>
      </c>
      <c r="K833" s="7">
        <f>'1 datos preparados'!J826</f>
        <v/>
      </c>
      <c r="L833" s="7">
        <f>'1 datos preparados'!K826</f>
        <v/>
      </c>
      <c r="M833" s="7">
        <f>'1 datos preparados'!L826</f>
        <v/>
      </c>
      <c r="N833" s="7">
        <f>'1 datos preparados'!M826</f>
        <v/>
      </c>
      <c r="O833" s="7">
        <f>'1 datos preparados'!N826</f>
        <v/>
      </c>
      <c r="P833" s="7">
        <f>'1 datos preparados'!O826</f>
        <v/>
      </c>
      <c r="Q833" s="7">
        <f>'1 datos preparados'!P826</f>
        <v/>
      </c>
      <c r="R833" s="7">
        <f>'1 datos preparados'!Q826</f>
        <v/>
      </c>
      <c r="S833" s="7">
        <f>'1 datos preparados'!R826</f>
        <v/>
      </c>
      <c r="T833" s="7">
        <f>'1 datos preparados'!S826</f>
        <v/>
      </c>
      <c r="U833" s="7">
        <f>'1 datos preparados'!T826</f>
        <v/>
      </c>
      <c r="V833" s="8">
        <f>$AC$12+D833*$AC$13+E833*$AC$14+F833*$AC$15+G833*$AC$16+H833*$AC$17+I833*$AC$18+J833*$AC$19+K833*$AC$20+L833*$AC$21+M833*$AC$22+N833*$AC$23+O833*$AC$24+P833*$AC$25+Q833*$AC$26+R833*$AC$27+S833*$AC$28+T833*$AC$29+U833*$AC$30</f>
        <v/>
      </c>
      <c r="W833" s="8">
        <f>1/(1+EXP(-V833))</f>
        <v/>
      </c>
      <c r="X833" s="9">
        <f>-IF(C833=1,LN(W833),LN(1-W833))</f>
        <v/>
      </c>
      <c r="Y833" s="10">
        <f>IF(W833&gt;$AC$34,1,0)</f>
        <v/>
      </c>
      <c r="Z833">
        <f>IF(Y833=C833,1,0)</f>
        <v/>
      </c>
    </row>
    <row r="834">
      <c r="A834">
        <f>'1 datos preparados'!A827</f>
        <v/>
      </c>
      <c r="B834" s="5">
        <f>'1 datos preparados'!U827</f>
        <v/>
      </c>
      <c r="C834">
        <f>'1 datos preparados'!B827</f>
        <v/>
      </c>
      <c r="D834" s="7">
        <f>'1 datos preparados'!C827</f>
        <v/>
      </c>
      <c r="E834" s="7">
        <f>'1 datos preparados'!D827</f>
        <v/>
      </c>
      <c r="F834" s="7">
        <f>'1 datos preparados'!E827</f>
        <v/>
      </c>
      <c r="G834" s="7">
        <f>'1 datos preparados'!F827</f>
        <v/>
      </c>
      <c r="H834" s="7">
        <f>'1 datos preparados'!G827</f>
        <v/>
      </c>
      <c r="I834" s="7">
        <f>'1 datos preparados'!H827</f>
        <v/>
      </c>
      <c r="J834" s="7">
        <f>'1 datos preparados'!I827</f>
        <v/>
      </c>
      <c r="K834" s="7">
        <f>'1 datos preparados'!J827</f>
        <v/>
      </c>
      <c r="L834" s="7">
        <f>'1 datos preparados'!K827</f>
        <v/>
      </c>
      <c r="M834" s="7">
        <f>'1 datos preparados'!L827</f>
        <v/>
      </c>
      <c r="N834" s="7">
        <f>'1 datos preparados'!M827</f>
        <v/>
      </c>
      <c r="O834" s="7">
        <f>'1 datos preparados'!N827</f>
        <v/>
      </c>
      <c r="P834" s="7">
        <f>'1 datos preparados'!O827</f>
        <v/>
      </c>
      <c r="Q834" s="7">
        <f>'1 datos preparados'!P827</f>
        <v/>
      </c>
      <c r="R834" s="7">
        <f>'1 datos preparados'!Q827</f>
        <v/>
      </c>
      <c r="S834" s="7">
        <f>'1 datos preparados'!R827</f>
        <v/>
      </c>
      <c r="T834" s="7">
        <f>'1 datos preparados'!S827</f>
        <v/>
      </c>
      <c r="U834" s="7">
        <f>'1 datos preparados'!T827</f>
        <v/>
      </c>
      <c r="V834" s="8">
        <f>$AC$12+D834*$AC$13+E834*$AC$14+F834*$AC$15+G834*$AC$16+H834*$AC$17+I834*$AC$18+J834*$AC$19+K834*$AC$20+L834*$AC$21+M834*$AC$22+N834*$AC$23+O834*$AC$24+P834*$AC$25+Q834*$AC$26+R834*$AC$27+S834*$AC$28+T834*$AC$29+U834*$AC$30</f>
        <v/>
      </c>
      <c r="W834" s="8">
        <f>1/(1+EXP(-V834))</f>
        <v/>
      </c>
      <c r="X834" s="9">
        <f>-IF(C834=1,LN(W834),LN(1-W834))</f>
        <v/>
      </c>
      <c r="Y834" s="10">
        <f>IF(W834&gt;$AC$34,1,0)</f>
        <v/>
      </c>
      <c r="Z834">
        <f>IF(Y834=C834,1,0)</f>
        <v/>
      </c>
    </row>
    <row r="835">
      <c r="A835">
        <f>'1 datos preparados'!A828</f>
        <v/>
      </c>
      <c r="B835" s="5">
        <f>'1 datos preparados'!U828</f>
        <v/>
      </c>
      <c r="C835">
        <f>'1 datos preparados'!B828</f>
        <v/>
      </c>
      <c r="D835" s="7">
        <f>'1 datos preparados'!C828</f>
        <v/>
      </c>
      <c r="E835" s="7">
        <f>'1 datos preparados'!D828</f>
        <v/>
      </c>
      <c r="F835" s="7">
        <f>'1 datos preparados'!E828</f>
        <v/>
      </c>
      <c r="G835" s="7">
        <f>'1 datos preparados'!F828</f>
        <v/>
      </c>
      <c r="H835" s="7">
        <f>'1 datos preparados'!G828</f>
        <v/>
      </c>
      <c r="I835" s="7">
        <f>'1 datos preparados'!H828</f>
        <v/>
      </c>
      <c r="J835" s="7">
        <f>'1 datos preparados'!I828</f>
        <v/>
      </c>
      <c r="K835" s="7">
        <f>'1 datos preparados'!J828</f>
        <v/>
      </c>
      <c r="L835" s="7">
        <f>'1 datos preparados'!K828</f>
        <v/>
      </c>
      <c r="M835" s="7">
        <f>'1 datos preparados'!L828</f>
        <v/>
      </c>
      <c r="N835" s="7">
        <f>'1 datos preparados'!M828</f>
        <v/>
      </c>
      <c r="O835" s="7">
        <f>'1 datos preparados'!N828</f>
        <v/>
      </c>
      <c r="P835" s="7">
        <f>'1 datos preparados'!O828</f>
        <v/>
      </c>
      <c r="Q835" s="7">
        <f>'1 datos preparados'!P828</f>
        <v/>
      </c>
      <c r="R835" s="7">
        <f>'1 datos preparados'!Q828</f>
        <v/>
      </c>
      <c r="S835" s="7">
        <f>'1 datos preparados'!R828</f>
        <v/>
      </c>
      <c r="T835" s="7">
        <f>'1 datos preparados'!S828</f>
        <v/>
      </c>
      <c r="U835" s="7">
        <f>'1 datos preparados'!T828</f>
        <v/>
      </c>
      <c r="V835" s="8">
        <f>$AC$12+D835*$AC$13+E835*$AC$14+F835*$AC$15+G835*$AC$16+H835*$AC$17+I835*$AC$18+J835*$AC$19+K835*$AC$20+L835*$AC$21+M835*$AC$22+N835*$AC$23+O835*$AC$24+P835*$AC$25+Q835*$AC$26+R835*$AC$27+S835*$AC$28+T835*$AC$29+U835*$AC$30</f>
        <v/>
      </c>
      <c r="W835" s="8">
        <f>1/(1+EXP(-V835))</f>
        <v/>
      </c>
      <c r="X835" s="9">
        <f>-IF(C835=1,LN(W835),LN(1-W835))</f>
        <v/>
      </c>
      <c r="Y835" s="10">
        <f>IF(W835&gt;$AC$34,1,0)</f>
        <v/>
      </c>
      <c r="Z835">
        <f>IF(Y835=C835,1,0)</f>
        <v/>
      </c>
    </row>
    <row r="836">
      <c r="A836">
        <f>'1 datos preparados'!A829</f>
        <v/>
      </c>
      <c r="B836" s="5">
        <f>'1 datos preparados'!U829</f>
        <v/>
      </c>
      <c r="C836">
        <f>'1 datos preparados'!B829</f>
        <v/>
      </c>
      <c r="D836" s="7">
        <f>'1 datos preparados'!C829</f>
        <v/>
      </c>
      <c r="E836" s="7">
        <f>'1 datos preparados'!D829</f>
        <v/>
      </c>
      <c r="F836" s="7">
        <f>'1 datos preparados'!E829</f>
        <v/>
      </c>
      <c r="G836" s="7">
        <f>'1 datos preparados'!F829</f>
        <v/>
      </c>
      <c r="H836" s="7">
        <f>'1 datos preparados'!G829</f>
        <v/>
      </c>
      <c r="I836" s="7">
        <f>'1 datos preparados'!H829</f>
        <v/>
      </c>
      <c r="J836" s="7">
        <f>'1 datos preparados'!I829</f>
        <v/>
      </c>
      <c r="K836" s="7">
        <f>'1 datos preparados'!J829</f>
        <v/>
      </c>
      <c r="L836" s="7">
        <f>'1 datos preparados'!K829</f>
        <v/>
      </c>
      <c r="M836" s="7">
        <f>'1 datos preparados'!L829</f>
        <v/>
      </c>
      <c r="N836" s="7">
        <f>'1 datos preparados'!M829</f>
        <v/>
      </c>
      <c r="O836" s="7">
        <f>'1 datos preparados'!N829</f>
        <v/>
      </c>
      <c r="P836" s="7">
        <f>'1 datos preparados'!O829</f>
        <v/>
      </c>
      <c r="Q836" s="7">
        <f>'1 datos preparados'!P829</f>
        <v/>
      </c>
      <c r="R836" s="7">
        <f>'1 datos preparados'!Q829</f>
        <v/>
      </c>
      <c r="S836" s="7">
        <f>'1 datos preparados'!R829</f>
        <v/>
      </c>
      <c r="T836" s="7">
        <f>'1 datos preparados'!S829</f>
        <v/>
      </c>
      <c r="U836" s="7">
        <f>'1 datos preparados'!T829</f>
        <v/>
      </c>
      <c r="V836" s="8">
        <f>$AC$12+D836*$AC$13+E836*$AC$14+F836*$AC$15+G836*$AC$16+H836*$AC$17+I836*$AC$18+J836*$AC$19+K836*$AC$20+L836*$AC$21+M836*$AC$22+N836*$AC$23+O836*$AC$24+P836*$AC$25+Q836*$AC$26+R836*$AC$27+S836*$AC$28+T836*$AC$29+U836*$AC$30</f>
        <v/>
      </c>
      <c r="W836" s="8">
        <f>1/(1+EXP(-V836))</f>
        <v/>
      </c>
      <c r="X836" s="9">
        <f>-IF(C836=1,LN(W836),LN(1-W836))</f>
        <v/>
      </c>
      <c r="Y836" s="10">
        <f>IF(W836&gt;$AC$34,1,0)</f>
        <v/>
      </c>
      <c r="Z836">
        <f>IF(Y836=C836,1,0)</f>
        <v/>
      </c>
    </row>
    <row r="837">
      <c r="A837">
        <f>'1 datos preparados'!A830</f>
        <v/>
      </c>
      <c r="B837" s="5">
        <f>'1 datos preparados'!U830</f>
        <v/>
      </c>
      <c r="C837">
        <f>'1 datos preparados'!B830</f>
        <v/>
      </c>
      <c r="D837" s="7">
        <f>'1 datos preparados'!C830</f>
        <v/>
      </c>
      <c r="E837" s="7">
        <f>'1 datos preparados'!D830</f>
        <v/>
      </c>
      <c r="F837" s="7">
        <f>'1 datos preparados'!E830</f>
        <v/>
      </c>
      <c r="G837" s="7">
        <f>'1 datos preparados'!F830</f>
        <v/>
      </c>
      <c r="H837" s="7">
        <f>'1 datos preparados'!G830</f>
        <v/>
      </c>
      <c r="I837" s="7">
        <f>'1 datos preparados'!H830</f>
        <v/>
      </c>
      <c r="J837" s="7">
        <f>'1 datos preparados'!I830</f>
        <v/>
      </c>
      <c r="K837" s="7">
        <f>'1 datos preparados'!J830</f>
        <v/>
      </c>
      <c r="L837" s="7">
        <f>'1 datos preparados'!K830</f>
        <v/>
      </c>
      <c r="M837" s="7">
        <f>'1 datos preparados'!L830</f>
        <v/>
      </c>
      <c r="N837" s="7">
        <f>'1 datos preparados'!M830</f>
        <v/>
      </c>
      <c r="O837" s="7">
        <f>'1 datos preparados'!N830</f>
        <v/>
      </c>
      <c r="P837" s="7">
        <f>'1 datos preparados'!O830</f>
        <v/>
      </c>
      <c r="Q837" s="7">
        <f>'1 datos preparados'!P830</f>
        <v/>
      </c>
      <c r="R837" s="7">
        <f>'1 datos preparados'!Q830</f>
        <v/>
      </c>
      <c r="S837" s="7">
        <f>'1 datos preparados'!R830</f>
        <v/>
      </c>
      <c r="T837" s="7">
        <f>'1 datos preparados'!S830</f>
        <v/>
      </c>
      <c r="U837" s="7">
        <f>'1 datos preparados'!T830</f>
        <v/>
      </c>
      <c r="V837" s="8">
        <f>$AC$12+D837*$AC$13+E837*$AC$14+F837*$AC$15+G837*$AC$16+H837*$AC$17+I837*$AC$18+J837*$AC$19+K837*$AC$20+L837*$AC$21+M837*$AC$22+N837*$AC$23+O837*$AC$24+P837*$AC$25+Q837*$AC$26+R837*$AC$27+S837*$AC$28+T837*$AC$29+U837*$AC$30</f>
        <v/>
      </c>
      <c r="W837" s="8">
        <f>1/(1+EXP(-V837))</f>
        <v/>
      </c>
      <c r="X837" s="9">
        <f>-IF(C837=1,LN(W837),LN(1-W837))</f>
        <v/>
      </c>
      <c r="Y837" s="10">
        <f>IF(W837&gt;$AC$34,1,0)</f>
        <v/>
      </c>
      <c r="Z837">
        <f>IF(Y837=C837,1,0)</f>
        <v/>
      </c>
    </row>
    <row r="838">
      <c r="A838">
        <f>'1 datos preparados'!A831</f>
        <v/>
      </c>
      <c r="B838" s="5">
        <f>'1 datos preparados'!U831</f>
        <v/>
      </c>
      <c r="C838">
        <f>'1 datos preparados'!B831</f>
        <v/>
      </c>
      <c r="D838" s="7">
        <f>'1 datos preparados'!C831</f>
        <v/>
      </c>
      <c r="E838" s="7">
        <f>'1 datos preparados'!D831</f>
        <v/>
      </c>
      <c r="F838" s="7">
        <f>'1 datos preparados'!E831</f>
        <v/>
      </c>
      <c r="G838" s="7">
        <f>'1 datos preparados'!F831</f>
        <v/>
      </c>
      <c r="H838" s="7">
        <f>'1 datos preparados'!G831</f>
        <v/>
      </c>
      <c r="I838" s="7">
        <f>'1 datos preparados'!H831</f>
        <v/>
      </c>
      <c r="J838" s="7">
        <f>'1 datos preparados'!I831</f>
        <v/>
      </c>
      <c r="K838" s="7">
        <f>'1 datos preparados'!J831</f>
        <v/>
      </c>
      <c r="L838" s="7">
        <f>'1 datos preparados'!K831</f>
        <v/>
      </c>
      <c r="M838" s="7">
        <f>'1 datos preparados'!L831</f>
        <v/>
      </c>
      <c r="N838" s="7">
        <f>'1 datos preparados'!M831</f>
        <v/>
      </c>
      <c r="O838" s="7">
        <f>'1 datos preparados'!N831</f>
        <v/>
      </c>
      <c r="P838" s="7">
        <f>'1 datos preparados'!O831</f>
        <v/>
      </c>
      <c r="Q838" s="7">
        <f>'1 datos preparados'!P831</f>
        <v/>
      </c>
      <c r="R838" s="7">
        <f>'1 datos preparados'!Q831</f>
        <v/>
      </c>
      <c r="S838" s="7">
        <f>'1 datos preparados'!R831</f>
        <v/>
      </c>
      <c r="T838" s="7">
        <f>'1 datos preparados'!S831</f>
        <v/>
      </c>
      <c r="U838" s="7">
        <f>'1 datos preparados'!T831</f>
        <v/>
      </c>
      <c r="V838" s="8">
        <f>$AC$12+D838*$AC$13+E838*$AC$14+F838*$AC$15+G838*$AC$16+H838*$AC$17+I838*$AC$18+J838*$AC$19+K838*$AC$20+L838*$AC$21+M838*$AC$22+N838*$AC$23+O838*$AC$24+P838*$AC$25+Q838*$AC$26+R838*$AC$27+S838*$AC$28+T838*$AC$29+U838*$AC$30</f>
        <v/>
      </c>
      <c r="W838" s="8">
        <f>1/(1+EXP(-V838))</f>
        <v/>
      </c>
      <c r="X838" s="9">
        <f>-IF(C838=1,LN(W838),LN(1-W838))</f>
        <v/>
      </c>
      <c r="Y838" s="10">
        <f>IF(W838&gt;$AC$34,1,0)</f>
        <v/>
      </c>
      <c r="Z838">
        <f>IF(Y838=C838,1,0)</f>
        <v/>
      </c>
    </row>
    <row r="839">
      <c r="A839">
        <f>'1 datos preparados'!A832</f>
        <v/>
      </c>
      <c r="B839" s="5">
        <f>'1 datos preparados'!U832</f>
        <v/>
      </c>
      <c r="C839">
        <f>'1 datos preparados'!B832</f>
        <v/>
      </c>
      <c r="D839" s="7">
        <f>'1 datos preparados'!C832</f>
        <v/>
      </c>
      <c r="E839" s="7">
        <f>'1 datos preparados'!D832</f>
        <v/>
      </c>
      <c r="F839" s="7">
        <f>'1 datos preparados'!E832</f>
        <v/>
      </c>
      <c r="G839" s="7">
        <f>'1 datos preparados'!F832</f>
        <v/>
      </c>
      <c r="H839" s="7">
        <f>'1 datos preparados'!G832</f>
        <v/>
      </c>
      <c r="I839" s="7">
        <f>'1 datos preparados'!H832</f>
        <v/>
      </c>
      <c r="J839" s="7">
        <f>'1 datos preparados'!I832</f>
        <v/>
      </c>
      <c r="K839" s="7">
        <f>'1 datos preparados'!J832</f>
        <v/>
      </c>
      <c r="L839" s="7">
        <f>'1 datos preparados'!K832</f>
        <v/>
      </c>
      <c r="M839" s="7">
        <f>'1 datos preparados'!L832</f>
        <v/>
      </c>
      <c r="N839" s="7">
        <f>'1 datos preparados'!M832</f>
        <v/>
      </c>
      <c r="O839" s="7">
        <f>'1 datos preparados'!N832</f>
        <v/>
      </c>
      <c r="P839" s="7">
        <f>'1 datos preparados'!O832</f>
        <v/>
      </c>
      <c r="Q839" s="7">
        <f>'1 datos preparados'!P832</f>
        <v/>
      </c>
      <c r="R839" s="7">
        <f>'1 datos preparados'!Q832</f>
        <v/>
      </c>
      <c r="S839" s="7">
        <f>'1 datos preparados'!R832</f>
        <v/>
      </c>
      <c r="T839" s="7">
        <f>'1 datos preparados'!S832</f>
        <v/>
      </c>
      <c r="U839" s="7">
        <f>'1 datos preparados'!T832</f>
        <v/>
      </c>
      <c r="V839" s="8">
        <f>$AC$12+D839*$AC$13+E839*$AC$14+F839*$AC$15+G839*$AC$16+H839*$AC$17+I839*$AC$18+J839*$AC$19+K839*$AC$20+L839*$AC$21+M839*$AC$22+N839*$AC$23+O839*$AC$24+P839*$AC$25+Q839*$AC$26+R839*$AC$27+S839*$AC$28+T839*$AC$29+U839*$AC$30</f>
        <v/>
      </c>
      <c r="W839" s="8">
        <f>1/(1+EXP(-V839))</f>
        <v/>
      </c>
      <c r="X839" s="9">
        <f>-IF(C839=1,LN(W839),LN(1-W839))</f>
        <v/>
      </c>
      <c r="Y839" s="10">
        <f>IF(W839&gt;$AC$34,1,0)</f>
        <v/>
      </c>
      <c r="Z839">
        <f>IF(Y839=C839,1,0)</f>
        <v/>
      </c>
    </row>
    <row r="840">
      <c r="A840">
        <f>'1 datos preparados'!A833</f>
        <v/>
      </c>
      <c r="B840" s="5">
        <f>'1 datos preparados'!U833</f>
        <v/>
      </c>
      <c r="C840">
        <f>'1 datos preparados'!B833</f>
        <v/>
      </c>
      <c r="D840" s="7">
        <f>'1 datos preparados'!C833</f>
        <v/>
      </c>
      <c r="E840" s="7">
        <f>'1 datos preparados'!D833</f>
        <v/>
      </c>
      <c r="F840" s="7">
        <f>'1 datos preparados'!E833</f>
        <v/>
      </c>
      <c r="G840" s="7">
        <f>'1 datos preparados'!F833</f>
        <v/>
      </c>
      <c r="H840" s="7">
        <f>'1 datos preparados'!G833</f>
        <v/>
      </c>
      <c r="I840" s="7">
        <f>'1 datos preparados'!H833</f>
        <v/>
      </c>
      <c r="J840" s="7">
        <f>'1 datos preparados'!I833</f>
        <v/>
      </c>
      <c r="K840" s="7">
        <f>'1 datos preparados'!J833</f>
        <v/>
      </c>
      <c r="L840" s="7">
        <f>'1 datos preparados'!K833</f>
        <v/>
      </c>
      <c r="M840" s="7">
        <f>'1 datos preparados'!L833</f>
        <v/>
      </c>
      <c r="N840" s="7">
        <f>'1 datos preparados'!M833</f>
        <v/>
      </c>
      <c r="O840" s="7">
        <f>'1 datos preparados'!N833</f>
        <v/>
      </c>
      <c r="P840" s="7">
        <f>'1 datos preparados'!O833</f>
        <v/>
      </c>
      <c r="Q840" s="7">
        <f>'1 datos preparados'!P833</f>
        <v/>
      </c>
      <c r="R840" s="7">
        <f>'1 datos preparados'!Q833</f>
        <v/>
      </c>
      <c r="S840" s="7">
        <f>'1 datos preparados'!R833</f>
        <v/>
      </c>
      <c r="T840" s="7">
        <f>'1 datos preparados'!S833</f>
        <v/>
      </c>
      <c r="U840" s="7">
        <f>'1 datos preparados'!T833</f>
        <v/>
      </c>
      <c r="V840" s="8">
        <f>$AC$12+D840*$AC$13+E840*$AC$14+F840*$AC$15+G840*$AC$16+H840*$AC$17+I840*$AC$18+J840*$AC$19+K840*$AC$20+L840*$AC$21+M840*$AC$22+N840*$AC$23+O840*$AC$24+P840*$AC$25+Q840*$AC$26+R840*$AC$27+S840*$AC$28+T840*$AC$29+U840*$AC$30</f>
        <v/>
      </c>
      <c r="W840" s="8">
        <f>1/(1+EXP(-V840))</f>
        <v/>
      </c>
      <c r="X840" s="9">
        <f>-IF(C840=1,LN(W840),LN(1-W840))</f>
        <v/>
      </c>
      <c r="Y840" s="10">
        <f>IF(W840&gt;$AC$34,1,0)</f>
        <v/>
      </c>
      <c r="Z840">
        <f>IF(Y840=C840,1,0)</f>
        <v/>
      </c>
    </row>
    <row r="841">
      <c r="A841">
        <f>'1 datos preparados'!A834</f>
        <v/>
      </c>
      <c r="B841" s="5">
        <f>'1 datos preparados'!U834</f>
        <v/>
      </c>
      <c r="C841">
        <f>'1 datos preparados'!B834</f>
        <v/>
      </c>
      <c r="D841" s="7">
        <f>'1 datos preparados'!C834</f>
        <v/>
      </c>
      <c r="E841" s="7">
        <f>'1 datos preparados'!D834</f>
        <v/>
      </c>
      <c r="F841" s="7">
        <f>'1 datos preparados'!E834</f>
        <v/>
      </c>
      <c r="G841" s="7">
        <f>'1 datos preparados'!F834</f>
        <v/>
      </c>
      <c r="H841" s="7">
        <f>'1 datos preparados'!G834</f>
        <v/>
      </c>
      <c r="I841" s="7">
        <f>'1 datos preparados'!H834</f>
        <v/>
      </c>
      <c r="J841" s="7">
        <f>'1 datos preparados'!I834</f>
        <v/>
      </c>
      <c r="K841" s="7">
        <f>'1 datos preparados'!J834</f>
        <v/>
      </c>
      <c r="L841" s="7">
        <f>'1 datos preparados'!K834</f>
        <v/>
      </c>
      <c r="M841" s="7">
        <f>'1 datos preparados'!L834</f>
        <v/>
      </c>
      <c r="N841" s="7">
        <f>'1 datos preparados'!M834</f>
        <v/>
      </c>
      <c r="O841" s="7">
        <f>'1 datos preparados'!N834</f>
        <v/>
      </c>
      <c r="P841" s="7">
        <f>'1 datos preparados'!O834</f>
        <v/>
      </c>
      <c r="Q841" s="7">
        <f>'1 datos preparados'!P834</f>
        <v/>
      </c>
      <c r="R841" s="7">
        <f>'1 datos preparados'!Q834</f>
        <v/>
      </c>
      <c r="S841" s="7">
        <f>'1 datos preparados'!R834</f>
        <v/>
      </c>
      <c r="T841" s="7">
        <f>'1 datos preparados'!S834</f>
        <v/>
      </c>
      <c r="U841" s="7">
        <f>'1 datos preparados'!T834</f>
        <v/>
      </c>
      <c r="V841" s="8">
        <f>$AC$12+D841*$AC$13+E841*$AC$14+F841*$AC$15+G841*$AC$16+H841*$AC$17+I841*$AC$18+J841*$AC$19+K841*$AC$20+L841*$AC$21+M841*$AC$22+N841*$AC$23+O841*$AC$24+P841*$AC$25+Q841*$AC$26+R841*$AC$27+S841*$AC$28+T841*$AC$29+U841*$AC$30</f>
        <v/>
      </c>
      <c r="W841" s="8">
        <f>1/(1+EXP(-V841))</f>
        <v/>
      </c>
      <c r="X841" s="9">
        <f>-IF(C841=1,LN(W841),LN(1-W841))</f>
        <v/>
      </c>
      <c r="Y841" s="10">
        <f>IF(W841&gt;$AC$34,1,0)</f>
        <v/>
      </c>
      <c r="Z841">
        <f>IF(Y841=C841,1,0)</f>
        <v/>
      </c>
    </row>
    <row r="842">
      <c r="A842">
        <f>'1 datos preparados'!A835</f>
        <v/>
      </c>
      <c r="B842" s="5">
        <f>'1 datos preparados'!U835</f>
        <v/>
      </c>
      <c r="C842">
        <f>'1 datos preparados'!B835</f>
        <v/>
      </c>
      <c r="D842" s="7">
        <f>'1 datos preparados'!C835</f>
        <v/>
      </c>
      <c r="E842" s="7">
        <f>'1 datos preparados'!D835</f>
        <v/>
      </c>
      <c r="F842" s="7">
        <f>'1 datos preparados'!E835</f>
        <v/>
      </c>
      <c r="G842" s="7">
        <f>'1 datos preparados'!F835</f>
        <v/>
      </c>
      <c r="H842" s="7">
        <f>'1 datos preparados'!G835</f>
        <v/>
      </c>
      <c r="I842" s="7">
        <f>'1 datos preparados'!H835</f>
        <v/>
      </c>
      <c r="J842" s="7">
        <f>'1 datos preparados'!I835</f>
        <v/>
      </c>
      <c r="K842" s="7">
        <f>'1 datos preparados'!J835</f>
        <v/>
      </c>
      <c r="L842" s="7">
        <f>'1 datos preparados'!K835</f>
        <v/>
      </c>
      <c r="M842" s="7">
        <f>'1 datos preparados'!L835</f>
        <v/>
      </c>
      <c r="N842" s="7">
        <f>'1 datos preparados'!M835</f>
        <v/>
      </c>
      <c r="O842" s="7">
        <f>'1 datos preparados'!N835</f>
        <v/>
      </c>
      <c r="P842" s="7">
        <f>'1 datos preparados'!O835</f>
        <v/>
      </c>
      <c r="Q842" s="7">
        <f>'1 datos preparados'!P835</f>
        <v/>
      </c>
      <c r="R842" s="7">
        <f>'1 datos preparados'!Q835</f>
        <v/>
      </c>
      <c r="S842" s="7">
        <f>'1 datos preparados'!R835</f>
        <v/>
      </c>
      <c r="T842" s="7">
        <f>'1 datos preparados'!S835</f>
        <v/>
      </c>
      <c r="U842" s="7">
        <f>'1 datos preparados'!T835</f>
        <v/>
      </c>
      <c r="V842" s="8">
        <f>$AC$12+D842*$AC$13+E842*$AC$14+F842*$AC$15+G842*$AC$16+H842*$AC$17+I842*$AC$18+J842*$AC$19+K842*$AC$20+L842*$AC$21+M842*$AC$22+N842*$AC$23+O842*$AC$24+P842*$AC$25+Q842*$AC$26+R842*$AC$27+S842*$AC$28+T842*$AC$29+U842*$AC$30</f>
        <v/>
      </c>
      <c r="W842" s="8">
        <f>1/(1+EXP(-V842))</f>
        <v/>
      </c>
      <c r="X842" s="9">
        <f>-IF(C842=1,LN(W842),LN(1-W842))</f>
        <v/>
      </c>
      <c r="Y842" s="10">
        <f>IF(W842&gt;$AC$34,1,0)</f>
        <v/>
      </c>
      <c r="Z842">
        <f>IF(Y842=C842,1,0)</f>
        <v/>
      </c>
    </row>
    <row r="843">
      <c r="A843">
        <f>'1 datos preparados'!A836</f>
        <v/>
      </c>
      <c r="B843" s="5">
        <f>'1 datos preparados'!U836</f>
        <v/>
      </c>
      <c r="C843">
        <f>'1 datos preparados'!B836</f>
        <v/>
      </c>
      <c r="D843" s="7">
        <f>'1 datos preparados'!C836</f>
        <v/>
      </c>
      <c r="E843" s="7">
        <f>'1 datos preparados'!D836</f>
        <v/>
      </c>
      <c r="F843" s="7">
        <f>'1 datos preparados'!E836</f>
        <v/>
      </c>
      <c r="G843" s="7">
        <f>'1 datos preparados'!F836</f>
        <v/>
      </c>
      <c r="H843" s="7">
        <f>'1 datos preparados'!G836</f>
        <v/>
      </c>
      <c r="I843" s="7">
        <f>'1 datos preparados'!H836</f>
        <v/>
      </c>
      <c r="J843" s="7">
        <f>'1 datos preparados'!I836</f>
        <v/>
      </c>
      <c r="K843" s="7">
        <f>'1 datos preparados'!J836</f>
        <v/>
      </c>
      <c r="L843" s="7">
        <f>'1 datos preparados'!K836</f>
        <v/>
      </c>
      <c r="M843" s="7">
        <f>'1 datos preparados'!L836</f>
        <v/>
      </c>
      <c r="N843" s="7">
        <f>'1 datos preparados'!M836</f>
        <v/>
      </c>
      <c r="O843" s="7">
        <f>'1 datos preparados'!N836</f>
        <v/>
      </c>
      <c r="P843" s="7">
        <f>'1 datos preparados'!O836</f>
        <v/>
      </c>
      <c r="Q843" s="7">
        <f>'1 datos preparados'!P836</f>
        <v/>
      </c>
      <c r="R843" s="7">
        <f>'1 datos preparados'!Q836</f>
        <v/>
      </c>
      <c r="S843" s="7">
        <f>'1 datos preparados'!R836</f>
        <v/>
      </c>
      <c r="T843" s="7">
        <f>'1 datos preparados'!S836</f>
        <v/>
      </c>
      <c r="U843" s="7">
        <f>'1 datos preparados'!T836</f>
        <v/>
      </c>
      <c r="V843" s="8">
        <f>$AC$12+D843*$AC$13+E843*$AC$14+F843*$AC$15+G843*$AC$16+H843*$AC$17+I843*$AC$18+J843*$AC$19+K843*$AC$20+L843*$AC$21+M843*$AC$22+N843*$AC$23+O843*$AC$24+P843*$AC$25+Q843*$AC$26+R843*$AC$27+S843*$AC$28+T843*$AC$29+U843*$AC$30</f>
        <v/>
      </c>
      <c r="W843" s="8">
        <f>1/(1+EXP(-V843))</f>
        <v/>
      </c>
      <c r="X843" s="9">
        <f>-IF(C843=1,LN(W843),LN(1-W843))</f>
        <v/>
      </c>
      <c r="Y843" s="10">
        <f>IF(W843&gt;$AC$34,1,0)</f>
        <v/>
      </c>
      <c r="Z843">
        <f>IF(Y843=C843,1,0)</f>
        <v/>
      </c>
    </row>
    <row r="844">
      <c r="A844">
        <f>'1 datos preparados'!A837</f>
        <v/>
      </c>
      <c r="B844" s="5">
        <f>'1 datos preparados'!U837</f>
        <v/>
      </c>
      <c r="C844">
        <f>'1 datos preparados'!B837</f>
        <v/>
      </c>
      <c r="D844" s="7">
        <f>'1 datos preparados'!C837</f>
        <v/>
      </c>
      <c r="E844" s="7">
        <f>'1 datos preparados'!D837</f>
        <v/>
      </c>
      <c r="F844" s="7">
        <f>'1 datos preparados'!E837</f>
        <v/>
      </c>
      <c r="G844" s="7">
        <f>'1 datos preparados'!F837</f>
        <v/>
      </c>
      <c r="H844" s="7">
        <f>'1 datos preparados'!G837</f>
        <v/>
      </c>
      <c r="I844" s="7">
        <f>'1 datos preparados'!H837</f>
        <v/>
      </c>
      <c r="J844" s="7">
        <f>'1 datos preparados'!I837</f>
        <v/>
      </c>
      <c r="K844" s="7">
        <f>'1 datos preparados'!J837</f>
        <v/>
      </c>
      <c r="L844" s="7">
        <f>'1 datos preparados'!K837</f>
        <v/>
      </c>
      <c r="M844" s="7">
        <f>'1 datos preparados'!L837</f>
        <v/>
      </c>
      <c r="N844" s="7">
        <f>'1 datos preparados'!M837</f>
        <v/>
      </c>
      <c r="O844" s="7">
        <f>'1 datos preparados'!N837</f>
        <v/>
      </c>
      <c r="P844" s="7">
        <f>'1 datos preparados'!O837</f>
        <v/>
      </c>
      <c r="Q844" s="7">
        <f>'1 datos preparados'!P837</f>
        <v/>
      </c>
      <c r="R844" s="7">
        <f>'1 datos preparados'!Q837</f>
        <v/>
      </c>
      <c r="S844" s="7">
        <f>'1 datos preparados'!R837</f>
        <v/>
      </c>
      <c r="T844" s="7">
        <f>'1 datos preparados'!S837</f>
        <v/>
      </c>
      <c r="U844" s="7">
        <f>'1 datos preparados'!T837</f>
        <v/>
      </c>
      <c r="V844" s="8">
        <f>$AC$12+D844*$AC$13+E844*$AC$14+F844*$AC$15+G844*$AC$16+H844*$AC$17+I844*$AC$18+J844*$AC$19+K844*$AC$20+L844*$AC$21+M844*$AC$22+N844*$AC$23+O844*$AC$24+P844*$AC$25+Q844*$AC$26+R844*$AC$27+S844*$AC$28+T844*$AC$29+U844*$AC$30</f>
        <v/>
      </c>
      <c r="W844" s="8">
        <f>1/(1+EXP(-V844))</f>
        <v/>
      </c>
      <c r="X844" s="9">
        <f>-IF(C844=1,LN(W844),LN(1-W844))</f>
        <v/>
      </c>
      <c r="Y844" s="10">
        <f>IF(W844&gt;$AC$34,1,0)</f>
        <v/>
      </c>
      <c r="Z844">
        <f>IF(Y844=C844,1,0)</f>
        <v/>
      </c>
    </row>
    <row r="845">
      <c r="A845">
        <f>'1 datos preparados'!A838</f>
        <v/>
      </c>
      <c r="B845" s="5">
        <f>'1 datos preparados'!U838</f>
        <v/>
      </c>
      <c r="C845">
        <f>'1 datos preparados'!B838</f>
        <v/>
      </c>
      <c r="D845" s="7">
        <f>'1 datos preparados'!C838</f>
        <v/>
      </c>
      <c r="E845" s="7">
        <f>'1 datos preparados'!D838</f>
        <v/>
      </c>
      <c r="F845" s="7">
        <f>'1 datos preparados'!E838</f>
        <v/>
      </c>
      <c r="G845" s="7">
        <f>'1 datos preparados'!F838</f>
        <v/>
      </c>
      <c r="H845" s="7">
        <f>'1 datos preparados'!G838</f>
        <v/>
      </c>
      <c r="I845" s="7">
        <f>'1 datos preparados'!H838</f>
        <v/>
      </c>
      <c r="J845" s="7">
        <f>'1 datos preparados'!I838</f>
        <v/>
      </c>
      <c r="K845" s="7">
        <f>'1 datos preparados'!J838</f>
        <v/>
      </c>
      <c r="L845" s="7">
        <f>'1 datos preparados'!K838</f>
        <v/>
      </c>
      <c r="M845" s="7">
        <f>'1 datos preparados'!L838</f>
        <v/>
      </c>
      <c r="N845" s="7">
        <f>'1 datos preparados'!M838</f>
        <v/>
      </c>
      <c r="O845" s="7">
        <f>'1 datos preparados'!N838</f>
        <v/>
      </c>
      <c r="P845" s="7">
        <f>'1 datos preparados'!O838</f>
        <v/>
      </c>
      <c r="Q845" s="7">
        <f>'1 datos preparados'!P838</f>
        <v/>
      </c>
      <c r="R845" s="7">
        <f>'1 datos preparados'!Q838</f>
        <v/>
      </c>
      <c r="S845" s="7">
        <f>'1 datos preparados'!R838</f>
        <v/>
      </c>
      <c r="T845" s="7">
        <f>'1 datos preparados'!S838</f>
        <v/>
      </c>
      <c r="U845" s="7">
        <f>'1 datos preparados'!T838</f>
        <v/>
      </c>
      <c r="V845" s="8">
        <f>$AC$12+D845*$AC$13+E845*$AC$14+F845*$AC$15+G845*$AC$16+H845*$AC$17+I845*$AC$18+J845*$AC$19+K845*$AC$20+L845*$AC$21+M845*$AC$22+N845*$AC$23+O845*$AC$24+P845*$AC$25+Q845*$AC$26+R845*$AC$27+S845*$AC$28+T845*$AC$29+U845*$AC$30</f>
        <v/>
      </c>
      <c r="W845" s="8">
        <f>1/(1+EXP(-V845))</f>
        <v/>
      </c>
      <c r="X845" s="9">
        <f>-IF(C845=1,LN(W845),LN(1-W845))</f>
        <v/>
      </c>
      <c r="Y845" s="10">
        <f>IF(W845&gt;$AC$34,1,0)</f>
        <v/>
      </c>
      <c r="Z845">
        <f>IF(Y845=C845,1,0)</f>
        <v/>
      </c>
    </row>
    <row r="846">
      <c r="A846">
        <f>'1 datos preparados'!A839</f>
        <v/>
      </c>
      <c r="B846" s="5">
        <f>'1 datos preparados'!U839</f>
        <v/>
      </c>
      <c r="C846">
        <f>'1 datos preparados'!B839</f>
        <v/>
      </c>
      <c r="D846" s="7">
        <f>'1 datos preparados'!C839</f>
        <v/>
      </c>
      <c r="E846" s="7">
        <f>'1 datos preparados'!D839</f>
        <v/>
      </c>
      <c r="F846" s="7">
        <f>'1 datos preparados'!E839</f>
        <v/>
      </c>
      <c r="G846" s="7">
        <f>'1 datos preparados'!F839</f>
        <v/>
      </c>
      <c r="H846" s="7">
        <f>'1 datos preparados'!G839</f>
        <v/>
      </c>
      <c r="I846" s="7">
        <f>'1 datos preparados'!H839</f>
        <v/>
      </c>
      <c r="J846" s="7">
        <f>'1 datos preparados'!I839</f>
        <v/>
      </c>
      <c r="K846" s="7">
        <f>'1 datos preparados'!J839</f>
        <v/>
      </c>
      <c r="L846" s="7">
        <f>'1 datos preparados'!K839</f>
        <v/>
      </c>
      <c r="M846" s="7">
        <f>'1 datos preparados'!L839</f>
        <v/>
      </c>
      <c r="N846" s="7">
        <f>'1 datos preparados'!M839</f>
        <v/>
      </c>
      <c r="O846" s="7">
        <f>'1 datos preparados'!N839</f>
        <v/>
      </c>
      <c r="P846" s="7">
        <f>'1 datos preparados'!O839</f>
        <v/>
      </c>
      <c r="Q846" s="7">
        <f>'1 datos preparados'!P839</f>
        <v/>
      </c>
      <c r="R846" s="7">
        <f>'1 datos preparados'!Q839</f>
        <v/>
      </c>
      <c r="S846" s="7">
        <f>'1 datos preparados'!R839</f>
        <v/>
      </c>
      <c r="T846" s="7">
        <f>'1 datos preparados'!S839</f>
        <v/>
      </c>
      <c r="U846" s="7">
        <f>'1 datos preparados'!T839</f>
        <v/>
      </c>
      <c r="V846" s="8">
        <f>$AC$12+D846*$AC$13+E846*$AC$14+F846*$AC$15+G846*$AC$16+H846*$AC$17+I846*$AC$18+J846*$AC$19+K846*$AC$20+L846*$AC$21+M846*$AC$22+N846*$AC$23+O846*$AC$24+P846*$AC$25+Q846*$AC$26+R846*$AC$27+S846*$AC$28+T846*$AC$29+U846*$AC$30</f>
        <v/>
      </c>
      <c r="W846" s="8">
        <f>1/(1+EXP(-V846))</f>
        <v/>
      </c>
      <c r="X846" s="9">
        <f>-IF(C846=1,LN(W846),LN(1-W846))</f>
        <v/>
      </c>
      <c r="Y846" s="10">
        <f>IF(W846&gt;$AC$34,1,0)</f>
        <v/>
      </c>
      <c r="Z846">
        <f>IF(Y846=C846,1,0)</f>
        <v/>
      </c>
    </row>
    <row r="847">
      <c r="A847">
        <f>'1 datos preparados'!A840</f>
        <v/>
      </c>
      <c r="B847" s="5">
        <f>'1 datos preparados'!U840</f>
        <v/>
      </c>
      <c r="C847">
        <f>'1 datos preparados'!B840</f>
        <v/>
      </c>
      <c r="D847" s="7">
        <f>'1 datos preparados'!C840</f>
        <v/>
      </c>
      <c r="E847" s="7">
        <f>'1 datos preparados'!D840</f>
        <v/>
      </c>
      <c r="F847" s="7">
        <f>'1 datos preparados'!E840</f>
        <v/>
      </c>
      <c r="G847" s="7">
        <f>'1 datos preparados'!F840</f>
        <v/>
      </c>
      <c r="H847" s="7">
        <f>'1 datos preparados'!G840</f>
        <v/>
      </c>
      <c r="I847" s="7">
        <f>'1 datos preparados'!H840</f>
        <v/>
      </c>
      <c r="J847" s="7">
        <f>'1 datos preparados'!I840</f>
        <v/>
      </c>
      <c r="K847" s="7">
        <f>'1 datos preparados'!J840</f>
        <v/>
      </c>
      <c r="L847" s="7">
        <f>'1 datos preparados'!K840</f>
        <v/>
      </c>
      <c r="M847" s="7">
        <f>'1 datos preparados'!L840</f>
        <v/>
      </c>
      <c r="N847" s="7">
        <f>'1 datos preparados'!M840</f>
        <v/>
      </c>
      <c r="O847" s="7">
        <f>'1 datos preparados'!N840</f>
        <v/>
      </c>
      <c r="P847" s="7">
        <f>'1 datos preparados'!O840</f>
        <v/>
      </c>
      <c r="Q847" s="7">
        <f>'1 datos preparados'!P840</f>
        <v/>
      </c>
      <c r="R847" s="7">
        <f>'1 datos preparados'!Q840</f>
        <v/>
      </c>
      <c r="S847" s="7">
        <f>'1 datos preparados'!R840</f>
        <v/>
      </c>
      <c r="T847" s="7">
        <f>'1 datos preparados'!S840</f>
        <v/>
      </c>
      <c r="U847" s="7">
        <f>'1 datos preparados'!T840</f>
        <v/>
      </c>
      <c r="V847" s="8">
        <f>$AC$12+D847*$AC$13+E847*$AC$14+F847*$AC$15+G847*$AC$16+H847*$AC$17+I847*$AC$18+J847*$AC$19+K847*$AC$20+L847*$AC$21+M847*$AC$22+N847*$AC$23+O847*$AC$24+P847*$AC$25+Q847*$AC$26+R847*$AC$27+S847*$AC$28+T847*$AC$29+U847*$AC$30</f>
        <v/>
      </c>
      <c r="W847" s="8">
        <f>1/(1+EXP(-V847))</f>
        <v/>
      </c>
      <c r="X847" s="9">
        <f>-IF(C847=1,LN(W847),LN(1-W847))</f>
        <v/>
      </c>
      <c r="Y847" s="10">
        <f>IF(W847&gt;$AC$34,1,0)</f>
        <v/>
      </c>
      <c r="Z847">
        <f>IF(Y847=C847,1,0)</f>
        <v/>
      </c>
    </row>
    <row r="848">
      <c r="A848">
        <f>'1 datos preparados'!A841</f>
        <v/>
      </c>
      <c r="B848" s="5">
        <f>'1 datos preparados'!U841</f>
        <v/>
      </c>
      <c r="C848">
        <f>'1 datos preparados'!B841</f>
        <v/>
      </c>
      <c r="D848" s="7">
        <f>'1 datos preparados'!C841</f>
        <v/>
      </c>
      <c r="E848" s="7">
        <f>'1 datos preparados'!D841</f>
        <v/>
      </c>
      <c r="F848" s="7">
        <f>'1 datos preparados'!E841</f>
        <v/>
      </c>
      <c r="G848" s="7">
        <f>'1 datos preparados'!F841</f>
        <v/>
      </c>
      <c r="H848" s="7">
        <f>'1 datos preparados'!G841</f>
        <v/>
      </c>
      <c r="I848" s="7">
        <f>'1 datos preparados'!H841</f>
        <v/>
      </c>
      <c r="J848" s="7">
        <f>'1 datos preparados'!I841</f>
        <v/>
      </c>
      <c r="K848" s="7">
        <f>'1 datos preparados'!J841</f>
        <v/>
      </c>
      <c r="L848" s="7">
        <f>'1 datos preparados'!K841</f>
        <v/>
      </c>
      <c r="M848" s="7">
        <f>'1 datos preparados'!L841</f>
        <v/>
      </c>
      <c r="N848" s="7">
        <f>'1 datos preparados'!M841</f>
        <v/>
      </c>
      <c r="O848" s="7">
        <f>'1 datos preparados'!N841</f>
        <v/>
      </c>
      <c r="P848" s="7">
        <f>'1 datos preparados'!O841</f>
        <v/>
      </c>
      <c r="Q848" s="7">
        <f>'1 datos preparados'!P841</f>
        <v/>
      </c>
      <c r="R848" s="7">
        <f>'1 datos preparados'!Q841</f>
        <v/>
      </c>
      <c r="S848" s="7">
        <f>'1 datos preparados'!R841</f>
        <v/>
      </c>
      <c r="T848" s="7">
        <f>'1 datos preparados'!S841</f>
        <v/>
      </c>
      <c r="U848" s="7">
        <f>'1 datos preparados'!T841</f>
        <v/>
      </c>
      <c r="V848" s="8">
        <f>$AC$12+D848*$AC$13+E848*$AC$14+F848*$AC$15+G848*$AC$16+H848*$AC$17+I848*$AC$18+J848*$AC$19+K848*$AC$20+L848*$AC$21+M848*$AC$22+N848*$AC$23+O848*$AC$24+P848*$AC$25+Q848*$AC$26+R848*$AC$27+S848*$AC$28+T848*$AC$29+U848*$AC$30</f>
        <v/>
      </c>
      <c r="W848" s="8">
        <f>1/(1+EXP(-V848))</f>
        <v/>
      </c>
      <c r="X848" s="9">
        <f>-IF(C848=1,LN(W848),LN(1-W848))</f>
        <v/>
      </c>
      <c r="Y848" s="10">
        <f>IF(W848&gt;$AC$34,1,0)</f>
        <v/>
      </c>
      <c r="Z848">
        <f>IF(Y848=C848,1,0)</f>
        <v/>
      </c>
    </row>
    <row r="849">
      <c r="A849">
        <f>'1 datos preparados'!A842</f>
        <v/>
      </c>
      <c r="B849" s="5">
        <f>'1 datos preparados'!U842</f>
        <v/>
      </c>
      <c r="C849">
        <f>'1 datos preparados'!B842</f>
        <v/>
      </c>
      <c r="D849" s="7">
        <f>'1 datos preparados'!C842</f>
        <v/>
      </c>
      <c r="E849" s="7">
        <f>'1 datos preparados'!D842</f>
        <v/>
      </c>
      <c r="F849" s="7">
        <f>'1 datos preparados'!E842</f>
        <v/>
      </c>
      <c r="G849" s="7">
        <f>'1 datos preparados'!F842</f>
        <v/>
      </c>
      <c r="H849" s="7">
        <f>'1 datos preparados'!G842</f>
        <v/>
      </c>
      <c r="I849" s="7">
        <f>'1 datos preparados'!H842</f>
        <v/>
      </c>
      <c r="J849" s="7">
        <f>'1 datos preparados'!I842</f>
        <v/>
      </c>
      <c r="K849" s="7">
        <f>'1 datos preparados'!J842</f>
        <v/>
      </c>
      <c r="L849" s="7">
        <f>'1 datos preparados'!K842</f>
        <v/>
      </c>
      <c r="M849" s="7">
        <f>'1 datos preparados'!L842</f>
        <v/>
      </c>
      <c r="N849" s="7">
        <f>'1 datos preparados'!M842</f>
        <v/>
      </c>
      <c r="O849" s="7">
        <f>'1 datos preparados'!N842</f>
        <v/>
      </c>
      <c r="P849" s="7">
        <f>'1 datos preparados'!O842</f>
        <v/>
      </c>
      <c r="Q849" s="7">
        <f>'1 datos preparados'!P842</f>
        <v/>
      </c>
      <c r="R849" s="7">
        <f>'1 datos preparados'!Q842</f>
        <v/>
      </c>
      <c r="S849" s="7">
        <f>'1 datos preparados'!R842</f>
        <v/>
      </c>
      <c r="T849" s="7">
        <f>'1 datos preparados'!S842</f>
        <v/>
      </c>
      <c r="U849" s="7">
        <f>'1 datos preparados'!T842</f>
        <v/>
      </c>
      <c r="V849" s="8">
        <f>$AC$12+D849*$AC$13+E849*$AC$14+F849*$AC$15+G849*$AC$16+H849*$AC$17+I849*$AC$18+J849*$AC$19+K849*$AC$20+L849*$AC$21+M849*$AC$22+N849*$AC$23+O849*$AC$24+P849*$AC$25+Q849*$AC$26+R849*$AC$27+S849*$AC$28+T849*$AC$29+U849*$AC$30</f>
        <v/>
      </c>
      <c r="W849" s="8">
        <f>1/(1+EXP(-V849))</f>
        <v/>
      </c>
      <c r="X849" s="9">
        <f>-IF(C849=1,LN(W849),LN(1-W849))</f>
        <v/>
      </c>
      <c r="Y849" s="10">
        <f>IF(W849&gt;$AC$34,1,0)</f>
        <v/>
      </c>
      <c r="Z849">
        <f>IF(Y849=C849,1,0)</f>
        <v/>
      </c>
    </row>
    <row r="850">
      <c r="A850">
        <f>'1 datos preparados'!A843</f>
        <v/>
      </c>
      <c r="B850" s="5">
        <f>'1 datos preparados'!U843</f>
        <v/>
      </c>
      <c r="C850">
        <f>'1 datos preparados'!B843</f>
        <v/>
      </c>
      <c r="D850" s="7">
        <f>'1 datos preparados'!C843</f>
        <v/>
      </c>
      <c r="E850" s="7">
        <f>'1 datos preparados'!D843</f>
        <v/>
      </c>
      <c r="F850" s="7">
        <f>'1 datos preparados'!E843</f>
        <v/>
      </c>
      <c r="G850" s="7">
        <f>'1 datos preparados'!F843</f>
        <v/>
      </c>
      <c r="H850" s="7">
        <f>'1 datos preparados'!G843</f>
        <v/>
      </c>
      <c r="I850" s="7">
        <f>'1 datos preparados'!H843</f>
        <v/>
      </c>
      <c r="J850" s="7">
        <f>'1 datos preparados'!I843</f>
        <v/>
      </c>
      <c r="K850" s="7">
        <f>'1 datos preparados'!J843</f>
        <v/>
      </c>
      <c r="L850" s="7">
        <f>'1 datos preparados'!K843</f>
        <v/>
      </c>
      <c r="M850" s="7">
        <f>'1 datos preparados'!L843</f>
        <v/>
      </c>
      <c r="N850" s="7">
        <f>'1 datos preparados'!M843</f>
        <v/>
      </c>
      <c r="O850" s="7">
        <f>'1 datos preparados'!N843</f>
        <v/>
      </c>
      <c r="P850" s="7">
        <f>'1 datos preparados'!O843</f>
        <v/>
      </c>
      <c r="Q850" s="7">
        <f>'1 datos preparados'!P843</f>
        <v/>
      </c>
      <c r="R850" s="7">
        <f>'1 datos preparados'!Q843</f>
        <v/>
      </c>
      <c r="S850" s="7">
        <f>'1 datos preparados'!R843</f>
        <v/>
      </c>
      <c r="T850" s="7">
        <f>'1 datos preparados'!S843</f>
        <v/>
      </c>
      <c r="U850" s="7">
        <f>'1 datos preparados'!T843</f>
        <v/>
      </c>
      <c r="V850" s="8">
        <f>$AC$12+D850*$AC$13+E850*$AC$14+F850*$AC$15+G850*$AC$16+H850*$AC$17+I850*$AC$18+J850*$AC$19+K850*$AC$20+L850*$AC$21+M850*$AC$22+N850*$AC$23+O850*$AC$24+P850*$AC$25+Q850*$AC$26+R850*$AC$27+S850*$AC$28+T850*$AC$29+U850*$AC$30</f>
        <v/>
      </c>
      <c r="W850" s="8">
        <f>1/(1+EXP(-V850))</f>
        <v/>
      </c>
      <c r="X850" s="9">
        <f>-IF(C850=1,LN(W850),LN(1-W850))</f>
        <v/>
      </c>
      <c r="Y850" s="10">
        <f>IF(W850&gt;$AC$34,1,0)</f>
        <v/>
      </c>
      <c r="Z850">
        <f>IF(Y850=C850,1,0)</f>
        <v/>
      </c>
    </row>
    <row r="851">
      <c r="A851">
        <f>'1 datos preparados'!A844</f>
        <v/>
      </c>
      <c r="B851" s="5">
        <f>'1 datos preparados'!U844</f>
        <v/>
      </c>
      <c r="C851">
        <f>'1 datos preparados'!B844</f>
        <v/>
      </c>
      <c r="D851" s="7">
        <f>'1 datos preparados'!C844</f>
        <v/>
      </c>
      <c r="E851" s="7">
        <f>'1 datos preparados'!D844</f>
        <v/>
      </c>
      <c r="F851" s="7">
        <f>'1 datos preparados'!E844</f>
        <v/>
      </c>
      <c r="G851" s="7">
        <f>'1 datos preparados'!F844</f>
        <v/>
      </c>
      <c r="H851" s="7">
        <f>'1 datos preparados'!G844</f>
        <v/>
      </c>
      <c r="I851" s="7">
        <f>'1 datos preparados'!H844</f>
        <v/>
      </c>
      <c r="J851" s="7">
        <f>'1 datos preparados'!I844</f>
        <v/>
      </c>
      <c r="K851" s="7">
        <f>'1 datos preparados'!J844</f>
        <v/>
      </c>
      <c r="L851" s="7">
        <f>'1 datos preparados'!K844</f>
        <v/>
      </c>
      <c r="M851" s="7">
        <f>'1 datos preparados'!L844</f>
        <v/>
      </c>
      <c r="N851" s="7">
        <f>'1 datos preparados'!M844</f>
        <v/>
      </c>
      <c r="O851" s="7">
        <f>'1 datos preparados'!N844</f>
        <v/>
      </c>
      <c r="P851" s="7">
        <f>'1 datos preparados'!O844</f>
        <v/>
      </c>
      <c r="Q851" s="7">
        <f>'1 datos preparados'!P844</f>
        <v/>
      </c>
      <c r="R851" s="7">
        <f>'1 datos preparados'!Q844</f>
        <v/>
      </c>
      <c r="S851" s="7">
        <f>'1 datos preparados'!R844</f>
        <v/>
      </c>
      <c r="T851" s="7">
        <f>'1 datos preparados'!S844</f>
        <v/>
      </c>
      <c r="U851" s="7">
        <f>'1 datos preparados'!T844</f>
        <v/>
      </c>
      <c r="V851" s="8">
        <f>$AC$12+D851*$AC$13+E851*$AC$14+F851*$AC$15+G851*$AC$16+H851*$AC$17+I851*$AC$18+J851*$AC$19+K851*$AC$20+L851*$AC$21+M851*$AC$22+N851*$AC$23+O851*$AC$24+P851*$AC$25+Q851*$AC$26+R851*$AC$27+S851*$AC$28+T851*$AC$29+U851*$AC$30</f>
        <v/>
      </c>
      <c r="W851" s="8">
        <f>1/(1+EXP(-V851))</f>
        <v/>
      </c>
      <c r="X851" s="9">
        <f>-IF(C851=1,LN(W851),LN(1-W851))</f>
        <v/>
      </c>
      <c r="Y851" s="10">
        <f>IF(W851&gt;$AC$34,1,0)</f>
        <v/>
      </c>
      <c r="Z851">
        <f>IF(Y851=C851,1,0)</f>
        <v/>
      </c>
    </row>
    <row r="852">
      <c r="A852">
        <f>'1 datos preparados'!A845</f>
        <v/>
      </c>
      <c r="B852" s="5">
        <f>'1 datos preparados'!U845</f>
        <v/>
      </c>
      <c r="C852">
        <f>'1 datos preparados'!B845</f>
        <v/>
      </c>
      <c r="D852" s="7">
        <f>'1 datos preparados'!C845</f>
        <v/>
      </c>
      <c r="E852" s="7">
        <f>'1 datos preparados'!D845</f>
        <v/>
      </c>
      <c r="F852" s="7">
        <f>'1 datos preparados'!E845</f>
        <v/>
      </c>
      <c r="G852" s="7">
        <f>'1 datos preparados'!F845</f>
        <v/>
      </c>
      <c r="H852" s="7">
        <f>'1 datos preparados'!G845</f>
        <v/>
      </c>
      <c r="I852" s="7">
        <f>'1 datos preparados'!H845</f>
        <v/>
      </c>
      <c r="J852" s="7">
        <f>'1 datos preparados'!I845</f>
        <v/>
      </c>
      <c r="K852" s="7">
        <f>'1 datos preparados'!J845</f>
        <v/>
      </c>
      <c r="L852" s="7">
        <f>'1 datos preparados'!K845</f>
        <v/>
      </c>
      <c r="M852" s="7">
        <f>'1 datos preparados'!L845</f>
        <v/>
      </c>
      <c r="N852" s="7">
        <f>'1 datos preparados'!M845</f>
        <v/>
      </c>
      <c r="O852" s="7">
        <f>'1 datos preparados'!N845</f>
        <v/>
      </c>
      <c r="P852" s="7">
        <f>'1 datos preparados'!O845</f>
        <v/>
      </c>
      <c r="Q852" s="7">
        <f>'1 datos preparados'!P845</f>
        <v/>
      </c>
      <c r="R852" s="7">
        <f>'1 datos preparados'!Q845</f>
        <v/>
      </c>
      <c r="S852" s="7">
        <f>'1 datos preparados'!R845</f>
        <v/>
      </c>
      <c r="T852" s="7">
        <f>'1 datos preparados'!S845</f>
        <v/>
      </c>
      <c r="U852" s="7">
        <f>'1 datos preparados'!T845</f>
        <v/>
      </c>
      <c r="V852" s="8">
        <f>$AC$12+D852*$AC$13+E852*$AC$14+F852*$AC$15+G852*$AC$16+H852*$AC$17+I852*$AC$18+J852*$AC$19+K852*$AC$20+L852*$AC$21+M852*$AC$22+N852*$AC$23+O852*$AC$24+P852*$AC$25+Q852*$AC$26+R852*$AC$27+S852*$AC$28+T852*$AC$29+U852*$AC$30</f>
        <v/>
      </c>
      <c r="W852" s="8">
        <f>1/(1+EXP(-V852))</f>
        <v/>
      </c>
      <c r="X852" s="9">
        <f>-IF(C852=1,LN(W852),LN(1-W852))</f>
        <v/>
      </c>
      <c r="Y852" s="10">
        <f>IF(W852&gt;$AC$34,1,0)</f>
        <v/>
      </c>
      <c r="Z852">
        <f>IF(Y852=C852,1,0)</f>
        <v/>
      </c>
    </row>
    <row r="853">
      <c r="A853">
        <f>'1 datos preparados'!A846</f>
        <v/>
      </c>
      <c r="B853" s="5">
        <f>'1 datos preparados'!U846</f>
        <v/>
      </c>
      <c r="C853">
        <f>'1 datos preparados'!B846</f>
        <v/>
      </c>
      <c r="D853" s="7">
        <f>'1 datos preparados'!C846</f>
        <v/>
      </c>
      <c r="E853" s="7">
        <f>'1 datos preparados'!D846</f>
        <v/>
      </c>
      <c r="F853" s="7">
        <f>'1 datos preparados'!E846</f>
        <v/>
      </c>
      <c r="G853" s="7">
        <f>'1 datos preparados'!F846</f>
        <v/>
      </c>
      <c r="H853" s="7">
        <f>'1 datos preparados'!G846</f>
        <v/>
      </c>
      <c r="I853" s="7">
        <f>'1 datos preparados'!H846</f>
        <v/>
      </c>
      <c r="J853" s="7">
        <f>'1 datos preparados'!I846</f>
        <v/>
      </c>
      <c r="K853" s="7">
        <f>'1 datos preparados'!J846</f>
        <v/>
      </c>
      <c r="L853" s="7">
        <f>'1 datos preparados'!K846</f>
        <v/>
      </c>
      <c r="M853" s="7">
        <f>'1 datos preparados'!L846</f>
        <v/>
      </c>
      <c r="N853" s="7">
        <f>'1 datos preparados'!M846</f>
        <v/>
      </c>
      <c r="O853" s="7">
        <f>'1 datos preparados'!N846</f>
        <v/>
      </c>
      <c r="P853" s="7">
        <f>'1 datos preparados'!O846</f>
        <v/>
      </c>
      <c r="Q853" s="7">
        <f>'1 datos preparados'!P846</f>
        <v/>
      </c>
      <c r="R853" s="7">
        <f>'1 datos preparados'!Q846</f>
        <v/>
      </c>
      <c r="S853" s="7">
        <f>'1 datos preparados'!R846</f>
        <v/>
      </c>
      <c r="T853" s="7">
        <f>'1 datos preparados'!S846</f>
        <v/>
      </c>
      <c r="U853" s="7">
        <f>'1 datos preparados'!T846</f>
        <v/>
      </c>
      <c r="V853" s="8">
        <f>$AC$12+D853*$AC$13+E853*$AC$14+F853*$AC$15+G853*$AC$16+H853*$AC$17+I853*$AC$18+J853*$AC$19+K853*$AC$20+L853*$AC$21+M853*$AC$22+N853*$AC$23+O853*$AC$24+P853*$AC$25+Q853*$AC$26+R853*$AC$27+S853*$AC$28+T853*$AC$29+U853*$AC$30</f>
        <v/>
      </c>
      <c r="W853" s="8">
        <f>1/(1+EXP(-V853))</f>
        <v/>
      </c>
      <c r="X853" s="9">
        <f>-IF(C853=1,LN(W853),LN(1-W853))</f>
        <v/>
      </c>
      <c r="Y853" s="10">
        <f>IF(W853&gt;$AC$34,1,0)</f>
        <v/>
      </c>
      <c r="Z853">
        <f>IF(Y853=C853,1,0)</f>
        <v/>
      </c>
    </row>
    <row r="854">
      <c r="A854">
        <f>'1 datos preparados'!A847</f>
        <v/>
      </c>
      <c r="B854" s="5">
        <f>'1 datos preparados'!U847</f>
        <v/>
      </c>
      <c r="C854">
        <f>'1 datos preparados'!B847</f>
        <v/>
      </c>
      <c r="D854" s="7">
        <f>'1 datos preparados'!C847</f>
        <v/>
      </c>
      <c r="E854" s="7">
        <f>'1 datos preparados'!D847</f>
        <v/>
      </c>
      <c r="F854" s="7">
        <f>'1 datos preparados'!E847</f>
        <v/>
      </c>
      <c r="G854" s="7">
        <f>'1 datos preparados'!F847</f>
        <v/>
      </c>
      <c r="H854" s="7">
        <f>'1 datos preparados'!G847</f>
        <v/>
      </c>
      <c r="I854" s="7">
        <f>'1 datos preparados'!H847</f>
        <v/>
      </c>
      <c r="J854" s="7">
        <f>'1 datos preparados'!I847</f>
        <v/>
      </c>
      <c r="K854" s="7">
        <f>'1 datos preparados'!J847</f>
        <v/>
      </c>
      <c r="L854" s="7">
        <f>'1 datos preparados'!K847</f>
        <v/>
      </c>
      <c r="M854" s="7">
        <f>'1 datos preparados'!L847</f>
        <v/>
      </c>
      <c r="N854" s="7">
        <f>'1 datos preparados'!M847</f>
        <v/>
      </c>
      <c r="O854" s="7">
        <f>'1 datos preparados'!N847</f>
        <v/>
      </c>
      <c r="P854" s="7">
        <f>'1 datos preparados'!O847</f>
        <v/>
      </c>
      <c r="Q854" s="7">
        <f>'1 datos preparados'!P847</f>
        <v/>
      </c>
      <c r="R854" s="7">
        <f>'1 datos preparados'!Q847</f>
        <v/>
      </c>
      <c r="S854" s="7">
        <f>'1 datos preparados'!R847</f>
        <v/>
      </c>
      <c r="T854" s="7">
        <f>'1 datos preparados'!S847</f>
        <v/>
      </c>
      <c r="U854" s="7">
        <f>'1 datos preparados'!T847</f>
        <v/>
      </c>
      <c r="V854" s="8">
        <f>$AC$12+D854*$AC$13+E854*$AC$14+F854*$AC$15+G854*$AC$16+H854*$AC$17+I854*$AC$18+J854*$AC$19+K854*$AC$20+L854*$AC$21+M854*$AC$22+N854*$AC$23+O854*$AC$24+P854*$AC$25+Q854*$AC$26+R854*$AC$27+S854*$AC$28+T854*$AC$29+U854*$AC$30</f>
        <v/>
      </c>
      <c r="W854" s="8">
        <f>1/(1+EXP(-V854))</f>
        <v/>
      </c>
      <c r="X854" s="9">
        <f>-IF(C854=1,LN(W854),LN(1-W854))</f>
        <v/>
      </c>
      <c r="Y854" s="10">
        <f>IF(W854&gt;$AC$34,1,0)</f>
        <v/>
      </c>
      <c r="Z854">
        <f>IF(Y854=C854,1,0)</f>
        <v/>
      </c>
    </row>
    <row r="855">
      <c r="A855">
        <f>'1 datos preparados'!A848</f>
        <v/>
      </c>
      <c r="B855" s="5">
        <f>'1 datos preparados'!U848</f>
        <v/>
      </c>
      <c r="C855">
        <f>'1 datos preparados'!B848</f>
        <v/>
      </c>
      <c r="D855" s="7">
        <f>'1 datos preparados'!C848</f>
        <v/>
      </c>
      <c r="E855" s="7">
        <f>'1 datos preparados'!D848</f>
        <v/>
      </c>
      <c r="F855" s="7">
        <f>'1 datos preparados'!E848</f>
        <v/>
      </c>
      <c r="G855" s="7">
        <f>'1 datos preparados'!F848</f>
        <v/>
      </c>
      <c r="H855" s="7">
        <f>'1 datos preparados'!G848</f>
        <v/>
      </c>
      <c r="I855" s="7">
        <f>'1 datos preparados'!H848</f>
        <v/>
      </c>
      <c r="J855" s="7">
        <f>'1 datos preparados'!I848</f>
        <v/>
      </c>
      <c r="K855" s="7">
        <f>'1 datos preparados'!J848</f>
        <v/>
      </c>
      <c r="L855" s="7">
        <f>'1 datos preparados'!K848</f>
        <v/>
      </c>
      <c r="M855" s="7">
        <f>'1 datos preparados'!L848</f>
        <v/>
      </c>
      <c r="N855" s="7">
        <f>'1 datos preparados'!M848</f>
        <v/>
      </c>
      <c r="O855" s="7">
        <f>'1 datos preparados'!N848</f>
        <v/>
      </c>
      <c r="P855" s="7">
        <f>'1 datos preparados'!O848</f>
        <v/>
      </c>
      <c r="Q855" s="7">
        <f>'1 datos preparados'!P848</f>
        <v/>
      </c>
      <c r="R855" s="7">
        <f>'1 datos preparados'!Q848</f>
        <v/>
      </c>
      <c r="S855" s="7">
        <f>'1 datos preparados'!R848</f>
        <v/>
      </c>
      <c r="T855" s="7">
        <f>'1 datos preparados'!S848</f>
        <v/>
      </c>
      <c r="U855" s="7">
        <f>'1 datos preparados'!T848</f>
        <v/>
      </c>
      <c r="V855" s="8">
        <f>$AC$12+D855*$AC$13+E855*$AC$14+F855*$AC$15+G855*$AC$16+H855*$AC$17+I855*$AC$18+J855*$AC$19+K855*$AC$20+L855*$AC$21+M855*$AC$22+N855*$AC$23+O855*$AC$24+P855*$AC$25+Q855*$AC$26+R855*$AC$27+S855*$AC$28+T855*$AC$29+U855*$AC$30</f>
        <v/>
      </c>
      <c r="W855" s="8">
        <f>1/(1+EXP(-V855))</f>
        <v/>
      </c>
      <c r="X855" s="9">
        <f>-IF(C855=1,LN(W855),LN(1-W855))</f>
        <v/>
      </c>
      <c r="Y855" s="10">
        <f>IF(W855&gt;$AC$34,1,0)</f>
        <v/>
      </c>
      <c r="Z855">
        <f>IF(Y855=C855,1,0)</f>
        <v/>
      </c>
    </row>
    <row r="856">
      <c r="A856">
        <f>'1 datos preparados'!A849</f>
        <v/>
      </c>
      <c r="B856" s="5">
        <f>'1 datos preparados'!U849</f>
        <v/>
      </c>
      <c r="C856">
        <f>'1 datos preparados'!B849</f>
        <v/>
      </c>
      <c r="D856" s="7">
        <f>'1 datos preparados'!C849</f>
        <v/>
      </c>
      <c r="E856" s="7">
        <f>'1 datos preparados'!D849</f>
        <v/>
      </c>
      <c r="F856" s="7">
        <f>'1 datos preparados'!E849</f>
        <v/>
      </c>
      <c r="G856" s="7">
        <f>'1 datos preparados'!F849</f>
        <v/>
      </c>
      <c r="H856" s="7">
        <f>'1 datos preparados'!G849</f>
        <v/>
      </c>
      <c r="I856" s="7">
        <f>'1 datos preparados'!H849</f>
        <v/>
      </c>
      <c r="J856" s="7">
        <f>'1 datos preparados'!I849</f>
        <v/>
      </c>
      <c r="K856" s="7">
        <f>'1 datos preparados'!J849</f>
        <v/>
      </c>
      <c r="L856" s="7">
        <f>'1 datos preparados'!K849</f>
        <v/>
      </c>
      <c r="M856" s="7">
        <f>'1 datos preparados'!L849</f>
        <v/>
      </c>
      <c r="N856" s="7">
        <f>'1 datos preparados'!M849</f>
        <v/>
      </c>
      <c r="O856" s="7">
        <f>'1 datos preparados'!N849</f>
        <v/>
      </c>
      <c r="P856" s="7">
        <f>'1 datos preparados'!O849</f>
        <v/>
      </c>
      <c r="Q856" s="7">
        <f>'1 datos preparados'!P849</f>
        <v/>
      </c>
      <c r="R856" s="7">
        <f>'1 datos preparados'!Q849</f>
        <v/>
      </c>
      <c r="S856" s="7">
        <f>'1 datos preparados'!R849</f>
        <v/>
      </c>
      <c r="T856" s="7">
        <f>'1 datos preparados'!S849</f>
        <v/>
      </c>
      <c r="U856" s="7">
        <f>'1 datos preparados'!T849</f>
        <v/>
      </c>
      <c r="V856" s="8">
        <f>$AC$12+D856*$AC$13+E856*$AC$14+F856*$AC$15+G856*$AC$16+H856*$AC$17+I856*$AC$18+J856*$AC$19+K856*$AC$20+L856*$AC$21+M856*$AC$22+N856*$AC$23+O856*$AC$24+P856*$AC$25+Q856*$AC$26+R856*$AC$27+S856*$AC$28+T856*$AC$29+U856*$AC$30</f>
        <v/>
      </c>
      <c r="W856" s="8">
        <f>1/(1+EXP(-V856))</f>
        <v/>
      </c>
      <c r="X856" s="9">
        <f>-IF(C856=1,LN(W856),LN(1-W856))</f>
        <v/>
      </c>
      <c r="Y856" s="10">
        <f>IF(W856&gt;$AC$34,1,0)</f>
        <v/>
      </c>
      <c r="Z856">
        <f>IF(Y856=C856,1,0)</f>
        <v/>
      </c>
    </row>
    <row r="857">
      <c r="A857">
        <f>'1 datos preparados'!A850</f>
        <v/>
      </c>
      <c r="B857" s="5">
        <f>'1 datos preparados'!U850</f>
        <v/>
      </c>
      <c r="C857">
        <f>'1 datos preparados'!B850</f>
        <v/>
      </c>
      <c r="D857" s="7">
        <f>'1 datos preparados'!C850</f>
        <v/>
      </c>
      <c r="E857" s="7">
        <f>'1 datos preparados'!D850</f>
        <v/>
      </c>
      <c r="F857" s="7">
        <f>'1 datos preparados'!E850</f>
        <v/>
      </c>
      <c r="G857" s="7">
        <f>'1 datos preparados'!F850</f>
        <v/>
      </c>
      <c r="H857" s="7">
        <f>'1 datos preparados'!G850</f>
        <v/>
      </c>
      <c r="I857" s="7">
        <f>'1 datos preparados'!H850</f>
        <v/>
      </c>
      <c r="J857" s="7">
        <f>'1 datos preparados'!I850</f>
        <v/>
      </c>
      <c r="K857" s="7">
        <f>'1 datos preparados'!J850</f>
        <v/>
      </c>
      <c r="L857" s="7">
        <f>'1 datos preparados'!K850</f>
        <v/>
      </c>
      <c r="M857" s="7">
        <f>'1 datos preparados'!L850</f>
        <v/>
      </c>
      <c r="N857" s="7">
        <f>'1 datos preparados'!M850</f>
        <v/>
      </c>
      <c r="O857" s="7">
        <f>'1 datos preparados'!N850</f>
        <v/>
      </c>
      <c r="P857" s="7">
        <f>'1 datos preparados'!O850</f>
        <v/>
      </c>
      <c r="Q857" s="7">
        <f>'1 datos preparados'!P850</f>
        <v/>
      </c>
      <c r="R857" s="7">
        <f>'1 datos preparados'!Q850</f>
        <v/>
      </c>
      <c r="S857" s="7">
        <f>'1 datos preparados'!R850</f>
        <v/>
      </c>
      <c r="T857" s="7">
        <f>'1 datos preparados'!S850</f>
        <v/>
      </c>
      <c r="U857" s="7">
        <f>'1 datos preparados'!T850</f>
        <v/>
      </c>
      <c r="V857" s="8">
        <f>$AC$12+D857*$AC$13+E857*$AC$14+F857*$AC$15+G857*$AC$16+H857*$AC$17+I857*$AC$18+J857*$AC$19+K857*$AC$20+L857*$AC$21+M857*$AC$22+N857*$AC$23+O857*$AC$24+P857*$AC$25+Q857*$AC$26+R857*$AC$27+S857*$AC$28+T857*$AC$29+U857*$AC$30</f>
        <v/>
      </c>
      <c r="W857" s="8">
        <f>1/(1+EXP(-V857))</f>
        <v/>
      </c>
      <c r="X857" s="9">
        <f>-IF(C857=1,LN(W857),LN(1-W857))</f>
        <v/>
      </c>
      <c r="Y857" s="10">
        <f>IF(W857&gt;$AC$34,1,0)</f>
        <v/>
      </c>
      <c r="Z857">
        <f>IF(Y857=C857,1,0)</f>
        <v/>
      </c>
    </row>
    <row r="858">
      <c r="A858">
        <f>'1 datos preparados'!A851</f>
        <v/>
      </c>
      <c r="B858" s="5">
        <f>'1 datos preparados'!U851</f>
        <v/>
      </c>
      <c r="C858">
        <f>'1 datos preparados'!B851</f>
        <v/>
      </c>
      <c r="D858" s="7">
        <f>'1 datos preparados'!C851</f>
        <v/>
      </c>
      <c r="E858" s="7">
        <f>'1 datos preparados'!D851</f>
        <v/>
      </c>
      <c r="F858" s="7">
        <f>'1 datos preparados'!E851</f>
        <v/>
      </c>
      <c r="G858" s="7">
        <f>'1 datos preparados'!F851</f>
        <v/>
      </c>
      <c r="H858" s="7">
        <f>'1 datos preparados'!G851</f>
        <v/>
      </c>
      <c r="I858" s="7">
        <f>'1 datos preparados'!H851</f>
        <v/>
      </c>
      <c r="J858" s="7">
        <f>'1 datos preparados'!I851</f>
        <v/>
      </c>
      <c r="K858" s="7">
        <f>'1 datos preparados'!J851</f>
        <v/>
      </c>
      <c r="L858" s="7">
        <f>'1 datos preparados'!K851</f>
        <v/>
      </c>
      <c r="M858" s="7">
        <f>'1 datos preparados'!L851</f>
        <v/>
      </c>
      <c r="N858" s="7">
        <f>'1 datos preparados'!M851</f>
        <v/>
      </c>
      <c r="O858" s="7">
        <f>'1 datos preparados'!N851</f>
        <v/>
      </c>
      <c r="P858" s="7">
        <f>'1 datos preparados'!O851</f>
        <v/>
      </c>
      <c r="Q858" s="7">
        <f>'1 datos preparados'!P851</f>
        <v/>
      </c>
      <c r="R858" s="7">
        <f>'1 datos preparados'!Q851</f>
        <v/>
      </c>
      <c r="S858" s="7">
        <f>'1 datos preparados'!R851</f>
        <v/>
      </c>
      <c r="T858" s="7">
        <f>'1 datos preparados'!S851</f>
        <v/>
      </c>
      <c r="U858" s="7">
        <f>'1 datos preparados'!T851</f>
        <v/>
      </c>
      <c r="V858" s="8">
        <f>$AC$12+D858*$AC$13+E858*$AC$14+F858*$AC$15+G858*$AC$16+H858*$AC$17+I858*$AC$18+J858*$AC$19+K858*$AC$20+L858*$AC$21+M858*$AC$22+N858*$AC$23+O858*$AC$24+P858*$AC$25+Q858*$AC$26+R858*$AC$27+S858*$AC$28+T858*$AC$29+U858*$AC$30</f>
        <v/>
      </c>
      <c r="W858" s="8">
        <f>1/(1+EXP(-V858))</f>
        <v/>
      </c>
      <c r="X858" s="9">
        <f>-IF(C858=1,LN(W858),LN(1-W858))</f>
        <v/>
      </c>
      <c r="Y858" s="10">
        <f>IF(W858&gt;$AC$34,1,0)</f>
        <v/>
      </c>
      <c r="Z858">
        <f>IF(Y858=C858,1,0)</f>
        <v/>
      </c>
    </row>
    <row r="859">
      <c r="A859">
        <f>'1 datos preparados'!A852</f>
        <v/>
      </c>
      <c r="B859" s="5">
        <f>'1 datos preparados'!U852</f>
        <v/>
      </c>
      <c r="C859">
        <f>'1 datos preparados'!B852</f>
        <v/>
      </c>
      <c r="D859" s="7">
        <f>'1 datos preparados'!C852</f>
        <v/>
      </c>
      <c r="E859" s="7">
        <f>'1 datos preparados'!D852</f>
        <v/>
      </c>
      <c r="F859" s="7">
        <f>'1 datos preparados'!E852</f>
        <v/>
      </c>
      <c r="G859" s="7">
        <f>'1 datos preparados'!F852</f>
        <v/>
      </c>
      <c r="H859" s="7">
        <f>'1 datos preparados'!G852</f>
        <v/>
      </c>
      <c r="I859" s="7">
        <f>'1 datos preparados'!H852</f>
        <v/>
      </c>
      <c r="J859" s="7">
        <f>'1 datos preparados'!I852</f>
        <v/>
      </c>
      <c r="K859" s="7">
        <f>'1 datos preparados'!J852</f>
        <v/>
      </c>
      <c r="L859" s="7">
        <f>'1 datos preparados'!K852</f>
        <v/>
      </c>
      <c r="M859" s="7">
        <f>'1 datos preparados'!L852</f>
        <v/>
      </c>
      <c r="N859" s="7">
        <f>'1 datos preparados'!M852</f>
        <v/>
      </c>
      <c r="O859" s="7">
        <f>'1 datos preparados'!N852</f>
        <v/>
      </c>
      <c r="P859" s="7">
        <f>'1 datos preparados'!O852</f>
        <v/>
      </c>
      <c r="Q859" s="7">
        <f>'1 datos preparados'!P852</f>
        <v/>
      </c>
      <c r="R859" s="7">
        <f>'1 datos preparados'!Q852</f>
        <v/>
      </c>
      <c r="S859" s="7">
        <f>'1 datos preparados'!R852</f>
        <v/>
      </c>
      <c r="T859" s="7">
        <f>'1 datos preparados'!S852</f>
        <v/>
      </c>
      <c r="U859" s="7">
        <f>'1 datos preparados'!T852</f>
        <v/>
      </c>
      <c r="V859" s="8">
        <f>$AC$12+D859*$AC$13+E859*$AC$14+F859*$AC$15+G859*$AC$16+H859*$AC$17+I859*$AC$18+J859*$AC$19+K859*$AC$20+L859*$AC$21+M859*$AC$22+N859*$AC$23+O859*$AC$24+P859*$AC$25+Q859*$AC$26+R859*$AC$27+S859*$AC$28+T859*$AC$29+U859*$AC$30</f>
        <v/>
      </c>
      <c r="W859" s="8">
        <f>1/(1+EXP(-V859))</f>
        <v/>
      </c>
      <c r="X859" s="9">
        <f>-IF(C859=1,LN(W859),LN(1-W859))</f>
        <v/>
      </c>
      <c r="Y859" s="10">
        <f>IF(W859&gt;$AC$34,1,0)</f>
        <v/>
      </c>
      <c r="Z859">
        <f>IF(Y859=C859,1,0)</f>
        <v/>
      </c>
    </row>
    <row r="860">
      <c r="A860">
        <f>'1 datos preparados'!A853</f>
        <v/>
      </c>
      <c r="B860" s="5">
        <f>'1 datos preparados'!U853</f>
        <v/>
      </c>
      <c r="C860">
        <f>'1 datos preparados'!B853</f>
        <v/>
      </c>
      <c r="D860" s="7">
        <f>'1 datos preparados'!C853</f>
        <v/>
      </c>
      <c r="E860" s="7">
        <f>'1 datos preparados'!D853</f>
        <v/>
      </c>
      <c r="F860" s="7">
        <f>'1 datos preparados'!E853</f>
        <v/>
      </c>
      <c r="G860" s="7">
        <f>'1 datos preparados'!F853</f>
        <v/>
      </c>
      <c r="H860" s="7">
        <f>'1 datos preparados'!G853</f>
        <v/>
      </c>
      <c r="I860" s="7">
        <f>'1 datos preparados'!H853</f>
        <v/>
      </c>
      <c r="J860" s="7">
        <f>'1 datos preparados'!I853</f>
        <v/>
      </c>
      <c r="K860" s="7">
        <f>'1 datos preparados'!J853</f>
        <v/>
      </c>
      <c r="L860" s="7">
        <f>'1 datos preparados'!K853</f>
        <v/>
      </c>
      <c r="M860" s="7">
        <f>'1 datos preparados'!L853</f>
        <v/>
      </c>
      <c r="N860" s="7">
        <f>'1 datos preparados'!M853</f>
        <v/>
      </c>
      <c r="O860" s="7">
        <f>'1 datos preparados'!N853</f>
        <v/>
      </c>
      <c r="P860" s="7">
        <f>'1 datos preparados'!O853</f>
        <v/>
      </c>
      <c r="Q860" s="7">
        <f>'1 datos preparados'!P853</f>
        <v/>
      </c>
      <c r="R860" s="7">
        <f>'1 datos preparados'!Q853</f>
        <v/>
      </c>
      <c r="S860" s="7">
        <f>'1 datos preparados'!R853</f>
        <v/>
      </c>
      <c r="T860" s="7">
        <f>'1 datos preparados'!S853</f>
        <v/>
      </c>
      <c r="U860" s="7">
        <f>'1 datos preparados'!T853</f>
        <v/>
      </c>
      <c r="V860" s="8">
        <f>$AC$12+D860*$AC$13+E860*$AC$14+F860*$AC$15+G860*$AC$16+H860*$AC$17+I860*$AC$18+J860*$AC$19+K860*$AC$20+L860*$AC$21+M860*$AC$22+N860*$AC$23+O860*$AC$24+P860*$AC$25+Q860*$AC$26+R860*$AC$27+S860*$AC$28+T860*$AC$29+U860*$AC$30</f>
        <v/>
      </c>
      <c r="W860" s="8">
        <f>1/(1+EXP(-V860))</f>
        <v/>
      </c>
      <c r="X860" s="9">
        <f>-IF(C860=1,LN(W860),LN(1-W860))</f>
        <v/>
      </c>
      <c r="Y860" s="10">
        <f>IF(W860&gt;$AC$34,1,0)</f>
        <v/>
      </c>
      <c r="Z860">
        <f>IF(Y860=C860,1,0)</f>
        <v/>
      </c>
    </row>
    <row r="861">
      <c r="A861">
        <f>'1 datos preparados'!A854</f>
        <v/>
      </c>
      <c r="B861" s="5">
        <f>'1 datos preparados'!U854</f>
        <v/>
      </c>
      <c r="C861">
        <f>'1 datos preparados'!B854</f>
        <v/>
      </c>
      <c r="D861" s="7">
        <f>'1 datos preparados'!C854</f>
        <v/>
      </c>
      <c r="E861" s="7">
        <f>'1 datos preparados'!D854</f>
        <v/>
      </c>
      <c r="F861" s="7">
        <f>'1 datos preparados'!E854</f>
        <v/>
      </c>
      <c r="G861" s="7">
        <f>'1 datos preparados'!F854</f>
        <v/>
      </c>
      <c r="H861" s="7">
        <f>'1 datos preparados'!G854</f>
        <v/>
      </c>
      <c r="I861" s="7">
        <f>'1 datos preparados'!H854</f>
        <v/>
      </c>
      <c r="J861" s="7">
        <f>'1 datos preparados'!I854</f>
        <v/>
      </c>
      <c r="K861" s="7">
        <f>'1 datos preparados'!J854</f>
        <v/>
      </c>
      <c r="L861" s="7">
        <f>'1 datos preparados'!K854</f>
        <v/>
      </c>
      <c r="M861" s="7">
        <f>'1 datos preparados'!L854</f>
        <v/>
      </c>
      <c r="N861" s="7">
        <f>'1 datos preparados'!M854</f>
        <v/>
      </c>
      <c r="O861" s="7">
        <f>'1 datos preparados'!N854</f>
        <v/>
      </c>
      <c r="P861" s="7">
        <f>'1 datos preparados'!O854</f>
        <v/>
      </c>
      <c r="Q861" s="7">
        <f>'1 datos preparados'!P854</f>
        <v/>
      </c>
      <c r="R861" s="7">
        <f>'1 datos preparados'!Q854</f>
        <v/>
      </c>
      <c r="S861" s="7">
        <f>'1 datos preparados'!R854</f>
        <v/>
      </c>
      <c r="T861" s="7">
        <f>'1 datos preparados'!S854</f>
        <v/>
      </c>
      <c r="U861" s="7">
        <f>'1 datos preparados'!T854</f>
        <v/>
      </c>
      <c r="V861" s="8">
        <f>$AC$12+D861*$AC$13+E861*$AC$14+F861*$AC$15+G861*$AC$16+H861*$AC$17+I861*$AC$18+J861*$AC$19+K861*$AC$20+L861*$AC$21+M861*$AC$22+N861*$AC$23+O861*$AC$24+P861*$AC$25+Q861*$AC$26+R861*$AC$27+S861*$AC$28+T861*$AC$29+U861*$AC$30</f>
        <v/>
      </c>
      <c r="W861" s="8">
        <f>1/(1+EXP(-V861))</f>
        <v/>
      </c>
      <c r="X861" s="9">
        <f>-IF(C861=1,LN(W861),LN(1-W861))</f>
        <v/>
      </c>
      <c r="Y861" s="10">
        <f>IF(W861&gt;$AC$34,1,0)</f>
        <v/>
      </c>
      <c r="Z861">
        <f>IF(Y861=C861,1,0)</f>
        <v/>
      </c>
    </row>
    <row r="862">
      <c r="A862">
        <f>'1 datos preparados'!A855</f>
        <v/>
      </c>
      <c r="B862" s="5">
        <f>'1 datos preparados'!U855</f>
        <v/>
      </c>
      <c r="C862">
        <f>'1 datos preparados'!B855</f>
        <v/>
      </c>
      <c r="D862" s="7">
        <f>'1 datos preparados'!C855</f>
        <v/>
      </c>
      <c r="E862" s="7">
        <f>'1 datos preparados'!D855</f>
        <v/>
      </c>
      <c r="F862" s="7">
        <f>'1 datos preparados'!E855</f>
        <v/>
      </c>
      <c r="G862" s="7">
        <f>'1 datos preparados'!F855</f>
        <v/>
      </c>
      <c r="H862" s="7">
        <f>'1 datos preparados'!G855</f>
        <v/>
      </c>
      <c r="I862" s="7">
        <f>'1 datos preparados'!H855</f>
        <v/>
      </c>
      <c r="J862" s="7">
        <f>'1 datos preparados'!I855</f>
        <v/>
      </c>
      <c r="K862" s="7">
        <f>'1 datos preparados'!J855</f>
        <v/>
      </c>
      <c r="L862" s="7">
        <f>'1 datos preparados'!K855</f>
        <v/>
      </c>
      <c r="M862" s="7">
        <f>'1 datos preparados'!L855</f>
        <v/>
      </c>
      <c r="N862" s="7">
        <f>'1 datos preparados'!M855</f>
        <v/>
      </c>
      <c r="O862" s="7">
        <f>'1 datos preparados'!N855</f>
        <v/>
      </c>
      <c r="P862" s="7">
        <f>'1 datos preparados'!O855</f>
        <v/>
      </c>
      <c r="Q862" s="7">
        <f>'1 datos preparados'!P855</f>
        <v/>
      </c>
      <c r="R862" s="7">
        <f>'1 datos preparados'!Q855</f>
        <v/>
      </c>
      <c r="S862" s="7">
        <f>'1 datos preparados'!R855</f>
        <v/>
      </c>
      <c r="T862" s="7">
        <f>'1 datos preparados'!S855</f>
        <v/>
      </c>
      <c r="U862" s="7">
        <f>'1 datos preparados'!T855</f>
        <v/>
      </c>
      <c r="V862" s="8">
        <f>$AC$12+D862*$AC$13+E862*$AC$14+F862*$AC$15+G862*$AC$16+H862*$AC$17+I862*$AC$18+J862*$AC$19+K862*$AC$20+L862*$AC$21+M862*$AC$22+N862*$AC$23+O862*$AC$24+P862*$AC$25+Q862*$AC$26+R862*$AC$27+S862*$AC$28+T862*$AC$29+U862*$AC$30</f>
        <v/>
      </c>
      <c r="W862" s="8">
        <f>1/(1+EXP(-V862))</f>
        <v/>
      </c>
      <c r="X862" s="9">
        <f>-IF(C862=1,LN(W862),LN(1-W862))</f>
        <v/>
      </c>
      <c r="Y862" s="10">
        <f>IF(W862&gt;$AC$34,1,0)</f>
        <v/>
      </c>
      <c r="Z862">
        <f>IF(Y862=C862,1,0)</f>
        <v/>
      </c>
    </row>
    <row r="863">
      <c r="A863">
        <f>'1 datos preparados'!A856</f>
        <v/>
      </c>
      <c r="B863" s="5">
        <f>'1 datos preparados'!U856</f>
        <v/>
      </c>
      <c r="C863">
        <f>'1 datos preparados'!B856</f>
        <v/>
      </c>
      <c r="D863" s="7">
        <f>'1 datos preparados'!C856</f>
        <v/>
      </c>
      <c r="E863" s="7">
        <f>'1 datos preparados'!D856</f>
        <v/>
      </c>
      <c r="F863" s="7">
        <f>'1 datos preparados'!E856</f>
        <v/>
      </c>
      <c r="G863" s="7">
        <f>'1 datos preparados'!F856</f>
        <v/>
      </c>
      <c r="H863" s="7">
        <f>'1 datos preparados'!G856</f>
        <v/>
      </c>
      <c r="I863" s="7">
        <f>'1 datos preparados'!H856</f>
        <v/>
      </c>
      <c r="J863" s="7">
        <f>'1 datos preparados'!I856</f>
        <v/>
      </c>
      <c r="K863" s="7">
        <f>'1 datos preparados'!J856</f>
        <v/>
      </c>
      <c r="L863" s="7">
        <f>'1 datos preparados'!K856</f>
        <v/>
      </c>
      <c r="M863" s="7">
        <f>'1 datos preparados'!L856</f>
        <v/>
      </c>
      <c r="N863" s="7">
        <f>'1 datos preparados'!M856</f>
        <v/>
      </c>
      <c r="O863" s="7">
        <f>'1 datos preparados'!N856</f>
        <v/>
      </c>
      <c r="P863" s="7">
        <f>'1 datos preparados'!O856</f>
        <v/>
      </c>
      <c r="Q863" s="7">
        <f>'1 datos preparados'!P856</f>
        <v/>
      </c>
      <c r="R863" s="7">
        <f>'1 datos preparados'!Q856</f>
        <v/>
      </c>
      <c r="S863" s="7">
        <f>'1 datos preparados'!R856</f>
        <v/>
      </c>
      <c r="T863" s="7">
        <f>'1 datos preparados'!S856</f>
        <v/>
      </c>
      <c r="U863" s="7">
        <f>'1 datos preparados'!T856</f>
        <v/>
      </c>
      <c r="V863" s="8">
        <f>$AC$12+D863*$AC$13+E863*$AC$14+F863*$AC$15+G863*$AC$16+H863*$AC$17+I863*$AC$18+J863*$AC$19+K863*$AC$20+L863*$AC$21+M863*$AC$22+N863*$AC$23+O863*$AC$24+P863*$AC$25+Q863*$AC$26+R863*$AC$27+S863*$AC$28+T863*$AC$29+U863*$AC$30</f>
        <v/>
      </c>
      <c r="W863" s="8">
        <f>1/(1+EXP(-V863))</f>
        <v/>
      </c>
      <c r="X863" s="9">
        <f>-IF(C863=1,LN(W863),LN(1-W863))</f>
        <v/>
      </c>
      <c r="Y863" s="10">
        <f>IF(W863&gt;$AC$34,1,0)</f>
        <v/>
      </c>
      <c r="Z863">
        <f>IF(Y863=C863,1,0)</f>
        <v/>
      </c>
    </row>
    <row r="864">
      <c r="A864">
        <f>'1 datos preparados'!A857</f>
        <v/>
      </c>
      <c r="B864" s="5">
        <f>'1 datos preparados'!U857</f>
        <v/>
      </c>
      <c r="C864">
        <f>'1 datos preparados'!B857</f>
        <v/>
      </c>
      <c r="D864" s="7">
        <f>'1 datos preparados'!C857</f>
        <v/>
      </c>
      <c r="E864" s="7">
        <f>'1 datos preparados'!D857</f>
        <v/>
      </c>
      <c r="F864" s="7">
        <f>'1 datos preparados'!E857</f>
        <v/>
      </c>
      <c r="G864" s="7">
        <f>'1 datos preparados'!F857</f>
        <v/>
      </c>
      <c r="H864" s="7">
        <f>'1 datos preparados'!G857</f>
        <v/>
      </c>
      <c r="I864" s="7">
        <f>'1 datos preparados'!H857</f>
        <v/>
      </c>
      <c r="J864" s="7">
        <f>'1 datos preparados'!I857</f>
        <v/>
      </c>
      <c r="K864" s="7">
        <f>'1 datos preparados'!J857</f>
        <v/>
      </c>
      <c r="L864" s="7">
        <f>'1 datos preparados'!K857</f>
        <v/>
      </c>
      <c r="M864" s="7">
        <f>'1 datos preparados'!L857</f>
        <v/>
      </c>
      <c r="N864" s="7">
        <f>'1 datos preparados'!M857</f>
        <v/>
      </c>
      <c r="O864" s="7">
        <f>'1 datos preparados'!N857</f>
        <v/>
      </c>
      <c r="P864" s="7">
        <f>'1 datos preparados'!O857</f>
        <v/>
      </c>
      <c r="Q864" s="7">
        <f>'1 datos preparados'!P857</f>
        <v/>
      </c>
      <c r="R864" s="7">
        <f>'1 datos preparados'!Q857</f>
        <v/>
      </c>
      <c r="S864" s="7">
        <f>'1 datos preparados'!R857</f>
        <v/>
      </c>
      <c r="T864" s="7">
        <f>'1 datos preparados'!S857</f>
        <v/>
      </c>
      <c r="U864" s="7">
        <f>'1 datos preparados'!T857</f>
        <v/>
      </c>
      <c r="V864" s="8">
        <f>$AC$12+D864*$AC$13+E864*$AC$14+F864*$AC$15+G864*$AC$16+H864*$AC$17+I864*$AC$18+J864*$AC$19+K864*$AC$20+L864*$AC$21+M864*$AC$22+N864*$AC$23+O864*$AC$24+P864*$AC$25+Q864*$AC$26+R864*$AC$27+S864*$AC$28+T864*$AC$29+U864*$AC$30</f>
        <v/>
      </c>
      <c r="W864" s="8">
        <f>1/(1+EXP(-V864))</f>
        <v/>
      </c>
      <c r="X864" s="9">
        <f>-IF(C864=1,LN(W864),LN(1-W864))</f>
        <v/>
      </c>
      <c r="Y864" s="10">
        <f>IF(W864&gt;$AC$34,1,0)</f>
        <v/>
      </c>
      <c r="Z864">
        <f>IF(Y864=C864,1,0)</f>
        <v/>
      </c>
    </row>
    <row r="865">
      <c r="A865">
        <f>'1 datos preparados'!A858</f>
        <v/>
      </c>
      <c r="B865" s="5">
        <f>'1 datos preparados'!U858</f>
        <v/>
      </c>
      <c r="C865">
        <f>'1 datos preparados'!B858</f>
        <v/>
      </c>
      <c r="D865" s="7">
        <f>'1 datos preparados'!C858</f>
        <v/>
      </c>
      <c r="E865" s="7">
        <f>'1 datos preparados'!D858</f>
        <v/>
      </c>
      <c r="F865" s="7">
        <f>'1 datos preparados'!E858</f>
        <v/>
      </c>
      <c r="G865" s="7">
        <f>'1 datos preparados'!F858</f>
        <v/>
      </c>
      <c r="H865" s="7">
        <f>'1 datos preparados'!G858</f>
        <v/>
      </c>
      <c r="I865" s="7">
        <f>'1 datos preparados'!H858</f>
        <v/>
      </c>
      <c r="J865" s="7">
        <f>'1 datos preparados'!I858</f>
        <v/>
      </c>
      <c r="K865" s="7">
        <f>'1 datos preparados'!J858</f>
        <v/>
      </c>
      <c r="L865" s="7">
        <f>'1 datos preparados'!K858</f>
        <v/>
      </c>
      <c r="M865" s="7">
        <f>'1 datos preparados'!L858</f>
        <v/>
      </c>
      <c r="N865" s="7">
        <f>'1 datos preparados'!M858</f>
        <v/>
      </c>
      <c r="O865" s="7">
        <f>'1 datos preparados'!N858</f>
        <v/>
      </c>
      <c r="P865" s="7">
        <f>'1 datos preparados'!O858</f>
        <v/>
      </c>
      <c r="Q865" s="7">
        <f>'1 datos preparados'!P858</f>
        <v/>
      </c>
      <c r="R865" s="7">
        <f>'1 datos preparados'!Q858</f>
        <v/>
      </c>
      <c r="S865" s="7">
        <f>'1 datos preparados'!R858</f>
        <v/>
      </c>
      <c r="T865" s="7">
        <f>'1 datos preparados'!S858</f>
        <v/>
      </c>
      <c r="U865" s="7">
        <f>'1 datos preparados'!T858</f>
        <v/>
      </c>
      <c r="V865" s="8">
        <f>$AC$12+D865*$AC$13+E865*$AC$14+F865*$AC$15+G865*$AC$16+H865*$AC$17+I865*$AC$18+J865*$AC$19+K865*$AC$20+L865*$AC$21+M865*$AC$22+N865*$AC$23+O865*$AC$24+P865*$AC$25+Q865*$AC$26+R865*$AC$27+S865*$AC$28+T865*$AC$29+U865*$AC$30</f>
        <v/>
      </c>
      <c r="W865" s="8">
        <f>1/(1+EXP(-V865))</f>
        <v/>
      </c>
      <c r="X865" s="9">
        <f>-IF(C865=1,LN(W865),LN(1-W865))</f>
        <v/>
      </c>
      <c r="Y865" s="10">
        <f>IF(W865&gt;$AC$34,1,0)</f>
        <v/>
      </c>
      <c r="Z865">
        <f>IF(Y865=C865,1,0)</f>
        <v/>
      </c>
    </row>
    <row r="866">
      <c r="A866">
        <f>'1 datos preparados'!A859</f>
        <v/>
      </c>
      <c r="B866" s="5">
        <f>'1 datos preparados'!U859</f>
        <v/>
      </c>
      <c r="C866">
        <f>'1 datos preparados'!B859</f>
        <v/>
      </c>
      <c r="D866" s="7">
        <f>'1 datos preparados'!C859</f>
        <v/>
      </c>
      <c r="E866" s="7">
        <f>'1 datos preparados'!D859</f>
        <v/>
      </c>
      <c r="F866" s="7">
        <f>'1 datos preparados'!E859</f>
        <v/>
      </c>
      <c r="G866" s="7">
        <f>'1 datos preparados'!F859</f>
        <v/>
      </c>
      <c r="H866" s="7">
        <f>'1 datos preparados'!G859</f>
        <v/>
      </c>
      <c r="I866" s="7">
        <f>'1 datos preparados'!H859</f>
        <v/>
      </c>
      <c r="J866" s="7">
        <f>'1 datos preparados'!I859</f>
        <v/>
      </c>
      <c r="K866" s="7">
        <f>'1 datos preparados'!J859</f>
        <v/>
      </c>
      <c r="L866" s="7">
        <f>'1 datos preparados'!K859</f>
        <v/>
      </c>
      <c r="M866" s="7">
        <f>'1 datos preparados'!L859</f>
        <v/>
      </c>
      <c r="N866" s="7">
        <f>'1 datos preparados'!M859</f>
        <v/>
      </c>
      <c r="O866" s="7">
        <f>'1 datos preparados'!N859</f>
        <v/>
      </c>
      <c r="P866" s="7">
        <f>'1 datos preparados'!O859</f>
        <v/>
      </c>
      <c r="Q866" s="7">
        <f>'1 datos preparados'!P859</f>
        <v/>
      </c>
      <c r="R866" s="7">
        <f>'1 datos preparados'!Q859</f>
        <v/>
      </c>
      <c r="S866" s="7">
        <f>'1 datos preparados'!R859</f>
        <v/>
      </c>
      <c r="T866" s="7">
        <f>'1 datos preparados'!S859</f>
        <v/>
      </c>
      <c r="U866" s="7">
        <f>'1 datos preparados'!T859</f>
        <v/>
      </c>
      <c r="V866" s="8">
        <f>$AC$12+D866*$AC$13+E866*$AC$14+F866*$AC$15+G866*$AC$16+H866*$AC$17+I866*$AC$18+J866*$AC$19+K866*$AC$20+L866*$AC$21+M866*$AC$22+N866*$AC$23+O866*$AC$24+P866*$AC$25+Q866*$AC$26+R866*$AC$27+S866*$AC$28+T866*$AC$29+U866*$AC$30</f>
        <v/>
      </c>
      <c r="W866" s="8">
        <f>1/(1+EXP(-V866))</f>
        <v/>
      </c>
      <c r="X866" s="9">
        <f>-IF(C866=1,LN(W866),LN(1-W866))</f>
        <v/>
      </c>
      <c r="Y866" s="10">
        <f>IF(W866&gt;$AC$34,1,0)</f>
        <v/>
      </c>
      <c r="Z866">
        <f>IF(Y866=C866,1,0)</f>
        <v/>
      </c>
    </row>
    <row r="867">
      <c r="A867">
        <f>'1 datos preparados'!A860</f>
        <v/>
      </c>
      <c r="B867" s="5">
        <f>'1 datos preparados'!U860</f>
        <v/>
      </c>
      <c r="C867">
        <f>'1 datos preparados'!B860</f>
        <v/>
      </c>
      <c r="D867" s="7">
        <f>'1 datos preparados'!C860</f>
        <v/>
      </c>
      <c r="E867" s="7">
        <f>'1 datos preparados'!D860</f>
        <v/>
      </c>
      <c r="F867" s="7">
        <f>'1 datos preparados'!E860</f>
        <v/>
      </c>
      <c r="G867" s="7">
        <f>'1 datos preparados'!F860</f>
        <v/>
      </c>
      <c r="H867" s="7">
        <f>'1 datos preparados'!G860</f>
        <v/>
      </c>
      <c r="I867" s="7">
        <f>'1 datos preparados'!H860</f>
        <v/>
      </c>
      <c r="J867" s="7">
        <f>'1 datos preparados'!I860</f>
        <v/>
      </c>
      <c r="K867" s="7">
        <f>'1 datos preparados'!J860</f>
        <v/>
      </c>
      <c r="L867" s="7">
        <f>'1 datos preparados'!K860</f>
        <v/>
      </c>
      <c r="M867" s="7">
        <f>'1 datos preparados'!L860</f>
        <v/>
      </c>
      <c r="N867" s="7">
        <f>'1 datos preparados'!M860</f>
        <v/>
      </c>
      <c r="O867" s="7">
        <f>'1 datos preparados'!N860</f>
        <v/>
      </c>
      <c r="P867" s="7">
        <f>'1 datos preparados'!O860</f>
        <v/>
      </c>
      <c r="Q867" s="7">
        <f>'1 datos preparados'!P860</f>
        <v/>
      </c>
      <c r="R867" s="7">
        <f>'1 datos preparados'!Q860</f>
        <v/>
      </c>
      <c r="S867" s="7">
        <f>'1 datos preparados'!R860</f>
        <v/>
      </c>
      <c r="T867" s="7">
        <f>'1 datos preparados'!S860</f>
        <v/>
      </c>
      <c r="U867" s="7">
        <f>'1 datos preparados'!T860</f>
        <v/>
      </c>
      <c r="V867" s="8">
        <f>$AC$12+D867*$AC$13+E867*$AC$14+F867*$AC$15+G867*$AC$16+H867*$AC$17+I867*$AC$18+J867*$AC$19+K867*$AC$20+L867*$AC$21+M867*$AC$22+N867*$AC$23+O867*$AC$24+P867*$AC$25+Q867*$AC$26+R867*$AC$27+S867*$AC$28+T867*$AC$29+U867*$AC$30</f>
        <v/>
      </c>
      <c r="W867" s="8">
        <f>1/(1+EXP(-V867))</f>
        <v/>
      </c>
      <c r="X867" s="9">
        <f>-IF(C867=1,LN(W867),LN(1-W867))</f>
        <v/>
      </c>
      <c r="Y867" s="10">
        <f>IF(W867&gt;$AC$34,1,0)</f>
        <v/>
      </c>
      <c r="Z867">
        <f>IF(Y867=C867,1,0)</f>
        <v/>
      </c>
    </row>
    <row r="868">
      <c r="A868">
        <f>'1 datos preparados'!A861</f>
        <v/>
      </c>
      <c r="B868" s="5">
        <f>'1 datos preparados'!U861</f>
        <v/>
      </c>
      <c r="C868">
        <f>'1 datos preparados'!B861</f>
        <v/>
      </c>
      <c r="D868" s="7">
        <f>'1 datos preparados'!C861</f>
        <v/>
      </c>
      <c r="E868" s="7">
        <f>'1 datos preparados'!D861</f>
        <v/>
      </c>
      <c r="F868" s="7">
        <f>'1 datos preparados'!E861</f>
        <v/>
      </c>
      <c r="G868" s="7">
        <f>'1 datos preparados'!F861</f>
        <v/>
      </c>
      <c r="H868" s="7">
        <f>'1 datos preparados'!G861</f>
        <v/>
      </c>
      <c r="I868" s="7">
        <f>'1 datos preparados'!H861</f>
        <v/>
      </c>
      <c r="J868" s="7">
        <f>'1 datos preparados'!I861</f>
        <v/>
      </c>
      <c r="K868" s="7">
        <f>'1 datos preparados'!J861</f>
        <v/>
      </c>
      <c r="L868" s="7">
        <f>'1 datos preparados'!K861</f>
        <v/>
      </c>
      <c r="M868" s="7">
        <f>'1 datos preparados'!L861</f>
        <v/>
      </c>
      <c r="N868" s="7">
        <f>'1 datos preparados'!M861</f>
        <v/>
      </c>
      <c r="O868" s="7">
        <f>'1 datos preparados'!N861</f>
        <v/>
      </c>
      <c r="P868" s="7">
        <f>'1 datos preparados'!O861</f>
        <v/>
      </c>
      <c r="Q868" s="7">
        <f>'1 datos preparados'!P861</f>
        <v/>
      </c>
      <c r="R868" s="7">
        <f>'1 datos preparados'!Q861</f>
        <v/>
      </c>
      <c r="S868" s="7">
        <f>'1 datos preparados'!R861</f>
        <v/>
      </c>
      <c r="T868" s="7">
        <f>'1 datos preparados'!S861</f>
        <v/>
      </c>
      <c r="U868" s="7">
        <f>'1 datos preparados'!T861</f>
        <v/>
      </c>
      <c r="V868" s="8">
        <f>$AC$12+D868*$AC$13+E868*$AC$14+F868*$AC$15+G868*$AC$16+H868*$AC$17+I868*$AC$18+J868*$AC$19+K868*$AC$20+L868*$AC$21+M868*$AC$22+N868*$AC$23+O868*$AC$24+P868*$AC$25+Q868*$AC$26+R868*$AC$27+S868*$AC$28+T868*$AC$29+U868*$AC$30</f>
        <v/>
      </c>
      <c r="W868" s="8">
        <f>1/(1+EXP(-V868))</f>
        <v/>
      </c>
      <c r="X868" s="9">
        <f>-IF(C868=1,LN(W868),LN(1-W868))</f>
        <v/>
      </c>
      <c r="Y868" s="10">
        <f>IF(W868&gt;$AC$34,1,0)</f>
        <v/>
      </c>
      <c r="Z868">
        <f>IF(Y868=C868,1,0)</f>
        <v/>
      </c>
    </row>
    <row r="869">
      <c r="A869">
        <f>'1 datos preparados'!A862</f>
        <v/>
      </c>
      <c r="B869" s="5">
        <f>'1 datos preparados'!U862</f>
        <v/>
      </c>
      <c r="C869">
        <f>'1 datos preparados'!B862</f>
        <v/>
      </c>
      <c r="D869" s="7">
        <f>'1 datos preparados'!C862</f>
        <v/>
      </c>
      <c r="E869" s="7">
        <f>'1 datos preparados'!D862</f>
        <v/>
      </c>
      <c r="F869" s="7">
        <f>'1 datos preparados'!E862</f>
        <v/>
      </c>
      <c r="G869" s="7">
        <f>'1 datos preparados'!F862</f>
        <v/>
      </c>
      <c r="H869" s="7">
        <f>'1 datos preparados'!G862</f>
        <v/>
      </c>
      <c r="I869" s="7">
        <f>'1 datos preparados'!H862</f>
        <v/>
      </c>
      <c r="J869" s="7">
        <f>'1 datos preparados'!I862</f>
        <v/>
      </c>
      <c r="K869" s="7">
        <f>'1 datos preparados'!J862</f>
        <v/>
      </c>
      <c r="L869" s="7">
        <f>'1 datos preparados'!K862</f>
        <v/>
      </c>
      <c r="M869" s="7">
        <f>'1 datos preparados'!L862</f>
        <v/>
      </c>
      <c r="N869" s="7">
        <f>'1 datos preparados'!M862</f>
        <v/>
      </c>
      <c r="O869" s="7">
        <f>'1 datos preparados'!N862</f>
        <v/>
      </c>
      <c r="P869" s="7">
        <f>'1 datos preparados'!O862</f>
        <v/>
      </c>
      <c r="Q869" s="7">
        <f>'1 datos preparados'!P862</f>
        <v/>
      </c>
      <c r="R869" s="7">
        <f>'1 datos preparados'!Q862</f>
        <v/>
      </c>
      <c r="S869" s="7">
        <f>'1 datos preparados'!R862</f>
        <v/>
      </c>
      <c r="T869" s="7">
        <f>'1 datos preparados'!S862</f>
        <v/>
      </c>
      <c r="U869" s="7">
        <f>'1 datos preparados'!T862</f>
        <v/>
      </c>
      <c r="V869" s="8">
        <f>$AC$12+D869*$AC$13+E869*$AC$14+F869*$AC$15+G869*$AC$16+H869*$AC$17+I869*$AC$18+J869*$AC$19+K869*$AC$20+L869*$AC$21+M869*$AC$22+N869*$AC$23+O869*$AC$24+P869*$AC$25+Q869*$AC$26+R869*$AC$27+S869*$AC$28+T869*$AC$29+U869*$AC$30</f>
        <v/>
      </c>
      <c r="W869" s="8">
        <f>1/(1+EXP(-V869))</f>
        <v/>
      </c>
      <c r="X869" s="9">
        <f>-IF(C869=1,LN(W869),LN(1-W869))</f>
        <v/>
      </c>
      <c r="Y869" s="10">
        <f>IF(W869&gt;$AC$34,1,0)</f>
        <v/>
      </c>
      <c r="Z869">
        <f>IF(Y869=C869,1,0)</f>
        <v/>
      </c>
    </row>
    <row r="870">
      <c r="A870">
        <f>'1 datos preparados'!A863</f>
        <v/>
      </c>
      <c r="B870" s="5">
        <f>'1 datos preparados'!U863</f>
        <v/>
      </c>
      <c r="C870">
        <f>'1 datos preparados'!B863</f>
        <v/>
      </c>
      <c r="D870" s="7">
        <f>'1 datos preparados'!C863</f>
        <v/>
      </c>
      <c r="E870" s="7">
        <f>'1 datos preparados'!D863</f>
        <v/>
      </c>
      <c r="F870" s="7">
        <f>'1 datos preparados'!E863</f>
        <v/>
      </c>
      <c r="G870" s="7">
        <f>'1 datos preparados'!F863</f>
        <v/>
      </c>
      <c r="H870" s="7">
        <f>'1 datos preparados'!G863</f>
        <v/>
      </c>
      <c r="I870" s="7">
        <f>'1 datos preparados'!H863</f>
        <v/>
      </c>
      <c r="J870" s="7">
        <f>'1 datos preparados'!I863</f>
        <v/>
      </c>
      <c r="K870" s="7">
        <f>'1 datos preparados'!J863</f>
        <v/>
      </c>
      <c r="L870" s="7">
        <f>'1 datos preparados'!K863</f>
        <v/>
      </c>
      <c r="M870" s="7">
        <f>'1 datos preparados'!L863</f>
        <v/>
      </c>
      <c r="N870" s="7">
        <f>'1 datos preparados'!M863</f>
        <v/>
      </c>
      <c r="O870" s="7">
        <f>'1 datos preparados'!N863</f>
        <v/>
      </c>
      <c r="P870" s="7">
        <f>'1 datos preparados'!O863</f>
        <v/>
      </c>
      <c r="Q870" s="7">
        <f>'1 datos preparados'!P863</f>
        <v/>
      </c>
      <c r="R870" s="7">
        <f>'1 datos preparados'!Q863</f>
        <v/>
      </c>
      <c r="S870" s="7">
        <f>'1 datos preparados'!R863</f>
        <v/>
      </c>
      <c r="T870" s="7">
        <f>'1 datos preparados'!S863</f>
        <v/>
      </c>
      <c r="U870" s="7">
        <f>'1 datos preparados'!T863</f>
        <v/>
      </c>
      <c r="V870" s="8">
        <f>$AC$12+D870*$AC$13+E870*$AC$14+F870*$AC$15+G870*$AC$16+H870*$AC$17+I870*$AC$18+J870*$AC$19+K870*$AC$20+L870*$AC$21+M870*$AC$22+N870*$AC$23+O870*$AC$24+P870*$AC$25+Q870*$AC$26+R870*$AC$27+S870*$AC$28+T870*$AC$29+U870*$AC$30</f>
        <v/>
      </c>
      <c r="W870" s="8">
        <f>1/(1+EXP(-V870))</f>
        <v/>
      </c>
      <c r="X870" s="9">
        <f>-IF(C870=1,LN(W870),LN(1-W870))</f>
        <v/>
      </c>
      <c r="Y870" s="10">
        <f>IF(W870&gt;$AC$34,1,0)</f>
        <v/>
      </c>
      <c r="Z870">
        <f>IF(Y870=C870,1,0)</f>
        <v/>
      </c>
    </row>
    <row r="871">
      <c r="A871">
        <f>'1 datos preparados'!A864</f>
        <v/>
      </c>
      <c r="B871" s="5">
        <f>'1 datos preparados'!U864</f>
        <v/>
      </c>
      <c r="C871">
        <f>'1 datos preparados'!B864</f>
        <v/>
      </c>
      <c r="D871" s="7">
        <f>'1 datos preparados'!C864</f>
        <v/>
      </c>
      <c r="E871" s="7">
        <f>'1 datos preparados'!D864</f>
        <v/>
      </c>
      <c r="F871" s="7">
        <f>'1 datos preparados'!E864</f>
        <v/>
      </c>
      <c r="G871" s="7">
        <f>'1 datos preparados'!F864</f>
        <v/>
      </c>
      <c r="H871" s="7">
        <f>'1 datos preparados'!G864</f>
        <v/>
      </c>
      <c r="I871" s="7">
        <f>'1 datos preparados'!H864</f>
        <v/>
      </c>
      <c r="J871" s="7">
        <f>'1 datos preparados'!I864</f>
        <v/>
      </c>
      <c r="K871" s="7">
        <f>'1 datos preparados'!J864</f>
        <v/>
      </c>
      <c r="L871" s="7">
        <f>'1 datos preparados'!K864</f>
        <v/>
      </c>
      <c r="M871" s="7">
        <f>'1 datos preparados'!L864</f>
        <v/>
      </c>
      <c r="N871" s="7">
        <f>'1 datos preparados'!M864</f>
        <v/>
      </c>
      <c r="O871" s="7">
        <f>'1 datos preparados'!N864</f>
        <v/>
      </c>
      <c r="P871" s="7">
        <f>'1 datos preparados'!O864</f>
        <v/>
      </c>
      <c r="Q871" s="7">
        <f>'1 datos preparados'!P864</f>
        <v/>
      </c>
      <c r="R871" s="7">
        <f>'1 datos preparados'!Q864</f>
        <v/>
      </c>
      <c r="S871" s="7">
        <f>'1 datos preparados'!R864</f>
        <v/>
      </c>
      <c r="T871" s="7">
        <f>'1 datos preparados'!S864</f>
        <v/>
      </c>
      <c r="U871" s="7">
        <f>'1 datos preparados'!T864</f>
        <v/>
      </c>
      <c r="V871" s="8">
        <f>$AC$12+D871*$AC$13+E871*$AC$14+F871*$AC$15+G871*$AC$16+H871*$AC$17+I871*$AC$18+J871*$AC$19+K871*$AC$20+L871*$AC$21+M871*$AC$22+N871*$AC$23+O871*$AC$24+P871*$AC$25+Q871*$AC$26+R871*$AC$27+S871*$AC$28+T871*$AC$29+U871*$AC$30</f>
        <v/>
      </c>
      <c r="W871" s="8">
        <f>1/(1+EXP(-V871))</f>
        <v/>
      </c>
      <c r="X871" s="9">
        <f>-IF(C871=1,LN(W871),LN(1-W871))</f>
        <v/>
      </c>
      <c r="Y871" s="10">
        <f>IF(W871&gt;$AC$34,1,0)</f>
        <v/>
      </c>
      <c r="Z871">
        <f>IF(Y871=C871,1,0)</f>
        <v/>
      </c>
    </row>
    <row r="872">
      <c r="A872">
        <f>'1 datos preparados'!A865</f>
        <v/>
      </c>
      <c r="B872" s="5">
        <f>'1 datos preparados'!U865</f>
        <v/>
      </c>
      <c r="C872">
        <f>'1 datos preparados'!B865</f>
        <v/>
      </c>
      <c r="D872" s="7">
        <f>'1 datos preparados'!C865</f>
        <v/>
      </c>
      <c r="E872" s="7">
        <f>'1 datos preparados'!D865</f>
        <v/>
      </c>
      <c r="F872" s="7">
        <f>'1 datos preparados'!E865</f>
        <v/>
      </c>
      <c r="G872" s="7">
        <f>'1 datos preparados'!F865</f>
        <v/>
      </c>
      <c r="H872" s="7">
        <f>'1 datos preparados'!G865</f>
        <v/>
      </c>
      <c r="I872" s="7">
        <f>'1 datos preparados'!H865</f>
        <v/>
      </c>
      <c r="J872" s="7">
        <f>'1 datos preparados'!I865</f>
        <v/>
      </c>
      <c r="K872" s="7">
        <f>'1 datos preparados'!J865</f>
        <v/>
      </c>
      <c r="L872" s="7">
        <f>'1 datos preparados'!K865</f>
        <v/>
      </c>
      <c r="M872" s="7">
        <f>'1 datos preparados'!L865</f>
        <v/>
      </c>
      <c r="N872" s="7">
        <f>'1 datos preparados'!M865</f>
        <v/>
      </c>
      <c r="O872" s="7">
        <f>'1 datos preparados'!N865</f>
        <v/>
      </c>
      <c r="P872" s="7">
        <f>'1 datos preparados'!O865</f>
        <v/>
      </c>
      <c r="Q872" s="7">
        <f>'1 datos preparados'!P865</f>
        <v/>
      </c>
      <c r="R872" s="7">
        <f>'1 datos preparados'!Q865</f>
        <v/>
      </c>
      <c r="S872" s="7">
        <f>'1 datos preparados'!R865</f>
        <v/>
      </c>
      <c r="T872" s="7">
        <f>'1 datos preparados'!S865</f>
        <v/>
      </c>
      <c r="U872" s="7">
        <f>'1 datos preparados'!T865</f>
        <v/>
      </c>
      <c r="V872" s="8">
        <f>$AC$12+D872*$AC$13+E872*$AC$14+F872*$AC$15+G872*$AC$16+H872*$AC$17+I872*$AC$18+J872*$AC$19+K872*$AC$20+L872*$AC$21+M872*$AC$22+N872*$AC$23+O872*$AC$24+P872*$AC$25+Q872*$AC$26+R872*$AC$27+S872*$AC$28+T872*$AC$29+U872*$AC$30</f>
        <v/>
      </c>
      <c r="W872" s="8">
        <f>1/(1+EXP(-V872))</f>
        <v/>
      </c>
      <c r="X872" s="9">
        <f>-IF(C872=1,LN(W872),LN(1-W872))</f>
        <v/>
      </c>
      <c r="Y872" s="10">
        <f>IF(W872&gt;$AC$34,1,0)</f>
        <v/>
      </c>
      <c r="Z872">
        <f>IF(Y872=C872,1,0)</f>
        <v/>
      </c>
    </row>
    <row r="873">
      <c r="A873">
        <f>'1 datos preparados'!A866</f>
        <v/>
      </c>
      <c r="B873" s="5">
        <f>'1 datos preparados'!U866</f>
        <v/>
      </c>
      <c r="C873">
        <f>'1 datos preparados'!B866</f>
        <v/>
      </c>
      <c r="D873" s="7">
        <f>'1 datos preparados'!C866</f>
        <v/>
      </c>
      <c r="E873" s="7">
        <f>'1 datos preparados'!D866</f>
        <v/>
      </c>
      <c r="F873" s="7">
        <f>'1 datos preparados'!E866</f>
        <v/>
      </c>
      <c r="G873" s="7">
        <f>'1 datos preparados'!F866</f>
        <v/>
      </c>
      <c r="H873" s="7">
        <f>'1 datos preparados'!G866</f>
        <v/>
      </c>
      <c r="I873" s="7">
        <f>'1 datos preparados'!H866</f>
        <v/>
      </c>
      <c r="J873" s="7">
        <f>'1 datos preparados'!I866</f>
        <v/>
      </c>
      <c r="K873" s="7">
        <f>'1 datos preparados'!J866</f>
        <v/>
      </c>
      <c r="L873" s="7">
        <f>'1 datos preparados'!K866</f>
        <v/>
      </c>
      <c r="M873" s="7">
        <f>'1 datos preparados'!L866</f>
        <v/>
      </c>
      <c r="N873" s="7">
        <f>'1 datos preparados'!M866</f>
        <v/>
      </c>
      <c r="O873" s="7">
        <f>'1 datos preparados'!N866</f>
        <v/>
      </c>
      <c r="P873" s="7">
        <f>'1 datos preparados'!O866</f>
        <v/>
      </c>
      <c r="Q873" s="7">
        <f>'1 datos preparados'!P866</f>
        <v/>
      </c>
      <c r="R873" s="7">
        <f>'1 datos preparados'!Q866</f>
        <v/>
      </c>
      <c r="S873" s="7">
        <f>'1 datos preparados'!R866</f>
        <v/>
      </c>
      <c r="T873" s="7">
        <f>'1 datos preparados'!S866</f>
        <v/>
      </c>
      <c r="U873" s="7">
        <f>'1 datos preparados'!T866</f>
        <v/>
      </c>
      <c r="V873" s="8">
        <f>$AC$12+D873*$AC$13+E873*$AC$14+F873*$AC$15+G873*$AC$16+H873*$AC$17+I873*$AC$18+J873*$AC$19+K873*$AC$20+L873*$AC$21+M873*$AC$22+N873*$AC$23+O873*$AC$24+P873*$AC$25+Q873*$AC$26+R873*$AC$27+S873*$AC$28+T873*$AC$29+U873*$AC$30</f>
        <v/>
      </c>
      <c r="W873" s="8">
        <f>1/(1+EXP(-V873))</f>
        <v/>
      </c>
      <c r="X873" s="9">
        <f>-IF(C873=1,LN(W873),LN(1-W873))</f>
        <v/>
      </c>
      <c r="Y873" s="10">
        <f>IF(W873&gt;$AC$34,1,0)</f>
        <v/>
      </c>
      <c r="Z873">
        <f>IF(Y873=C873,1,0)</f>
        <v/>
      </c>
    </row>
    <row r="874">
      <c r="A874">
        <f>'1 datos preparados'!A867</f>
        <v/>
      </c>
      <c r="B874" s="5">
        <f>'1 datos preparados'!U867</f>
        <v/>
      </c>
      <c r="C874">
        <f>'1 datos preparados'!B867</f>
        <v/>
      </c>
      <c r="D874" s="7">
        <f>'1 datos preparados'!C867</f>
        <v/>
      </c>
      <c r="E874" s="7">
        <f>'1 datos preparados'!D867</f>
        <v/>
      </c>
      <c r="F874" s="7">
        <f>'1 datos preparados'!E867</f>
        <v/>
      </c>
      <c r="G874" s="7">
        <f>'1 datos preparados'!F867</f>
        <v/>
      </c>
      <c r="H874" s="7">
        <f>'1 datos preparados'!G867</f>
        <v/>
      </c>
      <c r="I874" s="7">
        <f>'1 datos preparados'!H867</f>
        <v/>
      </c>
      <c r="J874" s="7">
        <f>'1 datos preparados'!I867</f>
        <v/>
      </c>
      <c r="K874" s="7">
        <f>'1 datos preparados'!J867</f>
        <v/>
      </c>
      <c r="L874" s="7">
        <f>'1 datos preparados'!K867</f>
        <v/>
      </c>
      <c r="M874" s="7">
        <f>'1 datos preparados'!L867</f>
        <v/>
      </c>
      <c r="N874" s="7">
        <f>'1 datos preparados'!M867</f>
        <v/>
      </c>
      <c r="O874" s="7">
        <f>'1 datos preparados'!N867</f>
        <v/>
      </c>
      <c r="P874" s="7">
        <f>'1 datos preparados'!O867</f>
        <v/>
      </c>
      <c r="Q874" s="7">
        <f>'1 datos preparados'!P867</f>
        <v/>
      </c>
      <c r="R874" s="7">
        <f>'1 datos preparados'!Q867</f>
        <v/>
      </c>
      <c r="S874" s="7">
        <f>'1 datos preparados'!R867</f>
        <v/>
      </c>
      <c r="T874" s="7">
        <f>'1 datos preparados'!S867</f>
        <v/>
      </c>
      <c r="U874" s="7">
        <f>'1 datos preparados'!T867</f>
        <v/>
      </c>
      <c r="V874" s="8">
        <f>$AC$12+D874*$AC$13+E874*$AC$14+F874*$AC$15+G874*$AC$16+H874*$AC$17+I874*$AC$18+J874*$AC$19+K874*$AC$20+L874*$AC$21+M874*$AC$22+N874*$AC$23+O874*$AC$24+P874*$AC$25+Q874*$AC$26+R874*$AC$27+S874*$AC$28+T874*$AC$29+U874*$AC$30</f>
        <v/>
      </c>
      <c r="W874" s="8">
        <f>1/(1+EXP(-V874))</f>
        <v/>
      </c>
      <c r="X874" s="9">
        <f>-IF(C874=1,LN(W874),LN(1-W874))</f>
        <v/>
      </c>
      <c r="Y874" s="10">
        <f>IF(W874&gt;$AC$34,1,0)</f>
        <v/>
      </c>
      <c r="Z874">
        <f>IF(Y874=C874,1,0)</f>
        <v/>
      </c>
    </row>
    <row r="875">
      <c r="A875">
        <f>'1 datos preparados'!A868</f>
        <v/>
      </c>
      <c r="B875" s="5">
        <f>'1 datos preparados'!U868</f>
        <v/>
      </c>
      <c r="C875">
        <f>'1 datos preparados'!B868</f>
        <v/>
      </c>
      <c r="D875" s="7">
        <f>'1 datos preparados'!C868</f>
        <v/>
      </c>
      <c r="E875" s="7">
        <f>'1 datos preparados'!D868</f>
        <v/>
      </c>
      <c r="F875" s="7">
        <f>'1 datos preparados'!E868</f>
        <v/>
      </c>
      <c r="G875" s="7">
        <f>'1 datos preparados'!F868</f>
        <v/>
      </c>
      <c r="H875" s="7">
        <f>'1 datos preparados'!G868</f>
        <v/>
      </c>
      <c r="I875" s="7">
        <f>'1 datos preparados'!H868</f>
        <v/>
      </c>
      <c r="J875" s="7">
        <f>'1 datos preparados'!I868</f>
        <v/>
      </c>
      <c r="K875" s="7">
        <f>'1 datos preparados'!J868</f>
        <v/>
      </c>
      <c r="L875" s="7">
        <f>'1 datos preparados'!K868</f>
        <v/>
      </c>
      <c r="M875" s="7">
        <f>'1 datos preparados'!L868</f>
        <v/>
      </c>
      <c r="N875" s="7">
        <f>'1 datos preparados'!M868</f>
        <v/>
      </c>
      <c r="O875" s="7">
        <f>'1 datos preparados'!N868</f>
        <v/>
      </c>
      <c r="P875" s="7">
        <f>'1 datos preparados'!O868</f>
        <v/>
      </c>
      <c r="Q875" s="7">
        <f>'1 datos preparados'!P868</f>
        <v/>
      </c>
      <c r="R875" s="7">
        <f>'1 datos preparados'!Q868</f>
        <v/>
      </c>
      <c r="S875" s="7">
        <f>'1 datos preparados'!R868</f>
        <v/>
      </c>
      <c r="T875" s="7">
        <f>'1 datos preparados'!S868</f>
        <v/>
      </c>
      <c r="U875" s="7">
        <f>'1 datos preparados'!T868</f>
        <v/>
      </c>
      <c r="V875" s="8">
        <f>$AC$12+D875*$AC$13+E875*$AC$14+F875*$AC$15+G875*$AC$16+H875*$AC$17+I875*$AC$18+J875*$AC$19+K875*$AC$20+L875*$AC$21+M875*$AC$22+N875*$AC$23+O875*$AC$24+P875*$AC$25+Q875*$AC$26+R875*$AC$27+S875*$AC$28+T875*$AC$29+U875*$AC$30</f>
        <v/>
      </c>
      <c r="W875" s="8">
        <f>1/(1+EXP(-V875))</f>
        <v/>
      </c>
      <c r="X875" s="9">
        <f>-IF(C875=1,LN(W875),LN(1-W875))</f>
        <v/>
      </c>
      <c r="Y875" s="10">
        <f>IF(W875&gt;$AC$34,1,0)</f>
        <v/>
      </c>
      <c r="Z875">
        <f>IF(Y875=C875,1,0)</f>
        <v/>
      </c>
    </row>
    <row r="876">
      <c r="A876">
        <f>'1 datos preparados'!A869</f>
        <v/>
      </c>
      <c r="B876" s="5">
        <f>'1 datos preparados'!U869</f>
        <v/>
      </c>
      <c r="C876">
        <f>'1 datos preparados'!B869</f>
        <v/>
      </c>
      <c r="D876" s="7">
        <f>'1 datos preparados'!C869</f>
        <v/>
      </c>
      <c r="E876" s="7">
        <f>'1 datos preparados'!D869</f>
        <v/>
      </c>
      <c r="F876" s="7">
        <f>'1 datos preparados'!E869</f>
        <v/>
      </c>
      <c r="G876" s="7">
        <f>'1 datos preparados'!F869</f>
        <v/>
      </c>
      <c r="H876" s="7">
        <f>'1 datos preparados'!G869</f>
        <v/>
      </c>
      <c r="I876" s="7">
        <f>'1 datos preparados'!H869</f>
        <v/>
      </c>
      <c r="J876" s="7">
        <f>'1 datos preparados'!I869</f>
        <v/>
      </c>
      <c r="K876" s="7">
        <f>'1 datos preparados'!J869</f>
        <v/>
      </c>
      <c r="L876" s="7">
        <f>'1 datos preparados'!K869</f>
        <v/>
      </c>
      <c r="M876" s="7">
        <f>'1 datos preparados'!L869</f>
        <v/>
      </c>
      <c r="N876" s="7">
        <f>'1 datos preparados'!M869</f>
        <v/>
      </c>
      <c r="O876" s="7">
        <f>'1 datos preparados'!N869</f>
        <v/>
      </c>
      <c r="P876" s="7">
        <f>'1 datos preparados'!O869</f>
        <v/>
      </c>
      <c r="Q876" s="7">
        <f>'1 datos preparados'!P869</f>
        <v/>
      </c>
      <c r="R876" s="7">
        <f>'1 datos preparados'!Q869</f>
        <v/>
      </c>
      <c r="S876" s="7">
        <f>'1 datos preparados'!R869</f>
        <v/>
      </c>
      <c r="T876" s="7">
        <f>'1 datos preparados'!S869</f>
        <v/>
      </c>
      <c r="U876" s="7">
        <f>'1 datos preparados'!T869</f>
        <v/>
      </c>
      <c r="V876" s="8">
        <f>$AC$12+D876*$AC$13+E876*$AC$14+F876*$AC$15+G876*$AC$16+H876*$AC$17+I876*$AC$18+J876*$AC$19+K876*$AC$20+L876*$AC$21+M876*$AC$22+N876*$AC$23+O876*$AC$24+P876*$AC$25+Q876*$AC$26+R876*$AC$27+S876*$AC$28+T876*$AC$29+U876*$AC$30</f>
        <v/>
      </c>
      <c r="W876" s="8">
        <f>1/(1+EXP(-V876))</f>
        <v/>
      </c>
      <c r="X876" s="9">
        <f>-IF(C876=1,LN(W876),LN(1-W876))</f>
        <v/>
      </c>
      <c r="Y876" s="10">
        <f>IF(W876&gt;$AC$34,1,0)</f>
        <v/>
      </c>
      <c r="Z876">
        <f>IF(Y876=C876,1,0)</f>
        <v/>
      </c>
    </row>
    <row r="877">
      <c r="A877">
        <f>'1 datos preparados'!A870</f>
        <v/>
      </c>
      <c r="B877" s="5">
        <f>'1 datos preparados'!U870</f>
        <v/>
      </c>
      <c r="C877">
        <f>'1 datos preparados'!B870</f>
        <v/>
      </c>
      <c r="D877" s="7">
        <f>'1 datos preparados'!C870</f>
        <v/>
      </c>
      <c r="E877" s="7">
        <f>'1 datos preparados'!D870</f>
        <v/>
      </c>
      <c r="F877" s="7">
        <f>'1 datos preparados'!E870</f>
        <v/>
      </c>
      <c r="G877" s="7">
        <f>'1 datos preparados'!F870</f>
        <v/>
      </c>
      <c r="H877" s="7">
        <f>'1 datos preparados'!G870</f>
        <v/>
      </c>
      <c r="I877" s="7">
        <f>'1 datos preparados'!H870</f>
        <v/>
      </c>
      <c r="J877" s="7">
        <f>'1 datos preparados'!I870</f>
        <v/>
      </c>
      <c r="K877" s="7">
        <f>'1 datos preparados'!J870</f>
        <v/>
      </c>
      <c r="L877" s="7">
        <f>'1 datos preparados'!K870</f>
        <v/>
      </c>
      <c r="M877" s="7">
        <f>'1 datos preparados'!L870</f>
        <v/>
      </c>
      <c r="N877" s="7">
        <f>'1 datos preparados'!M870</f>
        <v/>
      </c>
      <c r="O877" s="7">
        <f>'1 datos preparados'!N870</f>
        <v/>
      </c>
      <c r="P877" s="7">
        <f>'1 datos preparados'!O870</f>
        <v/>
      </c>
      <c r="Q877" s="7">
        <f>'1 datos preparados'!P870</f>
        <v/>
      </c>
      <c r="R877" s="7">
        <f>'1 datos preparados'!Q870</f>
        <v/>
      </c>
      <c r="S877" s="7">
        <f>'1 datos preparados'!R870</f>
        <v/>
      </c>
      <c r="T877" s="7">
        <f>'1 datos preparados'!S870</f>
        <v/>
      </c>
      <c r="U877" s="7">
        <f>'1 datos preparados'!T870</f>
        <v/>
      </c>
      <c r="V877" s="8">
        <f>$AC$12+D877*$AC$13+E877*$AC$14+F877*$AC$15+G877*$AC$16+H877*$AC$17+I877*$AC$18+J877*$AC$19+K877*$AC$20+L877*$AC$21+M877*$AC$22+N877*$AC$23+O877*$AC$24+P877*$AC$25+Q877*$AC$26+R877*$AC$27+S877*$AC$28+T877*$AC$29+U877*$AC$30</f>
        <v/>
      </c>
      <c r="W877" s="8">
        <f>1/(1+EXP(-V877))</f>
        <v/>
      </c>
      <c r="X877" s="9">
        <f>-IF(C877=1,LN(W877),LN(1-W877))</f>
        <v/>
      </c>
      <c r="Y877" s="10">
        <f>IF(W877&gt;$AC$34,1,0)</f>
        <v/>
      </c>
      <c r="Z877">
        <f>IF(Y877=C877,1,0)</f>
        <v/>
      </c>
    </row>
    <row r="878">
      <c r="A878">
        <f>'1 datos preparados'!A871</f>
        <v/>
      </c>
      <c r="B878" s="5">
        <f>'1 datos preparados'!U871</f>
        <v/>
      </c>
      <c r="C878">
        <f>'1 datos preparados'!B871</f>
        <v/>
      </c>
      <c r="D878" s="7">
        <f>'1 datos preparados'!C871</f>
        <v/>
      </c>
      <c r="E878" s="7">
        <f>'1 datos preparados'!D871</f>
        <v/>
      </c>
      <c r="F878" s="7">
        <f>'1 datos preparados'!E871</f>
        <v/>
      </c>
      <c r="G878" s="7">
        <f>'1 datos preparados'!F871</f>
        <v/>
      </c>
      <c r="H878" s="7">
        <f>'1 datos preparados'!G871</f>
        <v/>
      </c>
      <c r="I878" s="7">
        <f>'1 datos preparados'!H871</f>
        <v/>
      </c>
      <c r="J878" s="7">
        <f>'1 datos preparados'!I871</f>
        <v/>
      </c>
      <c r="K878" s="7">
        <f>'1 datos preparados'!J871</f>
        <v/>
      </c>
      <c r="L878" s="7">
        <f>'1 datos preparados'!K871</f>
        <v/>
      </c>
      <c r="M878" s="7">
        <f>'1 datos preparados'!L871</f>
        <v/>
      </c>
      <c r="N878" s="7">
        <f>'1 datos preparados'!M871</f>
        <v/>
      </c>
      <c r="O878" s="7">
        <f>'1 datos preparados'!N871</f>
        <v/>
      </c>
      <c r="P878" s="7">
        <f>'1 datos preparados'!O871</f>
        <v/>
      </c>
      <c r="Q878" s="7">
        <f>'1 datos preparados'!P871</f>
        <v/>
      </c>
      <c r="R878" s="7">
        <f>'1 datos preparados'!Q871</f>
        <v/>
      </c>
      <c r="S878" s="7">
        <f>'1 datos preparados'!R871</f>
        <v/>
      </c>
      <c r="T878" s="7">
        <f>'1 datos preparados'!S871</f>
        <v/>
      </c>
      <c r="U878" s="7">
        <f>'1 datos preparados'!T871</f>
        <v/>
      </c>
      <c r="V878" s="8">
        <f>$AC$12+D878*$AC$13+E878*$AC$14+F878*$AC$15+G878*$AC$16+H878*$AC$17+I878*$AC$18+J878*$AC$19+K878*$AC$20+L878*$AC$21+M878*$AC$22+N878*$AC$23+O878*$AC$24+P878*$AC$25+Q878*$AC$26+R878*$AC$27+S878*$AC$28+T878*$AC$29+U878*$AC$30</f>
        <v/>
      </c>
      <c r="W878" s="8">
        <f>1/(1+EXP(-V878))</f>
        <v/>
      </c>
      <c r="X878" s="9">
        <f>-IF(C878=1,LN(W878),LN(1-W878))</f>
        <v/>
      </c>
      <c r="Y878" s="10">
        <f>IF(W878&gt;$AC$34,1,0)</f>
        <v/>
      </c>
      <c r="Z878">
        <f>IF(Y878=C878,1,0)</f>
        <v/>
      </c>
    </row>
    <row r="879">
      <c r="A879">
        <f>'1 datos preparados'!A872</f>
        <v/>
      </c>
      <c r="B879" s="5">
        <f>'1 datos preparados'!U872</f>
        <v/>
      </c>
      <c r="C879">
        <f>'1 datos preparados'!B872</f>
        <v/>
      </c>
      <c r="D879" s="7">
        <f>'1 datos preparados'!C872</f>
        <v/>
      </c>
      <c r="E879" s="7">
        <f>'1 datos preparados'!D872</f>
        <v/>
      </c>
      <c r="F879" s="7">
        <f>'1 datos preparados'!E872</f>
        <v/>
      </c>
      <c r="G879" s="7">
        <f>'1 datos preparados'!F872</f>
        <v/>
      </c>
      <c r="H879" s="7">
        <f>'1 datos preparados'!G872</f>
        <v/>
      </c>
      <c r="I879" s="7">
        <f>'1 datos preparados'!H872</f>
        <v/>
      </c>
      <c r="J879" s="7">
        <f>'1 datos preparados'!I872</f>
        <v/>
      </c>
      <c r="K879" s="7">
        <f>'1 datos preparados'!J872</f>
        <v/>
      </c>
      <c r="L879" s="7">
        <f>'1 datos preparados'!K872</f>
        <v/>
      </c>
      <c r="M879" s="7">
        <f>'1 datos preparados'!L872</f>
        <v/>
      </c>
      <c r="N879" s="7">
        <f>'1 datos preparados'!M872</f>
        <v/>
      </c>
      <c r="O879" s="7">
        <f>'1 datos preparados'!N872</f>
        <v/>
      </c>
      <c r="P879" s="7">
        <f>'1 datos preparados'!O872</f>
        <v/>
      </c>
      <c r="Q879" s="7">
        <f>'1 datos preparados'!P872</f>
        <v/>
      </c>
      <c r="R879" s="7">
        <f>'1 datos preparados'!Q872</f>
        <v/>
      </c>
      <c r="S879" s="7">
        <f>'1 datos preparados'!R872</f>
        <v/>
      </c>
      <c r="T879" s="7">
        <f>'1 datos preparados'!S872</f>
        <v/>
      </c>
      <c r="U879" s="7">
        <f>'1 datos preparados'!T872</f>
        <v/>
      </c>
      <c r="V879" s="8">
        <f>$AC$12+D879*$AC$13+E879*$AC$14+F879*$AC$15+G879*$AC$16+H879*$AC$17+I879*$AC$18+J879*$AC$19+K879*$AC$20+L879*$AC$21+M879*$AC$22+N879*$AC$23+O879*$AC$24+P879*$AC$25+Q879*$AC$26+R879*$AC$27+S879*$AC$28+T879*$AC$29+U879*$AC$30</f>
        <v/>
      </c>
      <c r="W879" s="8">
        <f>1/(1+EXP(-V879))</f>
        <v/>
      </c>
      <c r="X879" s="9">
        <f>-IF(C879=1,LN(W879),LN(1-W879))</f>
        <v/>
      </c>
      <c r="Y879" s="10">
        <f>IF(W879&gt;$AC$34,1,0)</f>
        <v/>
      </c>
      <c r="Z879">
        <f>IF(Y879=C879,1,0)</f>
        <v/>
      </c>
    </row>
    <row r="880">
      <c r="A880">
        <f>'1 datos preparados'!A873</f>
        <v/>
      </c>
      <c r="B880" s="5">
        <f>'1 datos preparados'!U873</f>
        <v/>
      </c>
      <c r="C880">
        <f>'1 datos preparados'!B873</f>
        <v/>
      </c>
      <c r="D880" s="7">
        <f>'1 datos preparados'!C873</f>
        <v/>
      </c>
      <c r="E880" s="7">
        <f>'1 datos preparados'!D873</f>
        <v/>
      </c>
      <c r="F880" s="7">
        <f>'1 datos preparados'!E873</f>
        <v/>
      </c>
      <c r="G880" s="7">
        <f>'1 datos preparados'!F873</f>
        <v/>
      </c>
      <c r="H880" s="7">
        <f>'1 datos preparados'!G873</f>
        <v/>
      </c>
      <c r="I880" s="7">
        <f>'1 datos preparados'!H873</f>
        <v/>
      </c>
      <c r="J880" s="7">
        <f>'1 datos preparados'!I873</f>
        <v/>
      </c>
      <c r="K880" s="7">
        <f>'1 datos preparados'!J873</f>
        <v/>
      </c>
      <c r="L880" s="7">
        <f>'1 datos preparados'!K873</f>
        <v/>
      </c>
      <c r="M880" s="7">
        <f>'1 datos preparados'!L873</f>
        <v/>
      </c>
      <c r="N880" s="7">
        <f>'1 datos preparados'!M873</f>
        <v/>
      </c>
      <c r="O880" s="7">
        <f>'1 datos preparados'!N873</f>
        <v/>
      </c>
      <c r="P880" s="7">
        <f>'1 datos preparados'!O873</f>
        <v/>
      </c>
      <c r="Q880" s="7">
        <f>'1 datos preparados'!P873</f>
        <v/>
      </c>
      <c r="R880" s="7">
        <f>'1 datos preparados'!Q873</f>
        <v/>
      </c>
      <c r="S880" s="7">
        <f>'1 datos preparados'!R873</f>
        <v/>
      </c>
      <c r="T880" s="7">
        <f>'1 datos preparados'!S873</f>
        <v/>
      </c>
      <c r="U880" s="7">
        <f>'1 datos preparados'!T873</f>
        <v/>
      </c>
      <c r="V880" s="8">
        <f>$AC$12+D880*$AC$13+E880*$AC$14+F880*$AC$15+G880*$AC$16+H880*$AC$17+I880*$AC$18+J880*$AC$19+K880*$AC$20+L880*$AC$21+M880*$AC$22+N880*$AC$23+O880*$AC$24+P880*$AC$25+Q880*$AC$26+R880*$AC$27+S880*$AC$28+T880*$AC$29+U880*$AC$30</f>
        <v/>
      </c>
      <c r="W880" s="8">
        <f>1/(1+EXP(-V880))</f>
        <v/>
      </c>
      <c r="X880" s="9">
        <f>-IF(C880=1,LN(W880),LN(1-W880))</f>
        <v/>
      </c>
      <c r="Y880" s="10">
        <f>IF(W880&gt;$AC$34,1,0)</f>
        <v/>
      </c>
      <c r="Z880">
        <f>IF(Y880=C880,1,0)</f>
        <v/>
      </c>
    </row>
    <row r="881">
      <c r="A881">
        <f>'1 datos preparados'!A874</f>
        <v/>
      </c>
      <c r="B881" s="5">
        <f>'1 datos preparados'!U874</f>
        <v/>
      </c>
      <c r="C881">
        <f>'1 datos preparados'!B874</f>
        <v/>
      </c>
      <c r="D881" s="7">
        <f>'1 datos preparados'!C874</f>
        <v/>
      </c>
      <c r="E881" s="7">
        <f>'1 datos preparados'!D874</f>
        <v/>
      </c>
      <c r="F881" s="7">
        <f>'1 datos preparados'!E874</f>
        <v/>
      </c>
      <c r="G881" s="7">
        <f>'1 datos preparados'!F874</f>
        <v/>
      </c>
      <c r="H881" s="7">
        <f>'1 datos preparados'!G874</f>
        <v/>
      </c>
      <c r="I881" s="7">
        <f>'1 datos preparados'!H874</f>
        <v/>
      </c>
      <c r="J881" s="7">
        <f>'1 datos preparados'!I874</f>
        <v/>
      </c>
      <c r="K881" s="7">
        <f>'1 datos preparados'!J874</f>
        <v/>
      </c>
      <c r="L881" s="7">
        <f>'1 datos preparados'!K874</f>
        <v/>
      </c>
      <c r="M881" s="7">
        <f>'1 datos preparados'!L874</f>
        <v/>
      </c>
      <c r="N881" s="7">
        <f>'1 datos preparados'!M874</f>
        <v/>
      </c>
      <c r="O881" s="7">
        <f>'1 datos preparados'!N874</f>
        <v/>
      </c>
      <c r="P881" s="7">
        <f>'1 datos preparados'!O874</f>
        <v/>
      </c>
      <c r="Q881" s="7">
        <f>'1 datos preparados'!P874</f>
        <v/>
      </c>
      <c r="R881" s="7">
        <f>'1 datos preparados'!Q874</f>
        <v/>
      </c>
      <c r="S881" s="7">
        <f>'1 datos preparados'!R874</f>
        <v/>
      </c>
      <c r="T881" s="7">
        <f>'1 datos preparados'!S874</f>
        <v/>
      </c>
      <c r="U881" s="7">
        <f>'1 datos preparados'!T874</f>
        <v/>
      </c>
      <c r="V881" s="8">
        <f>$AC$12+D881*$AC$13+E881*$AC$14+F881*$AC$15+G881*$AC$16+H881*$AC$17+I881*$AC$18+J881*$AC$19+K881*$AC$20+L881*$AC$21+M881*$AC$22+N881*$AC$23+O881*$AC$24+P881*$AC$25+Q881*$AC$26+R881*$AC$27+S881*$AC$28+T881*$AC$29+U881*$AC$30</f>
        <v/>
      </c>
      <c r="W881" s="8">
        <f>1/(1+EXP(-V881))</f>
        <v/>
      </c>
      <c r="X881" s="9">
        <f>-IF(C881=1,LN(W881),LN(1-W881))</f>
        <v/>
      </c>
      <c r="Y881" s="10">
        <f>IF(W881&gt;$AC$34,1,0)</f>
        <v/>
      </c>
      <c r="Z881">
        <f>IF(Y881=C881,1,0)</f>
        <v/>
      </c>
    </row>
    <row r="882">
      <c r="A882">
        <f>'1 datos preparados'!A875</f>
        <v/>
      </c>
      <c r="B882" s="5">
        <f>'1 datos preparados'!U875</f>
        <v/>
      </c>
      <c r="C882">
        <f>'1 datos preparados'!B875</f>
        <v/>
      </c>
      <c r="D882" s="7">
        <f>'1 datos preparados'!C875</f>
        <v/>
      </c>
      <c r="E882" s="7">
        <f>'1 datos preparados'!D875</f>
        <v/>
      </c>
      <c r="F882" s="7">
        <f>'1 datos preparados'!E875</f>
        <v/>
      </c>
      <c r="G882" s="7">
        <f>'1 datos preparados'!F875</f>
        <v/>
      </c>
      <c r="H882" s="7">
        <f>'1 datos preparados'!G875</f>
        <v/>
      </c>
      <c r="I882" s="7">
        <f>'1 datos preparados'!H875</f>
        <v/>
      </c>
      <c r="J882" s="7">
        <f>'1 datos preparados'!I875</f>
        <v/>
      </c>
      <c r="K882" s="7">
        <f>'1 datos preparados'!J875</f>
        <v/>
      </c>
      <c r="L882" s="7">
        <f>'1 datos preparados'!K875</f>
        <v/>
      </c>
      <c r="M882" s="7">
        <f>'1 datos preparados'!L875</f>
        <v/>
      </c>
      <c r="N882" s="7">
        <f>'1 datos preparados'!M875</f>
        <v/>
      </c>
      <c r="O882" s="7">
        <f>'1 datos preparados'!N875</f>
        <v/>
      </c>
      <c r="P882" s="7">
        <f>'1 datos preparados'!O875</f>
        <v/>
      </c>
      <c r="Q882" s="7">
        <f>'1 datos preparados'!P875</f>
        <v/>
      </c>
      <c r="R882" s="7">
        <f>'1 datos preparados'!Q875</f>
        <v/>
      </c>
      <c r="S882" s="7">
        <f>'1 datos preparados'!R875</f>
        <v/>
      </c>
      <c r="T882" s="7">
        <f>'1 datos preparados'!S875</f>
        <v/>
      </c>
      <c r="U882" s="7">
        <f>'1 datos preparados'!T875</f>
        <v/>
      </c>
      <c r="V882" s="8">
        <f>$AC$12+D882*$AC$13+E882*$AC$14+F882*$AC$15+G882*$AC$16+H882*$AC$17+I882*$AC$18+J882*$AC$19+K882*$AC$20+L882*$AC$21+M882*$AC$22+N882*$AC$23+O882*$AC$24+P882*$AC$25+Q882*$AC$26+R882*$AC$27+S882*$AC$28+T882*$AC$29+U882*$AC$30</f>
        <v/>
      </c>
      <c r="W882" s="8">
        <f>1/(1+EXP(-V882))</f>
        <v/>
      </c>
      <c r="X882" s="9">
        <f>-IF(C882=1,LN(W882),LN(1-W882))</f>
        <v/>
      </c>
      <c r="Y882" s="10">
        <f>IF(W882&gt;$AC$34,1,0)</f>
        <v/>
      </c>
      <c r="Z882">
        <f>IF(Y882=C882,1,0)</f>
        <v/>
      </c>
    </row>
    <row r="883">
      <c r="A883">
        <f>'1 datos preparados'!A876</f>
        <v/>
      </c>
      <c r="B883" s="5">
        <f>'1 datos preparados'!U876</f>
        <v/>
      </c>
      <c r="C883">
        <f>'1 datos preparados'!B876</f>
        <v/>
      </c>
      <c r="D883" s="7">
        <f>'1 datos preparados'!C876</f>
        <v/>
      </c>
      <c r="E883" s="7">
        <f>'1 datos preparados'!D876</f>
        <v/>
      </c>
      <c r="F883" s="7">
        <f>'1 datos preparados'!E876</f>
        <v/>
      </c>
      <c r="G883" s="7">
        <f>'1 datos preparados'!F876</f>
        <v/>
      </c>
      <c r="H883" s="7">
        <f>'1 datos preparados'!G876</f>
        <v/>
      </c>
      <c r="I883" s="7">
        <f>'1 datos preparados'!H876</f>
        <v/>
      </c>
      <c r="J883" s="7">
        <f>'1 datos preparados'!I876</f>
        <v/>
      </c>
      <c r="K883" s="7">
        <f>'1 datos preparados'!J876</f>
        <v/>
      </c>
      <c r="L883" s="7">
        <f>'1 datos preparados'!K876</f>
        <v/>
      </c>
      <c r="M883" s="7">
        <f>'1 datos preparados'!L876</f>
        <v/>
      </c>
      <c r="N883" s="7">
        <f>'1 datos preparados'!M876</f>
        <v/>
      </c>
      <c r="O883" s="7">
        <f>'1 datos preparados'!N876</f>
        <v/>
      </c>
      <c r="P883" s="7">
        <f>'1 datos preparados'!O876</f>
        <v/>
      </c>
      <c r="Q883" s="7">
        <f>'1 datos preparados'!P876</f>
        <v/>
      </c>
      <c r="R883" s="7">
        <f>'1 datos preparados'!Q876</f>
        <v/>
      </c>
      <c r="S883" s="7">
        <f>'1 datos preparados'!R876</f>
        <v/>
      </c>
      <c r="T883" s="7">
        <f>'1 datos preparados'!S876</f>
        <v/>
      </c>
      <c r="U883" s="7">
        <f>'1 datos preparados'!T876</f>
        <v/>
      </c>
      <c r="V883" s="8">
        <f>$AC$12+D883*$AC$13+E883*$AC$14+F883*$AC$15+G883*$AC$16+H883*$AC$17+I883*$AC$18+J883*$AC$19+K883*$AC$20+L883*$AC$21+M883*$AC$22+N883*$AC$23+O883*$AC$24+P883*$AC$25+Q883*$AC$26+R883*$AC$27+S883*$AC$28+T883*$AC$29+U883*$AC$30</f>
        <v/>
      </c>
      <c r="W883" s="8">
        <f>1/(1+EXP(-V883))</f>
        <v/>
      </c>
      <c r="X883" s="9">
        <f>-IF(C883=1,LN(W883),LN(1-W883))</f>
        <v/>
      </c>
      <c r="Y883" s="10">
        <f>IF(W883&gt;$AC$34,1,0)</f>
        <v/>
      </c>
      <c r="Z883">
        <f>IF(Y883=C883,1,0)</f>
        <v/>
      </c>
    </row>
    <row r="884">
      <c r="A884">
        <f>'1 datos preparados'!A877</f>
        <v/>
      </c>
      <c r="B884" s="5">
        <f>'1 datos preparados'!U877</f>
        <v/>
      </c>
      <c r="C884">
        <f>'1 datos preparados'!B877</f>
        <v/>
      </c>
      <c r="D884" s="7">
        <f>'1 datos preparados'!C877</f>
        <v/>
      </c>
      <c r="E884" s="7">
        <f>'1 datos preparados'!D877</f>
        <v/>
      </c>
      <c r="F884" s="7">
        <f>'1 datos preparados'!E877</f>
        <v/>
      </c>
      <c r="G884" s="7">
        <f>'1 datos preparados'!F877</f>
        <v/>
      </c>
      <c r="H884" s="7">
        <f>'1 datos preparados'!G877</f>
        <v/>
      </c>
      <c r="I884" s="7">
        <f>'1 datos preparados'!H877</f>
        <v/>
      </c>
      <c r="J884" s="7">
        <f>'1 datos preparados'!I877</f>
        <v/>
      </c>
      <c r="K884" s="7">
        <f>'1 datos preparados'!J877</f>
        <v/>
      </c>
      <c r="L884" s="7">
        <f>'1 datos preparados'!K877</f>
        <v/>
      </c>
      <c r="M884" s="7">
        <f>'1 datos preparados'!L877</f>
        <v/>
      </c>
      <c r="N884" s="7">
        <f>'1 datos preparados'!M877</f>
        <v/>
      </c>
      <c r="O884" s="7">
        <f>'1 datos preparados'!N877</f>
        <v/>
      </c>
      <c r="P884" s="7">
        <f>'1 datos preparados'!O877</f>
        <v/>
      </c>
      <c r="Q884" s="7">
        <f>'1 datos preparados'!P877</f>
        <v/>
      </c>
      <c r="R884" s="7">
        <f>'1 datos preparados'!Q877</f>
        <v/>
      </c>
      <c r="S884" s="7">
        <f>'1 datos preparados'!R877</f>
        <v/>
      </c>
      <c r="T884" s="7">
        <f>'1 datos preparados'!S877</f>
        <v/>
      </c>
      <c r="U884" s="7">
        <f>'1 datos preparados'!T877</f>
        <v/>
      </c>
      <c r="V884" s="8">
        <f>$AC$12+D884*$AC$13+E884*$AC$14+F884*$AC$15+G884*$AC$16+H884*$AC$17+I884*$AC$18+J884*$AC$19+K884*$AC$20+L884*$AC$21+M884*$AC$22+N884*$AC$23+O884*$AC$24+P884*$AC$25+Q884*$AC$26+R884*$AC$27+S884*$AC$28+T884*$AC$29+U884*$AC$30</f>
        <v/>
      </c>
      <c r="W884" s="8">
        <f>1/(1+EXP(-V884))</f>
        <v/>
      </c>
      <c r="X884" s="9">
        <f>-IF(C884=1,LN(W884),LN(1-W884))</f>
        <v/>
      </c>
      <c r="Y884" s="10">
        <f>IF(W884&gt;$AC$34,1,0)</f>
        <v/>
      </c>
      <c r="Z884">
        <f>IF(Y884=C884,1,0)</f>
        <v/>
      </c>
    </row>
    <row r="885">
      <c r="A885">
        <f>'1 datos preparados'!A878</f>
        <v/>
      </c>
      <c r="B885" s="5">
        <f>'1 datos preparados'!U878</f>
        <v/>
      </c>
      <c r="C885">
        <f>'1 datos preparados'!B878</f>
        <v/>
      </c>
      <c r="D885" s="7">
        <f>'1 datos preparados'!C878</f>
        <v/>
      </c>
      <c r="E885" s="7">
        <f>'1 datos preparados'!D878</f>
        <v/>
      </c>
      <c r="F885" s="7">
        <f>'1 datos preparados'!E878</f>
        <v/>
      </c>
      <c r="G885" s="7">
        <f>'1 datos preparados'!F878</f>
        <v/>
      </c>
      <c r="H885" s="7">
        <f>'1 datos preparados'!G878</f>
        <v/>
      </c>
      <c r="I885" s="7">
        <f>'1 datos preparados'!H878</f>
        <v/>
      </c>
      <c r="J885" s="7">
        <f>'1 datos preparados'!I878</f>
        <v/>
      </c>
      <c r="K885" s="7">
        <f>'1 datos preparados'!J878</f>
        <v/>
      </c>
      <c r="L885" s="7">
        <f>'1 datos preparados'!K878</f>
        <v/>
      </c>
      <c r="M885" s="7">
        <f>'1 datos preparados'!L878</f>
        <v/>
      </c>
      <c r="N885" s="7">
        <f>'1 datos preparados'!M878</f>
        <v/>
      </c>
      <c r="O885" s="7">
        <f>'1 datos preparados'!N878</f>
        <v/>
      </c>
      <c r="P885" s="7">
        <f>'1 datos preparados'!O878</f>
        <v/>
      </c>
      <c r="Q885" s="7">
        <f>'1 datos preparados'!P878</f>
        <v/>
      </c>
      <c r="R885" s="7">
        <f>'1 datos preparados'!Q878</f>
        <v/>
      </c>
      <c r="S885" s="7">
        <f>'1 datos preparados'!R878</f>
        <v/>
      </c>
      <c r="T885" s="7">
        <f>'1 datos preparados'!S878</f>
        <v/>
      </c>
      <c r="U885" s="7">
        <f>'1 datos preparados'!T878</f>
        <v/>
      </c>
      <c r="V885" s="8">
        <f>$AC$12+D885*$AC$13+E885*$AC$14+F885*$AC$15+G885*$AC$16+H885*$AC$17+I885*$AC$18+J885*$AC$19+K885*$AC$20+L885*$AC$21+M885*$AC$22+N885*$AC$23+O885*$AC$24+P885*$AC$25+Q885*$AC$26+R885*$AC$27+S885*$AC$28+T885*$AC$29+U885*$AC$30</f>
        <v/>
      </c>
      <c r="W885" s="8">
        <f>1/(1+EXP(-V885))</f>
        <v/>
      </c>
      <c r="X885" s="9">
        <f>-IF(C885=1,LN(W885),LN(1-W885))</f>
        <v/>
      </c>
      <c r="Y885" s="10">
        <f>IF(W885&gt;$AC$34,1,0)</f>
        <v/>
      </c>
      <c r="Z885">
        <f>IF(Y885=C885,1,0)</f>
        <v/>
      </c>
    </row>
    <row r="886">
      <c r="A886">
        <f>'1 datos preparados'!A879</f>
        <v/>
      </c>
      <c r="B886" s="5">
        <f>'1 datos preparados'!U879</f>
        <v/>
      </c>
      <c r="C886">
        <f>'1 datos preparados'!B879</f>
        <v/>
      </c>
      <c r="D886" s="7">
        <f>'1 datos preparados'!C879</f>
        <v/>
      </c>
      <c r="E886" s="7">
        <f>'1 datos preparados'!D879</f>
        <v/>
      </c>
      <c r="F886" s="7">
        <f>'1 datos preparados'!E879</f>
        <v/>
      </c>
      <c r="G886" s="7">
        <f>'1 datos preparados'!F879</f>
        <v/>
      </c>
      <c r="H886" s="7">
        <f>'1 datos preparados'!G879</f>
        <v/>
      </c>
      <c r="I886" s="7">
        <f>'1 datos preparados'!H879</f>
        <v/>
      </c>
      <c r="J886" s="7">
        <f>'1 datos preparados'!I879</f>
        <v/>
      </c>
      <c r="K886" s="7">
        <f>'1 datos preparados'!J879</f>
        <v/>
      </c>
      <c r="L886" s="7">
        <f>'1 datos preparados'!K879</f>
        <v/>
      </c>
      <c r="M886" s="7">
        <f>'1 datos preparados'!L879</f>
        <v/>
      </c>
      <c r="N886" s="7">
        <f>'1 datos preparados'!M879</f>
        <v/>
      </c>
      <c r="O886" s="7">
        <f>'1 datos preparados'!N879</f>
        <v/>
      </c>
      <c r="P886" s="7">
        <f>'1 datos preparados'!O879</f>
        <v/>
      </c>
      <c r="Q886" s="7">
        <f>'1 datos preparados'!P879</f>
        <v/>
      </c>
      <c r="R886" s="7">
        <f>'1 datos preparados'!Q879</f>
        <v/>
      </c>
      <c r="S886" s="7">
        <f>'1 datos preparados'!R879</f>
        <v/>
      </c>
      <c r="T886" s="7">
        <f>'1 datos preparados'!S879</f>
        <v/>
      </c>
      <c r="U886" s="7">
        <f>'1 datos preparados'!T879</f>
        <v/>
      </c>
      <c r="V886" s="8">
        <f>$AC$12+D886*$AC$13+E886*$AC$14+F886*$AC$15+G886*$AC$16+H886*$AC$17+I886*$AC$18+J886*$AC$19+K886*$AC$20+L886*$AC$21+M886*$AC$22+N886*$AC$23+O886*$AC$24+P886*$AC$25+Q886*$AC$26+R886*$AC$27+S886*$AC$28+T886*$AC$29+U886*$AC$30</f>
        <v/>
      </c>
      <c r="W886" s="8">
        <f>1/(1+EXP(-V886))</f>
        <v/>
      </c>
      <c r="X886" s="9">
        <f>-IF(C886=1,LN(W886),LN(1-W886))</f>
        <v/>
      </c>
      <c r="Y886" s="10">
        <f>IF(W886&gt;$AC$34,1,0)</f>
        <v/>
      </c>
      <c r="Z886">
        <f>IF(Y886=C886,1,0)</f>
        <v/>
      </c>
    </row>
    <row r="887">
      <c r="A887">
        <f>'1 datos preparados'!A880</f>
        <v/>
      </c>
      <c r="B887" s="5">
        <f>'1 datos preparados'!U880</f>
        <v/>
      </c>
      <c r="C887">
        <f>'1 datos preparados'!B880</f>
        <v/>
      </c>
      <c r="D887" s="7">
        <f>'1 datos preparados'!C880</f>
        <v/>
      </c>
      <c r="E887" s="7">
        <f>'1 datos preparados'!D880</f>
        <v/>
      </c>
      <c r="F887" s="7">
        <f>'1 datos preparados'!E880</f>
        <v/>
      </c>
      <c r="G887" s="7">
        <f>'1 datos preparados'!F880</f>
        <v/>
      </c>
      <c r="H887" s="7">
        <f>'1 datos preparados'!G880</f>
        <v/>
      </c>
      <c r="I887" s="7">
        <f>'1 datos preparados'!H880</f>
        <v/>
      </c>
      <c r="J887" s="7">
        <f>'1 datos preparados'!I880</f>
        <v/>
      </c>
      <c r="K887" s="7">
        <f>'1 datos preparados'!J880</f>
        <v/>
      </c>
      <c r="L887" s="7">
        <f>'1 datos preparados'!K880</f>
        <v/>
      </c>
      <c r="M887" s="7">
        <f>'1 datos preparados'!L880</f>
        <v/>
      </c>
      <c r="N887" s="7">
        <f>'1 datos preparados'!M880</f>
        <v/>
      </c>
      <c r="O887" s="7">
        <f>'1 datos preparados'!N880</f>
        <v/>
      </c>
      <c r="P887" s="7">
        <f>'1 datos preparados'!O880</f>
        <v/>
      </c>
      <c r="Q887" s="7">
        <f>'1 datos preparados'!P880</f>
        <v/>
      </c>
      <c r="R887" s="7">
        <f>'1 datos preparados'!Q880</f>
        <v/>
      </c>
      <c r="S887" s="7">
        <f>'1 datos preparados'!R880</f>
        <v/>
      </c>
      <c r="T887" s="7">
        <f>'1 datos preparados'!S880</f>
        <v/>
      </c>
      <c r="U887" s="7">
        <f>'1 datos preparados'!T880</f>
        <v/>
      </c>
      <c r="V887" s="8">
        <f>$AC$12+D887*$AC$13+E887*$AC$14+F887*$AC$15+G887*$AC$16+H887*$AC$17+I887*$AC$18+J887*$AC$19+K887*$AC$20+L887*$AC$21+M887*$AC$22+N887*$AC$23+O887*$AC$24+P887*$AC$25+Q887*$AC$26+R887*$AC$27+S887*$AC$28+T887*$AC$29+U887*$AC$30</f>
        <v/>
      </c>
      <c r="W887" s="8">
        <f>1/(1+EXP(-V887))</f>
        <v/>
      </c>
      <c r="X887" s="9">
        <f>-IF(C887=1,LN(W887),LN(1-W887))</f>
        <v/>
      </c>
      <c r="Y887" s="10">
        <f>IF(W887&gt;$AC$34,1,0)</f>
        <v/>
      </c>
      <c r="Z887">
        <f>IF(Y887=C887,1,0)</f>
        <v/>
      </c>
    </row>
    <row r="888">
      <c r="A888">
        <f>'1 datos preparados'!A881</f>
        <v/>
      </c>
      <c r="B888" s="5">
        <f>'1 datos preparados'!U881</f>
        <v/>
      </c>
      <c r="C888">
        <f>'1 datos preparados'!B881</f>
        <v/>
      </c>
      <c r="D888" s="7">
        <f>'1 datos preparados'!C881</f>
        <v/>
      </c>
      <c r="E888" s="7">
        <f>'1 datos preparados'!D881</f>
        <v/>
      </c>
      <c r="F888" s="7">
        <f>'1 datos preparados'!E881</f>
        <v/>
      </c>
      <c r="G888" s="7">
        <f>'1 datos preparados'!F881</f>
        <v/>
      </c>
      <c r="H888" s="7">
        <f>'1 datos preparados'!G881</f>
        <v/>
      </c>
      <c r="I888" s="7">
        <f>'1 datos preparados'!H881</f>
        <v/>
      </c>
      <c r="J888" s="7">
        <f>'1 datos preparados'!I881</f>
        <v/>
      </c>
      <c r="K888" s="7">
        <f>'1 datos preparados'!J881</f>
        <v/>
      </c>
      <c r="L888" s="7">
        <f>'1 datos preparados'!K881</f>
        <v/>
      </c>
      <c r="M888" s="7">
        <f>'1 datos preparados'!L881</f>
        <v/>
      </c>
      <c r="N888" s="7">
        <f>'1 datos preparados'!M881</f>
        <v/>
      </c>
      <c r="O888" s="7">
        <f>'1 datos preparados'!N881</f>
        <v/>
      </c>
      <c r="P888" s="7">
        <f>'1 datos preparados'!O881</f>
        <v/>
      </c>
      <c r="Q888" s="7">
        <f>'1 datos preparados'!P881</f>
        <v/>
      </c>
      <c r="R888" s="7">
        <f>'1 datos preparados'!Q881</f>
        <v/>
      </c>
      <c r="S888" s="7">
        <f>'1 datos preparados'!R881</f>
        <v/>
      </c>
      <c r="T888" s="7">
        <f>'1 datos preparados'!S881</f>
        <v/>
      </c>
      <c r="U888" s="7">
        <f>'1 datos preparados'!T881</f>
        <v/>
      </c>
      <c r="V888" s="8">
        <f>$AC$12+D888*$AC$13+E888*$AC$14+F888*$AC$15+G888*$AC$16+H888*$AC$17+I888*$AC$18+J888*$AC$19+K888*$AC$20+L888*$AC$21+M888*$AC$22+N888*$AC$23+O888*$AC$24+P888*$AC$25+Q888*$AC$26+R888*$AC$27+S888*$AC$28+T888*$AC$29+U888*$AC$30</f>
        <v/>
      </c>
      <c r="W888" s="8">
        <f>1/(1+EXP(-V888))</f>
        <v/>
      </c>
      <c r="X888" s="9">
        <f>-IF(C888=1,LN(W888),LN(1-W888))</f>
        <v/>
      </c>
      <c r="Y888" s="10">
        <f>IF(W888&gt;$AC$34,1,0)</f>
        <v/>
      </c>
      <c r="Z888">
        <f>IF(Y888=C888,1,0)</f>
        <v/>
      </c>
    </row>
    <row r="889">
      <c r="A889">
        <f>'1 datos preparados'!A882</f>
        <v/>
      </c>
      <c r="B889" s="5">
        <f>'1 datos preparados'!U882</f>
        <v/>
      </c>
      <c r="C889">
        <f>'1 datos preparados'!B882</f>
        <v/>
      </c>
      <c r="D889" s="7">
        <f>'1 datos preparados'!C882</f>
        <v/>
      </c>
      <c r="E889" s="7">
        <f>'1 datos preparados'!D882</f>
        <v/>
      </c>
      <c r="F889" s="7">
        <f>'1 datos preparados'!E882</f>
        <v/>
      </c>
      <c r="G889" s="7">
        <f>'1 datos preparados'!F882</f>
        <v/>
      </c>
      <c r="H889" s="7">
        <f>'1 datos preparados'!G882</f>
        <v/>
      </c>
      <c r="I889" s="7">
        <f>'1 datos preparados'!H882</f>
        <v/>
      </c>
      <c r="J889" s="7">
        <f>'1 datos preparados'!I882</f>
        <v/>
      </c>
      <c r="K889" s="7">
        <f>'1 datos preparados'!J882</f>
        <v/>
      </c>
      <c r="L889" s="7">
        <f>'1 datos preparados'!K882</f>
        <v/>
      </c>
      <c r="M889" s="7">
        <f>'1 datos preparados'!L882</f>
        <v/>
      </c>
      <c r="N889" s="7">
        <f>'1 datos preparados'!M882</f>
        <v/>
      </c>
      <c r="O889" s="7">
        <f>'1 datos preparados'!N882</f>
        <v/>
      </c>
      <c r="P889" s="7">
        <f>'1 datos preparados'!O882</f>
        <v/>
      </c>
      <c r="Q889" s="7">
        <f>'1 datos preparados'!P882</f>
        <v/>
      </c>
      <c r="R889" s="7">
        <f>'1 datos preparados'!Q882</f>
        <v/>
      </c>
      <c r="S889" s="7">
        <f>'1 datos preparados'!R882</f>
        <v/>
      </c>
      <c r="T889" s="7">
        <f>'1 datos preparados'!S882</f>
        <v/>
      </c>
      <c r="U889" s="7">
        <f>'1 datos preparados'!T882</f>
        <v/>
      </c>
      <c r="V889" s="8">
        <f>$AC$12+D889*$AC$13+E889*$AC$14+F889*$AC$15+G889*$AC$16+H889*$AC$17+I889*$AC$18+J889*$AC$19+K889*$AC$20+L889*$AC$21+M889*$AC$22+N889*$AC$23+O889*$AC$24+P889*$AC$25+Q889*$AC$26+R889*$AC$27+S889*$AC$28+T889*$AC$29+U889*$AC$30</f>
        <v/>
      </c>
      <c r="W889" s="8">
        <f>1/(1+EXP(-V889))</f>
        <v/>
      </c>
      <c r="X889" s="9">
        <f>-IF(C889=1,LN(W889),LN(1-W889))</f>
        <v/>
      </c>
      <c r="Y889" s="10">
        <f>IF(W889&gt;$AC$34,1,0)</f>
        <v/>
      </c>
      <c r="Z889">
        <f>IF(Y889=C889,1,0)</f>
        <v/>
      </c>
    </row>
    <row r="890">
      <c r="A890">
        <f>'1 datos preparados'!A883</f>
        <v/>
      </c>
      <c r="B890" s="5">
        <f>'1 datos preparados'!U883</f>
        <v/>
      </c>
      <c r="C890">
        <f>'1 datos preparados'!B883</f>
        <v/>
      </c>
      <c r="D890" s="7">
        <f>'1 datos preparados'!C883</f>
        <v/>
      </c>
      <c r="E890" s="7">
        <f>'1 datos preparados'!D883</f>
        <v/>
      </c>
      <c r="F890" s="7">
        <f>'1 datos preparados'!E883</f>
        <v/>
      </c>
      <c r="G890" s="7">
        <f>'1 datos preparados'!F883</f>
        <v/>
      </c>
      <c r="H890" s="7">
        <f>'1 datos preparados'!G883</f>
        <v/>
      </c>
      <c r="I890" s="7">
        <f>'1 datos preparados'!H883</f>
        <v/>
      </c>
      <c r="J890" s="7">
        <f>'1 datos preparados'!I883</f>
        <v/>
      </c>
      <c r="K890" s="7">
        <f>'1 datos preparados'!J883</f>
        <v/>
      </c>
      <c r="L890" s="7">
        <f>'1 datos preparados'!K883</f>
        <v/>
      </c>
      <c r="M890" s="7">
        <f>'1 datos preparados'!L883</f>
        <v/>
      </c>
      <c r="N890" s="7">
        <f>'1 datos preparados'!M883</f>
        <v/>
      </c>
      <c r="O890" s="7">
        <f>'1 datos preparados'!N883</f>
        <v/>
      </c>
      <c r="P890" s="7">
        <f>'1 datos preparados'!O883</f>
        <v/>
      </c>
      <c r="Q890" s="7">
        <f>'1 datos preparados'!P883</f>
        <v/>
      </c>
      <c r="R890" s="7">
        <f>'1 datos preparados'!Q883</f>
        <v/>
      </c>
      <c r="S890" s="7">
        <f>'1 datos preparados'!R883</f>
        <v/>
      </c>
      <c r="T890" s="7">
        <f>'1 datos preparados'!S883</f>
        <v/>
      </c>
      <c r="U890" s="7">
        <f>'1 datos preparados'!T883</f>
        <v/>
      </c>
      <c r="V890" s="8">
        <f>$AC$12+D890*$AC$13+E890*$AC$14+F890*$AC$15+G890*$AC$16+H890*$AC$17+I890*$AC$18+J890*$AC$19+K890*$AC$20+L890*$AC$21+M890*$AC$22+N890*$AC$23+O890*$AC$24+P890*$AC$25+Q890*$AC$26+R890*$AC$27+S890*$AC$28+T890*$AC$29+U890*$AC$30</f>
        <v/>
      </c>
      <c r="W890" s="8">
        <f>1/(1+EXP(-V890))</f>
        <v/>
      </c>
      <c r="X890" s="9">
        <f>-IF(C890=1,LN(W890),LN(1-W890))</f>
        <v/>
      </c>
      <c r="Y890" s="10">
        <f>IF(W890&gt;$AC$34,1,0)</f>
        <v/>
      </c>
      <c r="Z890">
        <f>IF(Y890=C890,1,0)</f>
        <v/>
      </c>
    </row>
    <row r="891">
      <c r="A891">
        <f>'1 datos preparados'!A884</f>
        <v/>
      </c>
      <c r="B891" s="5">
        <f>'1 datos preparados'!U884</f>
        <v/>
      </c>
      <c r="C891">
        <f>'1 datos preparados'!B884</f>
        <v/>
      </c>
      <c r="D891" s="7">
        <f>'1 datos preparados'!C884</f>
        <v/>
      </c>
      <c r="E891" s="7">
        <f>'1 datos preparados'!D884</f>
        <v/>
      </c>
      <c r="F891" s="7">
        <f>'1 datos preparados'!E884</f>
        <v/>
      </c>
      <c r="G891" s="7">
        <f>'1 datos preparados'!F884</f>
        <v/>
      </c>
      <c r="H891" s="7">
        <f>'1 datos preparados'!G884</f>
        <v/>
      </c>
      <c r="I891" s="7">
        <f>'1 datos preparados'!H884</f>
        <v/>
      </c>
      <c r="J891" s="7">
        <f>'1 datos preparados'!I884</f>
        <v/>
      </c>
      <c r="K891" s="7">
        <f>'1 datos preparados'!J884</f>
        <v/>
      </c>
      <c r="L891" s="7">
        <f>'1 datos preparados'!K884</f>
        <v/>
      </c>
      <c r="M891" s="7">
        <f>'1 datos preparados'!L884</f>
        <v/>
      </c>
      <c r="N891" s="7">
        <f>'1 datos preparados'!M884</f>
        <v/>
      </c>
      <c r="O891" s="7">
        <f>'1 datos preparados'!N884</f>
        <v/>
      </c>
      <c r="P891" s="7">
        <f>'1 datos preparados'!O884</f>
        <v/>
      </c>
      <c r="Q891" s="7">
        <f>'1 datos preparados'!P884</f>
        <v/>
      </c>
      <c r="R891" s="7">
        <f>'1 datos preparados'!Q884</f>
        <v/>
      </c>
      <c r="S891" s="7">
        <f>'1 datos preparados'!R884</f>
        <v/>
      </c>
      <c r="T891" s="7">
        <f>'1 datos preparados'!S884</f>
        <v/>
      </c>
      <c r="U891" s="7">
        <f>'1 datos preparados'!T884</f>
        <v/>
      </c>
      <c r="V891" s="8">
        <f>$AC$12+D891*$AC$13+E891*$AC$14+F891*$AC$15+G891*$AC$16+H891*$AC$17+I891*$AC$18+J891*$AC$19+K891*$AC$20+L891*$AC$21+M891*$AC$22+N891*$AC$23+O891*$AC$24+P891*$AC$25+Q891*$AC$26+R891*$AC$27+S891*$AC$28+T891*$AC$29+U891*$AC$30</f>
        <v/>
      </c>
      <c r="W891" s="8">
        <f>1/(1+EXP(-V891))</f>
        <v/>
      </c>
      <c r="X891" s="9">
        <f>-IF(C891=1,LN(W891),LN(1-W891))</f>
        <v/>
      </c>
      <c r="Y891" s="10">
        <f>IF(W891&gt;$AC$34,1,0)</f>
        <v/>
      </c>
      <c r="Z891">
        <f>IF(Y891=C891,1,0)</f>
        <v/>
      </c>
    </row>
    <row r="892">
      <c r="A892">
        <f>'1 datos preparados'!A885</f>
        <v/>
      </c>
      <c r="B892" s="5">
        <f>'1 datos preparados'!U885</f>
        <v/>
      </c>
      <c r="C892">
        <f>'1 datos preparados'!B885</f>
        <v/>
      </c>
      <c r="D892" s="7">
        <f>'1 datos preparados'!C885</f>
        <v/>
      </c>
      <c r="E892" s="7">
        <f>'1 datos preparados'!D885</f>
        <v/>
      </c>
      <c r="F892" s="7">
        <f>'1 datos preparados'!E885</f>
        <v/>
      </c>
      <c r="G892" s="7">
        <f>'1 datos preparados'!F885</f>
        <v/>
      </c>
      <c r="H892" s="7">
        <f>'1 datos preparados'!G885</f>
        <v/>
      </c>
      <c r="I892" s="7">
        <f>'1 datos preparados'!H885</f>
        <v/>
      </c>
      <c r="J892" s="7">
        <f>'1 datos preparados'!I885</f>
        <v/>
      </c>
      <c r="K892" s="7">
        <f>'1 datos preparados'!J885</f>
        <v/>
      </c>
      <c r="L892" s="7">
        <f>'1 datos preparados'!K885</f>
        <v/>
      </c>
      <c r="M892" s="7">
        <f>'1 datos preparados'!L885</f>
        <v/>
      </c>
      <c r="N892" s="7">
        <f>'1 datos preparados'!M885</f>
        <v/>
      </c>
      <c r="O892" s="7">
        <f>'1 datos preparados'!N885</f>
        <v/>
      </c>
      <c r="P892" s="7">
        <f>'1 datos preparados'!O885</f>
        <v/>
      </c>
      <c r="Q892" s="7">
        <f>'1 datos preparados'!P885</f>
        <v/>
      </c>
      <c r="R892" s="7">
        <f>'1 datos preparados'!Q885</f>
        <v/>
      </c>
      <c r="S892" s="7">
        <f>'1 datos preparados'!R885</f>
        <v/>
      </c>
      <c r="T892" s="7">
        <f>'1 datos preparados'!S885</f>
        <v/>
      </c>
      <c r="U892" s="7">
        <f>'1 datos preparados'!T885</f>
        <v/>
      </c>
      <c r="V892" s="8">
        <f>$AC$12+D892*$AC$13+E892*$AC$14+F892*$AC$15+G892*$AC$16+H892*$AC$17+I892*$AC$18+J892*$AC$19+K892*$AC$20+L892*$AC$21+M892*$AC$22+N892*$AC$23+O892*$AC$24+P892*$AC$25+Q892*$AC$26+R892*$AC$27+S892*$AC$28+T892*$AC$29+U892*$AC$30</f>
        <v/>
      </c>
      <c r="W892" s="8">
        <f>1/(1+EXP(-V892))</f>
        <v/>
      </c>
      <c r="X892" s="9">
        <f>-IF(C892=1,LN(W892),LN(1-W892))</f>
        <v/>
      </c>
      <c r="Y892" s="10">
        <f>IF(W892&gt;$AC$34,1,0)</f>
        <v/>
      </c>
      <c r="Z892">
        <f>IF(Y892=C892,1,0)</f>
        <v/>
      </c>
    </row>
    <row r="893">
      <c r="A893">
        <f>'1 datos preparados'!A886</f>
        <v/>
      </c>
      <c r="B893" s="5">
        <f>'1 datos preparados'!U886</f>
        <v/>
      </c>
      <c r="C893">
        <f>'1 datos preparados'!B886</f>
        <v/>
      </c>
      <c r="D893" s="7">
        <f>'1 datos preparados'!C886</f>
        <v/>
      </c>
      <c r="E893" s="7">
        <f>'1 datos preparados'!D886</f>
        <v/>
      </c>
      <c r="F893" s="7">
        <f>'1 datos preparados'!E886</f>
        <v/>
      </c>
      <c r="G893" s="7">
        <f>'1 datos preparados'!F886</f>
        <v/>
      </c>
      <c r="H893" s="7">
        <f>'1 datos preparados'!G886</f>
        <v/>
      </c>
      <c r="I893" s="7">
        <f>'1 datos preparados'!H886</f>
        <v/>
      </c>
      <c r="J893" s="7">
        <f>'1 datos preparados'!I886</f>
        <v/>
      </c>
      <c r="K893" s="7">
        <f>'1 datos preparados'!J886</f>
        <v/>
      </c>
      <c r="L893" s="7">
        <f>'1 datos preparados'!K886</f>
        <v/>
      </c>
      <c r="M893" s="7">
        <f>'1 datos preparados'!L886</f>
        <v/>
      </c>
      <c r="N893" s="7">
        <f>'1 datos preparados'!M886</f>
        <v/>
      </c>
      <c r="O893" s="7">
        <f>'1 datos preparados'!N886</f>
        <v/>
      </c>
      <c r="P893" s="7">
        <f>'1 datos preparados'!O886</f>
        <v/>
      </c>
      <c r="Q893" s="7">
        <f>'1 datos preparados'!P886</f>
        <v/>
      </c>
      <c r="R893" s="7">
        <f>'1 datos preparados'!Q886</f>
        <v/>
      </c>
      <c r="S893" s="7">
        <f>'1 datos preparados'!R886</f>
        <v/>
      </c>
      <c r="T893" s="7">
        <f>'1 datos preparados'!S886</f>
        <v/>
      </c>
      <c r="U893" s="7">
        <f>'1 datos preparados'!T886</f>
        <v/>
      </c>
      <c r="V893" s="8">
        <f>$AC$12+D893*$AC$13+E893*$AC$14+F893*$AC$15+G893*$AC$16+H893*$AC$17+I893*$AC$18+J893*$AC$19+K893*$AC$20+L893*$AC$21+M893*$AC$22+N893*$AC$23+O893*$AC$24+P893*$AC$25+Q893*$AC$26+R893*$AC$27+S893*$AC$28+T893*$AC$29+U893*$AC$30</f>
        <v/>
      </c>
      <c r="W893" s="8">
        <f>1/(1+EXP(-V893))</f>
        <v/>
      </c>
      <c r="X893" s="9">
        <f>-IF(C893=1,LN(W893),LN(1-W893))</f>
        <v/>
      </c>
      <c r="Y893" s="10">
        <f>IF(W893&gt;$AC$34,1,0)</f>
        <v/>
      </c>
      <c r="Z893">
        <f>IF(Y893=C893,1,0)</f>
        <v/>
      </c>
    </row>
    <row r="894">
      <c r="A894">
        <f>'1 datos preparados'!A887</f>
        <v/>
      </c>
      <c r="B894" s="5">
        <f>'1 datos preparados'!U887</f>
        <v/>
      </c>
      <c r="C894">
        <f>'1 datos preparados'!B887</f>
        <v/>
      </c>
      <c r="D894" s="7">
        <f>'1 datos preparados'!C887</f>
        <v/>
      </c>
      <c r="E894" s="7">
        <f>'1 datos preparados'!D887</f>
        <v/>
      </c>
      <c r="F894" s="7">
        <f>'1 datos preparados'!E887</f>
        <v/>
      </c>
      <c r="G894" s="7">
        <f>'1 datos preparados'!F887</f>
        <v/>
      </c>
      <c r="H894" s="7">
        <f>'1 datos preparados'!G887</f>
        <v/>
      </c>
      <c r="I894" s="7">
        <f>'1 datos preparados'!H887</f>
        <v/>
      </c>
      <c r="J894" s="7">
        <f>'1 datos preparados'!I887</f>
        <v/>
      </c>
      <c r="K894" s="7">
        <f>'1 datos preparados'!J887</f>
        <v/>
      </c>
      <c r="L894" s="7">
        <f>'1 datos preparados'!K887</f>
        <v/>
      </c>
      <c r="M894" s="7">
        <f>'1 datos preparados'!L887</f>
        <v/>
      </c>
      <c r="N894" s="7">
        <f>'1 datos preparados'!M887</f>
        <v/>
      </c>
      <c r="O894" s="7">
        <f>'1 datos preparados'!N887</f>
        <v/>
      </c>
      <c r="P894" s="7">
        <f>'1 datos preparados'!O887</f>
        <v/>
      </c>
      <c r="Q894" s="7">
        <f>'1 datos preparados'!P887</f>
        <v/>
      </c>
      <c r="R894" s="7">
        <f>'1 datos preparados'!Q887</f>
        <v/>
      </c>
      <c r="S894" s="7">
        <f>'1 datos preparados'!R887</f>
        <v/>
      </c>
      <c r="T894" s="7">
        <f>'1 datos preparados'!S887</f>
        <v/>
      </c>
      <c r="U894" s="7">
        <f>'1 datos preparados'!T887</f>
        <v/>
      </c>
      <c r="V894" s="8">
        <f>$AC$12+D894*$AC$13+E894*$AC$14+F894*$AC$15+G894*$AC$16+H894*$AC$17+I894*$AC$18+J894*$AC$19+K894*$AC$20+L894*$AC$21+M894*$AC$22+N894*$AC$23+O894*$AC$24+P894*$AC$25+Q894*$AC$26+R894*$AC$27+S894*$AC$28+T894*$AC$29+U894*$AC$30</f>
        <v/>
      </c>
      <c r="W894" s="8">
        <f>1/(1+EXP(-V894))</f>
        <v/>
      </c>
      <c r="X894" s="9">
        <f>-IF(C894=1,LN(W894),LN(1-W894))</f>
        <v/>
      </c>
      <c r="Y894" s="10">
        <f>IF(W894&gt;$AC$34,1,0)</f>
        <v/>
      </c>
      <c r="Z894">
        <f>IF(Y894=C894,1,0)</f>
        <v/>
      </c>
    </row>
    <row r="895">
      <c r="A895">
        <f>'1 datos preparados'!A888</f>
        <v/>
      </c>
      <c r="B895" s="5">
        <f>'1 datos preparados'!U888</f>
        <v/>
      </c>
      <c r="C895">
        <f>'1 datos preparados'!B888</f>
        <v/>
      </c>
      <c r="D895" s="7">
        <f>'1 datos preparados'!C888</f>
        <v/>
      </c>
      <c r="E895" s="7">
        <f>'1 datos preparados'!D888</f>
        <v/>
      </c>
      <c r="F895" s="7">
        <f>'1 datos preparados'!E888</f>
        <v/>
      </c>
      <c r="G895" s="7">
        <f>'1 datos preparados'!F888</f>
        <v/>
      </c>
      <c r="H895" s="7">
        <f>'1 datos preparados'!G888</f>
        <v/>
      </c>
      <c r="I895" s="7">
        <f>'1 datos preparados'!H888</f>
        <v/>
      </c>
      <c r="J895" s="7">
        <f>'1 datos preparados'!I888</f>
        <v/>
      </c>
      <c r="K895" s="7">
        <f>'1 datos preparados'!J888</f>
        <v/>
      </c>
      <c r="L895" s="7">
        <f>'1 datos preparados'!K888</f>
        <v/>
      </c>
      <c r="M895" s="7">
        <f>'1 datos preparados'!L888</f>
        <v/>
      </c>
      <c r="N895" s="7">
        <f>'1 datos preparados'!M888</f>
        <v/>
      </c>
      <c r="O895" s="7">
        <f>'1 datos preparados'!N888</f>
        <v/>
      </c>
      <c r="P895" s="7">
        <f>'1 datos preparados'!O888</f>
        <v/>
      </c>
      <c r="Q895" s="7">
        <f>'1 datos preparados'!P888</f>
        <v/>
      </c>
      <c r="R895" s="7">
        <f>'1 datos preparados'!Q888</f>
        <v/>
      </c>
      <c r="S895" s="7">
        <f>'1 datos preparados'!R888</f>
        <v/>
      </c>
      <c r="T895" s="7">
        <f>'1 datos preparados'!S888</f>
        <v/>
      </c>
      <c r="U895" s="7">
        <f>'1 datos preparados'!T888</f>
        <v/>
      </c>
      <c r="V895" s="8">
        <f>$AC$12+D895*$AC$13+E895*$AC$14+F895*$AC$15+G895*$AC$16+H895*$AC$17+I895*$AC$18+J895*$AC$19+K895*$AC$20+L895*$AC$21+M895*$AC$22+N895*$AC$23+O895*$AC$24+P895*$AC$25+Q895*$AC$26+R895*$AC$27+S895*$AC$28+T895*$AC$29+U895*$AC$30</f>
        <v/>
      </c>
      <c r="W895" s="8">
        <f>1/(1+EXP(-V895))</f>
        <v/>
      </c>
      <c r="X895" s="9">
        <f>-IF(C895=1,LN(W895),LN(1-W895))</f>
        <v/>
      </c>
      <c r="Y895" s="10">
        <f>IF(W895&gt;$AC$34,1,0)</f>
        <v/>
      </c>
      <c r="Z895">
        <f>IF(Y895=C895,1,0)</f>
        <v/>
      </c>
    </row>
    <row r="896">
      <c r="A896">
        <f>'1 datos preparados'!A889</f>
        <v/>
      </c>
      <c r="B896" s="5">
        <f>'1 datos preparados'!U889</f>
        <v/>
      </c>
      <c r="C896">
        <f>'1 datos preparados'!B889</f>
        <v/>
      </c>
      <c r="D896" s="7">
        <f>'1 datos preparados'!C889</f>
        <v/>
      </c>
      <c r="E896" s="7">
        <f>'1 datos preparados'!D889</f>
        <v/>
      </c>
      <c r="F896" s="7">
        <f>'1 datos preparados'!E889</f>
        <v/>
      </c>
      <c r="G896" s="7">
        <f>'1 datos preparados'!F889</f>
        <v/>
      </c>
      <c r="H896" s="7">
        <f>'1 datos preparados'!G889</f>
        <v/>
      </c>
      <c r="I896" s="7">
        <f>'1 datos preparados'!H889</f>
        <v/>
      </c>
      <c r="J896" s="7">
        <f>'1 datos preparados'!I889</f>
        <v/>
      </c>
      <c r="K896" s="7">
        <f>'1 datos preparados'!J889</f>
        <v/>
      </c>
      <c r="L896" s="7">
        <f>'1 datos preparados'!K889</f>
        <v/>
      </c>
      <c r="M896" s="7">
        <f>'1 datos preparados'!L889</f>
        <v/>
      </c>
      <c r="N896" s="7">
        <f>'1 datos preparados'!M889</f>
        <v/>
      </c>
      <c r="O896" s="7">
        <f>'1 datos preparados'!N889</f>
        <v/>
      </c>
      <c r="P896" s="7">
        <f>'1 datos preparados'!O889</f>
        <v/>
      </c>
      <c r="Q896" s="7">
        <f>'1 datos preparados'!P889</f>
        <v/>
      </c>
      <c r="R896" s="7">
        <f>'1 datos preparados'!Q889</f>
        <v/>
      </c>
      <c r="S896" s="7">
        <f>'1 datos preparados'!R889</f>
        <v/>
      </c>
      <c r="T896" s="7">
        <f>'1 datos preparados'!S889</f>
        <v/>
      </c>
      <c r="U896" s="7">
        <f>'1 datos preparados'!T889</f>
        <v/>
      </c>
      <c r="V896" s="8">
        <f>$AC$12+D896*$AC$13+E896*$AC$14+F896*$AC$15+G896*$AC$16+H896*$AC$17+I896*$AC$18+J896*$AC$19+K896*$AC$20+L896*$AC$21+M896*$AC$22+N896*$AC$23+O896*$AC$24+P896*$AC$25+Q896*$AC$26+R896*$AC$27+S896*$AC$28+T896*$AC$29+U896*$AC$30</f>
        <v/>
      </c>
      <c r="W896" s="8">
        <f>1/(1+EXP(-V896))</f>
        <v/>
      </c>
      <c r="X896" s="9">
        <f>-IF(C896=1,LN(W896),LN(1-W896))</f>
        <v/>
      </c>
      <c r="Y896" s="10">
        <f>IF(W896&gt;$AC$34,1,0)</f>
        <v/>
      </c>
      <c r="Z896">
        <f>IF(Y896=C896,1,0)</f>
        <v/>
      </c>
    </row>
    <row r="897">
      <c r="A897">
        <f>'1 datos preparados'!A890</f>
        <v/>
      </c>
      <c r="B897" s="5">
        <f>'1 datos preparados'!U890</f>
        <v/>
      </c>
      <c r="C897">
        <f>'1 datos preparados'!B890</f>
        <v/>
      </c>
      <c r="D897" s="7">
        <f>'1 datos preparados'!C890</f>
        <v/>
      </c>
      <c r="E897" s="7">
        <f>'1 datos preparados'!D890</f>
        <v/>
      </c>
      <c r="F897" s="7">
        <f>'1 datos preparados'!E890</f>
        <v/>
      </c>
      <c r="G897" s="7">
        <f>'1 datos preparados'!F890</f>
        <v/>
      </c>
      <c r="H897" s="7">
        <f>'1 datos preparados'!G890</f>
        <v/>
      </c>
      <c r="I897" s="7">
        <f>'1 datos preparados'!H890</f>
        <v/>
      </c>
      <c r="J897" s="7">
        <f>'1 datos preparados'!I890</f>
        <v/>
      </c>
      <c r="K897" s="7">
        <f>'1 datos preparados'!J890</f>
        <v/>
      </c>
      <c r="L897" s="7">
        <f>'1 datos preparados'!K890</f>
        <v/>
      </c>
      <c r="M897" s="7">
        <f>'1 datos preparados'!L890</f>
        <v/>
      </c>
      <c r="N897" s="7">
        <f>'1 datos preparados'!M890</f>
        <v/>
      </c>
      <c r="O897" s="7">
        <f>'1 datos preparados'!N890</f>
        <v/>
      </c>
      <c r="P897" s="7">
        <f>'1 datos preparados'!O890</f>
        <v/>
      </c>
      <c r="Q897" s="7">
        <f>'1 datos preparados'!P890</f>
        <v/>
      </c>
      <c r="R897" s="7">
        <f>'1 datos preparados'!Q890</f>
        <v/>
      </c>
      <c r="S897" s="7">
        <f>'1 datos preparados'!R890</f>
        <v/>
      </c>
      <c r="T897" s="7">
        <f>'1 datos preparados'!S890</f>
        <v/>
      </c>
      <c r="U897" s="7">
        <f>'1 datos preparados'!T890</f>
        <v/>
      </c>
      <c r="V897" s="8">
        <f>$AC$12+D897*$AC$13+E897*$AC$14+F897*$AC$15+G897*$AC$16+H897*$AC$17+I897*$AC$18+J897*$AC$19+K897*$AC$20+L897*$AC$21+M897*$AC$22+N897*$AC$23+O897*$AC$24+P897*$AC$25+Q897*$AC$26+R897*$AC$27+S897*$AC$28+T897*$AC$29+U897*$AC$30</f>
        <v/>
      </c>
      <c r="W897" s="8">
        <f>1/(1+EXP(-V897))</f>
        <v/>
      </c>
      <c r="X897" s="9">
        <f>-IF(C897=1,LN(W897),LN(1-W897))</f>
        <v/>
      </c>
      <c r="Y897" s="10">
        <f>IF(W897&gt;$AC$34,1,0)</f>
        <v/>
      </c>
      <c r="Z897">
        <f>IF(Y897=C897,1,0)</f>
        <v/>
      </c>
    </row>
    <row r="898">
      <c r="A898">
        <f>'1 datos preparados'!A891</f>
        <v/>
      </c>
      <c r="B898" s="5">
        <f>'1 datos preparados'!U891</f>
        <v/>
      </c>
      <c r="C898">
        <f>'1 datos preparados'!B891</f>
        <v/>
      </c>
      <c r="D898" s="7">
        <f>'1 datos preparados'!C891</f>
        <v/>
      </c>
      <c r="E898" s="7">
        <f>'1 datos preparados'!D891</f>
        <v/>
      </c>
      <c r="F898" s="7">
        <f>'1 datos preparados'!E891</f>
        <v/>
      </c>
      <c r="G898" s="7">
        <f>'1 datos preparados'!F891</f>
        <v/>
      </c>
      <c r="H898" s="7">
        <f>'1 datos preparados'!G891</f>
        <v/>
      </c>
      <c r="I898" s="7">
        <f>'1 datos preparados'!H891</f>
        <v/>
      </c>
      <c r="J898" s="7">
        <f>'1 datos preparados'!I891</f>
        <v/>
      </c>
      <c r="K898" s="7">
        <f>'1 datos preparados'!J891</f>
        <v/>
      </c>
      <c r="L898" s="7">
        <f>'1 datos preparados'!K891</f>
        <v/>
      </c>
      <c r="M898" s="7">
        <f>'1 datos preparados'!L891</f>
        <v/>
      </c>
      <c r="N898" s="7">
        <f>'1 datos preparados'!M891</f>
        <v/>
      </c>
      <c r="O898" s="7">
        <f>'1 datos preparados'!N891</f>
        <v/>
      </c>
      <c r="P898" s="7">
        <f>'1 datos preparados'!O891</f>
        <v/>
      </c>
      <c r="Q898" s="7">
        <f>'1 datos preparados'!P891</f>
        <v/>
      </c>
      <c r="R898" s="7">
        <f>'1 datos preparados'!Q891</f>
        <v/>
      </c>
      <c r="S898" s="7">
        <f>'1 datos preparados'!R891</f>
        <v/>
      </c>
      <c r="T898" s="7">
        <f>'1 datos preparados'!S891</f>
        <v/>
      </c>
      <c r="U898" s="7">
        <f>'1 datos preparados'!T891</f>
        <v/>
      </c>
      <c r="V898" s="8">
        <f>$AC$12+D898*$AC$13+E898*$AC$14+F898*$AC$15+G898*$AC$16+H898*$AC$17+I898*$AC$18+J898*$AC$19+K898*$AC$20+L898*$AC$21+M898*$AC$22+N898*$AC$23+O898*$AC$24+P898*$AC$25+Q898*$AC$26+R898*$AC$27+S898*$AC$28+T898*$AC$29+U898*$AC$30</f>
        <v/>
      </c>
      <c r="W898" s="8">
        <f>1/(1+EXP(-V898))</f>
        <v/>
      </c>
      <c r="X898" s="9">
        <f>-IF(C898=1,LN(W898),LN(1-W898))</f>
        <v/>
      </c>
      <c r="Y898" s="10">
        <f>IF(W898&gt;$AC$34,1,0)</f>
        <v/>
      </c>
      <c r="Z898">
        <f>IF(Y898=C898,1,0)</f>
        <v/>
      </c>
    </row>
    <row r="899">
      <c r="A899">
        <f>'1 datos preparados'!A892</f>
        <v/>
      </c>
      <c r="B899" s="5">
        <f>'1 datos preparados'!U892</f>
        <v/>
      </c>
      <c r="C899">
        <f>'1 datos preparados'!B892</f>
        <v/>
      </c>
      <c r="D899" s="7">
        <f>'1 datos preparados'!C892</f>
        <v/>
      </c>
      <c r="E899" s="7">
        <f>'1 datos preparados'!D892</f>
        <v/>
      </c>
      <c r="F899" s="7">
        <f>'1 datos preparados'!E892</f>
        <v/>
      </c>
      <c r="G899" s="7">
        <f>'1 datos preparados'!F892</f>
        <v/>
      </c>
      <c r="H899" s="7">
        <f>'1 datos preparados'!G892</f>
        <v/>
      </c>
      <c r="I899" s="7">
        <f>'1 datos preparados'!H892</f>
        <v/>
      </c>
      <c r="J899" s="7">
        <f>'1 datos preparados'!I892</f>
        <v/>
      </c>
      <c r="K899" s="7">
        <f>'1 datos preparados'!J892</f>
        <v/>
      </c>
      <c r="L899" s="7">
        <f>'1 datos preparados'!K892</f>
        <v/>
      </c>
      <c r="M899" s="7">
        <f>'1 datos preparados'!L892</f>
        <v/>
      </c>
      <c r="N899" s="7">
        <f>'1 datos preparados'!M892</f>
        <v/>
      </c>
      <c r="O899" s="7">
        <f>'1 datos preparados'!N892</f>
        <v/>
      </c>
      <c r="P899" s="7">
        <f>'1 datos preparados'!O892</f>
        <v/>
      </c>
      <c r="Q899" s="7">
        <f>'1 datos preparados'!P892</f>
        <v/>
      </c>
      <c r="R899" s="7">
        <f>'1 datos preparados'!Q892</f>
        <v/>
      </c>
      <c r="S899" s="7">
        <f>'1 datos preparados'!R892</f>
        <v/>
      </c>
      <c r="T899" s="7">
        <f>'1 datos preparados'!S892</f>
        <v/>
      </c>
      <c r="U899" s="7">
        <f>'1 datos preparados'!T892</f>
        <v/>
      </c>
      <c r="V899" s="8">
        <f>$AC$12+D899*$AC$13+E899*$AC$14+F899*$AC$15+G899*$AC$16+H899*$AC$17+I899*$AC$18+J899*$AC$19+K899*$AC$20+L899*$AC$21+M899*$AC$22+N899*$AC$23+O899*$AC$24+P899*$AC$25+Q899*$AC$26+R899*$AC$27+S899*$AC$28+T899*$AC$29+U899*$AC$30</f>
        <v/>
      </c>
      <c r="W899" s="8">
        <f>1/(1+EXP(-V899))</f>
        <v/>
      </c>
      <c r="X899" s="9">
        <f>-IF(C899=1,LN(W899),LN(1-W899))</f>
        <v/>
      </c>
      <c r="Y899" s="10">
        <f>IF(W899&gt;$AC$34,1,0)</f>
        <v/>
      </c>
      <c r="Z899">
        <f>IF(Y899=C899,1,0)</f>
        <v/>
      </c>
    </row>
    <row r="900">
      <c r="A900">
        <f>'1 datos preparados'!A893</f>
        <v/>
      </c>
      <c r="B900" s="5">
        <f>'1 datos preparados'!U893</f>
        <v/>
      </c>
      <c r="C900">
        <f>'1 datos preparados'!B893</f>
        <v/>
      </c>
      <c r="D900" s="7">
        <f>'1 datos preparados'!C893</f>
        <v/>
      </c>
      <c r="E900" s="7">
        <f>'1 datos preparados'!D893</f>
        <v/>
      </c>
      <c r="F900" s="7">
        <f>'1 datos preparados'!E893</f>
        <v/>
      </c>
      <c r="G900" s="7">
        <f>'1 datos preparados'!F893</f>
        <v/>
      </c>
      <c r="H900" s="7">
        <f>'1 datos preparados'!G893</f>
        <v/>
      </c>
      <c r="I900" s="7">
        <f>'1 datos preparados'!H893</f>
        <v/>
      </c>
      <c r="J900" s="7">
        <f>'1 datos preparados'!I893</f>
        <v/>
      </c>
      <c r="K900" s="7">
        <f>'1 datos preparados'!J893</f>
        <v/>
      </c>
      <c r="L900" s="7">
        <f>'1 datos preparados'!K893</f>
        <v/>
      </c>
      <c r="M900" s="7">
        <f>'1 datos preparados'!L893</f>
        <v/>
      </c>
      <c r="N900" s="7">
        <f>'1 datos preparados'!M893</f>
        <v/>
      </c>
      <c r="O900" s="7">
        <f>'1 datos preparados'!N893</f>
        <v/>
      </c>
      <c r="P900" s="7">
        <f>'1 datos preparados'!O893</f>
        <v/>
      </c>
      <c r="Q900" s="7">
        <f>'1 datos preparados'!P893</f>
        <v/>
      </c>
      <c r="R900" s="7">
        <f>'1 datos preparados'!Q893</f>
        <v/>
      </c>
      <c r="S900" s="7">
        <f>'1 datos preparados'!R893</f>
        <v/>
      </c>
      <c r="T900" s="7">
        <f>'1 datos preparados'!S893</f>
        <v/>
      </c>
      <c r="U900" s="7">
        <f>'1 datos preparados'!T893</f>
        <v/>
      </c>
      <c r="V900" s="8">
        <f>$AC$12+D900*$AC$13+E900*$AC$14+F900*$AC$15+G900*$AC$16+H900*$AC$17+I900*$AC$18+J900*$AC$19+K900*$AC$20+L900*$AC$21+M900*$AC$22+N900*$AC$23+O900*$AC$24+P900*$AC$25+Q900*$AC$26+R900*$AC$27+S900*$AC$28+T900*$AC$29+U900*$AC$30</f>
        <v/>
      </c>
      <c r="W900" s="8">
        <f>1/(1+EXP(-V900))</f>
        <v/>
      </c>
      <c r="X900" s="9">
        <f>-IF(C900=1,LN(W900),LN(1-W900))</f>
        <v/>
      </c>
      <c r="Y900" s="10">
        <f>IF(W900&gt;$AC$34,1,0)</f>
        <v/>
      </c>
      <c r="Z900">
        <f>IF(Y900=C900,1,0)</f>
        <v/>
      </c>
    </row>
    <row r="901">
      <c r="A901">
        <f>'1 datos preparados'!A894</f>
        <v/>
      </c>
      <c r="B901" s="5">
        <f>'1 datos preparados'!U894</f>
        <v/>
      </c>
      <c r="C901">
        <f>'1 datos preparados'!B894</f>
        <v/>
      </c>
      <c r="D901" s="7">
        <f>'1 datos preparados'!C894</f>
        <v/>
      </c>
      <c r="E901" s="7">
        <f>'1 datos preparados'!D894</f>
        <v/>
      </c>
      <c r="F901" s="7">
        <f>'1 datos preparados'!E894</f>
        <v/>
      </c>
      <c r="G901" s="7">
        <f>'1 datos preparados'!F894</f>
        <v/>
      </c>
      <c r="H901" s="7">
        <f>'1 datos preparados'!G894</f>
        <v/>
      </c>
      <c r="I901" s="7">
        <f>'1 datos preparados'!H894</f>
        <v/>
      </c>
      <c r="J901" s="7">
        <f>'1 datos preparados'!I894</f>
        <v/>
      </c>
      <c r="K901" s="7">
        <f>'1 datos preparados'!J894</f>
        <v/>
      </c>
      <c r="L901" s="7">
        <f>'1 datos preparados'!K894</f>
        <v/>
      </c>
      <c r="M901" s="7">
        <f>'1 datos preparados'!L894</f>
        <v/>
      </c>
      <c r="N901" s="7">
        <f>'1 datos preparados'!M894</f>
        <v/>
      </c>
      <c r="O901" s="7">
        <f>'1 datos preparados'!N894</f>
        <v/>
      </c>
      <c r="P901" s="7">
        <f>'1 datos preparados'!O894</f>
        <v/>
      </c>
      <c r="Q901" s="7">
        <f>'1 datos preparados'!P894</f>
        <v/>
      </c>
      <c r="R901" s="7">
        <f>'1 datos preparados'!Q894</f>
        <v/>
      </c>
      <c r="S901" s="7">
        <f>'1 datos preparados'!R894</f>
        <v/>
      </c>
      <c r="T901" s="7">
        <f>'1 datos preparados'!S894</f>
        <v/>
      </c>
      <c r="U901" s="7">
        <f>'1 datos preparados'!T894</f>
        <v/>
      </c>
      <c r="V901" s="8">
        <f>$AC$12+D901*$AC$13+E901*$AC$14+F901*$AC$15+G901*$AC$16+H901*$AC$17+I901*$AC$18+J901*$AC$19+K901*$AC$20+L901*$AC$21+M901*$AC$22+N901*$AC$23+O901*$AC$24+P901*$AC$25+Q901*$AC$26+R901*$AC$27+S901*$AC$28+T901*$AC$29+U901*$AC$30</f>
        <v/>
      </c>
      <c r="W901" s="8">
        <f>1/(1+EXP(-V901))</f>
        <v/>
      </c>
      <c r="X901" s="9">
        <f>-IF(C901=1,LN(W901),LN(1-W901))</f>
        <v/>
      </c>
      <c r="Y901" s="10">
        <f>IF(W901&gt;$AC$34,1,0)</f>
        <v/>
      </c>
      <c r="Z901">
        <f>IF(Y901=C901,1,0)</f>
        <v/>
      </c>
    </row>
    <row r="902">
      <c r="A902">
        <f>'1 datos preparados'!A895</f>
        <v/>
      </c>
      <c r="B902" s="5">
        <f>'1 datos preparados'!U895</f>
        <v/>
      </c>
      <c r="C902">
        <f>'1 datos preparados'!B895</f>
        <v/>
      </c>
      <c r="D902" s="7">
        <f>'1 datos preparados'!C895</f>
        <v/>
      </c>
      <c r="E902" s="7">
        <f>'1 datos preparados'!D895</f>
        <v/>
      </c>
      <c r="F902" s="7">
        <f>'1 datos preparados'!E895</f>
        <v/>
      </c>
      <c r="G902" s="7">
        <f>'1 datos preparados'!F895</f>
        <v/>
      </c>
      <c r="H902" s="7">
        <f>'1 datos preparados'!G895</f>
        <v/>
      </c>
      <c r="I902" s="7">
        <f>'1 datos preparados'!H895</f>
        <v/>
      </c>
      <c r="J902" s="7">
        <f>'1 datos preparados'!I895</f>
        <v/>
      </c>
      <c r="K902" s="7">
        <f>'1 datos preparados'!J895</f>
        <v/>
      </c>
      <c r="L902" s="7">
        <f>'1 datos preparados'!K895</f>
        <v/>
      </c>
      <c r="M902" s="7">
        <f>'1 datos preparados'!L895</f>
        <v/>
      </c>
      <c r="N902" s="7">
        <f>'1 datos preparados'!M895</f>
        <v/>
      </c>
      <c r="O902" s="7">
        <f>'1 datos preparados'!N895</f>
        <v/>
      </c>
      <c r="P902" s="7">
        <f>'1 datos preparados'!O895</f>
        <v/>
      </c>
      <c r="Q902" s="7">
        <f>'1 datos preparados'!P895</f>
        <v/>
      </c>
      <c r="R902" s="7">
        <f>'1 datos preparados'!Q895</f>
        <v/>
      </c>
      <c r="S902" s="7">
        <f>'1 datos preparados'!R895</f>
        <v/>
      </c>
      <c r="T902" s="7">
        <f>'1 datos preparados'!S895</f>
        <v/>
      </c>
      <c r="U902" s="7">
        <f>'1 datos preparados'!T895</f>
        <v/>
      </c>
      <c r="V902" s="8">
        <f>$AC$12+D902*$AC$13+E902*$AC$14+F902*$AC$15+G902*$AC$16+H902*$AC$17+I902*$AC$18+J902*$AC$19+K902*$AC$20+L902*$AC$21+M902*$AC$22+N902*$AC$23+O902*$AC$24+P902*$AC$25+Q902*$AC$26+R902*$AC$27+S902*$AC$28+T902*$AC$29+U902*$AC$30</f>
        <v/>
      </c>
      <c r="W902" s="8">
        <f>1/(1+EXP(-V902))</f>
        <v/>
      </c>
      <c r="X902" s="9">
        <f>-IF(C902=1,LN(W902),LN(1-W902))</f>
        <v/>
      </c>
      <c r="Y902" s="10">
        <f>IF(W902&gt;$AC$34,1,0)</f>
        <v/>
      </c>
      <c r="Z902">
        <f>IF(Y902=C902,1,0)</f>
        <v/>
      </c>
    </row>
    <row r="903">
      <c r="A903">
        <f>'1 datos preparados'!A896</f>
        <v/>
      </c>
      <c r="B903" s="5">
        <f>'1 datos preparados'!U896</f>
        <v/>
      </c>
      <c r="C903">
        <f>'1 datos preparados'!B896</f>
        <v/>
      </c>
      <c r="D903" s="7">
        <f>'1 datos preparados'!C896</f>
        <v/>
      </c>
      <c r="E903" s="7">
        <f>'1 datos preparados'!D896</f>
        <v/>
      </c>
      <c r="F903" s="7">
        <f>'1 datos preparados'!E896</f>
        <v/>
      </c>
      <c r="G903" s="7">
        <f>'1 datos preparados'!F896</f>
        <v/>
      </c>
      <c r="H903" s="7">
        <f>'1 datos preparados'!G896</f>
        <v/>
      </c>
      <c r="I903" s="7">
        <f>'1 datos preparados'!H896</f>
        <v/>
      </c>
      <c r="J903" s="7">
        <f>'1 datos preparados'!I896</f>
        <v/>
      </c>
      <c r="K903" s="7">
        <f>'1 datos preparados'!J896</f>
        <v/>
      </c>
      <c r="L903" s="7">
        <f>'1 datos preparados'!K896</f>
        <v/>
      </c>
      <c r="M903" s="7">
        <f>'1 datos preparados'!L896</f>
        <v/>
      </c>
      <c r="N903" s="7">
        <f>'1 datos preparados'!M896</f>
        <v/>
      </c>
      <c r="O903" s="7">
        <f>'1 datos preparados'!N896</f>
        <v/>
      </c>
      <c r="P903" s="7">
        <f>'1 datos preparados'!O896</f>
        <v/>
      </c>
      <c r="Q903" s="7">
        <f>'1 datos preparados'!P896</f>
        <v/>
      </c>
      <c r="R903" s="7">
        <f>'1 datos preparados'!Q896</f>
        <v/>
      </c>
      <c r="S903" s="7">
        <f>'1 datos preparados'!R896</f>
        <v/>
      </c>
      <c r="T903" s="7">
        <f>'1 datos preparados'!S896</f>
        <v/>
      </c>
      <c r="U903" s="7">
        <f>'1 datos preparados'!T896</f>
        <v/>
      </c>
      <c r="V903" s="8">
        <f>$AC$12+D903*$AC$13+E903*$AC$14+F903*$AC$15+G903*$AC$16+H903*$AC$17+I903*$AC$18+J903*$AC$19+K903*$AC$20+L903*$AC$21+M903*$AC$22+N903*$AC$23+O903*$AC$24+P903*$AC$25+Q903*$AC$26+R903*$AC$27+S903*$AC$28+T903*$AC$29+U903*$AC$30</f>
        <v/>
      </c>
      <c r="W903" s="8">
        <f>1/(1+EXP(-V903))</f>
        <v/>
      </c>
      <c r="X903" s="9">
        <f>-IF(C903=1,LN(W903),LN(1-W903))</f>
        <v/>
      </c>
      <c r="Y903" s="10">
        <f>IF(W903&gt;$AC$34,1,0)</f>
        <v/>
      </c>
      <c r="Z903">
        <f>IF(Y903=C903,1,0)</f>
        <v/>
      </c>
    </row>
    <row r="904">
      <c r="A904">
        <f>'1 datos preparados'!A897</f>
        <v/>
      </c>
      <c r="B904" s="5">
        <f>'1 datos preparados'!U897</f>
        <v/>
      </c>
      <c r="C904">
        <f>'1 datos preparados'!B897</f>
        <v/>
      </c>
      <c r="D904" s="7">
        <f>'1 datos preparados'!C897</f>
        <v/>
      </c>
      <c r="E904" s="7">
        <f>'1 datos preparados'!D897</f>
        <v/>
      </c>
      <c r="F904" s="7">
        <f>'1 datos preparados'!E897</f>
        <v/>
      </c>
      <c r="G904" s="7">
        <f>'1 datos preparados'!F897</f>
        <v/>
      </c>
      <c r="H904" s="7">
        <f>'1 datos preparados'!G897</f>
        <v/>
      </c>
      <c r="I904" s="7">
        <f>'1 datos preparados'!H897</f>
        <v/>
      </c>
      <c r="J904" s="7">
        <f>'1 datos preparados'!I897</f>
        <v/>
      </c>
      <c r="K904" s="7">
        <f>'1 datos preparados'!J897</f>
        <v/>
      </c>
      <c r="L904" s="7">
        <f>'1 datos preparados'!K897</f>
        <v/>
      </c>
      <c r="M904" s="7">
        <f>'1 datos preparados'!L897</f>
        <v/>
      </c>
      <c r="N904" s="7">
        <f>'1 datos preparados'!M897</f>
        <v/>
      </c>
      <c r="O904" s="7">
        <f>'1 datos preparados'!N897</f>
        <v/>
      </c>
      <c r="P904" s="7">
        <f>'1 datos preparados'!O897</f>
        <v/>
      </c>
      <c r="Q904" s="7">
        <f>'1 datos preparados'!P897</f>
        <v/>
      </c>
      <c r="R904" s="7">
        <f>'1 datos preparados'!Q897</f>
        <v/>
      </c>
      <c r="S904" s="7">
        <f>'1 datos preparados'!R897</f>
        <v/>
      </c>
      <c r="T904" s="7">
        <f>'1 datos preparados'!S897</f>
        <v/>
      </c>
      <c r="U904" s="7">
        <f>'1 datos preparados'!T897</f>
        <v/>
      </c>
      <c r="V904" s="8">
        <f>$AC$12+D904*$AC$13+E904*$AC$14+F904*$AC$15+G904*$AC$16+H904*$AC$17+I904*$AC$18+J904*$AC$19+K904*$AC$20+L904*$AC$21+M904*$AC$22+N904*$AC$23+O904*$AC$24+P904*$AC$25+Q904*$AC$26+R904*$AC$27+S904*$AC$28+T904*$AC$29+U904*$AC$30</f>
        <v/>
      </c>
      <c r="W904" s="8">
        <f>1/(1+EXP(-V904))</f>
        <v/>
      </c>
      <c r="X904" s="9">
        <f>-IF(C904=1,LN(W904),LN(1-W904))</f>
        <v/>
      </c>
      <c r="Y904" s="10">
        <f>IF(W904&gt;$AC$34,1,0)</f>
        <v/>
      </c>
      <c r="Z904">
        <f>IF(Y904=C904,1,0)</f>
        <v/>
      </c>
    </row>
    <row r="905">
      <c r="A905">
        <f>'1 datos preparados'!A898</f>
        <v/>
      </c>
      <c r="B905" s="5">
        <f>'1 datos preparados'!U898</f>
        <v/>
      </c>
      <c r="C905">
        <f>'1 datos preparados'!B898</f>
        <v/>
      </c>
      <c r="D905" s="7">
        <f>'1 datos preparados'!C898</f>
        <v/>
      </c>
      <c r="E905" s="7">
        <f>'1 datos preparados'!D898</f>
        <v/>
      </c>
      <c r="F905" s="7">
        <f>'1 datos preparados'!E898</f>
        <v/>
      </c>
      <c r="G905" s="7">
        <f>'1 datos preparados'!F898</f>
        <v/>
      </c>
      <c r="H905" s="7">
        <f>'1 datos preparados'!G898</f>
        <v/>
      </c>
      <c r="I905" s="7">
        <f>'1 datos preparados'!H898</f>
        <v/>
      </c>
      <c r="J905" s="7">
        <f>'1 datos preparados'!I898</f>
        <v/>
      </c>
      <c r="K905" s="7">
        <f>'1 datos preparados'!J898</f>
        <v/>
      </c>
      <c r="L905" s="7">
        <f>'1 datos preparados'!K898</f>
        <v/>
      </c>
      <c r="M905" s="7">
        <f>'1 datos preparados'!L898</f>
        <v/>
      </c>
      <c r="N905" s="7">
        <f>'1 datos preparados'!M898</f>
        <v/>
      </c>
      <c r="O905" s="7">
        <f>'1 datos preparados'!N898</f>
        <v/>
      </c>
      <c r="P905" s="7">
        <f>'1 datos preparados'!O898</f>
        <v/>
      </c>
      <c r="Q905" s="7">
        <f>'1 datos preparados'!P898</f>
        <v/>
      </c>
      <c r="R905" s="7">
        <f>'1 datos preparados'!Q898</f>
        <v/>
      </c>
      <c r="S905" s="7">
        <f>'1 datos preparados'!R898</f>
        <v/>
      </c>
      <c r="T905" s="7">
        <f>'1 datos preparados'!S898</f>
        <v/>
      </c>
      <c r="U905" s="7">
        <f>'1 datos preparados'!T898</f>
        <v/>
      </c>
      <c r="V905" s="8">
        <f>$AC$12+D905*$AC$13+E905*$AC$14+F905*$AC$15+G905*$AC$16+H905*$AC$17+I905*$AC$18+J905*$AC$19+K905*$AC$20+L905*$AC$21+M905*$AC$22+N905*$AC$23+O905*$AC$24+P905*$AC$25+Q905*$AC$26+R905*$AC$27+S905*$AC$28+T905*$AC$29+U905*$AC$30</f>
        <v/>
      </c>
      <c r="W905" s="8">
        <f>1/(1+EXP(-V905))</f>
        <v/>
      </c>
      <c r="X905" s="9">
        <f>-IF(C905=1,LN(W905),LN(1-W905))</f>
        <v/>
      </c>
      <c r="Y905" s="10">
        <f>IF(W905&gt;$AC$34,1,0)</f>
        <v/>
      </c>
      <c r="Z905">
        <f>IF(Y905=C905,1,0)</f>
        <v/>
      </c>
    </row>
    <row r="906">
      <c r="A906">
        <f>'1 datos preparados'!A899</f>
        <v/>
      </c>
      <c r="B906" s="5">
        <f>'1 datos preparados'!U899</f>
        <v/>
      </c>
      <c r="C906">
        <f>'1 datos preparados'!B899</f>
        <v/>
      </c>
      <c r="D906" s="7">
        <f>'1 datos preparados'!C899</f>
        <v/>
      </c>
      <c r="E906" s="7">
        <f>'1 datos preparados'!D899</f>
        <v/>
      </c>
      <c r="F906" s="7">
        <f>'1 datos preparados'!E899</f>
        <v/>
      </c>
      <c r="G906" s="7">
        <f>'1 datos preparados'!F899</f>
        <v/>
      </c>
      <c r="H906" s="7">
        <f>'1 datos preparados'!G899</f>
        <v/>
      </c>
      <c r="I906" s="7">
        <f>'1 datos preparados'!H899</f>
        <v/>
      </c>
      <c r="J906" s="7">
        <f>'1 datos preparados'!I899</f>
        <v/>
      </c>
      <c r="K906" s="7">
        <f>'1 datos preparados'!J899</f>
        <v/>
      </c>
      <c r="L906" s="7">
        <f>'1 datos preparados'!K899</f>
        <v/>
      </c>
      <c r="M906" s="7">
        <f>'1 datos preparados'!L899</f>
        <v/>
      </c>
      <c r="N906" s="7">
        <f>'1 datos preparados'!M899</f>
        <v/>
      </c>
      <c r="O906" s="7">
        <f>'1 datos preparados'!N899</f>
        <v/>
      </c>
      <c r="P906" s="7">
        <f>'1 datos preparados'!O899</f>
        <v/>
      </c>
      <c r="Q906" s="7">
        <f>'1 datos preparados'!P899</f>
        <v/>
      </c>
      <c r="R906" s="7">
        <f>'1 datos preparados'!Q899</f>
        <v/>
      </c>
      <c r="S906" s="7">
        <f>'1 datos preparados'!R899</f>
        <v/>
      </c>
      <c r="T906" s="7">
        <f>'1 datos preparados'!S899</f>
        <v/>
      </c>
      <c r="U906" s="7">
        <f>'1 datos preparados'!T899</f>
        <v/>
      </c>
      <c r="V906" s="8">
        <f>$AC$12+D906*$AC$13+E906*$AC$14+F906*$AC$15+G906*$AC$16+H906*$AC$17+I906*$AC$18+J906*$AC$19+K906*$AC$20+L906*$AC$21+M906*$AC$22+N906*$AC$23+O906*$AC$24+P906*$AC$25+Q906*$AC$26+R906*$AC$27+S906*$AC$28+T906*$AC$29+U906*$AC$30</f>
        <v/>
      </c>
      <c r="W906" s="8">
        <f>1/(1+EXP(-V906))</f>
        <v/>
      </c>
      <c r="X906" s="9">
        <f>-IF(C906=1,LN(W906),LN(1-W906))</f>
        <v/>
      </c>
      <c r="Y906" s="10">
        <f>IF(W906&gt;$AC$34,1,0)</f>
        <v/>
      </c>
      <c r="Z906">
        <f>IF(Y906=C906,1,0)</f>
        <v/>
      </c>
    </row>
    <row r="907">
      <c r="A907">
        <f>'1 datos preparados'!A900</f>
        <v/>
      </c>
      <c r="B907" s="5">
        <f>'1 datos preparados'!U900</f>
        <v/>
      </c>
      <c r="C907">
        <f>'1 datos preparados'!B900</f>
        <v/>
      </c>
      <c r="D907" s="7">
        <f>'1 datos preparados'!C900</f>
        <v/>
      </c>
      <c r="E907" s="7">
        <f>'1 datos preparados'!D900</f>
        <v/>
      </c>
      <c r="F907" s="7">
        <f>'1 datos preparados'!E900</f>
        <v/>
      </c>
      <c r="G907" s="7">
        <f>'1 datos preparados'!F900</f>
        <v/>
      </c>
      <c r="H907" s="7">
        <f>'1 datos preparados'!G900</f>
        <v/>
      </c>
      <c r="I907" s="7">
        <f>'1 datos preparados'!H900</f>
        <v/>
      </c>
      <c r="J907" s="7">
        <f>'1 datos preparados'!I900</f>
        <v/>
      </c>
      <c r="K907" s="7">
        <f>'1 datos preparados'!J900</f>
        <v/>
      </c>
      <c r="L907" s="7">
        <f>'1 datos preparados'!K900</f>
        <v/>
      </c>
      <c r="M907" s="7">
        <f>'1 datos preparados'!L900</f>
        <v/>
      </c>
      <c r="N907" s="7">
        <f>'1 datos preparados'!M900</f>
        <v/>
      </c>
      <c r="O907" s="7">
        <f>'1 datos preparados'!N900</f>
        <v/>
      </c>
      <c r="P907" s="7">
        <f>'1 datos preparados'!O900</f>
        <v/>
      </c>
      <c r="Q907" s="7">
        <f>'1 datos preparados'!P900</f>
        <v/>
      </c>
      <c r="R907" s="7">
        <f>'1 datos preparados'!Q900</f>
        <v/>
      </c>
      <c r="S907" s="7">
        <f>'1 datos preparados'!R900</f>
        <v/>
      </c>
      <c r="T907" s="7">
        <f>'1 datos preparados'!S900</f>
        <v/>
      </c>
      <c r="U907" s="7">
        <f>'1 datos preparados'!T900</f>
        <v/>
      </c>
      <c r="V907" s="8">
        <f>$AC$12+D907*$AC$13+E907*$AC$14+F907*$AC$15+G907*$AC$16+H907*$AC$17+I907*$AC$18+J907*$AC$19+K907*$AC$20+L907*$AC$21+M907*$AC$22+N907*$AC$23+O907*$AC$24+P907*$AC$25+Q907*$AC$26+R907*$AC$27+S907*$AC$28+T907*$AC$29+U907*$AC$30</f>
        <v/>
      </c>
      <c r="W907" s="8">
        <f>1/(1+EXP(-V907))</f>
        <v/>
      </c>
      <c r="X907" s="9">
        <f>-IF(C907=1,LN(W907),LN(1-W907))</f>
        <v/>
      </c>
      <c r="Y907" s="10">
        <f>IF(W907&gt;$AC$34,1,0)</f>
        <v/>
      </c>
      <c r="Z907">
        <f>IF(Y907=C907,1,0)</f>
        <v/>
      </c>
    </row>
    <row r="908">
      <c r="A908">
        <f>'1 datos preparados'!A901</f>
        <v/>
      </c>
      <c r="B908" s="5">
        <f>'1 datos preparados'!U901</f>
        <v/>
      </c>
      <c r="C908">
        <f>'1 datos preparados'!B901</f>
        <v/>
      </c>
      <c r="D908" s="7">
        <f>'1 datos preparados'!C901</f>
        <v/>
      </c>
      <c r="E908" s="7">
        <f>'1 datos preparados'!D901</f>
        <v/>
      </c>
      <c r="F908" s="7">
        <f>'1 datos preparados'!E901</f>
        <v/>
      </c>
      <c r="G908" s="7">
        <f>'1 datos preparados'!F901</f>
        <v/>
      </c>
      <c r="H908" s="7">
        <f>'1 datos preparados'!G901</f>
        <v/>
      </c>
      <c r="I908" s="7">
        <f>'1 datos preparados'!H901</f>
        <v/>
      </c>
      <c r="J908" s="7">
        <f>'1 datos preparados'!I901</f>
        <v/>
      </c>
      <c r="K908" s="7">
        <f>'1 datos preparados'!J901</f>
        <v/>
      </c>
      <c r="L908" s="7">
        <f>'1 datos preparados'!K901</f>
        <v/>
      </c>
      <c r="M908" s="7">
        <f>'1 datos preparados'!L901</f>
        <v/>
      </c>
      <c r="N908" s="7">
        <f>'1 datos preparados'!M901</f>
        <v/>
      </c>
      <c r="O908" s="7">
        <f>'1 datos preparados'!N901</f>
        <v/>
      </c>
      <c r="P908" s="7">
        <f>'1 datos preparados'!O901</f>
        <v/>
      </c>
      <c r="Q908" s="7">
        <f>'1 datos preparados'!P901</f>
        <v/>
      </c>
      <c r="R908" s="7">
        <f>'1 datos preparados'!Q901</f>
        <v/>
      </c>
      <c r="S908" s="7">
        <f>'1 datos preparados'!R901</f>
        <v/>
      </c>
      <c r="T908" s="7">
        <f>'1 datos preparados'!S901</f>
        <v/>
      </c>
      <c r="U908" s="7">
        <f>'1 datos preparados'!T901</f>
        <v/>
      </c>
      <c r="V908" s="8">
        <f>$AC$12+D908*$AC$13+E908*$AC$14+F908*$AC$15+G908*$AC$16+H908*$AC$17+I908*$AC$18+J908*$AC$19+K908*$AC$20+L908*$AC$21+M908*$AC$22+N908*$AC$23+O908*$AC$24+P908*$AC$25+Q908*$AC$26+R908*$AC$27+S908*$AC$28+T908*$AC$29+U908*$AC$30</f>
        <v/>
      </c>
      <c r="W908" s="8">
        <f>1/(1+EXP(-V908))</f>
        <v/>
      </c>
      <c r="X908" s="9">
        <f>-IF(C908=1,LN(W908),LN(1-W908))</f>
        <v/>
      </c>
      <c r="Y908" s="10">
        <f>IF(W908&gt;$AC$34,1,0)</f>
        <v/>
      </c>
      <c r="Z908">
        <f>IF(Y908=C908,1,0)</f>
        <v/>
      </c>
    </row>
    <row r="909">
      <c r="A909">
        <f>'1 datos preparados'!A902</f>
        <v/>
      </c>
      <c r="B909" s="5">
        <f>'1 datos preparados'!U902</f>
        <v/>
      </c>
      <c r="C909">
        <f>'1 datos preparados'!B902</f>
        <v/>
      </c>
      <c r="D909" s="7">
        <f>'1 datos preparados'!C902</f>
        <v/>
      </c>
      <c r="E909" s="7">
        <f>'1 datos preparados'!D902</f>
        <v/>
      </c>
      <c r="F909" s="7">
        <f>'1 datos preparados'!E902</f>
        <v/>
      </c>
      <c r="G909" s="7">
        <f>'1 datos preparados'!F902</f>
        <v/>
      </c>
      <c r="H909" s="7">
        <f>'1 datos preparados'!G902</f>
        <v/>
      </c>
      <c r="I909" s="7">
        <f>'1 datos preparados'!H902</f>
        <v/>
      </c>
      <c r="J909" s="7">
        <f>'1 datos preparados'!I902</f>
        <v/>
      </c>
      <c r="K909" s="7">
        <f>'1 datos preparados'!J902</f>
        <v/>
      </c>
      <c r="L909" s="7">
        <f>'1 datos preparados'!K902</f>
        <v/>
      </c>
      <c r="M909" s="7">
        <f>'1 datos preparados'!L902</f>
        <v/>
      </c>
      <c r="N909" s="7">
        <f>'1 datos preparados'!M902</f>
        <v/>
      </c>
      <c r="O909" s="7">
        <f>'1 datos preparados'!N902</f>
        <v/>
      </c>
      <c r="P909" s="7">
        <f>'1 datos preparados'!O902</f>
        <v/>
      </c>
      <c r="Q909" s="7">
        <f>'1 datos preparados'!P902</f>
        <v/>
      </c>
      <c r="R909" s="7">
        <f>'1 datos preparados'!Q902</f>
        <v/>
      </c>
      <c r="S909" s="7">
        <f>'1 datos preparados'!R902</f>
        <v/>
      </c>
      <c r="T909" s="7">
        <f>'1 datos preparados'!S902</f>
        <v/>
      </c>
      <c r="U909" s="7">
        <f>'1 datos preparados'!T902</f>
        <v/>
      </c>
      <c r="V909" s="8">
        <f>$AC$12+D909*$AC$13+E909*$AC$14+F909*$AC$15+G909*$AC$16+H909*$AC$17+I909*$AC$18+J909*$AC$19+K909*$AC$20+L909*$AC$21+M909*$AC$22+N909*$AC$23+O909*$AC$24+P909*$AC$25+Q909*$AC$26+R909*$AC$27+S909*$AC$28+T909*$AC$29+U909*$AC$30</f>
        <v/>
      </c>
      <c r="W909" s="8">
        <f>1/(1+EXP(-V909))</f>
        <v/>
      </c>
      <c r="X909" s="9">
        <f>-IF(C909=1,LN(W909),LN(1-W909))</f>
        <v/>
      </c>
      <c r="Y909" s="10">
        <f>IF(W909&gt;$AC$34,1,0)</f>
        <v/>
      </c>
      <c r="Z909">
        <f>IF(Y909=C909,1,0)</f>
        <v/>
      </c>
    </row>
    <row r="910">
      <c r="A910">
        <f>'1 datos preparados'!A903</f>
        <v/>
      </c>
      <c r="B910" s="5">
        <f>'1 datos preparados'!U903</f>
        <v/>
      </c>
      <c r="C910">
        <f>'1 datos preparados'!B903</f>
        <v/>
      </c>
      <c r="D910" s="7">
        <f>'1 datos preparados'!C903</f>
        <v/>
      </c>
      <c r="E910" s="7">
        <f>'1 datos preparados'!D903</f>
        <v/>
      </c>
      <c r="F910" s="7">
        <f>'1 datos preparados'!E903</f>
        <v/>
      </c>
      <c r="G910" s="7">
        <f>'1 datos preparados'!F903</f>
        <v/>
      </c>
      <c r="H910" s="7">
        <f>'1 datos preparados'!G903</f>
        <v/>
      </c>
      <c r="I910" s="7">
        <f>'1 datos preparados'!H903</f>
        <v/>
      </c>
      <c r="J910" s="7">
        <f>'1 datos preparados'!I903</f>
        <v/>
      </c>
      <c r="K910" s="7">
        <f>'1 datos preparados'!J903</f>
        <v/>
      </c>
      <c r="L910" s="7">
        <f>'1 datos preparados'!K903</f>
        <v/>
      </c>
      <c r="M910" s="7">
        <f>'1 datos preparados'!L903</f>
        <v/>
      </c>
      <c r="N910" s="7">
        <f>'1 datos preparados'!M903</f>
        <v/>
      </c>
      <c r="O910" s="7">
        <f>'1 datos preparados'!N903</f>
        <v/>
      </c>
      <c r="P910" s="7">
        <f>'1 datos preparados'!O903</f>
        <v/>
      </c>
      <c r="Q910" s="7">
        <f>'1 datos preparados'!P903</f>
        <v/>
      </c>
      <c r="R910" s="7">
        <f>'1 datos preparados'!Q903</f>
        <v/>
      </c>
      <c r="S910" s="7">
        <f>'1 datos preparados'!R903</f>
        <v/>
      </c>
      <c r="T910" s="7">
        <f>'1 datos preparados'!S903</f>
        <v/>
      </c>
      <c r="U910" s="7">
        <f>'1 datos preparados'!T903</f>
        <v/>
      </c>
      <c r="V910" s="8">
        <f>$AC$12+D910*$AC$13+E910*$AC$14+F910*$AC$15+G910*$AC$16+H910*$AC$17+I910*$AC$18+J910*$AC$19+K910*$AC$20+L910*$AC$21+M910*$AC$22+N910*$AC$23+O910*$AC$24+P910*$AC$25+Q910*$AC$26+R910*$AC$27+S910*$AC$28+T910*$AC$29+U910*$AC$30</f>
        <v/>
      </c>
      <c r="W910" s="8">
        <f>1/(1+EXP(-V910))</f>
        <v/>
      </c>
      <c r="X910" s="9">
        <f>-IF(C910=1,LN(W910),LN(1-W910))</f>
        <v/>
      </c>
      <c r="Y910" s="10">
        <f>IF(W910&gt;$AC$34,1,0)</f>
        <v/>
      </c>
      <c r="Z910">
        <f>IF(Y910=C910,1,0)</f>
        <v/>
      </c>
    </row>
    <row r="911">
      <c r="A911">
        <f>'1 datos preparados'!A904</f>
        <v/>
      </c>
      <c r="B911" s="5">
        <f>'1 datos preparados'!U904</f>
        <v/>
      </c>
      <c r="C911">
        <f>'1 datos preparados'!B904</f>
        <v/>
      </c>
      <c r="D911" s="7">
        <f>'1 datos preparados'!C904</f>
        <v/>
      </c>
      <c r="E911" s="7">
        <f>'1 datos preparados'!D904</f>
        <v/>
      </c>
      <c r="F911" s="7">
        <f>'1 datos preparados'!E904</f>
        <v/>
      </c>
      <c r="G911" s="7">
        <f>'1 datos preparados'!F904</f>
        <v/>
      </c>
      <c r="H911" s="7">
        <f>'1 datos preparados'!G904</f>
        <v/>
      </c>
      <c r="I911" s="7">
        <f>'1 datos preparados'!H904</f>
        <v/>
      </c>
      <c r="J911" s="7">
        <f>'1 datos preparados'!I904</f>
        <v/>
      </c>
      <c r="K911" s="7">
        <f>'1 datos preparados'!J904</f>
        <v/>
      </c>
      <c r="L911" s="7">
        <f>'1 datos preparados'!K904</f>
        <v/>
      </c>
      <c r="M911" s="7">
        <f>'1 datos preparados'!L904</f>
        <v/>
      </c>
      <c r="N911" s="7">
        <f>'1 datos preparados'!M904</f>
        <v/>
      </c>
      <c r="O911" s="7">
        <f>'1 datos preparados'!N904</f>
        <v/>
      </c>
      <c r="P911" s="7">
        <f>'1 datos preparados'!O904</f>
        <v/>
      </c>
      <c r="Q911" s="7">
        <f>'1 datos preparados'!P904</f>
        <v/>
      </c>
      <c r="R911" s="7">
        <f>'1 datos preparados'!Q904</f>
        <v/>
      </c>
      <c r="S911" s="7">
        <f>'1 datos preparados'!R904</f>
        <v/>
      </c>
      <c r="T911" s="7">
        <f>'1 datos preparados'!S904</f>
        <v/>
      </c>
      <c r="U911" s="7">
        <f>'1 datos preparados'!T904</f>
        <v/>
      </c>
      <c r="V911" s="8">
        <f>$AC$12+D911*$AC$13+E911*$AC$14+F911*$AC$15+G911*$AC$16+H911*$AC$17+I911*$AC$18+J911*$AC$19+K911*$AC$20+L911*$AC$21+M911*$AC$22+N911*$AC$23+O911*$AC$24+P911*$AC$25+Q911*$AC$26+R911*$AC$27+S911*$AC$28+T911*$AC$29+U911*$AC$30</f>
        <v/>
      </c>
      <c r="W911" s="8">
        <f>1/(1+EXP(-V911))</f>
        <v/>
      </c>
      <c r="X911" s="9">
        <f>-IF(C911=1,LN(W911),LN(1-W911))</f>
        <v/>
      </c>
      <c r="Y911" s="10">
        <f>IF(W911&gt;$AC$34,1,0)</f>
        <v/>
      </c>
      <c r="Z911">
        <f>IF(Y911=C911,1,0)</f>
        <v/>
      </c>
    </row>
    <row r="912">
      <c r="A912">
        <f>'1 datos preparados'!A905</f>
        <v/>
      </c>
      <c r="B912" s="5">
        <f>'1 datos preparados'!U905</f>
        <v/>
      </c>
      <c r="C912">
        <f>'1 datos preparados'!B905</f>
        <v/>
      </c>
      <c r="D912" s="7">
        <f>'1 datos preparados'!C905</f>
        <v/>
      </c>
      <c r="E912" s="7">
        <f>'1 datos preparados'!D905</f>
        <v/>
      </c>
      <c r="F912" s="7">
        <f>'1 datos preparados'!E905</f>
        <v/>
      </c>
      <c r="G912" s="7">
        <f>'1 datos preparados'!F905</f>
        <v/>
      </c>
      <c r="H912" s="7">
        <f>'1 datos preparados'!G905</f>
        <v/>
      </c>
      <c r="I912" s="7">
        <f>'1 datos preparados'!H905</f>
        <v/>
      </c>
      <c r="J912" s="7">
        <f>'1 datos preparados'!I905</f>
        <v/>
      </c>
      <c r="K912" s="7">
        <f>'1 datos preparados'!J905</f>
        <v/>
      </c>
      <c r="L912" s="7">
        <f>'1 datos preparados'!K905</f>
        <v/>
      </c>
      <c r="M912" s="7">
        <f>'1 datos preparados'!L905</f>
        <v/>
      </c>
      <c r="N912" s="7">
        <f>'1 datos preparados'!M905</f>
        <v/>
      </c>
      <c r="O912" s="7">
        <f>'1 datos preparados'!N905</f>
        <v/>
      </c>
      <c r="P912" s="7">
        <f>'1 datos preparados'!O905</f>
        <v/>
      </c>
      <c r="Q912" s="7">
        <f>'1 datos preparados'!P905</f>
        <v/>
      </c>
      <c r="R912" s="7">
        <f>'1 datos preparados'!Q905</f>
        <v/>
      </c>
      <c r="S912" s="7">
        <f>'1 datos preparados'!R905</f>
        <v/>
      </c>
      <c r="T912" s="7">
        <f>'1 datos preparados'!S905</f>
        <v/>
      </c>
      <c r="U912" s="7">
        <f>'1 datos preparados'!T905</f>
        <v/>
      </c>
      <c r="V912" s="8">
        <f>$AC$12+D912*$AC$13+E912*$AC$14+F912*$AC$15+G912*$AC$16+H912*$AC$17+I912*$AC$18+J912*$AC$19+K912*$AC$20+L912*$AC$21+M912*$AC$22+N912*$AC$23+O912*$AC$24+P912*$AC$25+Q912*$AC$26+R912*$AC$27+S912*$AC$28+T912*$AC$29+U912*$AC$30</f>
        <v/>
      </c>
      <c r="W912" s="8">
        <f>1/(1+EXP(-V912))</f>
        <v/>
      </c>
      <c r="X912" s="9">
        <f>-IF(C912=1,LN(W912),LN(1-W912))</f>
        <v/>
      </c>
      <c r="Y912" s="10">
        <f>IF(W912&gt;$AC$34,1,0)</f>
        <v/>
      </c>
      <c r="Z912">
        <f>IF(Y912=C912,1,0)</f>
        <v/>
      </c>
    </row>
    <row r="913">
      <c r="A913">
        <f>'1 datos preparados'!A906</f>
        <v/>
      </c>
      <c r="B913" s="5">
        <f>'1 datos preparados'!U906</f>
        <v/>
      </c>
      <c r="C913">
        <f>'1 datos preparados'!B906</f>
        <v/>
      </c>
      <c r="D913" s="7">
        <f>'1 datos preparados'!C906</f>
        <v/>
      </c>
      <c r="E913" s="7">
        <f>'1 datos preparados'!D906</f>
        <v/>
      </c>
      <c r="F913" s="7">
        <f>'1 datos preparados'!E906</f>
        <v/>
      </c>
      <c r="G913" s="7">
        <f>'1 datos preparados'!F906</f>
        <v/>
      </c>
      <c r="H913" s="7">
        <f>'1 datos preparados'!G906</f>
        <v/>
      </c>
      <c r="I913" s="7">
        <f>'1 datos preparados'!H906</f>
        <v/>
      </c>
      <c r="J913" s="7">
        <f>'1 datos preparados'!I906</f>
        <v/>
      </c>
      <c r="K913" s="7">
        <f>'1 datos preparados'!J906</f>
        <v/>
      </c>
      <c r="L913" s="7">
        <f>'1 datos preparados'!K906</f>
        <v/>
      </c>
      <c r="M913" s="7">
        <f>'1 datos preparados'!L906</f>
        <v/>
      </c>
      <c r="N913" s="7">
        <f>'1 datos preparados'!M906</f>
        <v/>
      </c>
      <c r="O913" s="7">
        <f>'1 datos preparados'!N906</f>
        <v/>
      </c>
      <c r="P913" s="7">
        <f>'1 datos preparados'!O906</f>
        <v/>
      </c>
      <c r="Q913" s="7">
        <f>'1 datos preparados'!P906</f>
        <v/>
      </c>
      <c r="R913" s="7">
        <f>'1 datos preparados'!Q906</f>
        <v/>
      </c>
      <c r="S913" s="7">
        <f>'1 datos preparados'!R906</f>
        <v/>
      </c>
      <c r="T913" s="7">
        <f>'1 datos preparados'!S906</f>
        <v/>
      </c>
      <c r="U913" s="7">
        <f>'1 datos preparados'!T906</f>
        <v/>
      </c>
      <c r="V913" s="8">
        <f>$AC$12+D913*$AC$13+E913*$AC$14+F913*$AC$15+G913*$AC$16+H913*$AC$17+I913*$AC$18+J913*$AC$19+K913*$AC$20+L913*$AC$21+M913*$AC$22+N913*$AC$23+O913*$AC$24+P913*$AC$25+Q913*$AC$26+R913*$AC$27+S913*$AC$28+T913*$AC$29+U913*$AC$30</f>
        <v/>
      </c>
      <c r="W913" s="8">
        <f>1/(1+EXP(-V913))</f>
        <v/>
      </c>
      <c r="X913" s="9">
        <f>-IF(C913=1,LN(W913),LN(1-W913))</f>
        <v/>
      </c>
      <c r="Y913" s="10">
        <f>IF(W913&gt;$AC$34,1,0)</f>
        <v/>
      </c>
      <c r="Z913">
        <f>IF(Y913=C913,1,0)</f>
        <v/>
      </c>
    </row>
    <row r="914">
      <c r="A914">
        <f>'1 datos preparados'!A907</f>
        <v/>
      </c>
      <c r="B914" s="5">
        <f>'1 datos preparados'!U907</f>
        <v/>
      </c>
      <c r="C914">
        <f>'1 datos preparados'!B907</f>
        <v/>
      </c>
      <c r="D914" s="7">
        <f>'1 datos preparados'!C907</f>
        <v/>
      </c>
      <c r="E914" s="7">
        <f>'1 datos preparados'!D907</f>
        <v/>
      </c>
      <c r="F914" s="7">
        <f>'1 datos preparados'!E907</f>
        <v/>
      </c>
      <c r="G914" s="7">
        <f>'1 datos preparados'!F907</f>
        <v/>
      </c>
      <c r="H914" s="7">
        <f>'1 datos preparados'!G907</f>
        <v/>
      </c>
      <c r="I914" s="7">
        <f>'1 datos preparados'!H907</f>
        <v/>
      </c>
      <c r="J914" s="7">
        <f>'1 datos preparados'!I907</f>
        <v/>
      </c>
      <c r="K914" s="7">
        <f>'1 datos preparados'!J907</f>
        <v/>
      </c>
      <c r="L914" s="7">
        <f>'1 datos preparados'!K907</f>
        <v/>
      </c>
      <c r="M914" s="7">
        <f>'1 datos preparados'!L907</f>
        <v/>
      </c>
      <c r="N914" s="7">
        <f>'1 datos preparados'!M907</f>
        <v/>
      </c>
      <c r="O914" s="7">
        <f>'1 datos preparados'!N907</f>
        <v/>
      </c>
      <c r="P914" s="7">
        <f>'1 datos preparados'!O907</f>
        <v/>
      </c>
      <c r="Q914" s="7">
        <f>'1 datos preparados'!P907</f>
        <v/>
      </c>
      <c r="R914" s="7">
        <f>'1 datos preparados'!Q907</f>
        <v/>
      </c>
      <c r="S914" s="7">
        <f>'1 datos preparados'!R907</f>
        <v/>
      </c>
      <c r="T914" s="7">
        <f>'1 datos preparados'!S907</f>
        <v/>
      </c>
      <c r="U914" s="7">
        <f>'1 datos preparados'!T907</f>
        <v/>
      </c>
      <c r="V914" s="8">
        <f>$AC$12+D914*$AC$13+E914*$AC$14+F914*$AC$15+G914*$AC$16+H914*$AC$17+I914*$AC$18+J914*$AC$19+K914*$AC$20+L914*$AC$21+M914*$AC$22+N914*$AC$23+O914*$AC$24+P914*$AC$25+Q914*$AC$26+R914*$AC$27+S914*$AC$28+T914*$AC$29+U914*$AC$30</f>
        <v/>
      </c>
      <c r="W914" s="8">
        <f>1/(1+EXP(-V914))</f>
        <v/>
      </c>
      <c r="X914" s="9">
        <f>-IF(C914=1,LN(W914),LN(1-W914))</f>
        <v/>
      </c>
      <c r="Y914" s="10">
        <f>IF(W914&gt;$AC$34,1,0)</f>
        <v/>
      </c>
      <c r="Z914">
        <f>IF(Y914=C914,1,0)</f>
        <v/>
      </c>
    </row>
    <row r="915">
      <c r="A915">
        <f>'1 datos preparados'!A908</f>
        <v/>
      </c>
      <c r="B915" s="5">
        <f>'1 datos preparados'!U908</f>
        <v/>
      </c>
      <c r="C915">
        <f>'1 datos preparados'!B908</f>
        <v/>
      </c>
      <c r="D915" s="7">
        <f>'1 datos preparados'!C908</f>
        <v/>
      </c>
      <c r="E915" s="7">
        <f>'1 datos preparados'!D908</f>
        <v/>
      </c>
      <c r="F915" s="7">
        <f>'1 datos preparados'!E908</f>
        <v/>
      </c>
      <c r="G915" s="7">
        <f>'1 datos preparados'!F908</f>
        <v/>
      </c>
      <c r="H915" s="7">
        <f>'1 datos preparados'!G908</f>
        <v/>
      </c>
      <c r="I915" s="7">
        <f>'1 datos preparados'!H908</f>
        <v/>
      </c>
      <c r="J915" s="7">
        <f>'1 datos preparados'!I908</f>
        <v/>
      </c>
      <c r="K915" s="7">
        <f>'1 datos preparados'!J908</f>
        <v/>
      </c>
      <c r="L915" s="7">
        <f>'1 datos preparados'!K908</f>
        <v/>
      </c>
      <c r="M915" s="7">
        <f>'1 datos preparados'!L908</f>
        <v/>
      </c>
      <c r="N915" s="7">
        <f>'1 datos preparados'!M908</f>
        <v/>
      </c>
      <c r="O915" s="7">
        <f>'1 datos preparados'!N908</f>
        <v/>
      </c>
      <c r="P915" s="7">
        <f>'1 datos preparados'!O908</f>
        <v/>
      </c>
      <c r="Q915" s="7">
        <f>'1 datos preparados'!P908</f>
        <v/>
      </c>
      <c r="R915" s="7">
        <f>'1 datos preparados'!Q908</f>
        <v/>
      </c>
      <c r="S915" s="7">
        <f>'1 datos preparados'!R908</f>
        <v/>
      </c>
      <c r="T915" s="7">
        <f>'1 datos preparados'!S908</f>
        <v/>
      </c>
      <c r="U915" s="7">
        <f>'1 datos preparados'!T908</f>
        <v/>
      </c>
      <c r="V915" s="8">
        <f>$AC$12+D915*$AC$13+E915*$AC$14+F915*$AC$15+G915*$AC$16+H915*$AC$17+I915*$AC$18+J915*$AC$19+K915*$AC$20+L915*$AC$21+M915*$AC$22+N915*$AC$23+O915*$AC$24+P915*$AC$25+Q915*$AC$26+R915*$AC$27+S915*$AC$28+T915*$AC$29+U915*$AC$30</f>
        <v/>
      </c>
      <c r="W915" s="8">
        <f>1/(1+EXP(-V915))</f>
        <v/>
      </c>
      <c r="X915" s="9">
        <f>-IF(C915=1,LN(W915),LN(1-W915))</f>
        <v/>
      </c>
      <c r="Y915" s="10">
        <f>IF(W915&gt;$AC$34,1,0)</f>
        <v/>
      </c>
      <c r="Z915">
        <f>IF(Y915=C915,1,0)</f>
        <v/>
      </c>
    </row>
    <row r="916">
      <c r="A916">
        <f>'1 datos preparados'!A909</f>
        <v/>
      </c>
      <c r="B916" s="5">
        <f>'1 datos preparados'!U909</f>
        <v/>
      </c>
      <c r="C916">
        <f>'1 datos preparados'!B909</f>
        <v/>
      </c>
      <c r="D916" s="7">
        <f>'1 datos preparados'!C909</f>
        <v/>
      </c>
      <c r="E916" s="7">
        <f>'1 datos preparados'!D909</f>
        <v/>
      </c>
      <c r="F916" s="7">
        <f>'1 datos preparados'!E909</f>
        <v/>
      </c>
      <c r="G916" s="7">
        <f>'1 datos preparados'!F909</f>
        <v/>
      </c>
      <c r="H916" s="7">
        <f>'1 datos preparados'!G909</f>
        <v/>
      </c>
      <c r="I916" s="7">
        <f>'1 datos preparados'!H909</f>
        <v/>
      </c>
      <c r="J916" s="7">
        <f>'1 datos preparados'!I909</f>
        <v/>
      </c>
      <c r="K916" s="7">
        <f>'1 datos preparados'!J909</f>
        <v/>
      </c>
      <c r="L916" s="7">
        <f>'1 datos preparados'!K909</f>
        <v/>
      </c>
      <c r="M916" s="7">
        <f>'1 datos preparados'!L909</f>
        <v/>
      </c>
      <c r="N916" s="7">
        <f>'1 datos preparados'!M909</f>
        <v/>
      </c>
      <c r="O916" s="7">
        <f>'1 datos preparados'!N909</f>
        <v/>
      </c>
      <c r="P916" s="7">
        <f>'1 datos preparados'!O909</f>
        <v/>
      </c>
      <c r="Q916" s="7">
        <f>'1 datos preparados'!P909</f>
        <v/>
      </c>
      <c r="R916" s="7">
        <f>'1 datos preparados'!Q909</f>
        <v/>
      </c>
      <c r="S916" s="7">
        <f>'1 datos preparados'!R909</f>
        <v/>
      </c>
      <c r="T916" s="7">
        <f>'1 datos preparados'!S909</f>
        <v/>
      </c>
      <c r="U916" s="7">
        <f>'1 datos preparados'!T909</f>
        <v/>
      </c>
      <c r="V916" s="8">
        <f>$AC$12+D916*$AC$13+E916*$AC$14+F916*$AC$15+G916*$AC$16+H916*$AC$17+I916*$AC$18+J916*$AC$19+K916*$AC$20+L916*$AC$21+M916*$AC$22+N916*$AC$23+O916*$AC$24+P916*$AC$25+Q916*$AC$26+R916*$AC$27+S916*$AC$28+T916*$AC$29+U916*$AC$30</f>
        <v/>
      </c>
      <c r="W916" s="8">
        <f>1/(1+EXP(-V916))</f>
        <v/>
      </c>
      <c r="X916" s="9">
        <f>-IF(C916=1,LN(W916),LN(1-W916))</f>
        <v/>
      </c>
      <c r="Y916" s="10">
        <f>IF(W916&gt;$AC$34,1,0)</f>
        <v/>
      </c>
      <c r="Z916">
        <f>IF(Y916=C916,1,0)</f>
        <v/>
      </c>
    </row>
    <row r="917">
      <c r="A917">
        <f>'1 datos preparados'!A910</f>
        <v/>
      </c>
      <c r="B917" s="5">
        <f>'1 datos preparados'!U910</f>
        <v/>
      </c>
      <c r="C917">
        <f>'1 datos preparados'!B910</f>
        <v/>
      </c>
      <c r="D917" s="7">
        <f>'1 datos preparados'!C910</f>
        <v/>
      </c>
      <c r="E917" s="7">
        <f>'1 datos preparados'!D910</f>
        <v/>
      </c>
      <c r="F917" s="7">
        <f>'1 datos preparados'!E910</f>
        <v/>
      </c>
      <c r="G917" s="7">
        <f>'1 datos preparados'!F910</f>
        <v/>
      </c>
      <c r="H917" s="7">
        <f>'1 datos preparados'!G910</f>
        <v/>
      </c>
      <c r="I917" s="7">
        <f>'1 datos preparados'!H910</f>
        <v/>
      </c>
      <c r="J917" s="7">
        <f>'1 datos preparados'!I910</f>
        <v/>
      </c>
      <c r="K917" s="7">
        <f>'1 datos preparados'!J910</f>
        <v/>
      </c>
      <c r="L917" s="7">
        <f>'1 datos preparados'!K910</f>
        <v/>
      </c>
      <c r="M917" s="7">
        <f>'1 datos preparados'!L910</f>
        <v/>
      </c>
      <c r="N917" s="7">
        <f>'1 datos preparados'!M910</f>
        <v/>
      </c>
      <c r="O917" s="7">
        <f>'1 datos preparados'!N910</f>
        <v/>
      </c>
      <c r="P917" s="7">
        <f>'1 datos preparados'!O910</f>
        <v/>
      </c>
      <c r="Q917" s="7">
        <f>'1 datos preparados'!P910</f>
        <v/>
      </c>
      <c r="R917" s="7">
        <f>'1 datos preparados'!Q910</f>
        <v/>
      </c>
      <c r="S917" s="7">
        <f>'1 datos preparados'!R910</f>
        <v/>
      </c>
      <c r="T917" s="7">
        <f>'1 datos preparados'!S910</f>
        <v/>
      </c>
      <c r="U917" s="7">
        <f>'1 datos preparados'!T910</f>
        <v/>
      </c>
      <c r="V917" s="8">
        <f>$AC$12+D917*$AC$13+E917*$AC$14+F917*$AC$15+G917*$AC$16+H917*$AC$17+I917*$AC$18+J917*$AC$19+K917*$AC$20+L917*$AC$21+M917*$AC$22+N917*$AC$23+O917*$AC$24+P917*$AC$25+Q917*$AC$26+R917*$AC$27+S917*$AC$28+T917*$AC$29+U917*$AC$30</f>
        <v/>
      </c>
      <c r="W917" s="8">
        <f>1/(1+EXP(-V917))</f>
        <v/>
      </c>
      <c r="X917" s="9">
        <f>-IF(C917=1,LN(W917),LN(1-W917))</f>
        <v/>
      </c>
      <c r="Y917" s="10">
        <f>IF(W917&gt;$AC$34,1,0)</f>
        <v/>
      </c>
      <c r="Z917">
        <f>IF(Y917=C917,1,0)</f>
        <v/>
      </c>
    </row>
    <row r="918">
      <c r="A918">
        <f>'1 datos preparados'!A911</f>
        <v/>
      </c>
      <c r="B918" s="5">
        <f>'1 datos preparados'!U911</f>
        <v/>
      </c>
      <c r="C918">
        <f>'1 datos preparados'!B911</f>
        <v/>
      </c>
      <c r="D918" s="7">
        <f>'1 datos preparados'!C911</f>
        <v/>
      </c>
      <c r="E918" s="7">
        <f>'1 datos preparados'!D911</f>
        <v/>
      </c>
      <c r="F918" s="7">
        <f>'1 datos preparados'!E911</f>
        <v/>
      </c>
      <c r="G918" s="7">
        <f>'1 datos preparados'!F911</f>
        <v/>
      </c>
      <c r="H918" s="7">
        <f>'1 datos preparados'!G911</f>
        <v/>
      </c>
      <c r="I918" s="7">
        <f>'1 datos preparados'!H911</f>
        <v/>
      </c>
      <c r="J918" s="7">
        <f>'1 datos preparados'!I911</f>
        <v/>
      </c>
      <c r="K918" s="7">
        <f>'1 datos preparados'!J911</f>
        <v/>
      </c>
      <c r="L918" s="7">
        <f>'1 datos preparados'!K911</f>
        <v/>
      </c>
      <c r="M918" s="7">
        <f>'1 datos preparados'!L911</f>
        <v/>
      </c>
      <c r="N918" s="7">
        <f>'1 datos preparados'!M911</f>
        <v/>
      </c>
      <c r="O918" s="7">
        <f>'1 datos preparados'!N911</f>
        <v/>
      </c>
      <c r="P918" s="7">
        <f>'1 datos preparados'!O911</f>
        <v/>
      </c>
      <c r="Q918" s="7">
        <f>'1 datos preparados'!P911</f>
        <v/>
      </c>
      <c r="R918" s="7">
        <f>'1 datos preparados'!Q911</f>
        <v/>
      </c>
      <c r="S918" s="7">
        <f>'1 datos preparados'!R911</f>
        <v/>
      </c>
      <c r="T918" s="7">
        <f>'1 datos preparados'!S911</f>
        <v/>
      </c>
      <c r="U918" s="7">
        <f>'1 datos preparados'!T911</f>
        <v/>
      </c>
      <c r="V918" s="8">
        <f>$AC$12+D918*$AC$13+E918*$AC$14+F918*$AC$15+G918*$AC$16+H918*$AC$17+I918*$AC$18+J918*$AC$19+K918*$AC$20+L918*$AC$21+M918*$AC$22+N918*$AC$23+O918*$AC$24+P918*$AC$25+Q918*$AC$26+R918*$AC$27+S918*$AC$28+T918*$AC$29+U918*$AC$30</f>
        <v/>
      </c>
      <c r="W918" s="8">
        <f>1/(1+EXP(-V918))</f>
        <v/>
      </c>
      <c r="X918" s="9">
        <f>-IF(C918=1,LN(W918),LN(1-W918))</f>
        <v/>
      </c>
      <c r="Y918" s="10">
        <f>IF(W918&gt;$AC$34,1,0)</f>
        <v/>
      </c>
      <c r="Z918">
        <f>IF(Y918=C918,1,0)</f>
        <v/>
      </c>
    </row>
    <row r="919">
      <c r="A919">
        <f>'1 datos preparados'!A912</f>
        <v/>
      </c>
      <c r="B919" s="5">
        <f>'1 datos preparados'!U912</f>
        <v/>
      </c>
      <c r="C919">
        <f>'1 datos preparados'!B912</f>
        <v/>
      </c>
      <c r="D919" s="7">
        <f>'1 datos preparados'!C912</f>
        <v/>
      </c>
      <c r="E919" s="7">
        <f>'1 datos preparados'!D912</f>
        <v/>
      </c>
      <c r="F919" s="7">
        <f>'1 datos preparados'!E912</f>
        <v/>
      </c>
      <c r="G919" s="7">
        <f>'1 datos preparados'!F912</f>
        <v/>
      </c>
      <c r="H919" s="7">
        <f>'1 datos preparados'!G912</f>
        <v/>
      </c>
      <c r="I919" s="7">
        <f>'1 datos preparados'!H912</f>
        <v/>
      </c>
      <c r="J919" s="7">
        <f>'1 datos preparados'!I912</f>
        <v/>
      </c>
      <c r="K919" s="7">
        <f>'1 datos preparados'!J912</f>
        <v/>
      </c>
      <c r="L919" s="7">
        <f>'1 datos preparados'!K912</f>
        <v/>
      </c>
      <c r="M919" s="7">
        <f>'1 datos preparados'!L912</f>
        <v/>
      </c>
      <c r="N919" s="7">
        <f>'1 datos preparados'!M912</f>
        <v/>
      </c>
      <c r="O919" s="7">
        <f>'1 datos preparados'!N912</f>
        <v/>
      </c>
      <c r="P919" s="7">
        <f>'1 datos preparados'!O912</f>
        <v/>
      </c>
      <c r="Q919" s="7">
        <f>'1 datos preparados'!P912</f>
        <v/>
      </c>
      <c r="R919" s="7">
        <f>'1 datos preparados'!Q912</f>
        <v/>
      </c>
      <c r="S919" s="7">
        <f>'1 datos preparados'!R912</f>
        <v/>
      </c>
      <c r="T919" s="7">
        <f>'1 datos preparados'!S912</f>
        <v/>
      </c>
      <c r="U919" s="7">
        <f>'1 datos preparados'!T912</f>
        <v/>
      </c>
      <c r="V919" s="8">
        <f>$AC$12+D919*$AC$13+E919*$AC$14+F919*$AC$15+G919*$AC$16+H919*$AC$17+I919*$AC$18+J919*$AC$19+K919*$AC$20+L919*$AC$21+M919*$AC$22+N919*$AC$23+O919*$AC$24+P919*$AC$25+Q919*$AC$26+R919*$AC$27+S919*$AC$28+T919*$AC$29+U919*$AC$30</f>
        <v/>
      </c>
      <c r="W919" s="8">
        <f>1/(1+EXP(-V919))</f>
        <v/>
      </c>
      <c r="X919" s="9">
        <f>-IF(C919=1,LN(W919),LN(1-W919))</f>
        <v/>
      </c>
      <c r="Y919" s="10">
        <f>IF(W919&gt;$AC$34,1,0)</f>
        <v/>
      </c>
      <c r="Z919">
        <f>IF(Y919=C919,1,0)</f>
        <v/>
      </c>
    </row>
    <row r="920">
      <c r="A920">
        <f>'1 datos preparados'!A913</f>
        <v/>
      </c>
      <c r="B920" s="5">
        <f>'1 datos preparados'!U913</f>
        <v/>
      </c>
      <c r="C920">
        <f>'1 datos preparados'!B913</f>
        <v/>
      </c>
      <c r="D920" s="7">
        <f>'1 datos preparados'!C913</f>
        <v/>
      </c>
      <c r="E920" s="7">
        <f>'1 datos preparados'!D913</f>
        <v/>
      </c>
      <c r="F920" s="7">
        <f>'1 datos preparados'!E913</f>
        <v/>
      </c>
      <c r="G920" s="7">
        <f>'1 datos preparados'!F913</f>
        <v/>
      </c>
      <c r="H920" s="7">
        <f>'1 datos preparados'!G913</f>
        <v/>
      </c>
      <c r="I920" s="7">
        <f>'1 datos preparados'!H913</f>
        <v/>
      </c>
      <c r="J920" s="7">
        <f>'1 datos preparados'!I913</f>
        <v/>
      </c>
      <c r="K920" s="7">
        <f>'1 datos preparados'!J913</f>
        <v/>
      </c>
      <c r="L920" s="7">
        <f>'1 datos preparados'!K913</f>
        <v/>
      </c>
      <c r="M920" s="7">
        <f>'1 datos preparados'!L913</f>
        <v/>
      </c>
      <c r="N920" s="7">
        <f>'1 datos preparados'!M913</f>
        <v/>
      </c>
      <c r="O920" s="7">
        <f>'1 datos preparados'!N913</f>
        <v/>
      </c>
      <c r="P920" s="7">
        <f>'1 datos preparados'!O913</f>
        <v/>
      </c>
      <c r="Q920" s="7">
        <f>'1 datos preparados'!P913</f>
        <v/>
      </c>
      <c r="R920" s="7">
        <f>'1 datos preparados'!Q913</f>
        <v/>
      </c>
      <c r="S920" s="7">
        <f>'1 datos preparados'!R913</f>
        <v/>
      </c>
      <c r="T920" s="7">
        <f>'1 datos preparados'!S913</f>
        <v/>
      </c>
      <c r="U920" s="7">
        <f>'1 datos preparados'!T913</f>
        <v/>
      </c>
      <c r="V920" s="8">
        <f>$AC$12+D920*$AC$13+E920*$AC$14+F920*$AC$15+G920*$AC$16+H920*$AC$17+I920*$AC$18+J920*$AC$19+K920*$AC$20+L920*$AC$21+M920*$AC$22+N920*$AC$23+O920*$AC$24+P920*$AC$25+Q920*$AC$26+R920*$AC$27+S920*$AC$28+T920*$AC$29+U920*$AC$30</f>
        <v/>
      </c>
      <c r="W920" s="8">
        <f>1/(1+EXP(-V920))</f>
        <v/>
      </c>
      <c r="X920" s="9">
        <f>-IF(C920=1,LN(W920),LN(1-W920))</f>
        <v/>
      </c>
      <c r="Y920" s="10">
        <f>IF(W920&gt;$AC$34,1,0)</f>
        <v/>
      </c>
      <c r="Z920">
        <f>IF(Y920=C920,1,0)</f>
        <v/>
      </c>
    </row>
    <row r="921">
      <c r="A921">
        <f>'1 datos preparados'!A914</f>
        <v/>
      </c>
      <c r="B921" s="5">
        <f>'1 datos preparados'!U914</f>
        <v/>
      </c>
      <c r="C921">
        <f>'1 datos preparados'!B914</f>
        <v/>
      </c>
      <c r="D921" s="7">
        <f>'1 datos preparados'!C914</f>
        <v/>
      </c>
      <c r="E921" s="7">
        <f>'1 datos preparados'!D914</f>
        <v/>
      </c>
      <c r="F921" s="7">
        <f>'1 datos preparados'!E914</f>
        <v/>
      </c>
      <c r="G921" s="7">
        <f>'1 datos preparados'!F914</f>
        <v/>
      </c>
      <c r="H921" s="7">
        <f>'1 datos preparados'!G914</f>
        <v/>
      </c>
      <c r="I921" s="7">
        <f>'1 datos preparados'!H914</f>
        <v/>
      </c>
      <c r="J921" s="7">
        <f>'1 datos preparados'!I914</f>
        <v/>
      </c>
      <c r="K921" s="7">
        <f>'1 datos preparados'!J914</f>
        <v/>
      </c>
      <c r="L921" s="7">
        <f>'1 datos preparados'!K914</f>
        <v/>
      </c>
      <c r="M921" s="7">
        <f>'1 datos preparados'!L914</f>
        <v/>
      </c>
      <c r="N921" s="7">
        <f>'1 datos preparados'!M914</f>
        <v/>
      </c>
      <c r="O921" s="7">
        <f>'1 datos preparados'!N914</f>
        <v/>
      </c>
      <c r="P921" s="7">
        <f>'1 datos preparados'!O914</f>
        <v/>
      </c>
      <c r="Q921" s="7">
        <f>'1 datos preparados'!P914</f>
        <v/>
      </c>
      <c r="R921" s="7">
        <f>'1 datos preparados'!Q914</f>
        <v/>
      </c>
      <c r="S921" s="7">
        <f>'1 datos preparados'!R914</f>
        <v/>
      </c>
      <c r="T921" s="7">
        <f>'1 datos preparados'!S914</f>
        <v/>
      </c>
      <c r="U921" s="7">
        <f>'1 datos preparados'!T914</f>
        <v/>
      </c>
      <c r="V921" s="8">
        <f>$AC$12+D921*$AC$13+E921*$AC$14+F921*$AC$15+G921*$AC$16+H921*$AC$17+I921*$AC$18+J921*$AC$19+K921*$AC$20+L921*$AC$21+M921*$AC$22+N921*$AC$23+O921*$AC$24+P921*$AC$25+Q921*$AC$26+R921*$AC$27+S921*$AC$28+T921*$AC$29+U921*$AC$30</f>
        <v/>
      </c>
      <c r="W921" s="8">
        <f>1/(1+EXP(-V921))</f>
        <v/>
      </c>
      <c r="X921" s="9">
        <f>-IF(C921=1,LN(W921),LN(1-W921))</f>
        <v/>
      </c>
      <c r="Y921" s="10">
        <f>IF(W921&gt;$AC$34,1,0)</f>
        <v/>
      </c>
      <c r="Z921">
        <f>IF(Y921=C921,1,0)</f>
        <v/>
      </c>
    </row>
    <row r="922">
      <c r="A922">
        <f>'1 datos preparados'!A915</f>
        <v/>
      </c>
      <c r="B922" s="5">
        <f>'1 datos preparados'!U915</f>
        <v/>
      </c>
      <c r="C922">
        <f>'1 datos preparados'!B915</f>
        <v/>
      </c>
      <c r="D922" s="7">
        <f>'1 datos preparados'!C915</f>
        <v/>
      </c>
      <c r="E922" s="7">
        <f>'1 datos preparados'!D915</f>
        <v/>
      </c>
      <c r="F922" s="7">
        <f>'1 datos preparados'!E915</f>
        <v/>
      </c>
      <c r="G922" s="7">
        <f>'1 datos preparados'!F915</f>
        <v/>
      </c>
      <c r="H922" s="7">
        <f>'1 datos preparados'!G915</f>
        <v/>
      </c>
      <c r="I922" s="7">
        <f>'1 datos preparados'!H915</f>
        <v/>
      </c>
      <c r="J922" s="7">
        <f>'1 datos preparados'!I915</f>
        <v/>
      </c>
      <c r="K922" s="7">
        <f>'1 datos preparados'!J915</f>
        <v/>
      </c>
      <c r="L922" s="7">
        <f>'1 datos preparados'!K915</f>
        <v/>
      </c>
      <c r="M922" s="7">
        <f>'1 datos preparados'!L915</f>
        <v/>
      </c>
      <c r="N922" s="7">
        <f>'1 datos preparados'!M915</f>
        <v/>
      </c>
      <c r="O922" s="7">
        <f>'1 datos preparados'!N915</f>
        <v/>
      </c>
      <c r="P922" s="7">
        <f>'1 datos preparados'!O915</f>
        <v/>
      </c>
      <c r="Q922" s="7">
        <f>'1 datos preparados'!P915</f>
        <v/>
      </c>
      <c r="R922" s="7">
        <f>'1 datos preparados'!Q915</f>
        <v/>
      </c>
      <c r="S922" s="7">
        <f>'1 datos preparados'!R915</f>
        <v/>
      </c>
      <c r="T922" s="7">
        <f>'1 datos preparados'!S915</f>
        <v/>
      </c>
      <c r="U922" s="7">
        <f>'1 datos preparados'!T915</f>
        <v/>
      </c>
      <c r="V922" s="8">
        <f>$AC$12+D922*$AC$13+E922*$AC$14+F922*$AC$15+G922*$AC$16+H922*$AC$17+I922*$AC$18+J922*$AC$19+K922*$AC$20+L922*$AC$21+M922*$AC$22+N922*$AC$23+O922*$AC$24+P922*$AC$25+Q922*$AC$26+R922*$AC$27+S922*$AC$28+T922*$AC$29+U922*$AC$30</f>
        <v/>
      </c>
      <c r="W922" s="8">
        <f>1/(1+EXP(-V922))</f>
        <v/>
      </c>
      <c r="X922" s="9">
        <f>-IF(C922=1,LN(W922),LN(1-W922))</f>
        <v/>
      </c>
      <c r="Y922" s="10">
        <f>IF(W922&gt;$AC$34,1,0)</f>
        <v/>
      </c>
      <c r="Z922">
        <f>IF(Y922=C922,1,0)</f>
        <v/>
      </c>
    </row>
    <row r="923">
      <c r="A923">
        <f>'1 datos preparados'!A916</f>
        <v/>
      </c>
      <c r="B923" s="5">
        <f>'1 datos preparados'!U916</f>
        <v/>
      </c>
      <c r="C923">
        <f>'1 datos preparados'!B916</f>
        <v/>
      </c>
      <c r="D923" s="7">
        <f>'1 datos preparados'!C916</f>
        <v/>
      </c>
      <c r="E923" s="7">
        <f>'1 datos preparados'!D916</f>
        <v/>
      </c>
      <c r="F923" s="7">
        <f>'1 datos preparados'!E916</f>
        <v/>
      </c>
      <c r="G923" s="7">
        <f>'1 datos preparados'!F916</f>
        <v/>
      </c>
      <c r="H923" s="7">
        <f>'1 datos preparados'!G916</f>
        <v/>
      </c>
      <c r="I923" s="7">
        <f>'1 datos preparados'!H916</f>
        <v/>
      </c>
      <c r="J923" s="7">
        <f>'1 datos preparados'!I916</f>
        <v/>
      </c>
      <c r="K923" s="7">
        <f>'1 datos preparados'!J916</f>
        <v/>
      </c>
      <c r="L923" s="7">
        <f>'1 datos preparados'!K916</f>
        <v/>
      </c>
      <c r="M923" s="7">
        <f>'1 datos preparados'!L916</f>
        <v/>
      </c>
      <c r="N923" s="7">
        <f>'1 datos preparados'!M916</f>
        <v/>
      </c>
      <c r="O923" s="7">
        <f>'1 datos preparados'!N916</f>
        <v/>
      </c>
      <c r="P923" s="7">
        <f>'1 datos preparados'!O916</f>
        <v/>
      </c>
      <c r="Q923" s="7">
        <f>'1 datos preparados'!P916</f>
        <v/>
      </c>
      <c r="R923" s="7">
        <f>'1 datos preparados'!Q916</f>
        <v/>
      </c>
      <c r="S923" s="7">
        <f>'1 datos preparados'!R916</f>
        <v/>
      </c>
      <c r="T923" s="7">
        <f>'1 datos preparados'!S916</f>
        <v/>
      </c>
      <c r="U923" s="7">
        <f>'1 datos preparados'!T916</f>
        <v/>
      </c>
      <c r="V923" s="8">
        <f>$AC$12+D923*$AC$13+E923*$AC$14+F923*$AC$15+G923*$AC$16+H923*$AC$17+I923*$AC$18+J923*$AC$19+K923*$AC$20+L923*$AC$21+M923*$AC$22+N923*$AC$23+O923*$AC$24+P923*$AC$25+Q923*$AC$26+R923*$AC$27+S923*$AC$28+T923*$AC$29+U923*$AC$30</f>
        <v/>
      </c>
      <c r="W923" s="8">
        <f>1/(1+EXP(-V923))</f>
        <v/>
      </c>
      <c r="X923" s="9">
        <f>-IF(C923=1,LN(W923),LN(1-W923))</f>
        <v/>
      </c>
      <c r="Y923" s="10">
        <f>IF(W923&gt;$AC$34,1,0)</f>
        <v/>
      </c>
      <c r="Z923">
        <f>IF(Y923=C923,1,0)</f>
        <v/>
      </c>
    </row>
    <row r="924">
      <c r="A924">
        <f>'1 datos preparados'!A917</f>
        <v/>
      </c>
      <c r="B924" s="5">
        <f>'1 datos preparados'!U917</f>
        <v/>
      </c>
      <c r="C924">
        <f>'1 datos preparados'!B917</f>
        <v/>
      </c>
      <c r="D924" s="7">
        <f>'1 datos preparados'!C917</f>
        <v/>
      </c>
      <c r="E924" s="7">
        <f>'1 datos preparados'!D917</f>
        <v/>
      </c>
      <c r="F924" s="7">
        <f>'1 datos preparados'!E917</f>
        <v/>
      </c>
      <c r="G924" s="7">
        <f>'1 datos preparados'!F917</f>
        <v/>
      </c>
      <c r="H924" s="7">
        <f>'1 datos preparados'!G917</f>
        <v/>
      </c>
      <c r="I924" s="7">
        <f>'1 datos preparados'!H917</f>
        <v/>
      </c>
      <c r="J924" s="7">
        <f>'1 datos preparados'!I917</f>
        <v/>
      </c>
      <c r="K924" s="7">
        <f>'1 datos preparados'!J917</f>
        <v/>
      </c>
      <c r="L924" s="7">
        <f>'1 datos preparados'!K917</f>
        <v/>
      </c>
      <c r="M924" s="7">
        <f>'1 datos preparados'!L917</f>
        <v/>
      </c>
      <c r="N924" s="7">
        <f>'1 datos preparados'!M917</f>
        <v/>
      </c>
      <c r="O924" s="7">
        <f>'1 datos preparados'!N917</f>
        <v/>
      </c>
      <c r="P924" s="7">
        <f>'1 datos preparados'!O917</f>
        <v/>
      </c>
      <c r="Q924" s="7">
        <f>'1 datos preparados'!P917</f>
        <v/>
      </c>
      <c r="R924" s="7">
        <f>'1 datos preparados'!Q917</f>
        <v/>
      </c>
      <c r="S924" s="7">
        <f>'1 datos preparados'!R917</f>
        <v/>
      </c>
      <c r="T924" s="7">
        <f>'1 datos preparados'!S917</f>
        <v/>
      </c>
      <c r="U924" s="7">
        <f>'1 datos preparados'!T917</f>
        <v/>
      </c>
      <c r="V924" s="8">
        <f>$AC$12+D924*$AC$13+E924*$AC$14+F924*$AC$15+G924*$AC$16+H924*$AC$17+I924*$AC$18+J924*$AC$19+K924*$AC$20+L924*$AC$21+M924*$AC$22+N924*$AC$23+O924*$AC$24+P924*$AC$25+Q924*$AC$26+R924*$AC$27+S924*$AC$28+T924*$AC$29+U924*$AC$30</f>
        <v/>
      </c>
      <c r="W924" s="8">
        <f>1/(1+EXP(-V924))</f>
        <v/>
      </c>
      <c r="X924" s="9">
        <f>-IF(C924=1,LN(W924),LN(1-W924))</f>
        <v/>
      </c>
      <c r="Y924" s="10">
        <f>IF(W924&gt;$AC$34,1,0)</f>
        <v/>
      </c>
      <c r="Z924">
        <f>IF(Y924=C924,1,0)</f>
        <v/>
      </c>
    </row>
    <row r="925">
      <c r="A925">
        <f>'1 datos preparados'!A918</f>
        <v/>
      </c>
      <c r="B925" s="5">
        <f>'1 datos preparados'!U918</f>
        <v/>
      </c>
      <c r="C925">
        <f>'1 datos preparados'!B918</f>
        <v/>
      </c>
      <c r="D925" s="7">
        <f>'1 datos preparados'!C918</f>
        <v/>
      </c>
      <c r="E925" s="7">
        <f>'1 datos preparados'!D918</f>
        <v/>
      </c>
      <c r="F925" s="7">
        <f>'1 datos preparados'!E918</f>
        <v/>
      </c>
      <c r="G925" s="7">
        <f>'1 datos preparados'!F918</f>
        <v/>
      </c>
      <c r="H925" s="7">
        <f>'1 datos preparados'!G918</f>
        <v/>
      </c>
      <c r="I925" s="7">
        <f>'1 datos preparados'!H918</f>
        <v/>
      </c>
      <c r="J925" s="7">
        <f>'1 datos preparados'!I918</f>
        <v/>
      </c>
      <c r="K925" s="7">
        <f>'1 datos preparados'!J918</f>
        <v/>
      </c>
      <c r="L925" s="7">
        <f>'1 datos preparados'!K918</f>
        <v/>
      </c>
      <c r="M925" s="7">
        <f>'1 datos preparados'!L918</f>
        <v/>
      </c>
      <c r="N925" s="7">
        <f>'1 datos preparados'!M918</f>
        <v/>
      </c>
      <c r="O925" s="7">
        <f>'1 datos preparados'!N918</f>
        <v/>
      </c>
      <c r="P925" s="7">
        <f>'1 datos preparados'!O918</f>
        <v/>
      </c>
      <c r="Q925" s="7">
        <f>'1 datos preparados'!P918</f>
        <v/>
      </c>
      <c r="R925" s="7">
        <f>'1 datos preparados'!Q918</f>
        <v/>
      </c>
      <c r="S925" s="7">
        <f>'1 datos preparados'!R918</f>
        <v/>
      </c>
      <c r="T925" s="7">
        <f>'1 datos preparados'!S918</f>
        <v/>
      </c>
      <c r="U925" s="7">
        <f>'1 datos preparados'!T918</f>
        <v/>
      </c>
      <c r="V925" s="8">
        <f>$AC$12+D925*$AC$13+E925*$AC$14+F925*$AC$15+G925*$AC$16+H925*$AC$17+I925*$AC$18+J925*$AC$19+K925*$AC$20+L925*$AC$21+M925*$AC$22+N925*$AC$23+O925*$AC$24+P925*$AC$25+Q925*$AC$26+R925*$AC$27+S925*$AC$28+T925*$AC$29+U925*$AC$30</f>
        <v/>
      </c>
      <c r="W925" s="8">
        <f>1/(1+EXP(-V925))</f>
        <v/>
      </c>
      <c r="X925" s="9">
        <f>-IF(C925=1,LN(W925),LN(1-W925))</f>
        <v/>
      </c>
      <c r="Y925" s="10">
        <f>IF(W925&gt;$AC$34,1,0)</f>
        <v/>
      </c>
      <c r="Z925">
        <f>IF(Y925=C925,1,0)</f>
        <v/>
      </c>
    </row>
    <row r="926">
      <c r="A926">
        <f>'1 datos preparados'!A919</f>
        <v/>
      </c>
      <c r="B926" s="5">
        <f>'1 datos preparados'!U919</f>
        <v/>
      </c>
      <c r="C926">
        <f>'1 datos preparados'!B919</f>
        <v/>
      </c>
      <c r="D926" s="7">
        <f>'1 datos preparados'!C919</f>
        <v/>
      </c>
      <c r="E926" s="7">
        <f>'1 datos preparados'!D919</f>
        <v/>
      </c>
      <c r="F926" s="7">
        <f>'1 datos preparados'!E919</f>
        <v/>
      </c>
      <c r="G926" s="7">
        <f>'1 datos preparados'!F919</f>
        <v/>
      </c>
      <c r="H926" s="7">
        <f>'1 datos preparados'!G919</f>
        <v/>
      </c>
      <c r="I926" s="7">
        <f>'1 datos preparados'!H919</f>
        <v/>
      </c>
      <c r="J926" s="7">
        <f>'1 datos preparados'!I919</f>
        <v/>
      </c>
      <c r="K926" s="7">
        <f>'1 datos preparados'!J919</f>
        <v/>
      </c>
      <c r="L926" s="7">
        <f>'1 datos preparados'!K919</f>
        <v/>
      </c>
      <c r="M926" s="7">
        <f>'1 datos preparados'!L919</f>
        <v/>
      </c>
      <c r="N926" s="7">
        <f>'1 datos preparados'!M919</f>
        <v/>
      </c>
      <c r="O926" s="7">
        <f>'1 datos preparados'!N919</f>
        <v/>
      </c>
      <c r="P926" s="7">
        <f>'1 datos preparados'!O919</f>
        <v/>
      </c>
      <c r="Q926" s="7">
        <f>'1 datos preparados'!P919</f>
        <v/>
      </c>
      <c r="R926" s="7">
        <f>'1 datos preparados'!Q919</f>
        <v/>
      </c>
      <c r="S926" s="7">
        <f>'1 datos preparados'!R919</f>
        <v/>
      </c>
      <c r="T926" s="7">
        <f>'1 datos preparados'!S919</f>
        <v/>
      </c>
      <c r="U926" s="7">
        <f>'1 datos preparados'!T919</f>
        <v/>
      </c>
      <c r="V926" s="8">
        <f>$AC$12+D926*$AC$13+E926*$AC$14+F926*$AC$15+G926*$AC$16+H926*$AC$17+I926*$AC$18+J926*$AC$19+K926*$AC$20+L926*$AC$21+M926*$AC$22+N926*$AC$23+O926*$AC$24+P926*$AC$25+Q926*$AC$26+R926*$AC$27+S926*$AC$28+T926*$AC$29+U926*$AC$30</f>
        <v/>
      </c>
      <c r="W926" s="8">
        <f>1/(1+EXP(-V926))</f>
        <v/>
      </c>
      <c r="X926" s="9">
        <f>-IF(C926=1,LN(W926),LN(1-W926))</f>
        <v/>
      </c>
      <c r="Y926" s="10">
        <f>IF(W926&gt;$AC$34,1,0)</f>
        <v/>
      </c>
      <c r="Z926">
        <f>IF(Y926=C926,1,0)</f>
        <v/>
      </c>
    </row>
    <row r="927">
      <c r="A927">
        <f>'1 datos preparados'!A920</f>
        <v/>
      </c>
      <c r="B927" s="5">
        <f>'1 datos preparados'!U920</f>
        <v/>
      </c>
      <c r="C927">
        <f>'1 datos preparados'!B920</f>
        <v/>
      </c>
      <c r="D927" s="7">
        <f>'1 datos preparados'!C920</f>
        <v/>
      </c>
      <c r="E927" s="7">
        <f>'1 datos preparados'!D920</f>
        <v/>
      </c>
      <c r="F927" s="7">
        <f>'1 datos preparados'!E920</f>
        <v/>
      </c>
      <c r="G927" s="7">
        <f>'1 datos preparados'!F920</f>
        <v/>
      </c>
      <c r="H927" s="7">
        <f>'1 datos preparados'!G920</f>
        <v/>
      </c>
      <c r="I927" s="7">
        <f>'1 datos preparados'!H920</f>
        <v/>
      </c>
      <c r="J927" s="7">
        <f>'1 datos preparados'!I920</f>
        <v/>
      </c>
      <c r="K927" s="7">
        <f>'1 datos preparados'!J920</f>
        <v/>
      </c>
      <c r="L927" s="7">
        <f>'1 datos preparados'!K920</f>
        <v/>
      </c>
      <c r="M927" s="7">
        <f>'1 datos preparados'!L920</f>
        <v/>
      </c>
      <c r="N927" s="7">
        <f>'1 datos preparados'!M920</f>
        <v/>
      </c>
      <c r="O927" s="7">
        <f>'1 datos preparados'!N920</f>
        <v/>
      </c>
      <c r="P927" s="7">
        <f>'1 datos preparados'!O920</f>
        <v/>
      </c>
      <c r="Q927" s="7">
        <f>'1 datos preparados'!P920</f>
        <v/>
      </c>
      <c r="R927" s="7">
        <f>'1 datos preparados'!Q920</f>
        <v/>
      </c>
      <c r="S927" s="7">
        <f>'1 datos preparados'!R920</f>
        <v/>
      </c>
      <c r="T927" s="7">
        <f>'1 datos preparados'!S920</f>
        <v/>
      </c>
      <c r="U927" s="7">
        <f>'1 datos preparados'!T920</f>
        <v/>
      </c>
      <c r="V927" s="8">
        <f>$AC$12+D927*$AC$13+E927*$AC$14+F927*$AC$15+G927*$AC$16+H927*$AC$17+I927*$AC$18+J927*$AC$19+K927*$AC$20+L927*$AC$21+M927*$AC$22+N927*$AC$23+O927*$AC$24+P927*$AC$25+Q927*$AC$26+R927*$AC$27+S927*$AC$28+T927*$AC$29+U927*$AC$30</f>
        <v/>
      </c>
      <c r="W927" s="8">
        <f>1/(1+EXP(-V927))</f>
        <v/>
      </c>
      <c r="X927" s="9">
        <f>-IF(C927=1,LN(W927),LN(1-W927))</f>
        <v/>
      </c>
      <c r="Y927" s="10">
        <f>IF(W927&gt;$AC$34,1,0)</f>
        <v/>
      </c>
      <c r="Z927">
        <f>IF(Y927=C927,1,0)</f>
        <v/>
      </c>
    </row>
    <row r="928">
      <c r="A928">
        <f>'1 datos preparados'!A921</f>
        <v/>
      </c>
      <c r="B928" s="5">
        <f>'1 datos preparados'!U921</f>
        <v/>
      </c>
      <c r="C928">
        <f>'1 datos preparados'!B921</f>
        <v/>
      </c>
      <c r="D928" s="7">
        <f>'1 datos preparados'!C921</f>
        <v/>
      </c>
      <c r="E928" s="7">
        <f>'1 datos preparados'!D921</f>
        <v/>
      </c>
      <c r="F928" s="7">
        <f>'1 datos preparados'!E921</f>
        <v/>
      </c>
      <c r="G928" s="7">
        <f>'1 datos preparados'!F921</f>
        <v/>
      </c>
      <c r="H928" s="7">
        <f>'1 datos preparados'!G921</f>
        <v/>
      </c>
      <c r="I928" s="7">
        <f>'1 datos preparados'!H921</f>
        <v/>
      </c>
      <c r="J928" s="7">
        <f>'1 datos preparados'!I921</f>
        <v/>
      </c>
      <c r="K928" s="7">
        <f>'1 datos preparados'!J921</f>
        <v/>
      </c>
      <c r="L928" s="7">
        <f>'1 datos preparados'!K921</f>
        <v/>
      </c>
      <c r="M928" s="7">
        <f>'1 datos preparados'!L921</f>
        <v/>
      </c>
      <c r="N928" s="7">
        <f>'1 datos preparados'!M921</f>
        <v/>
      </c>
      <c r="O928" s="7">
        <f>'1 datos preparados'!N921</f>
        <v/>
      </c>
      <c r="P928" s="7">
        <f>'1 datos preparados'!O921</f>
        <v/>
      </c>
      <c r="Q928" s="7">
        <f>'1 datos preparados'!P921</f>
        <v/>
      </c>
      <c r="R928" s="7">
        <f>'1 datos preparados'!Q921</f>
        <v/>
      </c>
      <c r="S928" s="7">
        <f>'1 datos preparados'!R921</f>
        <v/>
      </c>
      <c r="T928" s="7">
        <f>'1 datos preparados'!S921</f>
        <v/>
      </c>
      <c r="U928" s="7">
        <f>'1 datos preparados'!T921</f>
        <v/>
      </c>
      <c r="V928" s="8">
        <f>$AC$12+D928*$AC$13+E928*$AC$14+F928*$AC$15+G928*$AC$16+H928*$AC$17+I928*$AC$18+J928*$AC$19+K928*$AC$20+L928*$AC$21+M928*$AC$22+N928*$AC$23+O928*$AC$24+P928*$AC$25+Q928*$AC$26+R928*$AC$27+S928*$AC$28+T928*$AC$29+U928*$AC$30</f>
        <v/>
      </c>
      <c r="W928" s="8">
        <f>1/(1+EXP(-V928))</f>
        <v/>
      </c>
      <c r="X928" s="9">
        <f>-IF(C928=1,LN(W928),LN(1-W928))</f>
        <v/>
      </c>
      <c r="Y928" s="10">
        <f>IF(W928&gt;$AC$34,1,0)</f>
        <v/>
      </c>
      <c r="Z928">
        <f>IF(Y928=C928,1,0)</f>
        <v/>
      </c>
    </row>
    <row r="929">
      <c r="A929">
        <f>'1 datos preparados'!A922</f>
        <v/>
      </c>
      <c r="B929" s="5">
        <f>'1 datos preparados'!U922</f>
        <v/>
      </c>
      <c r="C929">
        <f>'1 datos preparados'!B922</f>
        <v/>
      </c>
      <c r="D929" s="7">
        <f>'1 datos preparados'!C922</f>
        <v/>
      </c>
      <c r="E929" s="7">
        <f>'1 datos preparados'!D922</f>
        <v/>
      </c>
      <c r="F929" s="7">
        <f>'1 datos preparados'!E922</f>
        <v/>
      </c>
      <c r="G929" s="7">
        <f>'1 datos preparados'!F922</f>
        <v/>
      </c>
      <c r="H929" s="7">
        <f>'1 datos preparados'!G922</f>
        <v/>
      </c>
      <c r="I929" s="7">
        <f>'1 datos preparados'!H922</f>
        <v/>
      </c>
      <c r="J929" s="7">
        <f>'1 datos preparados'!I922</f>
        <v/>
      </c>
      <c r="K929" s="7">
        <f>'1 datos preparados'!J922</f>
        <v/>
      </c>
      <c r="L929" s="7">
        <f>'1 datos preparados'!K922</f>
        <v/>
      </c>
      <c r="M929" s="7">
        <f>'1 datos preparados'!L922</f>
        <v/>
      </c>
      <c r="N929" s="7">
        <f>'1 datos preparados'!M922</f>
        <v/>
      </c>
      <c r="O929" s="7">
        <f>'1 datos preparados'!N922</f>
        <v/>
      </c>
      <c r="P929" s="7">
        <f>'1 datos preparados'!O922</f>
        <v/>
      </c>
      <c r="Q929" s="7">
        <f>'1 datos preparados'!P922</f>
        <v/>
      </c>
      <c r="R929" s="7">
        <f>'1 datos preparados'!Q922</f>
        <v/>
      </c>
      <c r="S929" s="7">
        <f>'1 datos preparados'!R922</f>
        <v/>
      </c>
      <c r="T929" s="7">
        <f>'1 datos preparados'!S922</f>
        <v/>
      </c>
      <c r="U929" s="7">
        <f>'1 datos preparados'!T922</f>
        <v/>
      </c>
      <c r="V929" s="8">
        <f>$AC$12+D929*$AC$13+E929*$AC$14+F929*$AC$15+G929*$AC$16+H929*$AC$17+I929*$AC$18+J929*$AC$19+K929*$AC$20+L929*$AC$21+M929*$AC$22+N929*$AC$23+O929*$AC$24+P929*$AC$25+Q929*$AC$26+R929*$AC$27+S929*$AC$28+T929*$AC$29+U929*$AC$30</f>
        <v/>
      </c>
      <c r="W929" s="8">
        <f>1/(1+EXP(-V929))</f>
        <v/>
      </c>
      <c r="X929" s="9">
        <f>-IF(C929=1,LN(W929),LN(1-W929))</f>
        <v/>
      </c>
      <c r="Y929" s="10">
        <f>IF(W929&gt;$AC$34,1,0)</f>
        <v/>
      </c>
      <c r="Z929">
        <f>IF(Y929=C929,1,0)</f>
        <v/>
      </c>
    </row>
    <row r="930">
      <c r="A930">
        <f>'1 datos preparados'!A923</f>
        <v/>
      </c>
      <c r="B930" s="5">
        <f>'1 datos preparados'!U923</f>
        <v/>
      </c>
      <c r="C930">
        <f>'1 datos preparados'!B923</f>
        <v/>
      </c>
      <c r="D930" s="7">
        <f>'1 datos preparados'!C923</f>
        <v/>
      </c>
      <c r="E930" s="7">
        <f>'1 datos preparados'!D923</f>
        <v/>
      </c>
      <c r="F930" s="7">
        <f>'1 datos preparados'!E923</f>
        <v/>
      </c>
      <c r="G930" s="7">
        <f>'1 datos preparados'!F923</f>
        <v/>
      </c>
      <c r="H930" s="7">
        <f>'1 datos preparados'!G923</f>
        <v/>
      </c>
      <c r="I930" s="7">
        <f>'1 datos preparados'!H923</f>
        <v/>
      </c>
      <c r="J930" s="7">
        <f>'1 datos preparados'!I923</f>
        <v/>
      </c>
      <c r="K930" s="7">
        <f>'1 datos preparados'!J923</f>
        <v/>
      </c>
      <c r="L930" s="7">
        <f>'1 datos preparados'!K923</f>
        <v/>
      </c>
      <c r="M930" s="7">
        <f>'1 datos preparados'!L923</f>
        <v/>
      </c>
      <c r="N930" s="7">
        <f>'1 datos preparados'!M923</f>
        <v/>
      </c>
      <c r="O930" s="7">
        <f>'1 datos preparados'!N923</f>
        <v/>
      </c>
      <c r="P930" s="7">
        <f>'1 datos preparados'!O923</f>
        <v/>
      </c>
      <c r="Q930" s="7">
        <f>'1 datos preparados'!P923</f>
        <v/>
      </c>
      <c r="R930" s="7">
        <f>'1 datos preparados'!Q923</f>
        <v/>
      </c>
      <c r="S930" s="7">
        <f>'1 datos preparados'!R923</f>
        <v/>
      </c>
      <c r="T930" s="7">
        <f>'1 datos preparados'!S923</f>
        <v/>
      </c>
      <c r="U930" s="7">
        <f>'1 datos preparados'!T923</f>
        <v/>
      </c>
      <c r="V930" s="8">
        <f>$AC$12+D930*$AC$13+E930*$AC$14+F930*$AC$15+G930*$AC$16+H930*$AC$17+I930*$AC$18+J930*$AC$19+K930*$AC$20+L930*$AC$21+M930*$AC$22+N930*$AC$23+O930*$AC$24+P930*$AC$25+Q930*$AC$26+R930*$AC$27+S930*$AC$28+T930*$AC$29+U930*$AC$30</f>
        <v/>
      </c>
      <c r="W930" s="8">
        <f>1/(1+EXP(-V930))</f>
        <v/>
      </c>
      <c r="X930" s="9">
        <f>-IF(C930=1,LN(W930),LN(1-W930))</f>
        <v/>
      </c>
      <c r="Y930" s="10">
        <f>IF(W930&gt;$AC$34,1,0)</f>
        <v/>
      </c>
      <c r="Z930">
        <f>IF(Y930=C930,1,0)</f>
        <v/>
      </c>
    </row>
    <row r="931">
      <c r="A931">
        <f>'1 datos preparados'!A924</f>
        <v/>
      </c>
      <c r="B931" s="5">
        <f>'1 datos preparados'!U924</f>
        <v/>
      </c>
      <c r="C931">
        <f>'1 datos preparados'!B924</f>
        <v/>
      </c>
      <c r="D931" s="7">
        <f>'1 datos preparados'!C924</f>
        <v/>
      </c>
      <c r="E931" s="7">
        <f>'1 datos preparados'!D924</f>
        <v/>
      </c>
      <c r="F931" s="7">
        <f>'1 datos preparados'!E924</f>
        <v/>
      </c>
      <c r="G931" s="7">
        <f>'1 datos preparados'!F924</f>
        <v/>
      </c>
      <c r="H931" s="7">
        <f>'1 datos preparados'!G924</f>
        <v/>
      </c>
      <c r="I931" s="7">
        <f>'1 datos preparados'!H924</f>
        <v/>
      </c>
      <c r="J931" s="7">
        <f>'1 datos preparados'!I924</f>
        <v/>
      </c>
      <c r="K931" s="7">
        <f>'1 datos preparados'!J924</f>
        <v/>
      </c>
      <c r="L931" s="7">
        <f>'1 datos preparados'!K924</f>
        <v/>
      </c>
      <c r="M931" s="7">
        <f>'1 datos preparados'!L924</f>
        <v/>
      </c>
      <c r="N931" s="7">
        <f>'1 datos preparados'!M924</f>
        <v/>
      </c>
      <c r="O931" s="7">
        <f>'1 datos preparados'!N924</f>
        <v/>
      </c>
      <c r="P931" s="7">
        <f>'1 datos preparados'!O924</f>
        <v/>
      </c>
      <c r="Q931" s="7">
        <f>'1 datos preparados'!P924</f>
        <v/>
      </c>
      <c r="R931" s="7">
        <f>'1 datos preparados'!Q924</f>
        <v/>
      </c>
      <c r="S931" s="7">
        <f>'1 datos preparados'!R924</f>
        <v/>
      </c>
      <c r="T931" s="7">
        <f>'1 datos preparados'!S924</f>
        <v/>
      </c>
      <c r="U931" s="7">
        <f>'1 datos preparados'!T924</f>
        <v/>
      </c>
      <c r="V931" s="8">
        <f>$AC$12+D931*$AC$13+E931*$AC$14+F931*$AC$15+G931*$AC$16+H931*$AC$17+I931*$AC$18+J931*$AC$19+K931*$AC$20+L931*$AC$21+M931*$AC$22+N931*$AC$23+O931*$AC$24+P931*$AC$25+Q931*$AC$26+R931*$AC$27+S931*$AC$28+T931*$AC$29+U931*$AC$30</f>
        <v/>
      </c>
      <c r="W931" s="8">
        <f>1/(1+EXP(-V931))</f>
        <v/>
      </c>
      <c r="X931" s="9">
        <f>-IF(C931=1,LN(W931),LN(1-W931))</f>
        <v/>
      </c>
      <c r="Y931" s="10">
        <f>IF(W931&gt;$AC$34,1,0)</f>
        <v/>
      </c>
      <c r="Z931">
        <f>IF(Y931=C931,1,0)</f>
        <v/>
      </c>
    </row>
    <row r="932">
      <c r="A932">
        <f>'1 datos preparados'!A925</f>
        <v/>
      </c>
      <c r="B932" s="5">
        <f>'1 datos preparados'!U925</f>
        <v/>
      </c>
      <c r="C932">
        <f>'1 datos preparados'!B925</f>
        <v/>
      </c>
      <c r="D932" s="7">
        <f>'1 datos preparados'!C925</f>
        <v/>
      </c>
      <c r="E932" s="7">
        <f>'1 datos preparados'!D925</f>
        <v/>
      </c>
      <c r="F932" s="7">
        <f>'1 datos preparados'!E925</f>
        <v/>
      </c>
      <c r="G932" s="7">
        <f>'1 datos preparados'!F925</f>
        <v/>
      </c>
      <c r="H932" s="7">
        <f>'1 datos preparados'!G925</f>
        <v/>
      </c>
      <c r="I932" s="7">
        <f>'1 datos preparados'!H925</f>
        <v/>
      </c>
      <c r="J932" s="7">
        <f>'1 datos preparados'!I925</f>
        <v/>
      </c>
      <c r="K932" s="7">
        <f>'1 datos preparados'!J925</f>
        <v/>
      </c>
      <c r="L932" s="7">
        <f>'1 datos preparados'!K925</f>
        <v/>
      </c>
      <c r="M932" s="7">
        <f>'1 datos preparados'!L925</f>
        <v/>
      </c>
      <c r="N932" s="7">
        <f>'1 datos preparados'!M925</f>
        <v/>
      </c>
      <c r="O932" s="7">
        <f>'1 datos preparados'!N925</f>
        <v/>
      </c>
      <c r="P932" s="7">
        <f>'1 datos preparados'!O925</f>
        <v/>
      </c>
      <c r="Q932" s="7">
        <f>'1 datos preparados'!P925</f>
        <v/>
      </c>
      <c r="R932" s="7">
        <f>'1 datos preparados'!Q925</f>
        <v/>
      </c>
      <c r="S932" s="7">
        <f>'1 datos preparados'!R925</f>
        <v/>
      </c>
      <c r="T932" s="7">
        <f>'1 datos preparados'!S925</f>
        <v/>
      </c>
      <c r="U932" s="7">
        <f>'1 datos preparados'!T925</f>
        <v/>
      </c>
      <c r="V932" s="8">
        <f>$AC$12+D932*$AC$13+E932*$AC$14+F932*$AC$15+G932*$AC$16+H932*$AC$17+I932*$AC$18+J932*$AC$19+K932*$AC$20+L932*$AC$21+M932*$AC$22+N932*$AC$23+O932*$AC$24+P932*$AC$25+Q932*$AC$26+R932*$AC$27+S932*$AC$28+T932*$AC$29+U932*$AC$30</f>
        <v/>
      </c>
      <c r="W932" s="8">
        <f>1/(1+EXP(-V932))</f>
        <v/>
      </c>
      <c r="X932" s="9">
        <f>-IF(C932=1,LN(W932),LN(1-W932))</f>
        <v/>
      </c>
      <c r="Y932" s="10">
        <f>IF(W932&gt;$AC$34,1,0)</f>
        <v/>
      </c>
      <c r="Z932">
        <f>IF(Y932=C932,1,0)</f>
        <v/>
      </c>
    </row>
    <row r="933">
      <c r="A933">
        <f>'1 datos preparados'!A926</f>
        <v/>
      </c>
      <c r="B933" s="5">
        <f>'1 datos preparados'!U926</f>
        <v/>
      </c>
      <c r="C933">
        <f>'1 datos preparados'!B926</f>
        <v/>
      </c>
      <c r="D933" s="7">
        <f>'1 datos preparados'!C926</f>
        <v/>
      </c>
      <c r="E933" s="7">
        <f>'1 datos preparados'!D926</f>
        <v/>
      </c>
      <c r="F933" s="7">
        <f>'1 datos preparados'!E926</f>
        <v/>
      </c>
      <c r="G933" s="7">
        <f>'1 datos preparados'!F926</f>
        <v/>
      </c>
      <c r="H933" s="7">
        <f>'1 datos preparados'!G926</f>
        <v/>
      </c>
      <c r="I933" s="7">
        <f>'1 datos preparados'!H926</f>
        <v/>
      </c>
      <c r="J933" s="7">
        <f>'1 datos preparados'!I926</f>
        <v/>
      </c>
      <c r="K933" s="7">
        <f>'1 datos preparados'!J926</f>
        <v/>
      </c>
      <c r="L933" s="7">
        <f>'1 datos preparados'!K926</f>
        <v/>
      </c>
      <c r="M933" s="7">
        <f>'1 datos preparados'!L926</f>
        <v/>
      </c>
      <c r="N933" s="7">
        <f>'1 datos preparados'!M926</f>
        <v/>
      </c>
      <c r="O933" s="7">
        <f>'1 datos preparados'!N926</f>
        <v/>
      </c>
      <c r="P933" s="7">
        <f>'1 datos preparados'!O926</f>
        <v/>
      </c>
      <c r="Q933" s="7">
        <f>'1 datos preparados'!P926</f>
        <v/>
      </c>
      <c r="R933" s="7">
        <f>'1 datos preparados'!Q926</f>
        <v/>
      </c>
      <c r="S933" s="7">
        <f>'1 datos preparados'!R926</f>
        <v/>
      </c>
      <c r="T933" s="7">
        <f>'1 datos preparados'!S926</f>
        <v/>
      </c>
      <c r="U933" s="7">
        <f>'1 datos preparados'!T926</f>
        <v/>
      </c>
      <c r="V933" s="8">
        <f>$AC$12+D933*$AC$13+E933*$AC$14+F933*$AC$15+G933*$AC$16+H933*$AC$17+I933*$AC$18+J933*$AC$19+K933*$AC$20+L933*$AC$21+M933*$AC$22+N933*$AC$23+O933*$AC$24+P933*$AC$25+Q933*$AC$26+R933*$AC$27+S933*$AC$28+T933*$AC$29+U933*$AC$30</f>
        <v/>
      </c>
      <c r="W933" s="8">
        <f>1/(1+EXP(-V933))</f>
        <v/>
      </c>
      <c r="X933" s="9">
        <f>-IF(C933=1,LN(W933),LN(1-W933))</f>
        <v/>
      </c>
      <c r="Y933" s="10">
        <f>IF(W933&gt;$AC$34,1,0)</f>
        <v/>
      </c>
      <c r="Z933">
        <f>IF(Y933=C933,1,0)</f>
        <v/>
      </c>
    </row>
    <row r="934">
      <c r="A934">
        <f>'1 datos preparados'!A927</f>
        <v/>
      </c>
      <c r="B934" s="5">
        <f>'1 datos preparados'!U927</f>
        <v/>
      </c>
      <c r="C934">
        <f>'1 datos preparados'!B927</f>
        <v/>
      </c>
      <c r="D934" s="7">
        <f>'1 datos preparados'!C927</f>
        <v/>
      </c>
      <c r="E934" s="7">
        <f>'1 datos preparados'!D927</f>
        <v/>
      </c>
      <c r="F934" s="7">
        <f>'1 datos preparados'!E927</f>
        <v/>
      </c>
      <c r="G934" s="7">
        <f>'1 datos preparados'!F927</f>
        <v/>
      </c>
      <c r="H934" s="7">
        <f>'1 datos preparados'!G927</f>
        <v/>
      </c>
      <c r="I934" s="7">
        <f>'1 datos preparados'!H927</f>
        <v/>
      </c>
      <c r="J934" s="7">
        <f>'1 datos preparados'!I927</f>
        <v/>
      </c>
      <c r="K934" s="7">
        <f>'1 datos preparados'!J927</f>
        <v/>
      </c>
      <c r="L934" s="7">
        <f>'1 datos preparados'!K927</f>
        <v/>
      </c>
      <c r="M934" s="7">
        <f>'1 datos preparados'!L927</f>
        <v/>
      </c>
      <c r="N934" s="7">
        <f>'1 datos preparados'!M927</f>
        <v/>
      </c>
      <c r="O934" s="7">
        <f>'1 datos preparados'!N927</f>
        <v/>
      </c>
      <c r="P934" s="7">
        <f>'1 datos preparados'!O927</f>
        <v/>
      </c>
      <c r="Q934" s="7">
        <f>'1 datos preparados'!P927</f>
        <v/>
      </c>
      <c r="R934" s="7">
        <f>'1 datos preparados'!Q927</f>
        <v/>
      </c>
      <c r="S934" s="7">
        <f>'1 datos preparados'!R927</f>
        <v/>
      </c>
      <c r="T934" s="7">
        <f>'1 datos preparados'!S927</f>
        <v/>
      </c>
      <c r="U934" s="7">
        <f>'1 datos preparados'!T927</f>
        <v/>
      </c>
      <c r="V934" s="8">
        <f>$AC$12+D934*$AC$13+E934*$AC$14+F934*$AC$15+G934*$AC$16+H934*$AC$17+I934*$AC$18+J934*$AC$19+K934*$AC$20+L934*$AC$21+M934*$AC$22+N934*$AC$23+O934*$AC$24+P934*$AC$25+Q934*$AC$26+R934*$AC$27+S934*$AC$28+T934*$AC$29+U934*$AC$30</f>
        <v/>
      </c>
      <c r="W934" s="8">
        <f>1/(1+EXP(-V934))</f>
        <v/>
      </c>
      <c r="X934" s="9">
        <f>-IF(C934=1,LN(W934),LN(1-W934))</f>
        <v/>
      </c>
      <c r="Y934" s="10">
        <f>IF(W934&gt;$AC$34,1,0)</f>
        <v/>
      </c>
      <c r="Z934">
        <f>IF(Y934=C934,1,0)</f>
        <v/>
      </c>
    </row>
    <row r="935">
      <c r="A935">
        <f>'1 datos preparados'!A928</f>
        <v/>
      </c>
      <c r="B935" s="5">
        <f>'1 datos preparados'!U928</f>
        <v/>
      </c>
      <c r="C935">
        <f>'1 datos preparados'!B928</f>
        <v/>
      </c>
      <c r="D935" s="7">
        <f>'1 datos preparados'!C928</f>
        <v/>
      </c>
      <c r="E935" s="7">
        <f>'1 datos preparados'!D928</f>
        <v/>
      </c>
      <c r="F935" s="7">
        <f>'1 datos preparados'!E928</f>
        <v/>
      </c>
      <c r="G935" s="7">
        <f>'1 datos preparados'!F928</f>
        <v/>
      </c>
      <c r="H935" s="7">
        <f>'1 datos preparados'!G928</f>
        <v/>
      </c>
      <c r="I935" s="7">
        <f>'1 datos preparados'!H928</f>
        <v/>
      </c>
      <c r="J935" s="7">
        <f>'1 datos preparados'!I928</f>
        <v/>
      </c>
      <c r="K935" s="7">
        <f>'1 datos preparados'!J928</f>
        <v/>
      </c>
      <c r="L935" s="7">
        <f>'1 datos preparados'!K928</f>
        <v/>
      </c>
      <c r="M935" s="7">
        <f>'1 datos preparados'!L928</f>
        <v/>
      </c>
      <c r="N935" s="7">
        <f>'1 datos preparados'!M928</f>
        <v/>
      </c>
      <c r="O935" s="7">
        <f>'1 datos preparados'!N928</f>
        <v/>
      </c>
      <c r="P935" s="7">
        <f>'1 datos preparados'!O928</f>
        <v/>
      </c>
      <c r="Q935" s="7">
        <f>'1 datos preparados'!P928</f>
        <v/>
      </c>
      <c r="R935" s="7">
        <f>'1 datos preparados'!Q928</f>
        <v/>
      </c>
      <c r="S935" s="7">
        <f>'1 datos preparados'!R928</f>
        <v/>
      </c>
      <c r="T935" s="7">
        <f>'1 datos preparados'!S928</f>
        <v/>
      </c>
      <c r="U935" s="7">
        <f>'1 datos preparados'!T928</f>
        <v/>
      </c>
      <c r="V935" s="8">
        <f>$AC$12+D935*$AC$13+E935*$AC$14+F935*$AC$15+G935*$AC$16+H935*$AC$17+I935*$AC$18+J935*$AC$19+K935*$AC$20+L935*$AC$21+M935*$AC$22+N935*$AC$23+O935*$AC$24+P935*$AC$25+Q935*$AC$26+R935*$AC$27+S935*$AC$28+T935*$AC$29+U935*$AC$30</f>
        <v/>
      </c>
      <c r="W935" s="8">
        <f>1/(1+EXP(-V935))</f>
        <v/>
      </c>
      <c r="X935" s="9">
        <f>-IF(C935=1,LN(W935),LN(1-W935))</f>
        <v/>
      </c>
      <c r="Y935" s="10">
        <f>IF(W935&gt;$AC$34,1,0)</f>
        <v/>
      </c>
      <c r="Z935">
        <f>IF(Y935=C935,1,0)</f>
        <v/>
      </c>
    </row>
    <row r="936">
      <c r="A936">
        <f>'1 datos preparados'!A929</f>
        <v/>
      </c>
      <c r="B936" s="5">
        <f>'1 datos preparados'!U929</f>
        <v/>
      </c>
      <c r="C936">
        <f>'1 datos preparados'!B929</f>
        <v/>
      </c>
      <c r="D936" s="7">
        <f>'1 datos preparados'!C929</f>
        <v/>
      </c>
      <c r="E936" s="7">
        <f>'1 datos preparados'!D929</f>
        <v/>
      </c>
      <c r="F936" s="7">
        <f>'1 datos preparados'!E929</f>
        <v/>
      </c>
      <c r="G936" s="7">
        <f>'1 datos preparados'!F929</f>
        <v/>
      </c>
      <c r="H936" s="7">
        <f>'1 datos preparados'!G929</f>
        <v/>
      </c>
      <c r="I936" s="7">
        <f>'1 datos preparados'!H929</f>
        <v/>
      </c>
      <c r="J936" s="7">
        <f>'1 datos preparados'!I929</f>
        <v/>
      </c>
      <c r="K936" s="7">
        <f>'1 datos preparados'!J929</f>
        <v/>
      </c>
      <c r="L936" s="7">
        <f>'1 datos preparados'!K929</f>
        <v/>
      </c>
      <c r="M936" s="7">
        <f>'1 datos preparados'!L929</f>
        <v/>
      </c>
      <c r="N936" s="7">
        <f>'1 datos preparados'!M929</f>
        <v/>
      </c>
      <c r="O936" s="7">
        <f>'1 datos preparados'!N929</f>
        <v/>
      </c>
      <c r="P936" s="7">
        <f>'1 datos preparados'!O929</f>
        <v/>
      </c>
      <c r="Q936" s="7">
        <f>'1 datos preparados'!P929</f>
        <v/>
      </c>
      <c r="R936" s="7">
        <f>'1 datos preparados'!Q929</f>
        <v/>
      </c>
      <c r="S936" s="7">
        <f>'1 datos preparados'!R929</f>
        <v/>
      </c>
      <c r="T936" s="7">
        <f>'1 datos preparados'!S929</f>
        <v/>
      </c>
      <c r="U936" s="7">
        <f>'1 datos preparados'!T929</f>
        <v/>
      </c>
      <c r="V936" s="8">
        <f>$AC$12+D936*$AC$13+E936*$AC$14+F936*$AC$15+G936*$AC$16+H936*$AC$17+I936*$AC$18+J936*$AC$19+K936*$AC$20+L936*$AC$21+M936*$AC$22+N936*$AC$23+O936*$AC$24+P936*$AC$25+Q936*$AC$26+R936*$AC$27+S936*$AC$28+T936*$AC$29+U936*$AC$30</f>
        <v/>
      </c>
      <c r="W936" s="8">
        <f>1/(1+EXP(-V936))</f>
        <v/>
      </c>
      <c r="X936" s="9">
        <f>-IF(C936=1,LN(W936),LN(1-W936))</f>
        <v/>
      </c>
      <c r="Y936" s="10">
        <f>IF(W936&gt;$AC$34,1,0)</f>
        <v/>
      </c>
      <c r="Z936">
        <f>IF(Y936=C936,1,0)</f>
        <v/>
      </c>
    </row>
    <row r="937">
      <c r="A937">
        <f>'1 datos preparados'!A930</f>
        <v/>
      </c>
      <c r="B937" s="5">
        <f>'1 datos preparados'!U930</f>
        <v/>
      </c>
      <c r="C937">
        <f>'1 datos preparados'!B930</f>
        <v/>
      </c>
      <c r="D937" s="7">
        <f>'1 datos preparados'!C930</f>
        <v/>
      </c>
      <c r="E937" s="7">
        <f>'1 datos preparados'!D930</f>
        <v/>
      </c>
      <c r="F937" s="7">
        <f>'1 datos preparados'!E930</f>
        <v/>
      </c>
      <c r="G937" s="7">
        <f>'1 datos preparados'!F930</f>
        <v/>
      </c>
      <c r="H937" s="7">
        <f>'1 datos preparados'!G930</f>
        <v/>
      </c>
      <c r="I937" s="7">
        <f>'1 datos preparados'!H930</f>
        <v/>
      </c>
      <c r="J937" s="7">
        <f>'1 datos preparados'!I930</f>
        <v/>
      </c>
      <c r="K937" s="7">
        <f>'1 datos preparados'!J930</f>
        <v/>
      </c>
      <c r="L937" s="7">
        <f>'1 datos preparados'!K930</f>
        <v/>
      </c>
      <c r="M937" s="7">
        <f>'1 datos preparados'!L930</f>
        <v/>
      </c>
      <c r="N937" s="7">
        <f>'1 datos preparados'!M930</f>
        <v/>
      </c>
      <c r="O937" s="7">
        <f>'1 datos preparados'!N930</f>
        <v/>
      </c>
      <c r="P937" s="7">
        <f>'1 datos preparados'!O930</f>
        <v/>
      </c>
      <c r="Q937" s="7">
        <f>'1 datos preparados'!P930</f>
        <v/>
      </c>
      <c r="R937" s="7">
        <f>'1 datos preparados'!Q930</f>
        <v/>
      </c>
      <c r="S937" s="7">
        <f>'1 datos preparados'!R930</f>
        <v/>
      </c>
      <c r="T937" s="7">
        <f>'1 datos preparados'!S930</f>
        <v/>
      </c>
      <c r="U937" s="7">
        <f>'1 datos preparados'!T930</f>
        <v/>
      </c>
      <c r="V937" s="8">
        <f>$AC$12+D937*$AC$13+E937*$AC$14+F937*$AC$15+G937*$AC$16+H937*$AC$17+I937*$AC$18+J937*$AC$19+K937*$AC$20+L937*$AC$21+M937*$AC$22+N937*$AC$23+O937*$AC$24+P937*$AC$25+Q937*$AC$26+R937*$AC$27+S937*$AC$28+T937*$AC$29+U937*$AC$30</f>
        <v/>
      </c>
      <c r="W937" s="8">
        <f>1/(1+EXP(-V937))</f>
        <v/>
      </c>
      <c r="X937" s="9">
        <f>-IF(C937=1,LN(W937),LN(1-W937))</f>
        <v/>
      </c>
      <c r="Y937" s="10">
        <f>IF(W937&gt;$AC$34,1,0)</f>
        <v/>
      </c>
      <c r="Z937">
        <f>IF(Y937=C937,1,0)</f>
        <v/>
      </c>
    </row>
    <row r="938">
      <c r="A938">
        <f>'1 datos preparados'!A931</f>
        <v/>
      </c>
      <c r="B938" s="5">
        <f>'1 datos preparados'!U931</f>
        <v/>
      </c>
      <c r="C938">
        <f>'1 datos preparados'!B931</f>
        <v/>
      </c>
      <c r="D938" s="7">
        <f>'1 datos preparados'!C931</f>
        <v/>
      </c>
      <c r="E938" s="7">
        <f>'1 datos preparados'!D931</f>
        <v/>
      </c>
      <c r="F938" s="7">
        <f>'1 datos preparados'!E931</f>
        <v/>
      </c>
      <c r="G938" s="7">
        <f>'1 datos preparados'!F931</f>
        <v/>
      </c>
      <c r="H938" s="7">
        <f>'1 datos preparados'!G931</f>
        <v/>
      </c>
      <c r="I938" s="7">
        <f>'1 datos preparados'!H931</f>
        <v/>
      </c>
      <c r="J938" s="7">
        <f>'1 datos preparados'!I931</f>
        <v/>
      </c>
      <c r="K938" s="7">
        <f>'1 datos preparados'!J931</f>
        <v/>
      </c>
      <c r="L938" s="7">
        <f>'1 datos preparados'!K931</f>
        <v/>
      </c>
      <c r="M938" s="7">
        <f>'1 datos preparados'!L931</f>
        <v/>
      </c>
      <c r="N938" s="7">
        <f>'1 datos preparados'!M931</f>
        <v/>
      </c>
      <c r="O938" s="7">
        <f>'1 datos preparados'!N931</f>
        <v/>
      </c>
      <c r="P938" s="7">
        <f>'1 datos preparados'!O931</f>
        <v/>
      </c>
      <c r="Q938" s="7">
        <f>'1 datos preparados'!P931</f>
        <v/>
      </c>
      <c r="R938" s="7">
        <f>'1 datos preparados'!Q931</f>
        <v/>
      </c>
      <c r="S938" s="7">
        <f>'1 datos preparados'!R931</f>
        <v/>
      </c>
      <c r="T938" s="7">
        <f>'1 datos preparados'!S931</f>
        <v/>
      </c>
      <c r="U938" s="7">
        <f>'1 datos preparados'!T931</f>
        <v/>
      </c>
      <c r="V938" s="8">
        <f>$AC$12+D938*$AC$13+E938*$AC$14+F938*$AC$15+G938*$AC$16+H938*$AC$17+I938*$AC$18+J938*$AC$19+K938*$AC$20+L938*$AC$21+M938*$AC$22+N938*$AC$23+O938*$AC$24+P938*$AC$25+Q938*$AC$26+R938*$AC$27+S938*$AC$28+T938*$AC$29+U938*$AC$30</f>
        <v/>
      </c>
      <c r="W938" s="8">
        <f>1/(1+EXP(-V938))</f>
        <v/>
      </c>
      <c r="X938" s="9">
        <f>-IF(C938=1,LN(W938),LN(1-W938))</f>
        <v/>
      </c>
      <c r="Y938" s="10">
        <f>IF(W938&gt;$AC$34,1,0)</f>
        <v/>
      </c>
      <c r="Z938">
        <f>IF(Y938=C938,1,0)</f>
        <v/>
      </c>
    </row>
    <row r="939">
      <c r="A939">
        <f>'1 datos preparados'!A932</f>
        <v/>
      </c>
      <c r="B939" s="5">
        <f>'1 datos preparados'!U932</f>
        <v/>
      </c>
      <c r="C939">
        <f>'1 datos preparados'!B932</f>
        <v/>
      </c>
      <c r="D939" s="7">
        <f>'1 datos preparados'!C932</f>
        <v/>
      </c>
      <c r="E939" s="7">
        <f>'1 datos preparados'!D932</f>
        <v/>
      </c>
      <c r="F939" s="7">
        <f>'1 datos preparados'!E932</f>
        <v/>
      </c>
      <c r="G939" s="7">
        <f>'1 datos preparados'!F932</f>
        <v/>
      </c>
      <c r="H939" s="7">
        <f>'1 datos preparados'!G932</f>
        <v/>
      </c>
      <c r="I939" s="7">
        <f>'1 datos preparados'!H932</f>
        <v/>
      </c>
      <c r="J939" s="7">
        <f>'1 datos preparados'!I932</f>
        <v/>
      </c>
      <c r="K939" s="7">
        <f>'1 datos preparados'!J932</f>
        <v/>
      </c>
      <c r="L939" s="7">
        <f>'1 datos preparados'!K932</f>
        <v/>
      </c>
      <c r="M939" s="7">
        <f>'1 datos preparados'!L932</f>
        <v/>
      </c>
      <c r="N939" s="7">
        <f>'1 datos preparados'!M932</f>
        <v/>
      </c>
      <c r="O939" s="7">
        <f>'1 datos preparados'!N932</f>
        <v/>
      </c>
      <c r="P939" s="7">
        <f>'1 datos preparados'!O932</f>
        <v/>
      </c>
      <c r="Q939" s="7">
        <f>'1 datos preparados'!P932</f>
        <v/>
      </c>
      <c r="R939" s="7">
        <f>'1 datos preparados'!Q932</f>
        <v/>
      </c>
      <c r="S939" s="7">
        <f>'1 datos preparados'!R932</f>
        <v/>
      </c>
      <c r="T939" s="7">
        <f>'1 datos preparados'!S932</f>
        <v/>
      </c>
      <c r="U939" s="7">
        <f>'1 datos preparados'!T932</f>
        <v/>
      </c>
      <c r="V939" s="8">
        <f>$AC$12+D939*$AC$13+E939*$AC$14+F939*$AC$15+G939*$AC$16+H939*$AC$17+I939*$AC$18+J939*$AC$19+K939*$AC$20+L939*$AC$21+M939*$AC$22+N939*$AC$23+O939*$AC$24+P939*$AC$25+Q939*$AC$26+R939*$AC$27+S939*$AC$28+T939*$AC$29+U939*$AC$30</f>
        <v/>
      </c>
      <c r="W939" s="8">
        <f>1/(1+EXP(-V939))</f>
        <v/>
      </c>
      <c r="X939" s="9">
        <f>-IF(C939=1,LN(W939),LN(1-W939))</f>
        <v/>
      </c>
      <c r="Y939" s="10">
        <f>IF(W939&gt;$AC$34,1,0)</f>
        <v/>
      </c>
      <c r="Z939">
        <f>IF(Y939=C939,1,0)</f>
        <v/>
      </c>
    </row>
    <row r="940">
      <c r="A940">
        <f>'1 datos preparados'!A933</f>
        <v/>
      </c>
      <c r="B940" s="5">
        <f>'1 datos preparados'!U933</f>
        <v/>
      </c>
      <c r="C940">
        <f>'1 datos preparados'!B933</f>
        <v/>
      </c>
      <c r="D940" s="7">
        <f>'1 datos preparados'!C933</f>
        <v/>
      </c>
      <c r="E940" s="7">
        <f>'1 datos preparados'!D933</f>
        <v/>
      </c>
      <c r="F940" s="7">
        <f>'1 datos preparados'!E933</f>
        <v/>
      </c>
      <c r="G940" s="7">
        <f>'1 datos preparados'!F933</f>
        <v/>
      </c>
      <c r="H940" s="7">
        <f>'1 datos preparados'!G933</f>
        <v/>
      </c>
      <c r="I940" s="7">
        <f>'1 datos preparados'!H933</f>
        <v/>
      </c>
      <c r="J940" s="7">
        <f>'1 datos preparados'!I933</f>
        <v/>
      </c>
      <c r="K940" s="7">
        <f>'1 datos preparados'!J933</f>
        <v/>
      </c>
      <c r="L940" s="7">
        <f>'1 datos preparados'!K933</f>
        <v/>
      </c>
      <c r="M940" s="7">
        <f>'1 datos preparados'!L933</f>
        <v/>
      </c>
      <c r="N940" s="7">
        <f>'1 datos preparados'!M933</f>
        <v/>
      </c>
      <c r="O940" s="7">
        <f>'1 datos preparados'!N933</f>
        <v/>
      </c>
      <c r="P940" s="7">
        <f>'1 datos preparados'!O933</f>
        <v/>
      </c>
      <c r="Q940" s="7">
        <f>'1 datos preparados'!P933</f>
        <v/>
      </c>
      <c r="R940" s="7">
        <f>'1 datos preparados'!Q933</f>
        <v/>
      </c>
      <c r="S940" s="7">
        <f>'1 datos preparados'!R933</f>
        <v/>
      </c>
      <c r="T940" s="7">
        <f>'1 datos preparados'!S933</f>
        <v/>
      </c>
      <c r="U940" s="7">
        <f>'1 datos preparados'!T933</f>
        <v/>
      </c>
      <c r="V940" s="8">
        <f>$AC$12+D940*$AC$13+E940*$AC$14+F940*$AC$15+G940*$AC$16+H940*$AC$17+I940*$AC$18+J940*$AC$19+K940*$AC$20+L940*$AC$21+M940*$AC$22+N940*$AC$23+O940*$AC$24+P940*$AC$25+Q940*$AC$26+R940*$AC$27+S940*$AC$28+T940*$AC$29+U940*$AC$30</f>
        <v/>
      </c>
      <c r="W940" s="8">
        <f>1/(1+EXP(-V940))</f>
        <v/>
      </c>
      <c r="X940" s="9">
        <f>-IF(C940=1,LN(W940),LN(1-W940))</f>
        <v/>
      </c>
      <c r="Y940" s="10">
        <f>IF(W940&gt;$AC$34,1,0)</f>
        <v/>
      </c>
      <c r="Z940">
        <f>IF(Y940=C940,1,0)</f>
        <v/>
      </c>
    </row>
    <row r="941">
      <c r="A941">
        <f>'1 datos preparados'!A934</f>
        <v/>
      </c>
      <c r="B941" s="5">
        <f>'1 datos preparados'!U934</f>
        <v/>
      </c>
      <c r="C941">
        <f>'1 datos preparados'!B934</f>
        <v/>
      </c>
      <c r="D941" s="7">
        <f>'1 datos preparados'!C934</f>
        <v/>
      </c>
      <c r="E941" s="7">
        <f>'1 datos preparados'!D934</f>
        <v/>
      </c>
      <c r="F941" s="7">
        <f>'1 datos preparados'!E934</f>
        <v/>
      </c>
      <c r="G941" s="7">
        <f>'1 datos preparados'!F934</f>
        <v/>
      </c>
      <c r="H941" s="7">
        <f>'1 datos preparados'!G934</f>
        <v/>
      </c>
      <c r="I941" s="7">
        <f>'1 datos preparados'!H934</f>
        <v/>
      </c>
      <c r="J941" s="7">
        <f>'1 datos preparados'!I934</f>
        <v/>
      </c>
      <c r="K941" s="7">
        <f>'1 datos preparados'!J934</f>
        <v/>
      </c>
      <c r="L941" s="7">
        <f>'1 datos preparados'!K934</f>
        <v/>
      </c>
      <c r="M941" s="7">
        <f>'1 datos preparados'!L934</f>
        <v/>
      </c>
      <c r="N941" s="7">
        <f>'1 datos preparados'!M934</f>
        <v/>
      </c>
      <c r="O941" s="7">
        <f>'1 datos preparados'!N934</f>
        <v/>
      </c>
      <c r="P941" s="7">
        <f>'1 datos preparados'!O934</f>
        <v/>
      </c>
      <c r="Q941" s="7">
        <f>'1 datos preparados'!P934</f>
        <v/>
      </c>
      <c r="R941" s="7">
        <f>'1 datos preparados'!Q934</f>
        <v/>
      </c>
      <c r="S941" s="7">
        <f>'1 datos preparados'!R934</f>
        <v/>
      </c>
      <c r="T941" s="7">
        <f>'1 datos preparados'!S934</f>
        <v/>
      </c>
      <c r="U941" s="7">
        <f>'1 datos preparados'!T934</f>
        <v/>
      </c>
      <c r="V941" s="8">
        <f>$AC$12+D941*$AC$13+E941*$AC$14+F941*$AC$15+G941*$AC$16+H941*$AC$17+I941*$AC$18+J941*$AC$19+K941*$AC$20+L941*$AC$21+M941*$AC$22+N941*$AC$23+O941*$AC$24+P941*$AC$25+Q941*$AC$26+R941*$AC$27+S941*$AC$28+T941*$AC$29+U941*$AC$30</f>
        <v/>
      </c>
      <c r="W941" s="8">
        <f>1/(1+EXP(-V941))</f>
        <v/>
      </c>
      <c r="X941" s="9">
        <f>-IF(C941=1,LN(W941),LN(1-W941))</f>
        <v/>
      </c>
      <c r="Y941" s="10">
        <f>IF(W941&gt;$AC$34,1,0)</f>
        <v/>
      </c>
      <c r="Z941">
        <f>IF(Y941=C941,1,0)</f>
        <v/>
      </c>
    </row>
    <row r="942">
      <c r="A942">
        <f>'1 datos preparados'!A935</f>
        <v/>
      </c>
      <c r="B942" s="5">
        <f>'1 datos preparados'!U935</f>
        <v/>
      </c>
      <c r="C942">
        <f>'1 datos preparados'!B935</f>
        <v/>
      </c>
      <c r="D942" s="7">
        <f>'1 datos preparados'!C935</f>
        <v/>
      </c>
      <c r="E942" s="7">
        <f>'1 datos preparados'!D935</f>
        <v/>
      </c>
      <c r="F942" s="7">
        <f>'1 datos preparados'!E935</f>
        <v/>
      </c>
      <c r="G942" s="7">
        <f>'1 datos preparados'!F935</f>
        <v/>
      </c>
      <c r="H942" s="7">
        <f>'1 datos preparados'!G935</f>
        <v/>
      </c>
      <c r="I942" s="7">
        <f>'1 datos preparados'!H935</f>
        <v/>
      </c>
      <c r="J942" s="7">
        <f>'1 datos preparados'!I935</f>
        <v/>
      </c>
      <c r="K942" s="7">
        <f>'1 datos preparados'!J935</f>
        <v/>
      </c>
      <c r="L942" s="7">
        <f>'1 datos preparados'!K935</f>
        <v/>
      </c>
      <c r="M942" s="7">
        <f>'1 datos preparados'!L935</f>
        <v/>
      </c>
      <c r="N942" s="7">
        <f>'1 datos preparados'!M935</f>
        <v/>
      </c>
      <c r="O942" s="7">
        <f>'1 datos preparados'!N935</f>
        <v/>
      </c>
      <c r="P942" s="7">
        <f>'1 datos preparados'!O935</f>
        <v/>
      </c>
      <c r="Q942" s="7">
        <f>'1 datos preparados'!P935</f>
        <v/>
      </c>
      <c r="R942" s="7">
        <f>'1 datos preparados'!Q935</f>
        <v/>
      </c>
      <c r="S942" s="7">
        <f>'1 datos preparados'!R935</f>
        <v/>
      </c>
      <c r="T942" s="7">
        <f>'1 datos preparados'!S935</f>
        <v/>
      </c>
      <c r="U942" s="7">
        <f>'1 datos preparados'!T935</f>
        <v/>
      </c>
      <c r="V942" s="8">
        <f>$AC$12+D942*$AC$13+E942*$AC$14+F942*$AC$15+G942*$AC$16+H942*$AC$17+I942*$AC$18+J942*$AC$19+K942*$AC$20+L942*$AC$21+M942*$AC$22+N942*$AC$23+O942*$AC$24+P942*$AC$25+Q942*$AC$26+R942*$AC$27+S942*$AC$28+T942*$AC$29+U942*$AC$30</f>
        <v/>
      </c>
      <c r="W942" s="8">
        <f>1/(1+EXP(-V942))</f>
        <v/>
      </c>
      <c r="X942" s="9">
        <f>-IF(C942=1,LN(W942),LN(1-W942))</f>
        <v/>
      </c>
      <c r="Y942" s="10">
        <f>IF(W942&gt;$AC$34,1,0)</f>
        <v/>
      </c>
      <c r="Z942">
        <f>IF(Y942=C942,1,0)</f>
        <v/>
      </c>
    </row>
    <row r="943">
      <c r="A943">
        <f>'1 datos preparados'!A936</f>
        <v/>
      </c>
      <c r="B943" s="5">
        <f>'1 datos preparados'!U936</f>
        <v/>
      </c>
      <c r="C943">
        <f>'1 datos preparados'!B936</f>
        <v/>
      </c>
      <c r="D943" s="7">
        <f>'1 datos preparados'!C936</f>
        <v/>
      </c>
      <c r="E943" s="7">
        <f>'1 datos preparados'!D936</f>
        <v/>
      </c>
      <c r="F943" s="7">
        <f>'1 datos preparados'!E936</f>
        <v/>
      </c>
      <c r="G943" s="7">
        <f>'1 datos preparados'!F936</f>
        <v/>
      </c>
      <c r="H943" s="7">
        <f>'1 datos preparados'!G936</f>
        <v/>
      </c>
      <c r="I943" s="7">
        <f>'1 datos preparados'!H936</f>
        <v/>
      </c>
      <c r="J943" s="7">
        <f>'1 datos preparados'!I936</f>
        <v/>
      </c>
      <c r="K943" s="7">
        <f>'1 datos preparados'!J936</f>
        <v/>
      </c>
      <c r="L943" s="7">
        <f>'1 datos preparados'!K936</f>
        <v/>
      </c>
      <c r="M943" s="7">
        <f>'1 datos preparados'!L936</f>
        <v/>
      </c>
      <c r="N943" s="7">
        <f>'1 datos preparados'!M936</f>
        <v/>
      </c>
      <c r="O943" s="7">
        <f>'1 datos preparados'!N936</f>
        <v/>
      </c>
      <c r="P943" s="7">
        <f>'1 datos preparados'!O936</f>
        <v/>
      </c>
      <c r="Q943" s="7">
        <f>'1 datos preparados'!P936</f>
        <v/>
      </c>
      <c r="R943" s="7">
        <f>'1 datos preparados'!Q936</f>
        <v/>
      </c>
      <c r="S943" s="7">
        <f>'1 datos preparados'!R936</f>
        <v/>
      </c>
      <c r="T943" s="7">
        <f>'1 datos preparados'!S936</f>
        <v/>
      </c>
      <c r="U943" s="7">
        <f>'1 datos preparados'!T936</f>
        <v/>
      </c>
      <c r="V943" s="8">
        <f>$AC$12+D943*$AC$13+E943*$AC$14+F943*$AC$15+G943*$AC$16+H943*$AC$17+I943*$AC$18+J943*$AC$19+K943*$AC$20+L943*$AC$21+M943*$AC$22+N943*$AC$23+O943*$AC$24+P943*$AC$25+Q943*$AC$26+R943*$AC$27+S943*$AC$28+T943*$AC$29+U943*$AC$30</f>
        <v/>
      </c>
      <c r="W943" s="8">
        <f>1/(1+EXP(-V943))</f>
        <v/>
      </c>
      <c r="X943" s="9">
        <f>-IF(C943=1,LN(W943),LN(1-W943))</f>
        <v/>
      </c>
      <c r="Y943" s="10">
        <f>IF(W943&gt;$AC$34,1,0)</f>
        <v/>
      </c>
      <c r="Z943">
        <f>IF(Y943=C943,1,0)</f>
        <v/>
      </c>
    </row>
    <row r="944">
      <c r="A944">
        <f>'1 datos preparados'!A937</f>
        <v/>
      </c>
      <c r="B944" s="5">
        <f>'1 datos preparados'!U937</f>
        <v/>
      </c>
      <c r="C944">
        <f>'1 datos preparados'!B937</f>
        <v/>
      </c>
      <c r="D944" s="7">
        <f>'1 datos preparados'!C937</f>
        <v/>
      </c>
      <c r="E944" s="7">
        <f>'1 datos preparados'!D937</f>
        <v/>
      </c>
      <c r="F944" s="7">
        <f>'1 datos preparados'!E937</f>
        <v/>
      </c>
      <c r="G944" s="7">
        <f>'1 datos preparados'!F937</f>
        <v/>
      </c>
      <c r="H944" s="7">
        <f>'1 datos preparados'!G937</f>
        <v/>
      </c>
      <c r="I944" s="7">
        <f>'1 datos preparados'!H937</f>
        <v/>
      </c>
      <c r="J944" s="7">
        <f>'1 datos preparados'!I937</f>
        <v/>
      </c>
      <c r="K944" s="7">
        <f>'1 datos preparados'!J937</f>
        <v/>
      </c>
      <c r="L944" s="7">
        <f>'1 datos preparados'!K937</f>
        <v/>
      </c>
      <c r="M944" s="7">
        <f>'1 datos preparados'!L937</f>
        <v/>
      </c>
      <c r="N944" s="7">
        <f>'1 datos preparados'!M937</f>
        <v/>
      </c>
      <c r="O944" s="7">
        <f>'1 datos preparados'!N937</f>
        <v/>
      </c>
      <c r="P944" s="7">
        <f>'1 datos preparados'!O937</f>
        <v/>
      </c>
      <c r="Q944" s="7">
        <f>'1 datos preparados'!P937</f>
        <v/>
      </c>
      <c r="R944" s="7">
        <f>'1 datos preparados'!Q937</f>
        <v/>
      </c>
      <c r="S944" s="7">
        <f>'1 datos preparados'!R937</f>
        <v/>
      </c>
      <c r="T944" s="7">
        <f>'1 datos preparados'!S937</f>
        <v/>
      </c>
      <c r="U944" s="7">
        <f>'1 datos preparados'!T937</f>
        <v/>
      </c>
      <c r="V944" s="8">
        <f>$AC$12+D944*$AC$13+E944*$AC$14+F944*$AC$15+G944*$AC$16+H944*$AC$17+I944*$AC$18+J944*$AC$19+K944*$AC$20+L944*$AC$21+M944*$AC$22+N944*$AC$23+O944*$AC$24+P944*$AC$25+Q944*$AC$26+R944*$AC$27+S944*$AC$28+T944*$AC$29+U944*$AC$30</f>
        <v/>
      </c>
      <c r="W944" s="8">
        <f>1/(1+EXP(-V944))</f>
        <v/>
      </c>
      <c r="X944" s="9">
        <f>-IF(C944=1,LN(W944),LN(1-W944))</f>
        <v/>
      </c>
      <c r="Y944" s="10">
        <f>IF(W944&gt;$AC$34,1,0)</f>
        <v/>
      </c>
      <c r="Z944">
        <f>IF(Y944=C944,1,0)</f>
        <v/>
      </c>
    </row>
    <row r="945">
      <c r="A945">
        <f>'1 datos preparados'!A938</f>
        <v/>
      </c>
      <c r="B945" s="5">
        <f>'1 datos preparados'!U938</f>
        <v/>
      </c>
      <c r="C945">
        <f>'1 datos preparados'!B938</f>
        <v/>
      </c>
      <c r="D945" s="7">
        <f>'1 datos preparados'!C938</f>
        <v/>
      </c>
      <c r="E945" s="7">
        <f>'1 datos preparados'!D938</f>
        <v/>
      </c>
      <c r="F945" s="7">
        <f>'1 datos preparados'!E938</f>
        <v/>
      </c>
      <c r="G945" s="7">
        <f>'1 datos preparados'!F938</f>
        <v/>
      </c>
      <c r="H945" s="7">
        <f>'1 datos preparados'!G938</f>
        <v/>
      </c>
      <c r="I945" s="7">
        <f>'1 datos preparados'!H938</f>
        <v/>
      </c>
      <c r="J945" s="7">
        <f>'1 datos preparados'!I938</f>
        <v/>
      </c>
      <c r="K945" s="7">
        <f>'1 datos preparados'!J938</f>
        <v/>
      </c>
      <c r="L945" s="7">
        <f>'1 datos preparados'!K938</f>
        <v/>
      </c>
      <c r="M945" s="7">
        <f>'1 datos preparados'!L938</f>
        <v/>
      </c>
      <c r="N945" s="7">
        <f>'1 datos preparados'!M938</f>
        <v/>
      </c>
      <c r="O945" s="7">
        <f>'1 datos preparados'!N938</f>
        <v/>
      </c>
      <c r="P945" s="7">
        <f>'1 datos preparados'!O938</f>
        <v/>
      </c>
      <c r="Q945" s="7">
        <f>'1 datos preparados'!P938</f>
        <v/>
      </c>
      <c r="R945" s="7">
        <f>'1 datos preparados'!Q938</f>
        <v/>
      </c>
      <c r="S945" s="7">
        <f>'1 datos preparados'!R938</f>
        <v/>
      </c>
      <c r="T945" s="7">
        <f>'1 datos preparados'!S938</f>
        <v/>
      </c>
      <c r="U945" s="7">
        <f>'1 datos preparados'!T938</f>
        <v/>
      </c>
      <c r="V945" s="8">
        <f>$AC$12+D945*$AC$13+E945*$AC$14+F945*$AC$15+G945*$AC$16+H945*$AC$17+I945*$AC$18+J945*$AC$19+K945*$AC$20+L945*$AC$21+M945*$AC$22+N945*$AC$23+O945*$AC$24+P945*$AC$25+Q945*$AC$26+R945*$AC$27+S945*$AC$28+T945*$AC$29+U945*$AC$30</f>
        <v/>
      </c>
      <c r="W945" s="8">
        <f>1/(1+EXP(-V945))</f>
        <v/>
      </c>
      <c r="X945" s="9">
        <f>-IF(C945=1,LN(W945),LN(1-W945))</f>
        <v/>
      </c>
      <c r="Y945" s="10">
        <f>IF(W945&gt;$AC$34,1,0)</f>
        <v/>
      </c>
      <c r="Z945">
        <f>IF(Y945=C945,1,0)</f>
        <v/>
      </c>
    </row>
    <row r="946">
      <c r="A946">
        <f>'1 datos preparados'!A939</f>
        <v/>
      </c>
      <c r="B946" s="5">
        <f>'1 datos preparados'!U939</f>
        <v/>
      </c>
      <c r="C946">
        <f>'1 datos preparados'!B939</f>
        <v/>
      </c>
      <c r="D946" s="7">
        <f>'1 datos preparados'!C939</f>
        <v/>
      </c>
      <c r="E946" s="7">
        <f>'1 datos preparados'!D939</f>
        <v/>
      </c>
      <c r="F946" s="7">
        <f>'1 datos preparados'!E939</f>
        <v/>
      </c>
      <c r="G946" s="7">
        <f>'1 datos preparados'!F939</f>
        <v/>
      </c>
      <c r="H946" s="7">
        <f>'1 datos preparados'!G939</f>
        <v/>
      </c>
      <c r="I946" s="7">
        <f>'1 datos preparados'!H939</f>
        <v/>
      </c>
      <c r="J946" s="7">
        <f>'1 datos preparados'!I939</f>
        <v/>
      </c>
      <c r="K946" s="7">
        <f>'1 datos preparados'!J939</f>
        <v/>
      </c>
      <c r="L946" s="7">
        <f>'1 datos preparados'!K939</f>
        <v/>
      </c>
      <c r="M946" s="7">
        <f>'1 datos preparados'!L939</f>
        <v/>
      </c>
      <c r="N946" s="7">
        <f>'1 datos preparados'!M939</f>
        <v/>
      </c>
      <c r="O946" s="7">
        <f>'1 datos preparados'!N939</f>
        <v/>
      </c>
      <c r="P946" s="7">
        <f>'1 datos preparados'!O939</f>
        <v/>
      </c>
      <c r="Q946" s="7">
        <f>'1 datos preparados'!P939</f>
        <v/>
      </c>
      <c r="R946" s="7">
        <f>'1 datos preparados'!Q939</f>
        <v/>
      </c>
      <c r="S946" s="7">
        <f>'1 datos preparados'!R939</f>
        <v/>
      </c>
      <c r="T946" s="7">
        <f>'1 datos preparados'!S939</f>
        <v/>
      </c>
      <c r="U946" s="7">
        <f>'1 datos preparados'!T939</f>
        <v/>
      </c>
      <c r="V946" s="8">
        <f>$AC$12+D946*$AC$13+E946*$AC$14+F946*$AC$15+G946*$AC$16+H946*$AC$17+I946*$AC$18+J946*$AC$19+K946*$AC$20+L946*$AC$21+M946*$AC$22+N946*$AC$23+O946*$AC$24+P946*$AC$25+Q946*$AC$26+R946*$AC$27+S946*$AC$28+T946*$AC$29+U946*$AC$30</f>
        <v/>
      </c>
      <c r="W946" s="8">
        <f>1/(1+EXP(-V946))</f>
        <v/>
      </c>
      <c r="X946" s="9">
        <f>-IF(C946=1,LN(W946),LN(1-W946))</f>
        <v/>
      </c>
      <c r="Y946" s="10">
        <f>IF(W946&gt;$AC$34,1,0)</f>
        <v/>
      </c>
      <c r="Z946">
        <f>IF(Y946=C946,1,0)</f>
        <v/>
      </c>
    </row>
    <row r="947">
      <c r="A947">
        <f>'1 datos preparados'!A940</f>
        <v/>
      </c>
      <c r="B947" s="5">
        <f>'1 datos preparados'!U940</f>
        <v/>
      </c>
      <c r="C947">
        <f>'1 datos preparados'!B940</f>
        <v/>
      </c>
      <c r="D947" s="7">
        <f>'1 datos preparados'!C940</f>
        <v/>
      </c>
      <c r="E947" s="7">
        <f>'1 datos preparados'!D940</f>
        <v/>
      </c>
      <c r="F947" s="7">
        <f>'1 datos preparados'!E940</f>
        <v/>
      </c>
      <c r="G947" s="7">
        <f>'1 datos preparados'!F940</f>
        <v/>
      </c>
      <c r="H947" s="7">
        <f>'1 datos preparados'!G940</f>
        <v/>
      </c>
      <c r="I947" s="7">
        <f>'1 datos preparados'!H940</f>
        <v/>
      </c>
      <c r="J947" s="7">
        <f>'1 datos preparados'!I940</f>
        <v/>
      </c>
      <c r="K947" s="7">
        <f>'1 datos preparados'!J940</f>
        <v/>
      </c>
      <c r="L947" s="7">
        <f>'1 datos preparados'!K940</f>
        <v/>
      </c>
      <c r="M947" s="7">
        <f>'1 datos preparados'!L940</f>
        <v/>
      </c>
      <c r="N947" s="7">
        <f>'1 datos preparados'!M940</f>
        <v/>
      </c>
      <c r="O947" s="7">
        <f>'1 datos preparados'!N940</f>
        <v/>
      </c>
      <c r="P947" s="7">
        <f>'1 datos preparados'!O940</f>
        <v/>
      </c>
      <c r="Q947" s="7">
        <f>'1 datos preparados'!P940</f>
        <v/>
      </c>
      <c r="R947" s="7">
        <f>'1 datos preparados'!Q940</f>
        <v/>
      </c>
      <c r="S947" s="7">
        <f>'1 datos preparados'!R940</f>
        <v/>
      </c>
      <c r="T947" s="7">
        <f>'1 datos preparados'!S940</f>
        <v/>
      </c>
      <c r="U947" s="7">
        <f>'1 datos preparados'!T940</f>
        <v/>
      </c>
      <c r="V947" s="8">
        <f>$AC$12+D947*$AC$13+E947*$AC$14+F947*$AC$15+G947*$AC$16+H947*$AC$17+I947*$AC$18+J947*$AC$19+K947*$AC$20+L947*$AC$21+M947*$AC$22+N947*$AC$23+O947*$AC$24+P947*$AC$25+Q947*$AC$26+R947*$AC$27+S947*$AC$28+T947*$AC$29+U947*$AC$30</f>
        <v/>
      </c>
      <c r="W947" s="8">
        <f>1/(1+EXP(-V947))</f>
        <v/>
      </c>
      <c r="X947" s="9">
        <f>-IF(C947=1,LN(W947),LN(1-W947))</f>
        <v/>
      </c>
      <c r="Y947" s="10">
        <f>IF(W947&gt;$AC$34,1,0)</f>
        <v/>
      </c>
      <c r="Z947">
        <f>IF(Y947=C947,1,0)</f>
        <v/>
      </c>
    </row>
    <row r="948">
      <c r="A948">
        <f>'1 datos preparados'!A941</f>
        <v/>
      </c>
      <c r="B948" s="5">
        <f>'1 datos preparados'!U941</f>
        <v/>
      </c>
      <c r="C948">
        <f>'1 datos preparados'!B941</f>
        <v/>
      </c>
      <c r="D948" s="7">
        <f>'1 datos preparados'!C941</f>
        <v/>
      </c>
      <c r="E948" s="7">
        <f>'1 datos preparados'!D941</f>
        <v/>
      </c>
      <c r="F948" s="7">
        <f>'1 datos preparados'!E941</f>
        <v/>
      </c>
      <c r="G948" s="7">
        <f>'1 datos preparados'!F941</f>
        <v/>
      </c>
      <c r="H948" s="7">
        <f>'1 datos preparados'!G941</f>
        <v/>
      </c>
      <c r="I948" s="7">
        <f>'1 datos preparados'!H941</f>
        <v/>
      </c>
      <c r="J948" s="7">
        <f>'1 datos preparados'!I941</f>
        <v/>
      </c>
      <c r="K948" s="7">
        <f>'1 datos preparados'!J941</f>
        <v/>
      </c>
      <c r="L948" s="7">
        <f>'1 datos preparados'!K941</f>
        <v/>
      </c>
      <c r="M948" s="7">
        <f>'1 datos preparados'!L941</f>
        <v/>
      </c>
      <c r="N948" s="7">
        <f>'1 datos preparados'!M941</f>
        <v/>
      </c>
      <c r="O948" s="7">
        <f>'1 datos preparados'!N941</f>
        <v/>
      </c>
      <c r="P948" s="7">
        <f>'1 datos preparados'!O941</f>
        <v/>
      </c>
      <c r="Q948" s="7">
        <f>'1 datos preparados'!P941</f>
        <v/>
      </c>
      <c r="R948" s="7">
        <f>'1 datos preparados'!Q941</f>
        <v/>
      </c>
      <c r="S948" s="7">
        <f>'1 datos preparados'!R941</f>
        <v/>
      </c>
      <c r="T948" s="7">
        <f>'1 datos preparados'!S941</f>
        <v/>
      </c>
      <c r="U948" s="7">
        <f>'1 datos preparados'!T941</f>
        <v/>
      </c>
      <c r="V948" s="8">
        <f>$AC$12+D948*$AC$13+E948*$AC$14+F948*$AC$15+G948*$AC$16+H948*$AC$17+I948*$AC$18+J948*$AC$19+K948*$AC$20+L948*$AC$21+M948*$AC$22+N948*$AC$23+O948*$AC$24+P948*$AC$25+Q948*$AC$26+R948*$AC$27+S948*$AC$28+T948*$AC$29+U948*$AC$30</f>
        <v/>
      </c>
      <c r="W948" s="8">
        <f>1/(1+EXP(-V948))</f>
        <v/>
      </c>
      <c r="X948" s="9">
        <f>-IF(C948=1,LN(W948),LN(1-W948))</f>
        <v/>
      </c>
      <c r="Y948" s="10">
        <f>IF(W948&gt;$AC$34,1,0)</f>
        <v/>
      </c>
      <c r="Z948">
        <f>IF(Y948=C948,1,0)</f>
        <v/>
      </c>
    </row>
    <row r="949">
      <c r="A949">
        <f>'1 datos preparados'!A942</f>
        <v/>
      </c>
      <c r="B949" s="5">
        <f>'1 datos preparados'!U942</f>
        <v/>
      </c>
      <c r="C949">
        <f>'1 datos preparados'!B942</f>
        <v/>
      </c>
      <c r="D949" s="7">
        <f>'1 datos preparados'!C942</f>
        <v/>
      </c>
      <c r="E949" s="7">
        <f>'1 datos preparados'!D942</f>
        <v/>
      </c>
      <c r="F949" s="7">
        <f>'1 datos preparados'!E942</f>
        <v/>
      </c>
      <c r="G949" s="7">
        <f>'1 datos preparados'!F942</f>
        <v/>
      </c>
      <c r="H949" s="7">
        <f>'1 datos preparados'!G942</f>
        <v/>
      </c>
      <c r="I949" s="7">
        <f>'1 datos preparados'!H942</f>
        <v/>
      </c>
      <c r="J949" s="7">
        <f>'1 datos preparados'!I942</f>
        <v/>
      </c>
      <c r="K949" s="7">
        <f>'1 datos preparados'!J942</f>
        <v/>
      </c>
      <c r="L949" s="7">
        <f>'1 datos preparados'!K942</f>
        <v/>
      </c>
      <c r="M949" s="7">
        <f>'1 datos preparados'!L942</f>
        <v/>
      </c>
      <c r="N949" s="7">
        <f>'1 datos preparados'!M942</f>
        <v/>
      </c>
      <c r="O949" s="7">
        <f>'1 datos preparados'!N942</f>
        <v/>
      </c>
      <c r="P949" s="7">
        <f>'1 datos preparados'!O942</f>
        <v/>
      </c>
      <c r="Q949" s="7">
        <f>'1 datos preparados'!P942</f>
        <v/>
      </c>
      <c r="R949" s="7">
        <f>'1 datos preparados'!Q942</f>
        <v/>
      </c>
      <c r="S949" s="7">
        <f>'1 datos preparados'!R942</f>
        <v/>
      </c>
      <c r="T949" s="7">
        <f>'1 datos preparados'!S942</f>
        <v/>
      </c>
      <c r="U949" s="7">
        <f>'1 datos preparados'!T942</f>
        <v/>
      </c>
      <c r="V949" s="8">
        <f>$AC$12+D949*$AC$13+E949*$AC$14+F949*$AC$15+G949*$AC$16+H949*$AC$17+I949*$AC$18+J949*$AC$19+K949*$AC$20+L949*$AC$21+M949*$AC$22+N949*$AC$23+O949*$AC$24+P949*$AC$25+Q949*$AC$26+R949*$AC$27+S949*$AC$28+T949*$AC$29+U949*$AC$30</f>
        <v/>
      </c>
      <c r="W949" s="8">
        <f>1/(1+EXP(-V949))</f>
        <v/>
      </c>
      <c r="X949" s="9">
        <f>-IF(C949=1,LN(W949),LN(1-W949))</f>
        <v/>
      </c>
      <c r="Y949" s="10">
        <f>IF(W949&gt;$AC$34,1,0)</f>
        <v/>
      </c>
      <c r="Z949">
        <f>IF(Y949=C949,1,0)</f>
        <v/>
      </c>
    </row>
    <row r="950">
      <c r="A950">
        <f>'1 datos preparados'!A943</f>
        <v/>
      </c>
      <c r="B950" s="5">
        <f>'1 datos preparados'!U943</f>
        <v/>
      </c>
      <c r="C950">
        <f>'1 datos preparados'!B943</f>
        <v/>
      </c>
      <c r="D950" s="7">
        <f>'1 datos preparados'!C943</f>
        <v/>
      </c>
      <c r="E950" s="7">
        <f>'1 datos preparados'!D943</f>
        <v/>
      </c>
      <c r="F950" s="7">
        <f>'1 datos preparados'!E943</f>
        <v/>
      </c>
      <c r="G950" s="7">
        <f>'1 datos preparados'!F943</f>
        <v/>
      </c>
      <c r="H950" s="7">
        <f>'1 datos preparados'!G943</f>
        <v/>
      </c>
      <c r="I950" s="7">
        <f>'1 datos preparados'!H943</f>
        <v/>
      </c>
      <c r="J950" s="7">
        <f>'1 datos preparados'!I943</f>
        <v/>
      </c>
      <c r="K950" s="7">
        <f>'1 datos preparados'!J943</f>
        <v/>
      </c>
      <c r="L950" s="7">
        <f>'1 datos preparados'!K943</f>
        <v/>
      </c>
      <c r="M950" s="7">
        <f>'1 datos preparados'!L943</f>
        <v/>
      </c>
      <c r="N950" s="7">
        <f>'1 datos preparados'!M943</f>
        <v/>
      </c>
      <c r="O950" s="7">
        <f>'1 datos preparados'!N943</f>
        <v/>
      </c>
      <c r="P950" s="7">
        <f>'1 datos preparados'!O943</f>
        <v/>
      </c>
      <c r="Q950" s="7">
        <f>'1 datos preparados'!P943</f>
        <v/>
      </c>
      <c r="R950" s="7">
        <f>'1 datos preparados'!Q943</f>
        <v/>
      </c>
      <c r="S950" s="7">
        <f>'1 datos preparados'!R943</f>
        <v/>
      </c>
      <c r="T950" s="7">
        <f>'1 datos preparados'!S943</f>
        <v/>
      </c>
      <c r="U950" s="7">
        <f>'1 datos preparados'!T943</f>
        <v/>
      </c>
      <c r="V950" s="8">
        <f>$AC$12+D950*$AC$13+E950*$AC$14+F950*$AC$15+G950*$AC$16+H950*$AC$17+I950*$AC$18+J950*$AC$19+K950*$AC$20+L950*$AC$21+M950*$AC$22+N950*$AC$23+O950*$AC$24+P950*$AC$25+Q950*$AC$26+R950*$AC$27+S950*$AC$28+T950*$AC$29+U950*$AC$30</f>
        <v/>
      </c>
      <c r="W950" s="8">
        <f>1/(1+EXP(-V950))</f>
        <v/>
      </c>
      <c r="X950" s="9">
        <f>-IF(C950=1,LN(W950),LN(1-W950))</f>
        <v/>
      </c>
      <c r="Y950" s="10">
        <f>IF(W950&gt;$AC$34,1,0)</f>
        <v/>
      </c>
      <c r="Z950">
        <f>IF(Y950=C950,1,0)</f>
        <v/>
      </c>
    </row>
    <row r="951">
      <c r="A951">
        <f>'1 datos preparados'!A944</f>
        <v/>
      </c>
      <c r="B951" s="5">
        <f>'1 datos preparados'!U944</f>
        <v/>
      </c>
      <c r="C951">
        <f>'1 datos preparados'!B944</f>
        <v/>
      </c>
      <c r="D951" s="7">
        <f>'1 datos preparados'!C944</f>
        <v/>
      </c>
      <c r="E951" s="7">
        <f>'1 datos preparados'!D944</f>
        <v/>
      </c>
      <c r="F951" s="7">
        <f>'1 datos preparados'!E944</f>
        <v/>
      </c>
      <c r="G951" s="7">
        <f>'1 datos preparados'!F944</f>
        <v/>
      </c>
      <c r="H951" s="7">
        <f>'1 datos preparados'!G944</f>
        <v/>
      </c>
      <c r="I951" s="7">
        <f>'1 datos preparados'!H944</f>
        <v/>
      </c>
      <c r="J951" s="7">
        <f>'1 datos preparados'!I944</f>
        <v/>
      </c>
      <c r="K951" s="7">
        <f>'1 datos preparados'!J944</f>
        <v/>
      </c>
      <c r="L951" s="7">
        <f>'1 datos preparados'!K944</f>
        <v/>
      </c>
      <c r="M951" s="7">
        <f>'1 datos preparados'!L944</f>
        <v/>
      </c>
      <c r="N951" s="7">
        <f>'1 datos preparados'!M944</f>
        <v/>
      </c>
      <c r="O951" s="7">
        <f>'1 datos preparados'!N944</f>
        <v/>
      </c>
      <c r="P951" s="7">
        <f>'1 datos preparados'!O944</f>
        <v/>
      </c>
      <c r="Q951" s="7">
        <f>'1 datos preparados'!P944</f>
        <v/>
      </c>
      <c r="R951" s="7">
        <f>'1 datos preparados'!Q944</f>
        <v/>
      </c>
      <c r="S951" s="7">
        <f>'1 datos preparados'!R944</f>
        <v/>
      </c>
      <c r="T951" s="7">
        <f>'1 datos preparados'!S944</f>
        <v/>
      </c>
      <c r="U951" s="7">
        <f>'1 datos preparados'!T944</f>
        <v/>
      </c>
      <c r="V951" s="8">
        <f>$AC$12+D951*$AC$13+E951*$AC$14+F951*$AC$15+G951*$AC$16+H951*$AC$17+I951*$AC$18+J951*$AC$19+K951*$AC$20+L951*$AC$21+M951*$AC$22+N951*$AC$23+O951*$AC$24+P951*$AC$25+Q951*$AC$26+R951*$AC$27+S951*$AC$28+T951*$AC$29+U951*$AC$30</f>
        <v/>
      </c>
      <c r="W951" s="8">
        <f>1/(1+EXP(-V951))</f>
        <v/>
      </c>
      <c r="X951" s="9">
        <f>-IF(C951=1,LN(W951),LN(1-W951))</f>
        <v/>
      </c>
      <c r="Y951" s="10">
        <f>IF(W951&gt;$AC$34,1,0)</f>
        <v/>
      </c>
      <c r="Z951">
        <f>IF(Y951=C951,1,0)</f>
        <v/>
      </c>
    </row>
    <row r="952">
      <c r="A952">
        <f>'1 datos preparados'!A945</f>
        <v/>
      </c>
      <c r="B952" s="5">
        <f>'1 datos preparados'!U945</f>
        <v/>
      </c>
      <c r="C952">
        <f>'1 datos preparados'!B945</f>
        <v/>
      </c>
      <c r="D952" s="7">
        <f>'1 datos preparados'!C945</f>
        <v/>
      </c>
      <c r="E952" s="7">
        <f>'1 datos preparados'!D945</f>
        <v/>
      </c>
      <c r="F952" s="7">
        <f>'1 datos preparados'!E945</f>
        <v/>
      </c>
      <c r="G952" s="7">
        <f>'1 datos preparados'!F945</f>
        <v/>
      </c>
      <c r="H952" s="7">
        <f>'1 datos preparados'!G945</f>
        <v/>
      </c>
      <c r="I952" s="7">
        <f>'1 datos preparados'!H945</f>
        <v/>
      </c>
      <c r="J952" s="7">
        <f>'1 datos preparados'!I945</f>
        <v/>
      </c>
      <c r="K952" s="7">
        <f>'1 datos preparados'!J945</f>
        <v/>
      </c>
      <c r="L952" s="7">
        <f>'1 datos preparados'!K945</f>
        <v/>
      </c>
      <c r="M952" s="7">
        <f>'1 datos preparados'!L945</f>
        <v/>
      </c>
      <c r="N952" s="7">
        <f>'1 datos preparados'!M945</f>
        <v/>
      </c>
      <c r="O952" s="7">
        <f>'1 datos preparados'!N945</f>
        <v/>
      </c>
      <c r="P952" s="7">
        <f>'1 datos preparados'!O945</f>
        <v/>
      </c>
      <c r="Q952" s="7">
        <f>'1 datos preparados'!P945</f>
        <v/>
      </c>
      <c r="R952" s="7">
        <f>'1 datos preparados'!Q945</f>
        <v/>
      </c>
      <c r="S952" s="7">
        <f>'1 datos preparados'!R945</f>
        <v/>
      </c>
      <c r="T952" s="7">
        <f>'1 datos preparados'!S945</f>
        <v/>
      </c>
      <c r="U952" s="7">
        <f>'1 datos preparados'!T945</f>
        <v/>
      </c>
      <c r="V952" s="8">
        <f>$AC$12+D952*$AC$13+E952*$AC$14+F952*$AC$15+G952*$AC$16+H952*$AC$17+I952*$AC$18+J952*$AC$19+K952*$AC$20+L952*$AC$21+M952*$AC$22+N952*$AC$23+O952*$AC$24+P952*$AC$25+Q952*$AC$26+R952*$AC$27+S952*$AC$28+T952*$AC$29+U952*$AC$30</f>
        <v/>
      </c>
      <c r="W952" s="8">
        <f>1/(1+EXP(-V952))</f>
        <v/>
      </c>
      <c r="X952" s="9">
        <f>-IF(C952=1,LN(W952),LN(1-W952))</f>
        <v/>
      </c>
      <c r="Y952" s="10">
        <f>IF(W952&gt;$AC$34,1,0)</f>
        <v/>
      </c>
      <c r="Z952">
        <f>IF(Y952=C952,1,0)</f>
        <v/>
      </c>
    </row>
    <row r="953">
      <c r="A953">
        <f>'1 datos preparados'!A946</f>
        <v/>
      </c>
      <c r="B953" s="5">
        <f>'1 datos preparados'!U946</f>
        <v/>
      </c>
      <c r="C953">
        <f>'1 datos preparados'!B946</f>
        <v/>
      </c>
      <c r="D953" s="7">
        <f>'1 datos preparados'!C946</f>
        <v/>
      </c>
      <c r="E953" s="7">
        <f>'1 datos preparados'!D946</f>
        <v/>
      </c>
      <c r="F953" s="7">
        <f>'1 datos preparados'!E946</f>
        <v/>
      </c>
      <c r="G953" s="7">
        <f>'1 datos preparados'!F946</f>
        <v/>
      </c>
      <c r="H953" s="7">
        <f>'1 datos preparados'!G946</f>
        <v/>
      </c>
      <c r="I953" s="7">
        <f>'1 datos preparados'!H946</f>
        <v/>
      </c>
      <c r="J953" s="7">
        <f>'1 datos preparados'!I946</f>
        <v/>
      </c>
      <c r="K953" s="7">
        <f>'1 datos preparados'!J946</f>
        <v/>
      </c>
      <c r="L953" s="7">
        <f>'1 datos preparados'!K946</f>
        <v/>
      </c>
      <c r="M953" s="7">
        <f>'1 datos preparados'!L946</f>
        <v/>
      </c>
      <c r="N953" s="7">
        <f>'1 datos preparados'!M946</f>
        <v/>
      </c>
      <c r="O953" s="7">
        <f>'1 datos preparados'!N946</f>
        <v/>
      </c>
      <c r="P953" s="7">
        <f>'1 datos preparados'!O946</f>
        <v/>
      </c>
      <c r="Q953" s="7">
        <f>'1 datos preparados'!P946</f>
        <v/>
      </c>
      <c r="R953" s="7">
        <f>'1 datos preparados'!Q946</f>
        <v/>
      </c>
      <c r="S953" s="7">
        <f>'1 datos preparados'!R946</f>
        <v/>
      </c>
      <c r="T953" s="7">
        <f>'1 datos preparados'!S946</f>
        <v/>
      </c>
      <c r="U953" s="7">
        <f>'1 datos preparados'!T946</f>
        <v/>
      </c>
      <c r="V953" s="8">
        <f>$AC$12+D953*$AC$13+E953*$AC$14+F953*$AC$15+G953*$AC$16+H953*$AC$17+I953*$AC$18+J953*$AC$19+K953*$AC$20+L953*$AC$21+M953*$AC$22+N953*$AC$23+O953*$AC$24+P953*$AC$25+Q953*$AC$26+R953*$AC$27+S953*$AC$28+T953*$AC$29+U953*$AC$30</f>
        <v/>
      </c>
      <c r="W953" s="8">
        <f>1/(1+EXP(-V953))</f>
        <v/>
      </c>
      <c r="X953" s="9">
        <f>-IF(C953=1,LN(W953),LN(1-W953))</f>
        <v/>
      </c>
      <c r="Y953" s="10">
        <f>IF(W953&gt;$AC$34,1,0)</f>
        <v/>
      </c>
      <c r="Z953">
        <f>IF(Y953=C953,1,0)</f>
        <v/>
      </c>
    </row>
    <row r="954">
      <c r="A954">
        <f>'1 datos preparados'!A947</f>
        <v/>
      </c>
      <c r="B954" s="5">
        <f>'1 datos preparados'!U947</f>
        <v/>
      </c>
      <c r="C954">
        <f>'1 datos preparados'!B947</f>
        <v/>
      </c>
      <c r="D954" s="7">
        <f>'1 datos preparados'!C947</f>
        <v/>
      </c>
      <c r="E954" s="7">
        <f>'1 datos preparados'!D947</f>
        <v/>
      </c>
      <c r="F954" s="7">
        <f>'1 datos preparados'!E947</f>
        <v/>
      </c>
      <c r="G954" s="7">
        <f>'1 datos preparados'!F947</f>
        <v/>
      </c>
      <c r="H954" s="7">
        <f>'1 datos preparados'!G947</f>
        <v/>
      </c>
      <c r="I954" s="7">
        <f>'1 datos preparados'!H947</f>
        <v/>
      </c>
      <c r="J954" s="7">
        <f>'1 datos preparados'!I947</f>
        <v/>
      </c>
      <c r="K954" s="7">
        <f>'1 datos preparados'!J947</f>
        <v/>
      </c>
      <c r="L954" s="7">
        <f>'1 datos preparados'!K947</f>
        <v/>
      </c>
      <c r="M954" s="7">
        <f>'1 datos preparados'!L947</f>
        <v/>
      </c>
      <c r="N954" s="7">
        <f>'1 datos preparados'!M947</f>
        <v/>
      </c>
      <c r="O954" s="7">
        <f>'1 datos preparados'!N947</f>
        <v/>
      </c>
      <c r="P954" s="7">
        <f>'1 datos preparados'!O947</f>
        <v/>
      </c>
      <c r="Q954" s="7">
        <f>'1 datos preparados'!P947</f>
        <v/>
      </c>
      <c r="R954" s="7">
        <f>'1 datos preparados'!Q947</f>
        <v/>
      </c>
      <c r="S954" s="7">
        <f>'1 datos preparados'!R947</f>
        <v/>
      </c>
      <c r="T954" s="7">
        <f>'1 datos preparados'!S947</f>
        <v/>
      </c>
      <c r="U954" s="7">
        <f>'1 datos preparados'!T947</f>
        <v/>
      </c>
      <c r="V954" s="8">
        <f>$AC$12+D954*$AC$13+E954*$AC$14+F954*$AC$15+G954*$AC$16+H954*$AC$17+I954*$AC$18+J954*$AC$19+K954*$AC$20+L954*$AC$21+M954*$AC$22+N954*$AC$23+O954*$AC$24+P954*$AC$25+Q954*$AC$26+R954*$AC$27+S954*$AC$28+T954*$AC$29+U954*$AC$30</f>
        <v/>
      </c>
      <c r="W954" s="8">
        <f>1/(1+EXP(-V954))</f>
        <v/>
      </c>
      <c r="X954" s="9">
        <f>-IF(C954=1,LN(W954),LN(1-W954))</f>
        <v/>
      </c>
      <c r="Y954" s="10">
        <f>IF(W954&gt;$AC$34,1,0)</f>
        <v/>
      </c>
      <c r="Z954">
        <f>IF(Y954=C954,1,0)</f>
        <v/>
      </c>
    </row>
    <row r="955">
      <c r="A955">
        <f>'1 datos preparados'!A948</f>
        <v/>
      </c>
      <c r="B955" s="5">
        <f>'1 datos preparados'!U948</f>
        <v/>
      </c>
      <c r="C955">
        <f>'1 datos preparados'!B948</f>
        <v/>
      </c>
      <c r="D955" s="7">
        <f>'1 datos preparados'!C948</f>
        <v/>
      </c>
      <c r="E955" s="7">
        <f>'1 datos preparados'!D948</f>
        <v/>
      </c>
      <c r="F955" s="7">
        <f>'1 datos preparados'!E948</f>
        <v/>
      </c>
      <c r="G955" s="7">
        <f>'1 datos preparados'!F948</f>
        <v/>
      </c>
      <c r="H955" s="7">
        <f>'1 datos preparados'!G948</f>
        <v/>
      </c>
      <c r="I955" s="7">
        <f>'1 datos preparados'!H948</f>
        <v/>
      </c>
      <c r="J955" s="7">
        <f>'1 datos preparados'!I948</f>
        <v/>
      </c>
      <c r="K955" s="7">
        <f>'1 datos preparados'!J948</f>
        <v/>
      </c>
      <c r="L955" s="7">
        <f>'1 datos preparados'!K948</f>
        <v/>
      </c>
      <c r="M955" s="7">
        <f>'1 datos preparados'!L948</f>
        <v/>
      </c>
      <c r="N955" s="7">
        <f>'1 datos preparados'!M948</f>
        <v/>
      </c>
      <c r="O955" s="7">
        <f>'1 datos preparados'!N948</f>
        <v/>
      </c>
      <c r="P955" s="7">
        <f>'1 datos preparados'!O948</f>
        <v/>
      </c>
      <c r="Q955" s="7">
        <f>'1 datos preparados'!P948</f>
        <v/>
      </c>
      <c r="R955" s="7">
        <f>'1 datos preparados'!Q948</f>
        <v/>
      </c>
      <c r="S955" s="7">
        <f>'1 datos preparados'!R948</f>
        <v/>
      </c>
      <c r="T955" s="7">
        <f>'1 datos preparados'!S948</f>
        <v/>
      </c>
      <c r="U955" s="7">
        <f>'1 datos preparados'!T948</f>
        <v/>
      </c>
      <c r="V955" s="8">
        <f>$AC$12+D955*$AC$13+E955*$AC$14+F955*$AC$15+G955*$AC$16+H955*$AC$17+I955*$AC$18+J955*$AC$19+K955*$AC$20+L955*$AC$21+M955*$AC$22+N955*$AC$23+O955*$AC$24+P955*$AC$25+Q955*$AC$26+R955*$AC$27+S955*$AC$28+T955*$AC$29+U955*$AC$30</f>
        <v/>
      </c>
      <c r="W955" s="8">
        <f>1/(1+EXP(-V955))</f>
        <v/>
      </c>
      <c r="X955" s="9">
        <f>-IF(C955=1,LN(W955),LN(1-W955))</f>
        <v/>
      </c>
      <c r="Y955" s="10">
        <f>IF(W955&gt;$AC$34,1,0)</f>
        <v/>
      </c>
      <c r="Z955">
        <f>IF(Y955=C955,1,0)</f>
        <v/>
      </c>
    </row>
    <row r="956">
      <c r="A956">
        <f>'1 datos preparados'!A949</f>
        <v/>
      </c>
      <c r="B956" s="5">
        <f>'1 datos preparados'!U949</f>
        <v/>
      </c>
      <c r="C956">
        <f>'1 datos preparados'!B949</f>
        <v/>
      </c>
      <c r="D956" s="7">
        <f>'1 datos preparados'!C949</f>
        <v/>
      </c>
      <c r="E956" s="7">
        <f>'1 datos preparados'!D949</f>
        <v/>
      </c>
      <c r="F956" s="7">
        <f>'1 datos preparados'!E949</f>
        <v/>
      </c>
      <c r="G956" s="7">
        <f>'1 datos preparados'!F949</f>
        <v/>
      </c>
      <c r="H956" s="7">
        <f>'1 datos preparados'!G949</f>
        <v/>
      </c>
      <c r="I956" s="7">
        <f>'1 datos preparados'!H949</f>
        <v/>
      </c>
      <c r="J956" s="7">
        <f>'1 datos preparados'!I949</f>
        <v/>
      </c>
      <c r="K956" s="7">
        <f>'1 datos preparados'!J949</f>
        <v/>
      </c>
      <c r="L956" s="7">
        <f>'1 datos preparados'!K949</f>
        <v/>
      </c>
      <c r="M956" s="7">
        <f>'1 datos preparados'!L949</f>
        <v/>
      </c>
      <c r="N956" s="7">
        <f>'1 datos preparados'!M949</f>
        <v/>
      </c>
      <c r="O956" s="7">
        <f>'1 datos preparados'!N949</f>
        <v/>
      </c>
      <c r="P956" s="7">
        <f>'1 datos preparados'!O949</f>
        <v/>
      </c>
      <c r="Q956" s="7">
        <f>'1 datos preparados'!P949</f>
        <v/>
      </c>
      <c r="R956" s="7">
        <f>'1 datos preparados'!Q949</f>
        <v/>
      </c>
      <c r="S956" s="7">
        <f>'1 datos preparados'!R949</f>
        <v/>
      </c>
      <c r="T956" s="7">
        <f>'1 datos preparados'!S949</f>
        <v/>
      </c>
      <c r="U956" s="7">
        <f>'1 datos preparados'!T949</f>
        <v/>
      </c>
      <c r="V956" s="8">
        <f>$AC$12+D956*$AC$13+E956*$AC$14+F956*$AC$15+G956*$AC$16+H956*$AC$17+I956*$AC$18+J956*$AC$19+K956*$AC$20+L956*$AC$21+M956*$AC$22+N956*$AC$23+O956*$AC$24+P956*$AC$25+Q956*$AC$26+R956*$AC$27+S956*$AC$28+T956*$AC$29+U956*$AC$30</f>
        <v/>
      </c>
      <c r="W956" s="8">
        <f>1/(1+EXP(-V956))</f>
        <v/>
      </c>
      <c r="X956" s="9">
        <f>-IF(C956=1,LN(W956),LN(1-W956))</f>
        <v/>
      </c>
      <c r="Y956" s="10">
        <f>IF(W956&gt;$AC$34,1,0)</f>
        <v/>
      </c>
      <c r="Z956">
        <f>IF(Y956=C956,1,0)</f>
        <v/>
      </c>
    </row>
    <row r="957">
      <c r="A957">
        <f>'1 datos preparados'!A950</f>
        <v/>
      </c>
      <c r="B957" s="5">
        <f>'1 datos preparados'!U950</f>
        <v/>
      </c>
      <c r="C957">
        <f>'1 datos preparados'!B950</f>
        <v/>
      </c>
      <c r="D957" s="7">
        <f>'1 datos preparados'!C950</f>
        <v/>
      </c>
      <c r="E957" s="7">
        <f>'1 datos preparados'!D950</f>
        <v/>
      </c>
      <c r="F957" s="7">
        <f>'1 datos preparados'!E950</f>
        <v/>
      </c>
      <c r="G957" s="7">
        <f>'1 datos preparados'!F950</f>
        <v/>
      </c>
      <c r="H957" s="7">
        <f>'1 datos preparados'!G950</f>
        <v/>
      </c>
      <c r="I957" s="7">
        <f>'1 datos preparados'!H950</f>
        <v/>
      </c>
      <c r="J957" s="7">
        <f>'1 datos preparados'!I950</f>
        <v/>
      </c>
      <c r="K957" s="7">
        <f>'1 datos preparados'!J950</f>
        <v/>
      </c>
      <c r="L957" s="7">
        <f>'1 datos preparados'!K950</f>
        <v/>
      </c>
      <c r="M957" s="7">
        <f>'1 datos preparados'!L950</f>
        <v/>
      </c>
      <c r="N957" s="7">
        <f>'1 datos preparados'!M950</f>
        <v/>
      </c>
      <c r="O957" s="7">
        <f>'1 datos preparados'!N950</f>
        <v/>
      </c>
      <c r="P957" s="7">
        <f>'1 datos preparados'!O950</f>
        <v/>
      </c>
      <c r="Q957" s="7">
        <f>'1 datos preparados'!P950</f>
        <v/>
      </c>
      <c r="R957" s="7">
        <f>'1 datos preparados'!Q950</f>
        <v/>
      </c>
      <c r="S957" s="7">
        <f>'1 datos preparados'!R950</f>
        <v/>
      </c>
      <c r="T957" s="7">
        <f>'1 datos preparados'!S950</f>
        <v/>
      </c>
      <c r="U957" s="7">
        <f>'1 datos preparados'!T950</f>
        <v/>
      </c>
      <c r="V957" s="8">
        <f>$AC$12+D957*$AC$13+E957*$AC$14+F957*$AC$15+G957*$AC$16+H957*$AC$17+I957*$AC$18+J957*$AC$19+K957*$AC$20+L957*$AC$21+M957*$AC$22+N957*$AC$23+O957*$AC$24+P957*$AC$25+Q957*$AC$26+R957*$AC$27+S957*$AC$28+T957*$AC$29+U957*$AC$30</f>
        <v/>
      </c>
      <c r="W957" s="8">
        <f>1/(1+EXP(-V957))</f>
        <v/>
      </c>
      <c r="X957" s="9">
        <f>-IF(C957=1,LN(W957),LN(1-W957))</f>
        <v/>
      </c>
      <c r="Y957" s="10">
        <f>IF(W957&gt;$AC$34,1,0)</f>
        <v/>
      </c>
      <c r="Z957">
        <f>IF(Y957=C957,1,0)</f>
        <v/>
      </c>
    </row>
    <row r="958">
      <c r="A958">
        <f>'1 datos preparados'!A951</f>
        <v/>
      </c>
      <c r="B958" s="5">
        <f>'1 datos preparados'!U951</f>
        <v/>
      </c>
      <c r="C958">
        <f>'1 datos preparados'!B951</f>
        <v/>
      </c>
      <c r="D958" s="7">
        <f>'1 datos preparados'!C951</f>
        <v/>
      </c>
      <c r="E958" s="7">
        <f>'1 datos preparados'!D951</f>
        <v/>
      </c>
      <c r="F958" s="7">
        <f>'1 datos preparados'!E951</f>
        <v/>
      </c>
      <c r="G958" s="7">
        <f>'1 datos preparados'!F951</f>
        <v/>
      </c>
      <c r="H958" s="7">
        <f>'1 datos preparados'!G951</f>
        <v/>
      </c>
      <c r="I958" s="7">
        <f>'1 datos preparados'!H951</f>
        <v/>
      </c>
      <c r="J958" s="7">
        <f>'1 datos preparados'!I951</f>
        <v/>
      </c>
      <c r="K958" s="7">
        <f>'1 datos preparados'!J951</f>
        <v/>
      </c>
      <c r="L958" s="7">
        <f>'1 datos preparados'!K951</f>
        <v/>
      </c>
      <c r="M958" s="7">
        <f>'1 datos preparados'!L951</f>
        <v/>
      </c>
      <c r="N958" s="7">
        <f>'1 datos preparados'!M951</f>
        <v/>
      </c>
      <c r="O958" s="7">
        <f>'1 datos preparados'!N951</f>
        <v/>
      </c>
      <c r="P958" s="7">
        <f>'1 datos preparados'!O951</f>
        <v/>
      </c>
      <c r="Q958" s="7">
        <f>'1 datos preparados'!P951</f>
        <v/>
      </c>
      <c r="R958" s="7">
        <f>'1 datos preparados'!Q951</f>
        <v/>
      </c>
      <c r="S958" s="7">
        <f>'1 datos preparados'!R951</f>
        <v/>
      </c>
      <c r="T958" s="7">
        <f>'1 datos preparados'!S951</f>
        <v/>
      </c>
      <c r="U958" s="7">
        <f>'1 datos preparados'!T951</f>
        <v/>
      </c>
      <c r="V958" s="8">
        <f>$AC$12+D958*$AC$13+E958*$AC$14+F958*$AC$15+G958*$AC$16+H958*$AC$17+I958*$AC$18+J958*$AC$19+K958*$AC$20+L958*$AC$21+M958*$AC$22+N958*$AC$23+O958*$AC$24+P958*$AC$25+Q958*$AC$26+R958*$AC$27+S958*$AC$28+T958*$AC$29+U958*$AC$30</f>
        <v/>
      </c>
      <c r="W958" s="8">
        <f>1/(1+EXP(-V958))</f>
        <v/>
      </c>
      <c r="X958" s="9">
        <f>-IF(C958=1,LN(W958),LN(1-W958))</f>
        <v/>
      </c>
      <c r="Y958" s="10">
        <f>IF(W958&gt;$AC$34,1,0)</f>
        <v/>
      </c>
      <c r="Z958">
        <f>IF(Y958=C958,1,0)</f>
        <v/>
      </c>
    </row>
    <row r="959">
      <c r="A959">
        <f>'1 datos preparados'!A952</f>
        <v/>
      </c>
      <c r="B959" s="5">
        <f>'1 datos preparados'!U952</f>
        <v/>
      </c>
      <c r="C959">
        <f>'1 datos preparados'!B952</f>
        <v/>
      </c>
      <c r="D959" s="7">
        <f>'1 datos preparados'!C952</f>
        <v/>
      </c>
      <c r="E959" s="7">
        <f>'1 datos preparados'!D952</f>
        <v/>
      </c>
      <c r="F959" s="7">
        <f>'1 datos preparados'!E952</f>
        <v/>
      </c>
      <c r="G959" s="7">
        <f>'1 datos preparados'!F952</f>
        <v/>
      </c>
      <c r="H959" s="7">
        <f>'1 datos preparados'!G952</f>
        <v/>
      </c>
      <c r="I959" s="7">
        <f>'1 datos preparados'!H952</f>
        <v/>
      </c>
      <c r="J959" s="7">
        <f>'1 datos preparados'!I952</f>
        <v/>
      </c>
      <c r="K959" s="7">
        <f>'1 datos preparados'!J952</f>
        <v/>
      </c>
      <c r="L959" s="7">
        <f>'1 datos preparados'!K952</f>
        <v/>
      </c>
      <c r="M959" s="7">
        <f>'1 datos preparados'!L952</f>
        <v/>
      </c>
      <c r="N959" s="7">
        <f>'1 datos preparados'!M952</f>
        <v/>
      </c>
      <c r="O959" s="7">
        <f>'1 datos preparados'!N952</f>
        <v/>
      </c>
      <c r="P959" s="7">
        <f>'1 datos preparados'!O952</f>
        <v/>
      </c>
      <c r="Q959" s="7">
        <f>'1 datos preparados'!P952</f>
        <v/>
      </c>
      <c r="R959" s="7">
        <f>'1 datos preparados'!Q952</f>
        <v/>
      </c>
      <c r="S959" s="7">
        <f>'1 datos preparados'!R952</f>
        <v/>
      </c>
      <c r="T959" s="7">
        <f>'1 datos preparados'!S952</f>
        <v/>
      </c>
      <c r="U959" s="7">
        <f>'1 datos preparados'!T952</f>
        <v/>
      </c>
      <c r="V959" s="8">
        <f>$AC$12+D959*$AC$13+E959*$AC$14+F959*$AC$15+G959*$AC$16+H959*$AC$17+I959*$AC$18+J959*$AC$19+K959*$AC$20+L959*$AC$21+M959*$AC$22+N959*$AC$23+O959*$AC$24+P959*$AC$25+Q959*$AC$26+R959*$AC$27+S959*$AC$28+T959*$AC$29+U959*$AC$30</f>
        <v/>
      </c>
      <c r="W959" s="8">
        <f>1/(1+EXP(-V959))</f>
        <v/>
      </c>
      <c r="X959" s="9">
        <f>-IF(C959=1,LN(W959),LN(1-W959))</f>
        <v/>
      </c>
      <c r="Y959" s="10">
        <f>IF(W959&gt;$AC$34,1,0)</f>
        <v/>
      </c>
      <c r="Z959">
        <f>IF(Y959=C959,1,0)</f>
        <v/>
      </c>
    </row>
    <row r="960">
      <c r="A960">
        <f>'1 datos preparados'!A953</f>
        <v/>
      </c>
      <c r="B960" s="5">
        <f>'1 datos preparados'!U953</f>
        <v/>
      </c>
      <c r="C960">
        <f>'1 datos preparados'!B953</f>
        <v/>
      </c>
      <c r="D960" s="7">
        <f>'1 datos preparados'!C953</f>
        <v/>
      </c>
      <c r="E960" s="7">
        <f>'1 datos preparados'!D953</f>
        <v/>
      </c>
      <c r="F960" s="7">
        <f>'1 datos preparados'!E953</f>
        <v/>
      </c>
      <c r="G960" s="7">
        <f>'1 datos preparados'!F953</f>
        <v/>
      </c>
      <c r="H960" s="7">
        <f>'1 datos preparados'!G953</f>
        <v/>
      </c>
      <c r="I960" s="7">
        <f>'1 datos preparados'!H953</f>
        <v/>
      </c>
      <c r="J960" s="7">
        <f>'1 datos preparados'!I953</f>
        <v/>
      </c>
      <c r="K960" s="7">
        <f>'1 datos preparados'!J953</f>
        <v/>
      </c>
      <c r="L960" s="7">
        <f>'1 datos preparados'!K953</f>
        <v/>
      </c>
      <c r="M960" s="7">
        <f>'1 datos preparados'!L953</f>
        <v/>
      </c>
      <c r="N960" s="7">
        <f>'1 datos preparados'!M953</f>
        <v/>
      </c>
      <c r="O960" s="7">
        <f>'1 datos preparados'!N953</f>
        <v/>
      </c>
      <c r="P960" s="7">
        <f>'1 datos preparados'!O953</f>
        <v/>
      </c>
      <c r="Q960" s="7">
        <f>'1 datos preparados'!P953</f>
        <v/>
      </c>
      <c r="R960" s="7">
        <f>'1 datos preparados'!Q953</f>
        <v/>
      </c>
      <c r="S960" s="7">
        <f>'1 datos preparados'!R953</f>
        <v/>
      </c>
      <c r="T960" s="7">
        <f>'1 datos preparados'!S953</f>
        <v/>
      </c>
      <c r="U960" s="7">
        <f>'1 datos preparados'!T953</f>
        <v/>
      </c>
      <c r="V960" s="8">
        <f>$AC$12+D960*$AC$13+E960*$AC$14+F960*$AC$15+G960*$AC$16+H960*$AC$17+I960*$AC$18+J960*$AC$19+K960*$AC$20+L960*$AC$21+M960*$AC$22+N960*$AC$23+O960*$AC$24+P960*$AC$25+Q960*$AC$26+R960*$AC$27+S960*$AC$28+T960*$AC$29+U960*$AC$30</f>
        <v/>
      </c>
      <c r="W960" s="8">
        <f>1/(1+EXP(-V960))</f>
        <v/>
      </c>
      <c r="X960" s="9">
        <f>-IF(C960=1,LN(W960),LN(1-W960))</f>
        <v/>
      </c>
      <c r="Y960" s="10">
        <f>IF(W960&gt;$AC$34,1,0)</f>
        <v/>
      </c>
      <c r="Z960">
        <f>IF(Y960=C960,1,0)</f>
        <v/>
      </c>
    </row>
    <row r="961">
      <c r="A961">
        <f>'1 datos preparados'!A954</f>
        <v/>
      </c>
      <c r="B961" s="5">
        <f>'1 datos preparados'!U954</f>
        <v/>
      </c>
      <c r="C961">
        <f>'1 datos preparados'!B954</f>
        <v/>
      </c>
      <c r="D961" s="7">
        <f>'1 datos preparados'!C954</f>
        <v/>
      </c>
      <c r="E961" s="7">
        <f>'1 datos preparados'!D954</f>
        <v/>
      </c>
      <c r="F961" s="7">
        <f>'1 datos preparados'!E954</f>
        <v/>
      </c>
      <c r="G961" s="7">
        <f>'1 datos preparados'!F954</f>
        <v/>
      </c>
      <c r="H961" s="7">
        <f>'1 datos preparados'!G954</f>
        <v/>
      </c>
      <c r="I961" s="7">
        <f>'1 datos preparados'!H954</f>
        <v/>
      </c>
      <c r="J961" s="7">
        <f>'1 datos preparados'!I954</f>
        <v/>
      </c>
      <c r="K961" s="7">
        <f>'1 datos preparados'!J954</f>
        <v/>
      </c>
      <c r="L961" s="7">
        <f>'1 datos preparados'!K954</f>
        <v/>
      </c>
      <c r="M961" s="7">
        <f>'1 datos preparados'!L954</f>
        <v/>
      </c>
      <c r="N961" s="7">
        <f>'1 datos preparados'!M954</f>
        <v/>
      </c>
      <c r="O961" s="7">
        <f>'1 datos preparados'!N954</f>
        <v/>
      </c>
      <c r="P961" s="7">
        <f>'1 datos preparados'!O954</f>
        <v/>
      </c>
      <c r="Q961" s="7">
        <f>'1 datos preparados'!P954</f>
        <v/>
      </c>
      <c r="R961" s="7">
        <f>'1 datos preparados'!Q954</f>
        <v/>
      </c>
      <c r="S961" s="7">
        <f>'1 datos preparados'!R954</f>
        <v/>
      </c>
      <c r="T961" s="7">
        <f>'1 datos preparados'!S954</f>
        <v/>
      </c>
      <c r="U961" s="7">
        <f>'1 datos preparados'!T954</f>
        <v/>
      </c>
      <c r="V961" s="8">
        <f>$AC$12+D961*$AC$13+E961*$AC$14+F961*$AC$15+G961*$AC$16+H961*$AC$17+I961*$AC$18+J961*$AC$19+K961*$AC$20+L961*$AC$21+M961*$AC$22+N961*$AC$23+O961*$AC$24+P961*$AC$25+Q961*$AC$26+R961*$AC$27+S961*$AC$28+T961*$AC$29+U961*$AC$30</f>
        <v/>
      </c>
      <c r="W961" s="8">
        <f>1/(1+EXP(-V961))</f>
        <v/>
      </c>
      <c r="X961" s="9">
        <f>-IF(C961=1,LN(W961),LN(1-W961))</f>
        <v/>
      </c>
      <c r="Y961" s="10">
        <f>IF(W961&gt;$AC$34,1,0)</f>
        <v/>
      </c>
      <c r="Z961">
        <f>IF(Y961=C961,1,0)</f>
        <v/>
      </c>
    </row>
    <row r="962">
      <c r="A962">
        <f>'1 datos preparados'!A955</f>
        <v/>
      </c>
      <c r="B962" s="5">
        <f>'1 datos preparados'!U955</f>
        <v/>
      </c>
      <c r="C962">
        <f>'1 datos preparados'!B955</f>
        <v/>
      </c>
      <c r="D962" s="7">
        <f>'1 datos preparados'!C955</f>
        <v/>
      </c>
      <c r="E962" s="7">
        <f>'1 datos preparados'!D955</f>
        <v/>
      </c>
      <c r="F962" s="7">
        <f>'1 datos preparados'!E955</f>
        <v/>
      </c>
      <c r="G962" s="7">
        <f>'1 datos preparados'!F955</f>
        <v/>
      </c>
      <c r="H962" s="7">
        <f>'1 datos preparados'!G955</f>
        <v/>
      </c>
      <c r="I962" s="7">
        <f>'1 datos preparados'!H955</f>
        <v/>
      </c>
      <c r="J962" s="7">
        <f>'1 datos preparados'!I955</f>
        <v/>
      </c>
      <c r="K962" s="7">
        <f>'1 datos preparados'!J955</f>
        <v/>
      </c>
      <c r="L962" s="7">
        <f>'1 datos preparados'!K955</f>
        <v/>
      </c>
      <c r="M962" s="7">
        <f>'1 datos preparados'!L955</f>
        <v/>
      </c>
      <c r="N962" s="7">
        <f>'1 datos preparados'!M955</f>
        <v/>
      </c>
      <c r="O962" s="7">
        <f>'1 datos preparados'!N955</f>
        <v/>
      </c>
      <c r="P962" s="7">
        <f>'1 datos preparados'!O955</f>
        <v/>
      </c>
      <c r="Q962" s="7">
        <f>'1 datos preparados'!P955</f>
        <v/>
      </c>
      <c r="R962" s="7">
        <f>'1 datos preparados'!Q955</f>
        <v/>
      </c>
      <c r="S962" s="7">
        <f>'1 datos preparados'!R955</f>
        <v/>
      </c>
      <c r="T962" s="7">
        <f>'1 datos preparados'!S955</f>
        <v/>
      </c>
      <c r="U962" s="7">
        <f>'1 datos preparados'!T955</f>
        <v/>
      </c>
      <c r="V962" s="8">
        <f>$AC$12+D962*$AC$13+E962*$AC$14+F962*$AC$15+G962*$AC$16+H962*$AC$17+I962*$AC$18+J962*$AC$19+K962*$AC$20+L962*$AC$21+M962*$AC$22+N962*$AC$23+O962*$AC$24+P962*$AC$25+Q962*$AC$26+R962*$AC$27+S962*$AC$28+T962*$AC$29+U962*$AC$30</f>
        <v/>
      </c>
      <c r="W962" s="8">
        <f>1/(1+EXP(-V962))</f>
        <v/>
      </c>
      <c r="X962" s="9">
        <f>-IF(C962=1,LN(W962),LN(1-W962))</f>
        <v/>
      </c>
      <c r="Y962" s="10">
        <f>IF(W962&gt;$AC$34,1,0)</f>
        <v/>
      </c>
      <c r="Z962">
        <f>IF(Y962=C962,1,0)</f>
        <v/>
      </c>
    </row>
    <row r="963">
      <c r="A963">
        <f>'1 datos preparados'!A956</f>
        <v/>
      </c>
      <c r="B963" s="5">
        <f>'1 datos preparados'!U956</f>
        <v/>
      </c>
      <c r="C963">
        <f>'1 datos preparados'!B956</f>
        <v/>
      </c>
      <c r="D963" s="7">
        <f>'1 datos preparados'!C956</f>
        <v/>
      </c>
      <c r="E963" s="7">
        <f>'1 datos preparados'!D956</f>
        <v/>
      </c>
      <c r="F963" s="7">
        <f>'1 datos preparados'!E956</f>
        <v/>
      </c>
      <c r="G963" s="7">
        <f>'1 datos preparados'!F956</f>
        <v/>
      </c>
      <c r="H963" s="7">
        <f>'1 datos preparados'!G956</f>
        <v/>
      </c>
      <c r="I963" s="7">
        <f>'1 datos preparados'!H956</f>
        <v/>
      </c>
      <c r="J963" s="7">
        <f>'1 datos preparados'!I956</f>
        <v/>
      </c>
      <c r="K963" s="7">
        <f>'1 datos preparados'!J956</f>
        <v/>
      </c>
      <c r="L963" s="7">
        <f>'1 datos preparados'!K956</f>
        <v/>
      </c>
      <c r="M963" s="7">
        <f>'1 datos preparados'!L956</f>
        <v/>
      </c>
      <c r="N963" s="7">
        <f>'1 datos preparados'!M956</f>
        <v/>
      </c>
      <c r="O963" s="7">
        <f>'1 datos preparados'!N956</f>
        <v/>
      </c>
      <c r="P963" s="7">
        <f>'1 datos preparados'!O956</f>
        <v/>
      </c>
      <c r="Q963" s="7">
        <f>'1 datos preparados'!P956</f>
        <v/>
      </c>
      <c r="R963" s="7">
        <f>'1 datos preparados'!Q956</f>
        <v/>
      </c>
      <c r="S963" s="7">
        <f>'1 datos preparados'!R956</f>
        <v/>
      </c>
      <c r="T963" s="7">
        <f>'1 datos preparados'!S956</f>
        <v/>
      </c>
      <c r="U963" s="7">
        <f>'1 datos preparados'!T956</f>
        <v/>
      </c>
      <c r="V963" s="8">
        <f>$AC$12+D963*$AC$13+E963*$AC$14+F963*$AC$15+G963*$AC$16+H963*$AC$17+I963*$AC$18+J963*$AC$19+K963*$AC$20+L963*$AC$21+M963*$AC$22+N963*$AC$23+O963*$AC$24+P963*$AC$25+Q963*$AC$26+R963*$AC$27+S963*$AC$28+T963*$AC$29+U963*$AC$30</f>
        <v/>
      </c>
      <c r="W963" s="8">
        <f>1/(1+EXP(-V963))</f>
        <v/>
      </c>
      <c r="X963" s="9">
        <f>-IF(C963=1,LN(W963),LN(1-W963))</f>
        <v/>
      </c>
      <c r="Y963" s="10">
        <f>IF(W963&gt;$AC$34,1,0)</f>
        <v/>
      </c>
      <c r="Z963">
        <f>IF(Y963=C963,1,0)</f>
        <v/>
      </c>
    </row>
    <row r="964">
      <c r="A964">
        <f>'1 datos preparados'!A957</f>
        <v/>
      </c>
      <c r="B964" s="5">
        <f>'1 datos preparados'!U957</f>
        <v/>
      </c>
      <c r="C964">
        <f>'1 datos preparados'!B957</f>
        <v/>
      </c>
      <c r="D964" s="7">
        <f>'1 datos preparados'!C957</f>
        <v/>
      </c>
      <c r="E964" s="7">
        <f>'1 datos preparados'!D957</f>
        <v/>
      </c>
      <c r="F964" s="7">
        <f>'1 datos preparados'!E957</f>
        <v/>
      </c>
      <c r="G964" s="7">
        <f>'1 datos preparados'!F957</f>
        <v/>
      </c>
      <c r="H964" s="7">
        <f>'1 datos preparados'!G957</f>
        <v/>
      </c>
      <c r="I964" s="7">
        <f>'1 datos preparados'!H957</f>
        <v/>
      </c>
      <c r="J964" s="7">
        <f>'1 datos preparados'!I957</f>
        <v/>
      </c>
      <c r="K964" s="7">
        <f>'1 datos preparados'!J957</f>
        <v/>
      </c>
      <c r="L964" s="7">
        <f>'1 datos preparados'!K957</f>
        <v/>
      </c>
      <c r="M964" s="7">
        <f>'1 datos preparados'!L957</f>
        <v/>
      </c>
      <c r="N964" s="7">
        <f>'1 datos preparados'!M957</f>
        <v/>
      </c>
      <c r="O964" s="7">
        <f>'1 datos preparados'!N957</f>
        <v/>
      </c>
      <c r="P964" s="7">
        <f>'1 datos preparados'!O957</f>
        <v/>
      </c>
      <c r="Q964" s="7">
        <f>'1 datos preparados'!P957</f>
        <v/>
      </c>
      <c r="R964" s="7">
        <f>'1 datos preparados'!Q957</f>
        <v/>
      </c>
      <c r="S964" s="7">
        <f>'1 datos preparados'!R957</f>
        <v/>
      </c>
      <c r="T964" s="7">
        <f>'1 datos preparados'!S957</f>
        <v/>
      </c>
      <c r="U964" s="7">
        <f>'1 datos preparados'!T957</f>
        <v/>
      </c>
      <c r="V964" s="8">
        <f>$AC$12+D964*$AC$13+E964*$AC$14+F964*$AC$15+G964*$AC$16+H964*$AC$17+I964*$AC$18+J964*$AC$19+K964*$AC$20+L964*$AC$21+M964*$AC$22+N964*$AC$23+O964*$AC$24+P964*$AC$25+Q964*$AC$26+R964*$AC$27+S964*$AC$28+T964*$AC$29+U964*$AC$30</f>
        <v/>
      </c>
      <c r="W964" s="8">
        <f>1/(1+EXP(-V964))</f>
        <v/>
      </c>
      <c r="X964" s="9">
        <f>-IF(C964=1,LN(W964),LN(1-W964))</f>
        <v/>
      </c>
      <c r="Y964" s="10">
        <f>IF(W964&gt;$AC$34,1,0)</f>
        <v/>
      </c>
      <c r="Z964">
        <f>IF(Y964=C964,1,0)</f>
        <v/>
      </c>
    </row>
    <row r="965">
      <c r="A965">
        <f>'1 datos preparados'!A958</f>
        <v/>
      </c>
      <c r="B965" s="5">
        <f>'1 datos preparados'!U958</f>
        <v/>
      </c>
      <c r="C965">
        <f>'1 datos preparados'!B958</f>
        <v/>
      </c>
      <c r="D965" s="7">
        <f>'1 datos preparados'!C958</f>
        <v/>
      </c>
      <c r="E965" s="7">
        <f>'1 datos preparados'!D958</f>
        <v/>
      </c>
      <c r="F965" s="7">
        <f>'1 datos preparados'!E958</f>
        <v/>
      </c>
      <c r="G965" s="7">
        <f>'1 datos preparados'!F958</f>
        <v/>
      </c>
      <c r="H965" s="7">
        <f>'1 datos preparados'!G958</f>
        <v/>
      </c>
      <c r="I965" s="7">
        <f>'1 datos preparados'!H958</f>
        <v/>
      </c>
      <c r="J965" s="7">
        <f>'1 datos preparados'!I958</f>
        <v/>
      </c>
      <c r="K965" s="7">
        <f>'1 datos preparados'!J958</f>
        <v/>
      </c>
      <c r="L965" s="7">
        <f>'1 datos preparados'!K958</f>
        <v/>
      </c>
      <c r="M965" s="7">
        <f>'1 datos preparados'!L958</f>
        <v/>
      </c>
      <c r="N965" s="7">
        <f>'1 datos preparados'!M958</f>
        <v/>
      </c>
      <c r="O965" s="7">
        <f>'1 datos preparados'!N958</f>
        <v/>
      </c>
      <c r="P965" s="7">
        <f>'1 datos preparados'!O958</f>
        <v/>
      </c>
      <c r="Q965" s="7">
        <f>'1 datos preparados'!P958</f>
        <v/>
      </c>
      <c r="R965" s="7">
        <f>'1 datos preparados'!Q958</f>
        <v/>
      </c>
      <c r="S965" s="7">
        <f>'1 datos preparados'!R958</f>
        <v/>
      </c>
      <c r="T965" s="7">
        <f>'1 datos preparados'!S958</f>
        <v/>
      </c>
      <c r="U965" s="7">
        <f>'1 datos preparados'!T958</f>
        <v/>
      </c>
      <c r="V965" s="8">
        <f>$AC$12+D965*$AC$13+E965*$AC$14+F965*$AC$15+G965*$AC$16+H965*$AC$17+I965*$AC$18+J965*$AC$19+K965*$AC$20+L965*$AC$21+M965*$AC$22+N965*$AC$23+O965*$AC$24+P965*$AC$25+Q965*$AC$26+R965*$AC$27+S965*$AC$28+T965*$AC$29+U965*$AC$30</f>
        <v/>
      </c>
      <c r="W965" s="8">
        <f>1/(1+EXP(-V965))</f>
        <v/>
      </c>
      <c r="X965" s="9">
        <f>-IF(C965=1,LN(W965),LN(1-W965))</f>
        <v/>
      </c>
      <c r="Y965" s="10">
        <f>IF(W965&gt;$AC$34,1,0)</f>
        <v/>
      </c>
      <c r="Z965">
        <f>IF(Y965=C965,1,0)</f>
        <v/>
      </c>
    </row>
    <row r="966">
      <c r="A966">
        <f>'1 datos preparados'!A959</f>
        <v/>
      </c>
      <c r="B966" s="5">
        <f>'1 datos preparados'!U959</f>
        <v/>
      </c>
      <c r="C966">
        <f>'1 datos preparados'!B959</f>
        <v/>
      </c>
      <c r="D966" s="7">
        <f>'1 datos preparados'!C959</f>
        <v/>
      </c>
      <c r="E966" s="7">
        <f>'1 datos preparados'!D959</f>
        <v/>
      </c>
      <c r="F966" s="7">
        <f>'1 datos preparados'!E959</f>
        <v/>
      </c>
      <c r="G966" s="7">
        <f>'1 datos preparados'!F959</f>
        <v/>
      </c>
      <c r="H966" s="7">
        <f>'1 datos preparados'!G959</f>
        <v/>
      </c>
      <c r="I966" s="7">
        <f>'1 datos preparados'!H959</f>
        <v/>
      </c>
      <c r="J966" s="7">
        <f>'1 datos preparados'!I959</f>
        <v/>
      </c>
      <c r="K966" s="7">
        <f>'1 datos preparados'!J959</f>
        <v/>
      </c>
      <c r="L966" s="7">
        <f>'1 datos preparados'!K959</f>
        <v/>
      </c>
      <c r="M966" s="7">
        <f>'1 datos preparados'!L959</f>
        <v/>
      </c>
      <c r="N966" s="7">
        <f>'1 datos preparados'!M959</f>
        <v/>
      </c>
      <c r="O966" s="7">
        <f>'1 datos preparados'!N959</f>
        <v/>
      </c>
      <c r="P966" s="7">
        <f>'1 datos preparados'!O959</f>
        <v/>
      </c>
      <c r="Q966" s="7">
        <f>'1 datos preparados'!P959</f>
        <v/>
      </c>
      <c r="R966" s="7">
        <f>'1 datos preparados'!Q959</f>
        <v/>
      </c>
      <c r="S966" s="7">
        <f>'1 datos preparados'!R959</f>
        <v/>
      </c>
      <c r="T966" s="7">
        <f>'1 datos preparados'!S959</f>
        <v/>
      </c>
      <c r="U966" s="7">
        <f>'1 datos preparados'!T959</f>
        <v/>
      </c>
      <c r="V966" s="8">
        <f>$AC$12+D966*$AC$13+E966*$AC$14+F966*$AC$15+G966*$AC$16+H966*$AC$17+I966*$AC$18+J966*$AC$19+K966*$AC$20+L966*$AC$21+M966*$AC$22+N966*$AC$23+O966*$AC$24+P966*$AC$25+Q966*$AC$26+R966*$AC$27+S966*$AC$28+T966*$AC$29+U966*$AC$30</f>
        <v/>
      </c>
      <c r="W966" s="8">
        <f>1/(1+EXP(-V966))</f>
        <v/>
      </c>
      <c r="X966" s="9">
        <f>-IF(C966=1,LN(W966),LN(1-W966))</f>
        <v/>
      </c>
      <c r="Y966" s="10">
        <f>IF(W966&gt;$AC$34,1,0)</f>
        <v/>
      </c>
      <c r="Z966">
        <f>IF(Y966=C966,1,0)</f>
        <v/>
      </c>
    </row>
    <row r="967">
      <c r="A967">
        <f>'1 datos preparados'!A960</f>
        <v/>
      </c>
      <c r="B967" s="5">
        <f>'1 datos preparados'!U960</f>
        <v/>
      </c>
      <c r="C967">
        <f>'1 datos preparados'!B960</f>
        <v/>
      </c>
      <c r="D967" s="7">
        <f>'1 datos preparados'!C960</f>
        <v/>
      </c>
      <c r="E967" s="7">
        <f>'1 datos preparados'!D960</f>
        <v/>
      </c>
      <c r="F967" s="7">
        <f>'1 datos preparados'!E960</f>
        <v/>
      </c>
      <c r="G967" s="7">
        <f>'1 datos preparados'!F960</f>
        <v/>
      </c>
      <c r="H967" s="7">
        <f>'1 datos preparados'!G960</f>
        <v/>
      </c>
      <c r="I967" s="7">
        <f>'1 datos preparados'!H960</f>
        <v/>
      </c>
      <c r="J967" s="7">
        <f>'1 datos preparados'!I960</f>
        <v/>
      </c>
      <c r="K967" s="7">
        <f>'1 datos preparados'!J960</f>
        <v/>
      </c>
      <c r="L967" s="7">
        <f>'1 datos preparados'!K960</f>
        <v/>
      </c>
      <c r="M967" s="7">
        <f>'1 datos preparados'!L960</f>
        <v/>
      </c>
      <c r="N967" s="7">
        <f>'1 datos preparados'!M960</f>
        <v/>
      </c>
      <c r="O967" s="7">
        <f>'1 datos preparados'!N960</f>
        <v/>
      </c>
      <c r="P967" s="7">
        <f>'1 datos preparados'!O960</f>
        <v/>
      </c>
      <c r="Q967" s="7">
        <f>'1 datos preparados'!P960</f>
        <v/>
      </c>
      <c r="R967" s="7">
        <f>'1 datos preparados'!Q960</f>
        <v/>
      </c>
      <c r="S967" s="7">
        <f>'1 datos preparados'!R960</f>
        <v/>
      </c>
      <c r="T967" s="7">
        <f>'1 datos preparados'!S960</f>
        <v/>
      </c>
      <c r="U967" s="7">
        <f>'1 datos preparados'!T960</f>
        <v/>
      </c>
      <c r="V967" s="8">
        <f>$AC$12+D967*$AC$13+E967*$AC$14+F967*$AC$15+G967*$AC$16+H967*$AC$17+I967*$AC$18+J967*$AC$19+K967*$AC$20+L967*$AC$21+M967*$AC$22+N967*$AC$23+O967*$AC$24+P967*$AC$25+Q967*$AC$26+R967*$AC$27+S967*$AC$28+T967*$AC$29+U967*$AC$30</f>
        <v/>
      </c>
      <c r="W967" s="8">
        <f>1/(1+EXP(-V967))</f>
        <v/>
      </c>
      <c r="X967" s="9">
        <f>-IF(C967=1,LN(W967),LN(1-W967))</f>
        <v/>
      </c>
      <c r="Y967" s="10">
        <f>IF(W967&gt;$AC$34,1,0)</f>
        <v/>
      </c>
      <c r="Z967">
        <f>IF(Y967=C967,1,0)</f>
        <v/>
      </c>
    </row>
    <row r="968">
      <c r="A968">
        <f>'1 datos preparados'!A961</f>
        <v/>
      </c>
      <c r="B968" s="5">
        <f>'1 datos preparados'!U961</f>
        <v/>
      </c>
      <c r="C968">
        <f>'1 datos preparados'!B961</f>
        <v/>
      </c>
      <c r="D968" s="7">
        <f>'1 datos preparados'!C961</f>
        <v/>
      </c>
      <c r="E968" s="7">
        <f>'1 datos preparados'!D961</f>
        <v/>
      </c>
      <c r="F968" s="7">
        <f>'1 datos preparados'!E961</f>
        <v/>
      </c>
      <c r="G968" s="7">
        <f>'1 datos preparados'!F961</f>
        <v/>
      </c>
      <c r="H968" s="7">
        <f>'1 datos preparados'!G961</f>
        <v/>
      </c>
      <c r="I968" s="7">
        <f>'1 datos preparados'!H961</f>
        <v/>
      </c>
      <c r="J968" s="7">
        <f>'1 datos preparados'!I961</f>
        <v/>
      </c>
      <c r="K968" s="7">
        <f>'1 datos preparados'!J961</f>
        <v/>
      </c>
      <c r="L968" s="7">
        <f>'1 datos preparados'!K961</f>
        <v/>
      </c>
      <c r="M968" s="7">
        <f>'1 datos preparados'!L961</f>
        <v/>
      </c>
      <c r="N968" s="7">
        <f>'1 datos preparados'!M961</f>
        <v/>
      </c>
      <c r="O968" s="7">
        <f>'1 datos preparados'!N961</f>
        <v/>
      </c>
      <c r="P968" s="7">
        <f>'1 datos preparados'!O961</f>
        <v/>
      </c>
      <c r="Q968" s="7">
        <f>'1 datos preparados'!P961</f>
        <v/>
      </c>
      <c r="R968" s="7">
        <f>'1 datos preparados'!Q961</f>
        <v/>
      </c>
      <c r="S968" s="7">
        <f>'1 datos preparados'!R961</f>
        <v/>
      </c>
      <c r="T968" s="7">
        <f>'1 datos preparados'!S961</f>
        <v/>
      </c>
      <c r="U968" s="7">
        <f>'1 datos preparados'!T961</f>
        <v/>
      </c>
      <c r="V968" s="8">
        <f>$AC$12+D968*$AC$13+E968*$AC$14+F968*$AC$15+G968*$AC$16+H968*$AC$17+I968*$AC$18+J968*$AC$19+K968*$AC$20+L968*$AC$21+M968*$AC$22+N968*$AC$23+O968*$AC$24+P968*$AC$25+Q968*$AC$26+R968*$AC$27+S968*$AC$28+T968*$AC$29+U968*$AC$30</f>
        <v/>
      </c>
      <c r="W968" s="8">
        <f>1/(1+EXP(-V968))</f>
        <v/>
      </c>
      <c r="X968" s="9">
        <f>-IF(C968=1,LN(W968),LN(1-W968))</f>
        <v/>
      </c>
      <c r="Y968" s="10">
        <f>IF(W968&gt;$AC$34,1,0)</f>
        <v/>
      </c>
      <c r="Z968">
        <f>IF(Y968=C968,1,0)</f>
        <v/>
      </c>
    </row>
    <row r="969">
      <c r="A969">
        <f>'1 datos preparados'!A962</f>
        <v/>
      </c>
      <c r="B969" s="5">
        <f>'1 datos preparados'!U962</f>
        <v/>
      </c>
      <c r="C969">
        <f>'1 datos preparados'!B962</f>
        <v/>
      </c>
      <c r="D969" s="7">
        <f>'1 datos preparados'!C962</f>
        <v/>
      </c>
      <c r="E969" s="7">
        <f>'1 datos preparados'!D962</f>
        <v/>
      </c>
      <c r="F969" s="7">
        <f>'1 datos preparados'!E962</f>
        <v/>
      </c>
      <c r="G969" s="7">
        <f>'1 datos preparados'!F962</f>
        <v/>
      </c>
      <c r="H969" s="7">
        <f>'1 datos preparados'!G962</f>
        <v/>
      </c>
      <c r="I969" s="7">
        <f>'1 datos preparados'!H962</f>
        <v/>
      </c>
      <c r="J969" s="7">
        <f>'1 datos preparados'!I962</f>
        <v/>
      </c>
      <c r="K969" s="7">
        <f>'1 datos preparados'!J962</f>
        <v/>
      </c>
      <c r="L969" s="7">
        <f>'1 datos preparados'!K962</f>
        <v/>
      </c>
      <c r="M969" s="7">
        <f>'1 datos preparados'!L962</f>
        <v/>
      </c>
      <c r="N969" s="7">
        <f>'1 datos preparados'!M962</f>
        <v/>
      </c>
      <c r="O969" s="7">
        <f>'1 datos preparados'!N962</f>
        <v/>
      </c>
      <c r="P969" s="7">
        <f>'1 datos preparados'!O962</f>
        <v/>
      </c>
      <c r="Q969" s="7">
        <f>'1 datos preparados'!P962</f>
        <v/>
      </c>
      <c r="R969" s="7">
        <f>'1 datos preparados'!Q962</f>
        <v/>
      </c>
      <c r="S969" s="7">
        <f>'1 datos preparados'!R962</f>
        <v/>
      </c>
      <c r="T969" s="7">
        <f>'1 datos preparados'!S962</f>
        <v/>
      </c>
      <c r="U969" s="7">
        <f>'1 datos preparados'!T962</f>
        <v/>
      </c>
      <c r="V969" s="8">
        <f>$AC$12+D969*$AC$13+E969*$AC$14+F969*$AC$15+G969*$AC$16+H969*$AC$17+I969*$AC$18+J969*$AC$19+K969*$AC$20+L969*$AC$21+M969*$AC$22+N969*$AC$23+O969*$AC$24+P969*$AC$25+Q969*$AC$26+R969*$AC$27+S969*$AC$28+T969*$AC$29+U969*$AC$30</f>
        <v/>
      </c>
      <c r="W969" s="8">
        <f>1/(1+EXP(-V969))</f>
        <v/>
      </c>
      <c r="X969" s="9">
        <f>-IF(C969=1,LN(W969),LN(1-W969))</f>
        <v/>
      </c>
      <c r="Y969" s="10">
        <f>IF(W969&gt;$AC$34,1,0)</f>
        <v/>
      </c>
      <c r="Z969">
        <f>IF(Y969=C969,1,0)</f>
        <v/>
      </c>
    </row>
    <row r="970">
      <c r="A970">
        <f>'1 datos preparados'!A963</f>
        <v/>
      </c>
      <c r="B970" s="5">
        <f>'1 datos preparados'!U963</f>
        <v/>
      </c>
      <c r="C970">
        <f>'1 datos preparados'!B963</f>
        <v/>
      </c>
      <c r="D970" s="7">
        <f>'1 datos preparados'!C963</f>
        <v/>
      </c>
      <c r="E970" s="7">
        <f>'1 datos preparados'!D963</f>
        <v/>
      </c>
      <c r="F970" s="7">
        <f>'1 datos preparados'!E963</f>
        <v/>
      </c>
      <c r="G970" s="7">
        <f>'1 datos preparados'!F963</f>
        <v/>
      </c>
      <c r="H970" s="7">
        <f>'1 datos preparados'!G963</f>
        <v/>
      </c>
      <c r="I970" s="7">
        <f>'1 datos preparados'!H963</f>
        <v/>
      </c>
      <c r="J970" s="7">
        <f>'1 datos preparados'!I963</f>
        <v/>
      </c>
      <c r="K970" s="7">
        <f>'1 datos preparados'!J963</f>
        <v/>
      </c>
      <c r="L970" s="7">
        <f>'1 datos preparados'!K963</f>
        <v/>
      </c>
      <c r="M970" s="7">
        <f>'1 datos preparados'!L963</f>
        <v/>
      </c>
      <c r="N970" s="7">
        <f>'1 datos preparados'!M963</f>
        <v/>
      </c>
      <c r="O970" s="7">
        <f>'1 datos preparados'!N963</f>
        <v/>
      </c>
      <c r="P970" s="7">
        <f>'1 datos preparados'!O963</f>
        <v/>
      </c>
      <c r="Q970" s="7">
        <f>'1 datos preparados'!P963</f>
        <v/>
      </c>
      <c r="R970" s="7">
        <f>'1 datos preparados'!Q963</f>
        <v/>
      </c>
      <c r="S970" s="7">
        <f>'1 datos preparados'!R963</f>
        <v/>
      </c>
      <c r="T970" s="7">
        <f>'1 datos preparados'!S963</f>
        <v/>
      </c>
      <c r="U970" s="7">
        <f>'1 datos preparados'!T963</f>
        <v/>
      </c>
      <c r="V970" s="8">
        <f>$AC$12+D970*$AC$13+E970*$AC$14+F970*$AC$15+G970*$AC$16+H970*$AC$17+I970*$AC$18+J970*$AC$19+K970*$AC$20+L970*$AC$21+M970*$AC$22+N970*$AC$23+O970*$AC$24+P970*$AC$25+Q970*$AC$26+R970*$AC$27+S970*$AC$28+T970*$AC$29+U970*$AC$30</f>
        <v/>
      </c>
      <c r="W970" s="8">
        <f>1/(1+EXP(-V970))</f>
        <v/>
      </c>
      <c r="X970" s="9">
        <f>-IF(C970=1,LN(W970),LN(1-W970))</f>
        <v/>
      </c>
      <c r="Y970" s="10">
        <f>IF(W970&gt;$AC$34,1,0)</f>
        <v/>
      </c>
      <c r="Z970">
        <f>IF(Y970=C970,1,0)</f>
        <v/>
      </c>
    </row>
    <row r="971">
      <c r="A971">
        <f>'1 datos preparados'!A964</f>
        <v/>
      </c>
      <c r="B971" s="5">
        <f>'1 datos preparados'!U964</f>
        <v/>
      </c>
      <c r="C971">
        <f>'1 datos preparados'!B964</f>
        <v/>
      </c>
      <c r="D971" s="7">
        <f>'1 datos preparados'!C964</f>
        <v/>
      </c>
      <c r="E971" s="7">
        <f>'1 datos preparados'!D964</f>
        <v/>
      </c>
      <c r="F971" s="7">
        <f>'1 datos preparados'!E964</f>
        <v/>
      </c>
      <c r="G971" s="7">
        <f>'1 datos preparados'!F964</f>
        <v/>
      </c>
      <c r="H971" s="7">
        <f>'1 datos preparados'!G964</f>
        <v/>
      </c>
      <c r="I971" s="7">
        <f>'1 datos preparados'!H964</f>
        <v/>
      </c>
      <c r="J971" s="7">
        <f>'1 datos preparados'!I964</f>
        <v/>
      </c>
      <c r="K971" s="7">
        <f>'1 datos preparados'!J964</f>
        <v/>
      </c>
      <c r="L971" s="7">
        <f>'1 datos preparados'!K964</f>
        <v/>
      </c>
      <c r="M971" s="7">
        <f>'1 datos preparados'!L964</f>
        <v/>
      </c>
      <c r="N971" s="7">
        <f>'1 datos preparados'!M964</f>
        <v/>
      </c>
      <c r="O971" s="7">
        <f>'1 datos preparados'!N964</f>
        <v/>
      </c>
      <c r="P971" s="7">
        <f>'1 datos preparados'!O964</f>
        <v/>
      </c>
      <c r="Q971" s="7">
        <f>'1 datos preparados'!P964</f>
        <v/>
      </c>
      <c r="R971" s="7">
        <f>'1 datos preparados'!Q964</f>
        <v/>
      </c>
      <c r="S971" s="7">
        <f>'1 datos preparados'!R964</f>
        <v/>
      </c>
      <c r="T971" s="7">
        <f>'1 datos preparados'!S964</f>
        <v/>
      </c>
      <c r="U971" s="7">
        <f>'1 datos preparados'!T964</f>
        <v/>
      </c>
      <c r="V971" s="8">
        <f>$AC$12+D971*$AC$13+E971*$AC$14+F971*$AC$15+G971*$AC$16+H971*$AC$17+I971*$AC$18+J971*$AC$19+K971*$AC$20+L971*$AC$21+M971*$AC$22+N971*$AC$23+O971*$AC$24+P971*$AC$25+Q971*$AC$26+R971*$AC$27+S971*$AC$28+T971*$AC$29+U971*$AC$30</f>
        <v/>
      </c>
      <c r="W971" s="8">
        <f>1/(1+EXP(-V971))</f>
        <v/>
      </c>
      <c r="X971" s="9">
        <f>-IF(C971=1,LN(W971),LN(1-W971))</f>
        <v/>
      </c>
      <c r="Y971" s="10">
        <f>IF(W971&gt;$AC$34,1,0)</f>
        <v/>
      </c>
      <c r="Z971">
        <f>IF(Y971=C971,1,0)</f>
        <v/>
      </c>
    </row>
    <row r="972">
      <c r="A972">
        <f>'1 datos preparados'!A965</f>
        <v/>
      </c>
      <c r="B972" s="5">
        <f>'1 datos preparados'!U965</f>
        <v/>
      </c>
      <c r="C972">
        <f>'1 datos preparados'!B965</f>
        <v/>
      </c>
      <c r="D972" s="7">
        <f>'1 datos preparados'!C965</f>
        <v/>
      </c>
      <c r="E972" s="7">
        <f>'1 datos preparados'!D965</f>
        <v/>
      </c>
      <c r="F972" s="7">
        <f>'1 datos preparados'!E965</f>
        <v/>
      </c>
      <c r="G972" s="7">
        <f>'1 datos preparados'!F965</f>
        <v/>
      </c>
      <c r="H972" s="7">
        <f>'1 datos preparados'!G965</f>
        <v/>
      </c>
      <c r="I972" s="7">
        <f>'1 datos preparados'!H965</f>
        <v/>
      </c>
      <c r="J972" s="7">
        <f>'1 datos preparados'!I965</f>
        <v/>
      </c>
      <c r="K972" s="7">
        <f>'1 datos preparados'!J965</f>
        <v/>
      </c>
      <c r="L972" s="7">
        <f>'1 datos preparados'!K965</f>
        <v/>
      </c>
      <c r="M972" s="7">
        <f>'1 datos preparados'!L965</f>
        <v/>
      </c>
      <c r="N972" s="7">
        <f>'1 datos preparados'!M965</f>
        <v/>
      </c>
      <c r="O972" s="7">
        <f>'1 datos preparados'!N965</f>
        <v/>
      </c>
      <c r="P972" s="7">
        <f>'1 datos preparados'!O965</f>
        <v/>
      </c>
      <c r="Q972" s="7">
        <f>'1 datos preparados'!P965</f>
        <v/>
      </c>
      <c r="R972" s="7">
        <f>'1 datos preparados'!Q965</f>
        <v/>
      </c>
      <c r="S972" s="7">
        <f>'1 datos preparados'!R965</f>
        <v/>
      </c>
      <c r="T972" s="7">
        <f>'1 datos preparados'!S965</f>
        <v/>
      </c>
      <c r="U972" s="7">
        <f>'1 datos preparados'!T965</f>
        <v/>
      </c>
      <c r="V972" s="8">
        <f>$AC$12+D972*$AC$13+E972*$AC$14+F972*$AC$15+G972*$AC$16+H972*$AC$17+I972*$AC$18+J972*$AC$19+K972*$AC$20+L972*$AC$21+M972*$AC$22+N972*$AC$23+O972*$AC$24+P972*$AC$25+Q972*$AC$26+R972*$AC$27+S972*$AC$28+T972*$AC$29+U972*$AC$30</f>
        <v/>
      </c>
      <c r="W972" s="8">
        <f>1/(1+EXP(-V972))</f>
        <v/>
      </c>
      <c r="X972" s="9">
        <f>-IF(C972=1,LN(W972),LN(1-W972))</f>
        <v/>
      </c>
      <c r="Y972" s="10">
        <f>IF(W972&gt;$AC$34,1,0)</f>
        <v/>
      </c>
      <c r="Z972">
        <f>IF(Y972=C972,1,0)</f>
        <v/>
      </c>
    </row>
    <row r="973">
      <c r="A973">
        <f>'1 datos preparados'!A966</f>
        <v/>
      </c>
      <c r="B973" s="5">
        <f>'1 datos preparados'!U966</f>
        <v/>
      </c>
      <c r="C973">
        <f>'1 datos preparados'!B966</f>
        <v/>
      </c>
      <c r="D973" s="7">
        <f>'1 datos preparados'!C966</f>
        <v/>
      </c>
      <c r="E973" s="7">
        <f>'1 datos preparados'!D966</f>
        <v/>
      </c>
      <c r="F973" s="7">
        <f>'1 datos preparados'!E966</f>
        <v/>
      </c>
      <c r="G973" s="7">
        <f>'1 datos preparados'!F966</f>
        <v/>
      </c>
      <c r="H973" s="7">
        <f>'1 datos preparados'!G966</f>
        <v/>
      </c>
      <c r="I973" s="7">
        <f>'1 datos preparados'!H966</f>
        <v/>
      </c>
      <c r="J973" s="7">
        <f>'1 datos preparados'!I966</f>
        <v/>
      </c>
      <c r="K973" s="7">
        <f>'1 datos preparados'!J966</f>
        <v/>
      </c>
      <c r="L973" s="7">
        <f>'1 datos preparados'!K966</f>
        <v/>
      </c>
      <c r="M973" s="7">
        <f>'1 datos preparados'!L966</f>
        <v/>
      </c>
      <c r="N973" s="7">
        <f>'1 datos preparados'!M966</f>
        <v/>
      </c>
      <c r="O973" s="7">
        <f>'1 datos preparados'!N966</f>
        <v/>
      </c>
      <c r="P973" s="7">
        <f>'1 datos preparados'!O966</f>
        <v/>
      </c>
      <c r="Q973" s="7">
        <f>'1 datos preparados'!P966</f>
        <v/>
      </c>
      <c r="R973" s="7">
        <f>'1 datos preparados'!Q966</f>
        <v/>
      </c>
      <c r="S973" s="7">
        <f>'1 datos preparados'!R966</f>
        <v/>
      </c>
      <c r="T973" s="7">
        <f>'1 datos preparados'!S966</f>
        <v/>
      </c>
      <c r="U973" s="7">
        <f>'1 datos preparados'!T966</f>
        <v/>
      </c>
      <c r="V973" s="8">
        <f>$AC$12+D973*$AC$13+E973*$AC$14+F973*$AC$15+G973*$AC$16+H973*$AC$17+I973*$AC$18+J973*$AC$19+K973*$AC$20+L973*$AC$21+M973*$AC$22+N973*$AC$23+O973*$AC$24+P973*$AC$25+Q973*$AC$26+R973*$AC$27+S973*$AC$28+T973*$AC$29+U973*$AC$30</f>
        <v/>
      </c>
      <c r="W973" s="8">
        <f>1/(1+EXP(-V973))</f>
        <v/>
      </c>
      <c r="X973" s="9">
        <f>-IF(C973=1,LN(W973),LN(1-W973))</f>
        <v/>
      </c>
      <c r="Y973" s="10">
        <f>IF(W973&gt;$AC$34,1,0)</f>
        <v/>
      </c>
      <c r="Z973">
        <f>IF(Y973=C973,1,0)</f>
        <v/>
      </c>
    </row>
    <row r="974">
      <c r="A974">
        <f>'1 datos preparados'!A967</f>
        <v/>
      </c>
      <c r="B974" s="5">
        <f>'1 datos preparados'!U967</f>
        <v/>
      </c>
      <c r="C974">
        <f>'1 datos preparados'!B967</f>
        <v/>
      </c>
      <c r="D974" s="7">
        <f>'1 datos preparados'!C967</f>
        <v/>
      </c>
      <c r="E974" s="7">
        <f>'1 datos preparados'!D967</f>
        <v/>
      </c>
      <c r="F974" s="7">
        <f>'1 datos preparados'!E967</f>
        <v/>
      </c>
      <c r="G974" s="7">
        <f>'1 datos preparados'!F967</f>
        <v/>
      </c>
      <c r="H974" s="7">
        <f>'1 datos preparados'!G967</f>
        <v/>
      </c>
      <c r="I974" s="7">
        <f>'1 datos preparados'!H967</f>
        <v/>
      </c>
      <c r="J974" s="7">
        <f>'1 datos preparados'!I967</f>
        <v/>
      </c>
      <c r="K974" s="7">
        <f>'1 datos preparados'!J967</f>
        <v/>
      </c>
      <c r="L974" s="7">
        <f>'1 datos preparados'!K967</f>
        <v/>
      </c>
      <c r="M974" s="7">
        <f>'1 datos preparados'!L967</f>
        <v/>
      </c>
      <c r="N974" s="7">
        <f>'1 datos preparados'!M967</f>
        <v/>
      </c>
      <c r="O974" s="7">
        <f>'1 datos preparados'!N967</f>
        <v/>
      </c>
      <c r="P974" s="7">
        <f>'1 datos preparados'!O967</f>
        <v/>
      </c>
      <c r="Q974" s="7">
        <f>'1 datos preparados'!P967</f>
        <v/>
      </c>
      <c r="R974" s="7">
        <f>'1 datos preparados'!Q967</f>
        <v/>
      </c>
      <c r="S974" s="7">
        <f>'1 datos preparados'!R967</f>
        <v/>
      </c>
      <c r="T974" s="7">
        <f>'1 datos preparados'!S967</f>
        <v/>
      </c>
      <c r="U974" s="7">
        <f>'1 datos preparados'!T967</f>
        <v/>
      </c>
      <c r="V974" s="8">
        <f>$AC$12+D974*$AC$13+E974*$AC$14+F974*$AC$15+G974*$AC$16+H974*$AC$17+I974*$AC$18+J974*$AC$19+K974*$AC$20+L974*$AC$21+M974*$AC$22+N974*$AC$23+O974*$AC$24+P974*$AC$25+Q974*$AC$26+R974*$AC$27+S974*$AC$28+T974*$AC$29+U974*$AC$30</f>
        <v/>
      </c>
      <c r="W974" s="8">
        <f>1/(1+EXP(-V974))</f>
        <v/>
      </c>
      <c r="X974" s="9">
        <f>-IF(C974=1,LN(W974),LN(1-W974))</f>
        <v/>
      </c>
      <c r="Y974" s="10">
        <f>IF(W974&gt;$AC$34,1,0)</f>
        <v/>
      </c>
      <c r="Z974">
        <f>IF(Y974=C974,1,0)</f>
        <v/>
      </c>
    </row>
    <row r="975">
      <c r="A975">
        <f>'1 datos preparados'!A968</f>
        <v/>
      </c>
      <c r="B975" s="5">
        <f>'1 datos preparados'!U968</f>
        <v/>
      </c>
      <c r="C975">
        <f>'1 datos preparados'!B968</f>
        <v/>
      </c>
      <c r="D975" s="7">
        <f>'1 datos preparados'!C968</f>
        <v/>
      </c>
      <c r="E975" s="7">
        <f>'1 datos preparados'!D968</f>
        <v/>
      </c>
      <c r="F975" s="7">
        <f>'1 datos preparados'!E968</f>
        <v/>
      </c>
      <c r="G975" s="7">
        <f>'1 datos preparados'!F968</f>
        <v/>
      </c>
      <c r="H975" s="7">
        <f>'1 datos preparados'!G968</f>
        <v/>
      </c>
      <c r="I975" s="7">
        <f>'1 datos preparados'!H968</f>
        <v/>
      </c>
      <c r="J975" s="7">
        <f>'1 datos preparados'!I968</f>
        <v/>
      </c>
      <c r="K975" s="7">
        <f>'1 datos preparados'!J968</f>
        <v/>
      </c>
      <c r="L975" s="7">
        <f>'1 datos preparados'!K968</f>
        <v/>
      </c>
      <c r="M975" s="7">
        <f>'1 datos preparados'!L968</f>
        <v/>
      </c>
      <c r="N975" s="7">
        <f>'1 datos preparados'!M968</f>
        <v/>
      </c>
      <c r="O975" s="7">
        <f>'1 datos preparados'!N968</f>
        <v/>
      </c>
      <c r="P975" s="7">
        <f>'1 datos preparados'!O968</f>
        <v/>
      </c>
      <c r="Q975" s="7">
        <f>'1 datos preparados'!P968</f>
        <v/>
      </c>
      <c r="R975" s="7">
        <f>'1 datos preparados'!Q968</f>
        <v/>
      </c>
      <c r="S975" s="7">
        <f>'1 datos preparados'!R968</f>
        <v/>
      </c>
      <c r="T975" s="7">
        <f>'1 datos preparados'!S968</f>
        <v/>
      </c>
      <c r="U975" s="7">
        <f>'1 datos preparados'!T968</f>
        <v/>
      </c>
      <c r="V975" s="8">
        <f>$AC$12+D975*$AC$13+E975*$AC$14+F975*$AC$15+G975*$AC$16+H975*$AC$17+I975*$AC$18+J975*$AC$19+K975*$AC$20+L975*$AC$21+M975*$AC$22+N975*$AC$23+O975*$AC$24+P975*$AC$25+Q975*$AC$26+R975*$AC$27+S975*$AC$28+T975*$AC$29+U975*$AC$30</f>
        <v/>
      </c>
      <c r="W975" s="8">
        <f>1/(1+EXP(-V975))</f>
        <v/>
      </c>
      <c r="X975" s="9">
        <f>-IF(C975=1,LN(W975),LN(1-W975))</f>
        <v/>
      </c>
      <c r="Y975" s="10">
        <f>IF(W975&gt;$AC$34,1,0)</f>
        <v/>
      </c>
      <c r="Z975">
        <f>IF(Y975=C975,1,0)</f>
        <v/>
      </c>
    </row>
    <row r="976">
      <c r="A976">
        <f>'1 datos preparados'!A969</f>
        <v/>
      </c>
      <c r="B976" s="5">
        <f>'1 datos preparados'!U969</f>
        <v/>
      </c>
      <c r="C976">
        <f>'1 datos preparados'!B969</f>
        <v/>
      </c>
      <c r="D976" s="7">
        <f>'1 datos preparados'!C969</f>
        <v/>
      </c>
      <c r="E976" s="7">
        <f>'1 datos preparados'!D969</f>
        <v/>
      </c>
      <c r="F976" s="7">
        <f>'1 datos preparados'!E969</f>
        <v/>
      </c>
      <c r="G976" s="7">
        <f>'1 datos preparados'!F969</f>
        <v/>
      </c>
      <c r="H976" s="7">
        <f>'1 datos preparados'!G969</f>
        <v/>
      </c>
      <c r="I976" s="7">
        <f>'1 datos preparados'!H969</f>
        <v/>
      </c>
      <c r="J976" s="7">
        <f>'1 datos preparados'!I969</f>
        <v/>
      </c>
      <c r="K976" s="7">
        <f>'1 datos preparados'!J969</f>
        <v/>
      </c>
      <c r="L976" s="7">
        <f>'1 datos preparados'!K969</f>
        <v/>
      </c>
      <c r="M976" s="7">
        <f>'1 datos preparados'!L969</f>
        <v/>
      </c>
      <c r="N976" s="7">
        <f>'1 datos preparados'!M969</f>
        <v/>
      </c>
      <c r="O976" s="7">
        <f>'1 datos preparados'!N969</f>
        <v/>
      </c>
      <c r="P976" s="7">
        <f>'1 datos preparados'!O969</f>
        <v/>
      </c>
      <c r="Q976" s="7">
        <f>'1 datos preparados'!P969</f>
        <v/>
      </c>
      <c r="R976" s="7">
        <f>'1 datos preparados'!Q969</f>
        <v/>
      </c>
      <c r="S976" s="7">
        <f>'1 datos preparados'!R969</f>
        <v/>
      </c>
      <c r="T976" s="7">
        <f>'1 datos preparados'!S969</f>
        <v/>
      </c>
      <c r="U976" s="7">
        <f>'1 datos preparados'!T969</f>
        <v/>
      </c>
      <c r="V976" s="8">
        <f>$AC$12+D976*$AC$13+E976*$AC$14+F976*$AC$15+G976*$AC$16+H976*$AC$17+I976*$AC$18+J976*$AC$19+K976*$AC$20+L976*$AC$21+M976*$AC$22+N976*$AC$23+O976*$AC$24+P976*$AC$25+Q976*$AC$26+R976*$AC$27+S976*$AC$28+T976*$AC$29+U976*$AC$30</f>
        <v/>
      </c>
      <c r="W976" s="8">
        <f>1/(1+EXP(-V976))</f>
        <v/>
      </c>
      <c r="X976" s="9">
        <f>-IF(C976=1,LN(W976),LN(1-W976))</f>
        <v/>
      </c>
      <c r="Y976" s="10">
        <f>IF(W976&gt;$AC$34,1,0)</f>
        <v/>
      </c>
      <c r="Z976">
        <f>IF(Y976=C976,1,0)</f>
        <v/>
      </c>
    </row>
    <row r="977">
      <c r="A977">
        <f>'1 datos preparados'!A970</f>
        <v/>
      </c>
      <c r="B977" s="5">
        <f>'1 datos preparados'!U970</f>
        <v/>
      </c>
      <c r="C977">
        <f>'1 datos preparados'!B970</f>
        <v/>
      </c>
      <c r="D977" s="7">
        <f>'1 datos preparados'!C970</f>
        <v/>
      </c>
      <c r="E977" s="7">
        <f>'1 datos preparados'!D970</f>
        <v/>
      </c>
      <c r="F977" s="7">
        <f>'1 datos preparados'!E970</f>
        <v/>
      </c>
      <c r="G977" s="7">
        <f>'1 datos preparados'!F970</f>
        <v/>
      </c>
      <c r="H977" s="7">
        <f>'1 datos preparados'!G970</f>
        <v/>
      </c>
      <c r="I977" s="7">
        <f>'1 datos preparados'!H970</f>
        <v/>
      </c>
      <c r="J977" s="7">
        <f>'1 datos preparados'!I970</f>
        <v/>
      </c>
      <c r="K977" s="7">
        <f>'1 datos preparados'!J970</f>
        <v/>
      </c>
      <c r="L977" s="7">
        <f>'1 datos preparados'!K970</f>
        <v/>
      </c>
      <c r="M977" s="7">
        <f>'1 datos preparados'!L970</f>
        <v/>
      </c>
      <c r="N977" s="7">
        <f>'1 datos preparados'!M970</f>
        <v/>
      </c>
      <c r="O977" s="7">
        <f>'1 datos preparados'!N970</f>
        <v/>
      </c>
      <c r="P977" s="7">
        <f>'1 datos preparados'!O970</f>
        <v/>
      </c>
      <c r="Q977" s="7">
        <f>'1 datos preparados'!P970</f>
        <v/>
      </c>
      <c r="R977" s="7">
        <f>'1 datos preparados'!Q970</f>
        <v/>
      </c>
      <c r="S977" s="7">
        <f>'1 datos preparados'!R970</f>
        <v/>
      </c>
      <c r="T977" s="7">
        <f>'1 datos preparados'!S970</f>
        <v/>
      </c>
      <c r="U977" s="7">
        <f>'1 datos preparados'!T970</f>
        <v/>
      </c>
      <c r="V977" s="8">
        <f>$AC$12+D977*$AC$13+E977*$AC$14+F977*$AC$15+G977*$AC$16+H977*$AC$17+I977*$AC$18+J977*$AC$19+K977*$AC$20+L977*$AC$21+M977*$AC$22+N977*$AC$23+O977*$AC$24+P977*$AC$25+Q977*$AC$26+R977*$AC$27+S977*$AC$28+T977*$AC$29+U977*$AC$30</f>
        <v/>
      </c>
      <c r="W977" s="8">
        <f>1/(1+EXP(-V977))</f>
        <v/>
      </c>
      <c r="X977" s="9">
        <f>-IF(C977=1,LN(W977),LN(1-W977))</f>
        <v/>
      </c>
      <c r="Y977" s="10">
        <f>IF(W977&gt;$AC$34,1,0)</f>
        <v/>
      </c>
      <c r="Z977">
        <f>IF(Y977=C977,1,0)</f>
        <v/>
      </c>
    </row>
    <row r="978">
      <c r="A978">
        <f>'1 datos preparados'!A971</f>
        <v/>
      </c>
      <c r="B978" s="5">
        <f>'1 datos preparados'!U971</f>
        <v/>
      </c>
      <c r="C978">
        <f>'1 datos preparados'!B971</f>
        <v/>
      </c>
      <c r="D978" s="7">
        <f>'1 datos preparados'!C971</f>
        <v/>
      </c>
      <c r="E978" s="7">
        <f>'1 datos preparados'!D971</f>
        <v/>
      </c>
      <c r="F978" s="7">
        <f>'1 datos preparados'!E971</f>
        <v/>
      </c>
      <c r="G978" s="7">
        <f>'1 datos preparados'!F971</f>
        <v/>
      </c>
      <c r="H978" s="7">
        <f>'1 datos preparados'!G971</f>
        <v/>
      </c>
      <c r="I978" s="7">
        <f>'1 datos preparados'!H971</f>
        <v/>
      </c>
      <c r="J978" s="7">
        <f>'1 datos preparados'!I971</f>
        <v/>
      </c>
      <c r="K978" s="7">
        <f>'1 datos preparados'!J971</f>
        <v/>
      </c>
      <c r="L978" s="7">
        <f>'1 datos preparados'!K971</f>
        <v/>
      </c>
      <c r="M978" s="7">
        <f>'1 datos preparados'!L971</f>
        <v/>
      </c>
      <c r="N978" s="7">
        <f>'1 datos preparados'!M971</f>
        <v/>
      </c>
      <c r="O978" s="7">
        <f>'1 datos preparados'!N971</f>
        <v/>
      </c>
      <c r="P978" s="7">
        <f>'1 datos preparados'!O971</f>
        <v/>
      </c>
      <c r="Q978" s="7">
        <f>'1 datos preparados'!P971</f>
        <v/>
      </c>
      <c r="R978" s="7">
        <f>'1 datos preparados'!Q971</f>
        <v/>
      </c>
      <c r="S978" s="7">
        <f>'1 datos preparados'!R971</f>
        <v/>
      </c>
      <c r="T978" s="7">
        <f>'1 datos preparados'!S971</f>
        <v/>
      </c>
      <c r="U978" s="7">
        <f>'1 datos preparados'!T971</f>
        <v/>
      </c>
      <c r="V978" s="8">
        <f>$AC$12+D978*$AC$13+E978*$AC$14+F978*$AC$15+G978*$AC$16+H978*$AC$17+I978*$AC$18+J978*$AC$19+K978*$AC$20+L978*$AC$21+M978*$AC$22+N978*$AC$23+O978*$AC$24+P978*$AC$25+Q978*$AC$26+R978*$AC$27+S978*$AC$28+T978*$AC$29+U978*$AC$30</f>
        <v/>
      </c>
      <c r="W978" s="8">
        <f>1/(1+EXP(-V978))</f>
        <v/>
      </c>
      <c r="X978" s="9">
        <f>-IF(C978=1,LN(W978),LN(1-W978))</f>
        <v/>
      </c>
      <c r="Y978" s="10">
        <f>IF(W978&gt;$AC$34,1,0)</f>
        <v/>
      </c>
      <c r="Z978">
        <f>IF(Y978=C978,1,0)</f>
        <v/>
      </c>
    </row>
    <row r="979">
      <c r="A979">
        <f>'1 datos preparados'!A972</f>
        <v/>
      </c>
      <c r="B979" s="5">
        <f>'1 datos preparados'!U972</f>
        <v/>
      </c>
      <c r="C979">
        <f>'1 datos preparados'!B972</f>
        <v/>
      </c>
      <c r="D979" s="7">
        <f>'1 datos preparados'!C972</f>
        <v/>
      </c>
      <c r="E979" s="7">
        <f>'1 datos preparados'!D972</f>
        <v/>
      </c>
      <c r="F979" s="7">
        <f>'1 datos preparados'!E972</f>
        <v/>
      </c>
      <c r="G979" s="7">
        <f>'1 datos preparados'!F972</f>
        <v/>
      </c>
      <c r="H979" s="7">
        <f>'1 datos preparados'!G972</f>
        <v/>
      </c>
      <c r="I979" s="7">
        <f>'1 datos preparados'!H972</f>
        <v/>
      </c>
      <c r="J979" s="7">
        <f>'1 datos preparados'!I972</f>
        <v/>
      </c>
      <c r="K979" s="7">
        <f>'1 datos preparados'!J972</f>
        <v/>
      </c>
      <c r="L979" s="7">
        <f>'1 datos preparados'!K972</f>
        <v/>
      </c>
      <c r="M979" s="7">
        <f>'1 datos preparados'!L972</f>
        <v/>
      </c>
      <c r="N979" s="7">
        <f>'1 datos preparados'!M972</f>
        <v/>
      </c>
      <c r="O979" s="7">
        <f>'1 datos preparados'!N972</f>
        <v/>
      </c>
      <c r="P979" s="7">
        <f>'1 datos preparados'!O972</f>
        <v/>
      </c>
      <c r="Q979" s="7">
        <f>'1 datos preparados'!P972</f>
        <v/>
      </c>
      <c r="R979" s="7">
        <f>'1 datos preparados'!Q972</f>
        <v/>
      </c>
      <c r="S979" s="7">
        <f>'1 datos preparados'!R972</f>
        <v/>
      </c>
      <c r="T979" s="7">
        <f>'1 datos preparados'!S972</f>
        <v/>
      </c>
      <c r="U979" s="7">
        <f>'1 datos preparados'!T972</f>
        <v/>
      </c>
      <c r="V979" s="8">
        <f>$AC$12+D979*$AC$13+E979*$AC$14+F979*$AC$15+G979*$AC$16+H979*$AC$17+I979*$AC$18+J979*$AC$19+K979*$AC$20+L979*$AC$21+M979*$AC$22+N979*$AC$23+O979*$AC$24+P979*$AC$25+Q979*$AC$26+R979*$AC$27+S979*$AC$28+T979*$AC$29+U979*$AC$30</f>
        <v/>
      </c>
      <c r="W979" s="8">
        <f>1/(1+EXP(-V979))</f>
        <v/>
      </c>
      <c r="X979" s="9">
        <f>-IF(C979=1,LN(W979),LN(1-W979))</f>
        <v/>
      </c>
      <c r="Y979" s="10">
        <f>IF(W979&gt;$AC$34,1,0)</f>
        <v/>
      </c>
      <c r="Z979">
        <f>IF(Y979=C979,1,0)</f>
        <v/>
      </c>
    </row>
    <row r="980">
      <c r="A980">
        <f>'1 datos preparados'!A973</f>
        <v/>
      </c>
      <c r="B980" s="5">
        <f>'1 datos preparados'!U973</f>
        <v/>
      </c>
      <c r="C980">
        <f>'1 datos preparados'!B973</f>
        <v/>
      </c>
      <c r="D980" s="7">
        <f>'1 datos preparados'!C973</f>
        <v/>
      </c>
      <c r="E980" s="7">
        <f>'1 datos preparados'!D973</f>
        <v/>
      </c>
      <c r="F980" s="7">
        <f>'1 datos preparados'!E973</f>
        <v/>
      </c>
      <c r="G980" s="7">
        <f>'1 datos preparados'!F973</f>
        <v/>
      </c>
      <c r="H980" s="7">
        <f>'1 datos preparados'!G973</f>
        <v/>
      </c>
      <c r="I980" s="7">
        <f>'1 datos preparados'!H973</f>
        <v/>
      </c>
      <c r="J980" s="7">
        <f>'1 datos preparados'!I973</f>
        <v/>
      </c>
      <c r="K980" s="7">
        <f>'1 datos preparados'!J973</f>
        <v/>
      </c>
      <c r="L980" s="7">
        <f>'1 datos preparados'!K973</f>
        <v/>
      </c>
      <c r="M980" s="7">
        <f>'1 datos preparados'!L973</f>
        <v/>
      </c>
      <c r="N980" s="7">
        <f>'1 datos preparados'!M973</f>
        <v/>
      </c>
      <c r="O980" s="7">
        <f>'1 datos preparados'!N973</f>
        <v/>
      </c>
      <c r="P980" s="7">
        <f>'1 datos preparados'!O973</f>
        <v/>
      </c>
      <c r="Q980" s="7">
        <f>'1 datos preparados'!P973</f>
        <v/>
      </c>
      <c r="R980" s="7">
        <f>'1 datos preparados'!Q973</f>
        <v/>
      </c>
      <c r="S980" s="7">
        <f>'1 datos preparados'!R973</f>
        <v/>
      </c>
      <c r="T980" s="7">
        <f>'1 datos preparados'!S973</f>
        <v/>
      </c>
      <c r="U980" s="7">
        <f>'1 datos preparados'!T973</f>
        <v/>
      </c>
      <c r="V980" s="8">
        <f>$AC$12+D980*$AC$13+E980*$AC$14+F980*$AC$15+G980*$AC$16+H980*$AC$17+I980*$AC$18+J980*$AC$19+K980*$AC$20+L980*$AC$21+M980*$AC$22+N980*$AC$23+O980*$AC$24+P980*$AC$25+Q980*$AC$26+R980*$AC$27+S980*$AC$28+T980*$AC$29+U980*$AC$30</f>
        <v/>
      </c>
      <c r="W980" s="8">
        <f>1/(1+EXP(-V980))</f>
        <v/>
      </c>
      <c r="X980" s="9">
        <f>-IF(C980=1,LN(W980),LN(1-W980))</f>
        <v/>
      </c>
      <c r="Y980" s="10">
        <f>IF(W980&gt;$AC$34,1,0)</f>
        <v/>
      </c>
      <c r="Z980">
        <f>IF(Y980=C980,1,0)</f>
        <v/>
      </c>
    </row>
    <row r="981">
      <c r="A981">
        <f>'1 datos preparados'!A974</f>
        <v/>
      </c>
      <c r="B981" s="5">
        <f>'1 datos preparados'!U974</f>
        <v/>
      </c>
      <c r="C981">
        <f>'1 datos preparados'!B974</f>
        <v/>
      </c>
      <c r="D981" s="7">
        <f>'1 datos preparados'!C974</f>
        <v/>
      </c>
      <c r="E981" s="7">
        <f>'1 datos preparados'!D974</f>
        <v/>
      </c>
      <c r="F981" s="7">
        <f>'1 datos preparados'!E974</f>
        <v/>
      </c>
      <c r="G981" s="7">
        <f>'1 datos preparados'!F974</f>
        <v/>
      </c>
      <c r="H981" s="7">
        <f>'1 datos preparados'!G974</f>
        <v/>
      </c>
      <c r="I981" s="7">
        <f>'1 datos preparados'!H974</f>
        <v/>
      </c>
      <c r="J981" s="7">
        <f>'1 datos preparados'!I974</f>
        <v/>
      </c>
      <c r="K981" s="7">
        <f>'1 datos preparados'!J974</f>
        <v/>
      </c>
      <c r="L981" s="7">
        <f>'1 datos preparados'!K974</f>
        <v/>
      </c>
      <c r="M981" s="7">
        <f>'1 datos preparados'!L974</f>
        <v/>
      </c>
      <c r="N981" s="7">
        <f>'1 datos preparados'!M974</f>
        <v/>
      </c>
      <c r="O981" s="7">
        <f>'1 datos preparados'!N974</f>
        <v/>
      </c>
      <c r="P981" s="7">
        <f>'1 datos preparados'!O974</f>
        <v/>
      </c>
      <c r="Q981" s="7">
        <f>'1 datos preparados'!P974</f>
        <v/>
      </c>
      <c r="R981" s="7">
        <f>'1 datos preparados'!Q974</f>
        <v/>
      </c>
      <c r="S981" s="7">
        <f>'1 datos preparados'!R974</f>
        <v/>
      </c>
      <c r="T981" s="7">
        <f>'1 datos preparados'!S974</f>
        <v/>
      </c>
      <c r="U981" s="7">
        <f>'1 datos preparados'!T974</f>
        <v/>
      </c>
      <c r="V981" s="8">
        <f>$AC$12+D981*$AC$13+E981*$AC$14+F981*$AC$15+G981*$AC$16+H981*$AC$17+I981*$AC$18+J981*$AC$19+K981*$AC$20+L981*$AC$21+M981*$AC$22+N981*$AC$23+O981*$AC$24+P981*$AC$25+Q981*$AC$26+R981*$AC$27+S981*$AC$28+T981*$AC$29+U981*$AC$30</f>
        <v/>
      </c>
      <c r="W981" s="8">
        <f>1/(1+EXP(-V981))</f>
        <v/>
      </c>
      <c r="X981" s="9">
        <f>-IF(C981=1,LN(W981),LN(1-W981))</f>
        <v/>
      </c>
      <c r="Y981" s="10">
        <f>IF(W981&gt;$AC$34,1,0)</f>
        <v/>
      </c>
      <c r="Z981">
        <f>IF(Y981=C981,1,0)</f>
        <v/>
      </c>
    </row>
    <row r="982">
      <c r="A982">
        <f>'1 datos preparados'!A975</f>
        <v/>
      </c>
      <c r="B982" s="5">
        <f>'1 datos preparados'!U975</f>
        <v/>
      </c>
      <c r="C982">
        <f>'1 datos preparados'!B975</f>
        <v/>
      </c>
      <c r="D982" s="7">
        <f>'1 datos preparados'!C975</f>
        <v/>
      </c>
      <c r="E982" s="7">
        <f>'1 datos preparados'!D975</f>
        <v/>
      </c>
      <c r="F982" s="7">
        <f>'1 datos preparados'!E975</f>
        <v/>
      </c>
      <c r="G982" s="7">
        <f>'1 datos preparados'!F975</f>
        <v/>
      </c>
      <c r="H982" s="7">
        <f>'1 datos preparados'!G975</f>
        <v/>
      </c>
      <c r="I982" s="7">
        <f>'1 datos preparados'!H975</f>
        <v/>
      </c>
      <c r="J982" s="7">
        <f>'1 datos preparados'!I975</f>
        <v/>
      </c>
      <c r="K982" s="7">
        <f>'1 datos preparados'!J975</f>
        <v/>
      </c>
      <c r="L982" s="7">
        <f>'1 datos preparados'!K975</f>
        <v/>
      </c>
      <c r="M982" s="7">
        <f>'1 datos preparados'!L975</f>
        <v/>
      </c>
      <c r="N982" s="7">
        <f>'1 datos preparados'!M975</f>
        <v/>
      </c>
      <c r="O982" s="7">
        <f>'1 datos preparados'!N975</f>
        <v/>
      </c>
      <c r="P982" s="7">
        <f>'1 datos preparados'!O975</f>
        <v/>
      </c>
      <c r="Q982" s="7">
        <f>'1 datos preparados'!P975</f>
        <v/>
      </c>
      <c r="R982" s="7">
        <f>'1 datos preparados'!Q975</f>
        <v/>
      </c>
      <c r="S982" s="7">
        <f>'1 datos preparados'!R975</f>
        <v/>
      </c>
      <c r="T982" s="7">
        <f>'1 datos preparados'!S975</f>
        <v/>
      </c>
      <c r="U982" s="7">
        <f>'1 datos preparados'!T975</f>
        <v/>
      </c>
      <c r="V982" s="8">
        <f>$AC$12+D982*$AC$13+E982*$AC$14+F982*$AC$15+G982*$AC$16+H982*$AC$17+I982*$AC$18+J982*$AC$19+K982*$AC$20+L982*$AC$21+M982*$AC$22+N982*$AC$23+O982*$AC$24+P982*$AC$25+Q982*$AC$26+R982*$AC$27+S982*$AC$28+T982*$AC$29+U982*$AC$30</f>
        <v/>
      </c>
      <c r="W982" s="8">
        <f>1/(1+EXP(-V982))</f>
        <v/>
      </c>
      <c r="X982" s="9">
        <f>-IF(C982=1,LN(W982),LN(1-W982))</f>
        <v/>
      </c>
      <c r="Y982" s="10">
        <f>IF(W982&gt;$AC$34,1,0)</f>
        <v/>
      </c>
      <c r="Z982">
        <f>IF(Y982=C982,1,0)</f>
        <v/>
      </c>
    </row>
    <row r="983">
      <c r="A983">
        <f>'1 datos preparados'!A976</f>
        <v/>
      </c>
      <c r="B983" s="5">
        <f>'1 datos preparados'!U976</f>
        <v/>
      </c>
      <c r="C983">
        <f>'1 datos preparados'!B976</f>
        <v/>
      </c>
      <c r="D983" s="7">
        <f>'1 datos preparados'!C976</f>
        <v/>
      </c>
      <c r="E983" s="7">
        <f>'1 datos preparados'!D976</f>
        <v/>
      </c>
      <c r="F983" s="7">
        <f>'1 datos preparados'!E976</f>
        <v/>
      </c>
      <c r="G983" s="7">
        <f>'1 datos preparados'!F976</f>
        <v/>
      </c>
      <c r="H983" s="7">
        <f>'1 datos preparados'!G976</f>
        <v/>
      </c>
      <c r="I983" s="7">
        <f>'1 datos preparados'!H976</f>
        <v/>
      </c>
      <c r="J983" s="7">
        <f>'1 datos preparados'!I976</f>
        <v/>
      </c>
      <c r="K983" s="7">
        <f>'1 datos preparados'!J976</f>
        <v/>
      </c>
      <c r="L983" s="7">
        <f>'1 datos preparados'!K976</f>
        <v/>
      </c>
      <c r="M983" s="7">
        <f>'1 datos preparados'!L976</f>
        <v/>
      </c>
      <c r="N983" s="7">
        <f>'1 datos preparados'!M976</f>
        <v/>
      </c>
      <c r="O983" s="7">
        <f>'1 datos preparados'!N976</f>
        <v/>
      </c>
      <c r="P983" s="7">
        <f>'1 datos preparados'!O976</f>
        <v/>
      </c>
      <c r="Q983" s="7">
        <f>'1 datos preparados'!P976</f>
        <v/>
      </c>
      <c r="R983" s="7">
        <f>'1 datos preparados'!Q976</f>
        <v/>
      </c>
      <c r="S983" s="7">
        <f>'1 datos preparados'!R976</f>
        <v/>
      </c>
      <c r="T983" s="7">
        <f>'1 datos preparados'!S976</f>
        <v/>
      </c>
      <c r="U983" s="7">
        <f>'1 datos preparados'!T976</f>
        <v/>
      </c>
      <c r="V983" s="8">
        <f>$AC$12+D983*$AC$13+E983*$AC$14+F983*$AC$15+G983*$AC$16+H983*$AC$17+I983*$AC$18+J983*$AC$19+K983*$AC$20+L983*$AC$21+M983*$AC$22+N983*$AC$23+O983*$AC$24+P983*$AC$25+Q983*$AC$26+R983*$AC$27+S983*$AC$28+T983*$AC$29+U983*$AC$30</f>
        <v/>
      </c>
      <c r="W983" s="8">
        <f>1/(1+EXP(-V983))</f>
        <v/>
      </c>
      <c r="X983" s="9">
        <f>-IF(C983=1,LN(W983),LN(1-W983))</f>
        <v/>
      </c>
      <c r="Y983" s="10">
        <f>IF(W983&gt;$AC$34,1,0)</f>
        <v/>
      </c>
      <c r="Z983">
        <f>IF(Y983=C983,1,0)</f>
        <v/>
      </c>
    </row>
    <row r="984">
      <c r="A984">
        <f>'1 datos preparados'!A977</f>
        <v/>
      </c>
      <c r="B984" s="5">
        <f>'1 datos preparados'!U977</f>
        <v/>
      </c>
      <c r="C984">
        <f>'1 datos preparados'!B977</f>
        <v/>
      </c>
      <c r="D984" s="7">
        <f>'1 datos preparados'!C977</f>
        <v/>
      </c>
      <c r="E984" s="7">
        <f>'1 datos preparados'!D977</f>
        <v/>
      </c>
      <c r="F984" s="7">
        <f>'1 datos preparados'!E977</f>
        <v/>
      </c>
      <c r="G984" s="7">
        <f>'1 datos preparados'!F977</f>
        <v/>
      </c>
      <c r="H984" s="7">
        <f>'1 datos preparados'!G977</f>
        <v/>
      </c>
      <c r="I984" s="7">
        <f>'1 datos preparados'!H977</f>
        <v/>
      </c>
      <c r="J984" s="7">
        <f>'1 datos preparados'!I977</f>
        <v/>
      </c>
      <c r="K984" s="7">
        <f>'1 datos preparados'!J977</f>
        <v/>
      </c>
      <c r="L984" s="7">
        <f>'1 datos preparados'!K977</f>
        <v/>
      </c>
      <c r="M984" s="7">
        <f>'1 datos preparados'!L977</f>
        <v/>
      </c>
      <c r="N984" s="7">
        <f>'1 datos preparados'!M977</f>
        <v/>
      </c>
      <c r="O984" s="7">
        <f>'1 datos preparados'!N977</f>
        <v/>
      </c>
      <c r="P984" s="7">
        <f>'1 datos preparados'!O977</f>
        <v/>
      </c>
      <c r="Q984" s="7">
        <f>'1 datos preparados'!P977</f>
        <v/>
      </c>
      <c r="R984" s="7">
        <f>'1 datos preparados'!Q977</f>
        <v/>
      </c>
      <c r="S984" s="7">
        <f>'1 datos preparados'!R977</f>
        <v/>
      </c>
      <c r="T984" s="7">
        <f>'1 datos preparados'!S977</f>
        <v/>
      </c>
      <c r="U984" s="7">
        <f>'1 datos preparados'!T977</f>
        <v/>
      </c>
      <c r="V984" s="8">
        <f>$AC$12+D984*$AC$13+E984*$AC$14+F984*$AC$15+G984*$AC$16+H984*$AC$17+I984*$AC$18+J984*$AC$19+K984*$AC$20+L984*$AC$21+M984*$AC$22+N984*$AC$23+O984*$AC$24+P984*$AC$25+Q984*$AC$26+R984*$AC$27+S984*$AC$28+T984*$AC$29+U984*$AC$30</f>
        <v/>
      </c>
      <c r="W984" s="8">
        <f>1/(1+EXP(-V984))</f>
        <v/>
      </c>
      <c r="X984" s="9">
        <f>-IF(C984=1,LN(W984),LN(1-W984))</f>
        <v/>
      </c>
      <c r="Y984" s="10">
        <f>IF(W984&gt;$AC$34,1,0)</f>
        <v/>
      </c>
      <c r="Z984">
        <f>IF(Y984=C984,1,0)</f>
        <v/>
      </c>
    </row>
    <row r="985">
      <c r="A985">
        <f>'1 datos preparados'!A978</f>
        <v/>
      </c>
      <c r="B985" s="5">
        <f>'1 datos preparados'!U978</f>
        <v/>
      </c>
      <c r="C985">
        <f>'1 datos preparados'!B978</f>
        <v/>
      </c>
      <c r="D985" s="7">
        <f>'1 datos preparados'!C978</f>
        <v/>
      </c>
      <c r="E985" s="7">
        <f>'1 datos preparados'!D978</f>
        <v/>
      </c>
      <c r="F985" s="7">
        <f>'1 datos preparados'!E978</f>
        <v/>
      </c>
      <c r="G985" s="7">
        <f>'1 datos preparados'!F978</f>
        <v/>
      </c>
      <c r="H985" s="7">
        <f>'1 datos preparados'!G978</f>
        <v/>
      </c>
      <c r="I985" s="7">
        <f>'1 datos preparados'!H978</f>
        <v/>
      </c>
      <c r="J985" s="7">
        <f>'1 datos preparados'!I978</f>
        <v/>
      </c>
      <c r="K985" s="7">
        <f>'1 datos preparados'!J978</f>
        <v/>
      </c>
      <c r="L985" s="7">
        <f>'1 datos preparados'!K978</f>
        <v/>
      </c>
      <c r="M985" s="7">
        <f>'1 datos preparados'!L978</f>
        <v/>
      </c>
      <c r="N985" s="7">
        <f>'1 datos preparados'!M978</f>
        <v/>
      </c>
      <c r="O985" s="7">
        <f>'1 datos preparados'!N978</f>
        <v/>
      </c>
      <c r="P985" s="7">
        <f>'1 datos preparados'!O978</f>
        <v/>
      </c>
      <c r="Q985" s="7">
        <f>'1 datos preparados'!P978</f>
        <v/>
      </c>
      <c r="R985" s="7">
        <f>'1 datos preparados'!Q978</f>
        <v/>
      </c>
      <c r="S985" s="7">
        <f>'1 datos preparados'!R978</f>
        <v/>
      </c>
      <c r="T985" s="7">
        <f>'1 datos preparados'!S978</f>
        <v/>
      </c>
      <c r="U985" s="7">
        <f>'1 datos preparados'!T978</f>
        <v/>
      </c>
      <c r="V985" s="8">
        <f>$AC$12+D985*$AC$13+E985*$AC$14+F985*$AC$15+G985*$AC$16+H985*$AC$17+I985*$AC$18+J985*$AC$19+K985*$AC$20+L985*$AC$21+M985*$AC$22+N985*$AC$23+O985*$AC$24+P985*$AC$25+Q985*$AC$26+R985*$AC$27+S985*$AC$28+T985*$AC$29+U985*$AC$30</f>
        <v/>
      </c>
      <c r="W985" s="8">
        <f>1/(1+EXP(-V985))</f>
        <v/>
      </c>
      <c r="X985" s="9">
        <f>-IF(C985=1,LN(W985),LN(1-W985))</f>
        <v/>
      </c>
      <c r="Y985" s="10">
        <f>IF(W985&gt;$AC$34,1,0)</f>
        <v/>
      </c>
      <c r="Z985">
        <f>IF(Y985=C985,1,0)</f>
        <v/>
      </c>
    </row>
    <row r="986">
      <c r="A986">
        <f>'1 datos preparados'!A979</f>
        <v/>
      </c>
      <c r="B986" s="5">
        <f>'1 datos preparados'!U979</f>
        <v/>
      </c>
      <c r="C986">
        <f>'1 datos preparados'!B979</f>
        <v/>
      </c>
      <c r="D986" s="7">
        <f>'1 datos preparados'!C979</f>
        <v/>
      </c>
      <c r="E986" s="7">
        <f>'1 datos preparados'!D979</f>
        <v/>
      </c>
      <c r="F986" s="7">
        <f>'1 datos preparados'!E979</f>
        <v/>
      </c>
      <c r="G986" s="7">
        <f>'1 datos preparados'!F979</f>
        <v/>
      </c>
      <c r="H986" s="7">
        <f>'1 datos preparados'!G979</f>
        <v/>
      </c>
      <c r="I986" s="7">
        <f>'1 datos preparados'!H979</f>
        <v/>
      </c>
      <c r="J986" s="7">
        <f>'1 datos preparados'!I979</f>
        <v/>
      </c>
      <c r="K986" s="7">
        <f>'1 datos preparados'!J979</f>
        <v/>
      </c>
      <c r="L986" s="7">
        <f>'1 datos preparados'!K979</f>
        <v/>
      </c>
      <c r="M986" s="7">
        <f>'1 datos preparados'!L979</f>
        <v/>
      </c>
      <c r="N986" s="7">
        <f>'1 datos preparados'!M979</f>
        <v/>
      </c>
      <c r="O986" s="7">
        <f>'1 datos preparados'!N979</f>
        <v/>
      </c>
      <c r="P986" s="7">
        <f>'1 datos preparados'!O979</f>
        <v/>
      </c>
      <c r="Q986" s="7">
        <f>'1 datos preparados'!P979</f>
        <v/>
      </c>
      <c r="R986" s="7">
        <f>'1 datos preparados'!Q979</f>
        <v/>
      </c>
      <c r="S986" s="7">
        <f>'1 datos preparados'!R979</f>
        <v/>
      </c>
      <c r="T986" s="7">
        <f>'1 datos preparados'!S979</f>
        <v/>
      </c>
      <c r="U986" s="7">
        <f>'1 datos preparados'!T979</f>
        <v/>
      </c>
      <c r="V986" s="8">
        <f>$AC$12+D986*$AC$13+E986*$AC$14+F986*$AC$15+G986*$AC$16+H986*$AC$17+I986*$AC$18+J986*$AC$19+K986*$AC$20+L986*$AC$21+M986*$AC$22+N986*$AC$23+O986*$AC$24+P986*$AC$25+Q986*$AC$26+R986*$AC$27+S986*$AC$28+T986*$AC$29+U986*$AC$30</f>
        <v/>
      </c>
      <c r="W986" s="8">
        <f>1/(1+EXP(-V986))</f>
        <v/>
      </c>
      <c r="X986" s="9">
        <f>-IF(C986=1,LN(W986),LN(1-W986))</f>
        <v/>
      </c>
      <c r="Y986" s="10">
        <f>IF(W986&gt;$AC$34,1,0)</f>
        <v/>
      </c>
      <c r="Z986">
        <f>IF(Y986=C986,1,0)</f>
        <v/>
      </c>
    </row>
    <row r="987">
      <c r="A987">
        <f>'1 datos preparados'!A980</f>
        <v/>
      </c>
      <c r="B987" s="5">
        <f>'1 datos preparados'!U980</f>
        <v/>
      </c>
      <c r="C987">
        <f>'1 datos preparados'!B980</f>
        <v/>
      </c>
      <c r="D987" s="7">
        <f>'1 datos preparados'!C980</f>
        <v/>
      </c>
      <c r="E987" s="7">
        <f>'1 datos preparados'!D980</f>
        <v/>
      </c>
      <c r="F987" s="7">
        <f>'1 datos preparados'!E980</f>
        <v/>
      </c>
      <c r="G987" s="7">
        <f>'1 datos preparados'!F980</f>
        <v/>
      </c>
      <c r="H987" s="7">
        <f>'1 datos preparados'!G980</f>
        <v/>
      </c>
      <c r="I987" s="7">
        <f>'1 datos preparados'!H980</f>
        <v/>
      </c>
      <c r="J987" s="7">
        <f>'1 datos preparados'!I980</f>
        <v/>
      </c>
      <c r="K987" s="7">
        <f>'1 datos preparados'!J980</f>
        <v/>
      </c>
      <c r="L987" s="7">
        <f>'1 datos preparados'!K980</f>
        <v/>
      </c>
      <c r="M987" s="7">
        <f>'1 datos preparados'!L980</f>
        <v/>
      </c>
      <c r="N987" s="7">
        <f>'1 datos preparados'!M980</f>
        <v/>
      </c>
      <c r="O987" s="7">
        <f>'1 datos preparados'!N980</f>
        <v/>
      </c>
      <c r="P987" s="7">
        <f>'1 datos preparados'!O980</f>
        <v/>
      </c>
      <c r="Q987" s="7">
        <f>'1 datos preparados'!P980</f>
        <v/>
      </c>
      <c r="R987" s="7">
        <f>'1 datos preparados'!Q980</f>
        <v/>
      </c>
      <c r="S987" s="7">
        <f>'1 datos preparados'!R980</f>
        <v/>
      </c>
      <c r="T987" s="7">
        <f>'1 datos preparados'!S980</f>
        <v/>
      </c>
      <c r="U987" s="7">
        <f>'1 datos preparados'!T980</f>
        <v/>
      </c>
      <c r="V987" s="8">
        <f>$AC$12+D987*$AC$13+E987*$AC$14+F987*$AC$15+G987*$AC$16+H987*$AC$17+I987*$AC$18+J987*$AC$19+K987*$AC$20+L987*$AC$21+M987*$AC$22+N987*$AC$23+O987*$AC$24+P987*$AC$25+Q987*$AC$26+R987*$AC$27+S987*$AC$28+T987*$AC$29+U987*$AC$30</f>
        <v/>
      </c>
      <c r="W987" s="8">
        <f>1/(1+EXP(-V987))</f>
        <v/>
      </c>
      <c r="X987" s="9">
        <f>-IF(C987=1,LN(W987),LN(1-W987))</f>
        <v/>
      </c>
      <c r="Y987" s="10">
        <f>IF(W987&gt;$AC$34,1,0)</f>
        <v/>
      </c>
      <c r="Z987">
        <f>IF(Y987=C987,1,0)</f>
        <v/>
      </c>
    </row>
    <row r="988">
      <c r="A988">
        <f>'1 datos preparados'!A981</f>
        <v/>
      </c>
      <c r="B988" s="5">
        <f>'1 datos preparados'!U981</f>
        <v/>
      </c>
      <c r="C988">
        <f>'1 datos preparados'!B981</f>
        <v/>
      </c>
      <c r="D988" s="7">
        <f>'1 datos preparados'!C981</f>
        <v/>
      </c>
      <c r="E988" s="7">
        <f>'1 datos preparados'!D981</f>
        <v/>
      </c>
      <c r="F988" s="7">
        <f>'1 datos preparados'!E981</f>
        <v/>
      </c>
      <c r="G988" s="7">
        <f>'1 datos preparados'!F981</f>
        <v/>
      </c>
      <c r="H988" s="7">
        <f>'1 datos preparados'!G981</f>
        <v/>
      </c>
      <c r="I988" s="7">
        <f>'1 datos preparados'!H981</f>
        <v/>
      </c>
      <c r="J988" s="7">
        <f>'1 datos preparados'!I981</f>
        <v/>
      </c>
      <c r="K988" s="7">
        <f>'1 datos preparados'!J981</f>
        <v/>
      </c>
      <c r="L988" s="7">
        <f>'1 datos preparados'!K981</f>
        <v/>
      </c>
      <c r="M988" s="7">
        <f>'1 datos preparados'!L981</f>
        <v/>
      </c>
      <c r="N988" s="7">
        <f>'1 datos preparados'!M981</f>
        <v/>
      </c>
      <c r="O988" s="7">
        <f>'1 datos preparados'!N981</f>
        <v/>
      </c>
      <c r="P988" s="7">
        <f>'1 datos preparados'!O981</f>
        <v/>
      </c>
      <c r="Q988" s="7">
        <f>'1 datos preparados'!P981</f>
        <v/>
      </c>
      <c r="R988" s="7">
        <f>'1 datos preparados'!Q981</f>
        <v/>
      </c>
      <c r="S988" s="7">
        <f>'1 datos preparados'!R981</f>
        <v/>
      </c>
      <c r="T988" s="7">
        <f>'1 datos preparados'!S981</f>
        <v/>
      </c>
      <c r="U988" s="7">
        <f>'1 datos preparados'!T981</f>
        <v/>
      </c>
      <c r="V988" s="8">
        <f>$AC$12+D988*$AC$13+E988*$AC$14+F988*$AC$15+G988*$AC$16+H988*$AC$17+I988*$AC$18+J988*$AC$19+K988*$AC$20+L988*$AC$21+M988*$AC$22+N988*$AC$23+O988*$AC$24+P988*$AC$25+Q988*$AC$26+R988*$AC$27+S988*$AC$28+T988*$AC$29+U988*$AC$30</f>
        <v/>
      </c>
      <c r="W988" s="8">
        <f>1/(1+EXP(-V988))</f>
        <v/>
      </c>
      <c r="X988" s="9">
        <f>-IF(C988=1,LN(W988),LN(1-W988))</f>
        <v/>
      </c>
      <c r="Y988" s="10">
        <f>IF(W988&gt;$AC$34,1,0)</f>
        <v/>
      </c>
      <c r="Z988">
        <f>IF(Y988=C988,1,0)</f>
        <v/>
      </c>
    </row>
    <row r="989">
      <c r="A989">
        <f>'1 datos preparados'!A982</f>
        <v/>
      </c>
      <c r="B989" s="5">
        <f>'1 datos preparados'!U982</f>
        <v/>
      </c>
      <c r="C989">
        <f>'1 datos preparados'!B982</f>
        <v/>
      </c>
      <c r="D989" s="7">
        <f>'1 datos preparados'!C982</f>
        <v/>
      </c>
      <c r="E989" s="7">
        <f>'1 datos preparados'!D982</f>
        <v/>
      </c>
      <c r="F989" s="7">
        <f>'1 datos preparados'!E982</f>
        <v/>
      </c>
      <c r="G989" s="7">
        <f>'1 datos preparados'!F982</f>
        <v/>
      </c>
      <c r="H989" s="7">
        <f>'1 datos preparados'!G982</f>
        <v/>
      </c>
      <c r="I989" s="7">
        <f>'1 datos preparados'!H982</f>
        <v/>
      </c>
      <c r="J989" s="7">
        <f>'1 datos preparados'!I982</f>
        <v/>
      </c>
      <c r="K989" s="7">
        <f>'1 datos preparados'!J982</f>
        <v/>
      </c>
      <c r="L989" s="7">
        <f>'1 datos preparados'!K982</f>
        <v/>
      </c>
      <c r="M989" s="7">
        <f>'1 datos preparados'!L982</f>
        <v/>
      </c>
      <c r="N989" s="7">
        <f>'1 datos preparados'!M982</f>
        <v/>
      </c>
      <c r="O989" s="7">
        <f>'1 datos preparados'!N982</f>
        <v/>
      </c>
      <c r="P989" s="7">
        <f>'1 datos preparados'!O982</f>
        <v/>
      </c>
      <c r="Q989" s="7">
        <f>'1 datos preparados'!P982</f>
        <v/>
      </c>
      <c r="R989" s="7">
        <f>'1 datos preparados'!Q982</f>
        <v/>
      </c>
      <c r="S989" s="7">
        <f>'1 datos preparados'!R982</f>
        <v/>
      </c>
      <c r="T989" s="7">
        <f>'1 datos preparados'!S982</f>
        <v/>
      </c>
      <c r="U989" s="7">
        <f>'1 datos preparados'!T982</f>
        <v/>
      </c>
      <c r="V989" s="8">
        <f>$AC$12+D989*$AC$13+E989*$AC$14+F989*$AC$15+G989*$AC$16+H989*$AC$17+I989*$AC$18+J989*$AC$19+K989*$AC$20+L989*$AC$21+M989*$AC$22+N989*$AC$23+O989*$AC$24+P989*$AC$25+Q989*$AC$26+R989*$AC$27+S989*$AC$28+T989*$AC$29+U989*$AC$30</f>
        <v/>
      </c>
      <c r="W989" s="8">
        <f>1/(1+EXP(-V989))</f>
        <v/>
      </c>
      <c r="X989" s="9">
        <f>-IF(C989=1,LN(W989),LN(1-W989))</f>
        <v/>
      </c>
      <c r="Y989" s="10">
        <f>IF(W989&gt;$AC$34,1,0)</f>
        <v/>
      </c>
      <c r="Z989">
        <f>IF(Y989=C989,1,0)</f>
        <v/>
      </c>
    </row>
    <row r="990">
      <c r="A990">
        <f>'1 datos preparados'!A983</f>
        <v/>
      </c>
      <c r="B990" s="5">
        <f>'1 datos preparados'!U983</f>
        <v/>
      </c>
      <c r="C990">
        <f>'1 datos preparados'!B983</f>
        <v/>
      </c>
      <c r="D990" s="7">
        <f>'1 datos preparados'!C983</f>
        <v/>
      </c>
      <c r="E990" s="7">
        <f>'1 datos preparados'!D983</f>
        <v/>
      </c>
      <c r="F990" s="7">
        <f>'1 datos preparados'!E983</f>
        <v/>
      </c>
      <c r="G990" s="7">
        <f>'1 datos preparados'!F983</f>
        <v/>
      </c>
      <c r="H990" s="7">
        <f>'1 datos preparados'!G983</f>
        <v/>
      </c>
      <c r="I990" s="7">
        <f>'1 datos preparados'!H983</f>
        <v/>
      </c>
      <c r="J990" s="7">
        <f>'1 datos preparados'!I983</f>
        <v/>
      </c>
      <c r="K990" s="7">
        <f>'1 datos preparados'!J983</f>
        <v/>
      </c>
      <c r="L990" s="7">
        <f>'1 datos preparados'!K983</f>
        <v/>
      </c>
      <c r="M990" s="7">
        <f>'1 datos preparados'!L983</f>
        <v/>
      </c>
      <c r="N990" s="7">
        <f>'1 datos preparados'!M983</f>
        <v/>
      </c>
      <c r="O990" s="7">
        <f>'1 datos preparados'!N983</f>
        <v/>
      </c>
      <c r="P990" s="7">
        <f>'1 datos preparados'!O983</f>
        <v/>
      </c>
      <c r="Q990" s="7">
        <f>'1 datos preparados'!P983</f>
        <v/>
      </c>
      <c r="R990" s="7">
        <f>'1 datos preparados'!Q983</f>
        <v/>
      </c>
      <c r="S990" s="7">
        <f>'1 datos preparados'!R983</f>
        <v/>
      </c>
      <c r="T990" s="7">
        <f>'1 datos preparados'!S983</f>
        <v/>
      </c>
      <c r="U990" s="7">
        <f>'1 datos preparados'!T983</f>
        <v/>
      </c>
      <c r="V990" s="8">
        <f>$AC$12+D990*$AC$13+E990*$AC$14+F990*$AC$15+G990*$AC$16+H990*$AC$17+I990*$AC$18+J990*$AC$19+K990*$AC$20+L990*$AC$21+M990*$AC$22+N990*$AC$23+O990*$AC$24+P990*$AC$25+Q990*$AC$26+R990*$AC$27+S990*$AC$28+T990*$AC$29+U990*$AC$30</f>
        <v/>
      </c>
      <c r="W990" s="8">
        <f>1/(1+EXP(-V990))</f>
        <v/>
      </c>
      <c r="X990" s="9">
        <f>-IF(C990=1,LN(W990),LN(1-W990))</f>
        <v/>
      </c>
      <c r="Y990" s="10">
        <f>IF(W990&gt;$AC$34,1,0)</f>
        <v/>
      </c>
      <c r="Z990">
        <f>IF(Y990=C990,1,0)</f>
        <v/>
      </c>
    </row>
    <row r="991">
      <c r="A991">
        <f>'1 datos preparados'!A984</f>
        <v/>
      </c>
      <c r="B991" s="5">
        <f>'1 datos preparados'!U984</f>
        <v/>
      </c>
      <c r="C991">
        <f>'1 datos preparados'!B984</f>
        <v/>
      </c>
      <c r="D991" s="7">
        <f>'1 datos preparados'!C984</f>
        <v/>
      </c>
      <c r="E991" s="7">
        <f>'1 datos preparados'!D984</f>
        <v/>
      </c>
      <c r="F991" s="7">
        <f>'1 datos preparados'!E984</f>
        <v/>
      </c>
      <c r="G991" s="7">
        <f>'1 datos preparados'!F984</f>
        <v/>
      </c>
      <c r="H991" s="7">
        <f>'1 datos preparados'!G984</f>
        <v/>
      </c>
      <c r="I991" s="7">
        <f>'1 datos preparados'!H984</f>
        <v/>
      </c>
      <c r="J991" s="7">
        <f>'1 datos preparados'!I984</f>
        <v/>
      </c>
      <c r="K991" s="7">
        <f>'1 datos preparados'!J984</f>
        <v/>
      </c>
      <c r="L991" s="7">
        <f>'1 datos preparados'!K984</f>
        <v/>
      </c>
      <c r="M991" s="7">
        <f>'1 datos preparados'!L984</f>
        <v/>
      </c>
      <c r="N991" s="7">
        <f>'1 datos preparados'!M984</f>
        <v/>
      </c>
      <c r="O991" s="7">
        <f>'1 datos preparados'!N984</f>
        <v/>
      </c>
      <c r="P991" s="7">
        <f>'1 datos preparados'!O984</f>
        <v/>
      </c>
      <c r="Q991" s="7">
        <f>'1 datos preparados'!P984</f>
        <v/>
      </c>
      <c r="R991" s="7">
        <f>'1 datos preparados'!Q984</f>
        <v/>
      </c>
      <c r="S991" s="7">
        <f>'1 datos preparados'!R984</f>
        <v/>
      </c>
      <c r="T991" s="7">
        <f>'1 datos preparados'!S984</f>
        <v/>
      </c>
      <c r="U991" s="7">
        <f>'1 datos preparados'!T984</f>
        <v/>
      </c>
      <c r="V991" s="8">
        <f>$AC$12+D991*$AC$13+E991*$AC$14+F991*$AC$15+G991*$AC$16+H991*$AC$17+I991*$AC$18+J991*$AC$19+K991*$AC$20+L991*$AC$21+M991*$AC$22+N991*$AC$23+O991*$AC$24+P991*$AC$25+Q991*$AC$26+R991*$AC$27+S991*$AC$28+T991*$AC$29+U991*$AC$30</f>
        <v/>
      </c>
      <c r="W991" s="8">
        <f>1/(1+EXP(-V991))</f>
        <v/>
      </c>
      <c r="X991" s="9">
        <f>-IF(C991=1,LN(W991),LN(1-W991))</f>
        <v/>
      </c>
      <c r="Y991" s="10">
        <f>IF(W991&gt;$AC$34,1,0)</f>
        <v/>
      </c>
      <c r="Z991">
        <f>IF(Y991=C991,1,0)</f>
        <v/>
      </c>
    </row>
    <row r="992">
      <c r="A992">
        <f>'1 datos preparados'!A985</f>
        <v/>
      </c>
      <c r="B992" s="5">
        <f>'1 datos preparados'!U985</f>
        <v/>
      </c>
      <c r="C992">
        <f>'1 datos preparados'!B985</f>
        <v/>
      </c>
      <c r="D992" s="7">
        <f>'1 datos preparados'!C985</f>
        <v/>
      </c>
      <c r="E992" s="7">
        <f>'1 datos preparados'!D985</f>
        <v/>
      </c>
      <c r="F992" s="7">
        <f>'1 datos preparados'!E985</f>
        <v/>
      </c>
      <c r="G992" s="7">
        <f>'1 datos preparados'!F985</f>
        <v/>
      </c>
      <c r="H992" s="7">
        <f>'1 datos preparados'!G985</f>
        <v/>
      </c>
      <c r="I992" s="7">
        <f>'1 datos preparados'!H985</f>
        <v/>
      </c>
      <c r="J992" s="7">
        <f>'1 datos preparados'!I985</f>
        <v/>
      </c>
      <c r="K992" s="7">
        <f>'1 datos preparados'!J985</f>
        <v/>
      </c>
      <c r="L992" s="7">
        <f>'1 datos preparados'!K985</f>
        <v/>
      </c>
      <c r="M992" s="7">
        <f>'1 datos preparados'!L985</f>
        <v/>
      </c>
      <c r="N992" s="7">
        <f>'1 datos preparados'!M985</f>
        <v/>
      </c>
      <c r="O992" s="7">
        <f>'1 datos preparados'!N985</f>
        <v/>
      </c>
      <c r="P992" s="7">
        <f>'1 datos preparados'!O985</f>
        <v/>
      </c>
      <c r="Q992" s="7">
        <f>'1 datos preparados'!P985</f>
        <v/>
      </c>
      <c r="R992" s="7">
        <f>'1 datos preparados'!Q985</f>
        <v/>
      </c>
      <c r="S992" s="7">
        <f>'1 datos preparados'!R985</f>
        <v/>
      </c>
      <c r="T992" s="7">
        <f>'1 datos preparados'!S985</f>
        <v/>
      </c>
      <c r="U992" s="7">
        <f>'1 datos preparados'!T985</f>
        <v/>
      </c>
      <c r="V992" s="8">
        <f>$AC$12+D992*$AC$13+E992*$AC$14+F992*$AC$15+G992*$AC$16+H992*$AC$17+I992*$AC$18+J992*$AC$19+K992*$AC$20+L992*$AC$21+M992*$AC$22+N992*$AC$23+O992*$AC$24+P992*$AC$25+Q992*$AC$26+R992*$AC$27+S992*$AC$28+T992*$AC$29+U992*$AC$30</f>
        <v/>
      </c>
      <c r="W992" s="8">
        <f>1/(1+EXP(-V992))</f>
        <v/>
      </c>
      <c r="X992" s="9">
        <f>-IF(C992=1,LN(W992),LN(1-W992))</f>
        <v/>
      </c>
      <c r="Y992" s="10">
        <f>IF(W992&gt;$AC$34,1,0)</f>
        <v/>
      </c>
      <c r="Z992">
        <f>IF(Y992=C992,1,0)</f>
        <v/>
      </c>
    </row>
    <row r="993">
      <c r="A993">
        <f>'1 datos preparados'!A986</f>
        <v/>
      </c>
      <c r="B993" s="5">
        <f>'1 datos preparados'!U986</f>
        <v/>
      </c>
      <c r="C993">
        <f>'1 datos preparados'!B986</f>
        <v/>
      </c>
      <c r="D993" s="7">
        <f>'1 datos preparados'!C986</f>
        <v/>
      </c>
      <c r="E993" s="7">
        <f>'1 datos preparados'!D986</f>
        <v/>
      </c>
      <c r="F993" s="7">
        <f>'1 datos preparados'!E986</f>
        <v/>
      </c>
      <c r="G993" s="7">
        <f>'1 datos preparados'!F986</f>
        <v/>
      </c>
      <c r="H993" s="7">
        <f>'1 datos preparados'!G986</f>
        <v/>
      </c>
      <c r="I993" s="7">
        <f>'1 datos preparados'!H986</f>
        <v/>
      </c>
      <c r="J993" s="7">
        <f>'1 datos preparados'!I986</f>
        <v/>
      </c>
      <c r="K993" s="7">
        <f>'1 datos preparados'!J986</f>
        <v/>
      </c>
      <c r="L993" s="7">
        <f>'1 datos preparados'!K986</f>
        <v/>
      </c>
      <c r="M993" s="7">
        <f>'1 datos preparados'!L986</f>
        <v/>
      </c>
      <c r="N993" s="7">
        <f>'1 datos preparados'!M986</f>
        <v/>
      </c>
      <c r="O993" s="7">
        <f>'1 datos preparados'!N986</f>
        <v/>
      </c>
      <c r="P993" s="7">
        <f>'1 datos preparados'!O986</f>
        <v/>
      </c>
      <c r="Q993" s="7">
        <f>'1 datos preparados'!P986</f>
        <v/>
      </c>
      <c r="R993" s="7">
        <f>'1 datos preparados'!Q986</f>
        <v/>
      </c>
      <c r="S993" s="7">
        <f>'1 datos preparados'!R986</f>
        <v/>
      </c>
      <c r="T993" s="7">
        <f>'1 datos preparados'!S986</f>
        <v/>
      </c>
      <c r="U993" s="7">
        <f>'1 datos preparados'!T986</f>
        <v/>
      </c>
      <c r="V993" s="8">
        <f>$AC$12+D993*$AC$13+E993*$AC$14+F993*$AC$15+G993*$AC$16+H993*$AC$17+I993*$AC$18+J993*$AC$19+K993*$AC$20+L993*$AC$21+M993*$AC$22+N993*$AC$23+O993*$AC$24+P993*$AC$25+Q993*$AC$26+R993*$AC$27+S993*$AC$28+T993*$AC$29+U993*$AC$30</f>
        <v/>
      </c>
      <c r="W993" s="8">
        <f>1/(1+EXP(-V993))</f>
        <v/>
      </c>
      <c r="X993" s="9">
        <f>-IF(C993=1,LN(W993),LN(1-W993))</f>
        <v/>
      </c>
      <c r="Y993" s="10">
        <f>IF(W993&gt;$AC$34,1,0)</f>
        <v/>
      </c>
      <c r="Z993">
        <f>IF(Y993=C993,1,0)</f>
        <v/>
      </c>
    </row>
    <row r="994">
      <c r="A994">
        <f>'1 datos preparados'!A987</f>
        <v/>
      </c>
      <c r="B994" s="5">
        <f>'1 datos preparados'!U987</f>
        <v/>
      </c>
      <c r="C994">
        <f>'1 datos preparados'!B987</f>
        <v/>
      </c>
      <c r="D994" s="7">
        <f>'1 datos preparados'!C987</f>
        <v/>
      </c>
      <c r="E994" s="7">
        <f>'1 datos preparados'!D987</f>
        <v/>
      </c>
      <c r="F994" s="7">
        <f>'1 datos preparados'!E987</f>
        <v/>
      </c>
      <c r="G994" s="7">
        <f>'1 datos preparados'!F987</f>
        <v/>
      </c>
      <c r="H994" s="7">
        <f>'1 datos preparados'!G987</f>
        <v/>
      </c>
      <c r="I994" s="7">
        <f>'1 datos preparados'!H987</f>
        <v/>
      </c>
      <c r="J994" s="7">
        <f>'1 datos preparados'!I987</f>
        <v/>
      </c>
      <c r="K994" s="7">
        <f>'1 datos preparados'!J987</f>
        <v/>
      </c>
      <c r="L994" s="7">
        <f>'1 datos preparados'!K987</f>
        <v/>
      </c>
      <c r="M994" s="7">
        <f>'1 datos preparados'!L987</f>
        <v/>
      </c>
      <c r="N994" s="7">
        <f>'1 datos preparados'!M987</f>
        <v/>
      </c>
      <c r="O994" s="7">
        <f>'1 datos preparados'!N987</f>
        <v/>
      </c>
      <c r="P994" s="7">
        <f>'1 datos preparados'!O987</f>
        <v/>
      </c>
      <c r="Q994" s="7">
        <f>'1 datos preparados'!P987</f>
        <v/>
      </c>
      <c r="R994" s="7">
        <f>'1 datos preparados'!Q987</f>
        <v/>
      </c>
      <c r="S994" s="7">
        <f>'1 datos preparados'!R987</f>
        <v/>
      </c>
      <c r="T994" s="7">
        <f>'1 datos preparados'!S987</f>
        <v/>
      </c>
      <c r="U994" s="7">
        <f>'1 datos preparados'!T987</f>
        <v/>
      </c>
      <c r="V994" s="8">
        <f>$AC$12+D994*$AC$13+E994*$AC$14+F994*$AC$15+G994*$AC$16+H994*$AC$17+I994*$AC$18+J994*$AC$19+K994*$AC$20+L994*$AC$21+M994*$AC$22+N994*$AC$23+O994*$AC$24+P994*$AC$25+Q994*$AC$26+R994*$AC$27+S994*$AC$28+T994*$AC$29+U994*$AC$30</f>
        <v/>
      </c>
      <c r="W994" s="8">
        <f>1/(1+EXP(-V994))</f>
        <v/>
      </c>
      <c r="X994" s="9">
        <f>-IF(C994=1,LN(W994),LN(1-W994))</f>
        <v/>
      </c>
      <c r="Y994" s="10">
        <f>IF(W994&gt;$AC$34,1,0)</f>
        <v/>
      </c>
      <c r="Z994">
        <f>IF(Y994=C994,1,0)</f>
        <v/>
      </c>
    </row>
    <row r="995">
      <c r="A995">
        <f>'1 datos preparados'!A988</f>
        <v/>
      </c>
      <c r="B995" s="5">
        <f>'1 datos preparados'!U988</f>
        <v/>
      </c>
      <c r="C995">
        <f>'1 datos preparados'!B988</f>
        <v/>
      </c>
      <c r="D995" s="7">
        <f>'1 datos preparados'!C988</f>
        <v/>
      </c>
      <c r="E995" s="7">
        <f>'1 datos preparados'!D988</f>
        <v/>
      </c>
      <c r="F995" s="7">
        <f>'1 datos preparados'!E988</f>
        <v/>
      </c>
      <c r="G995" s="7">
        <f>'1 datos preparados'!F988</f>
        <v/>
      </c>
      <c r="H995" s="7">
        <f>'1 datos preparados'!G988</f>
        <v/>
      </c>
      <c r="I995" s="7">
        <f>'1 datos preparados'!H988</f>
        <v/>
      </c>
      <c r="J995" s="7">
        <f>'1 datos preparados'!I988</f>
        <v/>
      </c>
      <c r="K995" s="7">
        <f>'1 datos preparados'!J988</f>
        <v/>
      </c>
      <c r="L995" s="7">
        <f>'1 datos preparados'!K988</f>
        <v/>
      </c>
      <c r="M995" s="7">
        <f>'1 datos preparados'!L988</f>
        <v/>
      </c>
      <c r="N995" s="7">
        <f>'1 datos preparados'!M988</f>
        <v/>
      </c>
      <c r="O995" s="7">
        <f>'1 datos preparados'!N988</f>
        <v/>
      </c>
      <c r="P995" s="7">
        <f>'1 datos preparados'!O988</f>
        <v/>
      </c>
      <c r="Q995" s="7">
        <f>'1 datos preparados'!P988</f>
        <v/>
      </c>
      <c r="R995" s="7">
        <f>'1 datos preparados'!Q988</f>
        <v/>
      </c>
      <c r="S995" s="7">
        <f>'1 datos preparados'!R988</f>
        <v/>
      </c>
      <c r="T995" s="7">
        <f>'1 datos preparados'!S988</f>
        <v/>
      </c>
      <c r="U995" s="7">
        <f>'1 datos preparados'!T988</f>
        <v/>
      </c>
      <c r="V995" s="8">
        <f>$AC$12+D995*$AC$13+E995*$AC$14+F995*$AC$15+G995*$AC$16+H995*$AC$17+I995*$AC$18+J995*$AC$19+K995*$AC$20+L995*$AC$21+M995*$AC$22+N995*$AC$23+O995*$AC$24+P995*$AC$25+Q995*$AC$26+R995*$AC$27+S995*$AC$28+T995*$AC$29+U995*$AC$30</f>
        <v/>
      </c>
      <c r="W995" s="8">
        <f>1/(1+EXP(-V995))</f>
        <v/>
      </c>
      <c r="X995" s="9">
        <f>-IF(C995=1,LN(W995),LN(1-W995))</f>
        <v/>
      </c>
      <c r="Y995" s="10">
        <f>IF(W995&gt;$AC$34,1,0)</f>
        <v/>
      </c>
      <c r="Z995">
        <f>IF(Y995=C995,1,0)</f>
        <v/>
      </c>
    </row>
    <row r="996">
      <c r="A996">
        <f>'1 datos preparados'!A989</f>
        <v/>
      </c>
      <c r="B996" s="5">
        <f>'1 datos preparados'!U989</f>
        <v/>
      </c>
      <c r="C996">
        <f>'1 datos preparados'!B989</f>
        <v/>
      </c>
      <c r="D996" s="7">
        <f>'1 datos preparados'!C989</f>
        <v/>
      </c>
      <c r="E996" s="7">
        <f>'1 datos preparados'!D989</f>
        <v/>
      </c>
      <c r="F996" s="7">
        <f>'1 datos preparados'!E989</f>
        <v/>
      </c>
      <c r="G996" s="7">
        <f>'1 datos preparados'!F989</f>
        <v/>
      </c>
      <c r="H996" s="7">
        <f>'1 datos preparados'!G989</f>
        <v/>
      </c>
      <c r="I996" s="7">
        <f>'1 datos preparados'!H989</f>
        <v/>
      </c>
      <c r="J996" s="7">
        <f>'1 datos preparados'!I989</f>
        <v/>
      </c>
      <c r="K996" s="7">
        <f>'1 datos preparados'!J989</f>
        <v/>
      </c>
      <c r="L996" s="7">
        <f>'1 datos preparados'!K989</f>
        <v/>
      </c>
      <c r="M996" s="7">
        <f>'1 datos preparados'!L989</f>
        <v/>
      </c>
      <c r="N996" s="7">
        <f>'1 datos preparados'!M989</f>
        <v/>
      </c>
      <c r="O996" s="7">
        <f>'1 datos preparados'!N989</f>
        <v/>
      </c>
      <c r="P996" s="7">
        <f>'1 datos preparados'!O989</f>
        <v/>
      </c>
      <c r="Q996" s="7">
        <f>'1 datos preparados'!P989</f>
        <v/>
      </c>
      <c r="R996" s="7">
        <f>'1 datos preparados'!Q989</f>
        <v/>
      </c>
      <c r="S996" s="7">
        <f>'1 datos preparados'!R989</f>
        <v/>
      </c>
      <c r="T996" s="7">
        <f>'1 datos preparados'!S989</f>
        <v/>
      </c>
      <c r="U996" s="7">
        <f>'1 datos preparados'!T989</f>
        <v/>
      </c>
      <c r="V996" s="8">
        <f>$AC$12+D996*$AC$13+E996*$AC$14+F996*$AC$15+G996*$AC$16+H996*$AC$17+I996*$AC$18+J996*$AC$19+K996*$AC$20+L996*$AC$21+M996*$AC$22+N996*$AC$23+O996*$AC$24+P996*$AC$25+Q996*$AC$26+R996*$AC$27+S996*$AC$28+T996*$AC$29+U996*$AC$30</f>
        <v/>
      </c>
      <c r="W996" s="8">
        <f>1/(1+EXP(-V996))</f>
        <v/>
      </c>
      <c r="X996" s="9">
        <f>-IF(C996=1,LN(W996),LN(1-W996))</f>
        <v/>
      </c>
      <c r="Y996" s="10">
        <f>IF(W996&gt;$AC$34,1,0)</f>
        <v/>
      </c>
      <c r="Z996">
        <f>IF(Y996=C996,1,0)</f>
        <v/>
      </c>
    </row>
    <row r="997">
      <c r="A997">
        <f>'1 datos preparados'!A990</f>
        <v/>
      </c>
      <c r="B997" s="5">
        <f>'1 datos preparados'!U990</f>
        <v/>
      </c>
      <c r="C997">
        <f>'1 datos preparados'!B990</f>
        <v/>
      </c>
      <c r="D997" s="7">
        <f>'1 datos preparados'!C990</f>
        <v/>
      </c>
      <c r="E997" s="7">
        <f>'1 datos preparados'!D990</f>
        <v/>
      </c>
      <c r="F997" s="7">
        <f>'1 datos preparados'!E990</f>
        <v/>
      </c>
      <c r="G997" s="7">
        <f>'1 datos preparados'!F990</f>
        <v/>
      </c>
      <c r="H997" s="7">
        <f>'1 datos preparados'!G990</f>
        <v/>
      </c>
      <c r="I997" s="7">
        <f>'1 datos preparados'!H990</f>
        <v/>
      </c>
      <c r="J997" s="7">
        <f>'1 datos preparados'!I990</f>
        <v/>
      </c>
      <c r="K997" s="7">
        <f>'1 datos preparados'!J990</f>
        <v/>
      </c>
      <c r="L997" s="7">
        <f>'1 datos preparados'!K990</f>
        <v/>
      </c>
      <c r="M997" s="7">
        <f>'1 datos preparados'!L990</f>
        <v/>
      </c>
      <c r="N997" s="7">
        <f>'1 datos preparados'!M990</f>
        <v/>
      </c>
      <c r="O997" s="7">
        <f>'1 datos preparados'!N990</f>
        <v/>
      </c>
      <c r="P997" s="7">
        <f>'1 datos preparados'!O990</f>
        <v/>
      </c>
      <c r="Q997" s="7">
        <f>'1 datos preparados'!P990</f>
        <v/>
      </c>
      <c r="R997" s="7">
        <f>'1 datos preparados'!Q990</f>
        <v/>
      </c>
      <c r="S997" s="7">
        <f>'1 datos preparados'!R990</f>
        <v/>
      </c>
      <c r="T997" s="7">
        <f>'1 datos preparados'!S990</f>
        <v/>
      </c>
      <c r="U997" s="7">
        <f>'1 datos preparados'!T990</f>
        <v/>
      </c>
      <c r="V997" s="8">
        <f>$AC$12+D997*$AC$13+E997*$AC$14+F997*$AC$15+G997*$AC$16+H997*$AC$17+I997*$AC$18+J997*$AC$19+K997*$AC$20+L997*$AC$21+M997*$AC$22+N997*$AC$23+O997*$AC$24+P997*$AC$25+Q997*$AC$26+R997*$AC$27+S997*$AC$28+T997*$AC$29+U997*$AC$30</f>
        <v/>
      </c>
      <c r="W997" s="8">
        <f>1/(1+EXP(-V997))</f>
        <v/>
      </c>
      <c r="X997" s="9">
        <f>-IF(C997=1,LN(W997),LN(1-W997))</f>
        <v/>
      </c>
      <c r="Y997" s="10">
        <f>IF(W997&gt;$AC$34,1,0)</f>
        <v/>
      </c>
      <c r="Z997">
        <f>IF(Y997=C997,1,0)</f>
        <v/>
      </c>
    </row>
    <row r="998">
      <c r="A998">
        <f>'1 datos preparados'!A991</f>
        <v/>
      </c>
      <c r="B998" s="5">
        <f>'1 datos preparados'!U991</f>
        <v/>
      </c>
      <c r="C998">
        <f>'1 datos preparados'!B991</f>
        <v/>
      </c>
      <c r="D998" s="7">
        <f>'1 datos preparados'!C991</f>
        <v/>
      </c>
      <c r="E998" s="7">
        <f>'1 datos preparados'!D991</f>
        <v/>
      </c>
      <c r="F998" s="7">
        <f>'1 datos preparados'!E991</f>
        <v/>
      </c>
      <c r="G998" s="7">
        <f>'1 datos preparados'!F991</f>
        <v/>
      </c>
      <c r="H998" s="7">
        <f>'1 datos preparados'!G991</f>
        <v/>
      </c>
      <c r="I998" s="7">
        <f>'1 datos preparados'!H991</f>
        <v/>
      </c>
      <c r="J998" s="7">
        <f>'1 datos preparados'!I991</f>
        <v/>
      </c>
      <c r="K998" s="7">
        <f>'1 datos preparados'!J991</f>
        <v/>
      </c>
      <c r="L998" s="7">
        <f>'1 datos preparados'!K991</f>
        <v/>
      </c>
      <c r="M998" s="7">
        <f>'1 datos preparados'!L991</f>
        <v/>
      </c>
      <c r="N998" s="7">
        <f>'1 datos preparados'!M991</f>
        <v/>
      </c>
      <c r="O998" s="7">
        <f>'1 datos preparados'!N991</f>
        <v/>
      </c>
      <c r="P998" s="7">
        <f>'1 datos preparados'!O991</f>
        <v/>
      </c>
      <c r="Q998" s="7">
        <f>'1 datos preparados'!P991</f>
        <v/>
      </c>
      <c r="R998" s="7">
        <f>'1 datos preparados'!Q991</f>
        <v/>
      </c>
      <c r="S998" s="7">
        <f>'1 datos preparados'!R991</f>
        <v/>
      </c>
      <c r="T998" s="7">
        <f>'1 datos preparados'!S991</f>
        <v/>
      </c>
      <c r="U998" s="7">
        <f>'1 datos preparados'!T991</f>
        <v/>
      </c>
      <c r="V998" s="8">
        <f>$AC$12+D998*$AC$13+E998*$AC$14+F998*$AC$15+G998*$AC$16+H998*$AC$17+I998*$AC$18+J998*$AC$19+K998*$AC$20+L998*$AC$21+M998*$AC$22+N998*$AC$23+O998*$AC$24+P998*$AC$25+Q998*$AC$26+R998*$AC$27+S998*$AC$28+T998*$AC$29+U998*$AC$30</f>
        <v/>
      </c>
      <c r="W998" s="8">
        <f>1/(1+EXP(-V998))</f>
        <v/>
      </c>
      <c r="X998" s="9">
        <f>-IF(C998=1,LN(W998),LN(1-W998))</f>
        <v/>
      </c>
      <c r="Y998" s="10">
        <f>IF(W998&gt;$AC$34,1,0)</f>
        <v/>
      </c>
      <c r="Z998">
        <f>IF(Y998=C998,1,0)</f>
        <v/>
      </c>
    </row>
    <row r="999">
      <c r="A999">
        <f>'1 datos preparados'!A992</f>
        <v/>
      </c>
      <c r="B999" s="5">
        <f>'1 datos preparados'!U992</f>
        <v/>
      </c>
      <c r="C999">
        <f>'1 datos preparados'!B992</f>
        <v/>
      </c>
      <c r="D999" s="7">
        <f>'1 datos preparados'!C992</f>
        <v/>
      </c>
      <c r="E999" s="7">
        <f>'1 datos preparados'!D992</f>
        <v/>
      </c>
      <c r="F999" s="7">
        <f>'1 datos preparados'!E992</f>
        <v/>
      </c>
      <c r="G999" s="7">
        <f>'1 datos preparados'!F992</f>
        <v/>
      </c>
      <c r="H999" s="7">
        <f>'1 datos preparados'!G992</f>
        <v/>
      </c>
      <c r="I999" s="7">
        <f>'1 datos preparados'!H992</f>
        <v/>
      </c>
      <c r="J999" s="7">
        <f>'1 datos preparados'!I992</f>
        <v/>
      </c>
      <c r="K999" s="7">
        <f>'1 datos preparados'!J992</f>
        <v/>
      </c>
      <c r="L999" s="7">
        <f>'1 datos preparados'!K992</f>
        <v/>
      </c>
      <c r="M999" s="7">
        <f>'1 datos preparados'!L992</f>
        <v/>
      </c>
      <c r="N999" s="7">
        <f>'1 datos preparados'!M992</f>
        <v/>
      </c>
      <c r="O999" s="7">
        <f>'1 datos preparados'!N992</f>
        <v/>
      </c>
      <c r="P999" s="7">
        <f>'1 datos preparados'!O992</f>
        <v/>
      </c>
      <c r="Q999" s="7">
        <f>'1 datos preparados'!P992</f>
        <v/>
      </c>
      <c r="R999" s="7">
        <f>'1 datos preparados'!Q992</f>
        <v/>
      </c>
      <c r="S999" s="7">
        <f>'1 datos preparados'!R992</f>
        <v/>
      </c>
      <c r="T999" s="7">
        <f>'1 datos preparados'!S992</f>
        <v/>
      </c>
      <c r="U999" s="7">
        <f>'1 datos preparados'!T992</f>
        <v/>
      </c>
      <c r="V999" s="8">
        <f>$AC$12+D999*$AC$13+E999*$AC$14+F999*$AC$15+G999*$AC$16+H999*$AC$17+I999*$AC$18+J999*$AC$19+K999*$AC$20+L999*$AC$21+M999*$AC$22+N999*$AC$23+O999*$AC$24+P999*$AC$25+Q999*$AC$26+R999*$AC$27+S999*$AC$28+T999*$AC$29+U999*$AC$30</f>
        <v/>
      </c>
      <c r="W999" s="8">
        <f>1/(1+EXP(-V999))</f>
        <v/>
      </c>
      <c r="X999" s="9">
        <f>-IF(C999=1,LN(W999),LN(1-W999))</f>
        <v/>
      </c>
      <c r="Y999" s="10">
        <f>IF(W999&gt;$AC$34,1,0)</f>
        <v/>
      </c>
      <c r="Z999">
        <f>IF(Y999=C999,1,0)</f>
        <v/>
      </c>
    </row>
    <row r="1000">
      <c r="A1000">
        <f>'1 datos preparados'!A993</f>
        <v/>
      </c>
      <c r="B1000" s="5">
        <f>'1 datos preparados'!U993</f>
        <v/>
      </c>
      <c r="C1000">
        <f>'1 datos preparados'!B993</f>
        <v/>
      </c>
      <c r="D1000" s="7">
        <f>'1 datos preparados'!C993</f>
        <v/>
      </c>
      <c r="E1000" s="7">
        <f>'1 datos preparados'!D993</f>
        <v/>
      </c>
      <c r="F1000" s="7">
        <f>'1 datos preparados'!E993</f>
        <v/>
      </c>
      <c r="G1000" s="7">
        <f>'1 datos preparados'!F993</f>
        <v/>
      </c>
      <c r="H1000" s="7">
        <f>'1 datos preparados'!G993</f>
        <v/>
      </c>
      <c r="I1000" s="7">
        <f>'1 datos preparados'!H993</f>
        <v/>
      </c>
      <c r="J1000" s="7">
        <f>'1 datos preparados'!I993</f>
        <v/>
      </c>
      <c r="K1000" s="7">
        <f>'1 datos preparados'!J993</f>
        <v/>
      </c>
      <c r="L1000" s="7">
        <f>'1 datos preparados'!K993</f>
        <v/>
      </c>
      <c r="M1000" s="7">
        <f>'1 datos preparados'!L993</f>
        <v/>
      </c>
      <c r="N1000" s="7">
        <f>'1 datos preparados'!M993</f>
        <v/>
      </c>
      <c r="O1000" s="7">
        <f>'1 datos preparados'!N993</f>
        <v/>
      </c>
      <c r="P1000" s="7">
        <f>'1 datos preparados'!O993</f>
        <v/>
      </c>
      <c r="Q1000" s="7">
        <f>'1 datos preparados'!P993</f>
        <v/>
      </c>
      <c r="R1000" s="7">
        <f>'1 datos preparados'!Q993</f>
        <v/>
      </c>
      <c r="S1000" s="7">
        <f>'1 datos preparados'!R993</f>
        <v/>
      </c>
      <c r="T1000" s="7">
        <f>'1 datos preparados'!S993</f>
        <v/>
      </c>
      <c r="U1000" s="7">
        <f>'1 datos preparados'!T993</f>
        <v/>
      </c>
      <c r="V1000" s="8">
        <f>$AC$12+D1000*$AC$13+E1000*$AC$14+F1000*$AC$15+G1000*$AC$16+H1000*$AC$17+I1000*$AC$18+J1000*$AC$19+K1000*$AC$20+L1000*$AC$21+M1000*$AC$22+N1000*$AC$23+O1000*$AC$24+P1000*$AC$25+Q1000*$AC$26+R1000*$AC$27+S1000*$AC$28+T1000*$AC$29+U1000*$AC$30</f>
        <v/>
      </c>
      <c r="W1000" s="8">
        <f>1/(1+EXP(-V1000))</f>
        <v/>
      </c>
      <c r="X1000" s="9">
        <f>-IF(C1000=1,LN(W1000),LN(1-W1000))</f>
        <v/>
      </c>
      <c r="Y1000" s="10">
        <f>IF(W1000&gt;$AC$34,1,0)</f>
        <v/>
      </c>
      <c r="Z1000">
        <f>IF(Y1000=C1000,1,0)</f>
        <v/>
      </c>
    </row>
    <row r="1001">
      <c r="A1001">
        <f>'1 datos preparados'!A994</f>
        <v/>
      </c>
      <c r="B1001" s="5">
        <f>'1 datos preparados'!U994</f>
        <v/>
      </c>
      <c r="C1001">
        <f>'1 datos preparados'!B994</f>
        <v/>
      </c>
      <c r="D1001" s="7">
        <f>'1 datos preparados'!C994</f>
        <v/>
      </c>
      <c r="E1001" s="7">
        <f>'1 datos preparados'!D994</f>
        <v/>
      </c>
      <c r="F1001" s="7">
        <f>'1 datos preparados'!E994</f>
        <v/>
      </c>
      <c r="G1001" s="7">
        <f>'1 datos preparados'!F994</f>
        <v/>
      </c>
      <c r="H1001" s="7">
        <f>'1 datos preparados'!G994</f>
        <v/>
      </c>
      <c r="I1001" s="7">
        <f>'1 datos preparados'!H994</f>
        <v/>
      </c>
      <c r="J1001" s="7">
        <f>'1 datos preparados'!I994</f>
        <v/>
      </c>
      <c r="K1001" s="7">
        <f>'1 datos preparados'!J994</f>
        <v/>
      </c>
      <c r="L1001" s="7">
        <f>'1 datos preparados'!K994</f>
        <v/>
      </c>
      <c r="M1001" s="7">
        <f>'1 datos preparados'!L994</f>
        <v/>
      </c>
      <c r="N1001" s="7">
        <f>'1 datos preparados'!M994</f>
        <v/>
      </c>
      <c r="O1001" s="7">
        <f>'1 datos preparados'!N994</f>
        <v/>
      </c>
      <c r="P1001" s="7">
        <f>'1 datos preparados'!O994</f>
        <v/>
      </c>
      <c r="Q1001" s="7">
        <f>'1 datos preparados'!P994</f>
        <v/>
      </c>
      <c r="R1001" s="7">
        <f>'1 datos preparados'!Q994</f>
        <v/>
      </c>
      <c r="S1001" s="7">
        <f>'1 datos preparados'!R994</f>
        <v/>
      </c>
      <c r="T1001" s="7">
        <f>'1 datos preparados'!S994</f>
        <v/>
      </c>
      <c r="U1001" s="7">
        <f>'1 datos preparados'!T994</f>
        <v/>
      </c>
      <c r="V1001" s="8">
        <f>$AC$12+D1001*$AC$13+E1001*$AC$14+F1001*$AC$15+G1001*$AC$16+H1001*$AC$17+I1001*$AC$18+J1001*$AC$19+K1001*$AC$20+L1001*$AC$21+M1001*$AC$22+N1001*$AC$23+O1001*$AC$24+P1001*$AC$25+Q1001*$AC$26+R1001*$AC$27+S1001*$AC$28+T1001*$AC$29+U1001*$AC$30</f>
        <v/>
      </c>
      <c r="W1001" s="8">
        <f>1/(1+EXP(-V1001))</f>
        <v/>
      </c>
      <c r="X1001" s="9">
        <f>-IF(C1001=1,LN(W1001),LN(1-W1001))</f>
        <v/>
      </c>
      <c r="Y1001" s="10">
        <f>IF(W1001&gt;$AC$34,1,0)</f>
        <v/>
      </c>
      <c r="Z1001">
        <f>IF(Y1001=C1001,1,0)</f>
        <v/>
      </c>
    </row>
    <row r="1002">
      <c r="A1002">
        <f>'1 datos preparados'!A995</f>
        <v/>
      </c>
      <c r="B1002" s="5">
        <f>'1 datos preparados'!U995</f>
        <v/>
      </c>
      <c r="C1002">
        <f>'1 datos preparados'!B995</f>
        <v/>
      </c>
      <c r="D1002" s="7">
        <f>'1 datos preparados'!C995</f>
        <v/>
      </c>
      <c r="E1002" s="7">
        <f>'1 datos preparados'!D995</f>
        <v/>
      </c>
      <c r="F1002" s="7">
        <f>'1 datos preparados'!E995</f>
        <v/>
      </c>
      <c r="G1002" s="7">
        <f>'1 datos preparados'!F995</f>
        <v/>
      </c>
      <c r="H1002" s="7">
        <f>'1 datos preparados'!G995</f>
        <v/>
      </c>
      <c r="I1002" s="7">
        <f>'1 datos preparados'!H995</f>
        <v/>
      </c>
      <c r="J1002" s="7">
        <f>'1 datos preparados'!I995</f>
        <v/>
      </c>
      <c r="K1002" s="7">
        <f>'1 datos preparados'!J995</f>
        <v/>
      </c>
      <c r="L1002" s="7">
        <f>'1 datos preparados'!K995</f>
        <v/>
      </c>
      <c r="M1002" s="7">
        <f>'1 datos preparados'!L995</f>
        <v/>
      </c>
      <c r="N1002" s="7">
        <f>'1 datos preparados'!M995</f>
        <v/>
      </c>
      <c r="O1002" s="7">
        <f>'1 datos preparados'!N995</f>
        <v/>
      </c>
      <c r="P1002" s="7">
        <f>'1 datos preparados'!O995</f>
        <v/>
      </c>
      <c r="Q1002" s="7">
        <f>'1 datos preparados'!P995</f>
        <v/>
      </c>
      <c r="R1002" s="7">
        <f>'1 datos preparados'!Q995</f>
        <v/>
      </c>
      <c r="S1002" s="7">
        <f>'1 datos preparados'!R995</f>
        <v/>
      </c>
      <c r="T1002" s="7">
        <f>'1 datos preparados'!S995</f>
        <v/>
      </c>
      <c r="U1002" s="7">
        <f>'1 datos preparados'!T995</f>
        <v/>
      </c>
      <c r="V1002" s="8">
        <f>$AC$12+D1002*$AC$13+E1002*$AC$14+F1002*$AC$15+G1002*$AC$16+H1002*$AC$17+I1002*$AC$18+J1002*$AC$19+K1002*$AC$20+L1002*$AC$21+M1002*$AC$22+N1002*$AC$23+O1002*$AC$24+P1002*$AC$25+Q1002*$AC$26+R1002*$AC$27+S1002*$AC$28+T1002*$AC$29+U1002*$AC$30</f>
        <v/>
      </c>
      <c r="W1002" s="8">
        <f>1/(1+EXP(-V1002))</f>
        <v/>
      </c>
      <c r="X1002" s="9">
        <f>-IF(C1002=1,LN(W1002),LN(1-W1002))</f>
        <v/>
      </c>
      <c r="Y1002" s="10">
        <f>IF(W1002&gt;$AC$34,1,0)</f>
        <v/>
      </c>
      <c r="Z1002">
        <f>IF(Y1002=C1002,1,0)</f>
        <v/>
      </c>
    </row>
    <row r="1003">
      <c r="A1003">
        <f>'1 datos preparados'!A996</f>
        <v/>
      </c>
      <c r="B1003" s="5">
        <f>'1 datos preparados'!U996</f>
        <v/>
      </c>
      <c r="C1003">
        <f>'1 datos preparados'!B996</f>
        <v/>
      </c>
      <c r="D1003" s="7">
        <f>'1 datos preparados'!C996</f>
        <v/>
      </c>
      <c r="E1003" s="7">
        <f>'1 datos preparados'!D996</f>
        <v/>
      </c>
      <c r="F1003" s="7">
        <f>'1 datos preparados'!E996</f>
        <v/>
      </c>
      <c r="G1003" s="7">
        <f>'1 datos preparados'!F996</f>
        <v/>
      </c>
      <c r="H1003" s="7">
        <f>'1 datos preparados'!G996</f>
        <v/>
      </c>
      <c r="I1003" s="7">
        <f>'1 datos preparados'!H996</f>
        <v/>
      </c>
      <c r="J1003" s="7">
        <f>'1 datos preparados'!I996</f>
        <v/>
      </c>
      <c r="K1003" s="7">
        <f>'1 datos preparados'!J996</f>
        <v/>
      </c>
      <c r="L1003" s="7">
        <f>'1 datos preparados'!K996</f>
        <v/>
      </c>
      <c r="M1003" s="7">
        <f>'1 datos preparados'!L996</f>
        <v/>
      </c>
      <c r="N1003" s="7">
        <f>'1 datos preparados'!M996</f>
        <v/>
      </c>
      <c r="O1003" s="7">
        <f>'1 datos preparados'!N996</f>
        <v/>
      </c>
      <c r="P1003" s="7">
        <f>'1 datos preparados'!O996</f>
        <v/>
      </c>
      <c r="Q1003" s="7">
        <f>'1 datos preparados'!P996</f>
        <v/>
      </c>
      <c r="R1003" s="7">
        <f>'1 datos preparados'!Q996</f>
        <v/>
      </c>
      <c r="S1003" s="7">
        <f>'1 datos preparados'!R996</f>
        <v/>
      </c>
      <c r="T1003" s="7">
        <f>'1 datos preparados'!S996</f>
        <v/>
      </c>
      <c r="U1003" s="7">
        <f>'1 datos preparados'!T996</f>
        <v/>
      </c>
      <c r="V1003" s="8">
        <f>$AC$12+D1003*$AC$13+E1003*$AC$14+F1003*$AC$15+G1003*$AC$16+H1003*$AC$17+I1003*$AC$18+J1003*$AC$19+K1003*$AC$20+L1003*$AC$21+M1003*$AC$22+N1003*$AC$23+O1003*$AC$24+P1003*$AC$25+Q1003*$AC$26+R1003*$AC$27+S1003*$AC$28+T1003*$AC$29+U1003*$AC$30</f>
        <v/>
      </c>
      <c r="W1003" s="8">
        <f>1/(1+EXP(-V1003))</f>
        <v/>
      </c>
      <c r="X1003" s="9">
        <f>-IF(C1003=1,LN(W1003),LN(1-W1003))</f>
        <v/>
      </c>
      <c r="Y1003" s="10">
        <f>IF(W1003&gt;$AC$34,1,0)</f>
        <v/>
      </c>
      <c r="Z1003">
        <f>IF(Y1003=C1003,1,0)</f>
        <v/>
      </c>
    </row>
    <row r="1004">
      <c r="A1004">
        <f>'1 datos preparados'!A997</f>
        <v/>
      </c>
      <c r="B1004" s="5">
        <f>'1 datos preparados'!U997</f>
        <v/>
      </c>
      <c r="C1004">
        <f>'1 datos preparados'!B997</f>
        <v/>
      </c>
      <c r="D1004" s="7">
        <f>'1 datos preparados'!C997</f>
        <v/>
      </c>
      <c r="E1004" s="7">
        <f>'1 datos preparados'!D997</f>
        <v/>
      </c>
      <c r="F1004" s="7">
        <f>'1 datos preparados'!E997</f>
        <v/>
      </c>
      <c r="G1004" s="7">
        <f>'1 datos preparados'!F997</f>
        <v/>
      </c>
      <c r="H1004" s="7">
        <f>'1 datos preparados'!G997</f>
        <v/>
      </c>
      <c r="I1004" s="7">
        <f>'1 datos preparados'!H997</f>
        <v/>
      </c>
      <c r="J1004" s="7">
        <f>'1 datos preparados'!I997</f>
        <v/>
      </c>
      <c r="K1004" s="7">
        <f>'1 datos preparados'!J997</f>
        <v/>
      </c>
      <c r="L1004" s="7">
        <f>'1 datos preparados'!K997</f>
        <v/>
      </c>
      <c r="M1004" s="7">
        <f>'1 datos preparados'!L997</f>
        <v/>
      </c>
      <c r="N1004" s="7">
        <f>'1 datos preparados'!M997</f>
        <v/>
      </c>
      <c r="O1004" s="7">
        <f>'1 datos preparados'!N997</f>
        <v/>
      </c>
      <c r="P1004" s="7">
        <f>'1 datos preparados'!O997</f>
        <v/>
      </c>
      <c r="Q1004" s="7">
        <f>'1 datos preparados'!P997</f>
        <v/>
      </c>
      <c r="R1004" s="7">
        <f>'1 datos preparados'!Q997</f>
        <v/>
      </c>
      <c r="S1004" s="7">
        <f>'1 datos preparados'!R997</f>
        <v/>
      </c>
      <c r="T1004" s="7">
        <f>'1 datos preparados'!S997</f>
        <v/>
      </c>
      <c r="U1004" s="7">
        <f>'1 datos preparados'!T997</f>
        <v/>
      </c>
      <c r="V1004" s="8">
        <f>$AC$12+D1004*$AC$13+E1004*$AC$14+F1004*$AC$15+G1004*$AC$16+H1004*$AC$17+I1004*$AC$18+J1004*$AC$19+K1004*$AC$20+L1004*$AC$21+M1004*$AC$22+N1004*$AC$23+O1004*$AC$24+P1004*$AC$25+Q1004*$AC$26+R1004*$AC$27+S1004*$AC$28+T1004*$AC$29+U1004*$AC$30</f>
        <v/>
      </c>
      <c r="W1004" s="8">
        <f>1/(1+EXP(-V1004))</f>
        <v/>
      </c>
      <c r="X1004" s="9">
        <f>-IF(C1004=1,LN(W1004),LN(1-W1004))</f>
        <v/>
      </c>
      <c r="Y1004" s="10">
        <f>IF(W1004&gt;$AC$34,1,0)</f>
        <v/>
      </c>
      <c r="Z1004">
        <f>IF(Y1004=C1004,1,0)</f>
        <v/>
      </c>
    </row>
    <row r="1005">
      <c r="A1005">
        <f>'1 datos preparados'!A998</f>
        <v/>
      </c>
      <c r="B1005" s="5">
        <f>'1 datos preparados'!U998</f>
        <v/>
      </c>
      <c r="C1005">
        <f>'1 datos preparados'!B998</f>
        <v/>
      </c>
      <c r="D1005" s="7">
        <f>'1 datos preparados'!C998</f>
        <v/>
      </c>
      <c r="E1005" s="7">
        <f>'1 datos preparados'!D998</f>
        <v/>
      </c>
      <c r="F1005" s="7">
        <f>'1 datos preparados'!E998</f>
        <v/>
      </c>
      <c r="G1005" s="7">
        <f>'1 datos preparados'!F998</f>
        <v/>
      </c>
      <c r="H1005" s="7">
        <f>'1 datos preparados'!G998</f>
        <v/>
      </c>
      <c r="I1005" s="7">
        <f>'1 datos preparados'!H998</f>
        <v/>
      </c>
      <c r="J1005" s="7">
        <f>'1 datos preparados'!I998</f>
        <v/>
      </c>
      <c r="K1005" s="7">
        <f>'1 datos preparados'!J998</f>
        <v/>
      </c>
      <c r="L1005" s="7">
        <f>'1 datos preparados'!K998</f>
        <v/>
      </c>
      <c r="M1005" s="7">
        <f>'1 datos preparados'!L998</f>
        <v/>
      </c>
      <c r="N1005" s="7">
        <f>'1 datos preparados'!M998</f>
        <v/>
      </c>
      <c r="O1005" s="7">
        <f>'1 datos preparados'!N998</f>
        <v/>
      </c>
      <c r="P1005" s="7">
        <f>'1 datos preparados'!O998</f>
        <v/>
      </c>
      <c r="Q1005" s="7">
        <f>'1 datos preparados'!P998</f>
        <v/>
      </c>
      <c r="R1005" s="7">
        <f>'1 datos preparados'!Q998</f>
        <v/>
      </c>
      <c r="S1005" s="7">
        <f>'1 datos preparados'!R998</f>
        <v/>
      </c>
      <c r="T1005" s="7">
        <f>'1 datos preparados'!S998</f>
        <v/>
      </c>
      <c r="U1005" s="7">
        <f>'1 datos preparados'!T998</f>
        <v/>
      </c>
      <c r="V1005" s="8">
        <f>$AC$12+D1005*$AC$13+E1005*$AC$14+F1005*$AC$15+G1005*$AC$16+H1005*$AC$17+I1005*$AC$18+J1005*$AC$19+K1005*$AC$20+L1005*$AC$21+M1005*$AC$22+N1005*$AC$23+O1005*$AC$24+P1005*$AC$25+Q1005*$AC$26+R1005*$AC$27+S1005*$AC$28+T1005*$AC$29+U1005*$AC$30</f>
        <v/>
      </c>
      <c r="W1005" s="8">
        <f>1/(1+EXP(-V1005))</f>
        <v/>
      </c>
      <c r="X1005" s="9">
        <f>-IF(C1005=1,LN(W1005),LN(1-W1005))</f>
        <v/>
      </c>
      <c r="Y1005" s="10">
        <f>IF(W1005&gt;$AC$34,1,0)</f>
        <v/>
      </c>
      <c r="Z1005">
        <f>IF(Y1005=C1005,1,0)</f>
        <v/>
      </c>
    </row>
    <row r="1006">
      <c r="A1006">
        <f>'1 datos preparados'!A999</f>
        <v/>
      </c>
      <c r="B1006" s="5">
        <f>'1 datos preparados'!U999</f>
        <v/>
      </c>
      <c r="C1006">
        <f>'1 datos preparados'!B999</f>
        <v/>
      </c>
      <c r="D1006" s="7">
        <f>'1 datos preparados'!C999</f>
        <v/>
      </c>
      <c r="E1006" s="7">
        <f>'1 datos preparados'!D999</f>
        <v/>
      </c>
      <c r="F1006" s="7">
        <f>'1 datos preparados'!E999</f>
        <v/>
      </c>
      <c r="G1006" s="7">
        <f>'1 datos preparados'!F999</f>
        <v/>
      </c>
      <c r="H1006" s="7">
        <f>'1 datos preparados'!G999</f>
        <v/>
      </c>
      <c r="I1006" s="7">
        <f>'1 datos preparados'!H999</f>
        <v/>
      </c>
      <c r="J1006" s="7">
        <f>'1 datos preparados'!I999</f>
        <v/>
      </c>
      <c r="K1006" s="7">
        <f>'1 datos preparados'!J999</f>
        <v/>
      </c>
      <c r="L1006" s="7">
        <f>'1 datos preparados'!K999</f>
        <v/>
      </c>
      <c r="M1006" s="7">
        <f>'1 datos preparados'!L999</f>
        <v/>
      </c>
      <c r="N1006" s="7">
        <f>'1 datos preparados'!M999</f>
        <v/>
      </c>
      <c r="O1006" s="7">
        <f>'1 datos preparados'!N999</f>
        <v/>
      </c>
      <c r="P1006" s="7">
        <f>'1 datos preparados'!O999</f>
        <v/>
      </c>
      <c r="Q1006" s="7">
        <f>'1 datos preparados'!P999</f>
        <v/>
      </c>
      <c r="R1006" s="7">
        <f>'1 datos preparados'!Q999</f>
        <v/>
      </c>
      <c r="S1006" s="7">
        <f>'1 datos preparados'!R999</f>
        <v/>
      </c>
      <c r="T1006" s="7">
        <f>'1 datos preparados'!S999</f>
        <v/>
      </c>
      <c r="U1006" s="7">
        <f>'1 datos preparados'!T999</f>
        <v/>
      </c>
      <c r="V1006" s="8">
        <f>$AC$12+D1006*$AC$13+E1006*$AC$14+F1006*$AC$15+G1006*$AC$16+H1006*$AC$17+I1006*$AC$18+J1006*$AC$19+K1006*$AC$20+L1006*$AC$21+M1006*$AC$22+N1006*$AC$23+O1006*$AC$24+P1006*$AC$25+Q1006*$AC$26+R1006*$AC$27+S1006*$AC$28+T1006*$AC$29+U1006*$AC$30</f>
        <v/>
      </c>
      <c r="W1006" s="8">
        <f>1/(1+EXP(-V1006))</f>
        <v/>
      </c>
      <c r="X1006" s="9">
        <f>-IF(C1006=1,LN(W1006),LN(1-W1006))</f>
        <v/>
      </c>
      <c r="Y1006" s="10">
        <f>IF(W1006&gt;$AC$34,1,0)</f>
        <v/>
      </c>
      <c r="Z1006">
        <f>IF(Y1006=C1006,1,0)</f>
        <v/>
      </c>
    </row>
    <row r="1007">
      <c r="A1007">
        <f>'1 datos preparados'!A1000</f>
        <v/>
      </c>
      <c r="B1007" s="5">
        <f>'1 datos preparados'!U1000</f>
        <v/>
      </c>
      <c r="C1007">
        <f>'1 datos preparados'!B1000</f>
        <v/>
      </c>
      <c r="D1007" s="7">
        <f>'1 datos preparados'!C1000</f>
        <v/>
      </c>
      <c r="E1007" s="7">
        <f>'1 datos preparados'!D1000</f>
        <v/>
      </c>
      <c r="F1007" s="7">
        <f>'1 datos preparados'!E1000</f>
        <v/>
      </c>
      <c r="G1007" s="7">
        <f>'1 datos preparados'!F1000</f>
        <v/>
      </c>
      <c r="H1007" s="7">
        <f>'1 datos preparados'!G1000</f>
        <v/>
      </c>
      <c r="I1007" s="7">
        <f>'1 datos preparados'!H1000</f>
        <v/>
      </c>
      <c r="J1007" s="7">
        <f>'1 datos preparados'!I1000</f>
        <v/>
      </c>
      <c r="K1007" s="7">
        <f>'1 datos preparados'!J1000</f>
        <v/>
      </c>
      <c r="L1007" s="7">
        <f>'1 datos preparados'!K1000</f>
        <v/>
      </c>
      <c r="M1007" s="7">
        <f>'1 datos preparados'!L1000</f>
        <v/>
      </c>
      <c r="N1007" s="7">
        <f>'1 datos preparados'!M1000</f>
        <v/>
      </c>
      <c r="O1007" s="7">
        <f>'1 datos preparados'!N1000</f>
        <v/>
      </c>
      <c r="P1007" s="7">
        <f>'1 datos preparados'!O1000</f>
        <v/>
      </c>
      <c r="Q1007" s="7">
        <f>'1 datos preparados'!P1000</f>
        <v/>
      </c>
      <c r="R1007" s="7">
        <f>'1 datos preparados'!Q1000</f>
        <v/>
      </c>
      <c r="S1007" s="7">
        <f>'1 datos preparados'!R1000</f>
        <v/>
      </c>
      <c r="T1007" s="7">
        <f>'1 datos preparados'!S1000</f>
        <v/>
      </c>
      <c r="U1007" s="7">
        <f>'1 datos preparados'!T1000</f>
        <v/>
      </c>
      <c r="V1007" s="8">
        <f>$AC$12+D1007*$AC$13+E1007*$AC$14+F1007*$AC$15+G1007*$AC$16+H1007*$AC$17+I1007*$AC$18+J1007*$AC$19+K1007*$AC$20+L1007*$AC$21+M1007*$AC$22+N1007*$AC$23+O1007*$AC$24+P1007*$AC$25+Q1007*$AC$26+R1007*$AC$27+S1007*$AC$28+T1007*$AC$29+U1007*$AC$30</f>
        <v/>
      </c>
      <c r="W1007" s="8">
        <f>1/(1+EXP(-V1007))</f>
        <v/>
      </c>
      <c r="X1007" s="9">
        <f>-IF(C1007=1,LN(W1007),LN(1-W1007))</f>
        <v/>
      </c>
      <c r="Y1007" s="10">
        <f>IF(W1007&gt;$AC$34,1,0)</f>
        <v/>
      </c>
      <c r="Z1007">
        <f>IF(Y1007=C1007,1,0)</f>
        <v/>
      </c>
    </row>
    <row r="1008">
      <c r="A1008">
        <f>'1 datos preparados'!A1001</f>
        <v/>
      </c>
      <c r="B1008" s="5">
        <f>'1 datos preparados'!U1001</f>
        <v/>
      </c>
      <c r="C1008">
        <f>'1 datos preparados'!B1001</f>
        <v/>
      </c>
      <c r="D1008" s="7">
        <f>'1 datos preparados'!C1001</f>
        <v/>
      </c>
      <c r="E1008" s="7">
        <f>'1 datos preparados'!D1001</f>
        <v/>
      </c>
      <c r="F1008" s="7">
        <f>'1 datos preparados'!E1001</f>
        <v/>
      </c>
      <c r="G1008" s="7">
        <f>'1 datos preparados'!F1001</f>
        <v/>
      </c>
      <c r="H1008" s="7">
        <f>'1 datos preparados'!G1001</f>
        <v/>
      </c>
      <c r="I1008" s="7">
        <f>'1 datos preparados'!H1001</f>
        <v/>
      </c>
      <c r="J1008" s="7">
        <f>'1 datos preparados'!I1001</f>
        <v/>
      </c>
      <c r="K1008" s="7">
        <f>'1 datos preparados'!J1001</f>
        <v/>
      </c>
      <c r="L1008" s="7">
        <f>'1 datos preparados'!K1001</f>
        <v/>
      </c>
      <c r="M1008" s="7">
        <f>'1 datos preparados'!L1001</f>
        <v/>
      </c>
      <c r="N1008" s="7">
        <f>'1 datos preparados'!M1001</f>
        <v/>
      </c>
      <c r="O1008" s="7">
        <f>'1 datos preparados'!N1001</f>
        <v/>
      </c>
      <c r="P1008" s="7">
        <f>'1 datos preparados'!O1001</f>
        <v/>
      </c>
      <c r="Q1008" s="7">
        <f>'1 datos preparados'!P1001</f>
        <v/>
      </c>
      <c r="R1008" s="7">
        <f>'1 datos preparados'!Q1001</f>
        <v/>
      </c>
      <c r="S1008" s="7">
        <f>'1 datos preparados'!R1001</f>
        <v/>
      </c>
      <c r="T1008" s="7">
        <f>'1 datos preparados'!S1001</f>
        <v/>
      </c>
      <c r="U1008" s="7">
        <f>'1 datos preparados'!T1001</f>
        <v/>
      </c>
      <c r="V1008" s="8">
        <f>$AC$12+D1008*$AC$13+E1008*$AC$14+F1008*$AC$15+G1008*$AC$16+H1008*$AC$17+I1008*$AC$18+J1008*$AC$19+K1008*$AC$20+L1008*$AC$21+M1008*$AC$22+N1008*$AC$23+O1008*$AC$24+P1008*$AC$25+Q1008*$AC$26+R1008*$AC$27+S1008*$AC$28+T1008*$AC$29+U1008*$AC$30</f>
        <v/>
      </c>
      <c r="W1008" s="8">
        <f>1/(1+EXP(-V1008))</f>
        <v/>
      </c>
      <c r="X1008" s="9">
        <f>-IF(C1008=1,LN(W1008),LN(1-W1008))</f>
        <v/>
      </c>
      <c r="Y1008" s="10">
        <f>IF(W1008&gt;$AC$34,1,0)</f>
        <v/>
      </c>
      <c r="Z1008">
        <f>IF(Y1008=C1008,1,0)</f>
        <v/>
      </c>
    </row>
    <row r="1009">
      <c r="A1009">
        <f>'1 datos preparados'!A1002</f>
        <v/>
      </c>
      <c r="B1009" s="5">
        <f>'1 datos preparados'!U1002</f>
        <v/>
      </c>
      <c r="C1009">
        <f>'1 datos preparados'!B1002</f>
        <v/>
      </c>
      <c r="D1009" s="7">
        <f>'1 datos preparados'!C1002</f>
        <v/>
      </c>
      <c r="E1009" s="7">
        <f>'1 datos preparados'!D1002</f>
        <v/>
      </c>
      <c r="F1009" s="7">
        <f>'1 datos preparados'!E1002</f>
        <v/>
      </c>
      <c r="G1009" s="7">
        <f>'1 datos preparados'!F1002</f>
        <v/>
      </c>
      <c r="H1009" s="7">
        <f>'1 datos preparados'!G1002</f>
        <v/>
      </c>
      <c r="I1009" s="7">
        <f>'1 datos preparados'!H1002</f>
        <v/>
      </c>
      <c r="J1009" s="7">
        <f>'1 datos preparados'!I1002</f>
        <v/>
      </c>
      <c r="K1009" s="7">
        <f>'1 datos preparados'!J1002</f>
        <v/>
      </c>
      <c r="L1009" s="7">
        <f>'1 datos preparados'!K1002</f>
        <v/>
      </c>
      <c r="M1009" s="7">
        <f>'1 datos preparados'!L1002</f>
        <v/>
      </c>
      <c r="N1009" s="7">
        <f>'1 datos preparados'!M1002</f>
        <v/>
      </c>
      <c r="O1009" s="7">
        <f>'1 datos preparados'!N1002</f>
        <v/>
      </c>
      <c r="P1009" s="7">
        <f>'1 datos preparados'!O1002</f>
        <v/>
      </c>
      <c r="Q1009" s="7">
        <f>'1 datos preparados'!P1002</f>
        <v/>
      </c>
      <c r="R1009" s="7">
        <f>'1 datos preparados'!Q1002</f>
        <v/>
      </c>
      <c r="S1009" s="7">
        <f>'1 datos preparados'!R1002</f>
        <v/>
      </c>
      <c r="T1009" s="7">
        <f>'1 datos preparados'!S1002</f>
        <v/>
      </c>
      <c r="U1009" s="7">
        <f>'1 datos preparados'!T1002</f>
        <v/>
      </c>
      <c r="V1009" s="8">
        <f>$AC$12+D1009*$AC$13+E1009*$AC$14+F1009*$AC$15+G1009*$AC$16+H1009*$AC$17+I1009*$AC$18+J1009*$AC$19+K1009*$AC$20+L1009*$AC$21+M1009*$AC$22+N1009*$AC$23+O1009*$AC$24+P1009*$AC$25+Q1009*$AC$26+R1009*$AC$27+S1009*$AC$28+T1009*$AC$29+U1009*$AC$30</f>
        <v/>
      </c>
      <c r="W1009" s="8">
        <f>1/(1+EXP(-V1009))</f>
        <v/>
      </c>
      <c r="X1009" s="9">
        <f>-IF(C1009=1,LN(W1009),LN(1-W1009))</f>
        <v/>
      </c>
      <c r="Y1009" s="10">
        <f>IF(W1009&gt;$AC$34,1,0)</f>
        <v/>
      </c>
      <c r="Z1009">
        <f>IF(Y1009=C1009,1,0)</f>
        <v/>
      </c>
    </row>
    <row r="1010">
      <c r="A1010">
        <f>'1 datos preparados'!A1003</f>
        <v/>
      </c>
      <c r="B1010" s="5">
        <f>'1 datos preparados'!U1003</f>
        <v/>
      </c>
      <c r="C1010">
        <f>'1 datos preparados'!B1003</f>
        <v/>
      </c>
      <c r="D1010" s="7">
        <f>'1 datos preparados'!C1003</f>
        <v/>
      </c>
      <c r="E1010" s="7">
        <f>'1 datos preparados'!D1003</f>
        <v/>
      </c>
      <c r="F1010" s="7">
        <f>'1 datos preparados'!E1003</f>
        <v/>
      </c>
      <c r="G1010" s="7">
        <f>'1 datos preparados'!F1003</f>
        <v/>
      </c>
      <c r="H1010" s="7">
        <f>'1 datos preparados'!G1003</f>
        <v/>
      </c>
      <c r="I1010" s="7">
        <f>'1 datos preparados'!H1003</f>
        <v/>
      </c>
      <c r="J1010" s="7">
        <f>'1 datos preparados'!I1003</f>
        <v/>
      </c>
      <c r="K1010" s="7">
        <f>'1 datos preparados'!J1003</f>
        <v/>
      </c>
      <c r="L1010" s="7">
        <f>'1 datos preparados'!K1003</f>
        <v/>
      </c>
      <c r="M1010" s="7">
        <f>'1 datos preparados'!L1003</f>
        <v/>
      </c>
      <c r="N1010" s="7">
        <f>'1 datos preparados'!M1003</f>
        <v/>
      </c>
      <c r="O1010" s="7">
        <f>'1 datos preparados'!N1003</f>
        <v/>
      </c>
      <c r="P1010" s="7">
        <f>'1 datos preparados'!O1003</f>
        <v/>
      </c>
      <c r="Q1010" s="7">
        <f>'1 datos preparados'!P1003</f>
        <v/>
      </c>
      <c r="R1010" s="7">
        <f>'1 datos preparados'!Q1003</f>
        <v/>
      </c>
      <c r="S1010" s="7">
        <f>'1 datos preparados'!R1003</f>
        <v/>
      </c>
      <c r="T1010" s="7">
        <f>'1 datos preparados'!S1003</f>
        <v/>
      </c>
      <c r="U1010" s="7">
        <f>'1 datos preparados'!T1003</f>
        <v/>
      </c>
      <c r="V1010" s="8">
        <f>$AC$12+D1010*$AC$13+E1010*$AC$14+F1010*$AC$15+G1010*$AC$16+H1010*$AC$17+I1010*$AC$18+J1010*$AC$19+K1010*$AC$20+L1010*$AC$21+M1010*$AC$22+N1010*$AC$23+O1010*$AC$24+P1010*$AC$25+Q1010*$AC$26+R1010*$AC$27+S1010*$AC$28+T1010*$AC$29+U1010*$AC$30</f>
        <v/>
      </c>
      <c r="W1010" s="8">
        <f>1/(1+EXP(-V1010))</f>
        <v/>
      </c>
      <c r="X1010" s="9">
        <f>-IF(C1010=1,LN(W1010),LN(1-W1010))</f>
        <v/>
      </c>
      <c r="Y1010" s="10">
        <f>IF(W1010&gt;$AC$34,1,0)</f>
        <v/>
      </c>
      <c r="Z1010">
        <f>IF(Y1010=C1010,1,0)</f>
        <v/>
      </c>
    </row>
    <row r="1011">
      <c r="A1011">
        <f>'1 datos preparados'!A1004</f>
        <v/>
      </c>
      <c r="B1011" s="5">
        <f>'1 datos preparados'!U1004</f>
        <v/>
      </c>
      <c r="C1011">
        <f>'1 datos preparados'!B1004</f>
        <v/>
      </c>
      <c r="D1011" s="7">
        <f>'1 datos preparados'!C1004</f>
        <v/>
      </c>
      <c r="E1011" s="7">
        <f>'1 datos preparados'!D1004</f>
        <v/>
      </c>
      <c r="F1011" s="7">
        <f>'1 datos preparados'!E1004</f>
        <v/>
      </c>
      <c r="G1011" s="7">
        <f>'1 datos preparados'!F1004</f>
        <v/>
      </c>
      <c r="H1011" s="7">
        <f>'1 datos preparados'!G1004</f>
        <v/>
      </c>
      <c r="I1011" s="7">
        <f>'1 datos preparados'!H1004</f>
        <v/>
      </c>
      <c r="J1011" s="7">
        <f>'1 datos preparados'!I1004</f>
        <v/>
      </c>
      <c r="K1011" s="7">
        <f>'1 datos preparados'!J1004</f>
        <v/>
      </c>
      <c r="L1011" s="7">
        <f>'1 datos preparados'!K1004</f>
        <v/>
      </c>
      <c r="M1011" s="7">
        <f>'1 datos preparados'!L1004</f>
        <v/>
      </c>
      <c r="N1011" s="7">
        <f>'1 datos preparados'!M1004</f>
        <v/>
      </c>
      <c r="O1011" s="7">
        <f>'1 datos preparados'!N1004</f>
        <v/>
      </c>
      <c r="P1011" s="7">
        <f>'1 datos preparados'!O1004</f>
        <v/>
      </c>
      <c r="Q1011" s="7">
        <f>'1 datos preparados'!P1004</f>
        <v/>
      </c>
      <c r="R1011" s="7">
        <f>'1 datos preparados'!Q1004</f>
        <v/>
      </c>
      <c r="S1011" s="7">
        <f>'1 datos preparados'!R1004</f>
        <v/>
      </c>
      <c r="T1011" s="7">
        <f>'1 datos preparados'!S1004</f>
        <v/>
      </c>
      <c r="U1011" s="7">
        <f>'1 datos preparados'!T1004</f>
        <v/>
      </c>
      <c r="V1011" s="8">
        <f>$AC$12+D1011*$AC$13+E1011*$AC$14+F1011*$AC$15+G1011*$AC$16+H1011*$AC$17+I1011*$AC$18+J1011*$AC$19+K1011*$AC$20+L1011*$AC$21+M1011*$AC$22+N1011*$AC$23+O1011*$AC$24+P1011*$AC$25+Q1011*$AC$26+R1011*$AC$27+S1011*$AC$28+T1011*$AC$29+U1011*$AC$30</f>
        <v/>
      </c>
      <c r="W1011" s="8">
        <f>1/(1+EXP(-V1011))</f>
        <v/>
      </c>
      <c r="X1011" s="9">
        <f>-IF(C1011=1,LN(W1011),LN(1-W1011))</f>
        <v/>
      </c>
      <c r="Y1011" s="10">
        <f>IF(W1011&gt;$AC$34,1,0)</f>
        <v/>
      </c>
      <c r="Z1011">
        <f>IF(Y1011=C1011,1,0)</f>
        <v/>
      </c>
    </row>
  </sheetData>
  <mergeCells count="4">
    <mergeCell ref="A3:R3"/>
    <mergeCell ref="A2:R2"/>
    <mergeCell ref="AB49:AE49"/>
    <mergeCell ref="AB50:AE50"/>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P92"/>
  <sheetViews>
    <sheetView workbookViewId="0">
      <selection activeCell="A1" sqref="A1"/>
    </sheetView>
  </sheetViews>
  <sheetFormatPr baseColWidth="8" defaultRowHeight="15"/>
  <cols>
    <col width="30" customWidth="1" min="1" max="1"/>
    <col width="21" customWidth="1" min="2" max="2"/>
    <col width="22" customWidth="1" min="3" max="3"/>
    <col width="22" customWidth="1" min="4" max="4"/>
    <col width="22" customWidth="1" min="5" max="5"/>
    <col width="22" customWidth="1" min="6" max="6"/>
    <col width="23" customWidth="1" min="7" max="7"/>
    <col width="22" customWidth="1" min="8" max="8"/>
  </cols>
  <sheetData>
    <row r="1">
      <c r="A1" s="3" t="inlineStr">
        <is>
          <t>Los tres métodos para varios λ (calculado en Python con scikit-learn): trayectoria de los pesos, pérdida y AUC</t>
        </is>
      </c>
    </row>
    <row r="2" ht="65" customHeight="1">
      <c r="A2" s="2" t="inlineStr">
        <is>
          <t>Cada bloque muestra, para λ en 0, 1, 3, 10, 30, 100 y 300, los 18 pesos y el desempeño en training y testing. Con λ = 0 los tres métodos son el mismo modelo (el Excel base). A medida que λ crece, ridge encoge todos los pesos sin anularlos, lasso los va apagando uno a uno (la fila 'pesos en cero' lo cuenta) y elastic net queda entre medio. Los gráficos de la derecha dibujan la trayectoria de cada peso: es el gráfico clásico de regularización, y se lee de izquierda a derecha como 'qué variable sobrevive más tiempo'.</t>
        </is>
      </c>
    </row>
    <row r="3" ht="80.5" customHeight="1">
      <c r="A3" s="2" t="inlineStr">
        <is>
          <t>Lectura honesta de las filas de desempeño: la pérdida en training sube con λ (obligatorio, el modelo tiene menos libertad) y la pérdida en testing también sube, en vez de bajar. El AUC de testing se mantiene hasta λ = 10 y después cae. Es decir, en esta base regularizar no mejora la predicción: el modelo sin regularizar no sobreajustaba. Lo que la regularización sí entrega aquí es un modelo más chico (lasso con λ = 10 usa 11 variables en vez de 18 y pierde una centésima de AUC) y pesos más estables ante cambios de muestra, que es el tema del notebook. Cuando hay muchas más variables que filas, o polinomios de grado alto, la historia cambia y regularizar sí mejora testing.</t>
        </is>
      </c>
    </row>
    <row r="4"/>
    <row r="5">
      <c r="A5" s="3" t="inlineStr">
        <is>
          <t>Ridge (L2)</t>
        </is>
      </c>
    </row>
    <row r="6">
      <c r="A6" s="4" t="inlineStr">
        <is>
          <t>λ</t>
        </is>
      </c>
      <c r="B6" s="4" t="inlineStr">
        <is>
          <t>0</t>
        </is>
      </c>
      <c r="C6" s="4" t="inlineStr">
        <is>
          <t>1</t>
        </is>
      </c>
      <c r="D6" s="4" t="inlineStr">
        <is>
          <t>3</t>
        </is>
      </c>
      <c r="E6" s="4" t="inlineStr">
        <is>
          <t>10</t>
        </is>
      </c>
      <c r="F6" s="4" t="inlineStr">
        <is>
          <t>30</t>
        </is>
      </c>
      <c r="G6" s="4" t="inlineStr">
        <is>
          <t>100</t>
        </is>
      </c>
      <c r="H6" s="4" t="inlineStr">
        <is>
          <t>300</t>
        </is>
      </c>
    </row>
    <row r="7">
      <c r="A7" t="inlineStr">
        <is>
          <t>intercepto</t>
        </is>
      </c>
      <c r="B7" s="6" t="n">
        <v>-1.341270962110326</v>
      </c>
      <c r="C7" s="6" t="n">
        <v>-1.303734891841762</v>
      </c>
      <c r="D7" s="6" t="n">
        <v>-1.245074248074997</v>
      </c>
      <c r="E7" s="6" t="n">
        <v>-1.128786203267687</v>
      </c>
      <c r="F7" s="6" t="n">
        <v>-1.00195373908639</v>
      </c>
      <c r="G7" s="6" t="n">
        <v>-0.9056482523014505</v>
      </c>
      <c r="H7" s="6" t="n">
        <v>-0.8669654400247266</v>
      </c>
    </row>
    <row r="8">
      <c r="A8" t="inlineStr">
        <is>
          <t>duracion</t>
        </is>
      </c>
      <c r="B8" s="6" t="n">
        <v>0.3247012549391071</v>
      </c>
      <c r="C8" s="6" t="n">
        <v>0.3194671979731972</v>
      </c>
      <c r="D8" s="6" t="n">
        <v>0.3096620918459144</v>
      </c>
      <c r="E8" s="6" t="n">
        <v>0.2893487245227952</v>
      </c>
      <c r="F8" s="6" t="n">
        <v>0.2537127335377371</v>
      </c>
      <c r="G8" s="6" t="n">
        <v>0.1896055924150865</v>
      </c>
      <c r="H8" s="6" t="n">
        <v>0.1144575830421777</v>
      </c>
    </row>
    <row r="9">
      <c r="A9" t="inlineStr">
        <is>
          <t>monto</t>
        </is>
      </c>
      <c r="B9" s="6" t="n">
        <v>0.1163535941884676</v>
      </c>
      <c r="C9" s="6" t="n">
        <v>0.1110044168190897</v>
      </c>
      <c r="D9" s="6" t="n">
        <v>0.1064826793244078</v>
      </c>
      <c r="E9" s="6" t="n">
        <v>0.1017915684909901</v>
      </c>
      <c r="F9" s="6" t="n">
        <v>0.1020091754262132</v>
      </c>
      <c r="G9" s="6" t="n">
        <v>0.09413424794602392</v>
      </c>
      <c r="H9" s="6" t="n">
        <v>0.06637981015780586</v>
      </c>
    </row>
    <row r="10">
      <c r="A10" t="inlineStr">
        <is>
          <t>edad</t>
        </is>
      </c>
      <c r="B10" s="6" t="n">
        <v>-0.09914522482627074</v>
      </c>
      <c r="C10" s="6" t="n">
        <v>-0.1032087753654959</v>
      </c>
      <c r="D10" s="6" t="n">
        <v>-0.1080089491730186</v>
      </c>
      <c r="E10" s="6" t="n">
        <v>-0.1153217704738348</v>
      </c>
      <c r="F10" s="6" t="n">
        <v>-0.1155113930674288</v>
      </c>
      <c r="G10" s="6" t="n">
        <v>-0.09108769228380961</v>
      </c>
      <c r="H10" s="6" t="n">
        <v>-0.05232066853778245</v>
      </c>
    </row>
    <row r="11">
      <c r="A11" t="inlineStr">
        <is>
          <t>cuota_pct_ingreso</t>
        </is>
      </c>
      <c r="B11" s="6" t="n">
        <v>0.2872157655933926</v>
      </c>
      <c r="C11" s="6" t="n">
        <v>0.2743589204145696</v>
      </c>
      <c r="D11" s="6" t="n">
        <v>0.2570344565745194</v>
      </c>
      <c r="E11" s="6" t="n">
        <v>0.2222288724906683</v>
      </c>
      <c r="F11" s="6" t="n">
        <v>0.1744528335591087</v>
      </c>
      <c r="G11" s="6" t="n">
        <v>0.1077591941799268</v>
      </c>
      <c r="H11" s="6" t="n">
        <v>0.05251596995309001</v>
      </c>
    </row>
    <row r="12">
      <c r="A12" t="inlineStr">
        <is>
          <t>cta_negativa</t>
        </is>
      </c>
      <c r="B12" s="6" t="n">
        <v>1.546402670396991</v>
      </c>
      <c r="C12" s="6" t="n">
        <v>1.419070466573654</v>
      </c>
      <c r="D12" s="6" t="n">
        <v>1.243568522881878</v>
      </c>
      <c r="E12" s="6" t="n">
        <v>0.9201763494787585</v>
      </c>
      <c r="F12" s="6" t="n">
        <v>0.5652123702555539</v>
      </c>
      <c r="G12" s="6" t="n">
        <v>0.2527725985281367</v>
      </c>
      <c r="H12" s="6" t="n">
        <v>0.099626263332214</v>
      </c>
    </row>
    <row r="13">
      <c r="A13" t="inlineStr">
        <is>
          <t>cta_0_200</t>
        </is>
      </c>
      <c r="B13" s="6" t="n">
        <v>1.294997779791349</v>
      </c>
      <c r="C13" s="6" t="n">
        <v>1.17032900329766</v>
      </c>
      <c r="D13" s="6" t="n">
        <v>1.000049756813944</v>
      </c>
      <c r="E13" s="6" t="n">
        <v>0.6915874744714144</v>
      </c>
      <c r="F13" s="6" t="n">
        <v>0.3819000987722799</v>
      </c>
      <c r="G13" s="6" t="n">
        <v>0.1526732769255655</v>
      </c>
      <c r="H13" s="6" t="n">
        <v>0.05771713853329854</v>
      </c>
    </row>
    <row r="14">
      <c r="A14" t="inlineStr">
        <is>
          <t>cta_sobre_200</t>
        </is>
      </c>
      <c r="B14" s="6" t="n">
        <v>0.6683615861023957</v>
      </c>
      <c r="C14" s="6" t="n">
        <v>0.4918963637671158</v>
      </c>
      <c r="D14" s="6" t="n">
        <v>0.3011840318782983</v>
      </c>
      <c r="E14" s="6" t="n">
        <v>0.08267450875076099</v>
      </c>
      <c r="F14" s="6" t="n">
        <v>-0.007273020701093145</v>
      </c>
      <c r="G14" s="6" t="n">
        <v>-0.01784191184302414</v>
      </c>
      <c r="H14" s="6" t="n">
        <v>-0.009738049074081634</v>
      </c>
    </row>
    <row r="15">
      <c r="A15" t="inlineStr">
        <is>
          <t>hist_critico</t>
        </is>
      </c>
      <c r="B15" s="6" t="n">
        <v>-0.6573449373610837</v>
      </c>
      <c r="C15" s="6" t="n">
        <v>-0.6370426777483092</v>
      </c>
      <c r="D15" s="6" t="n">
        <v>-0.6014521524297518</v>
      </c>
      <c r="E15" s="6" t="n">
        <v>-0.5028570598412625</v>
      </c>
      <c r="F15" s="6" t="n">
        <v>-0.3483602238898476</v>
      </c>
      <c r="G15" s="6" t="n">
        <v>-0.1733328289382169</v>
      </c>
      <c r="H15" s="6" t="n">
        <v>-0.07288284272095495</v>
      </c>
    </row>
    <row r="16">
      <c r="A16" t="inlineStr">
        <is>
          <t>hist_atrasos</t>
        </is>
      </c>
      <c r="B16" s="6" t="n">
        <v>-0.04019551911120235</v>
      </c>
      <c r="C16" s="6" t="n">
        <v>-0.04356666880694356</v>
      </c>
      <c r="D16" s="6" t="n">
        <v>-0.04150961110562047</v>
      </c>
      <c r="E16" s="6" t="n">
        <v>-0.0329890765506305</v>
      </c>
      <c r="F16" s="6" t="n">
        <v>-0.01719708691739743</v>
      </c>
      <c r="G16" s="6" t="n">
        <v>-0.00383293510800357</v>
      </c>
      <c r="H16" s="6" t="n">
        <v>0.0005444223528629755</v>
      </c>
    </row>
    <row r="17">
      <c r="A17" t="inlineStr">
        <is>
          <t>hist_sin_creditos</t>
        </is>
      </c>
      <c r="B17" s="6" t="n">
        <v>0.6690656278784681</v>
      </c>
      <c r="C17" s="6" t="n">
        <v>0.6388423479254338</v>
      </c>
      <c r="D17" s="6" t="n">
        <v>0.5857693995873079</v>
      </c>
      <c r="E17" s="6" t="n">
        <v>0.4566596296282059</v>
      </c>
      <c r="F17" s="6" t="n">
        <v>0.2878213331661638</v>
      </c>
      <c r="G17" s="6" t="n">
        <v>0.1299275313294914</v>
      </c>
      <c r="H17" s="6" t="n">
        <v>0.05189050605889055</v>
      </c>
    </row>
    <row r="18">
      <c r="A18" t="inlineStr">
        <is>
          <t>ahorro_100_1000</t>
        </is>
      </c>
      <c r="B18" s="6" t="n">
        <v>-0.3895834298458181</v>
      </c>
      <c r="C18" s="6" t="n">
        <v>-0.3502806868499037</v>
      </c>
      <c r="D18" s="6" t="n">
        <v>-0.293677446966908</v>
      </c>
      <c r="E18" s="6" t="n">
        <v>-0.1926231413667001</v>
      </c>
      <c r="F18" s="6" t="n">
        <v>-0.1003032470279569</v>
      </c>
      <c r="G18" s="6" t="n">
        <v>-0.03877697603846575</v>
      </c>
      <c r="H18" s="6" t="n">
        <v>-0.01425344844338483</v>
      </c>
    </row>
    <row r="19">
      <c r="A19" t="inlineStr">
        <is>
          <t>ahorro_sobre_1000</t>
        </is>
      </c>
      <c r="B19" s="6" t="n">
        <v>-0.8892238593761824</v>
      </c>
      <c r="C19" s="6" t="n">
        <v>-0.6942458455456874</v>
      </c>
      <c r="D19" s="6" t="n">
        <v>-0.4941291675521483</v>
      </c>
      <c r="E19" s="6" t="n">
        <v>-0.2544751864521931</v>
      </c>
      <c r="F19" s="6" t="n">
        <v>-0.1121396061696414</v>
      </c>
      <c r="G19" s="6" t="n">
        <v>-0.04037444529710948</v>
      </c>
      <c r="H19" s="6" t="n">
        <v>-0.01473828817428502</v>
      </c>
    </row>
    <row r="20">
      <c r="A20" t="inlineStr">
        <is>
          <t>ahorro_desconocido</t>
        </is>
      </c>
      <c r="B20" s="6" t="n">
        <v>-1.076092926242446</v>
      </c>
      <c r="C20" s="6" t="n">
        <v>-0.9779279036364834</v>
      </c>
      <c r="D20" s="6" t="n">
        <v>-0.8382648519004262</v>
      </c>
      <c r="E20" s="6" t="n">
        <v>-0.5828104541232723</v>
      </c>
      <c r="F20" s="6" t="n">
        <v>-0.3303790929719312</v>
      </c>
      <c r="G20" s="6" t="n">
        <v>-0.1366214094610818</v>
      </c>
      <c r="H20" s="6" t="n">
        <v>-0.05064973986140536</v>
      </c>
    </row>
    <row r="21">
      <c r="A21" t="inlineStr">
        <is>
          <t>vivienda_arriendo</t>
        </is>
      </c>
      <c r="B21" s="6" t="n">
        <v>0.6538371780658356</v>
      </c>
      <c r="C21" s="6" t="n">
        <v>0.5982086139492164</v>
      </c>
      <c r="D21" s="6" t="n">
        <v>0.5216866869042234</v>
      </c>
      <c r="E21" s="6" t="n">
        <v>0.3838733425437118</v>
      </c>
      <c r="F21" s="6" t="n">
        <v>0.2336407434876988</v>
      </c>
      <c r="G21" s="6" t="n">
        <v>0.1034885419543842</v>
      </c>
      <c r="H21" s="6" t="n">
        <v>0.04055330365863685</v>
      </c>
    </row>
    <row r="22">
      <c r="A22" t="inlineStr">
        <is>
          <t>vivienda_gratis</t>
        </is>
      </c>
      <c r="B22" s="6" t="n">
        <v>0.1953653579159878</v>
      </c>
      <c r="C22" s="6" t="n">
        <v>0.1974837422041863</v>
      </c>
      <c r="D22" s="6" t="n">
        <v>0.1928410267914779</v>
      </c>
      <c r="E22" s="6" t="n">
        <v>0.1582688785829422</v>
      </c>
      <c r="F22" s="6" t="n">
        <v>0.1006438278349621</v>
      </c>
      <c r="G22" s="6" t="n">
        <v>0.04551995243286164</v>
      </c>
      <c r="H22" s="6" t="n">
        <v>0.01870543180947091</v>
      </c>
    </row>
    <row r="23">
      <c r="A23" t="inlineStr">
        <is>
          <t>proposito_auto</t>
        </is>
      </c>
      <c r="B23" s="6" t="n">
        <v>-0.08016547581790479</v>
      </c>
      <c r="C23" s="6" t="n">
        <v>-0.04053905336287468</v>
      </c>
      <c r="D23" s="6" t="n">
        <v>-0.003745035267301402</v>
      </c>
      <c r="E23" s="6" t="n">
        <v>0.03459562593689872</v>
      </c>
      <c r="F23" s="6" t="n">
        <v>0.03854069605097274</v>
      </c>
      <c r="G23" s="6" t="n">
        <v>0.0205968455552222</v>
      </c>
      <c r="H23" s="6" t="n">
        <v>0.008519571716187058</v>
      </c>
    </row>
    <row r="24">
      <c r="A24" t="inlineStr">
        <is>
          <t>proposito_radio_tv</t>
        </is>
      </c>
      <c r="B24" s="6" t="n">
        <v>-0.5202106472417524</v>
      </c>
      <c r="C24" s="6" t="n">
        <v>-0.4639231099610841</v>
      </c>
      <c r="D24" s="6" t="n">
        <v>-0.3987332688251742</v>
      </c>
      <c r="E24" s="6" t="n">
        <v>-0.3058125039821383</v>
      </c>
      <c r="F24" s="6" t="n">
        <v>-0.2085054971318071</v>
      </c>
      <c r="G24" s="6" t="n">
        <v>-0.1049530528766714</v>
      </c>
      <c r="H24" s="6" t="n">
        <v>-0.04400905043486691</v>
      </c>
    </row>
    <row r="25">
      <c r="A25" t="inlineStr">
        <is>
          <t>proposito_muebles</t>
        </is>
      </c>
      <c r="B25" s="6" t="n">
        <v>-0.2818027438096851</v>
      </c>
      <c r="C25" s="6" t="n">
        <v>-0.2101782723107291</v>
      </c>
      <c r="D25" s="6" t="n">
        <v>-0.1314135820677145</v>
      </c>
      <c r="E25" s="6" t="n">
        <v>-0.02543647574694628</v>
      </c>
      <c r="F25" s="6" t="n">
        <v>0.02778143270893417</v>
      </c>
      <c r="G25" s="6" t="n">
        <v>0.02737728275708037</v>
      </c>
      <c r="H25" s="6" t="n">
        <v>0.01339581992384568</v>
      </c>
    </row>
    <row r="26">
      <c r="A26" s="3" t="inlineStr">
        <is>
          <t>pérdida promedio training</t>
        </is>
      </c>
      <c r="B26" s="12" t="n">
        <v>0.5003701943367364</v>
      </c>
      <c r="C26" s="12" t="n">
        <v>0.500910808986002</v>
      </c>
      <c r="D26" s="12" t="n">
        <v>0.5033427977131052</v>
      </c>
      <c r="E26" s="12" t="n">
        <v>0.5131786265735393</v>
      </c>
      <c r="F26" s="12" t="n">
        <v>0.533334268831106</v>
      </c>
      <c r="G26" s="12" t="n">
        <v>0.562327139876454</v>
      </c>
      <c r="H26" s="12" t="n">
        <v>0.584568086641342</v>
      </c>
    </row>
    <row r="27">
      <c r="A27" s="3" t="inlineStr">
        <is>
          <t>pérdida promedio testing</t>
        </is>
      </c>
      <c r="B27" s="12" t="n">
        <v>0.4690599152735907</v>
      </c>
      <c r="C27" s="12" t="n">
        <v>0.4700756983013806</v>
      </c>
      <c r="D27" s="12" t="n">
        <v>0.4732210473730203</v>
      </c>
      <c r="E27" s="12" t="n">
        <v>0.4847933105992291</v>
      </c>
      <c r="F27" s="12" t="n">
        <v>0.5081332519820453</v>
      </c>
      <c r="G27" s="12" t="n">
        <v>0.5432392165154821</v>
      </c>
      <c r="H27" s="12" t="n">
        <v>0.5729085988058077</v>
      </c>
    </row>
    <row r="28">
      <c r="A28" s="3" t="inlineStr">
        <is>
          <t>AUC training</t>
        </is>
      </c>
      <c r="B28" s="6" t="n">
        <v>0.7767541302235179</v>
      </c>
      <c r="C28" s="6" t="n">
        <v>0.7768804664723031</v>
      </c>
      <c r="D28" s="6" t="n">
        <v>0.7755490767735665</v>
      </c>
      <c r="E28" s="6" t="n">
        <v>0.7711661807580175</v>
      </c>
      <c r="F28" s="6" t="n">
        <v>0.7598347910592808</v>
      </c>
      <c r="G28" s="6" t="n">
        <v>0.7334596695821185</v>
      </c>
      <c r="H28" s="6" t="n">
        <v>0.7087074829931972</v>
      </c>
    </row>
    <row r="29">
      <c r="A29" s="3" t="inlineStr">
        <is>
          <t>AUC testing</t>
        </is>
      </c>
      <c r="B29" s="6" t="n">
        <v>0.8216931216931216</v>
      </c>
      <c r="C29" s="6" t="n">
        <v>0.8220105820105821</v>
      </c>
      <c r="D29" s="6" t="n">
        <v>0.8227513227513228</v>
      </c>
      <c r="E29" s="6" t="n">
        <v>0.8230687830687831</v>
      </c>
      <c r="F29" s="6" t="n">
        <v>0.8154497354497355</v>
      </c>
      <c r="G29" s="6" t="n">
        <v>0.793968253968254</v>
      </c>
      <c r="H29" s="6" t="n">
        <v>0.7687301587301587</v>
      </c>
    </row>
    <row r="30">
      <c r="A30" s="3" t="inlineStr">
        <is>
          <t>acierto testing (umbral 0,5)</t>
        </is>
      </c>
      <c r="B30" s="24" t="n">
        <v>0.78</v>
      </c>
      <c r="C30" s="24" t="n">
        <v>0.7766666666666666</v>
      </c>
      <c r="D30" s="24" t="n">
        <v>0.77</v>
      </c>
      <c r="E30" s="24" t="n">
        <v>0.7633333333333333</v>
      </c>
      <c r="F30" s="24" t="n">
        <v>0.7533333333333333</v>
      </c>
      <c r="G30" s="24" t="n">
        <v>0.72</v>
      </c>
      <c r="H30" s="24" t="n">
        <v>0.7</v>
      </c>
    </row>
    <row r="31">
      <c r="A31" s="3" t="inlineStr">
        <is>
          <t>pesos en cero (de 18)</t>
        </is>
      </c>
      <c r="B31" s="23" t="n">
        <v>0</v>
      </c>
      <c r="C31" s="23" t="n">
        <v>0</v>
      </c>
      <c r="D31" s="23" t="n">
        <v>0</v>
      </c>
      <c r="E31" s="23" t="n">
        <v>0</v>
      </c>
      <c r="F31" s="23" t="n">
        <v>0</v>
      </c>
      <c r="G31" s="23" t="n">
        <v>0</v>
      </c>
      <c r="H31" s="23" t="n">
        <v>0</v>
      </c>
    </row>
    <row r="32">
      <c r="A32" s="3" t="inlineStr">
        <is>
          <t>Σ |theta|</t>
        </is>
      </c>
      <c r="B32" s="22" t="n">
        <v>9.79006557850434</v>
      </c>
      <c r="C32" s="22" t="n">
        <v>8.741574066511633</v>
      </c>
      <c r="D32" s="22" t="n">
        <v>7.429212717890035</v>
      </c>
      <c r="E32" s="22" t="n">
        <v>5.353530643434123</v>
      </c>
      <c r="F32" s="22" t="n">
        <v>3.405384412676728</v>
      </c>
      <c r="G32" s="22" t="n">
        <v>1.730676315870162</v>
      </c>
      <c r="H32" s="22" t="n">
        <v>0.7828979077852413</v>
      </c>
    </row>
    <row r="33"/>
    <row r="34"/>
    <row r="35">
      <c r="A35" s="3" t="inlineStr">
        <is>
          <t>Lasso (L1)</t>
        </is>
      </c>
    </row>
    <row r="36">
      <c r="A36" s="4" t="inlineStr">
        <is>
          <t>λ</t>
        </is>
      </c>
      <c r="B36" s="4" t="inlineStr">
        <is>
          <t>0</t>
        </is>
      </c>
      <c r="C36" s="4" t="inlineStr">
        <is>
          <t>1</t>
        </is>
      </c>
      <c r="D36" s="4" t="inlineStr">
        <is>
          <t>3</t>
        </is>
      </c>
      <c r="E36" s="4" t="inlineStr">
        <is>
          <t>10</t>
        </is>
      </c>
      <c r="F36" s="4" t="inlineStr">
        <is>
          <t>30</t>
        </is>
      </c>
      <c r="G36" s="4" t="inlineStr">
        <is>
          <t>100</t>
        </is>
      </c>
      <c r="H36" s="4" t="inlineStr">
        <is>
          <t>300</t>
        </is>
      </c>
    </row>
    <row r="37">
      <c r="A37" t="inlineStr">
        <is>
          <t>intercepto</t>
        </is>
      </c>
      <c r="B37" s="6" t="n">
        <v>-1.341270962110326</v>
      </c>
      <c r="C37" s="6" t="n">
        <v>-1.368573957411374</v>
      </c>
      <c r="D37" s="6" t="n">
        <v>-1.318226025338253</v>
      </c>
      <c r="E37" s="6" t="n">
        <v>-1.190471250045836</v>
      </c>
      <c r="F37" s="6" t="n">
        <v>-0.8798692024512749</v>
      </c>
      <c r="G37" s="6" t="n">
        <v>-0.8495215130312557</v>
      </c>
      <c r="H37" s="6" t="n">
        <v>-0.9533522142559866</v>
      </c>
    </row>
    <row r="38">
      <c r="A38" t="inlineStr">
        <is>
          <t>duracion</t>
        </is>
      </c>
      <c r="B38" s="6" t="n">
        <v>0.3247012549391071</v>
      </c>
      <c r="C38" s="6" t="n">
        <v>0.3218730876720168</v>
      </c>
      <c r="D38" s="6" t="n">
        <v>0.3150188037602355</v>
      </c>
      <c r="E38" s="6" t="n">
        <v>0.2914423330131959</v>
      </c>
      <c r="F38" s="6" t="n">
        <v>0.1920437202097545</v>
      </c>
      <c r="G38" s="6" t="n">
        <v>0</v>
      </c>
      <c r="H38" s="6" t="n">
        <v>0</v>
      </c>
    </row>
    <row r="39">
      <c r="A39" t="inlineStr">
        <is>
          <t>monto</t>
        </is>
      </c>
      <c r="B39" s="6" t="n">
        <v>0.1163535941884676</v>
      </c>
      <c r="C39" s="6" t="n">
        <v>0.1001971328668519</v>
      </c>
      <c r="D39" s="6" t="n">
        <v>0.07713694424617815</v>
      </c>
      <c r="E39" s="6" t="n">
        <v>0.01497572060362996</v>
      </c>
      <c r="F39" s="6" t="n">
        <v>0</v>
      </c>
      <c r="G39" s="6" t="n">
        <v>0</v>
      </c>
      <c r="H39" s="6" t="n">
        <v>0</v>
      </c>
    </row>
    <row r="40">
      <c r="A40" t="inlineStr">
        <is>
          <t>edad</t>
        </is>
      </c>
      <c r="B40" s="6" t="n">
        <v>-0.09914522482627074</v>
      </c>
      <c r="C40" s="6" t="n">
        <v>-0.08735739782924463</v>
      </c>
      <c r="D40" s="6" t="n">
        <v>-0.06602507553267867</v>
      </c>
      <c r="E40" s="6" t="n">
        <v>-0.04461704245398555</v>
      </c>
      <c r="F40" s="6" t="n">
        <v>0</v>
      </c>
      <c r="G40" s="6" t="n">
        <v>0</v>
      </c>
      <c r="H40" s="6" t="n">
        <v>0</v>
      </c>
    </row>
    <row r="41">
      <c r="A41" t="inlineStr">
        <is>
          <t>cuota_pct_ingreso</t>
        </is>
      </c>
      <c r="B41" s="6" t="n">
        <v>0.2872157655933926</v>
      </c>
      <c r="C41" s="6" t="n">
        <v>0.2613642503577885</v>
      </c>
      <c r="D41" s="6" t="n">
        <v>0.2136520625193024</v>
      </c>
      <c r="E41" s="6" t="n">
        <v>0.0850700905397988</v>
      </c>
      <c r="F41" s="6" t="n">
        <v>0</v>
      </c>
      <c r="G41" s="6" t="n">
        <v>0</v>
      </c>
      <c r="H41" s="6" t="n">
        <v>0</v>
      </c>
    </row>
    <row r="42">
      <c r="A42" t="inlineStr">
        <is>
          <t>cta_negativa</t>
        </is>
      </c>
      <c r="B42" s="6" t="n">
        <v>1.546402670396991</v>
      </c>
      <c r="C42" s="6" t="n">
        <v>1.442021436074543</v>
      </c>
      <c r="D42" s="6" t="n">
        <v>1.288213576713533</v>
      </c>
      <c r="E42" s="6" t="n">
        <v>0.9745504645027856</v>
      </c>
      <c r="F42" s="6" t="n">
        <v>0.1016616631983072</v>
      </c>
      <c r="G42" s="6" t="n">
        <v>0</v>
      </c>
      <c r="H42" s="6" t="n">
        <v>0</v>
      </c>
    </row>
    <row r="43">
      <c r="A43" t="inlineStr">
        <is>
          <t>cta_0_200</t>
        </is>
      </c>
      <c r="B43" s="6" t="n">
        <v>1.294997779791349</v>
      </c>
      <c r="C43" s="6" t="n">
        <v>1.181518464126341</v>
      </c>
      <c r="D43" s="6" t="n">
        <v>0.992836771572426</v>
      </c>
      <c r="E43" s="6" t="n">
        <v>0.6099540859601537</v>
      </c>
      <c r="F43" s="6" t="n">
        <v>0</v>
      </c>
      <c r="G43" s="6" t="n">
        <v>0</v>
      </c>
      <c r="H43" s="6" t="n">
        <v>0</v>
      </c>
    </row>
    <row r="44">
      <c r="A44" t="inlineStr">
        <is>
          <t>cta_sobre_200</t>
        </is>
      </c>
      <c r="B44" s="6" t="n">
        <v>0.6683615861023957</v>
      </c>
      <c r="C44" s="6" t="n">
        <v>0.4190755926389884</v>
      </c>
      <c r="D44" s="6" t="n">
        <v>0</v>
      </c>
      <c r="E44" s="6" t="n">
        <v>0</v>
      </c>
      <c r="F44" s="6" t="n">
        <v>0</v>
      </c>
      <c r="G44" s="6" t="n">
        <v>0</v>
      </c>
      <c r="H44" s="6" t="n">
        <v>0</v>
      </c>
    </row>
    <row r="45">
      <c r="A45" t="inlineStr">
        <is>
          <t>hist_critico</t>
        </is>
      </c>
      <c r="B45" s="6" t="n">
        <v>-0.6573449373610837</v>
      </c>
      <c r="C45" s="6" t="n">
        <v>-0.6155171698398288</v>
      </c>
      <c r="D45" s="6" t="n">
        <v>-0.5509119442498842</v>
      </c>
      <c r="E45" s="6" t="n">
        <v>-0.3546961429459045</v>
      </c>
      <c r="F45" s="6" t="n">
        <v>0</v>
      </c>
      <c r="G45" s="6" t="n">
        <v>0</v>
      </c>
      <c r="H45" s="6" t="n">
        <v>0</v>
      </c>
    </row>
    <row r="46">
      <c r="A46" t="inlineStr">
        <is>
          <t>hist_atrasos</t>
        </is>
      </c>
      <c r="B46" s="6" t="n">
        <v>-0.04019551911120235</v>
      </c>
      <c r="C46" s="6" t="n">
        <v>0</v>
      </c>
      <c r="D46" s="6" t="n">
        <v>0</v>
      </c>
      <c r="E46" s="6" t="n">
        <v>0</v>
      </c>
      <c r="F46" s="6" t="n">
        <v>0</v>
      </c>
      <c r="G46" s="6" t="n">
        <v>0</v>
      </c>
      <c r="H46" s="6" t="n">
        <v>0</v>
      </c>
    </row>
    <row r="47">
      <c r="A47" t="inlineStr">
        <is>
          <t>hist_sin_creditos</t>
        </is>
      </c>
      <c r="B47" s="6" t="n">
        <v>0.6690656278784681</v>
      </c>
      <c r="C47" s="6" t="n">
        <v>0.6279959809457268</v>
      </c>
      <c r="D47" s="6" t="n">
        <v>0.5232108843060431</v>
      </c>
      <c r="E47" s="6" t="n">
        <v>0.1557054062983781</v>
      </c>
      <c r="F47" s="6" t="n">
        <v>0</v>
      </c>
      <c r="G47" s="6" t="n">
        <v>0</v>
      </c>
      <c r="H47" s="6" t="n">
        <v>0</v>
      </c>
    </row>
    <row r="48">
      <c r="A48" t="inlineStr">
        <is>
          <t>ahorro_100_1000</t>
        </is>
      </c>
      <c r="B48" s="6" t="n">
        <v>-0.3895834298458181</v>
      </c>
      <c r="C48" s="6" t="n">
        <v>-0.2965886036650454</v>
      </c>
      <c r="D48" s="6" t="n">
        <v>-0.1286577019391462</v>
      </c>
      <c r="E48" s="6" t="n">
        <v>0</v>
      </c>
      <c r="F48" s="6" t="n">
        <v>0</v>
      </c>
      <c r="G48" s="6" t="n">
        <v>0</v>
      </c>
      <c r="H48" s="6" t="n">
        <v>0</v>
      </c>
    </row>
    <row r="49">
      <c r="A49" t="inlineStr">
        <is>
          <t>ahorro_sobre_1000</t>
        </is>
      </c>
      <c r="B49" s="6" t="n">
        <v>-0.8892238593761824</v>
      </c>
      <c r="C49" s="6" t="n">
        <v>-0.6026720780390599</v>
      </c>
      <c r="D49" s="6" t="n">
        <v>-0.1345647878008093</v>
      </c>
      <c r="E49" s="6" t="n">
        <v>0</v>
      </c>
      <c r="F49" s="6" t="n">
        <v>0</v>
      </c>
      <c r="G49" s="6" t="n">
        <v>0</v>
      </c>
      <c r="H49" s="6" t="n">
        <v>0</v>
      </c>
    </row>
    <row r="50">
      <c r="A50" t="inlineStr">
        <is>
          <t>ahorro_desconocido</t>
        </is>
      </c>
      <c r="B50" s="6" t="n">
        <v>-1.076092926242446</v>
      </c>
      <c r="C50" s="6" t="n">
        <v>-0.9451600537841088</v>
      </c>
      <c r="D50" s="6" t="n">
        <v>-0.7158279471175342</v>
      </c>
      <c r="E50" s="6" t="n">
        <v>-0.2330874763570114</v>
      </c>
      <c r="F50" s="6" t="n">
        <v>0</v>
      </c>
      <c r="G50" s="6" t="n">
        <v>0</v>
      </c>
      <c r="H50" s="6" t="n">
        <v>0</v>
      </c>
    </row>
    <row r="51">
      <c r="A51" t="inlineStr">
        <is>
          <t>vivienda_arriendo</t>
        </is>
      </c>
      <c r="B51" s="6" t="n">
        <v>0.6538371780658356</v>
      </c>
      <c r="C51" s="6" t="n">
        <v>0.5615883919281569</v>
      </c>
      <c r="D51" s="6" t="n">
        <v>0.4126484587254922</v>
      </c>
      <c r="E51" s="6" t="n">
        <v>0.08412865750864842</v>
      </c>
      <c r="F51" s="6" t="n">
        <v>0</v>
      </c>
      <c r="G51" s="6" t="n">
        <v>0</v>
      </c>
      <c r="H51" s="6" t="n">
        <v>0</v>
      </c>
    </row>
    <row r="52">
      <c r="A52" t="inlineStr">
        <is>
          <t>vivienda_gratis</t>
        </is>
      </c>
      <c r="B52" s="6" t="n">
        <v>0.1953653579159878</v>
      </c>
      <c r="C52" s="6" t="n">
        <v>0.1320089535459072</v>
      </c>
      <c r="D52" s="6" t="n">
        <v>0.004690867710976507</v>
      </c>
      <c r="E52" s="6" t="n">
        <v>0</v>
      </c>
      <c r="F52" s="6" t="n">
        <v>0</v>
      </c>
      <c r="G52" s="6" t="n">
        <v>0</v>
      </c>
      <c r="H52" s="6" t="n">
        <v>0</v>
      </c>
    </row>
    <row r="53">
      <c r="A53" t="inlineStr">
        <is>
          <t>proposito_auto</t>
        </is>
      </c>
      <c r="B53" s="6" t="n">
        <v>-0.08016547581790479</v>
      </c>
      <c r="C53" s="6" t="n">
        <v>0</v>
      </c>
      <c r="D53" s="6" t="n">
        <v>0</v>
      </c>
      <c r="E53" s="6" t="n">
        <v>0</v>
      </c>
      <c r="F53" s="6" t="n">
        <v>0</v>
      </c>
      <c r="G53" s="6" t="n">
        <v>0</v>
      </c>
      <c r="H53" s="6" t="n">
        <v>0</v>
      </c>
    </row>
    <row r="54">
      <c r="A54" t="inlineStr">
        <is>
          <t>proposito_radio_tv</t>
        </is>
      </c>
      <c r="B54" s="6" t="n">
        <v>-0.5202106472417524</v>
      </c>
      <c r="C54" s="6" t="n">
        <v>-0.3935395431096831</v>
      </c>
      <c r="D54" s="6" t="n">
        <v>-0.2821853918666286</v>
      </c>
      <c r="E54" s="6" t="n">
        <v>-0.06493639037549413</v>
      </c>
      <c r="F54" s="6" t="n">
        <v>0</v>
      </c>
      <c r="G54" s="6" t="n">
        <v>0</v>
      </c>
      <c r="H54" s="6" t="n">
        <v>0</v>
      </c>
    </row>
    <row r="55">
      <c r="A55" t="inlineStr">
        <is>
          <t>proposito_muebles</t>
        </is>
      </c>
      <c r="B55" s="6" t="n">
        <v>-0.2818027438096851</v>
      </c>
      <c r="C55" s="6" t="n">
        <v>-0.1184692825438411</v>
      </c>
      <c r="D55" s="6" t="n">
        <v>0</v>
      </c>
      <c r="E55" s="6" t="n">
        <v>0</v>
      </c>
      <c r="F55" s="6" t="n">
        <v>0</v>
      </c>
      <c r="G55" s="6" t="n">
        <v>0</v>
      </c>
      <c r="H55" s="6" t="n">
        <v>0</v>
      </c>
    </row>
    <row r="56">
      <c r="A56" s="3" t="inlineStr">
        <is>
          <t>pérdida promedio training</t>
        </is>
      </c>
      <c r="B56" s="12" t="n">
        <v>0.5003701943367364</v>
      </c>
      <c r="C56" s="12" t="n">
        <v>0.5014642169618881</v>
      </c>
      <c r="D56" s="12" t="n">
        <v>0.5080401409135791</v>
      </c>
      <c r="E56" s="12" t="n">
        <v>0.5322027664572261</v>
      </c>
      <c r="F56" s="12" t="n">
        <v>0.5940051320476551</v>
      </c>
      <c r="G56" s="12" t="n">
        <v>0.6108648210871696</v>
      </c>
      <c r="H56" s="12" t="n">
        <v>0.6120283188531166</v>
      </c>
    </row>
    <row r="57">
      <c r="A57" s="3" t="inlineStr">
        <is>
          <t>pérdida promedio testing</t>
        </is>
      </c>
      <c r="B57" s="12" t="n">
        <v>0.4690599152735907</v>
      </c>
      <c r="C57" s="12" t="n">
        <v>0.4711822164596292</v>
      </c>
      <c r="D57" s="12" t="n">
        <v>0.4805300075289775</v>
      </c>
      <c r="E57" s="12" t="n">
        <v>0.5070761916392487</v>
      </c>
      <c r="F57" s="12" t="n">
        <v>0.5827607498065167</v>
      </c>
      <c r="G57" s="12" t="n">
        <v>0.6108648210871694</v>
      </c>
      <c r="H57" s="12" t="n">
        <v>0.6120283188531166</v>
      </c>
    </row>
    <row r="58">
      <c r="A58" s="3" t="inlineStr">
        <is>
          <t>AUC training</t>
        </is>
      </c>
      <c r="B58" s="6" t="n">
        <v>0.7767541302235179</v>
      </c>
      <c r="C58" s="6" t="n">
        <v>0.7768221574344023</v>
      </c>
      <c r="D58" s="6" t="n">
        <v>0.7732555879494655</v>
      </c>
      <c r="E58" s="6" t="n">
        <v>0.7573566569484936</v>
      </c>
      <c r="F58" s="6" t="n">
        <v>0.6494703595724004</v>
      </c>
      <c r="G58" s="6" t="n">
        <v>0.5</v>
      </c>
      <c r="H58" s="6" t="n">
        <v>0.5</v>
      </c>
    </row>
    <row r="59">
      <c r="A59" s="3" t="inlineStr">
        <is>
          <t>AUC testing</t>
        </is>
      </c>
      <c r="B59" s="6" t="n">
        <v>0.8216931216931216</v>
      </c>
      <c r="C59" s="6" t="n">
        <v>0.8220634920634922</v>
      </c>
      <c r="D59" s="6" t="n">
        <v>0.8171428571428572</v>
      </c>
      <c r="E59" s="6" t="n">
        <v>0.8111111111111111</v>
      </c>
      <c r="F59" s="6" t="n">
        <v>0.7134391534391534</v>
      </c>
      <c r="G59" s="6" t="n">
        <v>0.5</v>
      </c>
      <c r="H59" s="6" t="n">
        <v>0.5</v>
      </c>
    </row>
    <row r="60">
      <c r="A60" s="3" t="inlineStr">
        <is>
          <t>acierto testing (umbral 0,5)</t>
        </is>
      </c>
      <c r="B60" s="24" t="n">
        <v>0.78</v>
      </c>
      <c r="C60" s="24" t="n">
        <v>0.7733333333333333</v>
      </c>
      <c r="D60" s="24" t="n">
        <v>0.7733333333333333</v>
      </c>
      <c r="E60" s="24" t="n">
        <v>0.76</v>
      </c>
      <c r="F60" s="24" t="n">
        <v>0.7</v>
      </c>
      <c r="G60" s="24" t="n">
        <v>0.7</v>
      </c>
      <c r="H60" s="24" t="n">
        <v>0.7</v>
      </c>
    </row>
    <row r="61">
      <c r="A61" s="3" t="inlineStr">
        <is>
          <t>pesos en cero (de 18)</t>
        </is>
      </c>
      <c r="B61" s="23" t="n">
        <v>0</v>
      </c>
      <c r="C61" s="23" t="n">
        <v>2</v>
      </c>
      <c r="D61" s="23" t="n">
        <v>4</v>
      </c>
      <c r="E61" s="23" t="n">
        <v>7</v>
      </c>
      <c r="F61" s="23" t="n">
        <v>16</v>
      </c>
      <c r="G61" s="23" t="n">
        <v>18</v>
      </c>
      <c r="H61" s="23" t="n">
        <v>18</v>
      </c>
    </row>
    <row r="62">
      <c r="A62" s="3" t="inlineStr">
        <is>
          <t>Σ |theta|</t>
        </is>
      </c>
      <c r="B62" s="22" t="n">
        <v>9.79006557850434</v>
      </c>
      <c r="C62" s="22" t="n">
        <v>8.106947418967133</v>
      </c>
      <c r="D62" s="22" t="n">
        <v>5.705581218060868</v>
      </c>
      <c r="E62" s="22" t="n">
        <v>2.913163810558986</v>
      </c>
      <c r="F62" s="22" t="n">
        <v>0.2937053834080617</v>
      </c>
      <c r="G62" s="22" t="n">
        <v>0</v>
      </c>
      <c r="H62" s="22" t="n">
        <v>0</v>
      </c>
    </row>
    <row r="63"/>
    <row r="64"/>
    <row r="65">
      <c r="A65" s="3" t="inlineStr">
        <is>
          <t>Elastic net (α = 0,5)</t>
        </is>
      </c>
    </row>
    <row r="66">
      <c r="A66" s="4" t="inlineStr">
        <is>
          <t>λ</t>
        </is>
      </c>
      <c r="B66" s="4" t="inlineStr">
        <is>
          <t>0</t>
        </is>
      </c>
      <c r="C66" s="4" t="inlineStr">
        <is>
          <t>1</t>
        </is>
      </c>
      <c r="D66" s="4" t="inlineStr">
        <is>
          <t>3</t>
        </is>
      </c>
      <c r="E66" s="4" t="inlineStr">
        <is>
          <t>10</t>
        </is>
      </c>
      <c r="F66" s="4" t="inlineStr">
        <is>
          <t>30</t>
        </is>
      </c>
      <c r="G66" s="4" t="inlineStr">
        <is>
          <t>100</t>
        </is>
      </c>
      <c r="H66" s="4" t="inlineStr">
        <is>
          <t>300</t>
        </is>
      </c>
    </row>
    <row r="67">
      <c r="A67" t="inlineStr">
        <is>
          <t>intercepto</t>
        </is>
      </c>
      <c r="B67" s="6" t="n">
        <v>-1.341270962110326</v>
      </c>
      <c r="C67" s="6" t="n">
        <v>-1.352709845531643</v>
      </c>
      <c r="D67" s="6" t="n">
        <v>-1.289781922651986</v>
      </c>
      <c r="E67" s="6" t="n">
        <v>-1.164708465097381</v>
      </c>
      <c r="F67" s="6" t="n">
        <v>-0.9661886568882448</v>
      </c>
      <c r="G67" s="6" t="n">
        <v>-0.8477291236640334</v>
      </c>
      <c r="H67" s="6" t="n">
        <v>-0.8356643024018267</v>
      </c>
    </row>
    <row r="68">
      <c r="A68" t="inlineStr">
        <is>
          <t>duracion</t>
        </is>
      </c>
      <c r="B68" s="6" t="n">
        <v>0.3247012549391071</v>
      </c>
      <c r="C68" s="6" t="n">
        <v>0.3205943225307124</v>
      </c>
      <c r="D68" s="6" t="n">
        <v>0.312032817137098</v>
      </c>
      <c r="E68" s="6" t="n">
        <v>0.2883263960346477</v>
      </c>
      <c r="F68" s="6" t="n">
        <v>0.2505544110894213</v>
      </c>
      <c r="G68" s="6" t="n">
        <v>0.04670954873928053</v>
      </c>
      <c r="H68" s="6" t="n">
        <v>0</v>
      </c>
    </row>
    <row r="69">
      <c r="A69" t="inlineStr">
        <is>
          <t>monto</t>
        </is>
      </c>
      <c r="B69" s="6" t="n">
        <v>0.1163535941884676</v>
      </c>
      <c r="C69" s="6" t="n">
        <v>0.1048571894646509</v>
      </c>
      <c r="D69" s="6" t="n">
        <v>0.09110699145119981</v>
      </c>
      <c r="E69" s="6" t="n">
        <v>0.06449985705901924</v>
      </c>
      <c r="F69" s="6" t="n">
        <v>0.003812467355828824</v>
      </c>
      <c r="G69" s="6" t="n">
        <v>0</v>
      </c>
      <c r="H69" s="6" t="n">
        <v>0</v>
      </c>
    </row>
    <row r="70">
      <c r="A70" t="inlineStr">
        <is>
          <t>edad</t>
        </is>
      </c>
      <c r="B70" s="6" t="n">
        <v>-0.09914522482627074</v>
      </c>
      <c r="C70" s="6" t="n">
        <v>-0.0962766470488826</v>
      </c>
      <c r="D70" s="6" t="n">
        <v>-0.0866887386947694</v>
      </c>
      <c r="E70" s="6" t="n">
        <v>-0.07104034311856461</v>
      </c>
      <c r="F70" s="6" t="n">
        <v>-0.0354572592931083</v>
      </c>
      <c r="G70" s="6" t="n">
        <v>0</v>
      </c>
      <c r="H70" s="6" t="n">
        <v>0</v>
      </c>
    </row>
    <row r="71">
      <c r="A71" t="inlineStr">
        <is>
          <t>cuota_pct_ingreso</t>
        </is>
      </c>
      <c r="B71" s="6" t="n">
        <v>0.2872157655933926</v>
      </c>
      <c r="C71" s="6" t="n">
        <v>0.2684623354882243</v>
      </c>
      <c r="D71" s="6" t="n">
        <v>0.2362108639711834</v>
      </c>
      <c r="E71" s="6" t="n">
        <v>0.160624014640062</v>
      </c>
      <c r="F71" s="6" t="n">
        <v>0.02414226615927221</v>
      </c>
      <c r="G71" s="6" t="n">
        <v>0</v>
      </c>
      <c r="H71" s="6" t="n">
        <v>0</v>
      </c>
    </row>
    <row r="72">
      <c r="A72" t="inlineStr">
        <is>
          <t>cta_negativa</t>
        </is>
      </c>
      <c r="B72" s="6" t="n">
        <v>1.546402670396991</v>
      </c>
      <c r="C72" s="6" t="n">
        <v>1.430334149690627</v>
      </c>
      <c r="D72" s="6" t="n">
        <v>1.25978446067853</v>
      </c>
      <c r="E72" s="6" t="n">
        <v>0.9472921584827203</v>
      </c>
      <c r="F72" s="6" t="n">
        <v>0.4405672479263671</v>
      </c>
      <c r="G72" s="6" t="n">
        <v>0</v>
      </c>
      <c r="H72" s="6" t="n">
        <v>0</v>
      </c>
    </row>
    <row r="73">
      <c r="A73" t="inlineStr">
        <is>
          <t>cta_0_200</t>
        </is>
      </c>
      <c r="B73" s="6" t="n">
        <v>1.294997779791349</v>
      </c>
      <c r="C73" s="6" t="n">
        <v>1.175919573599892</v>
      </c>
      <c r="D73" s="6" t="n">
        <v>0.9956057509890853</v>
      </c>
      <c r="E73" s="6" t="n">
        <v>0.6456191690149486</v>
      </c>
      <c r="F73" s="6" t="n">
        <v>0.1607669719310417</v>
      </c>
      <c r="G73" s="6" t="n">
        <v>0</v>
      </c>
      <c r="H73" s="6" t="n">
        <v>0</v>
      </c>
    </row>
    <row r="74">
      <c r="A74" t="inlineStr">
        <is>
          <t>cta_sobre_200</t>
        </is>
      </c>
      <c r="B74" s="6" t="n">
        <v>0.6683615861023957</v>
      </c>
      <c r="C74" s="6" t="n">
        <v>0.4592452559789927</v>
      </c>
      <c r="D74" s="6" t="n">
        <v>0.157892900175347</v>
      </c>
      <c r="E74" s="6" t="n">
        <v>0</v>
      </c>
      <c r="F74" s="6" t="n">
        <v>0</v>
      </c>
      <c r="G74" s="6" t="n">
        <v>0</v>
      </c>
      <c r="H74" s="6" t="n">
        <v>0</v>
      </c>
    </row>
    <row r="75">
      <c r="A75" t="inlineStr">
        <is>
          <t>hist_critico</t>
        </is>
      </c>
      <c r="B75" s="6" t="n">
        <v>-0.6573449373610837</v>
      </c>
      <c r="C75" s="6" t="n">
        <v>-0.623430019509177</v>
      </c>
      <c r="D75" s="6" t="n">
        <v>-0.5719602860881695</v>
      </c>
      <c r="E75" s="6" t="n">
        <v>-0.4300165383272598</v>
      </c>
      <c r="F75" s="6" t="n">
        <v>-0.1813461481705524</v>
      </c>
      <c r="G75" s="6" t="n">
        <v>0</v>
      </c>
      <c r="H75" s="6" t="n">
        <v>0</v>
      </c>
    </row>
    <row r="76">
      <c r="A76" t="inlineStr">
        <is>
          <t>hist_atrasos</t>
        </is>
      </c>
      <c r="B76" s="6" t="n">
        <v>-0.04019551911120235</v>
      </c>
      <c r="C76" s="6" t="n">
        <v>0</v>
      </c>
      <c r="D76" s="6" t="n">
        <v>0</v>
      </c>
      <c r="E76" s="6" t="n">
        <v>0</v>
      </c>
      <c r="F76" s="6" t="n">
        <v>0</v>
      </c>
      <c r="G76" s="6" t="n">
        <v>0</v>
      </c>
      <c r="H76" s="6" t="n">
        <v>0</v>
      </c>
    </row>
    <row r="77">
      <c r="A77" t="inlineStr">
        <is>
          <t>hist_sin_creditos</t>
        </is>
      </c>
      <c r="B77" s="6" t="n">
        <v>0.6690656278784681</v>
      </c>
      <c r="C77" s="6" t="n">
        <v>0.6398720437461051</v>
      </c>
      <c r="D77" s="6" t="n">
        <v>0.5597581130688386</v>
      </c>
      <c r="E77" s="6" t="n">
        <v>0.3416636973187641</v>
      </c>
      <c r="F77" s="6" t="n">
        <v>0</v>
      </c>
      <c r="G77" s="6" t="n">
        <v>0</v>
      </c>
      <c r="H77" s="6" t="n">
        <v>0</v>
      </c>
    </row>
    <row r="78">
      <c r="A78" t="inlineStr">
        <is>
          <t>ahorro_100_1000</t>
        </is>
      </c>
      <c r="B78" s="6" t="n">
        <v>-0.3895834298458181</v>
      </c>
      <c r="C78" s="6" t="n">
        <v>-0.3240555505178195</v>
      </c>
      <c r="D78" s="6" t="n">
        <v>-0.2190578779745086</v>
      </c>
      <c r="E78" s="6" t="n">
        <v>0</v>
      </c>
      <c r="F78" s="6" t="n">
        <v>0</v>
      </c>
      <c r="G78" s="6" t="n">
        <v>0</v>
      </c>
      <c r="H78" s="6" t="n">
        <v>0</v>
      </c>
    </row>
    <row r="79">
      <c r="A79" t="inlineStr">
        <is>
          <t>ahorro_sobre_1000</t>
        </is>
      </c>
      <c r="B79" s="6" t="n">
        <v>-0.8892238593761824</v>
      </c>
      <c r="C79" s="6" t="n">
        <v>-0.6500642400009708</v>
      </c>
      <c r="D79" s="6" t="n">
        <v>-0.3500901748579561</v>
      </c>
      <c r="E79" s="6" t="n">
        <v>0</v>
      </c>
      <c r="F79" s="6" t="n">
        <v>0</v>
      </c>
      <c r="G79" s="6" t="n">
        <v>0</v>
      </c>
      <c r="H79" s="6" t="n">
        <v>0</v>
      </c>
    </row>
    <row r="80">
      <c r="A80" t="inlineStr">
        <is>
          <t>ahorro_desconocido</t>
        </is>
      </c>
      <c r="B80" s="6" t="n">
        <v>-1.076092926242446</v>
      </c>
      <c r="C80" s="6" t="n">
        <v>-0.9626878759974103</v>
      </c>
      <c r="D80" s="6" t="n">
        <v>-0.7833621032803366</v>
      </c>
      <c r="E80" s="6" t="n">
        <v>-0.4206893661875589</v>
      </c>
      <c r="F80" s="6" t="n">
        <v>-0.01675818394489989</v>
      </c>
      <c r="G80" s="6" t="n">
        <v>0</v>
      </c>
      <c r="H80" s="6" t="n">
        <v>0</v>
      </c>
    </row>
    <row r="81">
      <c r="A81" t="inlineStr">
        <is>
          <t>vivienda_arriendo</t>
        </is>
      </c>
      <c r="B81" s="6" t="n">
        <v>0.6538371780658356</v>
      </c>
      <c r="C81" s="6" t="n">
        <v>0.5801489030256047</v>
      </c>
      <c r="D81" s="6" t="n">
        <v>0.4727270737090632</v>
      </c>
      <c r="E81" s="6" t="n">
        <v>0.2523339671160815</v>
      </c>
      <c r="F81" s="6" t="n">
        <v>0</v>
      </c>
      <c r="G81" s="6" t="n">
        <v>0</v>
      </c>
      <c r="H81" s="6" t="n">
        <v>0</v>
      </c>
    </row>
    <row r="82">
      <c r="A82" t="inlineStr">
        <is>
          <t>vivienda_gratis</t>
        </is>
      </c>
      <c r="B82" s="6" t="n">
        <v>0.1953653579159878</v>
      </c>
      <c r="C82" s="6" t="n">
        <v>0.1670263891706399</v>
      </c>
      <c r="D82" s="6" t="n">
        <v>0.1117486977901089</v>
      </c>
      <c r="E82" s="6" t="n">
        <v>0</v>
      </c>
      <c r="F82" s="6" t="n">
        <v>0</v>
      </c>
      <c r="G82" s="6" t="n">
        <v>0</v>
      </c>
      <c r="H82" s="6" t="n">
        <v>0</v>
      </c>
    </row>
    <row r="83">
      <c r="A83" t="inlineStr">
        <is>
          <t>proposito_auto</t>
        </is>
      </c>
      <c r="B83" s="6" t="n">
        <v>-0.08016547581790479</v>
      </c>
      <c r="C83" s="6" t="n">
        <v>0</v>
      </c>
      <c r="D83" s="6" t="n">
        <v>0</v>
      </c>
      <c r="E83" s="6" t="n">
        <v>0</v>
      </c>
      <c r="F83" s="6" t="n">
        <v>0</v>
      </c>
      <c r="G83" s="6" t="n">
        <v>0</v>
      </c>
      <c r="H83" s="6" t="n">
        <v>0</v>
      </c>
    </row>
    <row r="84">
      <c r="A84" t="inlineStr">
        <is>
          <t>proposito_radio_tv</t>
        </is>
      </c>
      <c r="B84" s="6" t="n">
        <v>-0.5202106472417524</v>
      </c>
      <c r="C84" s="6" t="n">
        <v>-0.4160346692223714</v>
      </c>
      <c r="D84" s="6" t="n">
        <v>-0.3341921038052404</v>
      </c>
      <c r="E84" s="6" t="n">
        <v>-0.2047431145452876</v>
      </c>
      <c r="F84" s="6" t="n">
        <v>0</v>
      </c>
      <c r="G84" s="6" t="n">
        <v>0</v>
      </c>
      <c r="H84" s="6" t="n">
        <v>0</v>
      </c>
    </row>
    <row r="85">
      <c r="A85" t="inlineStr">
        <is>
          <t>proposito_muebles</t>
        </is>
      </c>
      <c r="B85" s="6" t="n">
        <v>-0.2818027438096851</v>
      </c>
      <c r="C85" s="6" t="n">
        <v>-0.1518424505776278</v>
      </c>
      <c r="D85" s="6" t="n">
        <v>-0.03355701340937212</v>
      </c>
      <c r="E85" s="6" t="n">
        <v>0</v>
      </c>
      <c r="F85" s="6" t="n">
        <v>0</v>
      </c>
      <c r="G85" s="6" t="n">
        <v>0</v>
      </c>
      <c r="H85" s="6" t="n">
        <v>0</v>
      </c>
    </row>
    <row r="86">
      <c r="A86" s="3" t="inlineStr">
        <is>
          <t>pérdida promedio training</t>
        </is>
      </c>
      <c r="B86" s="12" t="n">
        <v>0.5003701943367364</v>
      </c>
      <c r="C86" s="12" t="n">
        <v>0.5011464771119396</v>
      </c>
      <c r="D86" s="12" t="n">
        <v>0.5050594453121924</v>
      </c>
      <c r="E86" s="12" t="n">
        <v>0.5215133947324375</v>
      </c>
      <c r="F86" s="12" t="n">
        <v>0.5677088325125194</v>
      </c>
      <c r="G86" s="12" t="n">
        <v>0.6071400639350795</v>
      </c>
      <c r="H86" s="12" t="n">
        <v>0.6108785347212398</v>
      </c>
    </row>
    <row r="87">
      <c r="A87" s="3" t="inlineStr">
        <is>
          <t>pérdida promedio testing</t>
        </is>
      </c>
      <c r="B87" s="12" t="n">
        <v>0.4690599152735907</v>
      </c>
      <c r="C87" s="12" t="n">
        <v>0.4704724674737338</v>
      </c>
      <c r="D87" s="12" t="n">
        <v>0.4763637151729394</v>
      </c>
      <c r="E87" s="12" t="n">
        <v>0.4952635363125531</v>
      </c>
      <c r="F87" s="12" t="n">
        <v>0.5484900475512913</v>
      </c>
      <c r="G87" s="12" t="n">
        <v>0.6047735810437106</v>
      </c>
      <c r="H87" s="12" t="n">
        <v>0.6108785347212397</v>
      </c>
    </row>
    <row r="88">
      <c r="A88" s="3" t="inlineStr">
        <is>
          <t>AUC training</t>
        </is>
      </c>
      <c r="B88" s="6" t="n">
        <v>0.7767541302235179</v>
      </c>
      <c r="C88" s="6" t="n">
        <v>0.7769679300291545</v>
      </c>
      <c r="D88" s="6" t="n">
        <v>0.7747133138969873</v>
      </c>
      <c r="E88" s="6" t="n">
        <v>0.7684062196307094</v>
      </c>
      <c r="F88" s="6" t="n">
        <v>0.7172886297376094</v>
      </c>
      <c r="G88" s="6" t="n">
        <v>0.6122351797862002</v>
      </c>
      <c r="H88" s="6" t="n">
        <v>0.5</v>
      </c>
    </row>
    <row r="89">
      <c r="A89" s="3" t="inlineStr">
        <is>
          <t>AUC testing</t>
        </is>
      </c>
      <c r="B89" s="6" t="n">
        <v>0.8216931216931216</v>
      </c>
      <c r="C89" s="6" t="n">
        <v>0.8223809523809524</v>
      </c>
      <c r="D89" s="6" t="n">
        <v>0.8204761904761905</v>
      </c>
      <c r="E89" s="6" t="n">
        <v>0.818941798941799</v>
      </c>
      <c r="F89" s="6" t="n">
        <v>0.7777777777777778</v>
      </c>
      <c r="G89" s="6" t="n">
        <v>0.6655555555555556</v>
      </c>
      <c r="H89" s="6" t="n">
        <v>0.5</v>
      </c>
    </row>
    <row r="90">
      <c r="A90" s="3" t="inlineStr">
        <is>
          <t>acierto testing (umbral 0,5)</t>
        </is>
      </c>
      <c r="B90" s="24" t="n">
        <v>0.78</v>
      </c>
      <c r="C90" s="24" t="n">
        <v>0.7766666666666666</v>
      </c>
      <c r="D90" s="24" t="n">
        <v>0.78</v>
      </c>
      <c r="E90" s="24" t="n">
        <v>0.7466666666666667</v>
      </c>
      <c r="F90" s="24" t="n">
        <v>0.7266666666666667</v>
      </c>
      <c r="G90" s="24" t="n">
        <v>0.7</v>
      </c>
      <c r="H90" s="24" t="n">
        <v>0.7</v>
      </c>
    </row>
    <row r="91">
      <c r="A91" s="3" t="inlineStr">
        <is>
          <t>pesos en cero (de 18)</t>
        </is>
      </c>
      <c r="B91" s="23" t="n">
        <v>0</v>
      </c>
      <c r="C91" s="23" t="n">
        <v>2</v>
      </c>
      <c r="D91" s="23" t="n">
        <v>2</v>
      </c>
      <c r="E91" s="23" t="n">
        <v>7</v>
      </c>
      <c r="F91" s="23" t="n">
        <v>10</v>
      </c>
      <c r="G91" s="23" t="n">
        <v>17</v>
      </c>
      <c r="H91" s="23" t="n">
        <v>18</v>
      </c>
    </row>
    <row r="92">
      <c r="A92" s="3" t="inlineStr">
        <is>
          <t>Σ |theta|</t>
        </is>
      </c>
      <c r="B92" s="22" t="n">
        <v>9.79006557850434</v>
      </c>
      <c r="C92" s="22" t="n">
        <v>8.370851615569707</v>
      </c>
      <c r="D92" s="22" t="n">
        <v>6.575775967080807</v>
      </c>
      <c r="E92" s="22" t="n">
        <v>3.826848621844914</v>
      </c>
      <c r="F92" s="22" t="n">
        <v>1.113404955870492</v>
      </c>
      <c r="G92" s="22" t="n">
        <v>0.04670954873928053</v>
      </c>
      <c r="H92" s="22" t="n">
        <v>0</v>
      </c>
    </row>
  </sheetData>
  <mergeCells count="2">
    <mergeCell ref="A3:P3"/>
    <mergeCell ref="A2:P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2026-09-28T19:48:59Z</dcterms:created>
  <dcterms:modified xmlns:dcterms="http://purl.org/dc/terms/" xmlns:xsi="http://www.w3.org/2001/XMLSchema-instance" xsi:type="dcterms:W3CDTF">2026-09-28T19:49:00Z</dcterms:modified>
</cp:coreProperties>
</file>